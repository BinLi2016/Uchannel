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activeTab="1"/>
  </bookViews>
  <sheets>
    <sheet name="0.结构参数" sheetId="33" r:id="rId1"/>
    <sheet name="1.U型槽主筋验算" sheetId="25" r:id="rId2"/>
    <sheet name="2.U型槽钢筋" sheetId="27" r:id="rId3"/>
  </sheets>
  <externalReferences>
    <externalReference r:id="rId4"/>
    <externalReference r:id="rId5"/>
    <externalReference r:id="rId6"/>
    <externalReference r:id="rId7"/>
    <externalReference r:id="rId8"/>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 name="_xlnm.Print_Area" localSheetId="1">'1.U型槽主筋验算'!$B$12:$F$141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<sst xmlns="http://schemas.openxmlformats.org/spreadsheetml/2006/main" count="1621" uniqueCount="306">
  <si>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</si>
  <si>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</si>
  <si>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</si>
  <si>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</si>
  <si>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</si>
  <si>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</si>
  <si>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</si>
  <si>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</si>
  <si>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</si>
  <si>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</si>
  <si>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</si>
  <si>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</si>
  <si>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</si>
  <si>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</si>
  <si>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</si>
  <si>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</si>
  <si>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</si>
  <si>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</si>
  <si>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</si>
  <si>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</si>
  <si>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</si>
  <si>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</si>
  <si>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</si>
  <si>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</si>
  <si>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</si>
  <si>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</si>
  <si>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</si>
  <si>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</si>
  <si>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</si>
  <si>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</si>
  <si>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</si>
  <si>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</si>
  <si>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</si>
  <si>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</si>
  <si>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</si>
  <si>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</si>
  <si>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</si>
  <si>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</si>
  <si>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</si>
  <si>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</si>
  <si>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</si>
  <si>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</si>
  <si>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</si>
  <si>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</si>
  <si>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</si>
  <si>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</si>
  <si>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</si>
  <si>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</si>
  <si>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</si>
  <si>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</si>
  <si>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</si>
  <si>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</si>
  <si>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</si>
  <si>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</si>
  <si>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</si>
  <si>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</si>
  <si>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</si>
  <si>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</si>
  <si>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</si>
  <si>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</si>
  <si>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</si>
  <si>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</si>
  <si>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</si>
  <si>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</si>
  <si>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</si>
  <si>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</si>
  <si>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</si>
  <si>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</si>
  <si>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</si>
  <si>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</si>
  <si>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</si>
  <si>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</si>
  <si>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</si>
  <si>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</si>
  <si>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</si>
  <si>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</si>
  <si>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</si>
  <si>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</si>
  <si>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</si>
  <si>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</si>
  <si>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</si>
  <si>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</si>
  <si>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</si>
  <si>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</si>
  <si>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</si>
  <si>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</si>
  <si>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</si>
  <si>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</si>
  <si>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</si>
  <si>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</si>
  <si>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3根</t>
  </si>
  <si>
    <t>ZU19-1计算书</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</si>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</sst>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3" formatCode="_ * #,##0.00_ ;_ * \-#,##0.00_ ;_ * &quot;-&quot;??_ ;_ @_ "/>
    <numFmt numFmtId="44" formatCode="_ &quot;￥&quot;* #,##0.00_ ;_ &quot;￥&quot;* \-#,##0.00_ ;_ &quot;￥&quot;* &quot;-&quot;??_ ;_ @_ "/>
    <numFmt numFmtId="42" formatCode="_ &quot;￥&quot;* #,##0_ ;_ &quot;￥&quot;* \-#,##0_ ;_ &quot;￥&quot;* &quot;-&quot;_ ;_ @_ "/>
    <numFmt numFmtId="41" formatCode="_ * #,##0_ ;_ * \-#,##0_ ;_ * &quot;-&quot;_ ;_ @_ "/>
    <numFmt numFmtId="176" formatCode="0.00_ "/>
    <numFmt numFmtId="177" formatCode="&quot;均&quot;0.0\ "/>
    <numFmt numFmtId="178" formatCode="0_ "/>
    <numFmt numFmtId="179" formatCode="0.0_ "/>
    <numFmt numFmtId="180" formatCode="0.0_);[Red]\(0.0\)"/>
    <numFmt numFmtId="181" formatCode="0.00&quot;m&quot;"/>
    <numFmt numFmtId="182" formatCode="0_);[Red]\(0\)"/>
    <numFmt numFmtId="183" formatCode="0.000_);[Red]\(0.000\)"/>
    <numFmt numFmtId="184" formatCode="0.000_ "/>
    <numFmt numFmtId="185" formatCode="&quot;K&quot;0\+000.000"/>
    <numFmt numFmtId="186" formatCode="&quot;YK&quot;0\+000.000"/>
    <numFmt numFmtId="187" formatCode="0.00_);[Red]\(0.00\)"/>
  </numFmts>
  <fonts count="54">
    <font>
      <sz val="11"/>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1"/>
      <color rgb="FFFF0000"/>
      <name val="宋体"/>
      <charset val="134"/>
    </font>
    <font>
      <sz val="10"/>
      <color indexed="10"/>
      <name val="宋体"/>
      <charset val="134"/>
    </font>
    <font>
      <b/>
      <sz val="11"/>
      <color theme="1"/>
      <name val="宋体"/>
      <charset val="134"/>
      <scheme val="minor"/>
    </font>
    <font>
      <b/>
      <sz val="11"/>
      <name val="宋体"/>
      <charset val="134"/>
      <scheme val="minor"/>
    </font>
    <font>
      <sz val="11"/>
      <name val="宋体"/>
      <charset val="134"/>
      <scheme val="minor"/>
    </font>
    <font>
      <sz val="11"/>
      <color theme="1"/>
      <name val="宋体"/>
      <charset val="0"/>
      <scheme val="minor"/>
    </font>
    <font>
      <sz val="11"/>
      <color rgb="FF006100"/>
      <name val="宋体"/>
      <charset val="0"/>
      <scheme val="minor"/>
    </font>
    <font>
      <b/>
      <sz val="11"/>
      <color rgb="FFFFFFFF"/>
      <name val="宋体"/>
      <charset val="0"/>
      <scheme val="minor"/>
    </font>
    <font>
      <sz val="11"/>
      <color theme="0"/>
      <name val="宋体"/>
      <charset val="0"/>
      <scheme val="minor"/>
    </font>
    <font>
      <b/>
      <sz val="11"/>
      <color rgb="FFFA7D00"/>
      <name val="宋体"/>
      <charset val="0"/>
      <scheme val="minor"/>
    </font>
    <font>
      <u/>
      <sz val="11"/>
      <color rgb="FF0000FF"/>
      <name val="宋体"/>
      <charset val="0"/>
      <scheme val="minor"/>
    </font>
    <font>
      <sz val="11"/>
      <color rgb="FF9C0006"/>
      <name val="宋体"/>
      <charset val="0"/>
      <scheme val="minor"/>
    </font>
    <font>
      <b/>
      <sz val="11"/>
      <color rgb="FF3F3F3F"/>
      <name val="宋体"/>
      <charset val="0"/>
      <scheme val="minor"/>
    </font>
    <font>
      <b/>
      <sz val="13"/>
      <color theme="3"/>
      <name val="宋体"/>
      <charset val="134"/>
      <scheme val="minor"/>
    </font>
    <font>
      <b/>
      <sz val="11"/>
      <color theme="3"/>
      <name val="宋体"/>
      <charset val="134"/>
      <scheme val="minor"/>
    </font>
    <font>
      <b/>
      <sz val="18"/>
      <color theme="3"/>
      <name val="宋体"/>
      <charset val="134"/>
      <scheme val="minor"/>
    </font>
    <font>
      <sz val="11"/>
      <color rgb="FFFF0000"/>
      <name val="宋体"/>
      <charset val="0"/>
      <scheme val="minor"/>
    </font>
    <font>
      <sz val="11"/>
      <color rgb="FF3F3F76"/>
      <name val="宋体"/>
      <charset val="0"/>
      <scheme val="minor"/>
    </font>
    <font>
      <sz val="11"/>
      <color rgb="FF9C6500"/>
      <name val="宋体"/>
      <charset val="0"/>
      <scheme val="minor"/>
    </font>
    <font>
      <b/>
      <sz val="11"/>
      <color theme="1"/>
      <name val="宋体"/>
      <charset val="0"/>
      <scheme val="minor"/>
    </font>
    <font>
      <sz val="11"/>
      <color rgb="FFFA7D00"/>
      <name val="宋体"/>
      <charset val="0"/>
      <scheme val="minor"/>
    </font>
    <font>
      <u/>
      <sz val="11"/>
      <color rgb="FF800080"/>
      <name val="宋体"/>
      <charset val="0"/>
      <scheme val="minor"/>
    </font>
    <font>
      <b/>
      <sz val="15"/>
      <color theme="3"/>
      <name val="宋体"/>
      <charset val="134"/>
      <scheme val="minor"/>
    </font>
    <font>
      <i/>
      <sz val="11"/>
      <color rgb="FF7F7F7F"/>
      <name val="宋体"/>
      <charset val="0"/>
      <scheme val="minor"/>
    </font>
    <font>
      <vertAlign val="superscript"/>
      <sz val="10"/>
      <color indexed="8"/>
      <name val="宋体"/>
      <charset val="134"/>
    </font>
    <font>
      <sz val="9"/>
      <name val="宋体"/>
      <charset val="134"/>
    </font>
  </fonts>
  <fills count="47">
    <fill>
      <patternFill patternType="none"/>
    </fill>
    <fill>
      <patternFill patternType="gray125"/>
    </fill>
    <fill>
      <patternFill patternType="solid">
        <fgColor rgb="FFFFC000"/>
        <bgColor indexed="64"/>
      </patternFill>
    </fill>
    <fill>
      <patternFill patternType="solid">
        <fgColor theme="0" tint="-0.3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9"/>
        <bgColor indexed="64"/>
      </patternFill>
    </fill>
    <fill>
      <patternFill patternType="solid">
        <fgColor rgb="FFFF0000"/>
        <bgColor indexed="64"/>
      </patternFill>
    </fill>
    <fill>
      <patternFill patternType="solid">
        <fgColor theme="3" tint="0.4"/>
        <bgColor indexed="64"/>
      </patternFill>
    </fill>
    <fill>
      <patternFill patternType="solid">
        <fgColor theme="6" tint="0.6"/>
        <bgColor indexed="64"/>
      </patternFill>
    </fill>
    <fill>
      <patternFill patternType="solid">
        <fgColor theme="0" tint="-0.25"/>
        <bgColor indexed="64"/>
      </patternFill>
    </fill>
    <fill>
      <patternFill patternType="solid">
        <fgColor theme="0" tint="-0.15"/>
        <bgColor indexed="64"/>
      </patternFill>
    </fill>
    <fill>
      <patternFill patternType="solid">
        <fgColor theme="4" tint="0.799981688894314"/>
        <bgColor indexed="64"/>
      </patternFill>
    </fill>
    <fill>
      <patternFill patternType="solid">
        <fgColor rgb="FFC6EFCE"/>
        <bgColor indexed="64"/>
      </patternFill>
    </fill>
    <fill>
      <patternFill patternType="solid">
        <fgColor rgb="FFA5A5A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7CE"/>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7"/>
        <bgColor indexed="64"/>
      </patternFill>
    </fill>
    <fill>
      <patternFill patternType="solid">
        <fgColor theme="4" tint="0.599993896298105"/>
        <bgColor indexed="64"/>
      </patternFill>
    </fill>
    <fill>
      <patternFill patternType="solid">
        <fgColor theme="5"/>
        <bgColor indexed="64"/>
      </patternFill>
    </fill>
    <fill>
      <patternFill patternType="solid">
        <fgColor theme="6"/>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rgb="FFFFEB9C"/>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FFCC"/>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4">
    <xf numFmtId="0" fontId="0" fillId="0" borderId="0">
      <alignment vertical="center"/>
    </xf>
    <xf numFmtId="42" fontId="0" fillId="0" borderId="0" applyFont="0" applyFill="0" applyBorder="0" applyAlignment="0" applyProtection="0">
      <alignment vertical="center"/>
    </xf>
    <xf numFmtId="0" fontId="33" fillId="20" borderId="0" applyNumberFormat="0" applyBorder="0" applyAlignment="0" applyProtection="0">
      <alignment vertical="center"/>
    </xf>
    <xf numFmtId="0" fontId="45" fillId="36" borderId="5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3" fillId="27" borderId="0" applyNumberFormat="0" applyBorder="0" applyAlignment="0" applyProtection="0">
      <alignment vertical="center"/>
    </xf>
    <xf numFmtId="0" fontId="39" fillId="26" borderId="0" applyNumberFormat="0" applyBorder="0" applyAlignment="0" applyProtection="0">
      <alignment vertical="center"/>
    </xf>
    <xf numFmtId="43" fontId="0" fillId="0" borderId="0" applyFont="0" applyFill="0" applyBorder="0" applyAlignment="0" applyProtection="0">
      <alignment vertical="center"/>
    </xf>
    <xf numFmtId="0" fontId="36" fillId="39" borderId="0" applyNumberFormat="0" applyBorder="0" applyAlignment="0" applyProtection="0">
      <alignment vertical="center"/>
    </xf>
    <xf numFmtId="0" fontId="38" fillId="0" borderId="0" applyNumberFormat="0" applyFill="0" applyBorder="0" applyAlignment="0" applyProtection="0">
      <alignment vertical="center"/>
    </xf>
    <xf numFmtId="9"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0" fillId="46" borderId="64" applyNumberFormat="0" applyFont="0" applyAlignment="0" applyProtection="0">
      <alignment vertical="center"/>
    </xf>
    <xf numFmtId="0" fontId="36" fillId="35" borderId="0" applyNumberFormat="0" applyBorder="0" applyAlignment="0" applyProtection="0">
      <alignment vertical="center"/>
    </xf>
    <xf numFmtId="0" fontId="4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0" fillId="0" borderId="60" applyNumberFormat="0" applyFill="0" applyAlignment="0" applyProtection="0">
      <alignment vertical="center"/>
    </xf>
    <xf numFmtId="0" fontId="41" fillId="0" borderId="60" applyNumberFormat="0" applyFill="0" applyAlignment="0" applyProtection="0">
      <alignment vertical="center"/>
    </xf>
    <xf numFmtId="0" fontId="36" fillId="42" borderId="0" applyNumberFormat="0" applyBorder="0" applyAlignment="0" applyProtection="0">
      <alignment vertical="center"/>
    </xf>
    <xf numFmtId="0" fontId="42" fillId="0" borderId="61" applyNumberFormat="0" applyFill="0" applyAlignment="0" applyProtection="0">
      <alignment vertical="center"/>
    </xf>
    <xf numFmtId="0" fontId="36" fillId="25" borderId="0" applyNumberFormat="0" applyBorder="0" applyAlignment="0" applyProtection="0">
      <alignment vertical="center"/>
    </xf>
    <xf numFmtId="0" fontId="40" fillId="24" borderId="59" applyNumberFormat="0" applyAlignment="0" applyProtection="0">
      <alignment vertical="center"/>
    </xf>
    <xf numFmtId="0" fontId="37" fillId="24" borderId="58" applyNumberFormat="0" applyAlignment="0" applyProtection="0">
      <alignment vertical="center"/>
    </xf>
    <xf numFmtId="0" fontId="35" fillId="19" borderId="57" applyNumberFormat="0" applyAlignment="0" applyProtection="0">
      <alignment vertical="center"/>
    </xf>
    <xf numFmtId="0" fontId="33" fillId="34" borderId="0" applyNumberFormat="0" applyBorder="0" applyAlignment="0" applyProtection="0">
      <alignment vertical="center"/>
    </xf>
    <xf numFmtId="0" fontId="36" fillId="32" borderId="0" applyNumberFormat="0" applyBorder="0" applyAlignment="0" applyProtection="0">
      <alignment vertical="center"/>
    </xf>
    <xf numFmtId="0" fontId="48" fillId="0" borderId="63" applyNumberFormat="0" applyFill="0" applyAlignment="0" applyProtection="0">
      <alignment vertical="center"/>
    </xf>
    <xf numFmtId="0" fontId="47" fillId="0" borderId="62" applyNumberFormat="0" applyFill="0" applyAlignment="0" applyProtection="0">
      <alignment vertical="center"/>
    </xf>
    <xf numFmtId="0" fontId="34" fillId="18" borderId="0" applyNumberFormat="0" applyBorder="0" applyAlignment="0" applyProtection="0">
      <alignment vertical="center"/>
    </xf>
    <xf numFmtId="0" fontId="46" fillId="38" borderId="0" applyNumberFormat="0" applyBorder="0" applyAlignment="0" applyProtection="0">
      <alignment vertical="center"/>
    </xf>
    <xf numFmtId="0" fontId="33" fillId="45" borderId="0" applyNumberFormat="0" applyBorder="0" applyAlignment="0" applyProtection="0">
      <alignment vertical="center"/>
    </xf>
    <xf numFmtId="0" fontId="36" fillId="23" borderId="0" applyNumberFormat="0" applyBorder="0" applyAlignment="0" applyProtection="0">
      <alignment vertical="center"/>
    </xf>
    <xf numFmtId="0" fontId="33" fillId="17" borderId="0" applyNumberFormat="0" applyBorder="0" applyAlignment="0" applyProtection="0">
      <alignment vertical="center"/>
    </xf>
    <xf numFmtId="0" fontId="33" fillId="31" borderId="0" applyNumberFormat="0" applyBorder="0" applyAlignment="0" applyProtection="0">
      <alignment vertical="center"/>
    </xf>
    <xf numFmtId="0" fontId="33" fillId="44" borderId="0" applyNumberFormat="0" applyBorder="0" applyAlignment="0" applyProtection="0">
      <alignment vertical="center"/>
    </xf>
    <xf numFmtId="0" fontId="33" fillId="41" borderId="0" applyNumberFormat="0" applyBorder="0" applyAlignment="0" applyProtection="0">
      <alignment vertical="center"/>
    </xf>
    <xf numFmtId="0" fontId="36" fillId="33" borderId="0" applyNumberFormat="0" applyBorder="0" applyAlignment="0" applyProtection="0">
      <alignment vertical="center"/>
    </xf>
    <xf numFmtId="0" fontId="36" fillId="30" borderId="0" applyNumberFormat="0" applyBorder="0" applyAlignment="0" applyProtection="0">
      <alignment vertical="center"/>
    </xf>
    <xf numFmtId="0" fontId="33" fillId="22" borderId="0" applyNumberFormat="0" applyBorder="0" applyAlignment="0" applyProtection="0">
      <alignment vertical="center"/>
    </xf>
    <xf numFmtId="0" fontId="33" fillId="37" borderId="0" applyNumberFormat="0" applyBorder="0" applyAlignment="0" applyProtection="0">
      <alignment vertical="center"/>
    </xf>
    <xf numFmtId="0" fontId="36" fillId="29" borderId="0" applyNumberFormat="0" applyBorder="0" applyAlignment="0" applyProtection="0">
      <alignment vertical="center"/>
    </xf>
    <xf numFmtId="0" fontId="33" fillId="43" borderId="0" applyNumberFormat="0" applyBorder="0" applyAlignment="0" applyProtection="0">
      <alignment vertical="center"/>
    </xf>
    <xf numFmtId="0" fontId="36" fillId="21" borderId="0" applyNumberFormat="0" applyBorder="0" applyAlignment="0" applyProtection="0">
      <alignment vertical="center"/>
    </xf>
    <xf numFmtId="0" fontId="36" fillId="11" borderId="0" applyNumberFormat="0" applyBorder="0" applyAlignment="0" applyProtection="0">
      <alignment vertical="center"/>
    </xf>
    <xf numFmtId="0" fontId="33" fillId="40" borderId="0" applyNumberFormat="0" applyBorder="0" applyAlignment="0" applyProtection="0">
      <alignment vertical="center"/>
    </xf>
    <xf numFmtId="0" fontId="36" fillId="28" borderId="0" applyNumberFormat="0" applyBorder="0" applyAlignment="0" applyProtection="0">
      <alignment vertical="center"/>
    </xf>
    <xf numFmtId="0" fontId="1" fillId="0" borderId="0"/>
    <xf numFmtId="0" fontId="1" fillId="0" borderId="0"/>
    <xf numFmtId="0" fontId="1" fillId="0" borderId="0">
      <alignment vertical="center"/>
    </xf>
    <xf numFmtId="0" fontId="0" fillId="0" borderId="0">
      <alignment vertical="center"/>
    </xf>
    <xf numFmtId="0" fontId="1" fillId="0" borderId="0"/>
  </cellStyleXfs>
  <cellXfs count="522">
    <xf numFmtId="0" fontId="0" fillId="0" borderId="0" xfId="0">
      <alignment vertical="center"/>
    </xf>
    <xf numFmtId="0" fontId="1" fillId="0" borderId="0" xfId="49" applyFont="1" applyAlignment="1">
      <alignment horizontal="center" vertical="center"/>
    </xf>
    <xf numFmtId="0" fontId="1" fillId="0" borderId="0" xfId="49" applyFill="1"/>
    <xf numFmtId="0" fontId="1" fillId="0" borderId="0" xfId="49" applyFont="1" applyAlignment="1"/>
    <xf numFmtId="0" fontId="1" fillId="0" borderId="0" xfId="49" applyFont="1" applyFill="1" applyAlignment="1">
      <alignment vertical="center"/>
    </xf>
    <xf numFmtId="0" fontId="1" fillId="0" borderId="0" xfId="49" applyFont="1" applyAlignment="1">
      <alignment vertical="center"/>
    </xf>
    <xf numFmtId="0" fontId="1" fillId="2" borderId="0" xfId="49" applyFill="1"/>
    <xf numFmtId="0" fontId="1" fillId="0" borderId="0" xfId="49"/>
    <xf numFmtId="176" fontId="1" fillId="0" borderId="0" xfId="49" applyNumberFormat="1" applyFont="1" applyAlignment="1">
      <alignment vertical="center"/>
    </xf>
    <xf numFmtId="0" fontId="1" fillId="0" borderId="0" xfId="49" applyNumberFormat="1" applyAlignment="1">
      <alignment horizontal="center" vertical="center" textRotation="255"/>
    </xf>
    <xf numFmtId="0" fontId="1" fillId="0" borderId="1" xfId="49" applyFont="1" applyBorder="1" applyAlignment="1">
      <alignment horizontal="center" vertical="center"/>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176" fontId="1" fillId="0" borderId="5" xfId="49" applyNumberFormat="1" applyFont="1" applyBorder="1" applyAlignment="1">
      <alignment horizontal="center" vertical="center"/>
    </xf>
    <xf numFmtId="0" fontId="1" fillId="0" borderId="5" xfId="49" applyFont="1" applyBorder="1" applyAlignment="1">
      <alignment horizontal="center" vertical="center"/>
    </xf>
    <xf numFmtId="0" fontId="1" fillId="0" borderId="6" xfId="49" applyFont="1" applyBorder="1" applyAlignment="1">
      <alignment horizontal="center" vertical="center"/>
    </xf>
    <xf numFmtId="0" fontId="2" fillId="0" borderId="4" xfId="49" applyFont="1" applyFill="1" applyBorder="1" applyAlignment="1">
      <alignment horizontal="center"/>
    </xf>
    <xf numFmtId="179" fontId="2" fillId="0" borderId="5" xfId="49" applyNumberFormat="1" applyFont="1" applyBorder="1" applyAlignment="1">
      <alignment horizontal="center"/>
    </xf>
    <xf numFmtId="0" fontId="2" fillId="0" borderId="5" xfId="49" applyFont="1" applyFill="1" applyBorder="1" applyAlignment="1">
      <alignment horizontal="center" vertical="center"/>
    </xf>
    <xf numFmtId="0" fontId="1" fillId="0" borderId="0" xfId="49" applyNumberFormat="1" applyFill="1" applyAlignment="1">
      <alignment horizontal="center" vertical="center" textRotation="255"/>
    </xf>
    <xf numFmtId="179" fontId="2" fillId="0" borderId="5" xfId="49" applyNumberFormat="1" applyFont="1" applyFill="1" applyBorder="1" applyAlignment="1">
      <alignment horizontal="center"/>
    </xf>
    <xf numFmtId="0" fontId="2" fillId="3" borderId="4" xfId="49" applyFont="1" applyFill="1" applyBorder="1" applyAlignment="1">
      <alignment horizontal="center"/>
    </xf>
    <xf numFmtId="179" fontId="2" fillId="3" borderId="5" xfId="49" applyNumberFormat="1" applyFont="1" applyFill="1" applyBorder="1" applyAlignment="1">
      <alignment horizontal="center"/>
    </xf>
    <xf numFmtId="0" fontId="2" fillId="3" borderId="5" xfId="49" applyFont="1" applyFill="1" applyBorder="1" applyAlignment="1">
      <alignment horizontal="center" vertical="center"/>
    </xf>
    <xf numFmtId="0" fontId="1" fillId="3" borderId="7" xfId="49" applyFill="1" applyBorder="1" applyAlignment="1">
      <alignment horizontal="center"/>
    </xf>
    <xf numFmtId="0" fontId="1" fillId="3" borderId="8" xfId="49" applyFill="1" applyBorder="1" applyAlignment="1">
      <alignment horizontal="center"/>
    </xf>
    <xf numFmtId="178" fontId="3" fillId="3" borderId="8" xfId="49" applyNumberFormat="1" applyFont="1" applyFill="1" applyBorder="1" applyAlignment="1">
      <alignment horizontal="center" vertical="center"/>
    </xf>
    <xf numFmtId="0" fontId="1" fillId="3" borderId="8" xfId="49" applyFont="1" applyFill="1" applyBorder="1" applyAlignment="1">
      <alignment horizontal="center" vertical="center"/>
    </xf>
    <xf numFmtId="0" fontId="1" fillId="0" borderId="0" xfId="49" applyBorder="1" applyAlignment="1"/>
    <xf numFmtId="0" fontId="4" fillId="0" borderId="0" xfId="49" applyNumberFormat="1" applyFont="1" applyFill="1" applyBorder="1" applyAlignment="1">
      <alignment horizontal="center"/>
    </xf>
    <xf numFmtId="179" fontId="5" fillId="0" borderId="0" xfId="49" applyNumberFormat="1" applyFont="1" applyBorder="1" applyAlignment="1">
      <alignment horizontal="center"/>
    </xf>
    <xf numFmtId="178" fontId="5" fillId="0" borderId="0" xfId="49" applyNumberFormat="1" applyFont="1" applyBorder="1" applyAlignment="1">
      <alignment horizontal="center"/>
    </xf>
    <xf numFmtId="0" fontId="1" fillId="0" borderId="0" xfId="49" applyFont="1" applyBorder="1" applyAlignment="1"/>
    <xf numFmtId="0" fontId="1" fillId="0" borderId="0" xfId="49" applyFont="1" applyBorder="1" applyAlignment="1">
      <alignment horizontal="center"/>
    </xf>
    <xf numFmtId="0" fontId="6" fillId="0" borderId="9" xfId="51" applyFont="1" applyBorder="1" applyAlignment="1">
      <alignment horizontal="center" vertical="center" wrapText="1"/>
    </xf>
    <xf numFmtId="0" fontId="7" fillId="0" borderId="10" xfId="51" applyFont="1" applyBorder="1" applyAlignment="1">
      <alignment horizontal="center" vertical="center" wrapText="1"/>
    </xf>
    <xf numFmtId="0" fontId="7" fillId="0" borderId="10" xfId="51" applyFont="1" applyBorder="1" applyAlignment="1">
      <alignment horizontal="center" vertical="center"/>
    </xf>
    <xf numFmtId="0" fontId="6" fillId="0" borderId="10" xfId="51" applyFont="1" applyBorder="1" applyAlignment="1">
      <alignment horizontal="center" vertical="center" wrapText="1"/>
    </xf>
    <xf numFmtId="0" fontId="6" fillId="0" borderId="10" xfId="51" applyFont="1" applyBorder="1" applyAlignment="1">
      <alignment horizontal="center" vertical="center"/>
    </xf>
    <xf numFmtId="0" fontId="6" fillId="0" borderId="11" xfId="51" applyFont="1" applyFill="1" applyBorder="1" applyAlignment="1">
      <alignment horizontal="center" vertical="center"/>
    </xf>
    <xf numFmtId="179" fontId="6" fillId="0" borderId="12" xfId="51" applyNumberFormat="1" applyFont="1" applyFill="1" applyBorder="1" applyAlignment="1">
      <alignment horizontal="center" vertical="center"/>
    </xf>
    <xf numFmtId="0" fontId="8" fillId="0" borderId="12" xfId="51" applyFont="1" applyFill="1" applyBorder="1" applyAlignment="1">
      <alignment horizontal="center" vertical="center"/>
    </xf>
    <xf numFmtId="179" fontId="9" fillId="0" borderId="12" xfId="51" applyNumberFormat="1" applyFont="1" applyFill="1" applyBorder="1" applyAlignment="1">
      <alignment horizontal="center" vertical="center"/>
    </xf>
    <xf numFmtId="176" fontId="8" fillId="0" borderId="12" xfId="51" applyNumberFormat="1" applyFont="1" applyFill="1" applyBorder="1" applyAlignment="1">
      <alignment horizontal="center" vertical="center"/>
    </xf>
    <xf numFmtId="178" fontId="3" fillId="0" borderId="12" xfId="49" applyNumberFormat="1" applyFont="1" applyFill="1" applyBorder="1" applyAlignment="1">
      <alignment horizontal="center" vertical="center"/>
    </xf>
    <xf numFmtId="0" fontId="1" fillId="0" borderId="0" xfId="49" applyNumberFormat="1" applyFont="1" applyFill="1" applyAlignment="1">
      <alignment horizontal="center" vertical="center" textRotation="255"/>
    </xf>
    <xf numFmtId="176" fontId="8" fillId="4" borderId="12" xfId="51" applyNumberFormat="1" applyFont="1" applyFill="1" applyBorder="1" applyAlignment="1">
      <alignment horizontal="center" vertical="center"/>
    </xf>
    <xf numFmtId="0" fontId="6" fillId="3" borderId="11" xfId="51" applyFont="1" applyFill="1" applyBorder="1" applyAlignment="1">
      <alignment horizontal="center" vertical="center"/>
    </xf>
    <xf numFmtId="179" fontId="6" fillId="3" borderId="12" xfId="51" applyNumberFormat="1" applyFont="1" applyFill="1" applyBorder="1" applyAlignment="1">
      <alignment horizontal="center" vertical="center"/>
    </xf>
    <xf numFmtId="0" fontId="8" fillId="3" borderId="12" xfId="51" applyFont="1" applyFill="1" applyBorder="1" applyAlignment="1">
      <alignment horizontal="center" vertical="center"/>
    </xf>
    <xf numFmtId="179" fontId="9" fillId="3" borderId="12" xfId="51" applyNumberFormat="1" applyFont="1" applyFill="1" applyBorder="1" applyAlignment="1">
      <alignment horizontal="center" vertical="center"/>
    </xf>
    <xf numFmtId="176" fontId="8" fillId="3" borderId="12" xfId="51" applyNumberFormat="1" applyFont="1" applyFill="1" applyBorder="1" applyAlignment="1">
      <alignment horizontal="center" vertical="center"/>
    </xf>
    <xf numFmtId="178" fontId="3" fillId="3" borderId="12" xfId="49" applyNumberFormat="1" applyFont="1" applyFill="1" applyBorder="1" applyAlignment="1">
      <alignment horizontal="center" vertical="center"/>
    </xf>
    <xf numFmtId="0" fontId="1" fillId="0" borderId="2" xfId="49" applyFont="1" applyFill="1" applyBorder="1" applyAlignment="1">
      <alignment horizontal="center" vertical="center"/>
    </xf>
    <xf numFmtId="0" fontId="1" fillId="0" borderId="13" xfId="49" applyFont="1" applyBorder="1" applyAlignment="1">
      <alignment horizontal="center" vertical="center"/>
    </xf>
    <xf numFmtId="0" fontId="1" fillId="0" borderId="0" xfId="49" applyFont="1" applyFill="1" applyBorder="1" applyAlignment="1">
      <alignment horizontal="center" vertical="center"/>
    </xf>
    <xf numFmtId="0" fontId="1" fillId="0" borderId="9" xfId="49" applyFont="1" applyFill="1" applyBorder="1" applyAlignment="1">
      <alignment horizontal="center" vertical="center"/>
    </xf>
    <xf numFmtId="0" fontId="1" fillId="0" borderId="10" xfId="49" applyFont="1" applyFill="1" applyBorder="1" applyAlignment="1">
      <alignment horizontal="center" vertical="center"/>
    </xf>
    <xf numFmtId="0" fontId="1" fillId="0" borderId="14" xfId="49" applyFont="1" applyFill="1" applyBorder="1" applyAlignment="1">
      <alignment horizontal="center" vertical="center"/>
    </xf>
    <xf numFmtId="0" fontId="1" fillId="0" borderId="5" xfId="49" applyFont="1" applyFill="1" applyBorder="1" applyAlignment="1">
      <alignment horizontal="center" vertical="center"/>
    </xf>
    <xf numFmtId="0" fontId="1" fillId="0" borderId="15" xfId="49" applyFont="1" applyBorder="1" applyAlignment="1">
      <alignment horizontal="center" vertical="center"/>
    </xf>
    <xf numFmtId="179" fontId="5" fillId="0" borderId="0" xfId="49" applyNumberFormat="1" applyFont="1" applyFill="1" applyBorder="1" applyAlignment="1">
      <alignment horizontal="center" vertical="center"/>
    </xf>
    <xf numFmtId="179" fontId="6" fillId="0" borderId="0" xfId="49" applyNumberFormat="1" applyFont="1" applyFill="1" applyBorder="1" applyAlignment="1">
      <alignment horizontal="center" vertical="center"/>
    </xf>
    <xf numFmtId="0" fontId="6" fillId="0" borderId="16" xfId="49" applyFont="1" applyFill="1" applyBorder="1" applyAlignment="1">
      <alignment horizontal="center" vertical="center"/>
    </xf>
    <xf numFmtId="179" fontId="10" fillId="4" borderId="17" xfId="49" applyNumberFormat="1" applyFont="1" applyFill="1" applyBorder="1" applyAlignment="1">
      <alignment horizontal="center" vertical="center"/>
    </xf>
    <xf numFmtId="179" fontId="10" fillId="4" borderId="18" xfId="49" applyNumberFormat="1" applyFont="1" applyFill="1" applyBorder="1" applyAlignment="1">
      <alignment horizontal="center" vertical="center"/>
    </xf>
    <xf numFmtId="179" fontId="2" fillId="0" borderId="5" xfId="49" applyNumberFormat="1" applyFont="1" applyFill="1" applyBorder="1" applyAlignment="1">
      <alignment horizontal="center" vertical="center"/>
    </xf>
    <xf numFmtId="179" fontId="2" fillId="0" borderId="15" xfId="49" applyNumberFormat="1" applyFont="1" applyFill="1" applyBorder="1" applyAlignment="1">
      <alignment horizontal="center" vertical="center"/>
    </xf>
    <xf numFmtId="0" fontId="1" fillId="0" borderId="0"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0" borderId="0" xfId="49" applyFont="1" applyFill="1" applyBorder="1" applyAlignment="1">
      <alignment horizontal="center" vertical="center"/>
    </xf>
    <xf numFmtId="0" fontId="1" fillId="0" borderId="0" xfId="49" applyNumberFormat="1" applyFont="1" applyBorder="1" applyAlignment="1">
      <alignment horizontal="center" vertical="center" wrapText="1"/>
    </xf>
    <xf numFmtId="0" fontId="12" fillId="0" borderId="0" xfId="49" applyNumberFormat="1" applyFont="1" applyBorder="1" applyAlignment="1">
      <alignment horizontal="center" vertical="center" wrapText="1"/>
    </xf>
    <xf numFmtId="176" fontId="1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79" fontId="2" fillId="3" borderId="5" xfId="49" applyNumberFormat="1" applyFont="1" applyFill="1" applyBorder="1" applyAlignment="1">
      <alignment horizontal="center" vertical="center"/>
    </xf>
    <xf numFmtId="179" fontId="2" fillId="3" borderId="15" xfId="49" applyNumberFormat="1" applyFont="1" applyFill="1" applyBorder="1" applyAlignment="1">
      <alignment horizontal="center" vertical="center"/>
    </xf>
    <xf numFmtId="179" fontId="1" fillId="3" borderId="8" xfId="49" applyNumberFormat="1" applyFont="1" applyFill="1" applyBorder="1" applyAlignment="1">
      <alignment horizontal="center" vertical="center"/>
    </xf>
    <xf numFmtId="179" fontId="1" fillId="3" borderId="19" xfId="49" applyNumberFormat="1" applyFont="1" applyFill="1" applyBorder="1" applyAlignment="1">
      <alignment horizontal="center" vertical="center"/>
    </xf>
    <xf numFmtId="0" fontId="1" fillId="0" borderId="0" xfId="49" applyFont="1" applyFill="1" applyBorder="1" applyAlignment="1">
      <alignment horizontal="center"/>
    </xf>
    <xf numFmtId="0" fontId="6" fillId="0" borderId="10" xfId="51" applyFont="1" applyFill="1" applyBorder="1" applyAlignment="1">
      <alignment horizontal="center" vertical="center" wrapText="1"/>
    </xf>
    <xf numFmtId="0" fontId="14" fillId="0" borderId="12" xfId="51" applyFont="1" applyFill="1" applyBorder="1" applyAlignment="1">
      <alignment horizontal="center" vertical="center"/>
    </xf>
    <xf numFmtId="0" fontId="14" fillId="3" borderId="12" xfId="51" applyFont="1" applyFill="1" applyBorder="1" applyAlignment="1">
      <alignment horizontal="center" vertical="center"/>
    </xf>
    <xf numFmtId="0" fontId="15" fillId="0" borderId="0" xfId="49" applyNumberFormat="1" applyFont="1" applyFill="1" applyBorder="1" applyAlignment="1">
      <alignment horizontal="center" vertical="center"/>
    </xf>
    <xf numFmtId="0" fontId="0" fillId="0" borderId="12" xfId="0" applyNumberFormat="1" applyFont="1" applyBorder="1" applyAlignment="1">
      <alignment vertical="center"/>
    </xf>
    <xf numFmtId="179" fontId="1" fillId="0" borderId="0" xfId="49" applyNumberFormat="1" applyFont="1" applyAlignment="1">
      <alignment vertical="center"/>
    </xf>
    <xf numFmtId="0" fontId="14" fillId="0" borderId="0" xfId="49" applyNumberFormat="1" applyFont="1" applyFill="1" applyBorder="1" applyAlignment="1">
      <alignment horizontal="left" vertical="center"/>
    </xf>
    <xf numFmtId="0" fontId="6" fillId="0" borderId="0" xfId="49" applyNumberFormat="1" applyFont="1" applyFill="1" applyBorder="1" applyAlignment="1">
      <alignment vertical="center"/>
    </xf>
    <xf numFmtId="0" fontId="16" fillId="0" borderId="0" xfId="49" applyFont="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14" fillId="0" borderId="10" xfId="51" applyFont="1" applyBorder="1" applyAlignment="1">
      <alignment horizontal="center" vertical="center" wrapText="1"/>
    </xf>
    <xf numFmtId="0" fontId="6" fillId="0" borderId="12" xfId="51" applyFont="1" applyFill="1" applyBorder="1" applyAlignment="1">
      <alignment horizontal="center" vertical="center"/>
    </xf>
    <xf numFmtId="0" fontId="9" fillId="0" borderId="12" xfId="51" applyFont="1" applyFill="1" applyBorder="1" applyAlignment="1">
      <alignment horizontal="center" vertical="center"/>
    </xf>
    <xf numFmtId="178" fontId="6" fillId="0" borderId="12" xfId="51" applyNumberFormat="1" applyFont="1" applyFill="1" applyBorder="1" applyAlignment="1">
      <alignment horizontal="center" vertical="center"/>
    </xf>
    <xf numFmtId="0" fontId="6" fillId="4" borderId="12" xfId="51" applyFont="1" applyFill="1" applyBorder="1" applyAlignment="1">
      <alignment horizontal="center" vertical="center"/>
    </xf>
    <xf numFmtId="0" fontId="6" fillId="3" borderId="12" xfId="51" applyFont="1" applyFill="1" applyBorder="1" applyAlignment="1">
      <alignment horizontal="center" vertical="center"/>
    </xf>
    <xf numFmtId="0" fontId="9" fillId="3" borderId="12" xfId="51" applyFont="1" applyFill="1" applyBorder="1" applyAlignment="1">
      <alignment horizontal="center" vertical="center"/>
    </xf>
    <xf numFmtId="178" fontId="6" fillId="3" borderId="12" xfId="51" applyNumberFormat="1" applyFont="1" applyFill="1" applyBorder="1" applyAlignment="1">
      <alignment horizontal="center" vertical="center"/>
    </xf>
    <xf numFmtId="0" fontId="17" fillId="0" borderId="12" xfId="0" applyNumberFormat="1" applyFont="1" applyBorder="1" applyAlignment="1">
      <alignment vertical="center"/>
    </xf>
    <xf numFmtId="0" fontId="0" fillId="0" borderId="12" xfId="0" applyNumberFormat="1" applyFont="1" applyFill="1" applyBorder="1" applyAlignment="1">
      <alignment vertical="center"/>
    </xf>
    <xf numFmtId="179" fontId="1" fillId="0" borderId="0" xfId="49" applyNumberFormat="1" applyFont="1" applyFill="1" applyAlignment="1">
      <alignment vertical="center"/>
    </xf>
    <xf numFmtId="0" fontId="17" fillId="0" borderId="12" xfId="0" applyNumberFormat="1" applyFont="1" applyFill="1" applyBorder="1" applyAlignment="1">
      <alignment vertical="center"/>
    </xf>
    <xf numFmtId="0" fontId="6" fillId="0" borderId="14"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20" xfId="51" applyFont="1" applyFill="1" applyBorder="1" applyAlignment="1">
      <alignment horizontal="center" vertical="center"/>
    </xf>
    <xf numFmtId="0" fontId="14" fillId="0" borderId="0" xfId="51" applyFont="1" applyFill="1" applyBorder="1" applyAlignment="1">
      <alignment horizontal="center" vertical="center"/>
    </xf>
    <xf numFmtId="0" fontId="6" fillId="3" borderId="20" xfId="51" applyFont="1" applyFill="1" applyBorder="1" applyAlignment="1">
      <alignment horizontal="center" vertical="center"/>
    </xf>
    <xf numFmtId="0" fontId="14" fillId="3" borderId="0" xfId="51" applyFont="1" applyFill="1" applyBorder="1" applyAlignment="1">
      <alignment horizontal="center" vertical="center"/>
    </xf>
    <xf numFmtId="0" fontId="6" fillId="3" borderId="16" xfId="51" applyFont="1" applyFill="1" applyBorder="1" applyAlignment="1">
      <alignment horizontal="center" vertical="center"/>
    </xf>
    <xf numFmtId="179" fontId="6" fillId="3" borderId="17" xfId="51" applyNumberFormat="1" applyFont="1" applyFill="1" applyBorder="1" applyAlignment="1">
      <alignment horizontal="center" vertical="center"/>
    </xf>
    <xf numFmtId="0" fontId="8" fillId="3" borderId="17" xfId="51" applyFont="1" applyFill="1" applyBorder="1" applyAlignment="1">
      <alignment horizontal="center" vertical="center"/>
    </xf>
    <xf numFmtId="179" fontId="9" fillId="3" borderId="17" xfId="51" applyNumberFormat="1" applyFont="1" applyFill="1" applyBorder="1" applyAlignment="1">
      <alignment horizontal="center" vertical="center"/>
    </xf>
    <xf numFmtId="176" fontId="8" fillId="3" borderId="17" xfId="51" applyNumberFormat="1" applyFont="1" applyFill="1" applyBorder="1" applyAlignment="1">
      <alignment horizontal="center" vertical="center"/>
    </xf>
    <xf numFmtId="178" fontId="3" fillId="3" borderId="17" xfId="49" applyNumberFormat="1" applyFont="1" applyFill="1" applyBorder="1" applyAlignment="1">
      <alignment horizontal="center" vertical="center"/>
    </xf>
    <xf numFmtId="0" fontId="18" fillId="0" borderId="0" xfId="49" applyNumberFormat="1" applyFont="1" applyFill="1" applyBorder="1" applyAlignment="1">
      <alignment horizontal="center" vertical="center"/>
    </xf>
    <xf numFmtId="176" fontId="1" fillId="0" borderId="0" xfId="49" applyNumberFormat="1" applyFont="1" applyBorder="1" applyAlignment="1">
      <alignment horizontal="center" vertical="center"/>
    </xf>
    <xf numFmtId="0" fontId="1" fillId="0" borderId="0" xfId="49" applyFont="1" applyBorder="1" applyAlignment="1">
      <alignment vertical="center"/>
    </xf>
    <xf numFmtId="176" fontId="1" fillId="0" borderId="0" xfId="49" applyNumberFormat="1" applyFont="1" applyBorder="1" applyAlignment="1">
      <alignment vertical="center"/>
    </xf>
    <xf numFmtId="0" fontId="1" fillId="0" borderId="0" xfId="49" applyFont="1" applyBorder="1" applyAlignment="1">
      <alignment horizontal="center" vertical="center"/>
    </xf>
    <xf numFmtId="178" fontId="3" fillId="0" borderId="0" xfId="49" applyNumberFormat="1" applyFont="1" applyFill="1" applyBorder="1" applyAlignment="1">
      <alignment horizontal="center" vertical="center"/>
    </xf>
    <xf numFmtId="0" fontId="1" fillId="0" borderId="0" xfId="49" applyAlignment="1">
      <alignment horizontal="center"/>
    </xf>
    <xf numFmtId="0" fontId="1" fillId="4" borderId="0" xfId="49" applyFont="1" applyFill="1" applyAlignment="1">
      <alignment horizontal="center" vertical="center"/>
    </xf>
    <xf numFmtId="0" fontId="6" fillId="0" borderId="2" xfId="49" applyNumberFormat="1" applyFont="1" applyFill="1" applyBorder="1" applyAlignment="1">
      <alignment horizontal="center" vertical="center" wrapText="1"/>
    </xf>
    <xf numFmtId="0" fontId="6" fillId="0" borderId="5" xfId="49" applyNumberFormat="1" applyFont="1" applyFill="1" applyBorder="1" applyAlignment="1">
      <alignment horizontal="center" vertical="center" wrapText="1"/>
    </xf>
    <xf numFmtId="0" fontId="1" fillId="5" borderId="4" xfId="49" applyFont="1" applyFill="1" applyBorder="1" applyAlignment="1">
      <alignment horizontal="center" vertical="center"/>
    </xf>
    <xf numFmtId="0" fontId="1" fillId="5" borderId="5" xfId="49" applyFont="1" applyFill="1" applyBorder="1" applyAlignment="1">
      <alignment horizontal="center" vertical="center"/>
    </xf>
    <xf numFmtId="179" fontId="6" fillId="6" borderId="5" xfId="49" applyNumberFormat="1" applyFont="1" applyFill="1" applyBorder="1" applyAlignment="1">
      <alignment horizontal="center" vertical="center"/>
    </xf>
    <xf numFmtId="0" fontId="6" fillId="5" borderId="5" xfId="49" applyFont="1" applyFill="1" applyBorder="1" applyAlignment="1">
      <alignment horizontal="center" vertical="center"/>
    </xf>
    <xf numFmtId="179" fontId="1" fillId="5" borderId="4" xfId="49" applyNumberFormat="1" applyFont="1" applyFill="1" applyBorder="1" applyAlignment="1">
      <alignment horizontal="center" vertical="center"/>
    </xf>
    <xf numFmtId="178" fontId="6" fillId="6" borderId="5" xfId="49" applyNumberFormat="1" applyFont="1" applyFill="1" applyBorder="1" applyAlignment="1">
      <alignment horizontal="center" vertical="center"/>
    </xf>
    <xf numFmtId="178" fontId="1" fillId="5" borderId="4" xfId="49" applyNumberFormat="1" applyFont="1" applyFill="1" applyBorder="1" applyAlignment="1">
      <alignment horizontal="center" vertical="center"/>
    </xf>
    <xf numFmtId="0" fontId="1" fillId="5" borderId="5" xfId="49" applyFont="1" applyFill="1" applyBorder="1" applyAlignment="1">
      <alignment vertical="center"/>
    </xf>
    <xf numFmtId="179" fontId="1" fillId="5" borderId="21" xfId="49" applyNumberFormat="1" applyFont="1" applyFill="1" applyBorder="1" applyAlignment="1">
      <alignment horizontal="center" vertical="center"/>
    </xf>
    <xf numFmtId="0" fontId="1" fillId="5" borderId="22" xfId="49" applyFont="1" applyFill="1" applyBorder="1" applyAlignment="1">
      <alignment horizontal="center" vertical="center"/>
    </xf>
    <xf numFmtId="178" fontId="6" fillId="5" borderId="5" xfId="49" applyNumberFormat="1" applyFont="1" applyFill="1" applyBorder="1" applyAlignment="1">
      <alignment horizontal="center" vertical="center"/>
    </xf>
    <xf numFmtId="179" fontId="11" fillId="7" borderId="23" xfId="49" applyNumberFormat="1" applyFont="1" applyFill="1" applyBorder="1" applyAlignment="1">
      <alignment horizontal="center" vertical="center"/>
    </xf>
    <xf numFmtId="179" fontId="11" fillId="7" borderId="24" xfId="49" applyNumberFormat="1" applyFont="1" applyFill="1" applyBorder="1" applyAlignment="1">
      <alignment horizontal="center" vertical="center"/>
    </xf>
    <xf numFmtId="179" fontId="11" fillId="7" borderId="25" xfId="49" applyNumberFormat="1" applyFont="1" applyFill="1" applyBorder="1" applyAlignment="1">
      <alignment horizontal="center" vertical="center"/>
    </xf>
    <xf numFmtId="0" fontId="1" fillId="5" borderId="26" xfId="49" applyFont="1" applyFill="1" applyBorder="1" applyAlignment="1">
      <alignment horizontal="center" vertical="center"/>
    </xf>
    <xf numFmtId="179" fontId="11" fillId="7" borderId="4" xfId="49" applyNumberFormat="1" applyFont="1" applyFill="1" applyBorder="1" applyAlignment="1">
      <alignment horizontal="center" vertical="center"/>
    </xf>
    <xf numFmtId="0" fontId="11" fillId="7" borderId="5" xfId="49" applyFont="1" applyFill="1" applyBorder="1" applyAlignment="1">
      <alignment horizontal="center" vertical="center"/>
    </xf>
    <xf numFmtId="0" fontId="11" fillId="4" borderId="15" xfId="49" applyFont="1" applyFill="1" applyBorder="1" applyAlignment="1">
      <alignment horizontal="center" vertical="center"/>
    </xf>
    <xf numFmtId="0" fontId="11" fillId="7" borderId="7" xfId="49" applyFont="1" applyFill="1" applyBorder="1" applyAlignment="1">
      <alignment horizontal="center" vertical="center"/>
    </xf>
    <xf numFmtId="179" fontId="11" fillId="7" borderId="8" xfId="49" applyNumberFormat="1" applyFont="1" applyFill="1" applyBorder="1" applyAlignment="1">
      <alignment horizontal="center" vertical="center"/>
    </xf>
    <xf numFmtId="179" fontId="11" fillId="7" borderId="19" xfId="49" applyNumberFormat="1" applyFont="1" applyFill="1" applyBorder="1" applyAlignment="1">
      <alignment horizontal="center" vertical="center"/>
    </xf>
    <xf numFmtId="178" fontId="1" fillId="5" borderId="27" xfId="49" applyNumberFormat="1" applyFont="1" applyFill="1" applyBorder="1" applyAlignment="1">
      <alignment horizontal="center" vertical="center"/>
    </xf>
    <xf numFmtId="0" fontId="1" fillId="4" borderId="0" xfId="49" applyFont="1" applyFill="1" applyAlignment="1">
      <alignment vertical="center"/>
    </xf>
    <xf numFmtId="0" fontId="14" fillId="3" borderId="17" xfId="51" applyFont="1" applyFill="1" applyBorder="1" applyAlignment="1">
      <alignment horizontal="center" vertical="center"/>
    </xf>
    <xf numFmtId="0" fontId="1" fillId="0" borderId="0" xfId="49" applyFill="1" applyAlignment="1">
      <alignment horizontal="center"/>
    </xf>
    <xf numFmtId="0" fontId="3" fillId="0" borderId="13" xfId="49" applyFont="1" applyFill="1" applyBorder="1" applyAlignment="1">
      <alignment horizontal="center" vertical="center"/>
    </xf>
    <xf numFmtId="0" fontId="1" fillId="0" borderId="1" xfId="49" applyNumberFormat="1" applyFont="1" applyBorder="1" applyAlignment="1">
      <alignment horizontal="center" vertical="center"/>
    </xf>
    <xf numFmtId="0" fontId="1" fillId="0" borderId="2" xfId="49" applyFont="1" applyBorder="1" applyAlignment="1">
      <alignment horizontal="center" vertical="center" wrapText="1"/>
    </xf>
    <xf numFmtId="0" fontId="3" fillId="0" borderId="15" xfId="49" applyFont="1" applyFill="1" applyBorder="1" applyAlignment="1">
      <alignment horizontal="center" vertical="center"/>
    </xf>
    <xf numFmtId="0" fontId="1" fillId="0" borderId="4" xfId="49" applyNumberFormat="1" applyFont="1" applyBorder="1" applyAlignment="1">
      <alignment horizontal="center" vertical="center"/>
    </xf>
    <xf numFmtId="0" fontId="1" fillId="0" borderId="5" xfId="49" applyFont="1" applyBorder="1" applyAlignment="1">
      <alignment horizontal="center" vertical="center" wrapText="1"/>
    </xf>
    <xf numFmtId="0" fontId="1" fillId="0" borderId="15" xfId="49" applyFont="1" applyFill="1" applyBorder="1" applyAlignment="1">
      <alignment horizontal="center" vertical="center"/>
    </xf>
    <xf numFmtId="1" fontId="1" fillId="6" borderId="5" xfId="49" applyNumberFormat="1" applyFont="1" applyFill="1" applyBorder="1" applyAlignment="1">
      <alignment horizontal="center" vertical="center"/>
    </xf>
    <xf numFmtId="0" fontId="1" fillId="0" borderId="5" xfId="49" applyFont="1" applyBorder="1" applyAlignment="1">
      <alignment vertical="center"/>
    </xf>
    <xf numFmtId="177" fontId="19" fillId="0" borderId="5" xfId="49" applyNumberFormat="1" applyFont="1" applyBorder="1" applyAlignment="1">
      <alignment horizontal="center" vertical="center"/>
    </xf>
    <xf numFmtId="178" fontId="1" fillId="8" borderId="5" xfId="49" applyNumberFormat="1" applyFont="1" applyFill="1" applyBorder="1" applyAlignment="1">
      <alignment horizontal="center" vertical="center"/>
    </xf>
    <xf numFmtId="179" fontId="1" fillId="0" borderId="5" xfId="49" applyNumberFormat="1" applyFont="1" applyBorder="1" applyAlignment="1">
      <alignment horizontal="center" vertical="center"/>
    </xf>
    <xf numFmtId="179" fontId="6" fillId="0" borderId="15" xfId="49" applyNumberFormat="1" applyFont="1" applyFill="1" applyBorder="1" applyAlignment="1">
      <alignment horizontal="center" vertical="center"/>
    </xf>
    <xf numFmtId="1" fontId="1" fillId="0" borderId="5" xfId="49" applyNumberFormat="1" applyFont="1" applyFill="1" applyBorder="1" applyAlignment="1">
      <alignment horizontal="center" vertical="center"/>
    </xf>
    <xf numFmtId="0" fontId="1" fillId="8" borderId="5" xfId="49" applyFont="1" applyFill="1" applyBorder="1" applyAlignment="1">
      <alignment horizontal="center" vertical="center"/>
    </xf>
    <xf numFmtId="179" fontId="19" fillId="0" borderId="5" xfId="49" applyNumberFormat="1" applyFont="1" applyBorder="1" applyAlignment="1">
      <alignment horizontal="center" vertical="center"/>
    </xf>
    <xf numFmtId="178" fontId="6" fillId="0" borderId="15" xfId="49" applyNumberFormat="1" applyFont="1" applyFill="1" applyBorder="1" applyAlignment="1">
      <alignment horizontal="center" vertical="center"/>
    </xf>
    <xf numFmtId="0" fontId="6" fillId="0" borderId="5" xfId="49" applyFont="1" applyBorder="1" applyAlignment="1">
      <alignment horizontal="center" vertical="center"/>
    </xf>
    <xf numFmtId="0" fontId="1" fillId="0" borderId="28" xfId="49" applyFont="1" applyFill="1" applyBorder="1" applyAlignment="1">
      <alignment horizontal="center" vertical="center"/>
    </xf>
    <xf numFmtId="178" fontId="1" fillId="0" borderId="0" xfId="49" applyNumberFormat="1" applyFont="1" applyBorder="1" applyAlignment="1">
      <alignment horizontal="center" vertical="center" wrapText="1"/>
    </xf>
    <xf numFmtId="0" fontId="1" fillId="7" borderId="5" xfId="49" applyFont="1" applyFill="1" applyBorder="1" applyAlignment="1">
      <alignment horizontal="center" vertical="center"/>
    </xf>
    <xf numFmtId="179" fontId="1" fillId="0" borderId="19" xfId="49" applyNumberFormat="1" applyFont="1" applyFill="1" applyBorder="1" applyAlignment="1">
      <alignment horizontal="center" vertical="center"/>
    </xf>
    <xf numFmtId="179" fontId="1" fillId="0" borderId="7" xfId="49" applyNumberFormat="1" applyFont="1" applyBorder="1" applyAlignment="1">
      <alignment horizontal="center" vertical="center"/>
    </xf>
    <xf numFmtId="0" fontId="1" fillId="0" borderId="8" xfId="49" applyFont="1" applyBorder="1" applyAlignment="1">
      <alignment horizontal="center" vertical="center"/>
    </xf>
    <xf numFmtId="0" fontId="6" fillId="3" borderId="17" xfId="51" applyFont="1" applyFill="1" applyBorder="1" applyAlignment="1">
      <alignment horizontal="center" vertical="center"/>
    </xf>
    <xf numFmtId="0" fontId="9" fillId="3" borderId="17" xfId="51" applyFont="1" applyFill="1" applyBorder="1" applyAlignment="1">
      <alignment horizontal="center" vertical="center"/>
    </xf>
    <xf numFmtId="178" fontId="6" fillId="3" borderId="17" xfId="51" applyNumberFormat="1" applyFont="1" applyFill="1" applyBorder="1" applyAlignment="1">
      <alignment horizontal="center" vertical="center"/>
    </xf>
    <xf numFmtId="0" fontId="9" fillId="0" borderId="0" xfId="51" applyFont="1" applyBorder="1" applyAlignment="1">
      <alignment horizontal="center" vertical="center"/>
    </xf>
    <xf numFmtId="176" fontId="1" fillId="0" borderId="29" xfId="49" applyNumberFormat="1" applyFont="1" applyBorder="1" applyAlignment="1">
      <alignment horizontal="center" vertical="center" wrapText="1"/>
    </xf>
    <xf numFmtId="0" fontId="1" fillId="0" borderId="30" xfId="49" applyFont="1" applyBorder="1" applyAlignment="1">
      <alignment horizontal="center" vertical="center"/>
    </xf>
    <xf numFmtId="0" fontId="1" fillId="0" borderId="31" xfId="49" applyFont="1" applyBorder="1" applyAlignment="1">
      <alignment horizontal="center" vertical="center"/>
    </xf>
    <xf numFmtId="0" fontId="1" fillId="0" borderId="32" xfId="49" applyFont="1" applyBorder="1" applyAlignment="1">
      <alignment horizontal="center" vertical="center"/>
    </xf>
    <xf numFmtId="176" fontId="1" fillId="0" borderId="33" xfId="49" applyNumberFormat="1" applyFont="1" applyBorder="1" applyAlignment="1">
      <alignment horizontal="center" vertical="center" wrapText="1"/>
    </xf>
    <xf numFmtId="0" fontId="1" fillId="0" borderId="34" xfId="49" applyFont="1" applyBorder="1" applyAlignment="1">
      <alignment horizontal="center" vertical="center"/>
    </xf>
    <xf numFmtId="0" fontId="1" fillId="0" borderId="35" xfId="49" applyFont="1" applyBorder="1" applyAlignment="1">
      <alignment horizontal="center" vertical="center"/>
    </xf>
    <xf numFmtId="0" fontId="1" fillId="0" borderId="36" xfId="49" applyFont="1" applyBorder="1" applyAlignment="1">
      <alignment horizontal="center" vertical="center"/>
    </xf>
    <xf numFmtId="179" fontId="1" fillId="0" borderId="33" xfId="49" applyNumberFormat="1" applyFont="1" applyBorder="1" applyAlignment="1">
      <alignment horizontal="center" vertical="center"/>
    </xf>
    <xf numFmtId="179" fontId="1" fillId="0" borderId="4" xfId="49" applyNumberFormat="1" applyFont="1" applyBorder="1" applyAlignment="1">
      <alignment horizontal="center" vertical="center"/>
    </xf>
    <xf numFmtId="176" fontId="1" fillId="9" borderId="15" xfId="49" applyNumberFormat="1" applyFont="1" applyFill="1" applyBorder="1" applyAlignment="1">
      <alignment horizontal="center" vertical="center"/>
    </xf>
    <xf numFmtId="179" fontId="1" fillId="10" borderId="0" xfId="49" applyNumberFormat="1" applyFont="1" applyFill="1" applyAlignment="1">
      <alignment horizontal="center" vertical="center"/>
    </xf>
    <xf numFmtId="180" fontId="1" fillId="0" borderId="0" xfId="49" applyNumberFormat="1" applyFont="1" applyAlignment="1">
      <alignment vertical="center"/>
    </xf>
    <xf numFmtId="179" fontId="1" fillId="0" borderId="4" xfId="49" applyNumberFormat="1" applyFont="1" applyFill="1" applyBorder="1" applyAlignment="1">
      <alignment horizontal="center" vertical="center"/>
    </xf>
    <xf numFmtId="179" fontId="1" fillId="0" borderId="5" xfId="49" applyNumberFormat="1" applyFont="1" applyFill="1" applyBorder="1" applyAlignment="1">
      <alignment horizontal="center" vertical="center"/>
    </xf>
    <xf numFmtId="178" fontId="1" fillId="9" borderId="15" xfId="49" applyNumberFormat="1" applyFont="1" applyFill="1" applyBorder="1" applyAlignment="1">
      <alignment horizontal="center" vertical="center"/>
    </xf>
    <xf numFmtId="179" fontId="1" fillId="9" borderId="4" xfId="49" applyNumberFormat="1" applyFont="1" applyFill="1" applyBorder="1" applyAlignment="1">
      <alignment horizontal="center" vertical="center"/>
    </xf>
    <xf numFmtId="176" fontId="1" fillId="0" borderId="15" xfId="49" applyNumberFormat="1" applyFont="1" applyBorder="1" applyAlignment="1">
      <alignment vertical="center"/>
    </xf>
    <xf numFmtId="179" fontId="1" fillId="0" borderId="0" xfId="49" applyNumberFormat="1" applyFont="1" applyFill="1" applyAlignment="1">
      <alignment horizontal="center" vertical="center"/>
    </xf>
    <xf numFmtId="0" fontId="1" fillId="0" borderId="37" xfId="49" applyFont="1" applyBorder="1" applyAlignment="1">
      <alignment horizontal="center" vertical="center"/>
    </xf>
    <xf numFmtId="0" fontId="1" fillId="0" borderId="7" xfId="49" applyFont="1" applyBorder="1" applyAlignment="1">
      <alignment horizontal="center" vertical="center"/>
    </xf>
    <xf numFmtId="0" fontId="1" fillId="0" borderId="19" xfId="49" applyFont="1" applyBorder="1" applyAlignment="1">
      <alignment vertical="center"/>
    </xf>
    <xf numFmtId="0" fontId="6" fillId="3" borderId="18" xfId="51" applyFont="1" applyFill="1" applyBorder="1" applyAlignment="1">
      <alignment horizontal="center" vertical="center"/>
    </xf>
    <xf numFmtId="0" fontId="1" fillId="0" borderId="0" xfId="49" applyFont="1" applyAlignment="1">
      <alignment horizontal="center"/>
    </xf>
    <xf numFmtId="0" fontId="1" fillId="11" borderId="0" xfId="49" applyFont="1" applyFill="1" applyAlignment="1">
      <alignment horizontal="center" vertical="center"/>
    </xf>
    <xf numFmtId="0" fontId="1" fillId="11" borderId="0" xfId="49" applyFont="1" applyFill="1" applyAlignment="1">
      <alignment vertical="center"/>
    </xf>
    <xf numFmtId="178" fontId="1" fillId="12" borderId="5" xfId="49" applyNumberFormat="1" applyFont="1" applyFill="1" applyBorder="1" applyAlignment="1">
      <alignment horizontal="center" vertical="center"/>
    </xf>
    <xf numFmtId="0" fontId="1" fillId="0" borderId="0" xfId="49" applyFont="1" applyFill="1" applyAlignment="1">
      <alignment horizontal="center" vertical="center"/>
    </xf>
    <xf numFmtId="0" fontId="1" fillId="2" borderId="0" xfId="49" applyFont="1" applyFill="1" applyAlignment="1">
      <alignment vertical="center"/>
    </xf>
    <xf numFmtId="0" fontId="11" fillId="7" borderId="0" xfId="49" applyFont="1" applyFill="1" applyAlignment="1">
      <alignment horizontal="center" vertical="center"/>
    </xf>
    <xf numFmtId="179" fontId="11" fillId="7" borderId="0" xfId="49" applyNumberFormat="1" applyFont="1" applyFill="1" applyAlignment="1">
      <alignment horizontal="center" vertical="center"/>
    </xf>
    <xf numFmtId="178" fontId="1" fillId="5" borderId="0" xfId="49" applyNumberFormat="1" applyFont="1" applyFill="1" applyAlignment="1">
      <alignment horizontal="center" vertical="center"/>
    </xf>
    <xf numFmtId="179" fontId="1" fillId="0" borderId="0" xfId="49" applyNumberFormat="1" applyFont="1" applyAlignment="1">
      <alignment horizontal="center" vertical="center"/>
    </xf>
    <xf numFmtId="0" fontId="1" fillId="0" borderId="38" xfId="49" applyNumberFormat="1" applyFont="1" applyBorder="1" applyAlignment="1">
      <alignment horizontal="center" vertical="center"/>
    </xf>
    <xf numFmtId="0" fontId="20" fillId="0" borderId="11" xfId="49" applyFont="1" applyBorder="1" applyAlignment="1">
      <alignment horizontal="center" vertical="center"/>
    </xf>
    <xf numFmtId="0" fontId="1" fillId="0" borderId="11" xfId="49" applyFont="1" applyBorder="1" applyAlignment="1">
      <alignment horizontal="center" vertical="center"/>
    </xf>
    <xf numFmtId="0" fontId="1" fillId="0" borderId="16" xfId="49" applyFont="1" applyBorder="1" applyAlignment="1">
      <alignment horizontal="center" vertical="center"/>
    </xf>
    <xf numFmtId="0" fontId="1" fillId="0" borderId="0" xfId="49" applyAlignment="1">
      <alignment vertical="center"/>
    </xf>
    <xf numFmtId="0" fontId="1" fillId="0" borderId="39" xfId="49" applyNumberFormat="1" applyFont="1" applyFill="1" applyBorder="1" applyAlignment="1">
      <alignment horizontal="center" vertical="center"/>
    </xf>
    <xf numFmtId="0" fontId="1" fillId="0" borderId="39" xfId="49" applyNumberFormat="1" applyFont="1" applyBorder="1" applyAlignment="1">
      <alignment horizontal="center" vertical="center"/>
    </xf>
    <xf numFmtId="0" fontId="1" fillId="0" borderId="40" xfId="49" applyNumberFormat="1" applyFont="1" applyBorder="1" applyAlignment="1">
      <alignment horizontal="center" vertical="center"/>
    </xf>
    <xf numFmtId="179" fontId="21" fillId="0" borderId="12" xfId="49" applyNumberFormat="1" applyFont="1" applyFill="1" applyBorder="1" applyAlignment="1">
      <alignment horizontal="center" vertical="center"/>
    </xf>
    <xf numFmtId="0" fontId="21" fillId="7" borderId="12" xfId="49" applyFont="1" applyFill="1" applyBorder="1" applyAlignment="1">
      <alignment horizontal="center" vertical="center"/>
    </xf>
    <xf numFmtId="0" fontId="21" fillId="7" borderId="20" xfId="49" applyFont="1" applyFill="1" applyBorder="1" applyAlignment="1">
      <alignment horizontal="center" vertical="center"/>
    </xf>
    <xf numFmtId="0" fontId="1" fillId="13" borderId="12" xfId="49" applyFont="1" applyFill="1" applyBorder="1" applyAlignment="1">
      <alignment horizontal="center" vertical="center"/>
    </xf>
    <xf numFmtId="0" fontId="1" fillId="13" borderId="20" xfId="49" applyFont="1" applyFill="1" applyBorder="1" applyAlignment="1">
      <alignment horizontal="center" vertical="center"/>
    </xf>
    <xf numFmtId="0" fontId="1" fillId="13" borderId="12" xfId="49" applyFill="1" applyBorder="1" applyAlignment="1">
      <alignment horizontal="center" vertical="center"/>
    </xf>
    <xf numFmtId="0" fontId="1" fillId="13" borderId="20" xfId="49" applyFill="1" applyBorder="1" applyAlignment="1">
      <alignment horizontal="center" vertical="center"/>
    </xf>
    <xf numFmtId="179" fontId="1" fillId="2" borderId="0" xfId="49" applyNumberFormat="1" applyFont="1" applyFill="1" applyAlignment="1">
      <alignment vertical="center"/>
    </xf>
    <xf numFmtId="0" fontId="1" fillId="0" borderId="12" xfId="49" applyFont="1" applyFill="1" applyBorder="1" applyAlignment="1">
      <alignment horizontal="center" vertical="center"/>
    </xf>
    <xf numFmtId="0" fontId="1" fillId="0" borderId="12" xfId="49" applyFont="1" applyBorder="1" applyAlignment="1">
      <alignment horizontal="center" vertical="center"/>
    </xf>
    <xf numFmtId="0" fontId="1" fillId="0" borderId="20" xfId="49" applyFont="1" applyBorder="1" applyAlignment="1">
      <alignment horizontal="center" vertical="center"/>
    </xf>
    <xf numFmtId="179" fontId="1" fillId="4" borderId="0" xfId="49" applyNumberFormat="1" applyFont="1" applyFill="1" applyAlignment="1">
      <alignment vertical="center"/>
    </xf>
    <xf numFmtId="0" fontId="1" fillId="0" borderId="17" xfId="49" applyFont="1" applyFill="1" applyBorder="1" applyAlignment="1">
      <alignment horizontal="center" vertical="center"/>
    </xf>
    <xf numFmtId="0" fontId="22" fillId="0" borderId="0" xfId="50" applyFont="1" applyFill="1" applyAlignment="1">
      <alignment vertical="center"/>
    </xf>
    <xf numFmtId="0" fontId="22" fillId="0" borderId="9" xfId="50" applyFont="1" applyFill="1" applyBorder="1" applyAlignment="1">
      <alignment horizontal="center" vertical="center"/>
    </xf>
    <xf numFmtId="0" fontId="22" fillId="0" borderId="10" xfId="50" applyFont="1" applyFill="1" applyBorder="1" applyAlignment="1">
      <alignment horizontal="center" vertical="center"/>
    </xf>
    <xf numFmtId="0" fontId="0" fillId="4" borderId="11" xfId="0" applyFont="1" applyFill="1" applyBorder="1" applyAlignment="1">
      <alignment horizontal="center" vertical="center"/>
    </xf>
    <xf numFmtId="179" fontId="22" fillId="0" borderId="12" xfId="50" applyNumberFormat="1" applyFont="1" applyFill="1" applyBorder="1" applyAlignment="1">
      <alignment horizontal="center" vertical="center"/>
    </xf>
    <xf numFmtId="0" fontId="0" fillId="11" borderId="11" xfId="0" applyFont="1" applyFill="1" applyBorder="1" applyAlignment="1">
      <alignment horizontal="center" vertical="center"/>
    </xf>
    <xf numFmtId="0" fontId="0" fillId="0" borderId="11" xfId="0" applyFont="1" applyFill="1" applyBorder="1" applyAlignment="1">
      <alignment horizontal="center" vertical="center"/>
    </xf>
    <xf numFmtId="0" fontId="23" fillId="14" borderId="0" xfId="50" applyFont="1" applyFill="1" applyAlignment="1">
      <alignment horizontal="center" vertical="center"/>
    </xf>
    <xf numFmtId="0" fontId="19" fillId="0" borderId="0" xfId="50" applyFont="1" applyFill="1" applyAlignment="1">
      <alignment vertical="center"/>
    </xf>
    <xf numFmtId="0" fontId="0" fillId="3" borderId="11" xfId="0" applyFont="1" applyFill="1" applyBorder="1" applyAlignment="1">
      <alignment horizontal="center" vertical="center"/>
    </xf>
    <xf numFmtId="179" fontId="22" fillId="3" borderId="12" xfId="50" applyNumberFormat="1" applyFont="1" applyFill="1" applyBorder="1" applyAlignment="1">
      <alignment horizontal="center" vertical="center"/>
    </xf>
    <xf numFmtId="0" fontId="24" fillId="0" borderId="5" xfId="50" applyFont="1" applyFill="1" applyBorder="1" applyAlignment="1">
      <alignment horizontal="center" vertical="center"/>
    </xf>
    <xf numFmtId="0" fontId="24" fillId="0" borderId="5" xfId="50" applyFont="1" applyFill="1" applyBorder="1" applyAlignment="1">
      <alignment vertical="center"/>
    </xf>
    <xf numFmtId="181" fontId="25" fillId="14" borderId="5" xfId="50" applyNumberFormat="1" applyFont="1" applyFill="1" applyBorder="1" applyAlignment="1">
      <alignment vertical="center"/>
    </xf>
    <xf numFmtId="181" fontId="24" fillId="14" borderId="5" xfId="50" applyNumberFormat="1" applyFont="1" applyFill="1" applyBorder="1" applyAlignment="1">
      <alignment vertical="center"/>
    </xf>
    <xf numFmtId="0" fontId="24" fillId="0" borderId="0" xfId="50" applyFont="1" applyFill="1" applyAlignment="1">
      <alignment vertical="center"/>
    </xf>
    <xf numFmtId="0" fontId="0" fillId="3" borderId="16" xfId="0" applyFont="1" applyFill="1" applyBorder="1" applyAlignment="1">
      <alignment horizontal="center" vertical="center"/>
    </xf>
    <xf numFmtId="179" fontId="22" fillId="3" borderId="17" xfId="50" applyNumberFormat="1" applyFont="1" applyFill="1" applyBorder="1" applyAlignment="1">
      <alignment horizontal="center" vertical="center"/>
    </xf>
    <xf numFmtId="0" fontId="24" fillId="0" borderId="0" xfId="50" applyFont="1" applyFill="1" applyAlignment="1">
      <alignment horizontal="center" vertical="center"/>
    </xf>
    <xf numFmtId="0" fontId="25" fillId="0" borderId="5" xfId="50" applyFont="1" applyFill="1" applyBorder="1" applyAlignment="1">
      <alignment vertical="center"/>
    </xf>
    <xf numFmtId="0" fontId="26" fillId="0" borderId="41" xfId="50" applyFont="1" applyFill="1" applyBorder="1" applyAlignment="1">
      <alignment horizontal="center" vertical="center"/>
    </xf>
    <xf numFmtId="0" fontId="24" fillId="0" borderId="42" xfId="50" applyFont="1" applyFill="1" applyBorder="1" applyAlignment="1">
      <alignment horizontal="center" vertical="center"/>
    </xf>
    <xf numFmtId="0" fontId="24" fillId="0" borderId="10" xfId="50" applyFont="1" applyFill="1" applyBorder="1" applyAlignment="1">
      <alignment horizontal="center" vertical="center"/>
    </xf>
    <xf numFmtId="176" fontId="24" fillId="0" borderId="43" xfId="50" applyNumberFormat="1" applyFont="1" applyFill="1" applyBorder="1" applyAlignment="1">
      <alignment horizontal="center" vertical="center"/>
    </xf>
    <xf numFmtId="176" fontId="24" fillId="0" borderId="12" xfId="50" applyNumberFormat="1" applyFont="1" applyFill="1" applyBorder="1" applyAlignment="1">
      <alignment horizontal="center" vertical="center"/>
    </xf>
    <xf numFmtId="176" fontId="24" fillId="0" borderId="44" xfId="50" applyNumberFormat="1" applyFont="1" applyFill="1" applyBorder="1" applyAlignment="1">
      <alignment horizontal="center" vertical="center"/>
    </xf>
    <xf numFmtId="176" fontId="24" fillId="0" borderId="17" xfId="50" applyNumberFormat="1" applyFont="1" applyFill="1" applyBorder="1" applyAlignment="1">
      <alignment horizontal="center" vertical="center"/>
    </xf>
    <xf numFmtId="0" fontId="19" fillId="0" borderId="0" xfId="50" applyFont="1" applyFill="1" applyAlignment="1">
      <alignment horizontal="left" vertical="center"/>
    </xf>
    <xf numFmtId="0" fontId="24" fillId="0" borderId="5" xfId="50" applyFont="1" applyFill="1" applyBorder="1" applyAlignment="1">
      <alignment horizontal="center" vertical="center" wrapText="1"/>
    </xf>
    <xf numFmtId="0" fontId="15" fillId="0" borderId="5" xfId="50" applyFont="1" applyFill="1" applyBorder="1" applyAlignment="1"/>
    <xf numFmtId="0" fontId="25" fillId="0" borderId="5" xfId="50" applyFont="1" applyFill="1" applyBorder="1" applyAlignment="1" applyProtection="1">
      <protection locked="0"/>
    </xf>
    <xf numFmtId="0" fontId="24" fillId="0" borderId="45" xfId="50" applyFont="1" applyFill="1" applyBorder="1" applyAlignment="1">
      <alignment vertical="center"/>
    </xf>
    <xf numFmtId="0" fontId="15" fillId="0" borderId="33" xfId="50" applyFont="1" applyFill="1" applyBorder="1" applyAlignment="1">
      <alignment horizontal="center"/>
    </xf>
    <xf numFmtId="0" fontId="15" fillId="0" borderId="46" xfId="50" applyFont="1" applyFill="1" applyBorder="1" applyAlignment="1">
      <alignment horizontal="center"/>
    </xf>
    <xf numFmtId="184" fontId="24" fillId="0" borderId="5" xfId="50" applyNumberFormat="1" applyFont="1" applyFill="1" applyBorder="1" applyAlignment="1">
      <alignment vertical="center"/>
    </xf>
    <xf numFmtId="0" fontId="24" fillId="0" borderId="33" xfId="50" applyFont="1" applyFill="1" applyBorder="1" applyAlignment="1">
      <alignment horizontal="center" vertical="center"/>
    </xf>
    <xf numFmtId="0" fontId="24" fillId="0" borderId="26" xfId="50" applyFont="1" applyFill="1" applyBorder="1" applyAlignment="1">
      <alignment horizontal="center" vertical="center"/>
    </xf>
    <xf numFmtId="0" fontId="24" fillId="0" borderId="46" xfId="50" applyFont="1" applyFill="1" applyBorder="1" applyAlignment="1">
      <alignment horizontal="center" vertical="center"/>
    </xf>
    <xf numFmtId="0" fontId="15" fillId="0" borderId="33" xfId="50" applyFont="1" applyFill="1" applyBorder="1" applyAlignment="1">
      <alignment horizontal="left"/>
    </xf>
    <xf numFmtId="0" fontId="15" fillId="0" borderId="46" xfId="50" applyFont="1" applyFill="1" applyBorder="1" applyAlignment="1">
      <alignment horizontal="left"/>
    </xf>
    <xf numFmtId="183" fontId="24" fillId="0" borderId="5" xfId="50" applyNumberFormat="1" applyFont="1" applyFill="1" applyBorder="1" applyAlignment="1">
      <alignment vertical="center"/>
    </xf>
    <xf numFmtId="184" fontId="22" fillId="0" borderId="14" xfId="50" applyNumberFormat="1" applyFont="1" applyFill="1" applyBorder="1" applyAlignment="1">
      <alignment horizontal="center" vertical="center"/>
    </xf>
    <xf numFmtId="0" fontId="22" fillId="0" borderId="0" xfId="50" applyFont="1" applyFill="1" applyBorder="1" applyAlignment="1">
      <alignment horizontal="center" vertical="center"/>
    </xf>
    <xf numFmtId="179" fontId="0" fillId="0" borderId="12" xfId="0" applyNumberFormat="1" applyFont="1" applyFill="1" applyBorder="1" applyAlignment="1">
      <alignment horizontal="center" vertical="center"/>
    </xf>
    <xf numFmtId="179" fontId="27" fillId="0" borderId="12" xfId="0" applyNumberFormat="1" applyFont="1" applyFill="1" applyBorder="1" applyAlignment="1">
      <alignment horizontal="center" vertical="center" wrapText="1"/>
    </xf>
    <xf numFmtId="178" fontId="28" fillId="4" borderId="20" xfId="50" applyNumberFormat="1" applyFont="1" applyFill="1" applyBorder="1" applyAlignment="1">
      <alignment vertical="center"/>
    </xf>
    <xf numFmtId="0" fontId="0" fillId="0" borderId="0" xfId="0" applyFont="1" applyFill="1" applyBorder="1" applyAlignment="1">
      <alignment horizontal="center" vertical="center"/>
    </xf>
    <xf numFmtId="178" fontId="22" fillId="4" borderId="20" xfId="50" applyNumberFormat="1" applyFont="1" applyFill="1" applyBorder="1" applyAlignment="1">
      <alignment vertical="center"/>
    </xf>
    <xf numFmtId="178" fontId="6" fillId="4" borderId="20" xfId="50" applyNumberFormat="1" applyFont="1" applyFill="1" applyBorder="1" applyAlignment="1">
      <alignment vertical="center"/>
    </xf>
    <xf numFmtId="0" fontId="0" fillId="4" borderId="0" xfId="0" applyFont="1" applyFill="1" applyBorder="1" applyAlignment="1">
      <alignment horizontal="center" vertical="center"/>
    </xf>
    <xf numFmtId="0" fontId="17" fillId="0" borderId="0" xfId="0" applyNumberFormat="1" applyFont="1" applyBorder="1" applyAlignment="1">
      <alignment vertical="center"/>
    </xf>
    <xf numFmtId="184" fontId="0" fillId="0" borderId="0" xfId="0" applyNumberFormat="1" applyFont="1" applyBorder="1">
      <alignment vertical="center"/>
    </xf>
    <xf numFmtId="176" fontId="0" fillId="0" borderId="0" xfId="0" applyNumberFormat="1" applyFont="1" applyBorder="1" applyAlignment="1">
      <alignment vertical="center"/>
    </xf>
    <xf numFmtId="179" fontId="0" fillId="3" borderId="12" xfId="0" applyNumberFormat="1" applyFont="1" applyFill="1" applyBorder="1" applyAlignment="1">
      <alignment horizontal="center" vertical="center"/>
    </xf>
    <xf numFmtId="179" fontId="27" fillId="3" borderId="12" xfId="0" applyNumberFormat="1" applyFont="1" applyFill="1" applyBorder="1" applyAlignment="1">
      <alignment horizontal="center" vertical="center" wrapText="1"/>
    </xf>
    <xf numFmtId="0" fontId="22" fillId="3" borderId="47" xfId="50" applyFont="1" applyFill="1" applyBorder="1" applyAlignment="1">
      <alignment vertical="center"/>
    </xf>
    <xf numFmtId="179" fontId="0" fillId="0" borderId="0" xfId="0" applyNumberFormat="1" applyFont="1" applyAlignment="1">
      <alignment horizontal="center" vertical="center"/>
    </xf>
    <xf numFmtId="0" fontId="27" fillId="0" borderId="0" xfId="0" applyFont="1" applyBorder="1" applyAlignment="1">
      <alignment vertical="center"/>
    </xf>
    <xf numFmtId="179" fontId="22" fillId="0" borderId="0" xfId="50" applyNumberFormat="1" applyFont="1" applyFill="1" applyAlignment="1">
      <alignment horizontal="center" vertical="center"/>
    </xf>
    <xf numFmtId="179" fontId="0" fillId="3" borderId="17" xfId="0" applyNumberFormat="1" applyFont="1" applyFill="1" applyBorder="1" applyAlignment="1">
      <alignment horizontal="center" vertical="center"/>
    </xf>
    <xf numFmtId="179" fontId="27" fillId="3" borderId="17" xfId="0" applyNumberFormat="1" applyFont="1" applyFill="1" applyBorder="1" applyAlignment="1">
      <alignment horizontal="center" vertical="center" wrapText="1"/>
    </xf>
    <xf numFmtId="0" fontId="22" fillId="3" borderId="48" xfId="50" applyFont="1" applyFill="1" applyBorder="1" applyAlignment="1">
      <alignment vertical="center"/>
    </xf>
    <xf numFmtId="0" fontId="24" fillId="0" borderId="14" xfId="50" applyFont="1" applyFill="1" applyBorder="1" applyAlignment="1">
      <alignment horizontal="center" vertical="center"/>
    </xf>
    <xf numFmtId="176" fontId="24" fillId="0" borderId="20" xfId="50" applyNumberFormat="1" applyFont="1" applyFill="1" applyBorder="1" applyAlignment="1">
      <alignment horizontal="center" vertical="center"/>
    </xf>
    <xf numFmtId="176" fontId="24" fillId="0" borderId="18" xfId="50" applyNumberFormat="1" applyFont="1" applyFill="1" applyBorder="1" applyAlignment="1">
      <alignment horizontal="center" vertical="center"/>
    </xf>
    <xf numFmtId="184" fontId="0" fillId="0" borderId="0" xfId="0" applyNumberFormat="1" applyFont="1" applyFill="1" applyBorder="1">
      <alignment vertical="center"/>
    </xf>
    <xf numFmtId="176" fontId="0" fillId="0" borderId="0" xfId="0" applyNumberFormat="1" applyFont="1" applyFill="1" applyBorder="1" applyAlignment="1">
      <alignment vertical="center"/>
    </xf>
    <xf numFmtId="186" fontId="0" fillId="0" borderId="0" xfId="0" applyNumberFormat="1" applyFont="1" applyBorder="1">
      <alignment vertical="center"/>
    </xf>
    <xf numFmtId="0" fontId="0" fillId="0" borderId="0" xfId="0" applyNumberFormat="1" applyFont="1" applyBorder="1" applyAlignment="1">
      <alignment horizontal="right" vertical="center"/>
    </xf>
    <xf numFmtId="0" fontId="0" fillId="0" borderId="0" xfId="0" applyNumberFormat="1" applyFont="1" applyBorder="1" applyAlignment="1">
      <alignment vertical="center"/>
    </xf>
    <xf numFmtId="186" fontId="27" fillId="0" borderId="0" xfId="0" applyNumberFormat="1" applyFont="1" applyBorder="1">
      <alignment vertical="center"/>
    </xf>
    <xf numFmtId="0" fontId="17" fillId="0" borderId="0" xfId="0" applyNumberFormat="1" applyFont="1" applyFill="1" applyBorder="1" applyAlignment="1">
      <alignment vertical="center"/>
    </xf>
    <xf numFmtId="0" fontId="27" fillId="0" borderId="0" xfId="0" applyFont="1" applyBorder="1" applyAlignment="1">
      <alignment horizontal="center" vertical="center"/>
    </xf>
    <xf numFmtId="183" fontId="15" fillId="0" borderId="5" xfId="50" applyNumberFormat="1" applyFont="1" applyFill="1" applyBorder="1" applyAlignment="1">
      <alignment vertical="center"/>
    </xf>
    <xf numFmtId="0" fontId="22" fillId="0" borderId="5" xfId="50" applyFont="1" applyFill="1" applyBorder="1" applyAlignment="1">
      <alignment horizontal="center" vertical="center"/>
    </xf>
    <xf numFmtId="0" fontId="24" fillId="0" borderId="33" xfId="50" applyFont="1" applyFill="1" applyBorder="1" applyAlignment="1">
      <alignment horizontal="left" vertical="center"/>
    </xf>
    <xf numFmtId="0" fontId="24" fillId="0" borderId="46" xfId="50" applyFont="1" applyFill="1" applyBorder="1" applyAlignment="1">
      <alignment horizontal="left" vertical="center"/>
    </xf>
    <xf numFmtId="0" fontId="15" fillId="0" borderId="5" xfId="50" applyFont="1" applyFill="1" applyBorder="1" applyAlignment="1">
      <alignment vertical="center"/>
    </xf>
    <xf numFmtId="184" fontId="15" fillId="0" borderId="5" xfId="50" applyNumberFormat="1" applyFont="1" applyFill="1" applyBorder="1" applyAlignment="1">
      <alignment vertical="center"/>
    </xf>
    <xf numFmtId="0" fontId="15" fillId="0" borderId="33" xfId="50" applyFont="1" applyFill="1" applyBorder="1" applyAlignment="1">
      <alignment horizontal="left" vertical="center"/>
    </xf>
    <xf numFmtId="0" fontId="15" fillId="0" borderId="46" xfId="50" applyFont="1" applyFill="1" applyBorder="1" applyAlignment="1">
      <alignment horizontal="left" vertical="center"/>
    </xf>
    <xf numFmtId="0" fontId="6" fillId="0" borderId="0" xfId="50" applyFont="1" applyFill="1" applyAlignment="1">
      <alignment vertical="center"/>
    </xf>
    <xf numFmtId="0" fontId="26" fillId="0" borderId="33" xfId="50" applyFont="1" applyFill="1" applyBorder="1" applyAlignment="1">
      <alignment horizontal="left" vertical="center"/>
    </xf>
    <xf numFmtId="0" fontId="26" fillId="0" borderId="26" xfId="50" applyFont="1" applyFill="1" applyBorder="1" applyAlignment="1">
      <alignment horizontal="left" vertical="center"/>
    </xf>
    <xf numFmtId="0" fontId="26" fillId="0" borderId="46" xfId="50" applyFont="1" applyFill="1" applyBorder="1" applyAlignment="1">
      <alignment horizontal="left" vertical="center"/>
    </xf>
    <xf numFmtId="184" fontId="24" fillId="0" borderId="0" xfId="50" applyNumberFormat="1" applyFont="1" applyFill="1" applyAlignment="1">
      <alignment vertical="center"/>
    </xf>
    <xf numFmtId="0" fontId="22" fillId="0" borderId="9" xfId="50" applyFont="1" applyFill="1" applyBorder="1" applyAlignment="1">
      <alignment vertical="center"/>
    </xf>
    <xf numFmtId="0" fontId="25" fillId="0" borderId="5" xfId="50" applyFont="1" applyFill="1" applyBorder="1" applyAlignment="1">
      <alignment horizontal="center" vertical="center"/>
    </xf>
    <xf numFmtId="0" fontId="22" fillId="0" borderId="11" xfId="50" applyFont="1" applyFill="1" applyBorder="1" applyAlignment="1">
      <alignment vertical="center"/>
    </xf>
    <xf numFmtId="0" fontId="22" fillId="0" borderId="12" xfId="50" applyFont="1" applyFill="1" applyBorder="1" applyAlignment="1">
      <alignment vertical="center"/>
    </xf>
    <xf numFmtId="0" fontId="22" fillId="0" borderId="16" xfId="50" applyFont="1" applyFill="1" applyBorder="1" applyAlignment="1">
      <alignment vertical="center"/>
    </xf>
    <xf numFmtId="0" fontId="22" fillId="0" borderId="17" xfId="50" applyFont="1" applyFill="1" applyBorder="1" applyAlignment="1">
      <alignment vertical="center"/>
    </xf>
    <xf numFmtId="0" fontId="25" fillId="14" borderId="5" xfId="50" applyFont="1" applyFill="1" applyBorder="1" applyAlignment="1">
      <alignment vertical="center"/>
    </xf>
    <xf numFmtId="0" fontId="6" fillId="0" borderId="33" xfId="50" applyFont="1" applyFill="1" applyBorder="1" applyAlignment="1">
      <alignment horizontal="left"/>
    </xf>
    <xf numFmtId="0" fontId="6" fillId="0" borderId="46" xfId="50" applyFont="1" applyFill="1" applyBorder="1" applyAlignment="1">
      <alignment horizontal="left"/>
    </xf>
    <xf numFmtId="0" fontId="22" fillId="0" borderId="5" xfId="50" applyFont="1" applyFill="1" applyBorder="1" applyAlignment="1">
      <alignment horizontal="center" vertical="center" wrapText="1"/>
    </xf>
    <xf numFmtId="0" fontId="24" fillId="0" borderId="0" xfId="50" applyFont="1" applyFill="1" applyBorder="1" applyAlignment="1">
      <alignment vertical="center"/>
    </xf>
    <xf numFmtId="0" fontId="29" fillId="0" borderId="5" xfId="50" applyFont="1" applyFill="1" applyBorder="1" applyAlignment="1">
      <alignment horizontal="left" vertical="center"/>
    </xf>
    <xf numFmtId="0" fontId="29" fillId="0" borderId="5" xfId="50" applyFont="1" applyFill="1" applyBorder="1" applyAlignment="1">
      <alignment vertical="center"/>
    </xf>
    <xf numFmtId="0" fontId="22" fillId="0" borderId="14" xfId="50" applyFont="1" applyFill="1" applyBorder="1" applyAlignment="1">
      <alignment vertical="center"/>
    </xf>
    <xf numFmtId="0" fontId="22" fillId="0" borderId="20" xfId="50" applyFont="1" applyFill="1" applyBorder="1" applyAlignment="1">
      <alignment vertical="center"/>
    </xf>
    <xf numFmtId="0" fontId="22" fillId="0" borderId="18" xfId="50" applyFont="1" applyFill="1" applyBorder="1" applyAlignment="1">
      <alignment vertical="center"/>
    </xf>
    <xf numFmtId="0" fontId="22" fillId="0" borderId="22" xfId="50" applyFont="1" applyFill="1" applyBorder="1" applyAlignment="1">
      <alignment horizontal="center" vertical="center"/>
    </xf>
    <xf numFmtId="0" fontId="22" fillId="0" borderId="49" xfId="50" applyFont="1" applyFill="1" applyBorder="1" applyAlignment="1">
      <alignment horizontal="center" vertical="center"/>
    </xf>
    <xf numFmtId="0" fontId="24" fillId="0" borderId="5" xfId="50" applyFont="1" applyFill="1" applyBorder="1" applyAlignment="1">
      <alignment horizontal="left" vertical="center"/>
    </xf>
    <xf numFmtId="0" fontId="22" fillId="0" borderId="33" xfId="50" applyFont="1" applyFill="1" applyBorder="1" applyAlignment="1">
      <alignment horizontal="left" vertical="center"/>
    </xf>
    <xf numFmtId="0" fontId="22" fillId="0" borderId="46" xfId="50" applyFont="1" applyFill="1" applyBorder="1" applyAlignment="1">
      <alignment horizontal="left" vertical="center"/>
    </xf>
    <xf numFmtId="0" fontId="22" fillId="0" borderId="6" xfId="50" applyFont="1" applyFill="1" applyBorder="1" applyAlignment="1">
      <alignment horizontal="center" vertical="center"/>
    </xf>
    <xf numFmtId="0" fontId="30" fillId="0" borderId="0" xfId="0" applyFont="1">
      <alignment vertical="center"/>
    </xf>
    <xf numFmtId="0" fontId="0" fillId="0" borderId="0" xfId="0" applyFont="1">
      <alignment vertical="center"/>
    </xf>
    <xf numFmtId="0" fontId="0" fillId="15"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16" borderId="0" xfId="0" applyFill="1">
      <alignment vertical="center"/>
    </xf>
    <xf numFmtId="0" fontId="0" fillId="4" borderId="0" xfId="0" applyFill="1">
      <alignment vertical="center"/>
    </xf>
    <xf numFmtId="0" fontId="0" fillId="0" borderId="0" xfId="0" applyFont="1" applyAlignment="1">
      <alignment vertical="center"/>
    </xf>
    <xf numFmtId="0" fontId="6" fillId="0" borderId="50" xfId="50" applyFont="1" applyBorder="1" applyAlignment="1">
      <alignment horizontal="center"/>
    </xf>
    <xf numFmtId="184" fontId="28" fillId="0" borderId="51" xfId="50" applyNumberFormat="1" applyFont="1" applyFill="1" applyBorder="1"/>
    <xf numFmtId="0" fontId="6" fillId="0" borderId="51" xfId="50" applyFont="1" applyBorder="1"/>
    <xf numFmtId="0" fontId="28" fillId="0" borderId="51" xfId="50" applyFont="1" applyFill="1" applyBorder="1"/>
    <xf numFmtId="0" fontId="28" fillId="0" borderId="51" xfId="50" applyFont="1" applyBorder="1"/>
    <xf numFmtId="176" fontId="28" fillId="0" borderId="51" xfId="50" applyNumberFormat="1" applyFont="1" applyBorder="1"/>
    <xf numFmtId="0" fontId="31" fillId="0" borderId="0" xfId="0" applyFont="1" applyBorder="1" applyAlignment="1">
      <alignment vertical="center"/>
    </xf>
    <xf numFmtId="0" fontId="0" fillId="0" borderId="9" xfId="0" applyFont="1" applyBorder="1" applyAlignment="1">
      <alignment horizontal="center" vertical="center"/>
    </xf>
    <xf numFmtId="0" fontId="6" fillId="0" borderId="10" xfId="50" applyFont="1" applyFill="1" applyBorder="1" applyAlignment="1">
      <alignment horizontal="center" vertical="center" wrapText="1"/>
    </xf>
    <xf numFmtId="0" fontId="0" fillId="0" borderId="10"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1" xfId="0" applyFont="1" applyBorder="1" applyAlignment="1">
      <alignment horizontal="center" vertical="center"/>
    </xf>
    <xf numFmtId="0" fontId="6" fillId="0" borderId="12" xfId="5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6" fillId="0" borderId="11" xfId="50" applyFont="1" applyFill="1" applyBorder="1" applyAlignment="1">
      <alignment horizontal="center" vertical="center" wrapText="1"/>
    </xf>
    <xf numFmtId="0" fontId="28" fillId="0" borderId="12" xfId="50" applyFont="1" applyFill="1" applyBorder="1" applyAlignment="1">
      <alignment horizontal="center" vertical="center" wrapText="1"/>
    </xf>
    <xf numFmtId="184" fontId="27" fillId="0" borderId="12" xfId="0" applyNumberFormat="1" applyFont="1" applyBorder="1">
      <alignment vertical="center"/>
    </xf>
    <xf numFmtId="184" fontId="27" fillId="0" borderId="12" xfId="0" applyNumberFormat="1" applyFont="1" applyFill="1" applyBorder="1">
      <alignment vertical="center"/>
    </xf>
    <xf numFmtId="0" fontId="27" fillId="0" borderId="12" xfId="0" applyFont="1" applyBorder="1">
      <alignment vertical="center"/>
    </xf>
    <xf numFmtId="0" fontId="6" fillId="15" borderId="11" xfId="50" applyFont="1" applyFill="1" applyBorder="1" applyAlignment="1">
      <alignment horizontal="center" vertical="center" wrapText="1"/>
    </xf>
    <xf numFmtId="0" fontId="28" fillId="15" borderId="12" xfId="50" applyFont="1" applyFill="1" applyBorder="1" applyAlignment="1">
      <alignment horizontal="center" vertical="center" wrapText="1"/>
    </xf>
    <xf numFmtId="184" fontId="27" fillId="15" borderId="12" xfId="0" applyNumberFormat="1" applyFont="1" applyFill="1" applyBorder="1">
      <alignment vertical="center"/>
    </xf>
    <xf numFmtId="0" fontId="0" fillId="0" borderId="16" xfId="0" applyFont="1" applyBorder="1" applyAlignment="1">
      <alignment horizontal="center" vertical="center"/>
    </xf>
    <xf numFmtId="0" fontId="27" fillId="0" borderId="17" xfId="0" applyFont="1" applyBorder="1" applyAlignment="1">
      <alignment horizontal="center" vertical="center"/>
    </xf>
    <xf numFmtId="184" fontId="27" fillId="0" borderId="17" xfId="0" applyNumberFormat="1" applyFont="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32" fillId="0" borderId="11" xfId="0" applyFont="1" applyFill="1" applyBorder="1" applyAlignment="1">
      <alignment horizontal="center" vertical="center"/>
    </xf>
    <xf numFmtId="185" fontId="0" fillId="0" borderId="12" xfId="0" applyNumberFormat="1" applyFont="1" applyFill="1" applyBorder="1">
      <alignment vertical="center"/>
    </xf>
    <xf numFmtId="184" fontId="32" fillId="0" borderId="12" xfId="0" applyNumberFormat="1" applyFont="1" applyFill="1" applyBorder="1" applyAlignment="1">
      <alignment vertical="center"/>
    </xf>
    <xf numFmtId="184" fontId="0" fillId="0" borderId="12" xfId="0" applyNumberFormat="1" applyFont="1" applyFill="1" applyBorder="1">
      <alignment vertical="center"/>
    </xf>
    <xf numFmtId="0" fontId="32" fillId="16" borderId="11" xfId="0" applyFont="1" applyFill="1" applyBorder="1" applyAlignment="1">
      <alignment horizontal="center" vertical="center"/>
    </xf>
    <xf numFmtId="185" fontId="0" fillId="16" borderId="12" xfId="0" applyNumberFormat="1" applyFont="1" applyFill="1" applyBorder="1">
      <alignment vertical="center"/>
    </xf>
    <xf numFmtId="184" fontId="32" fillId="16" borderId="12" xfId="0" applyNumberFormat="1" applyFont="1" applyFill="1" applyBorder="1" applyAlignment="1">
      <alignment vertical="center"/>
    </xf>
    <xf numFmtId="184" fontId="0" fillId="16" borderId="12" xfId="0" applyNumberFormat="1" applyFont="1" applyFill="1" applyBorder="1">
      <alignment vertical="center"/>
    </xf>
    <xf numFmtId="0" fontId="32" fillId="0" borderId="11" xfId="0" applyFont="1" applyBorder="1" applyAlignment="1">
      <alignment horizontal="center" vertical="center"/>
    </xf>
    <xf numFmtId="185" fontId="0" fillId="0" borderId="12" xfId="0" applyNumberFormat="1" applyFont="1" applyBorder="1">
      <alignment vertical="center"/>
    </xf>
    <xf numFmtId="184" fontId="32" fillId="0" borderId="12" xfId="0" applyNumberFormat="1" applyFont="1" applyBorder="1" applyAlignment="1">
      <alignment vertical="center"/>
    </xf>
    <xf numFmtId="184" fontId="0" fillId="0" borderId="12" xfId="0" applyNumberFormat="1" applyFont="1" applyBorder="1">
      <alignment vertical="center"/>
    </xf>
    <xf numFmtId="0" fontId="32" fillId="4" borderId="11" xfId="0" applyFont="1" applyFill="1" applyBorder="1" applyAlignment="1">
      <alignment horizontal="center" vertical="center"/>
    </xf>
    <xf numFmtId="185" fontId="0" fillId="4" borderId="12" xfId="0" applyNumberFormat="1" applyFont="1" applyFill="1" applyBorder="1">
      <alignment vertical="center"/>
    </xf>
    <xf numFmtId="184" fontId="32" fillId="4" borderId="12" xfId="0" applyNumberFormat="1" applyFont="1" applyFill="1" applyBorder="1" applyAlignment="1">
      <alignment vertical="center"/>
    </xf>
    <xf numFmtId="184" fontId="0" fillId="4" borderId="12" xfId="0" applyNumberFormat="1" applyFont="1" applyFill="1" applyBorder="1">
      <alignment vertical="center"/>
    </xf>
    <xf numFmtId="178" fontId="28" fillId="0" borderId="52" xfId="50" applyNumberFormat="1" applyFont="1" applyBorder="1"/>
    <xf numFmtId="178" fontId="28"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7" fontId="0" fillId="0" borderId="56" xfId="0" applyNumberFormat="1" applyFont="1" applyBorder="1" applyAlignment="1">
      <alignment horizontal="center" vertical="center" wrapText="1"/>
    </xf>
    <xf numFmtId="187" fontId="0" fillId="0" borderId="43" xfId="0" applyNumberFormat="1" applyFont="1" applyBorder="1" applyAlignment="1">
      <alignment horizontal="center" vertical="center" wrapText="1"/>
    </xf>
    <xf numFmtId="187" fontId="0" fillId="0" borderId="12" xfId="0" applyNumberFormat="1" applyFont="1" applyBorder="1" applyAlignment="1">
      <alignment horizontal="center" vertical="center" wrapText="1"/>
    </xf>
    <xf numFmtId="184" fontId="27" fillId="4" borderId="12" xfId="0" applyNumberFormat="1" applyFont="1" applyFill="1" applyBorder="1">
      <alignment vertical="center"/>
    </xf>
    <xf numFmtId="187" fontId="27" fillId="0" borderId="12" xfId="0" applyNumberFormat="1" applyFont="1" applyBorder="1" applyAlignment="1">
      <alignment vertical="center"/>
    </xf>
    <xf numFmtId="182" fontId="27" fillId="0" borderId="12" xfId="0" applyNumberFormat="1" applyFont="1" applyBorder="1" applyAlignment="1">
      <alignment vertical="center"/>
    </xf>
    <xf numFmtId="187" fontId="27" fillId="15" borderId="12" xfId="0" applyNumberFormat="1" applyFont="1" applyFill="1" applyBorder="1" applyAlignment="1">
      <alignment vertical="center"/>
    </xf>
    <xf numFmtId="182" fontId="27" fillId="15" borderId="12" xfId="0" applyNumberFormat="1" applyFont="1" applyFill="1" applyBorder="1" applyAlignment="1">
      <alignment vertical="center"/>
    </xf>
    <xf numFmtId="187" fontId="27" fillId="0" borderId="12" xfId="0" applyNumberFormat="1" applyFont="1" applyFill="1" applyBorder="1" applyAlignment="1">
      <alignment vertical="center"/>
    </xf>
    <xf numFmtId="182" fontId="27" fillId="0" borderId="12" xfId="0" applyNumberFormat="1" applyFont="1" applyFill="1" applyBorder="1" applyAlignment="1">
      <alignment vertical="center"/>
    </xf>
    <xf numFmtId="176" fontId="27" fillId="0" borderId="17" xfId="0" applyNumberFormat="1" applyFont="1" applyBorder="1">
      <alignment vertical="center"/>
    </xf>
    <xf numFmtId="178" fontId="27" fillId="0" borderId="17" xfId="0" applyNumberFormat="1" applyFont="1" applyBorder="1">
      <alignment vertical="center"/>
    </xf>
    <xf numFmtId="187" fontId="0" fillId="0" borderId="10" xfId="0" applyNumberFormat="1" applyFont="1" applyBorder="1" applyAlignment="1">
      <alignment horizontal="center" vertical="center" wrapText="1"/>
    </xf>
    <xf numFmtId="184" fontId="32" fillId="0" borderId="12" xfId="0" applyNumberFormat="1" applyFont="1" applyFill="1" applyBorder="1">
      <alignment vertical="center"/>
    </xf>
    <xf numFmtId="176" fontId="0" fillId="0" borderId="12" xfId="0" applyNumberFormat="1" applyFont="1" applyFill="1" applyBorder="1" applyAlignment="1">
      <alignment vertical="center"/>
    </xf>
    <xf numFmtId="184" fontId="0" fillId="0" borderId="12" xfId="0" applyNumberFormat="1" applyFont="1" applyFill="1" applyBorder="1" applyAlignment="1">
      <alignment horizontal="center" vertical="center"/>
    </xf>
    <xf numFmtId="184" fontId="32" fillId="0" borderId="12" xfId="0" applyNumberFormat="1" applyFont="1" applyFill="1" applyBorder="1" applyAlignment="1">
      <alignment horizontal="center" vertical="center"/>
    </xf>
    <xf numFmtId="184" fontId="32" fillId="16" borderId="12" xfId="0" applyNumberFormat="1" applyFont="1" applyFill="1" applyBorder="1">
      <alignment vertical="center"/>
    </xf>
    <xf numFmtId="176" fontId="0" fillId="16" borderId="12" xfId="0" applyNumberFormat="1" applyFont="1" applyFill="1" applyBorder="1" applyAlignment="1">
      <alignment vertical="center"/>
    </xf>
    <xf numFmtId="184" fontId="0" fillId="16" borderId="12" xfId="0" applyNumberFormat="1" applyFont="1" applyFill="1" applyBorder="1" applyAlignment="1">
      <alignment horizontal="center" vertical="center"/>
    </xf>
    <xf numFmtId="184" fontId="32" fillId="16" borderId="12" xfId="0" applyNumberFormat="1" applyFont="1" applyFill="1" applyBorder="1" applyAlignment="1">
      <alignment horizontal="center" vertical="center"/>
    </xf>
    <xf numFmtId="176" fontId="0" fillId="4" borderId="12" xfId="0" applyNumberFormat="1" applyFont="1" applyFill="1" applyBorder="1" applyAlignment="1">
      <alignment vertical="center"/>
    </xf>
    <xf numFmtId="176" fontId="0" fillId="0" borderId="12" xfId="0" applyNumberFormat="1" applyFont="1" applyBorder="1" applyAlignment="1">
      <alignment vertical="center"/>
    </xf>
    <xf numFmtId="184" fontId="0" fillId="0" borderId="12" xfId="0" applyNumberFormat="1" applyFont="1" applyBorder="1" applyAlignment="1">
      <alignment horizontal="center" vertical="center"/>
    </xf>
    <xf numFmtId="184" fontId="32" fillId="0" borderId="12" xfId="0" applyNumberFormat="1" applyFont="1" applyBorder="1" applyAlignment="1">
      <alignment horizontal="center" vertical="center"/>
    </xf>
    <xf numFmtId="0" fontId="0" fillId="4" borderId="12" xfId="0" applyFont="1" applyFill="1" applyBorder="1" applyAlignment="1">
      <alignment horizontal="center" vertical="center"/>
    </xf>
    <xf numFmtId="184" fontId="32" fillId="4" borderId="12" xfId="0" applyNumberFormat="1" applyFont="1" applyFill="1" applyBorder="1" applyAlignment="1">
      <alignment horizontal="center" vertical="center"/>
    </xf>
    <xf numFmtId="0" fontId="0" fillId="0" borderId="10" xfId="0" applyFont="1" applyBorder="1" applyAlignment="1">
      <alignment vertical="center" wrapText="1"/>
    </xf>
    <xf numFmtId="0" fontId="0" fillId="0" borderId="10"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2" xfId="0" applyFont="1" applyFill="1" applyBorder="1" applyAlignment="1">
      <alignment horizontal="center" vertical="center" wrapText="1"/>
    </xf>
    <xf numFmtId="0" fontId="0" fillId="0" borderId="20" xfId="0" applyFont="1" applyFill="1" applyBorder="1" applyAlignment="1">
      <alignment horizontal="center" vertical="center" wrapText="1"/>
    </xf>
    <xf numFmtId="187" fontId="27" fillId="0" borderId="12" xfId="0" applyNumberFormat="1" applyFont="1" applyBorder="1" applyAlignment="1">
      <alignment horizontal="right" vertical="center"/>
    </xf>
    <xf numFmtId="184" fontId="27" fillId="0" borderId="12" xfId="0" applyNumberFormat="1" applyFont="1" applyBorder="1" applyAlignment="1">
      <alignment horizontal="center" vertical="center" wrapText="1"/>
    </xf>
    <xf numFmtId="184" fontId="27" fillId="0" borderId="12" xfId="0" applyNumberFormat="1" applyFont="1" applyFill="1" applyBorder="1" applyAlignment="1">
      <alignment horizontal="right" vertical="center"/>
    </xf>
    <xf numFmtId="184" fontId="27" fillId="0" borderId="20" xfId="0" applyNumberFormat="1" applyFont="1" applyFill="1" applyBorder="1">
      <alignment vertical="center"/>
    </xf>
    <xf numFmtId="184" fontId="0" fillId="0" borderId="0" xfId="0" applyNumberFormat="1" applyFont="1" applyAlignment="1">
      <alignment vertical="center"/>
    </xf>
    <xf numFmtId="184" fontId="27" fillId="4" borderId="12" xfId="0" applyNumberFormat="1" applyFont="1" applyFill="1" applyBorder="1" applyAlignment="1">
      <alignment horizontal="right" vertical="center"/>
    </xf>
    <xf numFmtId="184" fontId="27" fillId="4" borderId="20" xfId="0" applyNumberFormat="1" applyFont="1" applyFill="1" applyBorder="1">
      <alignment vertical="center"/>
    </xf>
    <xf numFmtId="187" fontId="27" fillId="15" borderId="12" xfId="0" applyNumberFormat="1" applyFont="1" applyFill="1" applyBorder="1" applyAlignment="1">
      <alignment horizontal="right" vertical="center"/>
    </xf>
    <xf numFmtId="184" fontId="27" fillId="15" borderId="12" xfId="0" applyNumberFormat="1" applyFont="1" applyFill="1" applyBorder="1" applyAlignment="1">
      <alignment horizontal="center" vertical="center" wrapText="1"/>
    </xf>
    <xf numFmtId="184" fontId="27" fillId="15" borderId="12" xfId="0" applyNumberFormat="1" applyFont="1" applyFill="1" applyBorder="1" applyAlignment="1">
      <alignment horizontal="right" vertical="center"/>
    </xf>
    <xf numFmtId="184" fontId="27" fillId="15" borderId="20" xfId="0" applyNumberFormat="1" applyFont="1" applyFill="1" applyBorder="1">
      <alignment vertical="center"/>
    </xf>
    <xf numFmtId="176" fontId="0" fillId="15" borderId="0" xfId="0" applyNumberFormat="1" applyFont="1" applyFill="1" applyAlignment="1">
      <alignment vertical="center"/>
    </xf>
    <xf numFmtId="184" fontId="27" fillId="0" borderId="12" xfId="0" applyNumberFormat="1" applyFont="1" applyBorder="1" applyAlignment="1">
      <alignment horizontal="right" vertical="center"/>
    </xf>
    <xf numFmtId="176" fontId="0" fillId="0" borderId="0" xfId="0" applyNumberFormat="1" applyFont="1" applyAlignment="1">
      <alignment vertical="center"/>
    </xf>
    <xf numFmtId="187" fontId="27" fillId="0" borderId="12" xfId="0" applyNumberFormat="1" applyFont="1" applyFill="1" applyBorder="1" applyAlignment="1">
      <alignment horizontal="right" vertical="center"/>
    </xf>
    <xf numFmtId="184" fontId="27" fillId="0" borderId="12" xfId="0" applyNumberFormat="1" applyFont="1" applyFill="1" applyBorder="1" applyAlignment="1">
      <alignment horizontal="center" vertical="center" wrapText="1"/>
    </xf>
    <xf numFmtId="0" fontId="27" fillId="0" borderId="17" xfId="0" applyFont="1" applyBorder="1" applyAlignment="1">
      <alignment horizontal="right" vertical="center"/>
    </xf>
    <xf numFmtId="184" fontId="27" fillId="0" borderId="17" xfId="0" applyNumberFormat="1" applyFont="1" applyBorder="1" applyAlignment="1">
      <alignment horizontal="center" vertical="center"/>
    </xf>
    <xf numFmtId="184" fontId="27" fillId="0" borderId="18" xfId="0" applyNumberFormat="1" applyFont="1" applyBorder="1">
      <alignment vertical="center"/>
    </xf>
    <xf numFmtId="182" fontId="27" fillId="0" borderId="0" xfId="0" applyNumberFormat="1" applyFont="1" applyBorder="1" applyAlignment="1">
      <alignment vertical="center"/>
    </xf>
    <xf numFmtId="187" fontId="0" fillId="0" borderId="14" xfId="0" applyNumberFormat="1" applyFont="1" applyBorder="1" applyAlignment="1">
      <alignment horizontal="center" vertical="center" wrapText="1"/>
    </xf>
    <xf numFmtId="187" fontId="0" fillId="0" borderId="20" xfId="0" applyNumberFormat="1" applyFont="1" applyBorder="1" applyAlignment="1">
      <alignment horizontal="center" vertical="center" wrapText="1"/>
    </xf>
    <xf numFmtId="178" fontId="0" fillId="0" borderId="12" xfId="0" applyNumberFormat="1" applyFont="1" applyFill="1" applyBorder="1" applyAlignment="1">
      <alignment vertical="center"/>
    </xf>
    <xf numFmtId="184" fontId="0" fillId="0" borderId="12" xfId="0" applyNumberFormat="1" applyFont="1" applyFill="1" applyBorder="1" applyAlignment="1">
      <alignment vertical="center"/>
    </xf>
    <xf numFmtId="0" fontId="0" fillId="0" borderId="20" xfId="0" applyFont="1" applyFill="1" applyBorder="1" applyAlignment="1">
      <alignment vertical="center"/>
    </xf>
    <xf numFmtId="178" fontId="0" fillId="16" borderId="12" xfId="0" applyNumberFormat="1" applyFont="1" applyFill="1" applyBorder="1" applyAlignment="1">
      <alignment vertical="center"/>
    </xf>
    <xf numFmtId="184" fontId="0" fillId="16" borderId="12" xfId="0" applyNumberFormat="1" applyFont="1" applyFill="1" applyBorder="1" applyAlignment="1">
      <alignment vertical="center"/>
    </xf>
    <xf numFmtId="0" fontId="0" fillId="16" borderId="20" xfId="0" applyFont="1" applyFill="1" applyBorder="1" applyAlignment="1">
      <alignment vertical="center"/>
    </xf>
    <xf numFmtId="178" fontId="0" fillId="0" borderId="12" xfId="0" applyNumberFormat="1" applyFont="1" applyBorder="1" applyAlignment="1">
      <alignment vertical="center"/>
    </xf>
    <xf numFmtId="184" fontId="0" fillId="0" borderId="12" xfId="0" applyNumberFormat="1" applyFont="1" applyBorder="1" applyAlignment="1">
      <alignment vertical="center"/>
    </xf>
    <xf numFmtId="0" fontId="0" fillId="0" borderId="20" xfId="0" applyFont="1" applyBorder="1" applyAlignment="1">
      <alignment vertical="center"/>
    </xf>
    <xf numFmtId="178" fontId="0" fillId="4" borderId="12" xfId="0" applyNumberFormat="1" applyFont="1" applyFill="1" applyBorder="1" applyAlignment="1">
      <alignment vertical="center"/>
    </xf>
    <xf numFmtId="184" fontId="0" fillId="4" borderId="12" xfId="0" applyNumberFormat="1" applyFont="1" applyFill="1" applyBorder="1" applyAlignment="1">
      <alignment vertical="center"/>
    </xf>
    <xf numFmtId="184" fontId="0" fillId="4" borderId="12" xfId="0" applyNumberFormat="1" applyFont="1" applyFill="1" applyBorder="1" applyAlignment="1">
      <alignment horizontal="center" vertical="center"/>
    </xf>
    <xf numFmtId="0" fontId="0" fillId="4" borderId="20" xfId="0" applyFont="1" applyFill="1" applyBorder="1" applyAlignment="1">
      <alignment vertical="center"/>
    </xf>
    <xf numFmtId="184" fontId="27" fillId="0" borderId="0" xfId="0" applyNumberFormat="1" applyFont="1" applyBorder="1">
      <alignment vertical="center"/>
    </xf>
    <xf numFmtId="184" fontId="0" fillId="0" borderId="0" xfId="0" applyNumberFormat="1">
      <alignment vertical="center"/>
    </xf>
    <xf numFmtId="184" fontId="30" fillId="0" borderId="0" xfId="0" applyNumberFormat="1" applyFont="1">
      <alignment vertical="center"/>
    </xf>
    <xf numFmtId="0" fontId="27" fillId="0" borderId="0" xfId="0" applyFont="1" applyBorder="1">
      <alignment vertical="center"/>
    </xf>
    <xf numFmtId="184" fontId="0" fillId="0" borderId="0" xfId="0" applyNumberFormat="1" applyFont="1">
      <alignment vertical="center"/>
    </xf>
    <xf numFmtId="184" fontId="27" fillId="15" borderId="0" xfId="0" applyNumberFormat="1" applyFont="1" applyFill="1" applyBorder="1">
      <alignment vertical="center"/>
    </xf>
    <xf numFmtId="0" fontId="27" fillId="15" borderId="0" xfId="0" applyFont="1" applyFill="1" applyBorder="1">
      <alignment vertical="center"/>
    </xf>
    <xf numFmtId="184" fontId="0" fillId="15" borderId="0" xfId="0" applyNumberFormat="1" applyFill="1">
      <alignment vertical="center"/>
    </xf>
    <xf numFmtId="176"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76" fontId="0" fillId="16" borderId="0" xfId="0" applyNumberFormat="1" applyFont="1" applyFill="1" applyAlignment="1">
      <alignment vertical="center"/>
    </xf>
    <xf numFmtId="0" fontId="0" fillId="16" borderId="0" xfId="0" applyFont="1" applyFill="1">
      <alignment vertical="center"/>
    </xf>
    <xf numFmtId="0" fontId="0" fillId="16" borderId="0" xfId="0" applyFont="1" applyFill="1" applyAlignment="1">
      <alignment vertical="center"/>
    </xf>
    <xf numFmtId="176"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15" borderId="0" xfId="0" applyFont="1" applyFill="1">
      <alignment vertical="center"/>
    </xf>
    <xf numFmtId="184" fontId="0" fillId="0" borderId="0" xfId="0" applyNumberFormat="1" applyFill="1">
      <alignment vertical="center"/>
    </xf>
    <xf numFmtId="0" fontId="32" fillId="0" borderId="16" xfId="0" applyFont="1" applyBorder="1" applyAlignment="1">
      <alignment horizontal="center" vertical="center"/>
    </xf>
    <xf numFmtId="185" fontId="0" fillId="0" borderId="17" xfId="0" applyNumberFormat="1" applyFont="1" applyBorder="1">
      <alignment vertical="center"/>
    </xf>
    <xf numFmtId="184" fontId="32" fillId="0" borderId="17" xfId="0" applyNumberFormat="1" applyFont="1" applyBorder="1" applyAlignment="1">
      <alignment vertical="center"/>
    </xf>
    <xf numFmtId="184" fontId="0" fillId="0" borderId="17" xfId="0" applyNumberFormat="1" applyFont="1" applyBorder="1">
      <alignment vertical="center"/>
    </xf>
    <xf numFmtId="185" fontId="0" fillId="0" borderId="0" xfId="0" applyNumberFormat="1" applyFont="1">
      <alignment vertical="center"/>
    </xf>
    <xf numFmtId="0" fontId="0" fillId="0" borderId="14" xfId="0" applyFont="1" applyBorder="1" applyAlignment="1">
      <alignment horizontal="center" vertical="center" wrapText="1"/>
    </xf>
    <xf numFmtId="0" fontId="0" fillId="4" borderId="0" xfId="0" applyFont="1" applyFill="1" applyAlignment="1">
      <alignment horizontal="center" vertical="center"/>
    </xf>
    <xf numFmtId="185" fontId="0" fillId="0" borderId="12" xfId="0" applyNumberFormat="1" applyFont="1" applyBorder="1" applyAlignment="1">
      <alignment horizontal="center" vertical="center"/>
    </xf>
    <xf numFmtId="184" fontId="0" fillId="0" borderId="20" xfId="0" applyNumberFormat="1" applyFont="1" applyBorder="1">
      <alignment vertical="center"/>
    </xf>
    <xf numFmtId="0" fontId="0" fillId="0" borderId="0" xfId="0" applyFont="1" applyBorder="1" applyAlignment="1">
      <alignment horizontal="center" vertical="center"/>
    </xf>
    <xf numFmtId="185" fontId="0" fillId="0" borderId="12" xfId="0" applyNumberFormat="1" applyFont="1" applyFill="1" applyBorder="1" applyAlignment="1">
      <alignment horizontal="center" vertical="center"/>
    </xf>
    <xf numFmtId="184"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7" fillId="0" borderId="0" xfId="0" applyFont="1">
      <alignment vertical="center"/>
    </xf>
    <xf numFmtId="185" fontId="32" fillId="0" borderId="12" xfId="0" applyNumberFormat="1" applyFont="1" applyFill="1" applyBorder="1" applyAlignment="1">
      <alignment horizontal="center" vertical="center"/>
    </xf>
    <xf numFmtId="184" fontId="32" fillId="0" borderId="20" xfId="0" applyNumberFormat="1" applyFont="1" applyFill="1" applyBorder="1">
      <alignment vertical="center"/>
    </xf>
    <xf numFmtId="184" fontId="32" fillId="11" borderId="12" xfId="0" applyNumberFormat="1" applyFont="1" applyFill="1" applyBorder="1">
      <alignment vertical="center"/>
    </xf>
    <xf numFmtId="184" fontId="32" fillId="0" borderId="20" xfId="0" applyNumberFormat="1" applyFont="1" applyBorder="1">
      <alignment vertical="center"/>
    </xf>
    <xf numFmtId="0" fontId="32" fillId="0" borderId="16" xfId="0" applyFont="1" applyFill="1" applyBorder="1" applyAlignment="1">
      <alignment horizontal="center" vertical="center"/>
    </xf>
    <xf numFmtId="185" fontId="32" fillId="0" borderId="17" xfId="0" applyNumberFormat="1" applyFont="1" applyFill="1" applyBorder="1" applyAlignment="1">
      <alignment horizontal="center" vertical="center"/>
    </xf>
    <xf numFmtId="184" fontId="32" fillId="0" borderId="17" xfId="0" applyNumberFormat="1" applyFont="1" applyFill="1" applyBorder="1">
      <alignment vertical="center"/>
    </xf>
    <xf numFmtId="184" fontId="32" fillId="0" borderId="18" xfId="0" applyNumberFormat="1" applyFont="1" applyFill="1" applyBorder="1">
      <alignment vertical="center"/>
    </xf>
    <xf numFmtId="184" fontId="0" fillId="0" borderId="17" xfId="0" applyNumberFormat="1" applyFont="1" applyFill="1" applyBorder="1">
      <alignment vertical="center"/>
    </xf>
    <xf numFmtId="176" fontId="0" fillId="0" borderId="17" xfId="0" applyNumberFormat="1" applyFont="1" applyBorder="1" applyAlignment="1">
      <alignment vertical="center"/>
    </xf>
    <xf numFmtId="176" fontId="0" fillId="0" borderId="17" xfId="0" applyNumberFormat="1" applyFont="1" applyFill="1" applyBorder="1" applyAlignment="1">
      <alignment vertical="center"/>
    </xf>
    <xf numFmtId="0" fontId="0" fillId="0" borderId="17" xfId="0" applyFont="1" applyBorder="1" applyAlignment="1">
      <alignment horizontal="center" vertical="center"/>
    </xf>
    <xf numFmtId="184" fontId="32" fillId="0" borderId="17" xfId="0" applyNumberFormat="1" applyFont="1" applyBorder="1" applyAlignment="1">
      <alignment horizontal="center" vertical="center"/>
    </xf>
    <xf numFmtId="184" fontId="27" fillId="0" borderId="0" xfId="0" applyNumberFormat="1" applyFont="1" applyAlignment="1">
      <alignment horizontal="center" vertical="center"/>
    </xf>
    <xf numFmtId="0" fontId="32" fillId="0" borderId="17" xfId="0" applyFont="1" applyBorder="1" applyAlignment="1">
      <alignment vertical="center"/>
    </xf>
    <xf numFmtId="178"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31" workbookViewId="0">
      <selection activeCell="N46" sqref="N46"/>
    </sheetView>
  </sheetViews>
  <sheetFormatPr defaultColWidth="9" defaultRowHeight="15.95" customHeight="1"/>
  <cols>
    <col min="1" max="1" width="7.625" style="342" customWidth="1"/>
    <col min="2" max="3" width="11.625" style="342" customWidth="1"/>
    <col min="4" max="4" width="10.625" style="342" customWidth="1"/>
    <col min="5" max="19" width="7.625" style="342" customWidth="1"/>
    <col min="20" max="20" width="7.625" style="349" customWidth="1"/>
    <col min="21" max="21" width="9.375" style="349"/>
    <col min="22" max="23" width="10.375" style="342"/>
    <col min="24" max="24" width="11.5" style="342"/>
    <col min="25" max="25" width="9" style="342"/>
    <col min="26" max="26" width="9.375" style="342"/>
    <col min="27" max="16382" width="9" style="342"/>
  </cols>
  <sheetData>
    <row r="1" customHeight="1" spans="1:17">
      <c r="A1" s="349"/>
      <c r="B1" s="350"/>
      <c r="C1" s="351"/>
      <c r="D1" s="352"/>
      <c r="E1" s="353"/>
      <c r="F1" s="352"/>
      <c r="G1" s="354"/>
      <c r="H1" s="355"/>
      <c r="I1" s="355"/>
      <c r="J1" s="355"/>
      <c r="K1" s="396"/>
      <c r="L1" s="355"/>
      <c r="M1" s="355"/>
      <c r="N1" s="396"/>
      <c r="O1" s="397"/>
      <c r="P1" s="397"/>
      <c r="Q1" s="397"/>
    </row>
    <row r="2" ht="24.95" customHeight="1" spans="1:17">
      <c r="A2" s="349"/>
      <c r="B2" s="356" t="s">
        <v>0</v>
      </c>
      <c r="C2" s="356"/>
      <c r="D2" s="356"/>
      <c r="E2" s="356"/>
      <c r="F2" s="356"/>
      <c r="G2" s="356"/>
      <c r="H2" s="356"/>
      <c r="I2" s="356"/>
      <c r="J2" s="356"/>
      <c r="K2" s="356"/>
      <c r="L2" s="356"/>
      <c r="M2" s="356"/>
      <c r="N2" s="356"/>
      <c r="O2" s="356"/>
      <c r="P2" s="356"/>
      <c r="Q2" s="356"/>
    </row>
    <row r="3" ht="13.5" spans="1:16384">
      <c r="A3" s="357" t="s">
        <v>1</v>
      </c>
      <c r="B3" s="358" t="s">
        <v>2</v>
      </c>
      <c r="C3" s="359" t="s">
        <v>3</v>
      </c>
      <c r="D3" s="359"/>
      <c r="E3" s="360" t="s">
        <v>4</v>
      </c>
      <c r="F3" s="361"/>
      <c r="G3" s="360" t="s">
        <v>5</v>
      </c>
      <c r="H3" s="361"/>
      <c r="I3" s="359" t="s">
        <v>6</v>
      </c>
      <c r="J3" s="359"/>
      <c r="K3" s="398" t="s">
        <v>7</v>
      </c>
      <c r="L3" s="399"/>
      <c r="M3" s="399"/>
      <c r="N3" s="399"/>
      <c r="O3" s="400"/>
      <c r="P3" s="398" t="s">
        <v>8</v>
      </c>
      <c r="Q3" s="399"/>
      <c r="R3" s="399"/>
      <c r="S3" s="400"/>
      <c r="T3" s="428"/>
      <c r="U3" s="359" t="s">
        <v>9</v>
      </c>
      <c r="V3" s="429" t="s">
        <v>10</v>
      </c>
      <c r="W3" s="430"/>
      <c r="X3" s="431"/>
      <c r="Y3" s="349"/>
      <c r="XFC3" s="342"/>
      <c r="XFD3" s="342"/>
    </row>
    <row r="4" ht="13.5" spans="1:16384">
      <c r="A4" s="362"/>
      <c r="B4" s="363"/>
      <c r="C4" s="364"/>
      <c r="D4" s="364"/>
      <c r="E4" s="365"/>
      <c r="F4" s="366"/>
      <c r="G4" s="365"/>
      <c r="H4" s="366"/>
      <c r="I4" s="364"/>
      <c r="J4" s="364"/>
      <c r="K4" s="364" t="s">
        <v>11</v>
      </c>
      <c r="L4" s="364"/>
      <c r="M4" s="401" t="s">
        <v>12</v>
      </c>
      <c r="N4" s="402"/>
      <c r="O4" s="403" t="s">
        <v>13</v>
      </c>
      <c r="P4" s="364" t="s">
        <v>14</v>
      </c>
      <c r="Q4" s="364"/>
      <c r="R4" s="401" t="s">
        <v>15</v>
      </c>
      <c r="S4" s="402"/>
      <c r="T4" s="403" t="s">
        <v>13</v>
      </c>
      <c r="U4" s="364"/>
      <c r="V4" s="432"/>
      <c r="W4" s="433"/>
      <c r="X4" s="349"/>
      <c r="Y4" s="349"/>
      <c r="XFC4" s="342"/>
      <c r="XFD4" s="342"/>
    </row>
    <row r="5" customHeight="1" spans="1:16384">
      <c r="A5" s="367">
        <v>1</v>
      </c>
      <c r="B5" s="368" t="s">
        <v>16</v>
      </c>
      <c r="C5" s="369">
        <v>109.94</v>
      </c>
      <c r="D5" s="369">
        <v>129.94</v>
      </c>
      <c r="E5" s="369">
        <f>ABS(D5-C5)</f>
        <v>20</v>
      </c>
      <c r="F5" s="369">
        <f>E5</f>
        <v>20</v>
      </c>
      <c r="G5" s="369">
        <v>3.61863</v>
      </c>
      <c r="H5" s="369">
        <v>3.348</v>
      </c>
      <c r="I5" s="404">
        <v>1.82747</v>
      </c>
      <c r="J5" s="404">
        <v>1.23285</v>
      </c>
      <c r="K5" s="369">
        <v>3.42747</v>
      </c>
      <c r="L5" s="369">
        <v>2.98771</v>
      </c>
      <c r="M5" s="405">
        <v>1.75</v>
      </c>
      <c r="N5" s="405">
        <v>1.75</v>
      </c>
      <c r="O5" s="406">
        <v>0</v>
      </c>
      <c r="P5" s="369">
        <v>3.42747</v>
      </c>
      <c r="Q5" s="369">
        <v>2.98307</v>
      </c>
      <c r="R5" s="434">
        <v>0.45</v>
      </c>
      <c r="S5" s="434">
        <v>0.45</v>
      </c>
      <c r="T5" s="406">
        <v>0</v>
      </c>
      <c r="U5" s="435">
        <v>3.1</v>
      </c>
      <c r="V5" s="436">
        <v>12.5</v>
      </c>
      <c r="W5" s="437">
        <v>12.5</v>
      </c>
      <c r="X5" s="438"/>
      <c r="Y5" s="438"/>
      <c r="Z5"/>
      <c r="AA5" s="469"/>
      <c r="AB5" s="469"/>
      <c r="AC5" s="469"/>
      <c r="AD5"/>
      <c r="AE5"/>
      <c r="AF5" s="470"/>
      <c r="AG5"/>
      <c r="XFC5" s="342"/>
      <c r="XFD5" s="342"/>
    </row>
    <row r="6" customHeight="1" spans="1:16384">
      <c r="A6" s="367">
        <v>2</v>
      </c>
      <c r="B6" s="368" t="s">
        <v>17</v>
      </c>
      <c r="C6" s="369">
        <v>129.97</v>
      </c>
      <c r="D6" s="369">
        <v>149.97</v>
      </c>
      <c r="E6" s="369">
        <f t="shared" ref="E6:E14" si="0">ABS(D6-C6)</f>
        <v>20</v>
      </c>
      <c r="F6" s="369">
        <f t="shared" ref="F6:F15" si="1">E6</f>
        <v>20</v>
      </c>
      <c r="G6" s="369">
        <v>3.348</v>
      </c>
      <c r="H6" s="369">
        <v>3.348</v>
      </c>
      <c r="I6" s="404">
        <v>1.23196</v>
      </c>
      <c r="J6" s="404">
        <v>0.63735</v>
      </c>
      <c r="K6" s="369">
        <v>2.98696</v>
      </c>
      <c r="L6" s="369">
        <v>2.48696</v>
      </c>
      <c r="M6" s="405">
        <v>1.75</v>
      </c>
      <c r="N6" s="405">
        <v>1.75</v>
      </c>
      <c r="O6" s="406">
        <v>0</v>
      </c>
      <c r="P6" s="369">
        <v>2.98226</v>
      </c>
      <c r="Q6" s="369">
        <v>2.33755</v>
      </c>
      <c r="R6" s="434">
        <v>0.45</v>
      </c>
      <c r="S6" s="434">
        <v>0.45</v>
      </c>
      <c r="T6" s="406">
        <v>0</v>
      </c>
      <c r="U6" s="435">
        <v>3.1</v>
      </c>
      <c r="V6" s="436">
        <v>12.5</v>
      </c>
      <c r="W6" s="437">
        <v>12.5</v>
      </c>
      <c r="X6" s="438"/>
      <c r="Y6" s="438"/>
      <c r="Z6"/>
      <c r="AA6" s="469"/>
      <c r="AB6" s="469"/>
      <c r="AC6" s="469"/>
      <c r="AD6"/>
      <c r="AE6"/>
      <c r="AF6" s="470"/>
      <c r="AG6"/>
      <c r="XFC6" s="342"/>
      <c r="XFD6" s="342"/>
    </row>
    <row r="7" customHeight="1" spans="1:16384">
      <c r="A7" s="367">
        <v>3</v>
      </c>
      <c r="B7" s="368" t="s">
        <v>18</v>
      </c>
      <c r="C7" s="369">
        <v>150</v>
      </c>
      <c r="D7" s="369">
        <v>170</v>
      </c>
      <c r="E7" s="369">
        <f t="shared" si="0"/>
        <v>20</v>
      </c>
      <c r="F7" s="369">
        <f t="shared" si="1"/>
        <v>20</v>
      </c>
      <c r="G7" s="369">
        <v>3.348</v>
      </c>
      <c r="H7" s="369">
        <v>3.348</v>
      </c>
      <c r="I7" s="404">
        <v>0.63646</v>
      </c>
      <c r="J7" s="404">
        <v>0.04185</v>
      </c>
      <c r="K7" s="369">
        <v>2.48621</v>
      </c>
      <c r="L7" s="369">
        <v>1.98621</v>
      </c>
      <c r="M7" s="405">
        <v>1.75</v>
      </c>
      <c r="N7" s="405">
        <v>1.75</v>
      </c>
      <c r="O7" s="406">
        <v>0</v>
      </c>
      <c r="P7" s="369">
        <v>2.33644</v>
      </c>
      <c r="Q7" s="369">
        <v>1.5515</v>
      </c>
      <c r="R7" s="434">
        <v>0.45</v>
      </c>
      <c r="S7" s="434">
        <v>0.45</v>
      </c>
      <c r="T7" s="406">
        <v>0</v>
      </c>
      <c r="U7" s="435">
        <v>3.1</v>
      </c>
      <c r="V7" s="436">
        <v>12.5</v>
      </c>
      <c r="W7" s="437">
        <v>12.5</v>
      </c>
      <c r="X7" s="438"/>
      <c r="Y7" s="438"/>
      <c r="Z7"/>
      <c r="AA7" s="469"/>
      <c r="AB7" s="469"/>
      <c r="AC7" s="469"/>
      <c r="AD7"/>
      <c r="AE7"/>
      <c r="AF7" s="470"/>
      <c r="AG7"/>
      <c r="XFC7" s="342"/>
      <c r="XFD7" s="342"/>
    </row>
    <row r="8" customHeight="1" spans="1:16384">
      <c r="A8" s="367">
        <v>4</v>
      </c>
      <c r="B8" s="368" t="s">
        <v>19</v>
      </c>
      <c r="C8" s="369">
        <v>170.03</v>
      </c>
      <c r="D8" s="369">
        <v>190.03</v>
      </c>
      <c r="E8" s="369">
        <f t="shared" si="0"/>
        <v>20</v>
      </c>
      <c r="F8" s="369">
        <f t="shared" si="1"/>
        <v>20</v>
      </c>
      <c r="G8" s="369">
        <v>3.348</v>
      </c>
      <c r="H8" s="369">
        <v>3.348</v>
      </c>
      <c r="I8" s="404">
        <v>0.04096</v>
      </c>
      <c r="J8" s="404">
        <v>-0.55365</v>
      </c>
      <c r="K8" s="369">
        <v>1.98546</v>
      </c>
      <c r="L8" s="369">
        <v>1.48546</v>
      </c>
      <c r="M8" s="405">
        <v>1.75</v>
      </c>
      <c r="N8" s="405">
        <v>1.75</v>
      </c>
      <c r="O8" s="406">
        <v>0</v>
      </c>
      <c r="P8" s="369">
        <v>1.55032</v>
      </c>
      <c r="Q8" s="369">
        <v>0.76032</v>
      </c>
      <c r="R8" s="434">
        <v>0.45</v>
      </c>
      <c r="S8" s="434">
        <v>0.45</v>
      </c>
      <c r="T8" s="406">
        <v>0</v>
      </c>
      <c r="U8" s="435">
        <v>3.1</v>
      </c>
      <c r="V8" s="436">
        <v>12.5</v>
      </c>
      <c r="W8" s="437">
        <v>12.5</v>
      </c>
      <c r="X8" s="438"/>
      <c r="Y8" s="438"/>
      <c r="Z8"/>
      <c r="AA8" s="469"/>
      <c r="AB8" s="469"/>
      <c r="AC8" s="469"/>
      <c r="AD8"/>
      <c r="AE8"/>
      <c r="AF8" s="470"/>
      <c r="AG8"/>
      <c r="XFC8" s="342"/>
      <c r="XFD8" s="342"/>
    </row>
    <row r="9" customHeight="1" spans="1:16384">
      <c r="A9" s="367">
        <v>5</v>
      </c>
      <c r="B9" s="368" t="s">
        <v>20</v>
      </c>
      <c r="C9" s="369">
        <v>190.06</v>
      </c>
      <c r="D9" s="369">
        <v>210.06</v>
      </c>
      <c r="E9" s="369">
        <f t="shared" si="0"/>
        <v>20</v>
      </c>
      <c r="F9" s="369">
        <f t="shared" si="1"/>
        <v>20</v>
      </c>
      <c r="G9" s="369">
        <v>3.348</v>
      </c>
      <c r="H9" s="369">
        <v>3.348</v>
      </c>
      <c r="I9" s="404">
        <v>-0.55455</v>
      </c>
      <c r="J9" s="370">
        <v>-1.14916</v>
      </c>
      <c r="K9" s="369">
        <v>1.48471</v>
      </c>
      <c r="L9" s="369">
        <v>0.98471</v>
      </c>
      <c r="M9" s="405">
        <v>1.75</v>
      </c>
      <c r="N9" s="405">
        <v>1.75</v>
      </c>
      <c r="O9" s="406">
        <v>0</v>
      </c>
      <c r="P9" s="369">
        <v>0.75913</v>
      </c>
      <c r="Q9" s="369">
        <v>-0.03087</v>
      </c>
      <c r="R9" s="434">
        <v>0.45</v>
      </c>
      <c r="S9" s="434">
        <v>0.45</v>
      </c>
      <c r="T9" s="406">
        <v>0</v>
      </c>
      <c r="U9" s="435">
        <v>3.1</v>
      </c>
      <c r="V9" s="436">
        <v>12.5</v>
      </c>
      <c r="W9" s="437">
        <v>12.5</v>
      </c>
      <c r="X9" s="438"/>
      <c r="Y9" s="438"/>
      <c r="Z9"/>
      <c r="AA9" s="469"/>
      <c r="AB9" s="469"/>
      <c r="AC9" s="469"/>
      <c r="AD9"/>
      <c r="AE9"/>
      <c r="AF9" s="470"/>
      <c r="AG9"/>
      <c r="XFC9" s="342"/>
      <c r="XFD9" s="342"/>
    </row>
    <row r="10" customHeight="1" spans="1:16384">
      <c r="A10" s="367">
        <v>6</v>
      </c>
      <c r="B10" s="368" t="s">
        <v>21</v>
      </c>
      <c r="C10" s="369">
        <v>210.09</v>
      </c>
      <c r="D10" s="369">
        <v>230.09</v>
      </c>
      <c r="E10" s="369">
        <f t="shared" si="0"/>
        <v>20</v>
      </c>
      <c r="F10" s="369">
        <f t="shared" si="1"/>
        <v>20</v>
      </c>
      <c r="G10" s="369">
        <v>3.348</v>
      </c>
      <c r="H10" s="369">
        <v>3.348</v>
      </c>
      <c r="I10" s="370">
        <v>-1.15032</v>
      </c>
      <c r="J10" s="370">
        <v>-1.928</v>
      </c>
      <c r="K10" s="369">
        <v>0.98396</v>
      </c>
      <c r="L10" s="369">
        <v>0.48396</v>
      </c>
      <c r="M10" s="405">
        <v>1.75</v>
      </c>
      <c r="N10" s="405">
        <v>1.75</v>
      </c>
      <c r="O10" s="406">
        <v>0</v>
      </c>
      <c r="P10" s="369">
        <v>-0.03205</v>
      </c>
      <c r="Q10" s="369">
        <v>-0.82205</v>
      </c>
      <c r="R10" s="434">
        <v>0.45</v>
      </c>
      <c r="S10" s="434">
        <v>0.45</v>
      </c>
      <c r="T10" s="406">
        <v>0</v>
      </c>
      <c r="U10" s="435">
        <v>3.1</v>
      </c>
      <c r="V10" s="436">
        <v>12.5</v>
      </c>
      <c r="W10" s="437">
        <v>12.5</v>
      </c>
      <c r="X10" s="438"/>
      <c r="Y10" s="438"/>
      <c r="Z10"/>
      <c r="AA10" s="469"/>
      <c r="AB10" s="469"/>
      <c r="AC10" s="469"/>
      <c r="AD10"/>
      <c r="AE10"/>
      <c r="AF10" s="470"/>
      <c r="AG10"/>
      <c r="XFC10" s="342"/>
      <c r="XFD10" s="342"/>
    </row>
    <row r="11" customHeight="1" spans="1:16384">
      <c r="A11" s="367">
        <v>7</v>
      </c>
      <c r="B11" s="368" t="s">
        <v>22</v>
      </c>
      <c r="C11" s="369">
        <v>230.12</v>
      </c>
      <c r="D11" s="369">
        <v>250.12</v>
      </c>
      <c r="E11" s="369">
        <f t="shared" si="0"/>
        <v>20</v>
      </c>
      <c r="F11" s="369">
        <f t="shared" si="1"/>
        <v>20</v>
      </c>
      <c r="G11" s="369">
        <v>3.348</v>
      </c>
      <c r="H11" s="369">
        <v>3.348</v>
      </c>
      <c r="I11" s="370">
        <v>-1.92917</v>
      </c>
      <c r="J11" s="370">
        <v>-2.70684</v>
      </c>
      <c r="K11" s="369">
        <v>0.48321</v>
      </c>
      <c r="L11" s="369">
        <v>-0.01679</v>
      </c>
      <c r="M11" s="405">
        <v>1.75</v>
      </c>
      <c r="N11" s="405">
        <v>1.75</v>
      </c>
      <c r="O11" s="406">
        <v>0</v>
      </c>
      <c r="P11" s="369">
        <v>-0.82324</v>
      </c>
      <c r="Q11" s="369">
        <v>-1.58337</v>
      </c>
      <c r="R11" s="434">
        <v>0.45</v>
      </c>
      <c r="S11" s="434">
        <v>0.45</v>
      </c>
      <c r="T11" s="406">
        <v>0</v>
      </c>
      <c r="U11" s="435">
        <v>3.1</v>
      </c>
      <c r="V11" s="436">
        <v>12.5</v>
      </c>
      <c r="W11" s="437">
        <v>12.5</v>
      </c>
      <c r="X11" s="438"/>
      <c r="Y11" s="438"/>
      <c r="Z11"/>
      <c r="AA11" s="469"/>
      <c r="AB11" s="469"/>
      <c r="AC11" s="469"/>
      <c r="AD11"/>
      <c r="AE11"/>
      <c r="AF11" s="470"/>
      <c r="AG11"/>
      <c r="XFC11" s="342"/>
      <c r="XFD11" s="342"/>
    </row>
    <row r="12" customHeight="1" spans="1:16384">
      <c r="A12" s="367">
        <v>8</v>
      </c>
      <c r="B12" s="368" t="s">
        <v>23</v>
      </c>
      <c r="C12" s="369">
        <v>250.15</v>
      </c>
      <c r="D12" s="369">
        <v>270.15</v>
      </c>
      <c r="E12" s="369">
        <f t="shared" si="0"/>
        <v>20</v>
      </c>
      <c r="F12" s="369">
        <f t="shared" si="1"/>
        <v>20</v>
      </c>
      <c r="G12" s="369">
        <v>3.348</v>
      </c>
      <c r="H12" s="369">
        <v>3.348</v>
      </c>
      <c r="I12" s="370">
        <v>-2.70774</v>
      </c>
      <c r="J12" s="370">
        <v>-3.30793</v>
      </c>
      <c r="K12" s="369">
        <v>-0.01754</v>
      </c>
      <c r="L12" s="369">
        <v>-0.51754</v>
      </c>
      <c r="M12" s="405">
        <v>1.75</v>
      </c>
      <c r="N12" s="405">
        <v>1.75</v>
      </c>
      <c r="O12" s="406">
        <v>0</v>
      </c>
      <c r="P12" s="369">
        <v>-1.58438</v>
      </c>
      <c r="Q12" s="369">
        <v>-2.14772</v>
      </c>
      <c r="R12" s="434">
        <v>0.45</v>
      </c>
      <c r="S12" s="434">
        <v>0.45</v>
      </c>
      <c r="T12" s="406">
        <v>0</v>
      </c>
      <c r="U12" s="435">
        <v>3.1</v>
      </c>
      <c r="V12" s="436">
        <v>12.5</v>
      </c>
      <c r="W12" s="437">
        <v>12.5</v>
      </c>
      <c r="X12" s="438"/>
      <c r="Y12" s="438"/>
      <c r="Z12"/>
      <c r="AA12" s="469"/>
      <c r="AB12" s="469"/>
      <c r="AC12" s="469"/>
      <c r="AD12"/>
      <c r="AE12"/>
      <c r="AF12" s="470"/>
      <c r="AG12"/>
      <c r="XFC12" s="342"/>
      <c r="XFD12" s="342"/>
    </row>
    <row r="13" customHeight="1" spans="1:16384">
      <c r="A13" s="367">
        <v>9</v>
      </c>
      <c r="B13" s="368" t="s">
        <v>24</v>
      </c>
      <c r="C13" s="369">
        <v>270.18</v>
      </c>
      <c r="D13" s="369">
        <v>290.18</v>
      </c>
      <c r="E13" s="369">
        <f t="shared" si="0"/>
        <v>20</v>
      </c>
      <c r="F13" s="369">
        <f t="shared" si="1"/>
        <v>20</v>
      </c>
      <c r="G13" s="369">
        <v>3.348</v>
      </c>
      <c r="H13" s="369">
        <v>3.348</v>
      </c>
      <c r="I13" s="370">
        <v>-3.30883</v>
      </c>
      <c r="J13" s="370">
        <v>-3.90902</v>
      </c>
      <c r="K13" s="369">
        <v>-0.51829</v>
      </c>
      <c r="L13" s="369">
        <v>-0.91873</v>
      </c>
      <c r="M13" s="405">
        <v>1.75</v>
      </c>
      <c r="N13" s="405">
        <v>1.75</v>
      </c>
      <c r="O13" s="406">
        <v>0</v>
      </c>
      <c r="P13" s="369">
        <v>-2.14839</v>
      </c>
      <c r="Q13" s="369">
        <v>-2.48918</v>
      </c>
      <c r="R13" s="434">
        <v>0.45</v>
      </c>
      <c r="S13" s="434">
        <v>0.45</v>
      </c>
      <c r="T13" s="406">
        <v>0</v>
      </c>
      <c r="U13" s="435">
        <v>3.1</v>
      </c>
      <c r="V13" s="436">
        <v>12.5</v>
      </c>
      <c r="W13" s="437">
        <v>12.5</v>
      </c>
      <c r="X13" s="438"/>
      <c r="Y13" s="438"/>
      <c r="Z13"/>
      <c r="AA13" s="469"/>
      <c r="AB13" s="469"/>
      <c r="AC13" s="469"/>
      <c r="AD13"/>
      <c r="AE13"/>
      <c r="AF13" s="470"/>
      <c r="AG13"/>
      <c r="XFC13" s="342"/>
      <c r="XFD13" s="342"/>
    </row>
    <row r="14" customHeight="1" spans="1:16384">
      <c r="A14" s="367">
        <v>10</v>
      </c>
      <c r="B14" s="368" t="s">
        <v>25</v>
      </c>
      <c r="C14" s="369">
        <v>290.21</v>
      </c>
      <c r="D14" s="369">
        <v>310.21</v>
      </c>
      <c r="E14" s="369">
        <f t="shared" si="0"/>
        <v>20</v>
      </c>
      <c r="F14" s="369">
        <f t="shared" si="1"/>
        <v>20</v>
      </c>
      <c r="G14" s="369">
        <v>3.348</v>
      </c>
      <c r="H14" s="369">
        <v>3.348</v>
      </c>
      <c r="I14" s="370">
        <v>-3.90902</v>
      </c>
      <c r="J14" s="370">
        <v>-3.90902</v>
      </c>
      <c r="K14" s="369">
        <v>-0.91918</v>
      </c>
      <c r="L14" s="369">
        <v>-1.11933</v>
      </c>
      <c r="M14" s="405">
        <v>1.75</v>
      </c>
      <c r="N14" s="405">
        <v>1.75</v>
      </c>
      <c r="O14" s="406">
        <v>0</v>
      </c>
      <c r="P14" s="369">
        <v>-2.48952</v>
      </c>
      <c r="Q14" s="369">
        <v>-2.60775</v>
      </c>
      <c r="R14" s="434">
        <v>0.45</v>
      </c>
      <c r="S14" s="434">
        <v>0.45</v>
      </c>
      <c r="T14" s="406">
        <v>0</v>
      </c>
      <c r="U14" s="435">
        <v>3.1</v>
      </c>
      <c r="V14" s="436">
        <v>12.5</v>
      </c>
      <c r="W14" s="437">
        <v>12.5</v>
      </c>
      <c r="X14" s="438"/>
      <c r="Y14" s="438"/>
      <c r="Z14"/>
      <c r="AA14" s="469"/>
      <c r="AB14" s="469"/>
      <c r="AC14" s="469"/>
      <c r="AD14"/>
      <c r="AE14"/>
      <c r="AF14" s="470"/>
      <c r="AG14"/>
      <c r="XFC14" s="342"/>
      <c r="XFD14" s="342"/>
    </row>
    <row r="15" s="341" customFormat="1" customHeight="1" spans="1:32">
      <c r="A15" s="367">
        <v>11</v>
      </c>
      <c r="B15" s="368" t="s">
        <v>26</v>
      </c>
      <c r="C15" s="370">
        <v>429.29</v>
      </c>
      <c r="D15" s="369">
        <v>449.29</v>
      </c>
      <c r="E15" s="369">
        <f t="shared" ref="E15:E31" si="2">ABS(D15-C15)</f>
        <v>20</v>
      </c>
      <c r="F15" s="369">
        <f t="shared" ref="F15:F31" si="3">E15</f>
        <v>20</v>
      </c>
      <c r="G15" s="369">
        <v>3.348</v>
      </c>
      <c r="H15" s="369">
        <v>3.348</v>
      </c>
      <c r="I15" s="370">
        <v>-4.252</v>
      </c>
      <c r="J15" s="370">
        <v>-3.62343</v>
      </c>
      <c r="K15" s="369">
        <v>-0.8262</v>
      </c>
      <c r="L15" s="369">
        <v>-0.73194</v>
      </c>
      <c r="M15" s="405">
        <v>1.75</v>
      </c>
      <c r="N15" s="405">
        <v>1.75</v>
      </c>
      <c r="O15" s="406">
        <v>0</v>
      </c>
      <c r="P15" s="369">
        <v>-2.26064</v>
      </c>
      <c r="Q15" s="369">
        <v>-2.14511</v>
      </c>
      <c r="R15" s="434">
        <v>0.45</v>
      </c>
      <c r="S15" s="434">
        <v>0.45</v>
      </c>
      <c r="T15" s="406">
        <v>0</v>
      </c>
      <c r="U15" s="435">
        <v>3.1</v>
      </c>
      <c r="V15" s="436">
        <v>12.5</v>
      </c>
      <c r="W15" s="437">
        <v>12.5</v>
      </c>
      <c r="X15" s="438"/>
      <c r="Y15" s="438"/>
      <c r="Z15"/>
      <c r="AA15" s="469"/>
      <c r="AB15" s="469"/>
      <c r="AC15" s="469"/>
      <c r="AF15" s="471"/>
    </row>
    <row r="16" s="341" customFormat="1" customHeight="1" spans="1:32">
      <c r="A16" s="367">
        <v>12</v>
      </c>
      <c r="B16" s="368" t="s">
        <v>27</v>
      </c>
      <c r="C16" s="369">
        <v>449.32</v>
      </c>
      <c r="D16" s="369">
        <v>469.32</v>
      </c>
      <c r="E16" s="369">
        <f t="shared" si="2"/>
        <v>20</v>
      </c>
      <c r="F16" s="369">
        <f t="shared" si="3"/>
        <v>20</v>
      </c>
      <c r="G16" s="369">
        <v>3.348</v>
      </c>
      <c r="H16" s="369">
        <v>3.348</v>
      </c>
      <c r="I16" s="370">
        <v>-3.62249</v>
      </c>
      <c r="J16" s="370">
        <v>-2.99392</v>
      </c>
      <c r="K16" s="369">
        <v>-0.73167</v>
      </c>
      <c r="L16" s="369">
        <v>-0.45429</v>
      </c>
      <c r="M16" s="405">
        <v>1.75</v>
      </c>
      <c r="N16" s="405">
        <v>1.75</v>
      </c>
      <c r="O16" s="406">
        <v>0</v>
      </c>
      <c r="P16" s="369">
        <v>-2.14478</v>
      </c>
      <c r="Q16" s="369">
        <v>-1.81623</v>
      </c>
      <c r="R16" s="434">
        <v>0.45</v>
      </c>
      <c r="S16" s="434">
        <v>0.45</v>
      </c>
      <c r="T16" s="406">
        <v>0</v>
      </c>
      <c r="U16" s="435">
        <v>3.1</v>
      </c>
      <c r="V16" s="436">
        <v>12.5</v>
      </c>
      <c r="W16" s="437">
        <v>12.5</v>
      </c>
      <c r="X16" s="438"/>
      <c r="Y16" s="438"/>
      <c r="Z16"/>
      <c r="AA16" s="469"/>
      <c r="AB16" s="469"/>
      <c r="AC16" s="469"/>
      <c r="AF16" s="471"/>
    </row>
    <row r="17" customHeight="1" spans="1:16384">
      <c r="A17" s="367">
        <v>13</v>
      </c>
      <c r="B17" s="368" t="s">
        <v>28</v>
      </c>
      <c r="C17" s="371">
        <v>469.35</v>
      </c>
      <c r="D17" s="371">
        <v>489.35</v>
      </c>
      <c r="E17" s="369">
        <f t="shared" si="2"/>
        <v>20</v>
      </c>
      <c r="F17" s="369">
        <f t="shared" si="3"/>
        <v>20</v>
      </c>
      <c r="G17" s="369">
        <v>3.348</v>
      </c>
      <c r="H17" s="369">
        <v>3.348</v>
      </c>
      <c r="I17" s="370">
        <v>-2.99298</v>
      </c>
      <c r="J17" s="370">
        <v>-2.36441</v>
      </c>
      <c r="K17" s="369">
        <v>-0.45373</v>
      </c>
      <c r="L17" s="369">
        <v>0.00886</v>
      </c>
      <c r="M17" s="405">
        <v>1.75</v>
      </c>
      <c r="N17" s="405">
        <v>1.75</v>
      </c>
      <c r="O17" s="406">
        <v>0</v>
      </c>
      <c r="P17" s="369">
        <v>-1.81557</v>
      </c>
      <c r="Q17" s="369">
        <v>-1.26446</v>
      </c>
      <c r="R17" s="434">
        <v>0.45</v>
      </c>
      <c r="S17" s="434">
        <v>0.45</v>
      </c>
      <c r="T17" s="406">
        <v>0</v>
      </c>
      <c r="U17" s="435">
        <v>3.1</v>
      </c>
      <c r="V17" s="436">
        <v>12.5</v>
      </c>
      <c r="W17" s="437">
        <v>12.5</v>
      </c>
      <c r="X17" s="438"/>
      <c r="Y17" s="438"/>
      <c r="Z17"/>
      <c r="AA17" s="469"/>
      <c r="AB17" s="469"/>
      <c r="AC17" s="472"/>
      <c r="AD17"/>
      <c r="AE17"/>
      <c r="AF17" s="470"/>
      <c r="AG17"/>
      <c r="XFC17" s="342"/>
      <c r="XFD17" s="342"/>
    </row>
    <row r="18" customHeight="1" spans="1:16384">
      <c r="A18" s="367">
        <v>14</v>
      </c>
      <c r="B18" s="368" t="s">
        <v>29</v>
      </c>
      <c r="C18" s="369">
        <v>489.38</v>
      </c>
      <c r="D18" s="369">
        <v>509.38</v>
      </c>
      <c r="E18" s="369">
        <f t="shared" si="2"/>
        <v>20</v>
      </c>
      <c r="F18" s="369">
        <f t="shared" si="3"/>
        <v>20</v>
      </c>
      <c r="G18" s="369">
        <v>3.348</v>
      </c>
      <c r="H18" s="369">
        <v>3.348</v>
      </c>
      <c r="I18" s="370">
        <v>-2.36347</v>
      </c>
      <c r="J18" s="370">
        <v>-1.80614</v>
      </c>
      <c r="K18" s="369">
        <v>0.00961</v>
      </c>
      <c r="L18" s="369">
        <v>0.50961</v>
      </c>
      <c r="M18" s="405">
        <v>1.75</v>
      </c>
      <c r="N18" s="405">
        <v>1.75</v>
      </c>
      <c r="O18" s="406">
        <v>0</v>
      </c>
      <c r="P18" s="369">
        <v>-1.26347</v>
      </c>
      <c r="Q18" s="369">
        <v>-0.51002</v>
      </c>
      <c r="R18" s="434">
        <v>0.45</v>
      </c>
      <c r="S18" s="434">
        <v>0.45</v>
      </c>
      <c r="T18" s="406">
        <v>0</v>
      </c>
      <c r="U18" s="435">
        <v>3.1</v>
      </c>
      <c r="V18" s="436">
        <v>12.5</v>
      </c>
      <c r="W18" s="437">
        <v>12.5</v>
      </c>
      <c r="X18" s="438"/>
      <c r="Y18" s="438"/>
      <c r="Z18"/>
      <c r="AA18" s="469"/>
      <c r="AB18" s="469"/>
      <c r="AC18" s="472"/>
      <c r="AD18"/>
      <c r="AE18"/>
      <c r="AF18" s="470"/>
      <c r="AG18"/>
      <c r="XFC18" s="342"/>
      <c r="XFD18" s="342"/>
    </row>
    <row r="19" s="342" customFormat="1" customHeight="1" spans="1:32">
      <c r="A19" s="367">
        <v>15</v>
      </c>
      <c r="B19" s="368" t="s">
        <v>30</v>
      </c>
      <c r="C19" s="371">
        <v>509.41</v>
      </c>
      <c r="D19" s="371">
        <v>529.41</v>
      </c>
      <c r="E19" s="369">
        <f t="shared" si="2"/>
        <v>19.9999999999999</v>
      </c>
      <c r="F19" s="369">
        <f t="shared" si="3"/>
        <v>19.9999999999999</v>
      </c>
      <c r="G19" s="369">
        <v>3.348</v>
      </c>
      <c r="H19" s="369">
        <v>3.348</v>
      </c>
      <c r="I19" s="370">
        <v>-1.8053</v>
      </c>
      <c r="J19" s="370">
        <v>-1.24798</v>
      </c>
      <c r="K19" s="369">
        <v>0.51036</v>
      </c>
      <c r="L19" s="369">
        <v>1.01036</v>
      </c>
      <c r="M19" s="405">
        <v>1.75</v>
      </c>
      <c r="N19" s="405">
        <v>1.75</v>
      </c>
      <c r="O19" s="406">
        <v>0</v>
      </c>
      <c r="P19" s="369">
        <v>-0.50883</v>
      </c>
      <c r="Q19" s="369">
        <v>0.28117</v>
      </c>
      <c r="R19" s="434">
        <v>0.45</v>
      </c>
      <c r="S19" s="434">
        <v>0.45</v>
      </c>
      <c r="T19" s="406">
        <v>0</v>
      </c>
      <c r="U19" s="435">
        <v>3.1</v>
      </c>
      <c r="V19" s="436">
        <v>12.5</v>
      </c>
      <c r="W19" s="437">
        <v>12.5</v>
      </c>
      <c r="X19" s="438"/>
      <c r="Y19" s="438"/>
      <c r="Z19"/>
      <c r="AA19" s="469"/>
      <c r="AB19" s="469"/>
      <c r="AC19" s="472"/>
      <c r="AF19" s="473"/>
    </row>
    <row r="20" s="342" customFormat="1" customHeight="1" spans="1:32">
      <c r="A20" s="367">
        <v>16</v>
      </c>
      <c r="B20" s="368" t="s">
        <v>31</v>
      </c>
      <c r="C20" s="369">
        <v>529.44</v>
      </c>
      <c r="D20" s="369">
        <v>549.44</v>
      </c>
      <c r="E20" s="369">
        <f t="shared" si="2"/>
        <v>20</v>
      </c>
      <c r="F20" s="369">
        <f t="shared" si="3"/>
        <v>20</v>
      </c>
      <c r="G20" s="369">
        <v>3.348</v>
      </c>
      <c r="H20" s="369">
        <v>3.348</v>
      </c>
      <c r="I20" s="370">
        <v>-1.24714</v>
      </c>
      <c r="J20" s="370">
        <v>-0.68981</v>
      </c>
      <c r="K20" s="369">
        <v>1.01111</v>
      </c>
      <c r="L20" s="369">
        <v>1.51111</v>
      </c>
      <c r="M20" s="405">
        <v>1.75</v>
      </c>
      <c r="N20" s="405">
        <v>1.75</v>
      </c>
      <c r="O20" s="406">
        <v>0</v>
      </c>
      <c r="P20" s="369">
        <v>0.28235</v>
      </c>
      <c r="Q20" s="369">
        <v>1.07235</v>
      </c>
      <c r="R20" s="434">
        <v>0.45</v>
      </c>
      <c r="S20" s="434">
        <v>0.45</v>
      </c>
      <c r="T20" s="406">
        <v>0</v>
      </c>
      <c r="U20" s="435">
        <v>3.1</v>
      </c>
      <c r="V20" s="436">
        <v>12.5</v>
      </c>
      <c r="W20" s="437">
        <v>12.5</v>
      </c>
      <c r="X20" s="438"/>
      <c r="Y20" s="438"/>
      <c r="Z20"/>
      <c r="AA20" s="469"/>
      <c r="AB20" s="469"/>
      <c r="AC20" s="472"/>
      <c r="AF20" s="473"/>
    </row>
    <row r="21" customHeight="1" spans="1:16384">
      <c r="A21" s="367">
        <v>17</v>
      </c>
      <c r="B21" s="368" t="s">
        <v>32</v>
      </c>
      <c r="C21" s="371">
        <v>549.47</v>
      </c>
      <c r="D21" s="371">
        <v>569.47</v>
      </c>
      <c r="E21" s="369">
        <f t="shared" si="2"/>
        <v>20</v>
      </c>
      <c r="F21" s="369">
        <f t="shared" si="3"/>
        <v>20</v>
      </c>
      <c r="G21" s="369">
        <v>3.348</v>
      </c>
      <c r="H21" s="369">
        <v>3.348</v>
      </c>
      <c r="I21" s="370">
        <v>-0.68898</v>
      </c>
      <c r="J21" s="370">
        <v>-0.13165</v>
      </c>
      <c r="K21" s="369">
        <v>1.51186</v>
      </c>
      <c r="L21" s="369">
        <v>2.01186</v>
      </c>
      <c r="M21" s="405">
        <v>1.75</v>
      </c>
      <c r="N21" s="405">
        <v>1.75</v>
      </c>
      <c r="O21" s="406">
        <v>0</v>
      </c>
      <c r="P21" s="369">
        <v>1.07354</v>
      </c>
      <c r="Q21" s="369">
        <v>1.86133</v>
      </c>
      <c r="R21" s="434">
        <v>0.45</v>
      </c>
      <c r="S21" s="434">
        <v>0.45</v>
      </c>
      <c r="T21" s="406">
        <v>0</v>
      </c>
      <c r="U21" s="435">
        <v>3.1</v>
      </c>
      <c r="V21" s="436">
        <v>12.5</v>
      </c>
      <c r="W21" s="437">
        <v>12.5</v>
      </c>
      <c r="X21" s="438"/>
      <c r="Y21" s="438"/>
      <c r="Z21"/>
      <c r="AA21" s="469"/>
      <c r="AB21" s="469"/>
      <c r="AC21" s="472"/>
      <c r="AD21"/>
      <c r="AE21"/>
      <c r="AF21" s="470"/>
      <c r="AG21"/>
      <c r="XFC21" s="342"/>
      <c r="XFD21" s="342"/>
    </row>
    <row r="22" customHeight="1" spans="1:16384">
      <c r="A22" s="367">
        <v>18</v>
      </c>
      <c r="B22" s="368" t="s">
        <v>33</v>
      </c>
      <c r="C22" s="369">
        <v>569.5</v>
      </c>
      <c r="D22" s="369">
        <v>589.5</v>
      </c>
      <c r="E22" s="369">
        <f t="shared" si="2"/>
        <v>20</v>
      </c>
      <c r="F22" s="369">
        <f t="shared" si="3"/>
        <v>20</v>
      </c>
      <c r="G22" s="369">
        <v>3.348</v>
      </c>
      <c r="H22" s="369">
        <v>3.348</v>
      </c>
      <c r="I22" s="370">
        <v>-0.13081</v>
      </c>
      <c r="J22" s="370">
        <v>0.42651</v>
      </c>
      <c r="K22" s="369">
        <v>2.01261</v>
      </c>
      <c r="L22" s="369">
        <v>2.51261</v>
      </c>
      <c r="M22" s="405">
        <v>1.75</v>
      </c>
      <c r="N22" s="405">
        <v>1.75</v>
      </c>
      <c r="O22" s="406">
        <v>0</v>
      </c>
      <c r="P22" s="369">
        <v>1.86247</v>
      </c>
      <c r="Q22" s="369">
        <v>2.5097</v>
      </c>
      <c r="R22" s="434">
        <v>0.45</v>
      </c>
      <c r="S22" s="434">
        <v>0.45</v>
      </c>
      <c r="T22" s="406">
        <v>0</v>
      </c>
      <c r="U22" s="435">
        <v>3.1</v>
      </c>
      <c r="V22" s="439">
        <v>12.5</v>
      </c>
      <c r="W22" s="440">
        <v>12.624</v>
      </c>
      <c r="X22" s="438"/>
      <c r="Y22" s="438"/>
      <c r="Z22"/>
      <c r="AA22" s="469"/>
      <c r="AB22" s="469"/>
      <c r="AC22" s="472"/>
      <c r="AD22"/>
      <c r="AE22"/>
      <c r="AF22" s="470"/>
      <c r="AG22"/>
      <c r="XFC22" s="342"/>
      <c r="XFD22" s="342"/>
    </row>
    <row r="23" customHeight="1" spans="1:16384">
      <c r="A23" s="367">
        <v>19</v>
      </c>
      <c r="B23" s="368" t="s">
        <v>34</v>
      </c>
      <c r="C23" s="371">
        <v>589.53</v>
      </c>
      <c r="D23" s="371">
        <v>605.0005</v>
      </c>
      <c r="E23" s="369">
        <f t="shared" si="2"/>
        <v>15.4705</v>
      </c>
      <c r="F23" s="369">
        <f t="shared" si="3"/>
        <v>15.4705</v>
      </c>
      <c r="G23" s="369">
        <v>3.348</v>
      </c>
      <c r="H23" s="369">
        <v>3.348</v>
      </c>
      <c r="I23" s="370">
        <v>0.42735</v>
      </c>
      <c r="J23" s="370">
        <v>0.85846</v>
      </c>
      <c r="K23" s="369">
        <v>2.51336</v>
      </c>
      <c r="L23" s="369">
        <v>2.85846</v>
      </c>
      <c r="M23" s="405">
        <v>1.75</v>
      </c>
      <c r="N23" s="405">
        <v>1.75</v>
      </c>
      <c r="O23" s="406">
        <v>0</v>
      </c>
      <c r="P23" s="369">
        <v>2.5105</v>
      </c>
      <c r="Q23" s="369">
        <v>2.85846</v>
      </c>
      <c r="R23" s="434">
        <v>0.45</v>
      </c>
      <c r="S23" s="434">
        <v>0.45</v>
      </c>
      <c r="T23" s="406">
        <v>0</v>
      </c>
      <c r="U23" s="435">
        <v>3.1</v>
      </c>
      <c r="V23" s="439">
        <v>12.626</v>
      </c>
      <c r="W23" s="440">
        <v>13.594</v>
      </c>
      <c r="X23" s="438"/>
      <c r="Y23" s="438"/>
      <c r="Z23"/>
      <c r="AA23" s="469"/>
      <c r="AB23" s="469"/>
      <c r="AC23" s="472"/>
      <c r="AD23"/>
      <c r="AE23"/>
      <c r="AF23" s="470"/>
      <c r="AG23"/>
      <c r="XFC23" s="342"/>
      <c r="XFD23" s="342"/>
    </row>
    <row r="24" s="343" customFormat="1" customHeight="1" spans="1:16384">
      <c r="A24" s="372">
        <v>20</v>
      </c>
      <c r="B24" s="373" t="s">
        <v>35</v>
      </c>
      <c r="C24" s="374">
        <v>594.2491</v>
      </c>
      <c r="D24" s="374">
        <v>614.2491</v>
      </c>
      <c r="E24" s="374">
        <f t="shared" si="2"/>
        <v>20</v>
      </c>
      <c r="F24" s="374">
        <f t="shared" si="3"/>
        <v>20</v>
      </c>
      <c r="G24" s="374">
        <v>3.914</v>
      </c>
      <c r="H24" s="374">
        <v>3.914</v>
      </c>
      <c r="I24" s="374">
        <v>2.27743</v>
      </c>
      <c r="J24" s="374">
        <v>2.65934</v>
      </c>
      <c r="K24" s="374">
        <v>3.19858</v>
      </c>
      <c r="L24" s="374">
        <v>3.67645</v>
      </c>
      <c r="M24" s="407">
        <v>1.75</v>
      </c>
      <c r="N24" s="407">
        <v>1.75</v>
      </c>
      <c r="O24" s="408">
        <v>1</v>
      </c>
      <c r="P24" s="374">
        <v>3.17395</v>
      </c>
      <c r="Q24" s="374">
        <v>3.67645</v>
      </c>
      <c r="R24" s="441">
        <v>0.45</v>
      </c>
      <c r="S24" s="441">
        <v>0.45</v>
      </c>
      <c r="T24" s="408">
        <v>0</v>
      </c>
      <c r="U24" s="442">
        <v>3.1</v>
      </c>
      <c r="V24" s="443">
        <v>8</v>
      </c>
      <c r="W24" s="444">
        <v>8</v>
      </c>
      <c r="X24" s="445"/>
      <c r="Y24" s="445"/>
      <c r="AA24" s="474"/>
      <c r="AB24" s="474"/>
      <c r="AC24" s="475"/>
      <c r="AF24" s="476"/>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6"/>
      <c r="BE24" s="486"/>
      <c r="BF24" s="486"/>
      <c r="BG24" s="486"/>
      <c r="BH24" s="486"/>
      <c r="BI24" s="486"/>
      <c r="BJ24" s="486"/>
      <c r="BK24" s="486"/>
      <c r="BL24" s="486"/>
      <c r="BM24" s="486"/>
      <c r="BN24" s="486"/>
      <c r="BO24" s="486"/>
      <c r="BP24" s="486"/>
      <c r="BQ24" s="486"/>
      <c r="BR24" s="486"/>
      <c r="BS24" s="486"/>
      <c r="BT24" s="486"/>
      <c r="BU24" s="486"/>
      <c r="BV24" s="486"/>
      <c r="BW24" s="486"/>
      <c r="BX24" s="486"/>
      <c r="BY24" s="486"/>
      <c r="BZ24" s="486"/>
      <c r="CA24" s="486"/>
      <c r="CB24" s="486"/>
      <c r="CC24" s="486"/>
      <c r="CD24" s="486"/>
      <c r="CE24" s="486"/>
      <c r="CF24" s="486"/>
      <c r="CG24" s="486"/>
      <c r="CH24" s="486"/>
      <c r="CI24" s="486"/>
      <c r="CJ24" s="486"/>
      <c r="CK24" s="486"/>
      <c r="CL24" s="486"/>
      <c r="CM24" s="486"/>
      <c r="CN24" s="486"/>
      <c r="CO24" s="486"/>
      <c r="CP24" s="486"/>
      <c r="CQ24" s="486"/>
      <c r="CR24" s="486"/>
      <c r="CS24" s="486"/>
      <c r="CT24" s="486"/>
      <c r="CU24" s="486"/>
      <c r="CV24" s="486"/>
      <c r="CW24" s="486"/>
      <c r="CX24" s="486"/>
      <c r="CY24" s="486"/>
      <c r="CZ24" s="486"/>
      <c r="DA24" s="486"/>
      <c r="DB24" s="486"/>
      <c r="DC24" s="486"/>
      <c r="DD24" s="486"/>
      <c r="DE24" s="486"/>
      <c r="DF24" s="486"/>
      <c r="DG24" s="486"/>
      <c r="DH24" s="486"/>
      <c r="DI24" s="486"/>
      <c r="DJ24" s="486"/>
      <c r="DK24" s="486"/>
      <c r="DL24" s="486"/>
      <c r="DM24" s="486"/>
      <c r="DN24" s="486"/>
      <c r="DO24" s="486"/>
      <c r="DP24" s="486"/>
      <c r="DQ24" s="486"/>
      <c r="DR24" s="486"/>
      <c r="DS24" s="486"/>
      <c r="DT24" s="486"/>
      <c r="DU24" s="486"/>
      <c r="DV24" s="486"/>
      <c r="DW24" s="486"/>
      <c r="DX24" s="486"/>
      <c r="DY24" s="486"/>
      <c r="DZ24" s="486"/>
      <c r="EA24" s="486"/>
      <c r="EB24" s="486"/>
      <c r="EC24" s="486"/>
      <c r="ED24" s="486"/>
      <c r="EE24" s="486"/>
      <c r="EF24" s="486"/>
      <c r="EG24" s="486"/>
      <c r="EH24" s="486"/>
      <c r="EI24" s="486"/>
      <c r="EJ24" s="486"/>
      <c r="EK24" s="486"/>
      <c r="EL24" s="486"/>
      <c r="EM24" s="486"/>
      <c r="EN24" s="486"/>
      <c r="EO24" s="486"/>
      <c r="EP24" s="486"/>
      <c r="EQ24" s="486"/>
      <c r="ER24" s="486"/>
      <c r="ES24" s="486"/>
      <c r="ET24" s="486"/>
      <c r="EU24" s="486"/>
      <c r="EV24" s="486"/>
      <c r="EW24" s="486"/>
      <c r="EX24" s="486"/>
      <c r="EY24" s="486"/>
      <c r="EZ24" s="486"/>
      <c r="FA24" s="486"/>
      <c r="FB24" s="486"/>
      <c r="FC24" s="486"/>
      <c r="FD24" s="486"/>
      <c r="FE24" s="486"/>
      <c r="FF24" s="486"/>
      <c r="FG24" s="486"/>
      <c r="FH24" s="486"/>
      <c r="FI24" s="486"/>
      <c r="FJ24" s="486"/>
      <c r="FK24" s="486"/>
      <c r="FL24" s="486"/>
      <c r="FM24" s="486"/>
      <c r="FN24" s="486"/>
      <c r="FO24" s="486"/>
      <c r="FP24" s="486"/>
      <c r="FQ24" s="486"/>
      <c r="FR24" s="486"/>
      <c r="FS24" s="486"/>
      <c r="FT24" s="486"/>
      <c r="FU24" s="486"/>
      <c r="FV24" s="486"/>
      <c r="FW24" s="486"/>
      <c r="FX24" s="486"/>
      <c r="FY24" s="486"/>
      <c r="FZ24" s="486"/>
      <c r="GA24" s="486"/>
      <c r="GB24" s="486"/>
      <c r="GC24" s="486"/>
      <c r="GD24" s="486"/>
      <c r="GE24" s="486"/>
      <c r="GF24" s="486"/>
      <c r="GG24" s="486"/>
      <c r="GH24" s="486"/>
      <c r="GI24" s="486"/>
      <c r="GJ24" s="486"/>
      <c r="GK24" s="486"/>
      <c r="GL24" s="486"/>
      <c r="GM24" s="486"/>
      <c r="GN24" s="486"/>
      <c r="GO24" s="486"/>
      <c r="GP24" s="486"/>
      <c r="GQ24" s="486"/>
      <c r="GR24" s="486"/>
      <c r="GS24" s="486"/>
      <c r="GT24" s="486"/>
      <c r="GU24" s="486"/>
      <c r="GV24" s="486"/>
      <c r="GW24" s="486"/>
      <c r="GX24" s="486"/>
      <c r="GY24" s="486"/>
      <c r="GZ24" s="486"/>
      <c r="HA24" s="486"/>
      <c r="HB24" s="486"/>
      <c r="HC24" s="486"/>
      <c r="HD24" s="486"/>
      <c r="HE24" s="486"/>
      <c r="HF24" s="486"/>
      <c r="HG24" s="486"/>
      <c r="HH24" s="486"/>
      <c r="HI24" s="486"/>
      <c r="HJ24" s="486"/>
      <c r="HK24" s="486"/>
      <c r="HL24" s="486"/>
      <c r="HM24" s="486"/>
      <c r="HN24" s="486"/>
      <c r="HO24" s="486"/>
      <c r="HP24" s="486"/>
      <c r="HQ24" s="486"/>
      <c r="HR24" s="486"/>
      <c r="HS24" s="486"/>
      <c r="HT24" s="486"/>
      <c r="HU24" s="486"/>
      <c r="HV24" s="486"/>
      <c r="HW24" s="486"/>
      <c r="HX24" s="486"/>
      <c r="HY24" s="486"/>
      <c r="HZ24" s="486"/>
      <c r="IA24" s="486"/>
      <c r="IB24" s="486"/>
      <c r="IC24" s="486"/>
      <c r="ID24" s="486"/>
      <c r="IE24" s="486"/>
      <c r="IF24" s="486"/>
      <c r="IG24" s="486"/>
      <c r="IH24" s="486"/>
      <c r="II24" s="486"/>
      <c r="IJ24" s="486"/>
      <c r="IK24" s="486"/>
      <c r="IL24" s="486"/>
      <c r="IM24" s="486"/>
      <c r="IN24" s="486"/>
      <c r="IO24" s="486"/>
      <c r="IP24" s="486"/>
      <c r="IQ24" s="486"/>
      <c r="IR24" s="486"/>
      <c r="IS24" s="486"/>
      <c r="IT24" s="486"/>
      <c r="IU24" s="486"/>
      <c r="IV24" s="486"/>
      <c r="IW24" s="486"/>
      <c r="IX24" s="486"/>
      <c r="IY24" s="486"/>
      <c r="IZ24" s="486"/>
      <c r="JA24" s="486"/>
      <c r="JB24" s="486"/>
      <c r="JC24" s="486"/>
      <c r="JD24" s="486"/>
      <c r="JE24" s="486"/>
      <c r="JF24" s="486"/>
      <c r="JG24" s="486"/>
      <c r="JH24" s="486"/>
      <c r="JI24" s="486"/>
      <c r="JJ24" s="486"/>
      <c r="JK24" s="486"/>
      <c r="JL24" s="486"/>
      <c r="JM24" s="486"/>
      <c r="JN24" s="486"/>
      <c r="JO24" s="486"/>
      <c r="JP24" s="486"/>
      <c r="JQ24" s="486"/>
      <c r="JR24" s="486"/>
      <c r="JS24" s="486"/>
      <c r="JT24" s="486"/>
      <c r="JU24" s="486"/>
      <c r="JV24" s="486"/>
      <c r="JW24" s="486"/>
      <c r="JX24" s="486"/>
      <c r="JY24" s="486"/>
      <c r="JZ24" s="486"/>
      <c r="KA24" s="486"/>
      <c r="KB24" s="486"/>
      <c r="KC24" s="486"/>
      <c r="KD24" s="486"/>
      <c r="KE24" s="486"/>
      <c r="KF24" s="486"/>
      <c r="KG24" s="486"/>
      <c r="KH24" s="486"/>
      <c r="KI24" s="486"/>
      <c r="KJ24" s="486"/>
      <c r="KK24" s="486"/>
      <c r="KL24" s="486"/>
      <c r="KM24" s="486"/>
      <c r="KN24" s="486"/>
      <c r="KO24" s="486"/>
      <c r="KP24" s="486"/>
      <c r="KQ24" s="486"/>
      <c r="KR24" s="486"/>
      <c r="KS24" s="486"/>
      <c r="KT24" s="486"/>
      <c r="KU24" s="486"/>
      <c r="KV24" s="486"/>
      <c r="KW24" s="486"/>
      <c r="KX24" s="486"/>
      <c r="KY24" s="486"/>
      <c r="KZ24" s="486"/>
      <c r="LA24" s="486"/>
      <c r="LB24" s="486"/>
      <c r="LC24" s="486"/>
      <c r="LD24" s="486"/>
      <c r="LE24" s="486"/>
      <c r="LF24" s="486"/>
      <c r="LG24" s="486"/>
      <c r="LH24" s="486"/>
      <c r="LI24" s="486"/>
      <c r="LJ24" s="486"/>
      <c r="LK24" s="486"/>
      <c r="LL24" s="486"/>
      <c r="LM24" s="486"/>
      <c r="LN24" s="486"/>
      <c r="LO24" s="486"/>
      <c r="LP24" s="486"/>
      <c r="LQ24" s="486"/>
      <c r="LR24" s="486"/>
      <c r="LS24" s="486"/>
      <c r="LT24" s="486"/>
      <c r="LU24" s="486"/>
      <c r="LV24" s="486"/>
      <c r="LW24" s="486"/>
      <c r="LX24" s="486"/>
      <c r="LY24" s="486"/>
      <c r="LZ24" s="486"/>
      <c r="MA24" s="486"/>
      <c r="MB24" s="486"/>
      <c r="MC24" s="486"/>
      <c r="MD24" s="486"/>
      <c r="ME24" s="486"/>
      <c r="MF24" s="486"/>
      <c r="MG24" s="486"/>
      <c r="MH24" s="486"/>
      <c r="MI24" s="486"/>
      <c r="MJ24" s="486"/>
      <c r="MK24" s="486"/>
      <c r="ML24" s="486"/>
      <c r="MM24" s="486"/>
      <c r="MN24" s="486"/>
      <c r="MO24" s="486"/>
      <c r="MP24" s="486"/>
      <c r="MQ24" s="486"/>
      <c r="MR24" s="486"/>
      <c r="MS24" s="486"/>
      <c r="MT24" s="486"/>
      <c r="MU24" s="486"/>
      <c r="MV24" s="486"/>
      <c r="MW24" s="486"/>
      <c r="MX24" s="486"/>
      <c r="MY24" s="486"/>
      <c r="MZ24" s="486"/>
      <c r="NA24" s="486"/>
      <c r="NB24" s="486"/>
      <c r="NC24" s="486"/>
      <c r="ND24" s="486"/>
      <c r="NE24" s="486"/>
      <c r="NF24" s="486"/>
      <c r="NG24" s="486"/>
      <c r="NH24" s="486"/>
      <c r="NI24" s="486"/>
      <c r="NJ24" s="486"/>
      <c r="NK24" s="486"/>
      <c r="NL24" s="486"/>
      <c r="NM24" s="486"/>
      <c r="NN24" s="486"/>
      <c r="NO24" s="486"/>
      <c r="NP24" s="486"/>
      <c r="NQ24" s="486"/>
      <c r="NR24" s="486"/>
      <c r="NS24" s="486"/>
      <c r="NT24" s="486"/>
      <c r="NU24" s="486"/>
      <c r="NV24" s="486"/>
      <c r="NW24" s="486"/>
      <c r="NX24" s="486"/>
      <c r="NY24" s="486"/>
      <c r="NZ24" s="486"/>
      <c r="OA24" s="486"/>
      <c r="OB24" s="486"/>
      <c r="OC24" s="486"/>
      <c r="OD24" s="486"/>
      <c r="OE24" s="486"/>
      <c r="OF24" s="486"/>
      <c r="OG24" s="486"/>
      <c r="OH24" s="486"/>
      <c r="OI24" s="486"/>
      <c r="OJ24" s="486"/>
      <c r="OK24" s="486"/>
      <c r="OL24" s="486"/>
      <c r="OM24" s="486"/>
      <c r="ON24" s="486"/>
      <c r="OO24" s="486"/>
      <c r="OP24" s="486"/>
      <c r="OQ24" s="486"/>
      <c r="OR24" s="486"/>
      <c r="OS24" s="486"/>
      <c r="OT24" s="486"/>
      <c r="OU24" s="486"/>
      <c r="OV24" s="486"/>
      <c r="OW24" s="486"/>
      <c r="OX24" s="486"/>
      <c r="OY24" s="486"/>
      <c r="OZ24" s="486"/>
      <c r="PA24" s="486"/>
      <c r="PB24" s="486"/>
      <c r="PC24" s="486"/>
      <c r="PD24" s="486"/>
      <c r="PE24" s="486"/>
      <c r="PF24" s="486"/>
      <c r="PG24" s="486"/>
      <c r="PH24" s="486"/>
      <c r="PI24" s="486"/>
      <c r="PJ24" s="486"/>
      <c r="PK24" s="486"/>
      <c r="PL24" s="486"/>
      <c r="PM24" s="486"/>
      <c r="PN24" s="486"/>
      <c r="PO24" s="486"/>
      <c r="PP24" s="486"/>
      <c r="PQ24" s="486"/>
      <c r="PR24" s="486"/>
      <c r="PS24" s="486"/>
      <c r="PT24" s="486"/>
      <c r="PU24" s="486"/>
      <c r="PV24" s="486"/>
      <c r="PW24" s="486"/>
      <c r="PX24" s="486"/>
      <c r="PY24" s="486"/>
      <c r="PZ24" s="486"/>
      <c r="QA24" s="486"/>
      <c r="QB24" s="486"/>
      <c r="QC24" s="486"/>
      <c r="QD24" s="486"/>
      <c r="QE24" s="486"/>
      <c r="QF24" s="486"/>
      <c r="QG24" s="486"/>
      <c r="QH24" s="486"/>
      <c r="QI24" s="486"/>
      <c r="QJ24" s="486"/>
      <c r="QK24" s="486"/>
      <c r="QL24" s="486"/>
      <c r="QM24" s="486"/>
      <c r="QN24" s="486"/>
      <c r="QO24" s="486"/>
      <c r="QP24" s="486"/>
      <c r="QQ24" s="486"/>
      <c r="QR24" s="486"/>
      <c r="QS24" s="486"/>
      <c r="QT24" s="486"/>
      <c r="QU24" s="486"/>
      <c r="QV24" s="486"/>
      <c r="QW24" s="486"/>
      <c r="QX24" s="486"/>
      <c r="QY24" s="486"/>
      <c r="QZ24" s="486"/>
      <c r="RA24" s="486"/>
      <c r="RB24" s="486"/>
      <c r="RC24" s="486"/>
      <c r="RD24" s="486"/>
      <c r="RE24" s="486"/>
      <c r="RF24" s="486"/>
      <c r="RG24" s="486"/>
      <c r="RH24" s="486"/>
      <c r="RI24" s="486"/>
      <c r="RJ24" s="486"/>
      <c r="RK24" s="486"/>
      <c r="RL24" s="486"/>
      <c r="RM24" s="486"/>
      <c r="RN24" s="486"/>
      <c r="RO24" s="486"/>
      <c r="RP24" s="486"/>
      <c r="RQ24" s="486"/>
      <c r="RR24" s="486"/>
      <c r="RS24" s="486"/>
      <c r="RT24" s="486"/>
      <c r="RU24" s="486"/>
      <c r="RV24" s="486"/>
      <c r="RW24" s="486"/>
      <c r="RX24" s="486"/>
      <c r="RY24" s="486"/>
      <c r="RZ24" s="486"/>
      <c r="SA24" s="486"/>
      <c r="SB24" s="486"/>
      <c r="SC24" s="486"/>
      <c r="SD24" s="486"/>
      <c r="SE24" s="486"/>
      <c r="SF24" s="486"/>
      <c r="SG24" s="486"/>
      <c r="SH24" s="486"/>
      <c r="SI24" s="486"/>
      <c r="SJ24" s="486"/>
      <c r="SK24" s="486"/>
      <c r="SL24" s="486"/>
      <c r="SM24" s="486"/>
      <c r="SN24" s="486"/>
      <c r="SO24" s="486"/>
      <c r="SP24" s="486"/>
      <c r="SQ24" s="486"/>
      <c r="SR24" s="486"/>
      <c r="SS24" s="486"/>
      <c r="ST24" s="486"/>
      <c r="SU24" s="486"/>
      <c r="SV24" s="486"/>
      <c r="SW24" s="486"/>
      <c r="SX24" s="486"/>
      <c r="SY24" s="486"/>
      <c r="SZ24" s="486"/>
      <c r="TA24" s="486"/>
      <c r="TB24" s="486"/>
      <c r="TC24" s="486"/>
      <c r="TD24" s="486"/>
      <c r="TE24" s="486"/>
      <c r="TF24" s="486"/>
      <c r="TG24" s="486"/>
      <c r="TH24" s="486"/>
      <c r="TI24" s="486"/>
      <c r="TJ24" s="486"/>
      <c r="TK24" s="486"/>
      <c r="TL24" s="486"/>
      <c r="TM24" s="486"/>
      <c r="TN24" s="486"/>
      <c r="TO24" s="486"/>
      <c r="TP24" s="486"/>
      <c r="TQ24" s="486"/>
      <c r="TR24" s="486"/>
      <c r="TS24" s="486"/>
      <c r="TT24" s="486"/>
      <c r="TU24" s="486"/>
      <c r="TV24" s="486"/>
      <c r="TW24" s="486"/>
      <c r="TX24" s="486"/>
      <c r="TY24" s="486"/>
      <c r="TZ24" s="486"/>
      <c r="UA24" s="486"/>
      <c r="UB24" s="486"/>
      <c r="UC24" s="486"/>
      <c r="UD24" s="486"/>
      <c r="UE24" s="486"/>
      <c r="UF24" s="486"/>
      <c r="UG24" s="486"/>
      <c r="UH24" s="486"/>
      <c r="UI24" s="486"/>
      <c r="UJ24" s="486"/>
      <c r="UK24" s="486"/>
      <c r="UL24" s="486"/>
      <c r="UM24" s="486"/>
      <c r="UN24" s="486"/>
      <c r="UO24" s="486"/>
      <c r="UP24" s="486"/>
      <c r="UQ24" s="486"/>
      <c r="UR24" s="486"/>
      <c r="US24" s="486"/>
      <c r="UT24" s="486"/>
      <c r="UU24" s="486"/>
      <c r="UV24" s="486"/>
      <c r="UW24" s="486"/>
      <c r="UX24" s="486"/>
      <c r="UY24" s="486"/>
      <c r="UZ24" s="486"/>
      <c r="VA24" s="486"/>
      <c r="VB24" s="486"/>
      <c r="VC24" s="486"/>
      <c r="VD24" s="486"/>
      <c r="VE24" s="486"/>
      <c r="VF24" s="486"/>
      <c r="VG24" s="486"/>
      <c r="VH24" s="486"/>
      <c r="VI24" s="486"/>
      <c r="VJ24" s="486"/>
      <c r="VK24" s="486"/>
      <c r="VL24" s="486"/>
      <c r="VM24" s="486"/>
      <c r="VN24" s="486"/>
      <c r="VO24" s="486"/>
      <c r="VP24" s="486"/>
      <c r="VQ24" s="486"/>
      <c r="VR24" s="486"/>
      <c r="VS24" s="486"/>
      <c r="VT24" s="486"/>
      <c r="VU24" s="486"/>
      <c r="VV24" s="486"/>
      <c r="VW24" s="486"/>
      <c r="VX24" s="486"/>
      <c r="VY24" s="486"/>
      <c r="VZ24" s="486"/>
      <c r="WA24" s="486"/>
      <c r="WB24" s="486"/>
      <c r="WC24" s="486"/>
      <c r="WD24" s="486"/>
      <c r="WE24" s="486"/>
      <c r="WF24" s="486"/>
      <c r="WG24" s="486"/>
      <c r="WH24" s="486"/>
      <c r="WI24" s="486"/>
      <c r="WJ24" s="486"/>
      <c r="WK24" s="486"/>
      <c r="WL24" s="486"/>
      <c r="WM24" s="486"/>
      <c r="WN24" s="486"/>
      <c r="WO24" s="486"/>
      <c r="WP24" s="486"/>
      <c r="WQ24" s="486"/>
      <c r="WR24" s="486"/>
      <c r="WS24" s="486"/>
      <c r="WT24" s="486"/>
      <c r="WU24" s="486"/>
      <c r="WV24" s="486"/>
      <c r="WW24" s="486"/>
      <c r="WX24" s="486"/>
      <c r="WY24" s="486"/>
      <c r="WZ24" s="486"/>
      <c r="XA24" s="486"/>
      <c r="XB24" s="486"/>
      <c r="XC24" s="486"/>
      <c r="XD24" s="486"/>
      <c r="XE24" s="486"/>
      <c r="XF24" s="486"/>
      <c r="XG24" s="486"/>
      <c r="XH24" s="486"/>
      <c r="XI24" s="486"/>
      <c r="XJ24" s="486"/>
      <c r="XK24" s="486"/>
      <c r="XL24" s="486"/>
      <c r="XM24" s="486"/>
      <c r="XN24" s="486"/>
      <c r="XO24" s="486"/>
      <c r="XP24" s="486"/>
      <c r="XQ24" s="486"/>
      <c r="XR24" s="486"/>
      <c r="XS24" s="486"/>
      <c r="XT24" s="486"/>
      <c r="XU24" s="486"/>
      <c r="XV24" s="486"/>
      <c r="XW24" s="486"/>
      <c r="XX24" s="486"/>
      <c r="XY24" s="486"/>
      <c r="XZ24" s="486"/>
      <c r="YA24" s="486"/>
      <c r="YB24" s="486"/>
      <c r="YC24" s="486"/>
      <c r="YD24" s="486"/>
      <c r="YE24" s="486"/>
      <c r="YF24" s="486"/>
      <c r="YG24" s="486"/>
      <c r="YH24" s="486"/>
      <c r="YI24" s="486"/>
      <c r="YJ24" s="486"/>
      <c r="YK24" s="486"/>
      <c r="YL24" s="486"/>
      <c r="YM24" s="486"/>
      <c r="YN24" s="486"/>
      <c r="YO24" s="486"/>
      <c r="YP24" s="486"/>
      <c r="YQ24" s="486"/>
      <c r="YR24" s="486"/>
      <c r="YS24" s="486"/>
      <c r="YT24" s="486"/>
      <c r="YU24" s="486"/>
      <c r="YV24" s="486"/>
      <c r="YW24" s="486"/>
      <c r="YX24" s="486"/>
      <c r="YY24" s="486"/>
      <c r="YZ24" s="486"/>
      <c r="ZA24" s="486"/>
      <c r="ZB24" s="486"/>
      <c r="ZC24" s="486"/>
      <c r="ZD24" s="486"/>
      <c r="ZE24" s="486"/>
      <c r="ZF24" s="486"/>
      <c r="ZG24" s="486"/>
      <c r="ZH24" s="486"/>
      <c r="ZI24" s="486"/>
      <c r="ZJ24" s="486"/>
      <c r="ZK24" s="486"/>
      <c r="ZL24" s="486"/>
      <c r="ZM24" s="486"/>
      <c r="ZN24" s="486"/>
      <c r="ZO24" s="486"/>
      <c r="ZP24" s="486"/>
      <c r="ZQ24" s="486"/>
      <c r="ZR24" s="486"/>
      <c r="ZS24" s="486"/>
      <c r="ZT24" s="486"/>
      <c r="ZU24" s="486"/>
      <c r="ZV24" s="486"/>
      <c r="ZW24" s="486"/>
      <c r="ZX24" s="486"/>
      <c r="ZY24" s="486"/>
      <c r="ZZ24" s="486"/>
      <c r="AAA24" s="486"/>
      <c r="AAB24" s="486"/>
      <c r="AAC24" s="486"/>
      <c r="AAD24" s="486"/>
      <c r="AAE24" s="486"/>
      <c r="AAF24" s="486"/>
      <c r="AAG24" s="486"/>
      <c r="AAH24" s="486"/>
      <c r="AAI24" s="486"/>
      <c r="AAJ24" s="486"/>
      <c r="AAK24" s="486"/>
      <c r="AAL24" s="486"/>
      <c r="AAM24" s="486"/>
      <c r="AAN24" s="486"/>
      <c r="AAO24" s="486"/>
      <c r="AAP24" s="486"/>
      <c r="AAQ24" s="486"/>
      <c r="AAR24" s="486"/>
      <c r="AAS24" s="486"/>
      <c r="AAT24" s="486"/>
      <c r="AAU24" s="486"/>
      <c r="AAV24" s="486"/>
      <c r="AAW24" s="486"/>
      <c r="AAX24" s="486"/>
      <c r="AAY24" s="486"/>
      <c r="AAZ24" s="486"/>
      <c r="ABA24" s="486"/>
      <c r="ABB24" s="486"/>
      <c r="ABC24" s="486"/>
      <c r="ABD24" s="486"/>
      <c r="ABE24" s="486"/>
      <c r="ABF24" s="486"/>
      <c r="ABG24" s="486"/>
      <c r="ABH24" s="486"/>
      <c r="ABI24" s="486"/>
      <c r="ABJ24" s="486"/>
      <c r="ABK24" s="486"/>
      <c r="ABL24" s="486"/>
      <c r="ABM24" s="486"/>
      <c r="ABN24" s="486"/>
      <c r="ABO24" s="486"/>
      <c r="ABP24" s="486"/>
      <c r="ABQ24" s="486"/>
      <c r="ABR24" s="486"/>
      <c r="ABS24" s="486"/>
      <c r="ABT24" s="486"/>
      <c r="ABU24" s="486"/>
      <c r="ABV24" s="486"/>
      <c r="ABW24" s="486"/>
      <c r="ABX24" s="486"/>
      <c r="ABY24" s="486"/>
      <c r="ABZ24" s="486"/>
      <c r="ACA24" s="486"/>
      <c r="ACB24" s="486"/>
      <c r="ACC24" s="486"/>
      <c r="ACD24" s="486"/>
      <c r="ACE24" s="486"/>
      <c r="ACF24" s="486"/>
      <c r="ACG24" s="486"/>
      <c r="ACH24" s="486"/>
      <c r="ACI24" s="486"/>
      <c r="ACJ24" s="486"/>
      <c r="ACK24" s="486"/>
      <c r="ACL24" s="486"/>
      <c r="ACM24" s="486"/>
      <c r="ACN24" s="486"/>
      <c r="ACO24" s="486"/>
      <c r="ACP24" s="486"/>
      <c r="ACQ24" s="486"/>
      <c r="ACR24" s="486"/>
      <c r="ACS24" s="486"/>
      <c r="ACT24" s="486"/>
      <c r="ACU24" s="486"/>
      <c r="ACV24" s="486"/>
      <c r="ACW24" s="486"/>
      <c r="ACX24" s="486"/>
      <c r="ACY24" s="486"/>
      <c r="ACZ24" s="486"/>
      <c r="ADA24" s="486"/>
      <c r="ADB24" s="486"/>
      <c r="ADC24" s="486"/>
      <c r="ADD24" s="486"/>
      <c r="ADE24" s="486"/>
      <c r="ADF24" s="486"/>
      <c r="ADG24" s="486"/>
      <c r="ADH24" s="486"/>
      <c r="ADI24" s="486"/>
      <c r="ADJ24" s="486"/>
      <c r="ADK24" s="486"/>
      <c r="ADL24" s="486"/>
      <c r="ADM24" s="486"/>
      <c r="ADN24" s="486"/>
      <c r="ADO24" s="486"/>
      <c r="ADP24" s="486"/>
      <c r="ADQ24" s="486"/>
      <c r="ADR24" s="486"/>
      <c r="ADS24" s="486"/>
      <c r="ADT24" s="486"/>
      <c r="ADU24" s="486"/>
      <c r="ADV24" s="486"/>
      <c r="ADW24" s="486"/>
      <c r="ADX24" s="486"/>
      <c r="ADY24" s="486"/>
      <c r="ADZ24" s="486"/>
      <c r="AEA24" s="486"/>
      <c r="AEB24" s="486"/>
      <c r="AEC24" s="486"/>
      <c r="AED24" s="486"/>
      <c r="AEE24" s="486"/>
      <c r="AEF24" s="486"/>
      <c r="AEG24" s="486"/>
      <c r="AEH24" s="486"/>
      <c r="AEI24" s="486"/>
      <c r="AEJ24" s="486"/>
      <c r="AEK24" s="486"/>
      <c r="AEL24" s="486"/>
      <c r="AEM24" s="486"/>
      <c r="AEN24" s="486"/>
      <c r="AEO24" s="486"/>
      <c r="AEP24" s="486"/>
      <c r="AEQ24" s="486"/>
      <c r="AER24" s="486"/>
      <c r="AES24" s="486"/>
      <c r="AET24" s="486"/>
      <c r="AEU24" s="486"/>
      <c r="AEV24" s="486"/>
      <c r="AEW24" s="486"/>
      <c r="AEX24" s="486"/>
      <c r="AEY24" s="486"/>
      <c r="AEZ24" s="486"/>
      <c r="AFA24" s="486"/>
      <c r="AFB24" s="486"/>
      <c r="AFC24" s="486"/>
      <c r="AFD24" s="486"/>
      <c r="AFE24" s="486"/>
      <c r="AFF24" s="486"/>
      <c r="AFG24" s="486"/>
      <c r="AFH24" s="486"/>
      <c r="AFI24" s="486"/>
      <c r="AFJ24" s="486"/>
      <c r="AFK24" s="486"/>
      <c r="AFL24" s="486"/>
      <c r="AFM24" s="486"/>
      <c r="AFN24" s="486"/>
      <c r="AFO24" s="486"/>
      <c r="AFP24" s="486"/>
      <c r="AFQ24" s="486"/>
      <c r="AFR24" s="486"/>
      <c r="AFS24" s="486"/>
      <c r="AFT24" s="486"/>
      <c r="AFU24" s="486"/>
      <c r="AFV24" s="486"/>
      <c r="AFW24" s="486"/>
      <c r="AFX24" s="486"/>
      <c r="AFY24" s="486"/>
      <c r="AFZ24" s="486"/>
      <c r="AGA24" s="486"/>
      <c r="AGB24" s="486"/>
      <c r="AGC24" s="486"/>
      <c r="AGD24" s="486"/>
      <c r="AGE24" s="486"/>
      <c r="AGF24" s="486"/>
      <c r="AGG24" s="486"/>
      <c r="AGH24" s="486"/>
      <c r="AGI24" s="486"/>
      <c r="AGJ24" s="486"/>
      <c r="AGK24" s="486"/>
      <c r="AGL24" s="486"/>
      <c r="AGM24" s="486"/>
      <c r="AGN24" s="486"/>
      <c r="AGO24" s="486"/>
      <c r="AGP24" s="486"/>
      <c r="AGQ24" s="486"/>
      <c r="AGR24" s="486"/>
      <c r="AGS24" s="486"/>
      <c r="AGT24" s="486"/>
      <c r="AGU24" s="486"/>
      <c r="AGV24" s="486"/>
      <c r="AGW24" s="486"/>
      <c r="AGX24" s="486"/>
      <c r="AGY24" s="486"/>
      <c r="AGZ24" s="486"/>
      <c r="AHA24" s="486"/>
      <c r="AHB24" s="486"/>
      <c r="AHC24" s="486"/>
      <c r="AHD24" s="486"/>
      <c r="AHE24" s="486"/>
      <c r="AHF24" s="486"/>
      <c r="AHG24" s="486"/>
      <c r="AHH24" s="486"/>
      <c r="AHI24" s="486"/>
      <c r="AHJ24" s="486"/>
      <c r="AHK24" s="486"/>
      <c r="AHL24" s="486"/>
      <c r="AHM24" s="486"/>
      <c r="AHN24" s="486"/>
      <c r="AHO24" s="486"/>
      <c r="AHP24" s="486"/>
      <c r="AHQ24" s="486"/>
      <c r="AHR24" s="486"/>
      <c r="AHS24" s="486"/>
      <c r="AHT24" s="486"/>
      <c r="AHU24" s="486"/>
      <c r="AHV24" s="486"/>
      <c r="AHW24" s="486"/>
      <c r="AHX24" s="486"/>
      <c r="AHY24" s="486"/>
      <c r="AHZ24" s="486"/>
      <c r="AIA24" s="486"/>
      <c r="AIB24" s="486"/>
      <c r="AIC24" s="486"/>
      <c r="AID24" s="486"/>
      <c r="AIE24" s="486"/>
      <c r="AIF24" s="486"/>
      <c r="AIG24" s="486"/>
      <c r="AIH24" s="486"/>
      <c r="AII24" s="486"/>
      <c r="AIJ24" s="486"/>
      <c r="AIK24" s="486"/>
      <c r="AIL24" s="486"/>
      <c r="AIM24" s="486"/>
      <c r="AIN24" s="486"/>
      <c r="AIO24" s="486"/>
      <c r="AIP24" s="486"/>
      <c r="AIQ24" s="486"/>
      <c r="AIR24" s="486"/>
      <c r="AIS24" s="486"/>
      <c r="AIT24" s="486"/>
      <c r="AIU24" s="486"/>
      <c r="AIV24" s="486"/>
      <c r="AIW24" s="486"/>
      <c r="AIX24" s="486"/>
      <c r="AIY24" s="486"/>
      <c r="AIZ24" s="486"/>
      <c r="AJA24" s="486"/>
      <c r="AJB24" s="486"/>
      <c r="AJC24" s="486"/>
      <c r="AJD24" s="486"/>
      <c r="AJE24" s="486"/>
      <c r="AJF24" s="486"/>
      <c r="AJG24" s="486"/>
      <c r="AJH24" s="486"/>
      <c r="AJI24" s="486"/>
      <c r="AJJ24" s="486"/>
      <c r="AJK24" s="486"/>
      <c r="AJL24" s="486"/>
      <c r="AJM24" s="486"/>
      <c r="AJN24" s="486"/>
      <c r="AJO24" s="486"/>
      <c r="AJP24" s="486"/>
      <c r="AJQ24" s="486"/>
      <c r="AJR24" s="486"/>
      <c r="AJS24" s="486"/>
      <c r="AJT24" s="486"/>
      <c r="AJU24" s="486"/>
      <c r="AJV24" s="486"/>
      <c r="AJW24" s="486"/>
      <c r="AJX24" s="486"/>
      <c r="AJY24" s="486"/>
      <c r="AJZ24" s="486"/>
      <c r="AKA24" s="486"/>
      <c r="AKB24" s="486"/>
      <c r="AKC24" s="486"/>
      <c r="AKD24" s="486"/>
      <c r="AKE24" s="486"/>
      <c r="AKF24" s="486"/>
      <c r="AKG24" s="486"/>
      <c r="AKH24" s="486"/>
      <c r="AKI24" s="486"/>
      <c r="AKJ24" s="486"/>
      <c r="AKK24" s="486"/>
      <c r="AKL24" s="486"/>
      <c r="AKM24" s="486"/>
      <c r="AKN24" s="486"/>
      <c r="AKO24" s="486"/>
      <c r="AKP24" s="486"/>
      <c r="AKQ24" s="486"/>
      <c r="AKR24" s="486"/>
      <c r="AKS24" s="486"/>
      <c r="AKT24" s="486"/>
      <c r="AKU24" s="486"/>
      <c r="AKV24" s="486"/>
      <c r="AKW24" s="486"/>
      <c r="AKX24" s="486"/>
      <c r="AKY24" s="486"/>
      <c r="AKZ24" s="486"/>
      <c r="ALA24" s="486"/>
      <c r="ALB24" s="486"/>
      <c r="ALC24" s="486"/>
      <c r="ALD24" s="486"/>
      <c r="ALE24" s="486"/>
      <c r="ALF24" s="486"/>
      <c r="ALG24" s="486"/>
      <c r="ALH24" s="486"/>
      <c r="ALI24" s="486"/>
      <c r="ALJ24" s="486"/>
      <c r="ALK24" s="486"/>
      <c r="ALL24" s="486"/>
      <c r="ALM24" s="486"/>
      <c r="ALN24" s="486"/>
      <c r="ALO24" s="486"/>
      <c r="ALP24" s="486"/>
      <c r="ALQ24" s="486"/>
      <c r="ALR24" s="486"/>
      <c r="ALS24" s="486"/>
      <c r="ALT24" s="486"/>
      <c r="ALU24" s="486"/>
      <c r="ALV24" s="486"/>
      <c r="ALW24" s="486"/>
      <c r="ALX24" s="486"/>
      <c r="ALY24" s="486"/>
      <c r="ALZ24" s="486"/>
      <c r="AMA24" s="486"/>
      <c r="AMB24" s="486"/>
      <c r="AMC24" s="486"/>
      <c r="AMD24" s="486"/>
      <c r="AME24" s="486"/>
      <c r="AMF24" s="486"/>
      <c r="AMG24" s="486"/>
      <c r="AMH24" s="486"/>
      <c r="AMI24" s="486"/>
      <c r="AMJ24" s="486"/>
      <c r="AMK24" s="486"/>
      <c r="AML24" s="486"/>
      <c r="AMM24" s="486"/>
      <c r="AMN24" s="486"/>
      <c r="AMO24" s="486"/>
      <c r="AMP24" s="486"/>
      <c r="AMQ24" s="486"/>
      <c r="AMR24" s="486"/>
      <c r="AMS24" s="486"/>
      <c r="AMT24" s="486"/>
      <c r="AMU24" s="486"/>
      <c r="AMV24" s="486"/>
      <c r="AMW24" s="486"/>
      <c r="AMX24" s="486"/>
      <c r="AMY24" s="486"/>
      <c r="AMZ24" s="486"/>
      <c r="ANA24" s="486"/>
      <c r="ANB24" s="486"/>
      <c r="ANC24" s="486"/>
      <c r="AND24" s="486"/>
      <c r="ANE24" s="486"/>
      <c r="ANF24" s="486"/>
      <c r="ANG24" s="486"/>
      <c r="ANH24" s="486"/>
      <c r="ANI24" s="486"/>
      <c r="ANJ24" s="486"/>
      <c r="ANK24" s="486"/>
      <c r="ANL24" s="486"/>
      <c r="ANM24" s="486"/>
      <c r="ANN24" s="486"/>
      <c r="ANO24" s="486"/>
      <c r="ANP24" s="486"/>
      <c r="ANQ24" s="486"/>
      <c r="ANR24" s="486"/>
      <c r="ANS24" s="486"/>
      <c r="ANT24" s="486"/>
      <c r="ANU24" s="486"/>
      <c r="ANV24" s="486"/>
      <c r="ANW24" s="486"/>
      <c r="ANX24" s="486"/>
      <c r="ANY24" s="486"/>
      <c r="ANZ24" s="486"/>
      <c r="AOA24" s="486"/>
      <c r="AOB24" s="486"/>
      <c r="AOC24" s="486"/>
      <c r="AOD24" s="486"/>
      <c r="AOE24" s="486"/>
      <c r="AOF24" s="486"/>
      <c r="AOG24" s="486"/>
      <c r="AOH24" s="486"/>
      <c r="AOI24" s="486"/>
      <c r="AOJ24" s="486"/>
      <c r="AOK24" s="486"/>
      <c r="AOL24" s="486"/>
      <c r="AOM24" s="486"/>
      <c r="AON24" s="486"/>
      <c r="AOO24" s="486"/>
      <c r="AOP24" s="486"/>
      <c r="AOQ24" s="486"/>
      <c r="AOR24" s="486"/>
      <c r="AOS24" s="486"/>
      <c r="AOT24" s="486"/>
      <c r="AOU24" s="486"/>
      <c r="AOV24" s="486"/>
      <c r="AOW24" s="486"/>
      <c r="AOX24" s="486"/>
      <c r="AOY24" s="486"/>
      <c r="AOZ24" s="486"/>
      <c r="APA24" s="486"/>
      <c r="APB24" s="486"/>
      <c r="APC24" s="486"/>
      <c r="APD24" s="486"/>
      <c r="APE24" s="486"/>
      <c r="APF24" s="486"/>
      <c r="APG24" s="486"/>
      <c r="APH24" s="486"/>
      <c r="API24" s="486"/>
      <c r="APJ24" s="486"/>
      <c r="APK24" s="486"/>
      <c r="APL24" s="486"/>
      <c r="APM24" s="486"/>
      <c r="APN24" s="486"/>
      <c r="APO24" s="486"/>
      <c r="APP24" s="486"/>
      <c r="APQ24" s="486"/>
      <c r="APR24" s="486"/>
      <c r="APS24" s="486"/>
      <c r="APT24" s="486"/>
      <c r="APU24" s="486"/>
      <c r="APV24" s="486"/>
      <c r="APW24" s="486"/>
      <c r="APX24" s="486"/>
      <c r="APY24" s="486"/>
      <c r="APZ24" s="486"/>
      <c r="AQA24" s="486"/>
      <c r="AQB24" s="486"/>
      <c r="AQC24" s="486"/>
      <c r="AQD24" s="486"/>
      <c r="AQE24" s="486"/>
      <c r="AQF24" s="486"/>
      <c r="AQG24" s="486"/>
      <c r="AQH24" s="486"/>
      <c r="AQI24" s="486"/>
      <c r="AQJ24" s="486"/>
      <c r="AQK24" s="486"/>
      <c r="AQL24" s="486"/>
      <c r="AQM24" s="486"/>
      <c r="AQN24" s="486"/>
      <c r="AQO24" s="486"/>
      <c r="AQP24" s="486"/>
      <c r="AQQ24" s="486"/>
      <c r="AQR24" s="486"/>
      <c r="AQS24" s="486"/>
      <c r="AQT24" s="486"/>
      <c r="AQU24" s="486"/>
      <c r="AQV24" s="486"/>
      <c r="AQW24" s="486"/>
      <c r="AQX24" s="486"/>
      <c r="AQY24" s="486"/>
      <c r="AQZ24" s="486"/>
      <c r="ARA24" s="486"/>
      <c r="ARB24" s="486"/>
      <c r="ARC24" s="486"/>
      <c r="ARD24" s="486"/>
      <c r="ARE24" s="486"/>
      <c r="ARF24" s="486"/>
      <c r="ARG24" s="486"/>
      <c r="ARH24" s="486"/>
      <c r="ARI24" s="486"/>
      <c r="ARJ24" s="486"/>
      <c r="ARK24" s="486"/>
      <c r="ARL24" s="486"/>
      <c r="ARM24" s="486"/>
      <c r="ARN24" s="486"/>
      <c r="ARO24" s="486"/>
      <c r="ARP24" s="486"/>
      <c r="ARQ24" s="486"/>
      <c r="ARR24" s="486"/>
      <c r="ARS24" s="486"/>
      <c r="ART24" s="486"/>
      <c r="ARU24" s="486"/>
      <c r="ARV24" s="486"/>
      <c r="ARW24" s="486"/>
      <c r="ARX24" s="486"/>
      <c r="ARY24" s="486"/>
      <c r="ARZ24" s="486"/>
      <c r="ASA24" s="486"/>
      <c r="ASB24" s="486"/>
      <c r="ASC24" s="486"/>
      <c r="ASD24" s="486"/>
      <c r="ASE24" s="486"/>
      <c r="ASF24" s="486"/>
      <c r="ASG24" s="486"/>
      <c r="ASH24" s="486"/>
      <c r="ASI24" s="486"/>
      <c r="ASJ24" s="486"/>
      <c r="ASK24" s="486"/>
      <c r="ASL24" s="486"/>
      <c r="ASM24" s="486"/>
      <c r="ASN24" s="486"/>
      <c r="ASO24" s="486"/>
      <c r="ASP24" s="486"/>
      <c r="ASQ24" s="486"/>
      <c r="ASR24" s="486"/>
      <c r="ASS24" s="486"/>
      <c r="AST24" s="486"/>
      <c r="ASU24" s="486"/>
      <c r="ASV24" s="486"/>
      <c r="ASW24" s="486"/>
      <c r="ASX24" s="486"/>
      <c r="ASY24" s="486"/>
      <c r="ASZ24" s="486"/>
      <c r="ATA24" s="486"/>
      <c r="ATB24" s="486"/>
      <c r="ATC24" s="486"/>
      <c r="ATD24" s="486"/>
      <c r="ATE24" s="486"/>
      <c r="ATF24" s="486"/>
      <c r="ATG24" s="486"/>
      <c r="ATH24" s="486"/>
      <c r="ATI24" s="486"/>
      <c r="ATJ24" s="486"/>
      <c r="ATK24" s="486"/>
      <c r="ATL24" s="486"/>
      <c r="ATM24" s="486"/>
      <c r="ATN24" s="486"/>
      <c r="ATO24" s="486"/>
      <c r="ATP24" s="486"/>
      <c r="ATQ24" s="486"/>
      <c r="ATR24" s="486"/>
      <c r="ATS24" s="486"/>
      <c r="ATT24" s="486"/>
      <c r="ATU24" s="486"/>
      <c r="ATV24" s="486"/>
      <c r="ATW24" s="486"/>
      <c r="ATX24" s="486"/>
      <c r="ATY24" s="486"/>
      <c r="ATZ24" s="486"/>
      <c r="AUA24" s="486"/>
      <c r="AUB24" s="486"/>
      <c r="AUC24" s="486"/>
      <c r="AUD24" s="486"/>
      <c r="AUE24" s="486"/>
      <c r="AUF24" s="486"/>
      <c r="AUG24" s="486"/>
      <c r="AUH24" s="486"/>
      <c r="AUI24" s="486"/>
      <c r="AUJ24" s="486"/>
      <c r="AUK24" s="486"/>
      <c r="AUL24" s="486"/>
      <c r="AUM24" s="486"/>
      <c r="AUN24" s="486"/>
      <c r="AUO24" s="486"/>
      <c r="AUP24" s="486"/>
      <c r="AUQ24" s="486"/>
      <c r="AUR24" s="486"/>
      <c r="AUS24" s="486"/>
      <c r="AUT24" s="486"/>
      <c r="AUU24" s="486"/>
      <c r="AUV24" s="486"/>
      <c r="AUW24" s="486"/>
      <c r="AUX24" s="486"/>
      <c r="AUY24" s="486"/>
      <c r="AUZ24" s="486"/>
      <c r="AVA24" s="486"/>
      <c r="AVB24" s="486"/>
      <c r="AVC24" s="486"/>
      <c r="AVD24" s="486"/>
      <c r="AVE24" s="486"/>
      <c r="AVF24" s="486"/>
      <c r="AVG24" s="486"/>
      <c r="AVH24" s="486"/>
      <c r="AVI24" s="486"/>
      <c r="AVJ24" s="486"/>
      <c r="AVK24" s="486"/>
      <c r="AVL24" s="486"/>
      <c r="AVM24" s="486"/>
      <c r="AVN24" s="486"/>
      <c r="AVO24" s="486"/>
      <c r="AVP24" s="486"/>
      <c r="AVQ24" s="486"/>
      <c r="AVR24" s="486"/>
      <c r="AVS24" s="486"/>
      <c r="AVT24" s="486"/>
      <c r="AVU24" s="486"/>
      <c r="AVV24" s="486"/>
      <c r="AVW24" s="486"/>
      <c r="AVX24" s="486"/>
      <c r="AVY24" s="486"/>
      <c r="AVZ24" s="486"/>
      <c r="AWA24" s="486"/>
      <c r="AWB24" s="486"/>
      <c r="AWC24" s="486"/>
      <c r="AWD24" s="486"/>
      <c r="AWE24" s="486"/>
      <c r="AWF24" s="486"/>
      <c r="AWG24" s="486"/>
      <c r="AWH24" s="486"/>
      <c r="AWI24" s="486"/>
      <c r="AWJ24" s="486"/>
      <c r="AWK24" s="486"/>
      <c r="AWL24" s="486"/>
      <c r="AWM24" s="486"/>
      <c r="AWN24" s="486"/>
      <c r="AWO24" s="486"/>
      <c r="AWP24" s="486"/>
      <c r="AWQ24" s="486"/>
      <c r="AWR24" s="486"/>
      <c r="AWS24" s="486"/>
      <c r="AWT24" s="486"/>
      <c r="AWU24" s="486"/>
      <c r="AWV24" s="486"/>
      <c r="AWW24" s="486"/>
      <c r="AWX24" s="486"/>
      <c r="AWY24" s="486"/>
      <c r="AWZ24" s="486"/>
      <c r="AXA24" s="486"/>
      <c r="AXB24" s="486"/>
      <c r="AXC24" s="486"/>
      <c r="AXD24" s="486"/>
      <c r="AXE24" s="486"/>
      <c r="AXF24" s="486"/>
      <c r="AXG24" s="486"/>
      <c r="AXH24" s="486"/>
      <c r="AXI24" s="486"/>
      <c r="AXJ24" s="486"/>
      <c r="AXK24" s="486"/>
      <c r="AXL24" s="486"/>
      <c r="AXM24" s="486"/>
      <c r="AXN24" s="486"/>
      <c r="AXO24" s="486"/>
      <c r="AXP24" s="486"/>
      <c r="AXQ24" s="486"/>
      <c r="AXR24" s="486"/>
      <c r="AXS24" s="486"/>
      <c r="AXT24" s="486"/>
      <c r="AXU24" s="486"/>
      <c r="AXV24" s="486"/>
      <c r="AXW24" s="486"/>
      <c r="AXX24" s="486"/>
      <c r="AXY24" s="486"/>
      <c r="AXZ24" s="486"/>
      <c r="AYA24" s="486"/>
      <c r="AYB24" s="486"/>
      <c r="AYC24" s="486"/>
      <c r="AYD24" s="486"/>
      <c r="AYE24" s="486"/>
      <c r="AYF24" s="486"/>
      <c r="AYG24" s="486"/>
      <c r="AYH24" s="486"/>
      <c r="AYI24" s="486"/>
      <c r="AYJ24" s="486"/>
      <c r="AYK24" s="486"/>
      <c r="AYL24" s="486"/>
      <c r="AYM24" s="486"/>
      <c r="AYN24" s="486"/>
      <c r="AYO24" s="486"/>
      <c r="AYP24" s="486"/>
      <c r="AYQ24" s="486"/>
      <c r="AYR24" s="486"/>
      <c r="AYS24" s="486"/>
      <c r="AYT24" s="486"/>
      <c r="AYU24" s="486"/>
      <c r="AYV24" s="486"/>
      <c r="AYW24" s="486"/>
      <c r="AYX24" s="486"/>
      <c r="AYY24" s="486"/>
      <c r="AYZ24" s="486"/>
      <c r="AZA24" s="486"/>
      <c r="AZB24" s="486"/>
      <c r="AZC24" s="486"/>
      <c r="AZD24" s="486"/>
      <c r="AZE24" s="486"/>
      <c r="AZF24" s="486"/>
      <c r="AZG24" s="486"/>
      <c r="AZH24" s="486"/>
      <c r="AZI24" s="486"/>
      <c r="AZJ24" s="486"/>
      <c r="AZK24" s="486"/>
      <c r="AZL24" s="486"/>
      <c r="AZM24" s="486"/>
      <c r="AZN24" s="486"/>
      <c r="AZO24" s="486"/>
      <c r="AZP24" s="486"/>
      <c r="AZQ24" s="486"/>
      <c r="AZR24" s="486"/>
      <c r="AZS24" s="486"/>
      <c r="AZT24" s="486"/>
      <c r="AZU24" s="486"/>
      <c r="AZV24" s="486"/>
      <c r="AZW24" s="486"/>
      <c r="AZX24" s="486"/>
      <c r="AZY24" s="486"/>
      <c r="AZZ24" s="486"/>
      <c r="BAA24" s="486"/>
      <c r="BAB24" s="486"/>
      <c r="BAC24" s="486"/>
      <c r="BAD24" s="486"/>
      <c r="BAE24" s="486"/>
      <c r="BAF24" s="486"/>
      <c r="BAG24" s="486"/>
      <c r="BAH24" s="486"/>
      <c r="BAI24" s="486"/>
      <c r="BAJ24" s="486"/>
      <c r="BAK24" s="486"/>
      <c r="BAL24" s="486"/>
      <c r="BAM24" s="486"/>
      <c r="BAN24" s="486"/>
      <c r="BAO24" s="486"/>
      <c r="BAP24" s="486"/>
      <c r="BAQ24" s="486"/>
      <c r="BAR24" s="486"/>
      <c r="BAS24" s="486"/>
      <c r="BAT24" s="486"/>
      <c r="BAU24" s="486"/>
      <c r="BAV24" s="486"/>
      <c r="BAW24" s="486"/>
      <c r="BAX24" s="486"/>
      <c r="BAY24" s="486"/>
      <c r="BAZ24" s="486"/>
      <c r="BBA24" s="486"/>
      <c r="BBB24" s="486"/>
      <c r="BBC24" s="486"/>
      <c r="BBD24" s="486"/>
      <c r="BBE24" s="486"/>
      <c r="BBF24" s="486"/>
      <c r="BBG24" s="486"/>
      <c r="BBH24" s="486"/>
      <c r="BBI24" s="486"/>
      <c r="BBJ24" s="486"/>
      <c r="BBK24" s="486"/>
      <c r="BBL24" s="486"/>
      <c r="BBM24" s="486"/>
      <c r="BBN24" s="486"/>
      <c r="BBO24" s="486"/>
      <c r="BBP24" s="486"/>
      <c r="BBQ24" s="486"/>
      <c r="BBR24" s="486"/>
      <c r="BBS24" s="486"/>
      <c r="BBT24" s="486"/>
      <c r="BBU24" s="486"/>
      <c r="BBV24" s="486"/>
      <c r="BBW24" s="486"/>
      <c r="BBX24" s="486"/>
      <c r="BBY24" s="486"/>
      <c r="BBZ24" s="486"/>
      <c r="BCA24" s="486"/>
      <c r="BCB24" s="486"/>
      <c r="BCC24" s="486"/>
      <c r="BCD24" s="486"/>
      <c r="BCE24" s="486"/>
      <c r="BCF24" s="486"/>
      <c r="BCG24" s="486"/>
      <c r="BCH24" s="486"/>
      <c r="BCI24" s="486"/>
      <c r="BCJ24" s="486"/>
      <c r="BCK24" s="486"/>
      <c r="BCL24" s="486"/>
      <c r="BCM24" s="486"/>
      <c r="BCN24" s="486"/>
      <c r="BCO24" s="486"/>
      <c r="BCP24" s="486"/>
      <c r="BCQ24" s="486"/>
      <c r="BCR24" s="486"/>
      <c r="BCS24" s="486"/>
      <c r="BCT24" s="486"/>
      <c r="BCU24" s="486"/>
      <c r="BCV24" s="486"/>
      <c r="BCW24" s="486"/>
      <c r="BCX24" s="486"/>
      <c r="BCY24" s="486"/>
      <c r="BCZ24" s="486"/>
      <c r="BDA24" s="486"/>
      <c r="BDB24" s="486"/>
      <c r="BDC24" s="486"/>
      <c r="BDD24" s="486"/>
      <c r="BDE24" s="486"/>
      <c r="BDF24" s="486"/>
      <c r="BDG24" s="486"/>
      <c r="BDH24" s="486"/>
      <c r="BDI24" s="486"/>
      <c r="BDJ24" s="486"/>
      <c r="BDK24" s="486"/>
      <c r="BDL24" s="486"/>
      <c r="BDM24" s="486"/>
      <c r="BDN24" s="486"/>
      <c r="BDO24" s="486"/>
      <c r="BDP24" s="486"/>
      <c r="BDQ24" s="486"/>
      <c r="BDR24" s="486"/>
      <c r="BDS24" s="486"/>
      <c r="BDT24" s="486"/>
      <c r="BDU24" s="486"/>
      <c r="BDV24" s="486"/>
      <c r="BDW24" s="486"/>
      <c r="BDX24" s="486"/>
      <c r="BDY24" s="486"/>
      <c r="BDZ24" s="486"/>
      <c r="BEA24" s="486"/>
      <c r="BEB24" s="486"/>
      <c r="BEC24" s="486"/>
      <c r="BED24" s="486"/>
      <c r="BEE24" s="486"/>
      <c r="BEF24" s="486"/>
      <c r="BEG24" s="486"/>
      <c r="BEH24" s="486"/>
      <c r="BEI24" s="486"/>
      <c r="BEJ24" s="486"/>
      <c r="BEK24" s="486"/>
      <c r="BEL24" s="486"/>
      <c r="BEM24" s="486"/>
      <c r="BEN24" s="486"/>
      <c r="BEO24" s="486"/>
      <c r="BEP24" s="486"/>
      <c r="BEQ24" s="486"/>
      <c r="BER24" s="486"/>
      <c r="BES24" s="486"/>
      <c r="BET24" s="486"/>
      <c r="BEU24" s="486"/>
      <c r="BEV24" s="486"/>
      <c r="BEW24" s="486"/>
      <c r="BEX24" s="486"/>
      <c r="BEY24" s="486"/>
      <c r="BEZ24" s="486"/>
      <c r="BFA24" s="486"/>
      <c r="BFB24" s="486"/>
      <c r="BFC24" s="486"/>
      <c r="BFD24" s="486"/>
      <c r="BFE24" s="486"/>
      <c r="BFF24" s="486"/>
      <c r="BFG24" s="486"/>
      <c r="BFH24" s="486"/>
      <c r="BFI24" s="486"/>
      <c r="BFJ24" s="486"/>
      <c r="BFK24" s="486"/>
      <c r="BFL24" s="486"/>
      <c r="BFM24" s="486"/>
      <c r="BFN24" s="486"/>
      <c r="BFO24" s="486"/>
      <c r="BFP24" s="486"/>
      <c r="BFQ24" s="486"/>
      <c r="BFR24" s="486"/>
      <c r="BFS24" s="486"/>
      <c r="BFT24" s="486"/>
      <c r="BFU24" s="486"/>
      <c r="BFV24" s="486"/>
      <c r="BFW24" s="486"/>
      <c r="BFX24" s="486"/>
      <c r="BFY24" s="486"/>
      <c r="BFZ24" s="486"/>
      <c r="BGA24" s="486"/>
      <c r="BGB24" s="486"/>
      <c r="BGC24" s="486"/>
      <c r="BGD24" s="486"/>
      <c r="BGE24" s="486"/>
      <c r="BGF24" s="486"/>
      <c r="BGG24" s="486"/>
      <c r="BGH24" s="486"/>
      <c r="BGI24" s="486"/>
      <c r="BGJ24" s="486"/>
      <c r="BGK24" s="486"/>
      <c r="BGL24" s="486"/>
      <c r="BGM24" s="486"/>
      <c r="BGN24" s="486"/>
      <c r="BGO24" s="486"/>
      <c r="BGP24" s="486"/>
      <c r="BGQ24" s="486"/>
      <c r="BGR24" s="486"/>
      <c r="BGS24" s="486"/>
      <c r="BGT24" s="486"/>
      <c r="BGU24" s="486"/>
      <c r="BGV24" s="486"/>
      <c r="BGW24" s="486"/>
      <c r="BGX24" s="486"/>
      <c r="BGY24" s="486"/>
      <c r="BGZ24" s="486"/>
      <c r="BHA24" s="486"/>
      <c r="BHB24" s="486"/>
      <c r="BHC24" s="486"/>
      <c r="BHD24" s="486"/>
      <c r="BHE24" s="486"/>
      <c r="BHF24" s="486"/>
      <c r="BHG24" s="486"/>
      <c r="BHH24" s="486"/>
      <c r="BHI24" s="486"/>
      <c r="BHJ24" s="486"/>
      <c r="BHK24" s="486"/>
      <c r="BHL24" s="486"/>
      <c r="BHM24" s="486"/>
      <c r="BHN24" s="486"/>
      <c r="BHO24" s="486"/>
      <c r="BHP24" s="486"/>
      <c r="BHQ24" s="486"/>
      <c r="BHR24" s="486"/>
      <c r="BHS24" s="486"/>
      <c r="BHT24" s="486"/>
      <c r="BHU24" s="486"/>
      <c r="BHV24" s="486"/>
      <c r="BHW24" s="486"/>
      <c r="BHX24" s="486"/>
      <c r="BHY24" s="486"/>
      <c r="BHZ24" s="486"/>
      <c r="BIA24" s="486"/>
      <c r="BIB24" s="486"/>
      <c r="BIC24" s="486"/>
      <c r="BID24" s="486"/>
      <c r="BIE24" s="486"/>
      <c r="BIF24" s="486"/>
      <c r="BIG24" s="486"/>
      <c r="BIH24" s="486"/>
      <c r="BII24" s="486"/>
      <c r="BIJ24" s="486"/>
      <c r="BIK24" s="486"/>
      <c r="BIL24" s="486"/>
      <c r="BIM24" s="486"/>
      <c r="BIN24" s="486"/>
      <c r="BIO24" s="486"/>
      <c r="BIP24" s="486"/>
      <c r="BIQ24" s="486"/>
      <c r="BIR24" s="486"/>
      <c r="BIS24" s="486"/>
      <c r="BIT24" s="486"/>
      <c r="BIU24" s="486"/>
      <c r="BIV24" s="486"/>
      <c r="BIW24" s="486"/>
      <c r="BIX24" s="486"/>
      <c r="BIY24" s="486"/>
      <c r="BIZ24" s="486"/>
      <c r="BJA24" s="486"/>
      <c r="BJB24" s="486"/>
      <c r="BJC24" s="486"/>
      <c r="BJD24" s="486"/>
      <c r="BJE24" s="486"/>
      <c r="BJF24" s="486"/>
      <c r="BJG24" s="486"/>
      <c r="BJH24" s="486"/>
      <c r="BJI24" s="486"/>
      <c r="BJJ24" s="486"/>
      <c r="BJK24" s="486"/>
      <c r="BJL24" s="486"/>
      <c r="BJM24" s="486"/>
      <c r="BJN24" s="486"/>
      <c r="BJO24" s="486"/>
      <c r="BJP24" s="486"/>
      <c r="BJQ24" s="486"/>
      <c r="BJR24" s="486"/>
      <c r="BJS24" s="486"/>
      <c r="BJT24" s="486"/>
      <c r="BJU24" s="486"/>
      <c r="BJV24" s="486"/>
      <c r="BJW24" s="486"/>
      <c r="BJX24" s="486"/>
      <c r="BJY24" s="486"/>
      <c r="BJZ24" s="486"/>
      <c r="BKA24" s="486"/>
      <c r="BKB24" s="486"/>
      <c r="BKC24" s="486"/>
      <c r="BKD24" s="486"/>
      <c r="BKE24" s="486"/>
      <c r="BKF24" s="486"/>
      <c r="BKG24" s="486"/>
      <c r="BKH24" s="486"/>
      <c r="BKI24" s="486"/>
      <c r="BKJ24" s="486"/>
      <c r="BKK24" s="486"/>
      <c r="BKL24" s="486"/>
      <c r="BKM24" s="486"/>
      <c r="BKN24" s="486"/>
      <c r="BKO24" s="486"/>
      <c r="BKP24" s="486"/>
      <c r="BKQ24" s="486"/>
      <c r="BKR24" s="486"/>
      <c r="BKS24" s="486"/>
      <c r="BKT24" s="486"/>
      <c r="BKU24" s="486"/>
      <c r="BKV24" s="486"/>
      <c r="BKW24" s="486"/>
      <c r="BKX24" s="486"/>
      <c r="BKY24" s="486"/>
      <c r="BKZ24" s="486"/>
      <c r="BLA24" s="486"/>
      <c r="BLB24" s="486"/>
      <c r="BLC24" s="486"/>
      <c r="BLD24" s="486"/>
      <c r="BLE24" s="486"/>
      <c r="BLF24" s="486"/>
      <c r="BLG24" s="486"/>
      <c r="BLH24" s="486"/>
      <c r="BLI24" s="486"/>
      <c r="BLJ24" s="486"/>
      <c r="BLK24" s="486"/>
      <c r="BLL24" s="486"/>
      <c r="BLM24" s="486"/>
      <c r="BLN24" s="486"/>
      <c r="BLO24" s="486"/>
      <c r="BLP24" s="486"/>
      <c r="BLQ24" s="486"/>
      <c r="BLR24" s="486"/>
      <c r="BLS24" s="486"/>
      <c r="BLT24" s="486"/>
      <c r="BLU24" s="486"/>
      <c r="BLV24" s="486"/>
      <c r="BLW24" s="486"/>
      <c r="BLX24" s="486"/>
      <c r="BLY24" s="486"/>
      <c r="BLZ24" s="486"/>
      <c r="BMA24" s="486"/>
      <c r="BMB24" s="486"/>
      <c r="BMC24" s="486"/>
      <c r="BMD24" s="486"/>
      <c r="BME24" s="486"/>
      <c r="BMF24" s="486"/>
      <c r="BMG24" s="486"/>
      <c r="BMH24" s="486"/>
      <c r="BMI24" s="486"/>
      <c r="BMJ24" s="486"/>
      <c r="BMK24" s="486"/>
      <c r="BML24" s="486"/>
      <c r="BMM24" s="486"/>
      <c r="BMN24" s="486"/>
      <c r="BMO24" s="486"/>
      <c r="BMP24" s="486"/>
      <c r="BMQ24" s="486"/>
      <c r="BMR24" s="486"/>
      <c r="BMS24" s="486"/>
      <c r="BMT24" s="486"/>
      <c r="BMU24" s="486"/>
      <c r="BMV24" s="486"/>
      <c r="BMW24" s="486"/>
      <c r="BMX24" s="486"/>
      <c r="BMY24" s="486"/>
      <c r="BMZ24" s="486"/>
      <c r="BNA24" s="486"/>
      <c r="BNB24" s="486"/>
      <c r="BNC24" s="486"/>
      <c r="BND24" s="486"/>
      <c r="BNE24" s="486"/>
      <c r="BNF24" s="486"/>
      <c r="BNG24" s="486"/>
      <c r="BNH24" s="486"/>
      <c r="BNI24" s="486"/>
      <c r="BNJ24" s="486"/>
      <c r="BNK24" s="486"/>
      <c r="BNL24" s="486"/>
      <c r="BNM24" s="486"/>
      <c r="BNN24" s="486"/>
      <c r="BNO24" s="486"/>
      <c r="BNP24" s="486"/>
      <c r="BNQ24" s="486"/>
      <c r="BNR24" s="486"/>
      <c r="BNS24" s="486"/>
      <c r="BNT24" s="486"/>
      <c r="BNU24" s="486"/>
      <c r="BNV24" s="486"/>
      <c r="BNW24" s="486"/>
      <c r="BNX24" s="486"/>
      <c r="BNY24" s="486"/>
      <c r="BNZ24" s="486"/>
      <c r="BOA24" s="486"/>
      <c r="BOB24" s="486"/>
      <c r="BOC24" s="486"/>
      <c r="BOD24" s="486"/>
      <c r="BOE24" s="486"/>
      <c r="BOF24" s="486"/>
      <c r="BOG24" s="486"/>
      <c r="BOH24" s="486"/>
      <c r="BOI24" s="486"/>
      <c r="BOJ24" s="486"/>
      <c r="BOK24" s="486"/>
      <c r="BOL24" s="486"/>
      <c r="BOM24" s="486"/>
      <c r="BON24" s="486"/>
      <c r="BOO24" s="486"/>
      <c r="BOP24" s="486"/>
      <c r="BOQ24" s="486"/>
      <c r="BOR24" s="486"/>
      <c r="BOS24" s="486"/>
      <c r="BOT24" s="486"/>
      <c r="BOU24" s="486"/>
      <c r="BOV24" s="486"/>
      <c r="BOW24" s="486"/>
      <c r="BOX24" s="486"/>
      <c r="BOY24" s="486"/>
      <c r="BOZ24" s="486"/>
      <c r="BPA24" s="486"/>
      <c r="BPB24" s="486"/>
      <c r="BPC24" s="486"/>
      <c r="BPD24" s="486"/>
      <c r="BPE24" s="486"/>
      <c r="BPF24" s="486"/>
      <c r="BPG24" s="486"/>
      <c r="BPH24" s="486"/>
      <c r="BPI24" s="486"/>
      <c r="BPJ24" s="486"/>
      <c r="BPK24" s="486"/>
      <c r="BPL24" s="486"/>
      <c r="BPM24" s="486"/>
      <c r="BPN24" s="486"/>
      <c r="BPO24" s="486"/>
      <c r="BPP24" s="486"/>
      <c r="BPQ24" s="486"/>
      <c r="BPR24" s="486"/>
      <c r="BPS24" s="486"/>
      <c r="BPT24" s="486"/>
      <c r="BPU24" s="486"/>
      <c r="BPV24" s="486"/>
      <c r="BPW24" s="486"/>
      <c r="BPX24" s="486"/>
      <c r="BPY24" s="486"/>
      <c r="BPZ24" s="486"/>
      <c r="BQA24" s="486"/>
      <c r="BQB24" s="486"/>
      <c r="BQC24" s="486"/>
      <c r="BQD24" s="486"/>
      <c r="BQE24" s="486"/>
      <c r="BQF24" s="486"/>
      <c r="BQG24" s="486"/>
      <c r="BQH24" s="486"/>
      <c r="BQI24" s="486"/>
      <c r="BQJ24" s="486"/>
      <c r="BQK24" s="486"/>
      <c r="BQL24" s="486"/>
      <c r="BQM24" s="486"/>
      <c r="BQN24" s="486"/>
      <c r="BQO24" s="486"/>
      <c r="BQP24" s="486"/>
      <c r="BQQ24" s="486"/>
      <c r="BQR24" s="486"/>
      <c r="BQS24" s="486"/>
      <c r="BQT24" s="486"/>
      <c r="BQU24" s="486"/>
      <c r="BQV24" s="486"/>
      <c r="BQW24" s="486"/>
      <c r="BQX24" s="486"/>
      <c r="BQY24" s="486"/>
      <c r="BQZ24" s="486"/>
      <c r="BRA24" s="486"/>
      <c r="BRB24" s="486"/>
      <c r="BRC24" s="486"/>
      <c r="BRD24" s="486"/>
      <c r="BRE24" s="486"/>
      <c r="BRF24" s="486"/>
      <c r="BRG24" s="486"/>
      <c r="BRH24" s="486"/>
      <c r="BRI24" s="486"/>
      <c r="BRJ24" s="486"/>
      <c r="BRK24" s="486"/>
      <c r="BRL24" s="486"/>
      <c r="BRM24" s="486"/>
      <c r="BRN24" s="486"/>
      <c r="BRO24" s="486"/>
      <c r="BRP24" s="486"/>
      <c r="BRQ24" s="486"/>
      <c r="BRR24" s="486"/>
      <c r="BRS24" s="486"/>
      <c r="BRT24" s="486"/>
      <c r="BRU24" s="486"/>
      <c r="BRV24" s="486"/>
      <c r="BRW24" s="486"/>
      <c r="BRX24" s="486"/>
      <c r="BRY24" s="486"/>
      <c r="BRZ24" s="486"/>
      <c r="BSA24" s="486"/>
      <c r="BSB24" s="486"/>
      <c r="BSC24" s="486"/>
      <c r="BSD24" s="486"/>
      <c r="BSE24" s="486"/>
      <c r="BSF24" s="486"/>
      <c r="BSG24" s="486"/>
      <c r="BSH24" s="486"/>
      <c r="BSI24" s="486"/>
      <c r="BSJ24" s="486"/>
      <c r="BSK24" s="486"/>
      <c r="BSL24" s="486"/>
      <c r="BSM24" s="486"/>
      <c r="BSN24" s="486"/>
      <c r="BSO24" s="486"/>
      <c r="BSP24" s="486"/>
      <c r="BSQ24" s="486"/>
      <c r="BSR24" s="486"/>
      <c r="BSS24" s="486"/>
      <c r="BST24" s="486"/>
      <c r="BSU24" s="486"/>
      <c r="BSV24" s="486"/>
      <c r="BSW24" s="486"/>
      <c r="BSX24" s="486"/>
      <c r="BSY24" s="486"/>
      <c r="BSZ24" s="486"/>
      <c r="BTA24" s="486"/>
      <c r="BTB24" s="486"/>
      <c r="BTC24" s="486"/>
      <c r="BTD24" s="486"/>
      <c r="BTE24" s="486"/>
      <c r="BTF24" s="486"/>
      <c r="BTG24" s="486"/>
      <c r="BTH24" s="486"/>
      <c r="BTI24" s="486"/>
      <c r="BTJ24" s="486"/>
      <c r="BTK24" s="486"/>
      <c r="BTL24" s="486"/>
      <c r="BTM24" s="486"/>
      <c r="BTN24" s="486"/>
      <c r="BTO24" s="486"/>
      <c r="BTP24" s="486"/>
      <c r="BTQ24" s="486"/>
      <c r="BTR24" s="486"/>
      <c r="BTS24" s="486"/>
      <c r="BTT24" s="486"/>
      <c r="BTU24" s="486"/>
      <c r="BTV24" s="486"/>
      <c r="BTW24" s="486"/>
      <c r="BTX24" s="486"/>
      <c r="BTY24" s="486"/>
      <c r="BTZ24" s="486"/>
      <c r="BUA24" s="486"/>
      <c r="BUB24" s="486"/>
      <c r="BUC24" s="486"/>
      <c r="BUD24" s="486"/>
      <c r="BUE24" s="486"/>
      <c r="BUF24" s="486"/>
      <c r="BUG24" s="486"/>
      <c r="BUH24" s="486"/>
      <c r="BUI24" s="486"/>
      <c r="BUJ24" s="486"/>
      <c r="BUK24" s="486"/>
      <c r="BUL24" s="486"/>
      <c r="BUM24" s="486"/>
      <c r="BUN24" s="486"/>
      <c r="BUO24" s="486"/>
      <c r="BUP24" s="486"/>
      <c r="BUQ24" s="486"/>
      <c r="BUR24" s="486"/>
      <c r="BUS24" s="486"/>
      <c r="BUT24" s="486"/>
      <c r="BUU24" s="486"/>
      <c r="BUV24" s="486"/>
      <c r="BUW24" s="486"/>
      <c r="BUX24" s="486"/>
      <c r="BUY24" s="486"/>
      <c r="BUZ24" s="486"/>
      <c r="BVA24" s="486"/>
      <c r="BVB24" s="486"/>
      <c r="BVC24" s="486"/>
      <c r="BVD24" s="486"/>
      <c r="BVE24" s="486"/>
      <c r="BVF24" s="486"/>
      <c r="BVG24" s="486"/>
      <c r="BVH24" s="486"/>
      <c r="BVI24" s="486"/>
      <c r="BVJ24" s="486"/>
      <c r="BVK24" s="486"/>
      <c r="BVL24" s="486"/>
      <c r="BVM24" s="486"/>
      <c r="BVN24" s="486"/>
      <c r="BVO24" s="486"/>
      <c r="BVP24" s="486"/>
      <c r="BVQ24" s="486"/>
      <c r="BVR24" s="486"/>
      <c r="BVS24" s="486"/>
      <c r="BVT24" s="486"/>
      <c r="BVU24" s="486"/>
      <c r="BVV24" s="486"/>
      <c r="BVW24" s="486"/>
      <c r="BVX24" s="486"/>
      <c r="BVY24" s="486"/>
      <c r="BVZ24" s="486"/>
      <c r="BWA24" s="486"/>
      <c r="BWB24" s="486"/>
      <c r="BWC24" s="486"/>
      <c r="BWD24" s="486"/>
      <c r="BWE24" s="486"/>
      <c r="BWF24" s="486"/>
      <c r="BWG24" s="486"/>
      <c r="BWH24" s="486"/>
      <c r="BWI24" s="486"/>
      <c r="BWJ24" s="486"/>
      <c r="BWK24" s="486"/>
      <c r="BWL24" s="486"/>
      <c r="BWM24" s="486"/>
      <c r="BWN24" s="486"/>
      <c r="BWO24" s="486"/>
      <c r="BWP24" s="486"/>
      <c r="BWQ24" s="486"/>
      <c r="BWR24" s="486"/>
      <c r="BWS24" s="486"/>
      <c r="BWT24" s="486"/>
      <c r="BWU24" s="486"/>
      <c r="BWV24" s="486"/>
      <c r="BWW24" s="486"/>
      <c r="BWX24" s="486"/>
      <c r="BWY24" s="486"/>
      <c r="BWZ24" s="486"/>
      <c r="BXA24" s="486"/>
      <c r="BXB24" s="486"/>
      <c r="BXC24" s="486"/>
      <c r="BXD24" s="486"/>
      <c r="BXE24" s="486"/>
      <c r="BXF24" s="486"/>
      <c r="BXG24" s="486"/>
      <c r="BXH24" s="486"/>
      <c r="BXI24" s="486"/>
      <c r="BXJ24" s="486"/>
      <c r="BXK24" s="486"/>
      <c r="BXL24" s="486"/>
      <c r="BXM24" s="486"/>
      <c r="BXN24" s="486"/>
      <c r="BXO24" s="486"/>
      <c r="BXP24" s="486"/>
      <c r="BXQ24" s="486"/>
      <c r="BXR24" s="486"/>
      <c r="BXS24" s="486"/>
      <c r="BXT24" s="486"/>
      <c r="BXU24" s="486"/>
      <c r="BXV24" s="486"/>
      <c r="BXW24" s="486"/>
      <c r="BXX24" s="486"/>
      <c r="BXY24" s="486"/>
      <c r="BXZ24" s="486"/>
      <c r="BYA24" s="486"/>
      <c r="BYB24" s="486"/>
      <c r="BYC24" s="486"/>
      <c r="BYD24" s="486"/>
      <c r="BYE24" s="486"/>
      <c r="BYF24" s="486"/>
      <c r="BYG24" s="486"/>
      <c r="BYH24" s="486"/>
      <c r="BYI24" s="486"/>
      <c r="BYJ24" s="486"/>
      <c r="BYK24" s="486"/>
      <c r="BYL24" s="486"/>
      <c r="BYM24" s="486"/>
      <c r="BYN24" s="486"/>
      <c r="BYO24" s="486"/>
      <c r="BYP24" s="486"/>
      <c r="BYQ24" s="486"/>
      <c r="BYR24" s="486"/>
      <c r="BYS24" s="486"/>
      <c r="BYT24" s="486"/>
      <c r="BYU24" s="486"/>
      <c r="BYV24" s="486"/>
      <c r="BYW24" s="486"/>
      <c r="BYX24" s="486"/>
      <c r="BYY24" s="486"/>
      <c r="BYZ24" s="486"/>
      <c r="BZA24" s="486"/>
      <c r="BZB24" s="486"/>
      <c r="BZC24" s="486"/>
      <c r="BZD24" s="486"/>
      <c r="BZE24" s="486"/>
      <c r="BZF24" s="486"/>
      <c r="BZG24" s="486"/>
      <c r="BZH24" s="486"/>
      <c r="BZI24" s="486"/>
      <c r="BZJ24" s="486"/>
      <c r="BZK24" s="486"/>
      <c r="BZL24" s="486"/>
      <c r="BZM24" s="486"/>
      <c r="BZN24" s="486"/>
      <c r="BZO24" s="486"/>
      <c r="BZP24" s="486"/>
      <c r="BZQ24" s="486"/>
      <c r="BZR24" s="486"/>
      <c r="BZS24" s="486"/>
      <c r="BZT24" s="486"/>
      <c r="BZU24" s="486"/>
      <c r="BZV24" s="486"/>
      <c r="BZW24" s="486"/>
      <c r="BZX24" s="486"/>
      <c r="BZY24" s="486"/>
      <c r="BZZ24" s="486"/>
      <c r="CAA24" s="486"/>
      <c r="CAB24" s="486"/>
      <c r="CAC24" s="486"/>
      <c r="CAD24" s="486"/>
      <c r="CAE24" s="486"/>
      <c r="CAF24" s="486"/>
      <c r="CAG24" s="486"/>
      <c r="CAH24" s="486"/>
      <c r="CAI24" s="486"/>
      <c r="CAJ24" s="486"/>
      <c r="CAK24" s="486"/>
      <c r="CAL24" s="486"/>
      <c r="CAM24" s="486"/>
      <c r="CAN24" s="486"/>
      <c r="CAO24" s="486"/>
      <c r="CAP24" s="486"/>
      <c r="CAQ24" s="486"/>
      <c r="CAR24" s="486"/>
      <c r="CAS24" s="486"/>
      <c r="CAT24" s="486"/>
      <c r="CAU24" s="486"/>
      <c r="CAV24" s="486"/>
      <c r="CAW24" s="486"/>
      <c r="CAX24" s="486"/>
      <c r="CAY24" s="486"/>
      <c r="CAZ24" s="486"/>
      <c r="CBA24" s="486"/>
      <c r="CBB24" s="486"/>
      <c r="CBC24" s="486"/>
      <c r="CBD24" s="486"/>
      <c r="CBE24" s="486"/>
      <c r="CBF24" s="486"/>
      <c r="CBG24" s="486"/>
      <c r="CBH24" s="486"/>
      <c r="CBI24" s="486"/>
      <c r="CBJ24" s="486"/>
      <c r="CBK24" s="486"/>
      <c r="CBL24" s="486"/>
      <c r="CBM24" s="486"/>
      <c r="CBN24" s="486"/>
      <c r="CBO24" s="486"/>
      <c r="CBP24" s="486"/>
      <c r="CBQ24" s="486"/>
      <c r="CBR24" s="486"/>
      <c r="CBS24" s="486"/>
      <c r="CBT24" s="486"/>
      <c r="CBU24" s="486"/>
      <c r="CBV24" s="486"/>
      <c r="CBW24" s="486"/>
      <c r="CBX24" s="486"/>
      <c r="CBY24" s="486"/>
      <c r="CBZ24" s="486"/>
      <c r="CCA24" s="486"/>
      <c r="CCB24" s="486"/>
      <c r="CCC24" s="486"/>
      <c r="CCD24" s="486"/>
      <c r="CCE24" s="486"/>
      <c r="CCF24" s="486"/>
      <c r="CCG24" s="486"/>
      <c r="CCH24" s="486"/>
      <c r="CCI24" s="486"/>
      <c r="CCJ24" s="486"/>
      <c r="CCK24" s="486"/>
      <c r="CCL24" s="486"/>
      <c r="CCM24" s="486"/>
      <c r="CCN24" s="486"/>
      <c r="CCO24" s="486"/>
      <c r="CCP24" s="486"/>
      <c r="CCQ24" s="486"/>
      <c r="CCR24" s="486"/>
      <c r="CCS24" s="486"/>
      <c r="CCT24" s="486"/>
      <c r="CCU24" s="486"/>
      <c r="CCV24" s="486"/>
      <c r="CCW24" s="486"/>
      <c r="CCX24" s="486"/>
      <c r="CCY24" s="486"/>
      <c r="CCZ24" s="486"/>
      <c r="CDA24" s="486"/>
      <c r="CDB24" s="486"/>
      <c r="CDC24" s="486"/>
      <c r="CDD24" s="486"/>
      <c r="CDE24" s="486"/>
      <c r="CDF24" s="486"/>
      <c r="CDG24" s="486"/>
      <c r="CDH24" s="486"/>
      <c r="CDI24" s="486"/>
      <c r="CDJ24" s="486"/>
      <c r="CDK24" s="486"/>
      <c r="CDL24" s="486"/>
      <c r="CDM24" s="486"/>
      <c r="CDN24" s="486"/>
      <c r="CDO24" s="486"/>
      <c r="CDP24" s="486"/>
      <c r="CDQ24" s="486"/>
      <c r="CDR24" s="486"/>
      <c r="CDS24" s="486"/>
      <c r="CDT24" s="486"/>
      <c r="CDU24" s="486"/>
      <c r="CDV24" s="486"/>
      <c r="CDW24" s="486"/>
      <c r="CDX24" s="486"/>
      <c r="CDY24" s="486"/>
      <c r="CDZ24" s="486"/>
      <c r="CEA24" s="486"/>
      <c r="CEB24" s="486"/>
      <c r="CEC24" s="486"/>
      <c r="CED24" s="486"/>
      <c r="CEE24" s="486"/>
      <c r="CEF24" s="486"/>
      <c r="CEG24" s="486"/>
      <c r="CEH24" s="486"/>
      <c r="CEI24" s="486"/>
      <c r="CEJ24" s="486"/>
      <c r="CEK24" s="486"/>
      <c r="CEL24" s="486"/>
      <c r="CEM24" s="486"/>
      <c r="CEN24" s="486"/>
      <c r="CEO24" s="486"/>
      <c r="CEP24" s="486"/>
      <c r="CEQ24" s="486"/>
      <c r="CER24" s="486"/>
      <c r="CES24" s="486"/>
      <c r="CET24" s="486"/>
      <c r="CEU24" s="486"/>
      <c r="CEV24" s="486"/>
      <c r="CEW24" s="486"/>
      <c r="CEX24" s="486"/>
      <c r="CEY24" s="486"/>
      <c r="CEZ24" s="486"/>
      <c r="CFA24" s="486"/>
      <c r="CFB24" s="486"/>
      <c r="CFC24" s="486"/>
      <c r="CFD24" s="486"/>
      <c r="CFE24" s="486"/>
      <c r="CFF24" s="486"/>
      <c r="CFG24" s="486"/>
      <c r="CFH24" s="486"/>
      <c r="CFI24" s="486"/>
      <c r="CFJ24" s="486"/>
      <c r="CFK24" s="486"/>
      <c r="CFL24" s="486"/>
      <c r="CFM24" s="486"/>
      <c r="CFN24" s="486"/>
      <c r="CFO24" s="486"/>
      <c r="CFP24" s="486"/>
      <c r="CFQ24" s="486"/>
      <c r="CFR24" s="486"/>
      <c r="CFS24" s="486"/>
      <c r="CFT24" s="486"/>
      <c r="CFU24" s="486"/>
      <c r="CFV24" s="486"/>
      <c r="CFW24" s="486"/>
      <c r="CFX24" s="486"/>
      <c r="CFY24" s="486"/>
      <c r="CFZ24" s="486"/>
      <c r="CGA24" s="486"/>
      <c r="CGB24" s="486"/>
      <c r="CGC24" s="486"/>
      <c r="CGD24" s="486"/>
      <c r="CGE24" s="486"/>
      <c r="CGF24" s="486"/>
      <c r="CGG24" s="486"/>
      <c r="CGH24" s="486"/>
      <c r="CGI24" s="486"/>
      <c r="CGJ24" s="486"/>
      <c r="CGK24" s="486"/>
      <c r="CGL24" s="486"/>
      <c r="CGM24" s="486"/>
      <c r="CGN24" s="486"/>
      <c r="CGO24" s="486"/>
      <c r="CGP24" s="486"/>
      <c r="CGQ24" s="486"/>
      <c r="CGR24" s="486"/>
      <c r="CGS24" s="486"/>
      <c r="CGT24" s="486"/>
      <c r="CGU24" s="486"/>
      <c r="CGV24" s="486"/>
      <c r="CGW24" s="486"/>
      <c r="CGX24" s="486"/>
      <c r="CGY24" s="486"/>
      <c r="CGZ24" s="486"/>
      <c r="CHA24" s="486"/>
      <c r="CHB24" s="486"/>
      <c r="CHC24" s="486"/>
      <c r="CHD24" s="486"/>
      <c r="CHE24" s="486"/>
      <c r="CHF24" s="486"/>
      <c r="CHG24" s="486"/>
      <c r="CHH24" s="486"/>
      <c r="CHI24" s="486"/>
      <c r="CHJ24" s="486"/>
      <c r="CHK24" s="486"/>
      <c r="CHL24" s="486"/>
      <c r="CHM24" s="486"/>
      <c r="CHN24" s="486"/>
      <c r="CHO24" s="486"/>
      <c r="CHP24" s="486"/>
      <c r="CHQ24" s="486"/>
      <c r="CHR24" s="486"/>
      <c r="CHS24" s="486"/>
      <c r="CHT24" s="486"/>
      <c r="CHU24" s="486"/>
      <c r="CHV24" s="486"/>
      <c r="CHW24" s="486"/>
      <c r="CHX24" s="486"/>
      <c r="CHY24" s="486"/>
      <c r="CHZ24" s="486"/>
      <c r="CIA24" s="486"/>
      <c r="CIB24" s="486"/>
      <c r="CIC24" s="486"/>
      <c r="CID24" s="486"/>
      <c r="CIE24" s="486"/>
      <c r="CIF24" s="486"/>
      <c r="CIG24" s="486"/>
      <c r="CIH24" s="486"/>
      <c r="CII24" s="486"/>
      <c r="CIJ24" s="486"/>
      <c r="CIK24" s="486"/>
      <c r="CIL24" s="486"/>
      <c r="CIM24" s="486"/>
      <c r="CIN24" s="486"/>
      <c r="CIO24" s="486"/>
      <c r="CIP24" s="486"/>
      <c r="CIQ24" s="486"/>
      <c r="CIR24" s="486"/>
      <c r="CIS24" s="486"/>
      <c r="CIT24" s="486"/>
      <c r="CIU24" s="486"/>
      <c r="CIV24" s="486"/>
      <c r="CIW24" s="486"/>
      <c r="CIX24" s="486"/>
      <c r="CIY24" s="486"/>
      <c r="CIZ24" s="486"/>
      <c r="CJA24" s="486"/>
      <c r="CJB24" s="486"/>
      <c r="CJC24" s="486"/>
      <c r="CJD24" s="486"/>
      <c r="CJE24" s="486"/>
      <c r="CJF24" s="486"/>
      <c r="CJG24" s="486"/>
      <c r="CJH24" s="486"/>
      <c r="CJI24" s="486"/>
      <c r="CJJ24" s="486"/>
      <c r="CJK24" s="486"/>
      <c r="CJL24" s="486"/>
      <c r="CJM24" s="486"/>
      <c r="CJN24" s="486"/>
      <c r="CJO24" s="486"/>
      <c r="CJP24" s="486"/>
      <c r="CJQ24" s="486"/>
      <c r="CJR24" s="486"/>
      <c r="CJS24" s="486"/>
      <c r="CJT24" s="486"/>
      <c r="CJU24" s="486"/>
      <c r="CJV24" s="486"/>
      <c r="CJW24" s="486"/>
      <c r="CJX24" s="486"/>
      <c r="CJY24" s="486"/>
      <c r="CJZ24" s="486"/>
      <c r="CKA24" s="486"/>
      <c r="CKB24" s="486"/>
      <c r="CKC24" s="486"/>
      <c r="CKD24" s="486"/>
      <c r="CKE24" s="486"/>
      <c r="CKF24" s="486"/>
      <c r="CKG24" s="486"/>
      <c r="CKH24" s="486"/>
      <c r="CKI24" s="486"/>
      <c r="CKJ24" s="486"/>
      <c r="CKK24" s="486"/>
      <c r="CKL24" s="486"/>
      <c r="CKM24" s="486"/>
      <c r="CKN24" s="486"/>
      <c r="CKO24" s="486"/>
      <c r="CKP24" s="486"/>
      <c r="CKQ24" s="486"/>
      <c r="CKR24" s="486"/>
      <c r="CKS24" s="486"/>
      <c r="CKT24" s="486"/>
      <c r="CKU24" s="486"/>
      <c r="CKV24" s="486"/>
      <c r="CKW24" s="486"/>
      <c r="CKX24" s="486"/>
      <c r="CKY24" s="486"/>
      <c r="CKZ24" s="486"/>
      <c r="CLA24" s="486"/>
      <c r="CLB24" s="486"/>
      <c r="CLC24" s="486"/>
      <c r="CLD24" s="486"/>
      <c r="CLE24" s="486"/>
      <c r="CLF24" s="486"/>
      <c r="CLG24" s="486"/>
      <c r="CLH24" s="486"/>
      <c r="CLI24" s="486"/>
      <c r="CLJ24" s="486"/>
      <c r="CLK24" s="486"/>
      <c r="CLL24" s="486"/>
      <c r="CLM24" s="486"/>
      <c r="CLN24" s="486"/>
      <c r="CLO24" s="486"/>
      <c r="CLP24" s="486"/>
      <c r="CLQ24" s="486"/>
      <c r="CLR24" s="486"/>
      <c r="CLS24" s="486"/>
      <c r="CLT24" s="486"/>
      <c r="CLU24" s="486"/>
      <c r="CLV24" s="486"/>
      <c r="CLW24" s="486"/>
      <c r="CLX24" s="486"/>
      <c r="CLY24" s="486"/>
      <c r="CLZ24" s="486"/>
      <c r="CMA24" s="486"/>
      <c r="CMB24" s="486"/>
      <c r="CMC24" s="486"/>
      <c r="CMD24" s="486"/>
      <c r="CME24" s="486"/>
      <c r="CMF24" s="486"/>
      <c r="CMG24" s="486"/>
      <c r="CMH24" s="486"/>
      <c r="CMI24" s="486"/>
      <c r="CMJ24" s="486"/>
      <c r="CMK24" s="486"/>
      <c r="CML24" s="486"/>
      <c r="CMM24" s="486"/>
      <c r="CMN24" s="486"/>
      <c r="CMO24" s="486"/>
      <c r="CMP24" s="486"/>
      <c r="CMQ24" s="486"/>
      <c r="CMR24" s="486"/>
      <c r="CMS24" s="486"/>
      <c r="CMT24" s="486"/>
      <c r="CMU24" s="486"/>
      <c r="CMV24" s="486"/>
      <c r="CMW24" s="486"/>
      <c r="CMX24" s="486"/>
      <c r="CMY24" s="486"/>
      <c r="CMZ24" s="486"/>
      <c r="CNA24" s="486"/>
      <c r="CNB24" s="486"/>
      <c r="CNC24" s="486"/>
      <c r="CND24" s="486"/>
      <c r="CNE24" s="486"/>
      <c r="CNF24" s="486"/>
      <c r="CNG24" s="486"/>
      <c r="CNH24" s="486"/>
      <c r="CNI24" s="486"/>
      <c r="CNJ24" s="486"/>
      <c r="CNK24" s="486"/>
      <c r="CNL24" s="486"/>
      <c r="CNM24" s="486"/>
      <c r="CNN24" s="486"/>
      <c r="CNO24" s="486"/>
      <c r="CNP24" s="486"/>
      <c r="CNQ24" s="486"/>
      <c r="CNR24" s="486"/>
      <c r="CNS24" s="486"/>
      <c r="CNT24" s="486"/>
      <c r="CNU24" s="486"/>
      <c r="CNV24" s="486"/>
      <c r="CNW24" s="486"/>
      <c r="CNX24" s="486"/>
      <c r="CNY24" s="486"/>
      <c r="CNZ24" s="486"/>
      <c r="COA24" s="486"/>
      <c r="COB24" s="486"/>
      <c r="COC24" s="486"/>
      <c r="COD24" s="486"/>
      <c r="COE24" s="486"/>
      <c r="COF24" s="486"/>
      <c r="COG24" s="486"/>
      <c r="COH24" s="486"/>
      <c r="COI24" s="486"/>
      <c r="COJ24" s="486"/>
      <c r="COK24" s="486"/>
      <c r="COL24" s="486"/>
      <c r="COM24" s="486"/>
      <c r="CON24" s="486"/>
      <c r="COO24" s="486"/>
      <c r="COP24" s="486"/>
      <c r="COQ24" s="486"/>
      <c r="COR24" s="486"/>
      <c r="COS24" s="486"/>
      <c r="COT24" s="486"/>
      <c r="COU24" s="486"/>
      <c r="COV24" s="486"/>
      <c r="COW24" s="486"/>
      <c r="COX24" s="486"/>
      <c r="COY24" s="486"/>
      <c r="COZ24" s="486"/>
      <c r="CPA24" s="486"/>
      <c r="CPB24" s="486"/>
      <c r="CPC24" s="486"/>
      <c r="CPD24" s="486"/>
      <c r="CPE24" s="486"/>
      <c r="CPF24" s="486"/>
      <c r="CPG24" s="486"/>
      <c r="CPH24" s="486"/>
      <c r="CPI24" s="486"/>
      <c r="CPJ24" s="486"/>
      <c r="CPK24" s="486"/>
      <c r="CPL24" s="486"/>
      <c r="CPM24" s="486"/>
      <c r="CPN24" s="486"/>
      <c r="CPO24" s="486"/>
      <c r="CPP24" s="486"/>
      <c r="CPQ24" s="486"/>
      <c r="CPR24" s="486"/>
      <c r="CPS24" s="486"/>
      <c r="CPT24" s="486"/>
      <c r="CPU24" s="486"/>
      <c r="CPV24" s="486"/>
      <c r="CPW24" s="486"/>
      <c r="CPX24" s="486"/>
      <c r="CPY24" s="486"/>
      <c r="CPZ24" s="486"/>
      <c r="CQA24" s="486"/>
      <c r="CQB24" s="486"/>
      <c r="CQC24" s="486"/>
      <c r="CQD24" s="486"/>
      <c r="CQE24" s="486"/>
      <c r="CQF24" s="486"/>
      <c r="CQG24" s="486"/>
      <c r="CQH24" s="486"/>
      <c r="CQI24" s="486"/>
      <c r="CQJ24" s="486"/>
      <c r="CQK24" s="486"/>
      <c r="CQL24" s="486"/>
      <c r="CQM24" s="486"/>
      <c r="CQN24" s="486"/>
      <c r="CQO24" s="486"/>
      <c r="CQP24" s="486"/>
      <c r="CQQ24" s="486"/>
      <c r="CQR24" s="486"/>
      <c r="CQS24" s="486"/>
      <c r="CQT24" s="486"/>
      <c r="CQU24" s="486"/>
      <c r="CQV24" s="486"/>
      <c r="CQW24" s="486"/>
      <c r="CQX24" s="486"/>
      <c r="CQY24" s="486"/>
      <c r="CQZ24" s="486"/>
      <c r="CRA24" s="486"/>
      <c r="CRB24" s="486"/>
      <c r="CRC24" s="486"/>
      <c r="CRD24" s="486"/>
      <c r="CRE24" s="486"/>
      <c r="CRF24" s="486"/>
      <c r="CRG24" s="486"/>
      <c r="CRH24" s="486"/>
      <c r="CRI24" s="486"/>
      <c r="CRJ24" s="486"/>
      <c r="CRK24" s="486"/>
      <c r="CRL24" s="486"/>
      <c r="CRM24" s="486"/>
      <c r="CRN24" s="486"/>
      <c r="CRO24" s="486"/>
      <c r="CRP24" s="486"/>
      <c r="CRQ24" s="486"/>
      <c r="CRR24" s="486"/>
      <c r="CRS24" s="486"/>
      <c r="CRT24" s="486"/>
      <c r="CRU24" s="486"/>
      <c r="CRV24" s="486"/>
      <c r="CRW24" s="486"/>
      <c r="CRX24" s="486"/>
      <c r="CRY24" s="486"/>
      <c r="CRZ24" s="486"/>
      <c r="CSA24" s="486"/>
      <c r="CSB24" s="486"/>
      <c r="CSC24" s="486"/>
      <c r="CSD24" s="486"/>
      <c r="CSE24" s="486"/>
      <c r="CSF24" s="486"/>
      <c r="CSG24" s="486"/>
      <c r="CSH24" s="486"/>
      <c r="CSI24" s="486"/>
      <c r="CSJ24" s="486"/>
      <c r="CSK24" s="486"/>
      <c r="CSL24" s="486"/>
      <c r="CSM24" s="486"/>
      <c r="CSN24" s="486"/>
      <c r="CSO24" s="486"/>
      <c r="CSP24" s="486"/>
      <c r="CSQ24" s="486"/>
      <c r="CSR24" s="486"/>
      <c r="CSS24" s="486"/>
      <c r="CST24" s="486"/>
      <c r="CSU24" s="486"/>
      <c r="CSV24" s="486"/>
      <c r="CSW24" s="486"/>
      <c r="CSX24" s="486"/>
      <c r="CSY24" s="486"/>
      <c r="CSZ24" s="486"/>
      <c r="CTA24" s="486"/>
      <c r="CTB24" s="486"/>
      <c r="CTC24" s="486"/>
      <c r="CTD24" s="486"/>
      <c r="CTE24" s="486"/>
      <c r="CTF24" s="486"/>
      <c r="CTG24" s="486"/>
      <c r="CTH24" s="486"/>
      <c r="CTI24" s="486"/>
      <c r="CTJ24" s="486"/>
      <c r="CTK24" s="486"/>
      <c r="CTL24" s="486"/>
      <c r="CTM24" s="486"/>
      <c r="CTN24" s="486"/>
      <c r="CTO24" s="486"/>
      <c r="CTP24" s="486"/>
      <c r="CTQ24" s="486"/>
      <c r="CTR24" s="486"/>
      <c r="CTS24" s="486"/>
      <c r="CTT24" s="486"/>
      <c r="CTU24" s="486"/>
      <c r="CTV24" s="486"/>
      <c r="CTW24" s="486"/>
      <c r="CTX24" s="486"/>
      <c r="CTY24" s="486"/>
      <c r="CTZ24" s="486"/>
      <c r="CUA24" s="486"/>
      <c r="CUB24" s="486"/>
      <c r="CUC24" s="486"/>
      <c r="CUD24" s="486"/>
      <c r="CUE24" s="486"/>
      <c r="CUF24" s="486"/>
      <c r="CUG24" s="486"/>
      <c r="CUH24" s="486"/>
      <c r="CUI24" s="486"/>
      <c r="CUJ24" s="486"/>
      <c r="CUK24" s="486"/>
      <c r="CUL24" s="486"/>
      <c r="CUM24" s="486"/>
      <c r="CUN24" s="486"/>
      <c r="CUO24" s="486"/>
      <c r="CUP24" s="486"/>
      <c r="CUQ24" s="486"/>
      <c r="CUR24" s="486"/>
      <c r="CUS24" s="486"/>
      <c r="CUT24" s="486"/>
      <c r="CUU24" s="486"/>
      <c r="CUV24" s="486"/>
      <c r="CUW24" s="486"/>
      <c r="CUX24" s="486"/>
      <c r="CUY24" s="486"/>
      <c r="CUZ24" s="486"/>
      <c r="CVA24" s="486"/>
      <c r="CVB24" s="486"/>
      <c r="CVC24" s="486"/>
      <c r="CVD24" s="486"/>
      <c r="CVE24" s="486"/>
      <c r="CVF24" s="486"/>
      <c r="CVG24" s="486"/>
      <c r="CVH24" s="486"/>
      <c r="CVI24" s="486"/>
      <c r="CVJ24" s="486"/>
      <c r="CVK24" s="486"/>
      <c r="CVL24" s="486"/>
      <c r="CVM24" s="486"/>
      <c r="CVN24" s="486"/>
      <c r="CVO24" s="486"/>
      <c r="CVP24" s="486"/>
      <c r="CVQ24" s="486"/>
      <c r="CVR24" s="486"/>
      <c r="CVS24" s="486"/>
      <c r="CVT24" s="486"/>
      <c r="CVU24" s="486"/>
      <c r="CVV24" s="486"/>
      <c r="CVW24" s="486"/>
      <c r="CVX24" s="486"/>
      <c r="CVY24" s="486"/>
      <c r="CVZ24" s="486"/>
      <c r="CWA24" s="486"/>
      <c r="CWB24" s="486"/>
      <c r="CWC24" s="486"/>
      <c r="CWD24" s="486"/>
      <c r="CWE24" s="486"/>
      <c r="CWF24" s="486"/>
      <c r="CWG24" s="486"/>
      <c r="CWH24" s="486"/>
      <c r="CWI24" s="486"/>
      <c r="CWJ24" s="486"/>
      <c r="CWK24" s="486"/>
      <c r="CWL24" s="486"/>
      <c r="CWM24" s="486"/>
      <c r="CWN24" s="486"/>
      <c r="CWO24" s="486"/>
      <c r="CWP24" s="486"/>
      <c r="CWQ24" s="486"/>
      <c r="CWR24" s="486"/>
      <c r="CWS24" s="486"/>
      <c r="CWT24" s="486"/>
      <c r="CWU24" s="486"/>
      <c r="CWV24" s="486"/>
      <c r="CWW24" s="486"/>
      <c r="CWX24" s="486"/>
      <c r="CWY24" s="486"/>
      <c r="CWZ24" s="486"/>
      <c r="CXA24" s="486"/>
      <c r="CXB24" s="486"/>
      <c r="CXC24" s="486"/>
      <c r="CXD24" s="486"/>
      <c r="CXE24" s="486"/>
      <c r="CXF24" s="486"/>
      <c r="CXG24" s="486"/>
      <c r="CXH24" s="486"/>
      <c r="CXI24" s="486"/>
      <c r="CXJ24" s="486"/>
      <c r="CXK24" s="486"/>
      <c r="CXL24" s="486"/>
      <c r="CXM24" s="486"/>
      <c r="CXN24" s="486"/>
      <c r="CXO24" s="486"/>
      <c r="CXP24" s="486"/>
      <c r="CXQ24" s="486"/>
      <c r="CXR24" s="486"/>
      <c r="CXS24" s="486"/>
      <c r="CXT24" s="486"/>
      <c r="CXU24" s="486"/>
      <c r="CXV24" s="486"/>
      <c r="CXW24" s="486"/>
      <c r="CXX24" s="486"/>
      <c r="CXY24" s="486"/>
      <c r="CXZ24" s="486"/>
      <c r="CYA24" s="486"/>
      <c r="CYB24" s="486"/>
      <c r="CYC24" s="486"/>
      <c r="CYD24" s="486"/>
      <c r="CYE24" s="486"/>
      <c r="CYF24" s="486"/>
      <c r="CYG24" s="486"/>
      <c r="CYH24" s="486"/>
      <c r="CYI24" s="486"/>
      <c r="CYJ24" s="486"/>
      <c r="CYK24" s="486"/>
      <c r="CYL24" s="486"/>
      <c r="CYM24" s="486"/>
      <c r="CYN24" s="486"/>
      <c r="CYO24" s="486"/>
      <c r="CYP24" s="486"/>
      <c r="CYQ24" s="486"/>
      <c r="CYR24" s="486"/>
      <c r="CYS24" s="486"/>
      <c r="CYT24" s="486"/>
      <c r="CYU24" s="486"/>
      <c r="CYV24" s="486"/>
      <c r="CYW24" s="486"/>
      <c r="CYX24" s="486"/>
      <c r="CYY24" s="486"/>
      <c r="CYZ24" s="486"/>
      <c r="CZA24" s="486"/>
      <c r="CZB24" s="486"/>
      <c r="CZC24" s="486"/>
      <c r="CZD24" s="486"/>
      <c r="CZE24" s="486"/>
      <c r="CZF24" s="486"/>
      <c r="CZG24" s="486"/>
      <c r="CZH24" s="486"/>
      <c r="CZI24" s="486"/>
      <c r="CZJ24" s="486"/>
      <c r="CZK24" s="486"/>
      <c r="CZL24" s="486"/>
      <c r="CZM24" s="486"/>
      <c r="CZN24" s="486"/>
      <c r="CZO24" s="486"/>
      <c r="CZP24" s="486"/>
      <c r="CZQ24" s="486"/>
      <c r="CZR24" s="486"/>
      <c r="CZS24" s="486"/>
      <c r="CZT24" s="486"/>
      <c r="CZU24" s="486"/>
      <c r="CZV24" s="486"/>
      <c r="CZW24" s="486"/>
      <c r="CZX24" s="486"/>
      <c r="CZY24" s="486"/>
      <c r="CZZ24" s="486"/>
      <c r="DAA24" s="486"/>
      <c r="DAB24" s="486"/>
      <c r="DAC24" s="486"/>
      <c r="DAD24" s="486"/>
      <c r="DAE24" s="486"/>
      <c r="DAF24" s="486"/>
      <c r="DAG24" s="486"/>
      <c r="DAH24" s="486"/>
      <c r="DAI24" s="486"/>
      <c r="DAJ24" s="486"/>
      <c r="DAK24" s="486"/>
      <c r="DAL24" s="486"/>
      <c r="DAM24" s="486"/>
      <c r="DAN24" s="486"/>
      <c r="DAO24" s="486"/>
      <c r="DAP24" s="486"/>
      <c r="DAQ24" s="486"/>
      <c r="DAR24" s="486"/>
      <c r="DAS24" s="486"/>
      <c r="DAT24" s="486"/>
      <c r="DAU24" s="486"/>
      <c r="DAV24" s="486"/>
      <c r="DAW24" s="486"/>
      <c r="DAX24" s="486"/>
      <c r="DAY24" s="486"/>
      <c r="DAZ24" s="486"/>
      <c r="DBA24" s="486"/>
      <c r="DBB24" s="486"/>
      <c r="DBC24" s="486"/>
      <c r="DBD24" s="486"/>
      <c r="DBE24" s="486"/>
      <c r="DBF24" s="486"/>
      <c r="DBG24" s="486"/>
      <c r="DBH24" s="486"/>
      <c r="DBI24" s="486"/>
      <c r="DBJ24" s="486"/>
      <c r="DBK24" s="486"/>
      <c r="DBL24" s="486"/>
      <c r="DBM24" s="486"/>
      <c r="DBN24" s="486"/>
      <c r="DBO24" s="486"/>
      <c r="DBP24" s="486"/>
      <c r="DBQ24" s="486"/>
      <c r="DBR24" s="486"/>
      <c r="DBS24" s="486"/>
      <c r="DBT24" s="486"/>
      <c r="DBU24" s="486"/>
      <c r="DBV24" s="486"/>
      <c r="DBW24" s="486"/>
      <c r="DBX24" s="486"/>
      <c r="DBY24" s="486"/>
      <c r="DBZ24" s="486"/>
      <c r="DCA24" s="486"/>
      <c r="DCB24" s="486"/>
      <c r="DCC24" s="486"/>
      <c r="DCD24" s="486"/>
      <c r="DCE24" s="486"/>
      <c r="DCF24" s="486"/>
      <c r="DCG24" s="486"/>
      <c r="DCH24" s="486"/>
      <c r="DCI24" s="486"/>
      <c r="DCJ24" s="486"/>
      <c r="DCK24" s="486"/>
      <c r="DCL24" s="486"/>
      <c r="DCM24" s="486"/>
      <c r="DCN24" s="486"/>
      <c r="DCO24" s="486"/>
      <c r="DCP24" s="486"/>
      <c r="DCQ24" s="486"/>
      <c r="DCR24" s="486"/>
      <c r="DCS24" s="486"/>
      <c r="DCT24" s="486"/>
      <c r="DCU24" s="486"/>
      <c r="DCV24" s="486"/>
      <c r="DCW24" s="486"/>
      <c r="DCX24" s="486"/>
      <c r="DCY24" s="486"/>
      <c r="DCZ24" s="486"/>
      <c r="DDA24" s="486"/>
      <c r="DDB24" s="486"/>
      <c r="DDC24" s="486"/>
      <c r="DDD24" s="486"/>
      <c r="DDE24" s="486"/>
      <c r="DDF24" s="486"/>
      <c r="DDG24" s="486"/>
      <c r="DDH24" s="486"/>
      <c r="DDI24" s="486"/>
      <c r="DDJ24" s="486"/>
      <c r="DDK24" s="486"/>
      <c r="DDL24" s="486"/>
      <c r="DDM24" s="486"/>
      <c r="DDN24" s="486"/>
      <c r="DDO24" s="486"/>
      <c r="DDP24" s="486"/>
      <c r="DDQ24" s="486"/>
      <c r="DDR24" s="486"/>
      <c r="DDS24" s="486"/>
      <c r="DDT24" s="486"/>
      <c r="DDU24" s="486"/>
      <c r="DDV24" s="486"/>
      <c r="DDW24" s="486"/>
      <c r="DDX24" s="486"/>
      <c r="DDY24" s="486"/>
      <c r="DDZ24" s="486"/>
      <c r="DEA24" s="486"/>
      <c r="DEB24" s="486"/>
      <c r="DEC24" s="486"/>
      <c r="DED24" s="486"/>
      <c r="DEE24" s="486"/>
      <c r="DEF24" s="486"/>
      <c r="DEG24" s="486"/>
      <c r="DEH24" s="486"/>
      <c r="DEI24" s="486"/>
      <c r="DEJ24" s="486"/>
      <c r="DEK24" s="486"/>
      <c r="DEL24" s="486"/>
      <c r="DEM24" s="486"/>
      <c r="DEN24" s="486"/>
      <c r="DEO24" s="486"/>
      <c r="DEP24" s="486"/>
      <c r="DEQ24" s="486"/>
      <c r="DER24" s="486"/>
      <c r="DES24" s="486"/>
      <c r="DET24" s="486"/>
      <c r="DEU24" s="486"/>
      <c r="DEV24" s="486"/>
      <c r="DEW24" s="486"/>
      <c r="DEX24" s="486"/>
      <c r="DEY24" s="486"/>
      <c r="DEZ24" s="486"/>
      <c r="DFA24" s="486"/>
      <c r="DFB24" s="486"/>
      <c r="DFC24" s="486"/>
      <c r="DFD24" s="486"/>
      <c r="DFE24" s="486"/>
      <c r="DFF24" s="486"/>
      <c r="DFG24" s="486"/>
      <c r="DFH24" s="486"/>
      <c r="DFI24" s="486"/>
      <c r="DFJ24" s="486"/>
      <c r="DFK24" s="486"/>
      <c r="DFL24" s="486"/>
      <c r="DFM24" s="486"/>
      <c r="DFN24" s="486"/>
      <c r="DFO24" s="486"/>
      <c r="DFP24" s="486"/>
      <c r="DFQ24" s="486"/>
      <c r="DFR24" s="486"/>
      <c r="DFS24" s="486"/>
      <c r="DFT24" s="486"/>
      <c r="DFU24" s="486"/>
      <c r="DFV24" s="486"/>
      <c r="DFW24" s="486"/>
      <c r="DFX24" s="486"/>
      <c r="DFY24" s="486"/>
      <c r="DFZ24" s="486"/>
      <c r="DGA24" s="486"/>
      <c r="DGB24" s="486"/>
      <c r="DGC24" s="486"/>
      <c r="DGD24" s="486"/>
      <c r="DGE24" s="486"/>
      <c r="DGF24" s="486"/>
      <c r="DGG24" s="486"/>
      <c r="DGH24" s="486"/>
      <c r="DGI24" s="486"/>
      <c r="DGJ24" s="486"/>
      <c r="DGK24" s="486"/>
      <c r="DGL24" s="486"/>
      <c r="DGM24" s="486"/>
      <c r="DGN24" s="486"/>
      <c r="DGO24" s="486"/>
      <c r="DGP24" s="486"/>
      <c r="DGQ24" s="486"/>
      <c r="DGR24" s="486"/>
      <c r="DGS24" s="486"/>
      <c r="DGT24" s="486"/>
      <c r="DGU24" s="486"/>
      <c r="DGV24" s="486"/>
      <c r="DGW24" s="486"/>
      <c r="DGX24" s="486"/>
      <c r="DGY24" s="486"/>
      <c r="DGZ24" s="486"/>
      <c r="DHA24" s="486"/>
      <c r="DHB24" s="486"/>
      <c r="DHC24" s="486"/>
      <c r="DHD24" s="486"/>
      <c r="DHE24" s="486"/>
      <c r="DHF24" s="486"/>
      <c r="DHG24" s="486"/>
      <c r="DHH24" s="486"/>
      <c r="DHI24" s="486"/>
      <c r="DHJ24" s="486"/>
      <c r="DHK24" s="486"/>
      <c r="DHL24" s="486"/>
      <c r="DHM24" s="486"/>
      <c r="DHN24" s="486"/>
      <c r="DHO24" s="486"/>
      <c r="DHP24" s="486"/>
      <c r="DHQ24" s="486"/>
      <c r="DHR24" s="486"/>
      <c r="DHS24" s="486"/>
      <c r="DHT24" s="486"/>
      <c r="DHU24" s="486"/>
      <c r="DHV24" s="486"/>
      <c r="DHW24" s="486"/>
      <c r="DHX24" s="486"/>
      <c r="DHY24" s="486"/>
      <c r="DHZ24" s="486"/>
      <c r="DIA24" s="486"/>
      <c r="DIB24" s="486"/>
      <c r="DIC24" s="486"/>
      <c r="DID24" s="486"/>
      <c r="DIE24" s="486"/>
      <c r="DIF24" s="486"/>
      <c r="DIG24" s="486"/>
      <c r="DIH24" s="486"/>
      <c r="DII24" s="486"/>
      <c r="DIJ24" s="486"/>
      <c r="DIK24" s="486"/>
      <c r="DIL24" s="486"/>
      <c r="DIM24" s="486"/>
      <c r="DIN24" s="486"/>
      <c r="DIO24" s="486"/>
      <c r="DIP24" s="486"/>
      <c r="DIQ24" s="486"/>
      <c r="DIR24" s="486"/>
      <c r="DIS24" s="486"/>
      <c r="DIT24" s="486"/>
      <c r="DIU24" s="486"/>
      <c r="DIV24" s="486"/>
      <c r="DIW24" s="486"/>
      <c r="DIX24" s="486"/>
      <c r="DIY24" s="486"/>
      <c r="DIZ24" s="486"/>
      <c r="DJA24" s="486"/>
      <c r="DJB24" s="486"/>
      <c r="DJC24" s="486"/>
      <c r="DJD24" s="486"/>
      <c r="DJE24" s="486"/>
      <c r="DJF24" s="486"/>
      <c r="DJG24" s="486"/>
      <c r="DJH24" s="486"/>
      <c r="DJI24" s="486"/>
      <c r="DJJ24" s="486"/>
      <c r="DJK24" s="486"/>
      <c r="DJL24" s="486"/>
      <c r="DJM24" s="486"/>
      <c r="DJN24" s="486"/>
      <c r="DJO24" s="486"/>
      <c r="DJP24" s="486"/>
      <c r="DJQ24" s="486"/>
      <c r="DJR24" s="486"/>
      <c r="DJS24" s="486"/>
      <c r="DJT24" s="486"/>
      <c r="DJU24" s="486"/>
      <c r="DJV24" s="486"/>
      <c r="DJW24" s="486"/>
      <c r="DJX24" s="486"/>
      <c r="DJY24" s="486"/>
      <c r="DJZ24" s="486"/>
      <c r="DKA24" s="486"/>
      <c r="DKB24" s="486"/>
      <c r="DKC24" s="486"/>
      <c r="DKD24" s="486"/>
      <c r="DKE24" s="486"/>
      <c r="DKF24" s="486"/>
      <c r="DKG24" s="486"/>
      <c r="DKH24" s="486"/>
      <c r="DKI24" s="486"/>
      <c r="DKJ24" s="486"/>
      <c r="DKK24" s="486"/>
      <c r="DKL24" s="486"/>
      <c r="DKM24" s="486"/>
      <c r="DKN24" s="486"/>
      <c r="DKO24" s="486"/>
      <c r="DKP24" s="486"/>
      <c r="DKQ24" s="486"/>
      <c r="DKR24" s="486"/>
      <c r="DKS24" s="486"/>
      <c r="DKT24" s="486"/>
      <c r="DKU24" s="486"/>
      <c r="DKV24" s="486"/>
      <c r="DKW24" s="486"/>
      <c r="DKX24" s="486"/>
      <c r="DKY24" s="486"/>
      <c r="DKZ24" s="486"/>
      <c r="DLA24" s="486"/>
      <c r="DLB24" s="486"/>
      <c r="DLC24" s="486"/>
      <c r="DLD24" s="486"/>
      <c r="DLE24" s="486"/>
      <c r="DLF24" s="486"/>
      <c r="DLG24" s="486"/>
      <c r="DLH24" s="486"/>
      <c r="DLI24" s="486"/>
      <c r="DLJ24" s="486"/>
      <c r="DLK24" s="486"/>
      <c r="DLL24" s="486"/>
      <c r="DLM24" s="486"/>
      <c r="DLN24" s="486"/>
      <c r="DLO24" s="486"/>
      <c r="DLP24" s="486"/>
      <c r="DLQ24" s="486"/>
      <c r="DLR24" s="486"/>
      <c r="DLS24" s="486"/>
      <c r="DLT24" s="486"/>
      <c r="DLU24" s="486"/>
      <c r="DLV24" s="486"/>
      <c r="DLW24" s="486"/>
      <c r="DLX24" s="486"/>
      <c r="DLY24" s="486"/>
      <c r="DLZ24" s="486"/>
      <c r="DMA24" s="486"/>
      <c r="DMB24" s="486"/>
      <c r="DMC24" s="486"/>
      <c r="DMD24" s="486"/>
      <c r="DME24" s="486"/>
      <c r="DMF24" s="486"/>
      <c r="DMG24" s="486"/>
      <c r="DMH24" s="486"/>
      <c r="DMI24" s="486"/>
      <c r="DMJ24" s="486"/>
      <c r="DMK24" s="486"/>
      <c r="DML24" s="486"/>
      <c r="DMM24" s="486"/>
      <c r="DMN24" s="486"/>
      <c r="DMO24" s="486"/>
      <c r="DMP24" s="486"/>
      <c r="DMQ24" s="486"/>
      <c r="DMR24" s="486"/>
      <c r="DMS24" s="486"/>
      <c r="DMT24" s="486"/>
      <c r="DMU24" s="486"/>
      <c r="DMV24" s="486"/>
      <c r="DMW24" s="486"/>
      <c r="DMX24" s="486"/>
      <c r="DMY24" s="486"/>
      <c r="DMZ24" s="486"/>
      <c r="DNA24" s="486"/>
      <c r="DNB24" s="486"/>
      <c r="DNC24" s="486"/>
      <c r="DND24" s="486"/>
      <c r="DNE24" s="486"/>
      <c r="DNF24" s="486"/>
      <c r="DNG24" s="486"/>
      <c r="DNH24" s="486"/>
      <c r="DNI24" s="486"/>
      <c r="DNJ24" s="486"/>
      <c r="DNK24" s="486"/>
      <c r="DNL24" s="486"/>
      <c r="DNM24" s="486"/>
      <c r="DNN24" s="486"/>
      <c r="DNO24" s="486"/>
      <c r="DNP24" s="486"/>
      <c r="DNQ24" s="486"/>
      <c r="DNR24" s="486"/>
      <c r="DNS24" s="486"/>
      <c r="DNT24" s="486"/>
      <c r="DNU24" s="486"/>
      <c r="DNV24" s="486"/>
      <c r="DNW24" s="486"/>
      <c r="DNX24" s="486"/>
      <c r="DNY24" s="486"/>
      <c r="DNZ24" s="486"/>
      <c r="DOA24" s="486"/>
      <c r="DOB24" s="486"/>
      <c r="DOC24" s="486"/>
      <c r="DOD24" s="486"/>
      <c r="DOE24" s="486"/>
      <c r="DOF24" s="486"/>
      <c r="DOG24" s="486"/>
      <c r="DOH24" s="486"/>
      <c r="DOI24" s="486"/>
      <c r="DOJ24" s="486"/>
      <c r="DOK24" s="486"/>
      <c r="DOL24" s="486"/>
      <c r="DOM24" s="486"/>
      <c r="DON24" s="486"/>
      <c r="DOO24" s="486"/>
      <c r="DOP24" s="486"/>
      <c r="DOQ24" s="486"/>
      <c r="DOR24" s="486"/>
      <c r="DOS24" s="486"/>
      <c r="DOT24" s="486"/>
      <c r="DOU24" s="486"/>
      <c r="DOV24" s="486"/>
      <c r="DOW24" s="486"/>
      <c r="DOX24" s="486"/>
      <c r="DOY24" s="486"/>
      <c r="DOZ24" s="486"/>
      <c r="DPA24" s="486"/>
      <c r="DPB24" s="486"/>
      <c r="DPC24" s="486"/>
      <c r="DPD24" s="486"/>
      <c r="DPE24" s="486"/>
      <c r="DPF24" s="486"/>
      <c r="DPG24" s="486"/>
      <c r="DPH24" s="486"/>
      <c r="DPI24" s="486"/>
      <c r="DPJ24" s="486"/>
      <c r="DPK24" s="486"/>
      <c r="DPL24" s="486"/>
      <c r="DPM24" s="486"/>
      <c r="DPN24" s="486"/>
      <c r="DPO24" s="486"/>
      <c r="DPP24" s="486"/>
      <c r="DPQ24" s="486"/>
      <c r="DPR24" s="486"/>
      <c r="DPS24" s="486"/>
      <c r="DPT24" s="486"/>
      <c r="DPU24" s="486"/>
      <c r="DPV24" s="486"/>
      <c r="DPW24" s="486"/>
      <c r="DPX24" s="486"/>
      <c r="DPY24" s="486"/>
      <c r="DPZ24" s="486"/>
      <c r="DQA24" s="486"/>
      <c r="DQB24" s="486"/>
      <c r="DQC24" s="486"/>
      <c r="DQD24" s="486"/>
      <c r="DQE24" s="486"/>
      <c r="DQF24" s="486"/>
      <c r="DQG24" s="486"/>
      <c r="DQH24" s="486"/>
      <c r="DQI24" s="486"/>
      <c r="DQJ24" s="486"/>
      <c r="DQK24" s="486"/>
      <c r="DQL24" s="486"/>
      <c r="DQM24" s="486"/>
      <c r="DQN24" s="486"/>
      <c r="DQO24" s="486"/>
      <c r="DQP24" s="486"/>
      <c r="DQQ24" s="486"/>
      <c r="DQR24" s="486"/>
      <c r="DQS24" s="486"/>
      <c r="DQT24" s="486"/>
      <c r="DQU24" s="486"/>
      <c r="DQV24" s="486"/>
      <c r="DQW24" s="486"/>
      <c r="DQX24" s="486"/>
      <c r="DQY24" s="486"/>
      <c r="DQZ24" s="486"/>
      <c r="DRA24" s="486"/>
      <c r="DRB24" s="486"/>
      <c r="DRC24" s="486"/>
      <c r="DRD24" s="486"/>
      <c r="DRE24" s="486"/>
      <c r="DRF24" s="486"/>
      <c r="DRG24" s="486"/>
      <c r="DRH24" s="486"/>
      <c r="DRI24" s="486"/>
      <c r="DRJ24" s="486"/>
      <c r="DRK24" s="486"/>
      <c r="DRL24" s="486"/>
      <c r="DRM24" s="486"/>
      <c r="DRN24" s="486"/>
      <c r="DRO24" s="486"/>
      <c r="DRP24" s="486"/>
      <c r="DRQ24" s="486"/>
      <c r="DRR24" s="486"/>
      <c r="DRS24" s="486"/>
      <c r="DRT24" s="486"/>
      <c r="DRU24" s="486"/>
      <c r="DRV24" s="486"/>
      <c r="DRW24" s="486"/>
      <c r="DRX24" s="486"/>
      <c r="DRY24" s="486"/>
      <c r="DRZ24" s="486"/>
      <c r="DSA24" s="486"/>
      <c r="DSB24" s="486"/>
      <c r="DSC24" s="486"/>
      <c r="DSD24" s="486"/>
      <c r="DSE24" s="486"/>
      <c r="DSF24" s="486"/>
      <c r="DSG24" s="486"/>
      <c r="DSH24" s="486"/>
      <c r="DSI24" s="486"/>
      <c r="DSJ24" s="486"/>
      <c r="DSK24" s="486"/>
      <c r="DSL24" s="486"/>
      <c r="DSM24" s="486"/>
      <c r="DSN24" s="486"/>
      <c r="DSO24" s="486"/>
      <c r="DSP24" s="486"/>
      <c r="DSQ24" s="486"/>
      <c r="DSR24" s="486"/>
      <c r="DSS24" s="486"/>
      <c r="DST24" s="486"/>
      <c r="DSU24" s="486"/>
      <c r="DSV24" s="486"/>
      <c r="DSW24" s="486"/>
      <c r="DSX24" s="486"/>
      <c r="DSY24" s="486"/>
      <c r="DSZ24" s="486"/>
      <c r="DTA24" s="486"/>
      <c r="DTB24" s="486"/>
      <c r="DTC24" s="486"/>
      <c r="DTD24" s="486"/>
      <c r="DTE24" s="486"/>
      <c r="DTF24" s="486"/>
      <c r="DTG24" s="486"/>
      <c r="DTH24" s="486"/>
      <c r="DTI24" s="486"/>
      <c r="DTJ24" s="486"/>
      <c r="DTK24" s="486"/>
      <c r="DTL24" s="486"/>
      <c r="DTM24" s="486"/>
      <c r="DTN24" s="486"/>
      <c r="DTO24" s="486"/>
      <c r="DTP24" s="486"/>
      <c r="DTQ24" s="486"/>
      <c r="DTR24" s="486"/>
      <c r="DTS24" s="486"/>
      <c r="DTT24" s="486"/>
      <c r="DTU24" s="486"/>
      <c r="DTV24" s="486"/>
      <c r="DTW24" s="486"/>
      <c r="DTX24" s="486"/>
      <c r="DTY24" s="486"/>
      <c r="DTZ24" s="486"/>
      <c r="DUA24" s="486"/>
      <c r="DUB24" s="486"/>
      <c r="DUC24" s="486"/>
      <c r="DUD24" s="486"/>
      <c r="DUE24" s="486"/>
      <c r="DUF24" s="486"/>
      <c r="DUG24" s="486"/>
      <c r="DUH24" s="486"/>
      <c r="DUI24" s="486"/>
      <c r="DUJ24" s="486"/>
      <c r="DUK24" s="486"/>
      <c r="DUL24" s="486"/>
      <c r="DUM24" s="486"/>
      <c r="DUN24" s="486"/>
      <c r="DUO24" s="486"/>
      <c r="DUP24" s="486"/>
      <c r="DUQ24" s="486"/>
      <c r="DUR24" s="486"/>
      <c r="DUS24" s="486"/>
      <c r="DUT24" s="486"/>
      <c r="DUU24" s="486"/>
      <c r="DUV24" s="486"/>
      <c r="DUW24" s="486"/>
      <c r="DUX24" s="486"/>
      <c r="DUY24" s="486"/>
      <c r="DUZ24" s="486"/>
      <c r="DVA24" s="486"/>
      <c r="DVB24" s="486"/>
      <c r="DVC24" s="486"/>
      <c r="DVD24" s="486"/>
      <c r="DVE24" s="486"/>
      <c r="DVF24" s="486"/>
      <c r="DVG24" s="486"/>
      <c r="DVH24" s="486"/>
      <c r="DVI24" s="486"/>
      <c r="DVJ24" s="486"/>
      <c r="DVK24" s="486"/>
      <c r="DVL24" s="486"/>
      <c r="DVM24" s="486"/>
      <c r="DVN24" s="486"/>
      <c r="DVO24" s="486"/>
      <c r="DVP24" s="486"/>
      <c r="DVQ24" s="486"/>
      <c r="DVR24" s="486"/>
      <c r="DVS24" s="486"/>
      <c r="DVT24" s="486"/>
      <c r="DVU24" s="486"/>
      <c r="DVV24" s="486"/>
      <c r="DVW24" s="486"/>
      <c r="DVX24" s="486"/>
      <c r="DVY24" s="486"/>
      <c r="DVZ24" s="486"/>
      <c r="DWA24" s="486"/>
      <c r="DWB24" s="486"/>
      <c r="DWC24" s="486"/>
      <c r="DWD24" s="486"/>
      <c r="DWE24" s="486"/>
      <c r="DWF24" s="486"/>
      <c r="DWG24" s="486"/>
      <c r="DWH24" s="486"/>
      <c r="DWI24" s="486"/>
      <c r="DWJ24" s="486"/>
      <c r="DWK24" s="486"/>
      <c r="DWL24" s="486"/>
      <c r="DWM24" s="486"/>
      <c r="DWN24" s="486"/>
      <c r="DWO24" s="486"/>
      <c r="DWP24" s="486"/>
      <c r="DWQ24" s="486"/>
      <c r="DWR24" s="486"/>
      <c r="DWS24" s="486"/>
      <c r="DWT24" s="486"/>
      <c r="DWU24" s="486"/>
      <c r="DWV24" s="486"/>
      <c r="DWW24" s="486"/>
      <c r="DWX24" s="486"/>
      <c r="DWY24" s="486"/>
      <c r="DWZ24" s="486"/>
      <c r="DXA24" s="486"/>
      <c r="DXB24" s="486"/>
      <c r="DXC24" s="486"/>
      <c r="DXD24" s="486"/>
      <c r="DXE24" s="486"/>
      <c r="DXF24" s="486"/>
      <c r="DXG24" s="486"/>
      <c r="DXH24" s="486"/>
      <c r="DXI24" s="486"/>
      <c r="DXJ24" s="486"/>
      <c r="DXK24" s="486"/>
      <c r="DXL24" s="486"/>
      <c r="DXM24" s="486"/>
      <c r="DXN24" s="486"/>
      <c r="DXO24" s="486"/>
      <c r="DXP24" s="486"/>
      <c r="DXQ24" s="486"/>
      <c r="DXR24" s="486"/>
      <c r="DXS24" s="486"/>
      <c r="DXT24" s="486"/>
      <c r="DXU24" s="486"/>
      <c r="DXV24" s="486"/>
      <c r="DXW24" s="486"/>
      <c r="DXX24" s="486"/>
      <c r="DXY24" s="486"/>
      <c r="DXZ24" s="486"/>
      <c r="DYA24" s="486"/>
      <c r="DYB24" s="486"/>
      <c r="DYC24" s="486"/>
      <c r="DYD24" s="486"/>
      <c r="DYE24" s="486"/>
      <c r="DYF24" s="486"/>
      <c r="DYG24" s="486"/>
      <c r="DYH24" s="486"/>
      <c r="DYI24" s="486"/>
      <c r="DYJ24" s="486"/>
      <c r="DYK24" s="486"/>
      <c r="DYL24" s="486"/>
      <c r="DYM24" s="486"/>
      <c r="DYN24" s="486"/>
      <c r="DYO24" s="486"/>
      <c r="DYP24" s="486"/>
      <c r="DYQ24" s="486"/>
      <c r="DYR24" s="486"/>
      <c r="DYS24" s="486"/>
      <c r="DYT24" s="486"/>
      <c r="DYU24" s="486"/>
      <c r="DYV24" s="486"/>
      <c r="DYW24" s="486"/>
      <c r="DYX24" s="486"/>
      <c r="DYY24" s="486"/>
      <c r="DYZ24" s="486"/>
      <c r="DZA24" s="486"/>
      <c r="DZB24" s="486"/>
      <c r="DZC24" s="486"/>
      <c r="DZD24" s="486"/>
      <c r="DZE24" s="486"/>
      <c r="DZF24" s="486"/>
      <c r="DZG24" s="486"/>
      <c r="DZH24" s="486"/>
      <c r="DZI24" s="486"/>
      <c r="DZJ24" s="486"/>
      <c r="DZK24" s="486"/>
      <c r="DZL24" s="486"/>
      <c r="DZM24" s="486"/>
      <c r="DZN24" s="486"/>
      <c r="DZO24" s="486"/>
      <c r="DZP24" s="486"/>
      <c r="DZQ24" s="486"/>
      <c r="DZR24" s="486"/>
      <c r="DZS24" s="486"/>
      <c r="DZT24" s="486"/>
      <c r="DZU24" s="486"/>
      <c r="DZV24" s="486"/>
      <c r="DZW24" s="486"/>
      <c r="DZX24" s="486"/>
      <c r="DZY24" s="486"/>
      <c r="DZZ24" s="486"/>
      <c r="EAA24" s="486"/>
      <c r="EAB24" s="486"/>
      <c r="EAC24" s="486"/>
      <c r="EAD24" s="486"/>
      <c r="EAE24" s="486"/>
      <c r="EAF24" s="486"/>
      <c r="EAG24" s="486"/>
      <c r="EAH24" s="486"/>
      <c r="EAI24" s="486"/>
      <c r="EAJ24" s="486"/>
      <c r="EAK24" s="486"/>
      <c r="EAL24" s="486"/>
      <c r="EAM24" s="486"/>
      <c r="EAN24" s="486"/>
      <c r="EAO24" s="486"/>
      <c r="EAP24" s="486"/>
      <c r="EAQ24" s="486"/>
      <c r="EAR24" s="486"/>
      <c r="EAS24" s="486"/>
      <c r="EAT24" s="486"/>
      <c r="EAU24" s="486"/>
      <c r="EAV24" s="486"/>
      <c r="EAW24" s="486"/>
      <c r="EAX24" s="486"/>
      <c r="EAY24" s="486"/>
      <c r="EAZ24" s="486"/>
      <c r="EBA24" s="486"/>
      <c r="EBB24" s="486"/>
      <c r="EBC24" s="486"/>
      <c r="EBD24" s="486"/>
      <c r="EBE24" s="486"/>
      <c r="EBF24" s="486"/>
      <c r="EBG24" s="486"/>
      <c r="EBH24" s="486"/>
      <c r="EBI24" s="486"/>
      <c r="EBJ24" s="486"/>
      <c r="EBK24" s="486"/>
      <c r="EBL24" s="486"/>
      <c r="EBM24" s="486"/>
      <c r="EBN24" s="486"/>
      <c r="EBO24" s="486"/>
      <c r="EBP24" s="486"/>
      <c r="EBQ24" s="486"/>
      <c r="EBR24" s="486"/>
      <c r="EBS24" s="486"/>
      <c r="EBT24" s="486"/>
      <c r="EBU24" s="486"/>
      <c r="EBV24" s="486"/>
      <c r="EBW24" s="486"/>
      <c r="EBX24" s="486"/>
      <c r="EBY24" s="486"/>
      <c r="EBZ24" s="486"/>
      <c r="ECA24" s="486"/>
      <c r="ECB24" s="486"/>
      <c r="ECC24" s="486"/>
      <c r="ECD24" s="486"/>
      <c r="ECE24" s="486"/>
      <c r="ECF24" s="486"/>
      <c r="ECG24" s="486"/>
      <c r="ECH24" s="486"/>
      <c r="ECI24" s="486"/>
      <c r="ECJ24" s="486"/>
      <c r="ECK24" s="486"/>
      <c r="ECL24" s="486"/>
      <c r="ECM24" s="486"/>
      <c r="ECN24" s="486"/>
      <c r="ECO24" s="486"/>
      <c r="ECP24" s="486"/>
      <c r="ECQ24" s="486"/>
      <c r="ECR24" s="486"/>
      <c r="ECS24" s="486"/>
      <c r="ECT24" s="486"/>
      <c r="ECU24" s="486"/>
      <c r="ECV24" s="486"/>
      <c r="ECW24" s="486"/>
      <c r="ECX24" s="486"/>
      <c r="ECY24" s="486"/>
      <c r="ECZ24" s="486"/>
      <c r="EDA24" s="486"/>
      <c r="EDB24" s="486"/>
      <c r="EDC24" s="486"/>
      <c r="EDD24" s="486"/>
      <c r="EDE24" s="486"/>
      <c r="EDF24" s="486"/>
      <c r="EDG24" s="486"/>
      <c r="EDH24" s="486"/>
      <c r="EDI24" s="486"/>
      <c r="EDJ24" s="486"/>
      <c r="EDK24" s="486"/>
      <c r="EDL24" s="486"/>
      <c r="EDM24" s="486"/>
      <c r="EDN24" s="486"/>
      <c r="EDO24" s="486"/>
      <c r="EDP24" s="486"/>
      <c r="EDQ24" s="486"/>
      <c r="EDR24" s="486"/>
      <c r="EDS24" s="486"/>
      <c r="EDT24" s="486"/>
      <c r="EDU24" s="486"/>
      <c r="EDV24" s="486"/>
      <c r="EDW24" s="486"/>
      <c r="EDX24" s="486"/>
      <c r="EDY24" s="486"/>
      <c r="EDZ24" s="486"/>
      <c r="EEA24" s="486"/>
      <c r="EEB24" s="486"/>
      <c r="EEC24" s="486"/>
      <c r="EED24" s="486"/>
      <c r="EEE24" s="486"/>
      <c r="EEF24" s="486"/>
      <c r="EEG24" s="486"/>
      <c r="EEH24" s="486"/>
      <c r="EEI24" s="486"/>
      <c r="EEJ24" s="486"/>
      <c r="EEK24" s="486"/>
      <c r="EEL24" s="486"/>
      <c r="EEM24" s="486"/>
      <c r="EEN24" s="486"/>
      <c r="EEO24" s="486"/>
      <c r="EEP24" s="486"/>
      <c r="EEQ24" s="486"/>
      <c r="EER24" s="486"/>
      <c r="EES24" s="486"/>
      <c r="EET24" s="486"/>
      <c r="EEU24" s="486"/>
      <c r="EEV24" s="486"/>
      <c r="EEW24" s="486"/>
      <c r="EEX24" s="486"/>
      <c r="EEY24" s="486"/>
      <c r="EEZ24" s="486"/>
      <c r="EFA24" s="486"/>
      <c r="EFB24" s="486"/>
      <c r="EFC24" s="486"/>
      <c r="EFD24" s="486"/>
      <c r="EFE24" s="486"/>
      <c r="EFF24" s="486"/>
      <c r="EFG24" s="486"/>
      <c r="EFH24" s="486"/>
      <c r="EFI24" s="486"/>
      <c r="EFJ24" s="486"/>
      <c r="EFK24" s="486"/>
      <c r="EFL24" s="486"/>
      <c r="EFM24" s="486"/>
      <c r="EFN24" s="486"/>
      <c r="EFO24" s="486"/>
      <c r="EFP24" s="486"/>
      <c r="EFQ24" s="486"/>
      <c r="EFR24" s="486"/>
      <c r="EFS24" s="486"/>
      <c r="EFT24" s="486"/>
      <c r="EFU24" s="486"/>
      <c r="EFV24" s="486"/>
      <c r="EFW24" s="486"/>
      <c r="EFX24" s="486"/>
      <c r="EFY24" s="486"/>
      <c r="EFZ24" s="486"/>
      <c r="EGA24" s="486"/>
      <c r="EGB24" s="486"/>
      <c r="EGC24" s="486"/>
      <c r="EGD24" s="486"/>
      <c r="EGE24" s="486"/>
      <c r="EGF24" s="486"/>
      <c r="EGG24" s="486"/>
      <c r="EGH24" s="486"/>
      <c r="EGI24" s="486"/>
      <c r="EGJ24" s="486"/>
      <c r="EGK24" s="486"/>
      <c r="EGL24" s="486"/>
      <c r="EGM24" s="486"/>
      <c r="EGN24" s="486"/>
      <c r="EGO24" s="486"/>
      <c r="EGP24" s="486"/>
      <c r="EGQ24" s="486"/>
      <c r="EGR24" s="486"/>
      <c r="EGS24" s="486"/>
      <c r="EGT24" s="486"/>
      <c r="EGU24" s="486"/>
      <c r="EGV24" s="486"/>
      <c r="EGW24" s="486"/>
      <c r="EGX24" s="486"/>
      <c r="EGY24" s="486"/>
      <c r="EGZ24" s="486"/>
      <c r="EHA24" s="486"/>
      <c r="EHB24" s="486"/>
      <c r="EHC24" s="486"/>
      <c r="EHD24" s="486"/>
      <c r="EHE24" s="486"/>
      <c r="EHF24" s="486"/>
      <c r="EHG24" s="486"/>
      <c r="EHH24" s="486"/>
      <c r="EHI24" s="486"/>
      <c r="EHJ24" s="486"/>
      <c r="EHK24" s="486"/>
      <c r="EHL24" s="486"/>
      <c r="EHM24" s="486"/>
      <c r="EHN24" s="486"/>
      <c r="EHO24" s="486"/>
      <c r="EHP24" s="486"/>
      <c r="EHQ24" s="486"/>
      <c r="EHR24" s="486"/>
      <c r="EHS24" s="486"/>
      <c r="EHT24" s="486"/>
      <c r="EHU24" s="486"/>
      <c r="EHV24" s="486"/>
      <c r="EHW24" s="486"/>
      <c r="EHX24" s="486"/>
      <c r="EHY24" s="486"/>
      <c r="EHZ24" s="486"/>
      <c r="EIA24" s="486"/>
      <c r="EIB24" s="486"/>
      <c r="EIC24" s="486"/>
      <c r="EID24" s="486"/>
      <c r="EIE24" s="486"/>
      <c r="EIF24" s="486"/>
      <c r="EIG24" s="486"/>
      <c r="EIH24" s="486"/>
      <c r="EII24" s="486"/>
      <c r="EIJ24" s="486"/>
      <c r="EIK24" s="486"/>
      <c r="EIL24" s="486"/>
      <c r="EIM24" s="486"/>
      <c r="EIN24" s="486"/>
      <c r="EIO24" s="486"/>
      <c r="EIP24" s="486"/>
      <c r="EIQ24" s="486"/>
      <c r="EIR24" s="486"/>
      <c r="EIS24" s="486"/>
      <c r="EIT24" s="486"/>
      <c r="EIU24" s="486"/>
      <c r="EIV24" s="486"/>
      <c r="EIW24" s="486"/>
      <c r="EIX24" s="486"/>
      <c r="EIY24" s="486"/>
      <c r="EIZ24" s="486"/>
      <c r="EJA24" s="486"/>
      <c r="EJB24" s="486"/>
      <c r="EJC24" s="486"/>
      <c r="EJD24" s="486"/>
      <c r="EJE24" s="486"/>
      <c r="EJF24" s="486"/>
      <c r="EJG24" s="486"/>
      <c r="EJH24" s="486"/>
      <c r="EJI24" s="486"/>
      <c r="EJJ24" s="486"/>
      <c r="EJK24" s="486"/>
      <c r="EJL24" s="486"/>
      <c r="EJM24" s="486"/>
      <c r="EJN24" s="486"/>
      <c r="EJO24" s="486"/>
      <c r="EJP24" s="486"/>
      <c r="EJQ24" s="486"/>
      <c r="EJR24" s="486"/>
      <c r="EJS24" s="486"/>
      <c r="EJT24" s="486"/>
      <c r="EJU24" s="486"/>
      <c r="EJV24" s="486"/>
      <c r="EJW24" s="486"/>
      <c r="EJX24" s="486"/>
      <c r="EJY24" s="486"/>
      <c r="EJZ24" s="486"/>
      <c r="EKA24" s="486"/>
      <c r="EKB24" s="486"/>
      <c r="EKC24" s="486"/>
      <c r="EKD24" s="486"/>
      <c r="EKE24" s="486"/>
      <c r="EKF24" s="486"/>
      <c r="EKG24" s="486"/>
      <c r="EKH24" s="486"/>
      <c r="EKI24" s="486"/>
      <c r="EKJ24" s="486"/>
      <c r="EKK24" s="486"/>
      <c r="EKL24" s="486"/>
      <c r="EKM24" s="486"/>
      <c r="EKN24" s="486"/>
      <c r="EKO24" s="486"/>
      <c r="EKP24" s="486"/>
      <c r="EKQ24" s="486"/>
      <c r="EKR24" s="486"/>
      <c r="EKS24" s="486"/>
      <c r="EKT24" s="486"/>
      <c r="EKU24" s="486"/>
      <c r="EKV24" s="486"/>
      <c r="EKW24" s="486"/>
      <c r="EKX24" s="486"/>
      <c r="EKY24" s="486"/>
      <c r="EKZ24" s="486"/>
      <c r="ELA24" s="486"/>
      <c r="ELB24" s="486"/>
      <c r="ELC24" s="486"/>
      <c r="ELD24" s="486"/>
      <c r="ELE24" s="486"/>
      <c r="ELF24" s="486"/>
      <c r="ELG24" s="486"/>
      <c r="ELH24" s="486"/>
      <c r="ELI24" s="486"/>
      <c r="ELJ24" s="486"/>
      <c r="ELK24" s="486"/>
      <c r="ELL24" s="486"/>
      <c r="ELM24" s="486"/>
      <c r="ELN24" s="486"/>
      <c r="ELO24" s="486"/>
      <c r="ELP24" s="486"/>
      <c r="ELQ24" s="486"/>
      <c r="ELR24" s="486"/>
      <c r="ELS24" s="486"/>
      <c r="ELT24" s="486"/>
      <c r="ELU24" s="486"/>
      <c r="ELV24" s="486"/>
      <c r="ELW24" s="486"/>
      <c r="ELX24" s="486"/>
      <c r="ELY24" s="486"/>
      <c r="ELZ24" s="486"/>
      <c r="EMA24" s="486"/>
      <c r="EMB24" s="486"/>
      <c r="EMC24" s="486"/>
      <c r="EMD24" s="486"/>
      <c r="EME24" s="486"/>
      <c r="EMF24" s="486"/>
      <c r="EMG24" s="486"/>
      <c r="EMH24" s="486"/>
      <c r="EMI24" s="486"/>
      <c r="EMJ24" s="486"/>
      <c r="EMK24" s="486"/>
      <c r="EML24" s="486"/>
      <c r="EMM24" s="486"/>
      <c r="EMN24" s="486"/>
      <c r="EMO24" s="486"/>
      <c r="EMP24" s="486"/>
      <c r="EMQ24" s="486"/>
      <c r="EMR24" s="486"/>
      <c r="EMS24" s="486"/>
      <c r="EMT24" s="486"/>
      <c r="EMU24" s="486"/>
      <c r="EMV24" s="486"/>
      <c r="EMW24" s="486"/>
      <c r="EMX24" s="486"/>
      <c r="EMY24" s="486"/>
      <c r="EMZ24" s="486"/>
      <c r="ENA24" s="486"/>
      <c r="ENB24" s="486"/>
      <c r="ENC24" s="486"/>
      <c r="END24" s="486"/>
      <c r="ENE24" s="486"/>
      <c r="ENF24" s="486"/>
      <c r="ENG24" s="486"/>
      <c r="ENH24" s="486"/>
      <c r="ENI24" s="486"/>
      <c r="ENJ24" s="486"/>
      <c r="ENK24" s="486"/>
      <c r="ENL24" s="486"/>
      <c r="ENM24" s="486"/>
      <c r="ENN24" s="486"/>
      <c r="ENO24" s="486"/>
      <c r="ENP24" s="486"/>
      <c r="ENQ24" s="486"/>
      <c r="ENR24" s="486"/>
      <c r="ENS24" s="486"/>
      <c r="ENT24" s="486"/>
      <c r="ENU24" s="486"/>
      <c r="ENV24" s="486"/>
      <c r="ENW24" s="486"/>
      <c r="ENX24" s="486"/>
      <c r="ENY24" s="486"/>
      <c r="ENZ24" s="486"/>
      <c r="EOA24" s="486"/>
      <c r="EOB24" s="486"/>
      <c r="EOC24" s="486"/>
      <c r="EOD24" s="486"/>
      <c r="EOE24" s="486"/>
      <c r="EOF24" s="486"/>
      <c r="EOG24" s="486"/>
      <c r="EOH24" s="486"/>
      <c r="EOI24" s="486"/>
      <c r="EOJ24" s="486"/>
      <c r="EOK24" s="486"/>
      <c r="EOL24" s="486"/>
      <c r="EOM24" s="486"/>
      <c r="EON24" s="486"/>
      <c r="EOO24" s="486"/>
      <c r="EOP24" s="486"/>
      <c r="EOQ24" s="486"/>
      <c r="EOR24" s="486"/>
      <c r="EOS24" s="486"/>
      <c r="EOT24" s="486"/>
      <c r="EOU24" s="486"/>
      <c r="EOV24" s="486"/>
      <c r="EOW24" s="486"/>
      <c r="EOX24" s="486"/>
      <c r="EOY24" s="486"/>
      <c r="EOZ24" s="486"/>
      <c r="EPA24" s="486"/>
      <c r="EPB24" s="486"/>
      <c r="EPC24" s="486"/>
      <c r="EPD24" s="486"/>
      <c r="EPE24" s="486"/>
      <c r="EPF24" s="486"/>
      <c r="EPG24" s="486"/>
      <c r="EPH24" s="486"/>
      <c r="EPI24" s="486"/>
      <c r="EPJ24" s="486"/>
      <c r="EPK24" s="486"/>
      <c r="EPL24" s="486"/>
      <c r="EPM24" s="486"/>
      <c r="EPN24" s="486"/>
      <c r="EPO24" s="486"/>
      <c r="EPP24" s="486"/>
      <c r="EPQ24" s="486"/>
      <c r="EPR24" s="486"/>
      <c r="EPS24" s="486"/>
      <c r="EPT24" s="486"/>
      <c r="EPU24" s="486"/>
      <c r="EPV24" s="486"/>
      <c r="EPW24" s="486"/>
      <c r="EPX24" s="486"/>
      <c r="EPY24" s="486"/>
      <c r="EPZ24" s="486"/>
      <c r="EQA24" s="486"/>
      <c r="EQB24" s="486"/>
      <c r="EQC24" s="486"/>
      <c r="EQD24" s="486"/>
      <c r="EQE24" s="486"/>
      <c r="EQF24" s="486"/>
      <c r="EQG24" s="486"/>
      <c r="EQH24" s="486"/>
      <c r="EQI24" s="486"/>
      <c r="EQJ24" s="486"/>
      <c r="EQK24" s="486"/>
      <c r="EQL24" s="486"/>
      <c r="EQM24" s="486"/>
      <c r="EQN24" s="486"/>
      <c r="EQO24" s="486"/>
      <c r="EQP24" s="486"/>
      <c r="EQQ24" s="486"/>
      <c r="EQR24" s="486"/>
      <c r="EQS24" s="486"/>
      <c r="EQT24" s="486"/>
      <c r="EQU24" s="486"/>
      <c r="EQV24" s="486"/>
      <c r="EQW24" s="486"/>
      <c r="EQX24" s="486"/>
      <c r="EQY24" s="486"/>
      <c r="EQZ24" s="486"/>
      <c r="ERA24" s="486"/>
      <c r="ERB24" s="486"/>
      <c r="ERC24" s="486"/>
      <c r="ERD24" s="486"/>
      <c r="ERE24" s="486"/>
      <c r="ERF24" s="486"/>
      <c r="ERG24" s="486"/>
      <c r="ERH24" s="486"/>
      <c r="ERI24" s="486"/>
      <c r="ERJ24" s="486"/>
      <c r="ERK24" s="486"/>
      <c r="ERL24" s="486"/>
      <c r="ERM24" s="486"/>
      <c r="ERN24" s="486"/>
      <c r="ERO24" s="486"/>
      <c r="ERP24" s="486"/>
      <c r="ERQ24" s="486"/>
      <c r="ERR24" s="486"/>
      <c r="ERS24" s="486"/>
      <c r="ERT24" s="486"/>
      <c r="ERU24" s="486"/>
      <c r="ERV24" s="486"/>
      <c r="ERW24" s="486"/>
      <c r="ERX24" s="486"/>
      <c r="ERY24" s="486"/>
      <c r="ERZ24" s="486"/>
      <c r="ESA24" s="486"/>
      <c r="ESB24" s="486"/>
      <c r="ESC24" s="486"/>
      <c r="ESD24" s="486"/>
      <c r="ESE24" s="486"/>
      <c r="ESF24" s="486"/>
      <c r="ESG24" s="486"/>
      <c r="ESH24" s="486"/>
      <c r="ESI24" s="486"/>
      <c r="ESJ24" s="486"/>
      <c r="ESK24" s="486"/>
      <c r="ESL24" s="486"/>
      <c r="ESM24" s="486"/>
      <c r="ESN24" s="486"/>
      <c r="ESO24" s="486"/>
      <c r="ESP24" s="486"/>
      <c r="ESQ24" s="486"/>
      <c r="ESR24" s="486"/>
      <c r="ESS24" s="486"/>
      <c r="EST24" s="486"/>
      <c r="ESU24" s="486"/>
      <c r="ESV24" s="486"/>
      <c r="ESW24" s="486"/>
      <c r="ESX24" s="486"/>
      <c r="ESY24" s="486"/>
      <c r="ESZ24" s="486"/>
      <c r="ETA24" s="486"/>
      <c r="ETB24" s="486"/>
      <c r="ETC24" s="486"/>
      <c r="ETD24" s="486"/>
      <c r="ETE24" s="486"/>
      <c r="ETF24" s="486"/>
      <c r="ETG24" s="486"/>
      <c r="ETH24" s="486"/>
      <c r="ETI24" s="486"/>
      <c r="ETJ24" s="486"/>
      <c r="ETK24" s="486"/>
      <c r="ETL24" s="486"/>
      <c r="ETM24" s="486"/>
      <c r="ETN24" s="486"/>
      <c r="ETO24" s="486"/>
      <c r="ETP24" s="486"/>
      <c r="ETQ24" s="486"/>
      <c r="ETR24" s="486"/>
      <c r="ETS24" s="486"/>
      <c r="ETT24" s="486"/>
      <c r="ETU24" s="486"/>
      <c r="ETV24" s="486"/>
      <c r="ETW24" s="486"/>
      <c r="ETX24" s="486"/>
      <c r="ETY24" s="486"/>
      <c r="ETZ24" s="486"/>
      <c r="EUA24" s="486"/>
      <c r="EUB24" s="486"/>
      <c r="EUC24" s="486"/>
      <c r="EUD24" s="486"/>
      <c r="EUE24" s="486"/>
      <c r="EUF24" s="486"/>
      <c r="EUG24" s="486"/>
      <c r="EUH24" s="486"/>
      <c r="EUI24" s="486"/>
      <c r="EUJ24" s="486"/>
      <c r="EUK24" s="486"/>
      <c r="EUL24" s="486"/>
      <c r="EUM24" s="486"/>
      <c r="EUN24" s="486"/>
      <c r="EUO24" s="486"/>
      <c r="EUP24" s="486"/>
      <c r="EUQ24" s="486"/>
      <c r="EUR24" s="486"/>
      <c r="EUS24" s="486"/>
      <c r="EUT24" s="486"/>
      <c r="EUU24" s="486"/>
      <c r="EUV24" s="486"/>
      <c r="EUW24" s="486"/>
      <c r="EUX24" s="486"/>
      <c r="EUY24" s="486"/>
      <c r="EUZ24" s="486"/>
      <c r="EVA24" s="486"/>
      <c r="EVB24" s="486"/>
      <c r="EVC24" s="486"/>
      <c r="EVD24" s="486"/>
      <c r="EVE24" s="486"/>
      <c r="EVF24" s="486"/>
      <c r="EVG24" s="486"/>
      <c r="EVH24" s="486"/>
      <c r="EVI24" s="486"/>
      <c r="EVJ24" s="486"/>
      <c r="EVK24" s="486"/>
      <c r="EVL24" s="486"/>
      <c r="EVM24" s="486"/>
      <c r="EVN24" s="486"/>
      <c r="EVO24" s="486"/>
      <c r="EVP24" s="486"/>
      <c r="EVQ24" s="486"/>
      <c r="EVR24" s="486"/>
      <c r="EVS24" s="486"/>
      <c r="EVT24" s="486"/>
      <c r="EVU24" s="486"/>
      <c r="EVV24" s="486"/>
      <c r="EVW24" s="486"/>
      <c r="EVX24" s="486"/>
      <c r="EVY24" s="486"/>
      <c r="EVZ24" s="486"/>
      <c r="EWA24" s="486"/>
      <c r="EWB24" s="486"/>
      <c r="EWC24" s="486"/>
      <c r="EWD24" s="486"/>
      <c r="EWE24" s="486"/>
      <c r="EWF24" s="486"/>
      <c r="EWG24" s="486"/>
      <c r="EWH24" s="486"/>
      <c r="EWI24" s="486"/>
      <c r="EWJ24" s="486"/>
      <c r="EWK24" s="486"/>
      <c r="EWL24" s="486"/>
      <c r="EWM24" s="486"/>
      <c r="EWN24" s="486"/>
      <c r="EWO24" s="486"/>
      <c r="EWP24" s="486"/>
      <c r="EWQ24" s="486"/>
      <c r="EWR24" s="486"/>
      <c r="EWS24" s="486"/>
      <c r="EWT24" s="486"/>
      <c r="EWU24" s="486"/>
      <c r="EWV24" s="486"/>
      <c r="EWW24" s="486"/>
      <c r="EWX24" s="486"/>
      <c r="EWY24" s="486"/>
      <c r="EWZ24" s="486"/>
      <c r="EXA24" s="486"/>
      <c r="EXB24" s="486"/>
      <c r="EXC24" s="486"/>
      <c r="EXD24" s="486"/>
      <c r="EXE24" s="486"/>
      <c r="EXF24" s="486"/>
      <c r="EXG24" s="486"/>
      <c r="EXH24" s="486"/>
      <c r="EXI24" s="486"/>
      <c r="EXJ24" s="486"/>
      <c r="EXK24" s="486"/>
      <c r="EXL24" s="486"/>
      <c r="EXM24" s="486"/>
      <c r="EXN24" s="486"/>
      <c r="EXO24" s="486"/>
      <c r="EXP24" s="486"/>
      <c r="EXQ24" s="486"/>
      <c r="EXR24" s="486"/>
      <c r="EXS24" s="486"/>
      <c r="EXT24" s="486"/>
      <c r="EXU24" s="486"/>
      <c r="EXV24" s="486"/>
      <c r="EXW24" s="486"/>
      <c r="EXX24" s="486"/>
      <c r="EXY24" s="486"/>
      <c r="EXZ24" s="486"/>
      <c r="EYA24" s="486"/>
      <c r="EYB24" s="486"/>
      <c r="EYC24" s="486"/>
      <c r="EYD24" s="486"/>
      <c r="EYE24" s="486"/>
      <c r="EYF24" s="486"/>
      <c r="EYG24" s="486"/>
      <c r="EYH24" s="486"/>
      <c r="EYI24" s="486"/>
      <c r="EYJ24" s="486"/>
      <c r="EYK24" s="486"/>
      <c r="EYL24" s="486"/>
      <c r="EYM24" s="486"/>
      <c r="EYN24" s="486"/>
      <c r="EYO24" s="486"/>
      <c r="EYP24" s="486"/>
      <c r="EYQ24" s="486"/>
      <c r="EYR24" s="486"/>
      <c r="EYS24" s="486"/>
      <c r="EYT24" s="486"/>
      <c r="EYU24" s="486"/>
      <c r="EYV24" s="486"/>
      <c r="EYW24" s="486"/>
      <c r="EYX24" s="486"/>
      <c r="EYY24" s="486"/>
      <c r="EYZ24" s="486"/>
      <c r="EZA24" s="486"/>
      <c r="EZB24" s="486"/>
      <c r="EZC24" s="486"/>
      <c r="EZD24" s="486"/>
      <c r="EZE24" s="486"/>
      <c r="EZF24" s="486"/>
      <c r="EZG24" s="486"/>
      <c r="EZH24" s="486"/>
      <c r="EZI24" s="486"/>
      <c r="EZJ24" s="486"/>
      <c r="EZK24" s="486"/>
      <c r="EZL24" s="486"/>
      <c r="EZM24" s="486"/>
      <c r="EZN24" s="486"/>
      <c r="EZO24" s="486"/>
      <c r="EZP24" s="486"/>
      <c r="EZQ24" s="486"/>
      <c r="EZR24" s="486"/>
      <c r="EZS24" s="486"/>
      <c r="EZT24" s="486"/>
      <c r="EZU24" s="486"/>
      <c r="EZV24" s="486"/>
      <c r="EZW24" s="486"/>
      <c r="EZX24" s="486"/>
      <c r="EZY24" s="486"/>
      <c r="EZZ24" s="486"/>
      <c r="FAA24" s="486"/>
      <c r="FAB24" s="486"/>
      <c r="FAC24" s="486"/>
      <c r="FAD24" s="486"/>
      <c r="FAE24" s="486"/>
      <c r="FAF24" s="486"/>
      <c r="FAG24" s="486"/>
      <c r="FAH24" s="486"/>
      <c r="FAI24" s="486"/>
      <c r="FAJ24" s="486"/>
      <c r="FAK24" s="486"/>
      <c r="FAL24" s="486"/>
      <c r="FAM24" s="486"/>
      <c r="FAN24" s="486"/>
      <c r="FAO24" s="486"/>
      <c r="FAP24" s="486"/>
      <c r="FAQ24" s="486"/>
      <c r="FAR24" s="486"/>
      <c r="FAS24" s="486"/>
      <c r="FAT24" s="486"/>
      <c r="FAU24" s="486"/>
      <c r="FAV24" s="486"/>
      <c r="FAW24" s="486"/>
      <c r="FAX24" s="486"/>
      <c r="FAY24" s="486"/>
      <c r="FAZ24" s="486"/>
      <c r="FBA24" s="486"/>
      <c r="FBB24" s="486"/>
      <c r="FBC24" s="486"/>
      <c r="FBD24" s="486"/>
      <c r="FBE24" s="486"/>
      <c r="FBF24" s="486"/>
      <c r="FBG24" s="486"/>
      <c r="FBH24" s="486"/>
      <c r="FBI24" s="486"/>
      <c r="FBJ24" s="486"/>
      <c r="FBK24" s="486"/>
      <c r="FBL24" s="486"/>
      <c r="FBM24" s="486"/>
      <c r="FBN24" s="486"/>
      <c r="FBO24" s="486"/>
      <c r="FBP24" s="486"/>
      <c r="FBQ24" s="486"/>
      <c r="FBR24" s="486"/>
      <c r="FBS24" s="486"/>
      <c r="FBT24" s="486"/>
      <c r="FBU24" s="486"/>
      <c r="FBV24" s="486"/>
      <c r="FBW24" s="486"/>
      <c r="FBX24" s="486"/>
      <c r="FBY24" s="486"/>
      <c r="FBZ24" s="486"/>
      <c r="FCA24" s="486"/>
      <c r="FCB24" s="486"/>
      <c r="FCC24" s="486"/>
      <c r="FCD24" s="486"/>
      <c r="FCE24" s="486"/>
      <c r="FCF24" s="486"/>
      <c r="FCG24" s="486"/>
      <c r="FCH24" s="486"/>
      <c r="FCI24" s="486"/>
      <c r="FCJ24" s="486"/>
      <c r="FCK24" s="486"/>
      <c r="FCL24" s="486"/>
      <c r="FCM24" s="486"/>
      <c r="FCN24" s="486"/>
      <c r="FCO24" s="486"/>
      <c r="FCP24" s="486"/>
      <c r="FCQ24" s="486"/>
      <c r="FCR24" s="486"/>
      <c r="FCS24" s="486"/>
      <c r="FCT24" s="486"/>
      <c r="FCU24" s="486"/>
      <c r="FCV24" s="486"/>
      <c r="FCW24" s="486"/>
      <c r="FCX24" s="486"/>
      <c r="FCY24" s="486"/>
      <c r="FCZ24" s="486"/>
      <c r="FDA24" s="486"/>
      <c r="FDB24" s="486"/>
      <c r="FDC24" s="486"/>
      <c r="FDD24" s="486"/>
      <c r="FDE24" s="486"/>
      <c r="FDF24" s="486"/>
      <c r="FDG24" s="486"/>
      <c r="FDH24" s="486"/>
      <c r="FDI24" s="486"/>
      <c r="FDJ24" s="486"/>
      <c r="FDK24" s="486"/>
      <c r="FDL24" s="486"/>
      <c r="FDM24" s="486"/>
      <c r="FDN24" s="486"/>
      <c r="FDO24" s="486"/>
      <c r="FDP24" s="486"/>
      <c r="FDQ24" s="486"/>
      <c r="FDR24" s="486"/>
      <c r="FDS24" s="486"/>
      <c r="FDT24" s="486"/>
      <c r="FDU24" s="486"/>
      <c r="FDV24" s="486"/>
      <c r="FDW24" s="486"/>
      <c r="FDX24" s="486"/>
      <c r="FDY24" s="486"/>
      <c r="FDZ24" s="486"/>
      <c r="FEA24" s="486"/>
      <c r="FEB24" s="486"/>
      <c r="FEC24" s="486"/>
      <c r="FED24" s="486"/>
      <c r="FEE24" s="486"/>
      <c r="FEF24" s="486"/>
      <c r="FEG24" s="486"/>
      <c r="FEH24" s="486"/>
      <c r="FEI24" s="486"/>
      <c r="FEJ24" s="486"/>
      <c r="FEK24" s="486"/>
      <c r="FEL24" s="486"/>
      <c r="FEM24" s="486"/>
      <c r="FEN24" s="486"/>
      <c r="FEO24" s="486"/>
      <c r="FEP24" s="486"/>
      <c r="FEQ24" s="486"/>
      <c r="FER24" s="486"/>
      <c r="FES24" s="486"/>
      <c r="FET24" s="486"/>
      <c r="FEU24" s="486"/>
      <c r="FEV24" s="486"/>
      <c r="FEW24" s="486"/>
      <c r="FEX24" s="486"/>
      <c r="FEY24" s="486"/>
      <c r="FEZ24" s="486"/>
      <c r="FFA24" s="486"/>
      <c r="FFB24" s="486"/>
      <c r="FFC24" s="486"/>
      <c r="FFD24" s="486"/>
      <c r="FFE24" s="486"/>
      <c r="FFF24" s="486"/>
      <c r="FFG24" s="486"/>
      <c r="FFH24" s="486"/>
      <c r="FFI24" s="486"/>
      <c r="FFJ24" s="486"/>
      <c r="FFK24" s="486"/>
      <c r="FFL24" s="486"/>
      <c r="FFM24" s="486"/>
      <c r="FFN24" s="486"/>
      <c r="FFO24" s="486"/>
      <c r="FFP24" s="486"/>
      <c r="FFQ24" s="486"/>
      <c r="FFR24" s="486"/>
      <c r="FFS24" s="486"/>
      <c r="FFT24" s="486"/>
      <c r="FFU24" s="486"/>
      <c r="FFV24" s="486"/>
      <c r="FFW24" s="486"/>
      <c r="FFX24" s="486"/>
      <c r="FFY24" s="486"/>
      <c r="FFZ24" s="486"/>
      <c r="FGA24" s="486"/>
      <c r="FGB24" s="486"/>
      <c r="FGC24" s="486"/>
      <c r="FGD24" s="486"/>
      <c r="FGE24" s="486"/>
      <c r="FGF24" s="486"/>
      <c r="FGG24" s="486"/>
      <c r="FGH24" s="486"/>
      <c r="FGI24" s="486"/>
      <c r="FGJ24" s="486"/>
      <c r="FGK24" s="486"/>
      <c r="FGL24" s="486"/>
      <c r="FGM24" s="486"/>
      <c r="FGN24" s="486"/>
      <c r="FGO24" s="486"/>
      <c r="FGP24" s="486"/>
      <c r="FGQ24" s="486"/>
      <c r="FGR24" s="486"/>
      <c r="FGS24" s="486"/>
      <c r="FGT24" s="486"/>
      <c r="FGU24" s="486"/>
      <c r="FGV24" s="486"/>
      <c r="FGW24" s="486"/>
      <c r="FGX24" s="486"/>
      <c r="FGY24" s="486"/>
      <c r="FGZ24" s="486"/>
      <c r="FHA24" s="486"/>
      <c r="FHB24" s="486"/>
      <c r="FHC24" s="486"/>
      <c r="FHD24" s="486"/>
      <c r="FHE24" s="486"/>
      <c r="FHF24" s="486"/>
      <c r="FHG24" s="486"/>
      <c r="FHH24" s="486"/>
      <c r="FHI24" s="486"/>
      <c r="FHJ24" s="486"/>
      <c r="FHK24" s="486"/>
      <c r="FHL24" s="486"/>
      <c r="FHM24" s="486"/>
      <c r="FHN24" s="486"/>
      <c r="FHO24" s="486"/>
      <c r="FHP24" s="486"/>
      <c r="FHQ24" s="486"/>
      <c r="FHR24" s="486"/>
      <c r="FHS24" s="486"/>
      <c r="FHT24" s="486"/>
      <c r="FHU24" s="486"/>
      <c r="FHV24" s="486"/>
      <c r="FHW24" s="486"/>
      <c r="FHX24" s="486"/>
      <c r="FHY24" s="486"/>
      <c r="FHZ24" s="486"/>
      <c r="FIA24" s="486"/>
      <c r="FIB24" s="486"/>
      <c r="FIC24" s="486"/>
      <c r="FID24" s="486"/>
      <c r="FIE24" s="486"/>
      <c r="FIF24" s="486"/>
      <c r="FIG24" s="486"/>
      <c r="FIH24" s="486"/>
      <c r="FII24" s="486"/>
      <c r="FIJ24" s="486"/>
      <c r="FIK24" s="486"/>
      <c r="FIL24" s="486"/>
      <c r="FIM24" s="486"/>
      <c r="FIN24" s="486"/>
      <c r="FIO24" s="486"/>
      <c r="FIP24" s="486"/>
      <c r="FIQ24" s="486"/>
      <c r="FIR24" s="486"/>
      <c r="FIS24" s="486"/>
      <c r="FIT24" s="486"/>
      <c r="FIU24" s="486"/>
      <c r="FIV24" s="486"/>
      <c r="FIW24" s="486"/>
      <c r="FIX24" s="486"/>
      <c r="FIY24" s="486"/>
      <c r="FIZ24" s="486"/>
      <c r="FJA24" s="486"/>
      <c r="FJB24" s="486"/>
      <c r="FJC24" s="486"/>
      <c r="FJD24" s="486"/>
      <c r="FJE24" s="486"/>
      <c r="FJF24" s="486"/>
      <c r="FJG24" s="486"/>
      <c r="FJH24" s="486"/>
      <c r="FJI24" s="486"/>
      <c r="FJJ24" s="486"/>
      <c r="FJK24" s="486"/>
      <c r="FJL24" s="486"/>
      <c r="FJM24" s="486"/>
      <c r="FJN24" s="486"/>
      <c r="FJO24" s="486"/>
      <c r="FJP24" s="486"/>
      <c r="FJQ24" s="486"/>
      <c r="FJR24" s="486"/>
      <c r="FJS24" s="486"/>
      <c r="FJT24" s="486"/>
      <c r="FJU24" s="486"/>
      <c r="FJV24" s="486"/>
      <c r="FJW24" s="486"/>
      <c r="FJX24" s="486"/>
      <c r="FJY24" s="486"/>
      <c r="FJZ24" s="486"/>
      <c r="FKA24" s="486"/>
      <c r="FKB24" s="486"/>
      <c r="FKC24" s="486"/>
      <c r="FKD24" s="486"/>
      <c r="FKE24" s="486"/>
      <c r="FKF24" s="486"/>
      <c r="FKG24" s="486"/>
      <c r="FKH24" s="486"/>
      <c r="FKI24" s="486"/>
      <c r="FKJ24" s="486"/>
      <c r="FKK24" s="486"/>
      <c r="FKL24" s="486"/>
      <c r="FKM24" s="486"/>
      <c r="FKN24" s="486"/>
      <c r="FKO24" s="486"/>
      <c r="FKP24" s="486"/>
      <c r="FKQ24" s="486"/>
      <c r="FKR24" s="486"/>
      <c r="FKS24" s="486"/>
      <c r="FKT24" s="486"/>
      <c r="FKU24" s="486"/>
      <c r="FKV24" s="486"/>
      <c r="FKW24" s="486"/>
      <c r="FKX24" s="486"/>
      <c r="FKY24" s="486"/>
      <c r="FKZ24" s="486"/>
      <c r="FLA24" s="486"/>
      <c r="FLB24" s="486"/>
      <c r="FLC24" s="486"/>
      <c r="FLD24" s="486"/>
      <c r="FLE24" s="486"/>
      <c r="FLF24" s="486"/>
      <c r="FLG24" s="486"/>
      <c r="FLH24" s="486"/>
      <c r="FLI24" s="486"/>
      <c r="FLJ24" s="486"/>
      <c r="FLK24" s="486"/>
      <c r="FLL24" s="486"/>
      <c r="FLM24" s="486"/>
      <c r="FLN24" s="486"/>
      <c r="FLO24" s="486"/>
      <c r="FLP24" s="486"/>
      <c r="FLQ24" s="486"/>
      <c r="FLR24" s="486"/>
      <c r="FLS24" s="486"/>
      <c r="FLT24" s="486"/>
      <c r="FLU24" s="486"/>
      <c r="FLV24" s="486"/>
      <c r="FLW24" s="486"/>
      <c r="FLX24" s="486"/>
      <c r="FLY24" s="486"/>
      <c r="FLZ24" s="486"/>
      <c r="FMA24" s="486"/>
      <c r="FMB24" s="486"/>
      <c r="FMC24" s="486"/>
      <c r="FMD24" s="486"/>
      <c r="FME24" s="486"/>
      <c r="FMF24" s="486"/>
      <c r="FMG24" s="486"/>
      <c r="FMH24" s="486"/>
      <c r="FMI24" s="486"/>
      <c r="FMJ24" s="486"/>
      <c r="FMK24" s="486"/>
      <c r="FML24" s="486"/>
      <c r="FMM24" s="486"/>
      <c r="FMN24" s="486"/>
      <c r="FMO24" s="486"/>
      <c r="FMP24" s="486"/>
      <c r="FMQ24" s="486"/>
      <c r="FMR24" s="486"/>
      <c r="FMS24" s="486"/>
      <c r="FMT24" s="486"/>
      <c r="FMU24" s="486"/>
      <c r="FMV24" s="486"/>
      <c r="FMW24" s="486"/>
      <c r="FMX24" s="486"/>
      <c r="FMY24" s="486"/>
      <c r="FMZ24" s="486"/>
      <c r="FNA24" s="486"/>
      <c r="FNB24" s="486"/>
      <c r="FNC24" s="486"/>
      <c r="FND24" s="486"/>
      <c r="FNE24" s="486"/>
      <c r="FNF24" s="486"/>
      <c r="FNG24" s="486"/>
      <c r="FNH24" s="486"/>
      <c r="FNI24" s="486"/>
      <c r="FNJ24" s="486"/>
      <c r="FNK24" s="486"/>
      <c r="FNL24" s="486"/>
      <c r="FNM24" s="486"/>
      <c r="FNN24" s="486"/>
      <c r="FNO24" s="486"/>
      <c r="FNP24" s="486"/>
      <c r="FNQ24" s="486"/>
      <c r="FNR24" s="486"/>
      <c r="FNS24" s="486"/>
      <c r="FNT24" s="486"/>
      <c r="FNU24" s="486"/>
      <c r="FNV24" s="486"/>
      <c r="FNW24" s="486"/>
      <c r="FNX24" s="486"/>
      <c r="FNY24" s="486"/>
      <c r="FNZ24" s="486"/>
      <c r="FOA24" s="486"/>
      <c r="FOB24" s="486"/>
      <c r="FOC24" s="486"/>
      <c r="FOD24" s="486"/>
      <c r="FOE24" s="486"/>
      <c r="FOF24" s="486"/>
      <c r="FOG24" s="486"/>
      <c r="FOH24" s="486"/>
      <c r="FOI24" s="486"/>
      <c r="FOJ24" s="486"/>
      <c r="FOK24" s="486"/>
      <c r="FOL24" s="486"/>
      <c r="FOM24" s="486"/>
      <c r="FON24" s="486"/>
      <c r="FOO24" s="486"/>
      <c r="FOP24" s="486"/>
      <c r="FOQ24" s="486"/>
      <c r="FOR24" s="486"/>
      <c r="FOS24" s="486"/>
      <c r="FOT24" s="486"/>
      <c r="FOU24" s="486"/>
      <c r="FOV24" s="486"/>
      <c r="FOW24" s="486"/>
      <c r="FOX24" s="486"/>
      <c r="FOY24" s="486"/>
      <c r="FOZ24" s="486"/>
      <c r="FPA24" s="486"/>
      <c r="FPB24" s="486"/>
      <c r="FPC24" s="486"/>
      <c r="FPD24" s="486"/>
      <c r="FPE24" s="486"/>
      <c r="FPF24" s="486"/>
      <c r="FPG24" s="486"/>
      <c r="FPH24" s="486"/>
      <c r="FPI24" s="486"/>
      <c r="FPJ24" s="486"/>
      <c r="FPK24" s="486"/>
      <c r="FPL24" s="486"/>
      <c r="FPM24" s="486"/>
      <c r="FPN24" s="486"/>
      <c r="FPO24" s="486"/>
      <c r="FPP24" s="486"/>
      <c r="FPQ24" s="486"/>
      <c r="FPR24" s="486"/>
      <c r="FPS24" s="486"/>
      <c r="FPT24" s="486"/>
      <c r="FPU24" s="486"/>
      <c r="FPV24" s="486"/>
      <c r="FPW24" s="486"/>
      <c r="FPX24" s="486"/>
      <c r="FPY24" s="486"/>
      <c r="FPZ24" s="486"/>
      <c r="FQA24" s="486"/>
      <c r="FQB24" s="486"/>
      <c r="FQC24" s="486"/>
      <c r="FQD24" s="486"/>
      <c r="FQE24" s="486"/>
      <c r="FQF24" s="486"/>
      <c r="FQG24" s="486"/>
      <c r="FQH24" s="486"/>
      <c r="FQI24" s="486"/>
      <c r="FQJ24" s="486"/>
      <c r="FQK24" s="486"/>
      <c r="FQL24" s="486"/>
      <c r="FQM24" s="486"/>
      <c r="FQN24" s="486"/>
      <c r="FQO24" s="486"/>
      <c r="FQP24" s="486"/>
      <c r="FQQ24" s="486"/>
      <c r="FQR24" s="486"/>
      <c r="FQS24" s="486"/>
      <c r="FQT24" s="486"/>
      <c r="FQU24" s="486"/>
      <c r="FQV24" s="486"/>
      <c r="FQW24" s="486"/>
      <c r="FQX24" s="486"/>
      <c r="FQY24" s="486"/>
      <c r="FQZ24" s="486"/>
      <c r="FRA24" s="486"/>
      <c r="FRB24" s="486"/>
      <c r="FRC24" s="486"/>
      <c r="FRD24" s="486"/>
      <c r="FRE24" s="486"/>
      <c r="FRF24" s="486"/>
      <c r="FRG24" s="486"/>
      <c r="FRH24" s="486"/>
      <c r="FRI24" s="486"/>
      <c r="FRJ24" s="486"/>
      <c r="FRK24" s="486"/>
      <c r="FRL24" s="486"/>
      <c r="FRM24" s="486"/>
      <c r="FRN24" s="486"/>
      <c r="FRO24" s="486"/>
      <c r="FRP24" s="486"/>
      <c r="FRQ24" s="486"/>
      <c r="FRR24" s="486"/>
      <c r="FRS24" s="486"/>
      <c r="FRT24" s="486"/>
      <c r="FRU24" s="486"/>
      <c r="FRV24" s="486"/>
      <c r="FRW24" s="486"/>
      <c r="FRX24" s="486"/>
      <c r="FRY24" s="486"/>
      <c r="FRZ24" s="486"/>
      <c r="FSA24" s="486"/>
      <c r="FSB24" s="486"/>
      <c r="FSC24" s="486"/>
      <c r="FSD24" s="486"/>
      <c r="FSE24" s="486"/>
      <c r="FSF24" s="486"/>
      <c r="FSG24" s="486"/>
      <c r="FSH24" s="486"/>
      <c r="FSI24" s="486"/>
      <c r="FSJ24" s="486"/>
      <c r="FSK24" s="486"/>
      <c r="FSL24" s="486"/>
      <c r="FSM24" s="486"/>
      <c r="FSN24" s="486"/>
      <c r="FSO24" s="486"/>
      <c r="FSP24" s="486"/>
      <c r="FSQ24" s="486"/>
      <c r="FSR24" s="486"/>
      <c r="FSS24" s="486"/>
      <c r="FST24" s="486"/>
      <c r="FSU24" s="486"/>
      <c r="FSV24" s="486"/>
      <c r="FSW24" s="486"/>
      <c r="FSX24" s="486"/>
      <c r="FSY24" s="486"/>
      <c r="FSZ24" s="486"/>
      <c r="FTA24" s="486"/>
      <c r="FTB24" s="486"/>
      <c r="FTC24" s="486"/>
      <c r="FTD24" s="486"/>
      <c r="FTE24" s="486"/>
      <c r="FTF24" s="486"/>
      <c r="FTG24" s="486"/>
      <c r="FTH24" s="486"/>
      <c r="FTI24" s="486"/>
      <c r="FTJ24" s="486"/>
      <c r="FTK24" s="486"/>
      <c r="FTL24" s="486"/>
      <c r="FTM24" s="486"/>
      <c r="FTN24" s="486"/>
      <c r="FTO24" s="486"/>
      <c r="FTP24" s="486"/>
      <c r="FTQ24" s="486"/>
      <c r="FTR24" s="486"/>
      <c r="FTS24" s="486"/>
      <c r="FTT24" s="486"/>
      <c r="FTU24" s="486"/>
      <c r="FTV24" s="486"/>
      <c r="FTW24" s="486"/>
      <c r="FTX24" s="486"/>
      <c r="FTY24" s="486"/>
      <c r="FTZ24" s="486"/>
      <c r="FUA24" s="486"/>
      <c r="FUB24" s="486"/>
      <c r="FUC24" s="486"/>
      <c r="FUD24" s="486"/>
      <c r="FUE24" s="486"/>
      <c r="FUF24" s="486"/>
      <c r="FUG24" s="486"/>
      <c r="FUH24" s="486"/>
      <c r="FUI24" s="486"/>
      <c r="FUJ24" s="486"/>
      <c r="FUK24" s="486"/>
      <c r="FUL24" s="486"/>
      <c r="FUM24" s="486"/>
      <c r="FUN24" s="486"/>
      <c r="FUO24" s="486"/>
      <c r="FUP24" s="486"/>
      <c r="FUQ24" s="486"/>
      <c r="FUR24" s="486"/>
      <c r="FUS24" s="486"/>
      <c r="FUT24" s="486"/>
      <c r="FUU24" s="486"/>
      <c r="FUV24" s="486"/>
      <c r="FUW24" s="486"/>
      <c r="FUX24" s="486"/>
      <c r="FUY24" s="486"/>
      <c r="FUZ24" s="486"/>
      <c r="FVA24" s="486"/>
      <c r="FVB24" s="486"/>
      <c r="FVC24" s="486"/>
      <c r="FVD24" s="486"/>
      <c r="FVE24" s="486"/>
      <c r="FVF24" s="486"/>
      <c r="FVG24" s="486"/>
      <c r="FVH24" s="486"/>
      <c r="FVI24" s="486"/>
      <c r="FVJ24" s="486"/>
      <c r="FVK24" s="486"/>
      <c r="FVL24" s="486"/>
      <c r="FVM24" s="486"/>
      <c r="FVN24" s="486"/>
      <c r="FVO24" s="486"/>
      <c r="FVP24" s="486"/>
      <c r="FVQ24" s="486"/>
      <c r="FVR24" s="486"/>
      <c r="FVS24" s="486"/>
      <c r="FVT24" s="486"/>
      <c r="FVU24" s="486"/>
      <c r="FVV24" s="486"/>
      <c r="FVW24" s="486"/>
      <c r="FVX24" s="486"/>
      <c r="FVY24" s="486"/>
      <c r="FVZ24" s="486"/>
      <c r="FWA24" s="486"/>
      <c r="FWB24" s="486"/>
      <c r="FWC24" s="486"/>
      <c r="FWD24" s="486"/>
      <c r="FWE24" s="486"/>
      <c r="FWF24" s="486"/>
      <c r="FWG24" s="486"/>
      <c r="FWH24" s="486"/>
      <c r="FWI24" s="486"/>
      <c r="FWJ24" s="486"/>
      <c r="FWK24" s="486"/>
      <c r="FWL24" s="486"/>
      <c r="FWM24" s="486"/>
      <c r="FWN24" s="486"/>
      <c r="FWO24" s="486"/>
      <c r="FWP24" s="486"/>
      <c r="FWQ24" s="486"/>
      <c r="FWR24" s="486"/>
      <c r="FWS24" s="486"/>
      <c r="FWT24" s="486"/>
      <c r="FWU24" s="486"/>
      <c r="FWV24" s="486"/>
      <c r="FWW24" s="486"/>
      <c r="FWX24" s="486"/>
      <c r="FWY24" s="486"/>
      <c r="FWZ24" s="486"/>
      <c r="FXA24" s="486"/>
      <c r="FXB24" s="486"/>
      <c r="FXC24" s="486"/>
      <c r="FXD24" s="486"/>
      <c r="FXE24" s="486"/>
      <c r="FXF24" s="486"/>
      <c r="FXG24" s="486"/>
      <c r="FXH24" s="486"/>
      <c r="FXI24" s="486"/>
      <c r="FXJ24" s="486"/>
      <c r="FXK24" s="486"/>
      <c r="FXL24" s="486"/>
      <c r="FXM24" s="486"/>
      <c r="FXN24" s="486"/>
      <c r="FXO24" s="486"/>
      <c r="FXP24" s="486"/>
      <c r="FXQ24" s="486"/>
      <c r="FXR24" s="486"/>
      <c r="FXS24" s="486"/>
      <c r="FXT24" s="486"/>
      <c r="FXU24" s="486"/>
      <c r="FXV24" s="486"/>
      <c r="FXW24" s="486"/>
      <c r="FXX24" s="486"/>
      <c r="FXY24" s="486"/>
      <c r="FXZ24" s="486"/>
      <c r="FYA24" s="486"/>
      <c r="FYB24" s="486"/>
      <c r="FYC24" s="486"/>
      <c r="FYD24" s="486"/>
      <c r="FYE24" s="486"/>
      <c r="FYF24" s="486"/>
      <c r="FYG24" s="486"/>
      <c r="FYH24" s="486"/>
      <c r="FYI24" s="486"/>
      <c r="FYJ24" s="486"/>
      <c r="FYK24" s="486"/>
      <c r="FYL24" s="486"/>
      <c r="FYM24" s="486"/>
      <c r="FYN24" s="486"/>
      <c r="FYO24" s="486"/>
      <c r="FYP24" s="486"/>
      <c r="FYQ24" s="486"/>
      <c r="FYR24" s="486"/>
      <c r="FYS24" s="486"/>
      <c r="FYT24" s="486"/>
      <c r="FYU24" s="486"/>
      <c r="FYV24" s="486"/>
      <c r="FYW24" s="486"/>
      <c r="FYX24" s="486"/>
      <c r="FYY24" s="486"/>
      <c r="FYZ24" s="486"/>
      <c r="FZA24" s="486"/>
      <c r="FZB24" s="486"/>
      <c r="FZC24" s="486"/>
      <c r="FZD24" s="486"/>
      <c r="FZE24" s="486"/>
      <c r="FZF24" s="486"/>
      <c r="FZG24" s="486"/>
      <c r="FZH24" s="486"/>
      <c r="FZI24" s="486"/>
      <c r="FZJ24" s="486"/>
      <c r="FZK24" s="486"/>
      <c r="FZL24" s="486"/>
      <c r="FZM24" s="486"/>
      <c r="FZN24" s="486"/>
      <c r="FZO24" s="486"/>
      <c r="FZP24" s="486"/>
      <c r="FZQ24" s="486"/>
      <c r="FZR24" s="486"/>
      <c r="FZS24" s="486"/>
      <c r="FZT24" s="486"/>
      <c r="FZU24" s="486"/>
      <c r="FZV24" s="486"/>
      <c r="FZW24" s="486"/>
      <c r="FZX24" s="486"/>
      <c r="FZY24" s="486"/>
      <c r="FZZ24" s="486"/>
      <c r="GAA24" s="486"/>
      <c r="GAB24" s="486"/>
      <c r="GAC24" s="486"/>
      <c r="GAD24" s="486"/>
      <c r="GAE24" s="486"/>
      <c r="GAF24" s="486"/>
      <c r="GAG24" s="486"/>
      <c r="GAH24" s="486"/>
      <c r="GAI24" s="486"/>
      <c r="GAJ24" s="486"/>
      <c r="GAK24" s="486"/>
      <c r="GAL24" s="486"/>
      <c r="GAM24" s="486"/>
      <c r="GAN24" s="486"/>
      <c r="GAO24" s="486"/>
      <c r="GAP24" s="486"/>
      <c r="GAQ24" s="486"/>
      <c r="GAR24" s="486"/>
      <c r="GAS24" s="486"/>
      <c r="GAT24" s="486"/>
      <c r="GAU24" s="486"/>
      <c r="GAV24" s="486"/>
      <c r="GAW24" s="486"/>
      <c r="GAX24" s="486"/>
      <c r="GAY24" s="486"/>
      <c r="GAZ24" s="486"/>
      <c r="GBA24" s="486"/>
      <c r="GBB24" s="486"/>
      <c r="GBC24" s="486"/>
      <c r="GBD24" s="486"/>
      <c r="GBE24" s="486"/>
      <c r="GBF24" s="486"/>
      <c r="GBG24" s="486"/>
      <c r="GBH24" s="486"/>
      <c r="GBI24" s="486"/>
      <c r="GBJ24" s="486"/>
      <c r="GBK24" s="486"/>
      <c r="GBL24" s="486"/>
      <c r="GBM24" s="486"/>
      <c r="GBN24" s="486"/>
      <c r="GBO24" s="486"/>
      <c r="GBP24" s="486"/>
      <c r="GBQ24" s="486"/>
      <c r="GBR24" s="486"/>
      <c r="GBS24" s="486"/>
      <c r="GBT24" s="486"/>
      <c r="GBU24" s="486"/>
      <c r="GBV24" s="486"/>
      <c r="GBW24" s="486"/>
      <c r="GBX24" s="486"/>
      <c r="GBY24" s="486"/>
      <c r="GBZ24" s="486"/>
      <c r="GCA24" s="486"/>
      <c r="GCB24" s="486"/>
      <c r="GCC24" s="486"/>
      <c r="GCD24" s="486"/>
      <c r="GCE24" s="486"/>
      <c r="GCF24" s="486"/>
      <c r="GCG24" s="486"/>
      <c r="GCH24" s="486"/>
      <c r="GCI24" s="486"/>
      <c r="GCJ24" s="486"/>
      <c r="GCK24" s="486"/>
      <c r="GCL24" s="486"/>
      <c r="GCM24" s="486"/>
      <c r="GCN24" s="486"/>
      <c r="GCO24" s="486"/>
      <c r="GCP24" s="486"/>
      <c r="GCQ24" s="486"/>
      <c r="GCR24" s="486"/>
      <c r="GCS24" s="486"/>
      <c r="GCT24" s="486"/>
      <c r="GCU24" s="486"/>
      <c r="GCV24" s="486"/>
      <c r="GCW24" s="486"/>
      <c r="GCX24" s="486"/>
      <c r="GCY24" s="486"/>
      <c r="GCZ24" s="486"/>
      <c r="GDA24" s="486"/>
      <c r="GDB24" s="486"/>
      <c r="GDC24" s="486"/>
      <c r="GDD24" s="486"/>
      <c r="GDE24" s="486"/>
      <c r="GDF24" s="486"/>
      <c r="GDG24" s="486"/>
      <c r="GDH24" s="486"/>
      <c r="GDI24" s="486"/>
      <c r="GDJ24" s="486"/>
      <c r="GDK24" s="486"/>
      <c r="GDL24" s="486"/>
      <c r="GDM24" s="486"/>
      <c r="GDN24" s="486"/>
      <c r="GDO24" s="486"/>
      <c r="GDP24" s="486"/>
      <c r="GDQ24" s="486"/>
      <c r="GDR24" s="486"/>
      <c r="GDS24" s="486"/>
      <c r="GDT24" s="486"/>
      <c r="GDU24" s="486"/>
      <c r="GDV24" s="486"/>
      <c r="GDW24" s="486"/>
      <c r="GDX24" s="486"/>
      <c r="GDY24" s="486"/>
      <c r="GDZ24" s="486"/>
      <c r="GEA24" s="486"/>
      <c r="GEB24" s="486"/>
      <c r="GEC24" s="486"/>
      <c r="GED24" s="486"/>
      <c r="GEE24" s="486"/>
      <c r="GEF24" s="486"/>
      <c r="GEG24" s="486"/>
      <c r="GEH24" s="486"/>
      <c r="GEI24" s="486"/>
      <c r="GEJ24" s="486"/>
      <c r="GEK24" s="486"/>
      <c r="GEL24" s="486"/>
      <c r="GEM24" s="486"/>
      <c r="GEN24" s="486"/>
      <c r="GEO24" s="486"/>
      <c r="GEP24" s="486"/>
      <c r="GEQ24" s="486"/>
      <c r="GER24" s="486"/>
      <c r="GES24" s="486"/>
      <c r="GET24" s="486"/>
      <c r="GEU24" s="486"/>
      <c r="GEV24" s="486"/>
      <c r="GEW24" s="486"/>
      <c r="GEX24" s="486"/>
      <c r="GEY24" s="486"/>
      <c r="GEZ24" s="486"/>
      <c r="GFA24" s="486"/>
      <c r="GFB24" s="486"/>
      <c r="GFC24" s="486"/>
      <c r="GFD24" s="486"/>
      <c r="GFE24" s="486"/>
      <c r="GFF24" s="486"/>
      <c r="GFG24" s="486"/>
      <c r="GFH24" s="486"/>
      <c r="GFI24" s="486"/>
      <c r="GFJ24" s="486"/>
      <c r="GFK24" s="486"/>
      <c r="GFL24" s="486"/>
      <c r="GFM24" s="486"/>
      <c r="GFN24" s="486"/>
      <c r="GFO24" s="486"/>
      <c r="GFP24" s="486"/>
      <c r="GFQ24" s="486"/>
      <c r="GFR24" s="486"/>
      <c r="GFS24" s="486"/>
      <c r="GFT24" s="486"/>
      <c r="GFU24" s="486"/>
      <c r="GFV24" s="486"/>
      <c r="GFW24" s="486"/>
      <c r="GFX24" s="486"/>
      <c r="GFY24" s="486"/>
      <c r="GFZ24" s="486"/>
      <c r="GGA24" s="486"/>
      <c r="GGB24" s="486"/>
      <c r="GGC24" s="486"/>
      <c r="GGD24" s="486"/>
      <c r="GGE24" s="486"/>
      <c r="GGF24" s="486"/>
      <c r="GGG24" s="486"/>
      <c r="GGH24" s="486"/>
      <c r="GGI24" s="486"/>
      <c r="GGJ24" s="486"/>
      <c r="GGK24" s="486"/>
      <c r="GGL24" s="486"/>
      <c r="GGM24" s="486"/>
      <c r="GGN24" s="486"/>
      <c r="GGO24" s="486"/>
      <c r="GGP24" s="486"/>
      <c r="GGQ24" s="486"/>
      <c r="GGR24" s="486"/>
      <c r="GGS24" s="486"/>
      <c r="GGT24" s="486"/>
      <c r="GGU24" s="486"/>
      <c r="GGV24" s="486"/>
      <c r="GGW24" s="486"/>
      <c r="GGX24" s="486"/>
      <c r="GGY24" s="486"/>
      <c r="GGZ24" s="486"/>
      <c r="GHA24" s="486"/>
      <c r="GHB24" s="486"/>
      <c r="GHC24" s="486"/>
      <c r="GHD24" s="486"/>
      <c r="GHE24" s="486"/>
      <c r="GHF24" s="486"/>
      <c r="GHG24" s="486"/>
      <c r="GHH24" s="486"/>
      <c r="GHI24" s="486"/>
      <c r="GHJ24" s="486"/>
      <c r="GHK24" s="486"/>
      <c r="GHL24" s="486"/>
      <c r="GHM24" s="486"/>
      <c r="GHN24" s="486"/>
      <c r="GHO24" s="486"/>
      <c r="GHP24" s="486"/>
      <c r="GHQ24" s="486"/>
      <c r="GHR24" s="486"/>
      <c r="GHS24" s="486"/>
      <c r="GHT24" s="486"/>
      <c r="GHU24" s="486"/>
      <c r="GHV24" s="486"/>
      <c r="GHW24" s="486"/>
      <c r="GHX24" s="486"/>
      <c r="GHY24" s="486"/>
      <c r="GHZ24" s="486"/>
      <c r="GIA24" s="486"/>
      <c r="GIB24" s="486"/>
      <c r="GIC24" s="486"/>
      <c r="GID24" s="486"/>
      <c r="GIE24" s="486"/>
      <c r="GIF24" s="486"/>
      <c r="GIG24" s="486"/>
      <c r="GIH24" s="486"/>
      <c r="GII24" s="486"/>
      <c r="GIJ24" s="486"/>
      <c r="GIK24" s="486"/>
      <c r="GIL24" s="486"/>
      <c r="GIM24" s="486"/>
      <c r="GIN24" s="486"/>
      <c r="GIO24" s="486"/>
      <c r="GIP24" s="486"/>
      <c r="GIQ24" s="486"/>
      <c r="GIR24" s="486"/>
      <c r="GIS24" s="486"/>
      <c r="GIT24" s="486"/>
      <c r="GIU24" s="486"/>
      <c r="GIV24" s="486"/>
      <c r="GIW24" s="486"/>
      <c r="GIX24" s="486"/>
      <c r="GIY24" s="486"/>
      <c r="GIZ24" s="486"/>
      <c r="GJA24" s="486"/>
      <c r="GJB24" s="486"/>
      <c r="GJC24" s="486"/>
      <c r="GJD24" s="486"/>
      <c r="GJE24" s="486"/>
      <c r="GJF24" s="486"/>
      <c r="GJG24" s="486"/>
      <c r="GJH24" s="486"/>
      <c r="GJI24" s="486"/>
      <c r="GJJ24" s="486"/>
      <c r="GJK24" s="486"/>
      <c r="GJL24" s="486"/>
      <c r="GJM24" s="486"/>
      <c r="GJN24" s="486"/>
      <c r="GJO24" s="486"/>
      <c r="GJP24" s="486"/>
      <c r="GJQ24" s="486"/>
      <c r="GJR24" s="486"/>
      <c r="GJS24" s="486"/>
      <c r="GJT24" s="486"/>
      <c r="GJU24" s="486"/>
      <c r="GJV24" s="486"/>
      <c r="GJW24" s="486"/>
      <c r="GJX24" s="486"/>
      <c r="GJY24" s="486"/>
      <c r="GJZ24" s="486"/>
      <c r="GKA24" s="486"/>
      <c r="GKB24" s="486"/>
      <c r="GKC24" s="486"/>
      <c r="GKD24" s="486"/>
      <c r="GKE24" s="486"/>
      <c r="GKF24" s="486"/>
      <c r="GKG24" s="486"/>
      <c r="GKH24" s="486"/>
      <c r="GKI24" s="486"/>
      <c r="GKJ24" s="486"/>
      <c r="GKK24" s="486"/>
      <c r="GKL24" s="486"/>
      <c r="GKM24" s="486"/>
      <c r="GKN24" s="486"/>
      <c r="GKO24" s="486"/>
      <c r="GKP24" s="486"/>
      <c r="GKQ24" s="486"/>
      <c r="GKR24" s="486"/>
      <c r="GKS24" s="486"/>
      <c r="GKT24" s="486"/>
      <c r="GKU24" s="486"/>
      <c r="GKV24" s="486"/>
      <c r="GKW24" s="486"/>
      <c r="GKX24" s="486"/>
      <c r="GKY24" s="486"/>
      <c r="GKZ24" s="486"/>
      <c r="GLA24" s="486"/>
      <c r="GLB24" s="486"/>
      <c r="GLC24" s="486"/>
      <c r="GLD24" s="486"/>
      <c r="GLE24" s="486"/>
      <c r="GLF24" s="486"/>
      <c r="GLG24" s="486"/>
      <c r="GLH24" s="486"/>
      <c r="GLI24" s="486"/>
      <c r="GLJ24" s="486"/>
      <c r="GLK24" s="486"/>
      <c r="GLL24" s="486"/>
      <c r="GLM24" s="486"/>
      <c r="GLN24" s="486"/>
      <c r="GLO24" s="486"/>
      <c r="GLP24" s="486"/>
      <c r="GLQ24" s="486"/>
      <c r="GLR24" s="486"/>
      <c r="GLS24" s="486"/>
      <c r="GLT24" s="486"/>
      <c r="GLU24" s="486"/>
      <c r="GLV24" s="486"/>
      <c r="GLW24" s="486"/>
      <c r="GLX24" s="486"/>
      <c r="GLY24" s="486"/>
      <c r="GLZ24" s="486"/>
      <c r="GMA24" s="486"/>
      <c r="GMB24" s="486"/>
      <c r="GMC24" s="486"/>
      <c r="GMD24" s="486"/>
      <c r="GME24" s="486"/>
      <c r="GMF24" s="486"/>
      <c r="GMG24" s="486"/>
      <c r="GMH24" s="486"/>
      <c r="GMI24" s="486"/>
      <c r="GMJ24" s="486"/>
      <c r="GMK24" s="486"/>
      <c r="GML24" s="486"/>
      <c r="GMM24" s="486"/>
      <c r="GMN24" s="486"/>
      <c r="GMO24" s="486"/>
      <c r="GMP24" s="486"/>
      <c r="GMQ24" s="486"/>
      <c r="GMR24" s="486"/>
      <c r="GMS24" s="486"/>
      <c r="GMT24" s="486"/>
      <c r="GMU24" s="486"/>
      <c r="GMV24" s="486"/>
      <c r="GMW24" s="486"/>
      <c r="GMX24" s="486"/>
      <c r="GMY24" s="486"/>
      <c r="GMZ24" s="486"/>
      <c r="GNA24" s="486"/>
      <c r="GNB24" s="486"/>
      <c r="GNC24" s="486"/>
      <c r="GND24" s="486"/>
      <c r="GNE24" s="486"/>
      <c r="GNF24" s="486"/>
      <c r="GNG24" s="486"/>
      <c r="GNH24" s="486"/>
      <c r="GNI24" s="486"/>
      <c r="GNJ24" s="486"/>
      <c r="GNK24" s="486"/>
      <c r="GNL24" s="486"/>
      <c r="GNM24" s="486"/>
      <c r="GNN24" s="486"/>
      <c r="GNO24" s="486"/>
      <c r="GNP24" s="486"/>
      <c r="GNQ24" s="486"/>
      <c r="GNR24" s="486"/>
      <c r="GNS24" s="486"/>
      <c r="GNT24" s="486"/>
      <c r="GNU24" s="486"/>
      <c r="GNV24" s="486"/>
      <c r="GNW24" s="486"/>
      <c r="GNX24" s="486"/>
      <c r="GNY24" s="486"/>
      <c r="GNZ24" s="486"/>
      <c r="GOA24" s="486"/>
      <c r="GOB24" s="486"/>
      <c r="GOC24" s="486"/>
      <c r="GOD24" s="486"/>
      <c r="GOE24" s="486"/>
      <c r="GOF24" s="486"/>
      <c r="GOG24" s="486"/>
      <c r="GOH24" s="486"/>
      <c r="GOI24" s="486"/>
      <c r="GOJ24" s="486"/>
      <c r="GOK24" s="486"/>
      <c r="GOL24" s="486"/>
      <c r="GOM24" s="486"/>
      <c r="GON24" s="486"/>
      <c r="GOO24" s="486"/>
      <c r="GOP24" s="486"/>
      <c r="GOQ24" s="486"/>
      <c r="GOR24" s="486"/>
      <c r="GOS24" s="486"/>
      <c r="GOT24" s="486"/>
      <c r="GOU24" s="486"/>
      <c r="GOV24" s="486"/>
      <c r="GOW24" s="486"/>
      <c r="GOX24" s="486"/>
      <c r="GOY24" s="486"/>
      <c r="GOZ24" s="486"/>
      <c r="GPA24" s="486"/>
      <c r="GPB24" s="486"/>
      <c r="GPC24" s="486"/>
      <c r="GPD24" s="486"/>
      <c r="GPE24" s="486"/>
      <c r="GPF24" s="486"/>
      <c r="GPG24" s="486"/>
      <c r="GPH24" s="486"/>
      <c r="GPI24" s="486"/>
      <c r="GPJ24" s="486"/>
      <c r="GPK24" s="486"/>
      <c r="GPL24" s="486"/>
      <c r="GPM24" s="486"/>
      <c r="GPN24" s="486"/>
      <c r="GPO24" s="486"/>
      <c r="GPP24" s="486"/>
      <c r="GPQ24" s="486"/>
      <c r="GPR24" s="486"/>
      <c r="GPS24" s="486"/>
      <c r="GPT24" s="486"/>
      <c r="GPU24" s="486"/>
      <c r="GPV24" s="486"/>
      <c r="GPW24" s="486"/>
      <c r="GPX24" s="486"/>
      <c r="GPY24" s="486"/>
      <c r="GPZ24" s="486"/>
      <c r="GQA24" s="486"/>
      <c r="GQB24" s="486"/>
      <c r="GQC24" s="486"/>
      <c r="GQD24" s="486"/>
      <c r="GQE24" s="486"/>
      <c r="GQF24" s="486"/>
      <c r="GQG24" s="486"/>
      <c r="GQH24" s="486"/>
      <c r="GQI24" s="486"/>
      <c r="GQJ24" s="486"/>
      <c r="GQK24" s="486"/>
      <c r="GQL24" s="486"/>
      <c r="GQM24" s="486"/>
      <c r="GQN24" s="486"/>
      <c r="GQO24" s="486"/>
      <c r="GQP24" s="486"/>
      <c r="GQQ24" s="486"/>
      <c r="GQR24" s="486"/>
      <c r="GQS24" s="486"/>
      <c r="GQT24" s="486"/>
      <c r="GQU24" s="486"/>
      <c r="GQV24" s="486"/>
      <c r="GQW24" s="486"/>
      <c r="GQX24" s="486"/>
      <c r="GQY24" s="486"/>
      <c r="GQZ24" s="486"/>
      <c r="GRA24" s="486"/>
      <c r="GRB24" s="486"/>
      <c r="GRC24" s="486"/>
      <c r="GRD24" s="486"/>
      <c r="GRE24" s="486"/>
      <c r="GRF24" s="486"/>
      <c r="GRG24" s="486"/>
      <c r="GRH24" s="486"/>
      <c r="GRI24" s="486"/>
      <c r="GRJ24" s="486"/>
      <c r="GRK24" s="486"/>
      <c r="GRL24" s="486"/>
      <c r="GRM24" s="486"/>
      <c r="GRN24" s="486"/>
      <c r="GRO24" s="486"/>
      <c r="GRP24" s="486"/>
      <c r="GRQ24" s="486"/>
      <c r="GRR24" s="486"/>
      <c r="GRS24" s="486"/>
      <c r="GRT24" s="486"/>
      <c r="GRU24" s="486"/>
      <c r="GRV24" s="486"/>
      <c r="GRW24" s="486"/>
      <c r="GRX24" s="486"/>
      <c r="GRY24" s="486"/>
      <c r="GRZ24" s="486"/>
      <c r="GSA24" s="486"/>
      <c r="GSB24" s="486"/>
      <c r="GSC24" s="486"/>
      <c r="GSD24" s="486"/>
      <c r="GSE24" s="486"/>
      <c r="GSF24" s="486"/>
      <c r="GSG24" s="486"/>
      <c r="GSH24" s="486"/>
      <c r="GSI24" s="486"/>
      <c r="GSJ24" s="486"/>
      <c r="GSK24" s="486"/>
      <c r="GSL24" s="486"/>
      <c r="GSM24" s="486"/>
      <c r="GSN24" s="486"/>
      <c r="GSO24" s="486"/>
      <c r="GSP24" s="486"/>
      <c r="GSQ24" s="486"/>
      <c r="GSR24" s="486"/>
      <c r="GSS24" s="486"/>
      <c r="GST24" s="486"/>
      <c r="GSU24" s="486"/>
      <c r="GSV24" s="486"/>
      <c r="GSW24" s="486"/>
      <c r="GSX24" s="486"/>
      <c r="GSY24" s="486"/>
      <c r="GSZ24" s="486"/>
      <c r="GTA24" s="486"/>
      <c r="GTB24" s="486"/>
      <c r="GTC24" s="486"/>
      <c r="GTD24" s="486"/>
      <c r="GTE24" s="486"/>
      <c r="GTF24" s="486"/>
      <c r="GTG24" s="486"/>
      <c r="GTH24" s="486"/>
      <c r="GTI24" s="486"/>
      <c r="GTJ24" s="486"/>
      <c r="GTK24" s="486"/>
      <c r="GTL24" s="486"/>
      <c r="GTM24" s="486"/>
      <c r="GTN24" s="486"/>
      <c r="GTO24" s="486"/>
      <c r="GTP24" s="486"/>
      <c r="GTQ24" s="486"/>
      <c r="GTR24" s="486"/>
      <c r="GTS24" s="486"/>
      <c r="GTT24" s="486"/>
      <c r="GTU24" s="486"/>
      <c r="GTV24" s="486"/>
      <c r="GTW24" s="486"/>
      <c r="GTX24" s="486"/>
      <c r="GTY24" s="486"/>
      <c r="GTZ24" s="486"/>
      <c r="GUA24" s="486"/>
      <c r="GUB24" s="486"/>
      <c r="GUC24" s="486"/>
      <c r="GUD24" s="486"/>
      <c r="GUE24" s="486"/>
      <c r="GUF24" s="486"/>
      <c r="GUG24" s="486"/>
      <c r="GUH24" s="486"/>
      <c r="GUI24" s="486"/>
      <c r="GUJ24" s="486"/>
      <c r="GUK24" s="486"/>
      <c r="GUL24" s="486"/>
      <c r="GUM24" s="486"/>
      <c r="GUN24" s="486"/>
      <c r="GUO24" s="486"/>
      <c r="GUP24" s="486"/>
      <c r="GUQ24" s="486"/>
      <c r="GUR24" s="486"/>
      <c r="GUS24" s="486"/>
      <c r="GUT24" s="486"/>
      <c r="GUU24" s="486"/>
      <c r="GUV24" s="486"/>
      <c r="GUW24" s="486"/>
      <c r="GUX24" s="486"/>
      <c r="GUY24" s="486"/>
      <c r="GUZ24" s="486"/>
      <c r="GVA24" s="486"/>
      <c r="GVB24" s="486"/>
      <c r="GVC24" s="486"/>
      <c r="GVD24" s="486"/>
      <c r="GVE24" s="486"/>
      <c r="GVF24" s="486"/>
      <c r="GVG24" s="486"/>
      <c r="GVH24" s="486"/>
      <c r="GVI24" s="486"/>
      <c r="GVJ24" s="486"/>
      <c r="GVK24" s="486"/>
      <c r="GVL24" s="486"/>
      <c r="GVM24" s="486"/>
      <c r="GVN24" s="486"/>
      <c r="GVO24" s="486"/>
      <c r="GVP24" s="486"/>
      <c r="GVQ24" s="486"/>
      <c r="GVR24" s="486"/>
      <c r="GVS24" s="486"/>
      <c r="GVT24" s="486"/>
      <c r="GVU24" s="486"/>
      <c r="GVV24" s="486"/>
      <c r="GVW24" s="486"/>
      <c r="GVX24" s="486"/>
      <c r="GVY24" s="486"/>
      <c r="GVZ24" s="486"/>
      <c r="GWA24" s="486"/>
      <c r="GWB24" s="486"/>
      <c r="GWC24" s="486"/>
      <c r="GWD24" s="486"/>
      <c r="GWE24" s="486"/>
      <c r="GWF24" s="486"/>
      <c r="GWG24" s="486"/>
      <c r="GWH24" s="486"/>
      <c r="GWI24" s="486"/>
      <c r="GWJ24" s="486"/>
      <c r="GWK24" s="486"/>
      <c r="GWL24" s="486"/>
      <c r="GWM24" s="486"/>
      <c r="GWN24" s="486"/>
      <c r="GWO24" s="486"/>
      <c r="GWP24" s="486"/>
      <c r="GWQ24" s="486"/>
      <c r="GWR24" s="486"/>
      <c r="GWS24" s="486"/>
      <c r="GWT24" s="486"/>
      <c r="GWU24" s="486"/>
      <c r="GWV24" s="486"/>
      <c r="GWW24" s="486"/>
      <c r="GWX24" s="486"/>
      <c r="GWY24" s="486"/>
      <c r="GWZ24" s="486"/>
      <c r="GXA24" s="486"/>
      <c r="GXB24" s="486"/>
      <c r="GXC24" s="486"/>
      <c r="GXD24" s="486"/>
      <c r="GXE24" s="486"/>
      <c r="GXF24" s="486"/>
      <c r="GXG24" s="486"/>
      <c r="GXH24" s="486"/>
      <c r="GXI24" s="486"/>
      <c r="GXJ24" s="486"/>
      <c r="GXK24" s="486"/>
      <c r="GXL24" s="486"/>
      <c r="GXM24" s="486"/>
      <c r="GXN24" s="486"/>
      <c r="GXO24" s="486"/>
      <c r="GXP24" s="486"/>
      <c r="GXQ24" s="486"/>
      <c r="GXR24" s="486"/>
      <c r="GXS24" s="486"/>
      <c r="GXT24" s="486"/>
      <c r="GXU24" s="486"/>
      <c r="GXV24" s="486"/>
      <c r="GXW24" s="486"/>
      <c r="GXX24" s="486"/>
      <c r="GXY24" s="486"/>
      <c r="GXZ24" s="486"/>
      <c r="GYA24" s="486"/>
      <c r="GYB24" s="486"/>
      <c r="GYC24" s="486"/>
      <c r="GYD24" s="486"/>
      <c r="GYE24" s="486"/>
      <c r="GYF24" s="486"/>
      <c r="GYG24" s="486"/>
      <c r="GYH24" s="486"/>
      <c r="GYI24" s="486"/>
      <c r="GYJ24" s="486"/>
      <c r="GYK24" s="486"/>
      <c r="GYL24" s="486"/>
      <c r="GYM24" s="486"/>
      <c r="GYN24" s="486"/>
      <c r="GYO24" s="486"/>
      <c r="GYP24" s="486"/>
      <c r="GYQ24" s="486"/>
      <c r="GYR24" s="486"/>
      <c r="GYS24" s="486"/>
      <c r="GYT24" s="486"/>
      <c r="GYU24" s="486"/>
      <c r="GYV24" s="486"/>
      <c r="GYW24" s="486"/>
      <c r="GYX24" s="486"/>
      <c r="GYY24" s="486"/>
      <c r="GYZ24" s="486"/>
      <c r="GZA24" s="486"/>
      <c r="GZB24" s="486"/>
      <c r="GZC24" s="486"/>
      <c r="GZD24" s="486"/>
      <c r="GZE24" s="486"/>
      <c r="GZF24" s="486"/>
      <c r="GZG24" s="486"/>
      <c r="GZH24" s="486"/>
      <c r="GZI24" s="486"/>
      <c r="GZJ24" s="486"/>
      <c r="GZK24" s="486"/>
      <c r="GZL24" s="486"/>
      <c r="GZM24" s="486"/>
      <c r="GZN24" s="486"/>
      <c r="GZO24" s="486"/>
      <c r="GZP24" s="486"/>
      <c r="GZQ24" s="486"/>
      <c r="GZR24" s="486"/>
      <c r="GZS24" s="486"/>
      <c r="GZT24" s="486"/>
      <c r="GZU24" s="486"/>
      <c r="GZV24" s="486"/>
      <c r="GZW24" s="486"/>
      <c r="GZX24" s="486"/>
      <c r="GZY24" s="486"/>
      <c r="GZZ24" s="486"/>
      <c r="HAA24" s="486"/>
      <c r="HAB24" s="486"/>
      <c r="HAC24" s="486"/>
      <c r="HAD24" s="486"/>
      <c r="HAE24" s="486"/>
      <c r="HAF24" s="486"/>
      <c r="HAG24" s="486"/>
      <c r="HAH24" s="486"/>
      <c r="HAI24" s="486"/>
      <c r="HAJ24" s="486"/>
      <c r="HAK24" s="486"/>
      <c r="HAL24" s="486"/>
      <c r="HAM24" s="486"/>
      <c r="HAN24" s="486"/>
      <c r="HAO24" s="486"/>
      <c r="HAP24" s="486"/>
      <c r="HAQ24" s="486"/>
      <c r="HAR24" s="486"/>
      <c r="HAS24" s="486"/>
      <c r="HAT24" s="486"/>
      <c r="HAU24" s="486"/>
      <c r="HAV24" s="486"/>
      <c r="HAW24" s="486"/>
      <c r="HAX24" s="486"/>
      <c r="HAY24" s="486"/>
      <c r="HAZ24" s="486"/>
      <c r="HBA24" s="486"/>
      <c r="HBB24" s="486"/>
      <c r="HBC24" s="486"/>
      <c r="HBD24" s="486"/>
      <c r="HBE24" s="486"/>
      <c r="HBF24" s="486"/>
      <c r="HBG24" s="486"/>
      <c r="HBH24" s="486"/>
      <c r="HBI24" s="486"/>
      <c r="HBJ24" s="486"/>
      <c r="HBK24" s="486"/>
      <c r="HBL24" s="486"/>
      <c r="HBM24" s="486"/>
      <c r="HBN24" s="486"/>
      <c r="HBO24" s="486"/>
      <c r="HBP24" s="486"/>
      <c r="HBQ24" s="486"/>
      <c r="HBR24" s="486"/>
      <c r="HBS24" s="486"/>
      <c r="HBT24" s="486"/>
      <c r="HBU24" s="486"/>
      <c r="HBV24" s="486"/>
      <c r="HBW24" s="486"/>
      <c r="HBX24" s="486"/>
      <c r="HBY24" s="486"/>
      <c r="HBZ24" s="486"/>
      <c r="HCA24" s="486"/>
      <c r="HCB24" s="486"/>
      <c r="HCC24" s="486"/>
      <c r="HCD24" s="486"/>
      <c r="HCE24" s="486"/>
      <c r="HCF24" s="486"/>
      <c r="HCG24" s="486"/>
      <c r="HCH24" s="486"/>
      <c r="HCI24" s="486"/>
      <c r="HCJ24" s="486"/>
      <c r="HCK24" s="486"/>
      <c r="HCL24" s="486"/>
      <c r="HCM24" s="486"/>
      <c r="HCN24" s="486"/>
      <c r="HCO24" s="486"/>
      <c r="HCP24" s="486"/>
      <c r="HCQ24" s="486"/>
      <c r="HCR24" s="486"/>
      <c r="HCS24" s="486"/>
      <c r="HCT24" s="486"/>
      <c r="HCU24" s="486"/>
      <c r="HCV24" s="486"/>
      <c r="HCW24" s="486"/>
      <c r="HCX24" s="486"/>
      <c r="HCY24" s="486"/>
      <c r="HCZ24" s="486"/>
      <c r="HDA24" s="486"/>
      <c r="HDB24" s="486"/>
      <c r="HDC24" s="486"/>
      <c r="HDD24" s="486"/>
      <c r="HDE24" s="486"/>
      <c r="HDF24" s="486"/>
      <c r="HDG24" s="486"/>
      <c r="HDH24" s="486"/>
      <c r="HDI24" s="486"/>
      <c r="HDJ24" s="486"/>
      <c r="HDK24" s="486"/>
      <c r="HDL24" s="486"/>
      <c r="HDM24" s="486"/>
      <c r="HDN24" s="486"/>
      <c r="HDO24" s="486"/>
      <c r="HDP24" s="486"/>
      <c r="HDQ24" s="486"/>
      <c r="HDR24" s="486"/>
      <c r="HDS24" s="486"/>
      <c r="HDT24" s="486"/>
      <c r="HDU24" s="486"/>
      <c r="HDV24" s="486"/>
      <c r="HDW24" s="486"/>
      <c r="HDX24" s="486"/>
      <c r="HDY24" s="486"/>
      <c r="HDZ24" s="486"/>
      <c r="HEA24" s="486"/>
      <c r="HEB24" s="486"/>
      <c r="HEC24" s="486"/>
      <c r="HED24" s="486"/>
      <c r="HEE24" s="486"/>
      <c r="HEF24" s="486"/>
      <c r="HEG24" s="486"/>
      <c r="HEH24" s="486"/>
      <c r="HEI24" s="486"/>
      <c r="HEJ24" s="486"/>
      <c r="HEK24" s="486"/>
      <c r="HEL24" s="486"/>
      <c r="HEM24" s="486"/>
      <c r="HEN24" s="486"/>
      <c r="HEO24" s="486"/>
      <c r="HEP24" s="486"/>
      <c r="HEQ24" s="486"/>
      <c r="HER24" s="486"/>
      <c r="HES24" s="486"/>
      <c r="HET24" s="486"/>
      <c r="HEU24" s="486"/>
      <c r="HEV24" s="486"/>
      <c r="HEW24" s="486"/>
      <c r="HEX24" s="486"/>
      <c r="HEY24" s="486"/>
      <c r="HEZ24" s="486"/>
      <c r="HFA24" s="486"/>
      <c r="HFB24" s="486"/>
      <c r="HFC24" s="486"/>
      <c r="HFD24" s="486"/>
      <c r="HFE24" s="486"/>
      <c r="HFF24" s="486"/>
      <c r="HFG24" s="486"/>
      <c r="HFH24" s="486"/>
      <c r="HFI24" s="486"/>
      <c r="HFJ24" s="486"/>
      <c r="HFK24" s="486"/>
      <c r="HFL24" s="486"/>
      <c r="HFM24" s="486"/>
      <c r="HFN24" s="486"/>
      <c r="HFO24" s="486"/>
      <c r="HFP24" s="486"/>
      <c r="HFQ24" s="486"/>
      <c r="HFR24" s="486"/>
      <c r="HFS24" s="486"/>
      <c r="HFT24" s="486"/>
      <c r="HFU24" s="486"/>
      <c r="HFV24" s="486"/>
      <c r="HFW24" s="486"/>
      <c r="HFX24" s="486"/>
      <c r="HFY24" s="486"/>
      <c r="HFZ24" s="486"/>
      <c r="HGA24" s="486"/>
      <c r="HGB24" s="486"/>
      <c r="HGC24" s="486"/>
      <c r="HGD24" s="486"/>
      <c r="HGE24" s="486"/>
      <c r="HGF24" s="486"/>
      <c r="HGG24" s="486"/>
      <c r="HGH24" s="486"/>
      <c r="HGI24" s="486"/>
      <c r="HGJ24" s="486"/>
      <c r="HGK24" s="486"/>
      <c r="HGL24" s="486"/>
      <c r="HGM24" s="486"/>
      <c r="HGN24" s="486"/>
      <c r="HGO24" s="486"/>
      <c r="HGP24" s="486"/>
      <c r="HGQ24" s="486"/>
      <c r="HGR24" s="486"/>
      <c r="HGS24" s="486"/>
      <c r="HGT24" s="486"/>
      <c r="HGU24" s="486"/>
      <c r="HGV24" s="486"/>
      <c r="HGW24" s="486"/>
      <c r="HGX24" s="486"/>
      <c r="HGY24" s="486"/>
      <c r="HGZ24" s="486"/>
      <c r="HHA24" s="486"/>
      <c r="HHB24" s="486"/>
      <c r="HHC24" s="486"/>
      <c r="HHD24" s="486"/>
      <c r="HHE24" s="486"/>
      <c r="HHF24" s="486"/>
      <c r="HHG24" s="486"/>
      <c r="HHH24" s="486"/>
      <c r="HHI24" s="486"/>
      <c r="HHJ24" s="486"/>
      <c r="HHK24" s="486"/>
      <c r="HHL24" s="486"/>
      <c r="HHM24" s="486"/>
      <c r="HHN24" s="486"/>
      <c r="HHO24" s="486"/>
      <c r="HHP24" s="486"/>
      <c r="HHQ24" s="486"/>
      <c r="HHR24" s="486"/>
      <c r="HHS24" s="486"/>
      <c r="HHT24" s="486"/>
      <c r="HHU24" s="486"/>
      <c r="HHV24" s="486"/>
      <c r="HHW24" s="486"/>
      <c r="HHX24" s="486"/>
      <c r="HHY24" s="486"/>
      <c r="HHZ24" s="486"/>
      <c r="HIA24" s="486"/>
      <c r="HIB24" s="486"/>
      <c r="HIC24" s="486"/>
      <c r="HID24" s="486"/>
      <c r="HIE24" s="486"/>
      <c r="HIF24" s="486"/>
      <c r="HIG24" s="486"/>
      <c r="HIH24" s="486"/>
      <c r="HII24" s="486"/>
      <c r="HIJ24" s="486"/>
      <c r="HIK24" s="486"/>
      <c r="HIL24" s="486"/>
      <c r="HIM24" s="486"/>
      <c r="HIN24" s="486"/>
      <c r="HIO24" s="486"/>
      <c r="HIP24" s="486"/>
      <c r="HIQ24" s="486"/>
      <c r="HIR24" s="486"/>
      <c r="HIS24" s="486"/>
      <c r="HIT24" s="486"/>
      <c r="HIU24" s="486"/>
      <c r="HIV24" s="486"/>
      <c r="HIW24" s="486"/>
      <c r="HIX24" s="486"/>
      <c r="HIY24" s="486"/>
      <c r="HIZ24" s="486"/>
      <c r="HJA24" s="486"/>
      <c r="HJB24" s="486"/>
      <c r="HJC24" s="486"/>
      <c r="HJD24" s="486"/>
      <c r="HJE24" s="486"/>
      <c r="HJF24" s="486"/>
      <c r="HJG24" s="486"/>
      <c r="HJH24" s="486"/>
      <c r="HJI24" s="486"/>
      <c r="HJJ24" s="486"/>
      <c r="HJK24" s="486"/>
      <c r="HJL24" s="486"/>
      <c r="HJM24" s="486"/>
      <c r="HJN24" s="486"/>
      <c r="HJO24" s="486"/>
      <c r="HJP24" s="486"/>
      <c r="HJQ24" s="486"/>
      <c r="HJR24" s="486"/>
      <c r="HJS24" s="486"/>
      <c r="HJT24" s="486"/>
      <c r="HJU24" s="486"/>
      <c r="HJV24" s="486"/>
      <c r="HJW24" s="486"/>
      <c r="HJX24" s="486"/>
      <c r="HJY24" s="486"/>
      <c r="HJZ24" s="486"/>
      <c r="HKA24" s="486"/>
      <c r="HKB24" s="486"/>
      <c r="HKC24" s="486"/>
      <c r="HKD24" s="486"/>
      <c r="HKE24" s="486"/>
      <c r="HKF24" s="486"/>
      <c r="HKG24" s="486"/>
      <c r="HKH24" s="486"/>
      <c r="HKI24" s="486"/>
      <c r="HKJ24" s="486"/>
      <c r="HKK24" s="486"/>
      <c r="HKL24" s="486"/>
      <c r="HKM24" s="486"/>
      <c r="HKN24" s="486"/>
      <c r="HKO24" s="486"/>
      <c r="HKP24" s="486"/>
      <c r="HKQ24" s="486"/>
      <c r="HKR24" s="486"/>
      <c r="HKS24" s="486"/>
      <c r="HKT24" s="486"/>
      <c r="HKU24" s="486"/>
      <c r="HKV24" s="486"/>
      <c r="HKW24" s="486"/>
      <c r="HKX24" s="486"/>
      <c r="HKY24" s="486"/>
      <c r="HKZ24" s="486"/>
      <c r="HLA24" s="486"/>
      <c r="HLB24" s="486"/>
      <c r="HLC24" s="486"/>
      <c r="HLD24" s="486"/>
      <c r="HLE24" s="486"/>
      <c r="HLF24" s="486"/>
      <c r="HLG24" s="486"/>
      <c r="HLH24" s="486"/>
      <c r="HLI24" s="486"/>
      <c r="HLJ24" s="486"/>
      <c r="HLK24" s="486"/>
      <c r="HLL24" s="486"/>
      <c r="HLM24" s="486"/>
      <c r="HLN24" s="486"/>
      <c r="HLO24" s="486"/>
      <c r="HLP24" s="486"/>
      <c r="HLQ24" s="486"/>
      <c r="HLR24" s="486"/>
      <c r="HLS24" s="486"/>
      <c r="HLT24" s="486"/>
      <c r="HLU24" s="486"/>
      <c r="HLV24" s="486"/>
      <c r="HLW24" s="486"/>
      <c r="HLX24" s="486"/>
      <c r="HLY24" s="486"/>
      <c r="HLZ24" s="486"/>
      <c r="HMA24" s="486"/>
      <c r="HMB24" s="486"/>
      <c r="HMC24" s="486"/>
      <c r="HMD24" s="486"/>
      <c r="HME24" s="486"/>
      <c r="HMF24" s="486"/>
      <c r="HMG24" s="486"/>
      <c r="HMH24" s="486"/>
      <c r="HMI24" s="486"/>
      <c r="HMJ24" s="486"/>
      <c r="HMK24" s="486"/>
      <c r="HML24" s="486"/>
      <c r="HMM24" s="486"/>
      <c r="HMN24" s="486"/>
      <c r="HMO24" s="486"/>
      <c r="HMP24" s="486"/>
      <c r="HMQ24" s="486"/>
      <c r="HMR24" s="486"/>
      <c r="HMS24" s="486"/>
      <c r="HMT24" s="486"/>
      <c r="HMU24" s="486"/>
      <c r="HMV24" s="486"/>
      <c r="HMW24" s="486"/>
      <c r="HMX24" s="486"/>
      <c r="HMY24" s="486"/>
      <c r="HMZ24" s="486"/>
      <c r="HNA24" s="486"/>
      <c r="HNB24" s="486"/>
      <c r="HNC24" s="486"/>
      <c r="HND24" s="486"/>
      <c r="HNE24" s="486"/>
      <c r="HNF24" s="486"/>
      <c r="HNG24" s="486"/>
      <c r="HNH24" s="486"/>
      <c r="HNI24" s="486"/>
      <c r="HNJ24" s="486"/>
      <c r="HNK24" s="486"/>
      <c r="HNL24" s="486"/>
      <c r="HNM24" s="486"/>
      <c r="HNN24" s="486"/>
      <c r="HNO24" s="486"/>
      <c r="HNP24" s="486"/>
      <c r="HNQ24" s="486"/>
      <c r="HNR24" s="486"/>
      <c r="HNS24" s="486"/>
      <c r="HNT24" s="486"/>
      <c r="HNU24" s="486"/>
      <c r="HNV24" s="486"/>
      <c r="HNW24" s="486"/>
      <c r="HNX24" s="486"/>
      <c r="HNY24" s="486"/>
      <c r="HNZ24" s="486"/>
      <c r="HOA24" s="486"/>
      <c r="HOB24" s="486"/>
      <c r="HOC24" s="486"/>
      <c r="HOD24" s="486"/>
      <c r="HOE24" s="486"/>
      <c r="HOF24" s="486"/>
      <c r="HOG24" s="486"/>
      <c r="HOH24" s="486"/>
      <c r="HOI24" s="486"/>
      <c r="HOJ24" s="486"/>
      <c r="HOK24" s="486"/>
      <c r="HOL24" s="486"/>
      <c r="HOM24" s="486"/>
      <c r="HON24" s="486"/>
      <c r="HOO24" s="486"/>
      <c r="HOP24" s="486"/>
      <c r="HOQ24" s="486"/>
      <c r="HOR24" s="486"/>
      <c r="HOS24" s="486"/>
      <c r="HOT24" s="486"/>
      <c r="HOU24" s="486"/>
      <c r="HOV24" s="486"/>
      <c r="HOW24" s="486"/>
      <c r="HOX24" s="486"/>
      <c r="HOY24" s="486"/>
      <c r="HOZ24" s="486"/>
      <c r="HPA24" s="486"/>
      <c r="HPB24" s="486"/>
      <c r="HPC24" s="486"/>
      <c r="HPD24" s="486"/>
      <c r="HPE24" s="486"/>
      <c r="HPF24" s="486"/>
      <c r="HPG24" s="486"/>
      <c r="HPH24" s="486"/>
      <c r="HPI24" s="486"/>
      <c r="HPJ24" s="486"/>
      <c r="HPK24" s="486"/>
      <c r="HPL24" s="486"/>
      <c r="HPM24" s="486"/>
      <c r="HPN24" s="486"/>
      <c r="HPO24" s="486"/>
      <c r="HPP24" s="486"/>
      <c r="HPQ24" s="486"/>
      <c r="HPR24" s="486"/>
      <c r="HPS24" s="486"/>
      <c r="HPT24" s="486"/>
      <c r="HPU24" s="486"/>
      <c r="HPV24" s="486"/>
      <c r="HPW24" s="486"/>
      <c r="HPX24" s="486"/>
      <c r="HPY24" s="486"/>
      <c r="HPZ24" s="486"/>
      <c r="HQA24" s="486"/>
      <c r="HQB24" s="486"/>
      <c r="HQC24" s="486"/>
      <c r="HQD24" s="486"/>
      <c r="HQE24" s="486"/>
      <c r="HQF24" s="486"/>
      <c r="HQG24" s="486"/>
      <c r="HQH24" s="486"/>
      <c r="HQI24" s="486"/>
      <c r="HQJ24" s="486"/>
      <c r="HQK24" s="486"/>
      <c r="HQL24" s="486"/>
      <c r="HQM24" s="486"/>
      <c r="HQN24" s="486"/>
      <c r="HQO24" s="486"/>
      <c r="HQP24" s="486"/>
      <c r="HQQ24" s="486"/>
      <c r="HQR24" s="486"/>
      <c r="HQS24" s="486"/>
      <c r="HQT24" s="486"/>
      <c r="HQU24" s="486"/>
      <c r="HQV24" s="486"/>
      <c r="HQW24" s="486"/>
      <c r="HQX24" s="486"/>
      <c r="HQY24" s="486"/>
      <c r="HQZ24" s="486"/>
      <c r="HRA24" s="486"/>
      <c r="HRB24" s="486"/>
      <c r="HRC24" s="486"/>
      <c r="HRD24" s="486"/>
      <c r="HRE24" s="486"/>
      <c r="HRF24" s="486"/>
      <c r="HRG24" s="486"/>
      <c r="HRH24" s="486"/>
      <c r="HRI24" s="486"/>
      <c r="HRJ24" s="486"/>
      <c r="HRK24" s="486"/>
      <c r="HRL24" s="486"/>
      <c r="HRM24" s="486"/>
      <c r="HRN24" s="486"/>
      <c r="HRO24" s="486"/>
      <c r="HRP24" s="486"/>
      <c r="HRQ24" s="486"/>
      <c r="HRR24" s="486"/>
      <c r="HRS24" s="486"/>
      <c r="HRT24" s="486"/>
      <c r="HRU24" s="486"/>
      <c r="HRV24" s="486"/>
      <c r="HRW24" s="486"/>
      <c r="HRX24" s="486"/>
      <c r="HRY24" s="486"/>
      <c r="HRZ24" s="486"/>
      <c r="HSA24" s="486"/>
      <c r="HSB24" s="486"/>
      <c r="HSC24" s="486"/>
      <c r="HSD24" s="486"/>
      <c r="HSE24" s="486"/>
      <c r="HSF24" s="486"/>
      <c r="HSG24" s="486"/>
      <c r="HSH24" s="486"/>
      <c r="HSI24" s="486"/>
      <c r="HSJ24" s="486"/>
      <c r="HSK24" s="486"/>
      <c r="HSL24" s="486"/>
      <c r="HSM24" s="486"/>
      <c r="HSN24" s="486"/>
      <c r="HSO24" s="486"/>
      <c r="HSP24" s="486"/>
      <c r="HSQ24" s="486"/>
      <c r="HSR24" s="486"/>
      <c r="HSS24" s="486"/>
      <c r="HST24" s="486"/>
      <c r="HSU24" s="486"/>
      <c r="HSV24" s="486"/>
      <c r="HSW24" s="486"/>
      <c r="HSX24" s="486"/>
      <c r="HSY24" s="486"/>
      <c r="HSZ24" s="486"/>
      <c r="HTA24" s="486"/>
      <c r="HTB24" s="486"/>
      <c r="HTC24" s="486"/>
      <c r="HTD24" s="486"/>
      <c r="HTE24" s="486"/>
      <c r="HTF24" s="486"/>
      <c r="HTG24" s="486"/>
      <c r="HTH24" s="486"/>
      <c r="HTI24" s="486"/>
      <c r="HTJ24" s="486"/>
      <c r="HTK24" s="486"/>
      <c r="HTL24" s="486"/>
      <c r="HTM24" s="486"/>
      <c r="HTN24" s="486"/>
      <c r="HTO24" s="486"/>
      <c r="HTP24" s="486"/>
      <c r="HTQ24" s="486"/>
      <c r="HTR24" s="486"/>
      <c r="HTS24" s="486"/>
      <c r="HTT24" s="486"/>
      <c r="HTU24" s="486"/>
      <c r="HTV24" s="486"/>
      <c r="HTW24" s="486"/>
      <c r="HTX24" s="486"/>
      <c r="HTY24" s="486"/>
      <c r="HTZ24" s="486"/>
      <c r="HUA24" s="486"/>
      <c r="HUB24" s="486"/>
      <c r="HUC24" s="486"/>
      <c r="HUD24" s="486"/>
      <c r="HUE24" s="486"/>
      <c r="HUF24" s="486"/>
      <c r="HUG24" s="486"/>
      <c r="HUH24" s="486"/>
      <c r="HUI24" s="486"/>
      <c r="HUJ24" s="486"/>
      <c r="HUK24" s="486"/>
      <c r="HUL24" s="486"/>
      <c r="HUM24" s="486"/>
      <c r="HUN24" s="486"/>
      <c r="HUO24" s="486"/>
      <c r="HUP24" s="486"/>
      <c r="HUQ24" s="486"/>
      <c r="HUR24" s="486"/>
      <c r="HUS24" s="486"/>
      <c r="HUT24" s="486"/>
      <c r="HUU24" s="486"/>
      <c r="HUV24" s="486"/>
      <c r="HUW24" s="486"/>
      <c r="HUX24" s="486"/>
      <c r="HUY24" s="486"/>
      <c r="HUZ24" s="486"/>
      <c r="HVA24" s="486"/>
      <c r="HVB24" s="486"/>
      <c r="HVC24" s="486"/>
      <c r="HVD24" s="486"/>
      <c r="HVE24" s="486"/>
      <c r="HVF24" s="486"/>
      <c r="HVG24" s="486"/>
      <c r="HVH24" s="486"/>
      <c r="HVI24" s="486"/>
      <c r="HVJ24" s="486"/>
      <c r="HVK24" s="486"/>
      <c r="HVL24" s="486"/>
      <c r="HVM24" s="486"/>
      <c r="HVN24" s="486"/>
      <c r="HVO24" s="486"/>
      <c r="HVP24" s="486"/>
      <c r="HVQ24" s="486"/>
      <c r="HVR24" s="486"/>
      <c r="HVS24" s="486"/>
      <c r="HVT24" s="486"/>
      <c r="HVU24" s="486"/>
      <c r="HVV24" s="486"/>
      <c r="HVW24" s="486"/>
      <c r="HVX24" s="486"/>
      <c r="HVY24" s="486"/>
      <c r="HVZ24" s="486"/>
      <c r="HWA24" s="486"/>
      <c r="HWB24" s="486"/>
      <c r="HWC24" s="486"/>
      <c r="HWD24" s="486"/>
      <c r="HWE24" s="486"/>
      <c r="HWF24" s="486"/>
      <c r="HWG24" s="486"/>
      <c r="HWH24" s="486"/>
      <c r="HWI24" s="486"/>
      <c r="HWJ24" s="486"/>
      <c r="HWK24" s="486"/>
      <c r="HWL24" s="486"/>
      <c r="HWM24" s="486"/>
      <c r="HWN24" s="486"/>
      <c r="HWO24" s="486"/>
      <c r="HWP24" s="486"/>
      <c r="HWQ24" s="486"/>
      <c r="HWR24" s="486"/>
      <c r="HWS24" s="486"/>
      <c r="HWT24" s="486"/>
      <c r="HWU24" s="486"/>
      <c r="HWV24" s="486"/>
      <c r="HWW24" s="486"/>
      <c r="HWX24" s="486"/>
      <c r="HWY24" s="486"/>
      <c r="HWZ24" s="486"/>
      <c r="HXA24" s="486"/>
      <c r="HXB24" s="486"/>
      <c r="HXC24" s="486"/>
      <c r="HXD24" s="486"/>
      <c r="HXE24" s="486"/>
      <c r="HXF24" s="486"/>
      <c r="HXG24" s="486"/>
      <c r="HXH24" s="486"/>
      <c r="HXI24" s="486"/>
      <c r="HXJ24" s="486"/>
      <c r="HXK24" s="486"/>
      <c r="HXL24" s="486"/>
      <c r="HXM24" s="486"/>
      <c r="HXN24" s="486"/>
      <c r="HXO24" s="486"/>
      <c r="HXP24" s="486"/>
      <c r="HXQ24" s="486"/>
      <c r="HXR24" s="486"/>
      <c r="HXS24" s="486"/>
      <c r="HXT24" s="486"/>
      <c r="HXU24" s="486"/>
      <c r="HXV24" s="486"/>
      <c r="HXW24" s="486"/>
      <c r="HXX24" s="486"/>
      <c r="HXY24" s="486"/>
      <c r="HXZ24" s="486"/>
      <c r="HYA24" s="486"/>
      <c r="HYB24" s="486"/>
      <c r="HYC24" s="486"/>
      <c r="HYD24" s="486"/>
      <c r="HYE24" s="486"/>
      <c r="HYF24" s="486"/>
      <c r="HYG24" s="486"/>
      <c r="HYH24" s="486"/>
      <c r="HYI24" s="486"/>
      <c r="HYJ24" s="486"/>
      <c r="HYK24" s="486"/>
      <c r="HYL24" s="486"/>
      <c r="HYM24" s="486"/>
      <c r="HYN24" s="486"/>
      <c r="HYO24" s="486"/>
      <c r="HYP24" s="486"/>
      <c r="HYQ24" s="486"/>
      <c r="HYR24" s="486"/>
      <c r="HYS24" s="486"/>
      <c r="HYT24" s="486"/>
      <c r="HYU24" s="486"/>
      <c r="HYV24" s="486"/>
      <c r="HYW24" s="486"/>
      <c r="HYX24" s="486"/>
      <c r="HYY24" s="486"/>
      <c r="HYZ24" s="486"/>
      <c r="HZA24" s="486"/>
      <c r="HZB24" s="486"/>
      <c r="HZC24" s="486"/>
      <c r="HZD24" s="486"/>
      <c r="HZE24" s="486"/>
      <c r="HZF24" s="486"/>
      <c r="HZG24" s="486"/>
      <c r="HZH24" s="486"/>
      <c r="HZI24" s="486"/>
      <c r="HZJ24" s="486"/>
      <c r="HZK24" s="486"/>
      <c r="HZL24" s="486"/>
      <c r="HZM24" s="486"/>
      <c r="HZN24" s="486"/>
      <c r="HZO24" s="486"/>
      <c r="HZP24" s="486"/>
      <c r="HZQ24" s="486"/>
      <c r="HZR24" s="486"/>
      <c r="HZS24" s="486"/>
      <c r="HZT24" s="486"/>
      <c r="HZU24" s="486"/>
      <c r="HZV24" s="486"/>
      <c r="HZW24" s="486"/>
      <c r="HZX24" s="486"/>
      <c r="HZY24" s="486"/>
      <c r="HZZ24" s="486"/>
      <c r="IAA24" s="486"/>
      <c r="IAB24" s="486"/>
      <c r="IAC24" s="486"/>
      <c r="IAD24" s="486"/>
      <c r="IAE24" s="486"/>
      <c r="IAF24" s="486"/>
      <c r="IAG24" s="486"/>
      <c r="IAH24" s="486"/>
      <c r="IAI24" s="486"/>
      <c r="IAJ24" s="486"/>
      <c r="IAK24" s="486"/>
      <c r="IAL24" s="486"/>
      <c r="IAM24" s="486"/>
      <c r="IAN24" s="486"/>
      <c r="IAO24" s="486"/>
      <c r="IAP24" s="486"/>
      <c r="IAQ24" s="486"/>
      <c r="IAR24" s="486"/>
      <c r="IAS24" s="486"/>
      <c r="IAT24" s="486"/>
      <c r="IAU24" s="486"/>
      <c r="IAV24" s="486"/>
      <c r="IAW24" s="486"/>
      <c r="IAX24" s="486"/>
      <c r="IAY24" s="486"/>
      <c r="IAZ24" s="486"/>
      <c r="IBA24" s="486"/>
      <c r="IBB24" s="486"/>
      <c r="IBC24" s="486"/>
      <c r="IBD24" s="486"/>
      <c r="IBE24" s="486"/>
      <c r="IBF24" s="486"/>
      <c r="IBG24" s="486"/>
      <c r="IBH24" s="486"/>
      <c r="IBI24" s="486"/>
      <c r="IBJ24" s="486"/>
      <c r="IBK24" s="486"/>
      <c r="IBL24" s="486"/>
      <c r="IBM24" s="486"/>
      <c r="IBN24" s="486"/>
      <c r="IBO24" s="486"/>
      <c r="IBP24" s="486"/>
      <c r="IBQ24" s="486"/>
      <c r="IBR24" s="486"/>
      <c r="IBS24" s="486"/>
      <c r="IBT24" s="486"/>
      <c r="IBU24" s="486"/>
      <c r="IBV24" s="486"/>
      <c r="IBW24" s="486"/>
      <c r="IBX24" s="486"/>
      <c r="IBY24" s="486"/>
      <c r="IBZ24" s="486"/>
      <c r="ICA24" s="486"/>
      <c r="ICB24" s="486"/>
      <c r="ICC24" s="486"/>
      <c r="ICD24" s="486"/>
      <c r="ICE24" s="486"/>
      <c r="ICF24" s="486"/>
      <c r="ICG24" s="486"/>
      <c r="ICH24" s="486"/>
      <c r="ICI24" s="486"/>
      <c r="ICJ24" s="486"/>
      <c r="ICK24" s="486"/>
      <c r="ICL24" s="486"/>
      <c r="ICM24" s="486"/>
      <c r="ICN24" s="486"/>
      <c r="ICO24" s="486"/>
      <c r="ICP24" s="486"/>
      <c r="ICQ24" s="486"/>
      <c r="ICR24" s="486"/>
      <c r="ICS24" s="486"/>
      <c r="ICT24" s="486"/>
      <c r="ICU24" s="486"/>
      <c r="ICV24" s="486"/>
      <c r="ICW24" s="486"/>
      <c r="ICX24" s="486"/>
      <c r="ICY24" s="486"/>
      <c r="ICZ24" s="486"/>
      <c r="IDA24" s="486"/>
      <c r="IDB24" s="486"/>
      <c r="IDC24" s="486"/>
      <c r="IDD24" s="486"/>
      <c r="IDE24" s="486"/>
      <c r="IDF24" s="486"/>
      <c r="IDG24" s="486"/>
      <c r="IDH24" s="486"/>
      <c r="IDI24" s="486"/>
      <c r="IDJ24" s="486"/>
      <c r="IDK24" s="486"/>
      <c r="IDL24" s="486"/>
      <c r="IDM24" s="486"/>
      <c r="IDN24" s="486"/>
      <c r="IDO24" s="486"/>
      <c r="IDP24" s="486"/>
      <c r="IDQ24" s="486"/>
      <c r="IDR24" s="486"/>
      <c r="IDS24" s="486"/>
      <c r="IDT24" s="486"/>
      <c r="IDU24" s="486"/>
      <c r="IDV24" s="486"/>
      <c r="IDW24" s="486"/>
      <c r="IDX24" s="486"/>
      <c r="IDY24" s="486"/>
      <c r="IDZ24" s="486"/>
      <c r="IEA24" s="486"/>
      <c r="IEB24" s="486"/>
      <c r="IEC24" s="486"/>
      <c r="IED24" s="486"/>
      <c r="IEE24" s="486"/>
      <c r="IEF24" s="486"/>
      <c r="IEG24" s="486"/>
      <c r="IEH24" s="486"/>
      <c r="IEI24" s="486"/>
      <c r="IEJ24" s="486"/>
      <c r="IEK24" s="486"/>
      <c r="IEL24" s="486"/>
      <c r="IEM24" s="486"/>
      <c r="IEN24" s="486"/>
      <c r="IEO24" s="486"/>
      <c r="IEP24" s="486"/>
      <c r="IEQ24" s="486"/>
      <c r="IER24" s="486"/>
      <c r="IES24" s="486"/>
      <c r="IET24" s="486"/>
      <c r="IEU24" s="486"/>
      <c r="IEV24" s="486"/>
      <c r="IEW24" s="486"/>
      <c r="IEX24" s="486"/>
      <c r="IEY24" s="486"/>
      <c r="IEZ24" s="486"/>
      <c r="IFA24" s="486"/>
      <c r="IFB24" s="486"/>
      <c r="IFC24" s="486"/>
      <c r="IFD24" s="486"/>
      <c r="IFE24" s="486"/>
      <c r="IFF24" s="486"/>
      <c r="IFG24" s="486"/>
      <c r="IFH24" s="486"/>
      <c r="IFI24" s="486"/>
      <c r="IFJ24" s="486"/>
      <c r="IFK24" s="486"/>
      <c r="IFL24" s="486"/>
      <c r="IFM24" s="486"/>
      <c r="IFN24" s="486"/>
      <c r="IFO24" s="486"/>
      <c r="IFP24" s="486"/>
      <c r="IFQ24" s="486"/>
      <c r="IFR24" s="486"/>
      <c r="IFS24" s="486"/>
      <c r="IFT24" s="486"/>
      <c r="IFU24" s="486"/>
      <c r="IFV24" s="486"/>
      <c r="IFW24" s="486"/>
      <c r="IFX24" s="486"/>
      <c r="IFY24" s="486"/>
      <c r="IFZ24" s="486"/>
      <c r="IGA24" s="486"/>
      <c r="IGB24" s="486"/>
      <c r="IGC24" s="486"/>
      <c r="IGD24" s="486"/>
      <c r="IGE24" s="486"/>
      <c r="IGF24" s="486"/>
      <c r="IGG24" s="486"/>
      <c r="IGH24" s="486"/>
      <c r="IGI24" s="486"/>
      <c r="IGJ24" s="486"/>
      <c r="IGK24" s="486"/>
      <c r="IGL24" s="486"/>
      <c r="IGM24" s="486"/>
      <c r="IGN24" s="486"/>
      <c r="IGO24" s="486"/>
      <c r="IGP24" s="486"/>
      <c r="IGQ24" s="486"/>
      <c r="IGR24" s="486"/>
      <c r="IGS24" s="486"/>
      <c r="IGT24" s="486"/>
      <c r="IGU24" s="486"/>
      <c r="IGV24" s="486"/>
      <c r="IGW24" s="486"/>
      <c r="IGX24" s="486"/>
      <c r="IGY24" s="486"/>
      <c r="IGZ24" s="486"/>
      <c r="IHA24" s="486"/>
      <c r="IHB24" s="486"/>
      <c r="IHC24" s="486"/>
      <c r="IHD24" s="486"/>
      <c r="IHE24" s="486"/>
      <c r="IHF24" s="486"/>
      <c r="IHG24" s="486"/>
      <c r="IHH24" s="486"/>
      <c r="IHI24" s="486"/>
      <c r="IHJ24" s="486"/>
      <c r="IHK24" s="486"/>
      <c r="IHL24" s="486"/>
      <c r="IHM24" s="486"/>
      <c r="IHN24" s="486"/>
      <c r="IHO24" s="486"/>
      <c r="IHP24" s="486"/>
      <c r="IHQ24" s="486"/>
      <c r="IHR24" s="486"/>
      <c r="IHS24" s="486"/>
      <c r="IHT24" s="486"/>
      <c r="IHU24" s="486"/>
      <c r="IHV24" s="486"/>
      <c r="IHW24" s="486"/>
      <c r="IHX24" s="486"/>
      <c r="IHY24" s="486"/>
      <c r="IHZ24" s="486"/>
      <c r="IIA24" s="486"/>
      <c r="IIB24" s="486"/>
      <c r="IIC24" s="486"/>
      <c r="IID24" s="486"/>
      <c r="IIE24" s="486"/>
      <c r="IIF24" s="486"/>
      <c r="IIG24" s="486"/>
      <c r="IIH24" s="486"/>
      <c r="III24" s="486"/>
      <c r="IIJ24" s="486"/>
      <c r="IIK24" s="486"/>
      <c r="IIL24" s="486"/>
      <c r="IIM24" s="486"/>
      <c r="IIN24" s="486"/>
      <c r="IIO24" s="486"/>
      <c r="IIP24" s="486"/>
      <c r="IIQ24" s="486"/>
      <c r="IIR24" s="486"/>
      <c r="IIS24" s="486"/>
      <c r="IIT24" s="486"/>
      <c r="IIU24" s="486"/>
      <c r="IIV24" s="486"/>
      <c r="IIW24" s="486"/>
      <c r="IIX24" s="486"/>
      <c r="IIY24" s="486"/>
      <c r="IIZ24" s="486"/>
      <c r="IJA24" s="486"/>
      <c r="IJB24" s="486"/>
      <c r="IJC24" s="486"/>
      <c r="IJD24" s="486"/>
      <c r="IJE24" s="486"/>
      <c r="IJF24" s="486"/>
      <c r="IJG24" s="486"/>
      <c r="IJH24" s="486"/>
      <c r="IJI24" s="486"/>
      <c r="IJJ24" s="486"/>
      <c r="IJK24" s="486"/>
      <c r="IJL24" s="486"/>
      <c r="IJM24" s="486"/>
      <c r="IJN24" s="486"/>
      <c r="IJO24" s="486"/>
      <c r="IJP24" s="486"/>
      <c r="IJQ24" s="486"/>
      <c r="IJR24" s="486"/>
      <c r="IJS24" s="486"/>
      <c r="IJT24" s="486"/>
      <c r="IJU24" s="486"/>
      <c r="IJV24" s="486"/>
      <c r="IJW24" s="486"/>
      <c r="IJX24" s="486"/>
      <c r="IJY24" s="486"/>
      <c r="IJZ24" s="486"/>
      <c r="IKA24" s="486"/>
      <c r="IKB24" s="486"/>
      <c r="IKC24" s="486"/>
      <c r="IKD24" s="486"/>
      <c r="IKE24" s="486"/>
      <c r="IKF24" s="486"/>
      <c r="IKG24" s="486"/>
      <c r="IKH24" s="486"/>
      <c r="IKI24" s="486"/>
      <c r="IKJ24" s="486"/>
      <c r="IKK24" s="486"/>
      <c r="IKL24" s="486"/>
      <c r="IKM24" s="486"/>
      <c r="IKN24" s="486"/>
      <c r="IKO24" s="486"/>
      <c r="IKP24" s="486"/>
      <c r="IKQ24" s="486"/>
      <c r="IKR24" s="486"/>
      <c r="IKS24" s="486"/>
      <c r="IKT24" s="486"/>
      <c r="IKU24" s="486"/>
      <c r="IKV24" s="486"/>
      <c r="IKW24" s="486"/>
      <c r="IKX24" s="486"/>
      <c r="IKY24" s="486"/>
      <c r="IKZ24" s="486"/>
      <c r="ILA24" s="486"/>
      <c r="ILB24" s="486"/>
      <c r="ILC24" s="486"/>
      <c r="ILD24" s="486"/>
      <c r="ILE24" s="486"/>
      <c r="ILF24" s="486"/>
      <c r="ILG24" s="486"/>
      <c r="ILH24" s="486"/>
      <c r="ILI24" s="486"/>
      <c r="ILJ24" s="486"/>
      <c r="ILK24" s="486"/>
      <c r="ILL24" s="486"/>
      <c r="ILM24" s="486"/>
      <c r="ILN24" s="486"/>
      <c r="ILO24" s="486"/>
      <c r="ILP24" s="486"/>
      <c r="ILQ24" s="486"/>
      <c r="ILR24" s="486"/>
      <c r="ILS24" s="486"/>
      <c r="ILT24" s="486"/>
      <c r="ILU24" s="486"/>
      <c r="ILV24" s="486"/>
      <c r="ILW24" s="486"/>
      <c r="ILX24" s="486"/>
      <c r="ILY24" s="486"/>
      <c r="ILZ24" s="486"/>
      <c r="IMA24" s="486"/>
      <c r="IMB24" s="486"/>
      <c r="IMC24" s="486"/>
      <c r="IMD24" s="486"/>
      <c r="IME24" s="486"/>
      <c r="IMF24" s="486"/>
      <c r="IMG24" s="486"/>
      <c r="IMH24" s="486"/>
      <c r="IMI24" s="486"/>
      <c r="IMJ24" s="486"/>
      <c r="IMK24" s="486"/>
      <c r="IML24" s="486"/>
      <c r="IMM24" s="486"/>
      <c r="IMN24" s="486"/>
      <c r="IMO24" s="486"/>
      <c r="IMP24" s="486"/>
      <c r="IMQ24" s="486"/>
      <c r="IMR24" s="486"/>
      <c r="IMS24" s="486"/>
      <c r="IMT24" s="486"/>
      <c r="IMU24" s="486"/>
      <c r="IMV24" s="486"/>
      <c r="IMW24" s="486"/>
      <c r="IMX24" s="486"/>
      <c r="IMY24" s="486"/>
      <c r="IMZ24" s="486"/>
      <c r="INA24" s="486"/>
      <c r="INB24" s="486"/>
      <c r="INC24" s="486"/>
      <c r="IND24" s="486"/>
      <c r="INE24" s="486"/>
      <c r="INF24" s="486"/>
      <c r="ING24" s="486"/>
      <c r="INH24" s="486"/>
      <c r="INI24" s="486"/>
      <c r="INJ24" s="486"/>
      <c r="INK24" s="486"/>
      <c r="INL24" s="486"/>
      <c r="INM24" s="486"/>
      <c r="INN24" s="486"/>
      <c r="INO24" s="486"/>
      <c r="INP24" s="486"/>
      <c r="INQ24" s="486"/>
      <c r="INR24" s="486"/>
      <c r="INS24" s="486"/>
      <c r="INT24" s="486"/>
      <c r="INU24" s="486"/>
      <c r="INV24" s="486"/>
      <c r="INW24" s="486"/>
      <c r="INX24" s="486"/>
      <c r="INY24" s="486"/>
      <c r="INZ24" s="486"/>
      <c r="IOA24" s="486"/>
      <c r="IOB24" s="486"/>
      <c r="IOC24" s="486"/>
      <c r="IOD24" s="486"/>
      <c r="IOE24" s="486"/>
      <c r="IOF24" s="486"/>
      <c r="IOG24" s="486"/>
      <c r="IOH24" s="486"/>
      <c r="IOI24" s="486"/>
      <c r="IOJ24" s="486"/>
      <c r="IOK24" s="486"/>
      <c r="IOL24" s="486"/>
      <c r="IOM24" s="486"/>
      <c r="ION24" s="486"/>
      <c r="IOO24" s="486"/>
      <c r="IOP24" s="486"/>
      <c r="IOQ24" s="486"/>
      <c r="IOR24" s="486"/>
      <c r="IOS24" s="486"/>
      <c r="IOT24" s="486"/>
      <c r="IOU24" s="486"/>
      <c r="IOV24" s="486"/>
      <c r="IOW24" s="486"/>
      <c r="IOX24" s="486"/>
      <c r="IOY24" s="486"/>
      <c r="IOZ24" s="486"/>
      <c r="IPA24" s="486"/>
      <c r="IPB24" s="486"/>
      <c r="IPC24" s="486"/>
      <c r="IPD24" s="486"/>
      <c r="IPE24" s="486"/>
      <c r="IPF24" s="486"/>
      <c r="IPG24" s="486"/>
      <c r="IPH24" s="486"/>
      <c r="IPI24" s="486"/>
      <c r="IPJ24" s="486"/>
      <c r="IPK24" s="486"/>
      <c r="IPL24" s="486"/>
      <c r="IPM24" s="486"/>
      <c r="IPN24" s="486"/>
      <c r="IPO24" s="486"/>
      <c r="IPP24" s="486"/>
      <c r="IPQ24" s="486"/>
      <c r="IPR24" s="486"/>
      <c r="IPS24" s="486"/>
      <c r="IPT24" s="486"/>
      <c r="IPU24" s="486"/>
      <c r="IPV24" s="486"/>
      <c r="IPW24" s="486"/>
      <c r="IPX24" s="486"/>
      <c r="IPY24" s="486"/>
      <c r="IPZ24" s="486"/>
      <c r="IQA24" s="486"/>
      <c r="IQB24" s="486"/>
      <c r="IQC24" s="486"/>
      <c r="IQD24" s="486"/>
      <c r="IQE24" s="486"/>
      <c r="IQF24" s="486"/>
      <c r="IQG24" s="486"/>
      <c r="IQH24" s="486"/>
      <c r="IQI24" s="486"/>
      <c r="IQJ24" s="486"/>
      <c r="IQK24" s="486"/>
      <c r="IQL24" s="486"/>
      <c r="IQM24" s="486"/>
      <c r="IQN24" s="486"/>
      <c r="IQO24" s="486"/>
      <c r="IQP24" s="486"/>
      <c r="IQQ24" s="486"/>
      <c r="IQR24" s="486"/>
      <c r="IQS24" s="486"/>
      <c r="IQT24" s="486"/>
      <c r="IQU24" s="486"/>
      <c r="IQV24" s="486"/>
      <c r="IQW24" s="486"/>
      <c r="IQX24" s="486"/>
      <c r="IQY24" s="486"/>
      <c r="IQZ24" s="486"/>
      <c r="IRA24" s="486"/>
      <c r="IRB24" s="486"/>
      <c r="IRC24" s="486"/>
      <c r="IRD24" s="486"/>
      <c r="IRE24" s="486"/>
      <c r="IRF24" s="486"/>
      <c r="IRG24" s="486"/>
      <c r="IRH24" s="486"/>
      <c r="IRI24" s="486"/>
      <c r="IRJ24" s="486"/>
      <c r="IRK24" s="486"/>
      <c r="IRL24" s="486"/>
      <c r="IRM24" s="486"/>
      <c r="IRN24" s="486"/>
      <c r="IRO24" s="486"/>
      <c r="IRP24" s="486"/>
      <c r="IRQ24" s="486"/>
      <c r="IRR24" s="486"/>
      <c r="IRS24" s="486"/>
      <c r="IRT24" s="486"/>
      <c r="IRU24" s="486"/>
      <c r="IRV24" s="486"/>
      <c r="IRW24" s="486"/>
      <c r="IRX24" s="486"/>
      <c r="IRY24" s="486"/>
      <c r="IRZ24" s="486"/>
      <c r="ISA24" s="486"/>
      <c r="ISB24" s="486"/>
      <c r="ISC24" s="486"/>
      <c r="ISD24" s="486"/>
      <c r="ISE24" s="486"/>
      <c r="ISF24" s="486"/>
      <c r="ISG24" s="486"/>
      <c r="ISH24" s="486"/>
      <c r="ISI24" s="486"/>
      <c r="ISJ24" s="486"/>
      <c r="ISK24" s="486"/>
      <c r="ISL24" s="486"/>
      <c r="ISM24" s="486"/>
      <c r="ISN24" s="486"/>
      <c r="ISO24" s="486"/>
      <c r="ISP24" s="486"/>
      <c r="ISQ24" s="486"/>
      <c r="ISR24" s="486"/>
      <c r="ISS24" s="486"/>
      <c r="IST24" s="486"/>
      <c r="ISU24" s="486"/>
      <c r="ISV24" s="486"/>
      <c r="ISW24" s="486"/>
      <c r="ISX24" s="486"/>
      <c r="ISY24" s="486"/>
      <c r="ISZ24" s="486"/>
      <c r="ITA24" s="486"/>
      <c r="ITB24" s="486"/>
      <c r="ITC24" s="486"/>
      <c r="ITD24" s="486"/>
      <c r="ITE24" s="486"/>
      <c r="ITF24" s="486"/>
      <c r="ITG24" s="486"/>
      <c r="ITH24" s="486"/>
      <c r="ITI24" s="486"/>
      <c r="ITJ24" s="486"/>
      <c r="ITK24" s="486"/>
      <c r="ITL24" s="486"/>
      <c r="ITM24" s="486"/>
      <c r="ITN24" s="486"/>
      <c r="ITO24" s="486"/>
      <c r="ITP24" s="486"/>
      <c r="ITQ24" s="486"/>
      <c r="ITR24" s="486"/>
      <c r="ITS24" s="486"/>
      <c r="ITT24" s="486"/>
      <c r="ITU24" s="486"/>
      <c r="ITV24" s="486"/>
      <c r="ITW24" s="486"/>
      <c r="ITX24" s="486"/>
      <c r="ITY24" s="486"/>
      <c r="ITZ24" s="486"/>
      <c r="IUA24" s="486"/>
      <c r="IUB24" s="486"/>
      <c r="IUC24" s="486"/>
      <c r="IUD24" s="486"/>
      <c r="IUE24" s="486"/>
      <c r="IUF24" s="486"/>
      <c r="IUG24" s="486"/>
      <c r="IUH24" s="486"/>
      <c r="IUI24" s="486"/>
      <c r="IUJ24" s="486"/>
      <c r="IUK24" s="486"/>
      <c r="IUL24" s="486"/>
      <c r="IUM24" s="486"/>
      <c r="IUN24" s="486"/>
      <c r="IUO24" s="486"/>
      <c r="IUP24" s="486"/>
      <c r="IUQ24" s="486"/>
      <c r="IUR24" s="486"/>
      <c r="IUS24" s="486"/>
      <c r="IUT24" s="486"/>
      <c r="IUU24" s="486"/>
      <c r="IUV24" s="486"/>
      <c r="IUW24" s="486"/>
      <c r="IUX24" s="486"/>
      <c r="IUY24" s="486"/>
      <c r="IUZ24" s="486"/>
      <c r="IVA24" s="486"/>
      <c r="IVB24" s="486"/>
      <c r="IVC24" s="486"/>
      <c r="IVD24" s="486"/>
      <c r="IVE24" s="486"/>
      <c r="IVF24" s="486"/>
      <c r="IVG24" s="486"/>
      <c r="IVH24" s="486"/>
      <c r="IVI24" s="486"/>
      <c r="IVJ24" s="486"/>
      <c r="IVK24" s="486"/>
      <c r="IVL24" s="486"/>
      <c r="IVM24" s="486"/>
      <c r="IVN24" s="486"/>
      <c r="IVO24" s="486"/>
      <c r="IVP24" s="486"/>
      <c r="IVQ24" s="486"/>
      <c r="IVR24" s="486"/>
      <c r="IVS24" s="486"/>
      <c r="IVT24" s="486"/>
      <c r="IVU24" s="486"/>
      <c r="IVV24" s="486"/>
      <c r="IVW24" s="486"/>
      <c r="IVX24" s="486"/>
      <c r="IVY24" s="486"/>
      <c r="IVZ24" s="486"/>
      <c r="IWA24" s="486"/>
      <c r="IWB24" s="486"/>
      <c r="IWC24" s="486"/>
      <c r="IWD24" s="486"/>
      <c r="IWE24" s="486"/>
      <c r="IWF24" s="486"/>
      <c r="IWG24" s="486"/>
      <c r="IWH24" s="486"/>
      <c r="IWI24" s="486"/>
      <c r="IWJ24" s="486"/>
      <c r="IWK24" s="486"/>
      <c r="IWL24" s="486"/>
      <c r="IWM24" s="486"/>
      <c r="IWN24" s="486"/>
      <c r="IWO24" s="486"/>
      <c r="IWP24" s="486"/>
      <c r="IWQ24" s="486"/>
      <c r="IWR24" s="486"/>
      <c r="IWS24" s="486"/>
      <c r="IWT24" s="486"/>
      <c r="IWU24" s="486"/>
      <c r="IWV24" s="486"/>
      <c r="IWW24" s="486"/>
      <c r="IWX24" s="486"/>
      <c r="IWY24" s="486"/>
      <c r="IWZ24" s="486"/>
      <c r="IXA24" s="486"/>
      <c r="IXB24" s="486"/>
      <c r="IXC24" s="486"/>
      <c r="IXD24" s="486"/>
      <c r="IXE24" s="486"/>
      <c r="IXF24" s="486"/>
      <c r="IXG24" s="486"/>
      <c r="IXH24" s="486"/>
      <c r="IXI24" s="486"/>
      <c r="IXJ24" s="486"/>
      <c r="IXK24" s="486"/>
      <c r="IXL24" s="486"/>
      <c r="IXM24" s="486"/>
      <c r="IXN24" s="486"/>
      <c r="IXO24" s="486"/>
      <c r="IXP24" s="486"/>
      <c r="IXQ24" s="486"/>
      <c r="IXR24" s="486"/>
      <c r="IXS24" s="486"/>
      <c r="IXT24" s="486"/>
      <c r="IXU24" s="486"/>
      <c r="IXV24" s="486"/>
      <c r="IXW24" s="486"/>
      <c r="IXX24" s="486"/>
      <c r="IXY24" s="486"/>
      <c r="IXZ24" s="486"/>
      <c r="IYA24" s="486"/>
      <c r="IYB24" s="486"/>
      <c r="IYC24" s="486"/>
      <c r="IYD24" s="486"/>
      <c r="IYE24" s="486"/>
      <c r="IYF24" s="486"/>
      <c r="IYG24" s="486"/>
      <c r="IYH24" s="486"/>
      <c r="IYI24" s="486"/>
      <c r="IYJ24" s="486"/>
      <c r="IYK24" s="486"/>
      <c r="IYL24" s="486"/>
      <c r="IYM24" s="486"/>
      <c r="IYN24" s="486"/>
      <c r="IYO24" s="486"/>
      <c r="IYP24" s="486"/>
      <c r="IYQ24" s="486"/>
      <c r="IYR24" s="486"/>
      <c r="IYS24" s="486"/>
      <c r="IYT24" s="486"/>
      <c r="IYU24" s="486"/>
      <c r="IYV24" s="486"/>
      <c r="IYW24" s="486"/>
      <c r="IYX24" s="486"/>
      <c r="IYY24" s="486"/>
      <c r="IYZ24" s="486"/>
      <c r="IZA24" s="486"/>
      <c r="IZB24" s="486"/>
      <c r="IZC24" s="486"/>
      <c r="IZD24" s="486"/>
      <c r="IZE24" s="486"/>
      <c r="IZF24" s="486"/>
      <c r="IZG24" s="486"/>
      <c r="IZH24" s="486"/>
      <c r="IZI24" s="486"/>
      <c r="IZJ24" s="486"/>
      <c r="IZK24" s="486"/>
      <c r="IZL24" s="486"/>
      <c r="IZM24" s="486"/>
      <c r="IZN24" s="486"/>
      <c r="IZO24" s="486"/>
      <c r="IZP24" s="486"/>
      <c r="IZQ24" s="486"/>
      <c r="IZR24" s="486"/>
      <c r="IZS24" s="486"/>
      <c r="IZT24" s="486"/>
      <c r="IZU24" s="486"/>
      <c r="IZV24" s="486"/>
      <c r="IZW24" s="486"/>
      <c r="IZX24" s="486"/>
      <c r="IZY24" s="486"/>
      <c r="IZZ24" s="486"/>
      <c r="JAA24" s="486"/>
      <c r="JAB24" s="486"/>
      <c r="JAC24" s="486"/>
      <c r="JAD24" s="486"/>
      <c r="JAE24" s="486"/>
      <c r="JAF24" s="486"/>
      <c r="JAG24" s="486"/>
      <c r="JAH24" s="486"/>
      <c r="JAI24" s="486"/>
      <c r="JAJ24" s="486"/>
      <c r="JAK24" s="486"/>
      <c r="JAL24" s="486"/>
      <c r="JAM24" s="486"/>
      <c r="JAN24" s="486"/>
      <c r="JAO24" s="486"/>
      <c r="JAP24" s="486"/>
      <c r="JAQ24" s="486"/>
      <c r="JAR24" s="486"/>
      <c r="JAS24" s="486"/>
      <c r="JAT24" s="486"/>
      <c r="JAU24" s="486"/>
      <c r="JAV24" s="486"/>
      <c r="JAW24" s="486"/>
      <c r="JAX24" s="486"/>
      <c r="JAY24" s="486"/>
      <c r="JAZ24" s="486"/>
      <c r="JBA24" s="486"/>
      <c r="JBB24" s="486"/>
      <c r="JBC24" s="486"/>
      <c r="JBD24" s="486"/>
      <c r="JBE24" s="486"/>
      <c r="JBF24" s="486"/>
      <c r="JBG24" s="486"/>
      <c r="JBH24" s="486"/>
      <c r="JBI24" s="486"/>
      <c r="JBJ24" s="486"/>
      <c r="JBK24" s="486"/>
      <c r="JBL24" s="486"/>
      <c r="JBM24" s="486"/>
      <c r="JBN24" s="486"/>
      <c r="JBO24" s="486"/>
      <c r="JBP24" s="486"/>
      <c r="JBQ24" s="486"/>
      <c r="JBR24" s="486"/>
      <c r="JBS24" s="486"/>
      <c r="JBT24" s="486"/>
      <c r="JBU24" s="486"/>
      <c r="JBV24" s="486"/>
      <c r="JBW24" s="486"/>
      <c r="JBX24" s="486"/>
      <c r="JBY24" s="486"/>
      <c r="JBZ24" s="486"/>
      <c r="JCA24" s="486"/>
      <c r="JCB24" s="486"/>
      <c r="JCC24" s="486"/>
      <c r="JCD24" s="486"/>
      <c r="JCE24" s="486"/>
      <c r="JCF24" s="486"/>
      <c r="JCG24" s="486"/>
      <c r="JCH24" s="486"/>
      <c r="JCI24" s="486"/>
      <c r="JCJ24" s="486"/>
      <c r="JCK24" s="486"/>
      <c r="JCL24" s="486"/>
      <c r="JCM24" s="486"/>
      <c r="JCN24" s="486"/>
      <c r="JCO24" s="486"/>
      <c r="JCP24" s="486"/>
      <c r="JCQ24" s="486"/>
      <c r="JCR24" s="486"/>
      <c r="JCS24" s="486"/>
      <c r="JCT24" s="486"/>
      <c r="JCU24" s="486"/>
      <c r="JCV24" s="486"/>
      <c r="JCW24" s="486"/>
      <c r="JCX24" s="486"/>
      <c r="JCY24" s="486"/>
      <c r="JCZ24" s="486"/>
      <c r="JDA24" s="486"/>
      <c r="JDB24" s="486"/>
      <c r="JDC24" s="486"/>
      <c r="JDD24" s="486"/>
      <c r="JDE24" s="486"/>
      <c r="JDF24" s="486"/>
      <c r="JDG24" s="486"/>
      <c r="JDH24" s="486"/>
      <c r="JDI24" s="486"/>
      <c r="JDJ24" s="486"/>
      <c r="JDK24" s="486"/>
      <c r="JDL24" s="486"/>
      <c r="JDM24" s="486"/>
      <c r="JDN24" s="486"/>
      <c r="JDO24" s="486"/>
      <c r="JDP24" s="486"/>
      <c r="JDQ24" s="486"/>
      <c r="JDR24" s="486"/>
      <c r="JDS24" s="486"/>
      <c r="JDT24" s="486"/>
      <c r="JDU24" s="486"/>
      <c r="JDV24" s="486"/>
      <c r="JDW24" s="486"/>
      <c r="JDX24" s="486"/>
      <c r="JDY24" s="486"/>
      <c r="JDZ24" s="486"/>
      <c r="JEA24" s="486"/>
      <c r="JEB24" s="486"/>
      <c r="JEC24" s="486"/>
      <c r="JED24" s="486"/>
      <c r="JEE24" s="486"/>
      <c r="JEF24" s="486"/>
      <c r="JEG24" s="486"/>
      <c r="JEH24" s="486"/>
      <c r="JEI24" s="486"/>
      <c r="JEJ24" s="486"/>
      <c r="JEK24" s="486"/>
      <c r="JEL24" s="486"/>
      <c r="JEM24" s="486"/>
      <c r="JEN24" s="486"/>
      <c r="JEO24" s="486"/>
      <c r="JEP24" s="486"/>
      <c r="JEQ24" s="486"/>
      <c r="JER24" s="486"/>
      <c r="JES24" s="486"/>
      <c r="JET24" s="486"/>
      <c r="JEU24" s="486"/>
      <c r="JEV24" s="486"/>
      <c r="JEW24" s="486"/>
      <c r="JEX24" s="486"/>
      <c r="JEY24" s="486"/>
      <c r="JEZ24" s="486"/>
      <c r="JFA24" s="486"/>
      <c r="JFB24" s="486"/>
      <c r="JFC24" s="486"/>
      <c r="JFD24" s="486"/>
      <c r="JFE24" s="486"/>
      <c r="JFF24" s="486"/>
      <c r="JFG24" s="486"/>
      <c r="JFH24" s="486"/>
      <c r="JFI24" s="486"/>
      <c r="JFJ24" s="486"/>
      <c r="JFK24" s="486"/>
      <c r="JFL24" s="486"/>
      <c r="JFM24" s="486"/>
      <c r="JFN24" s="486"/>
      <c r="JFO24" s="486"/>
      <c r="JFP24" s="486"/>
      <c r="JFQ24" s="486"/>
      <c r="JFR24" s="486"/>
      <c r="JFS24" s="486"/>
      <c r="JFT24" s="486"/>
      <c r="JFU24" s="486"/>
      <c r="JFV24" s="486"/>
      <c r="JFW24" s="486"/>
      <c r="JFX24" s="486"/>
      <c r="JFY24" s="486"/>
      <c r="JFZ24" s="486"/>
      <c r="JGA24" s="486"/>
      <c r="JGB24" s="486"/>
      <c r="JGC24" s="486"/>
      <c r="JGD24" s="486"/>
      <c r="JGE24" s="486"/>
      <c r="JGF24" s="486"/>
      <c r="JGG24" s="486"/>
      <c r="JGH24" s="486"/>
      <c r="JGI24" s="486"/>
      <c r="JGJ24" s="486"/>
      <c r="JGK24" s="486"/>
      <c r="JGL24" s="486"/>
      <c r="JGM24" s="486"/>
      <c r="JGN24" s="486"/>
      <c r="JGO24" s="486"/>
      <c r="JGP24" s="486"/>
      <c r="JGQ24" s="486"/>
      <c r="JGR24" s="486"/>
      <c r="JGS24" s="486"/>
      <c r="JGT24" s="486"/>
      <c r="JGU24" s="486"/>
      <c r="JGV24" s="486"/>
      <c r="JGW24" s="486"/>
      <c r="JGX24" s="486"/>
      <c r="JGY24" s="486"/>
      <c r="JGZ24" s="486"/>
      <c r="JHA24" s="486"/>
      <c r="JHB24" s="486"/>
      <c r="JHC24" s="486"/>
      <c r="JHD24" s="486"/>
      <c r="JHE24" s="486"/>
      <c r="JHF24" s="486"/>
      <c r="JHG24" s="486"/>
      <c r="JHH24" s="486"/>
      <c r="JHI24" s="486"/>
      <c r="JHJ24" s="486"/>
      <c r="JHK24" s="486"/>
      <c r="JHL24" s="486"/>
      <c r="JHM24" s="486"/>
      <c r="JHN24" s="486"/>
      <c r="JHO24" s="486"/>
      <c r="JHP24" s="486"/>
      <c r="JHQ24" s="486"/>
      <c r="JHR24" s="486"/>
      <c r="JHS24" s="486"/>
      <c r="JHT24" s="486"/>
      <c r="JHU24" s="486"/>
      <c r="JHV24" s="486"/>
      <c r="JHW24" s="486"/>
      <c r="JHX24" s="486"/>
      <c r="JHY24" s="486"/>
      <c r="JHZ24" s="486"/>
      <c r="JIA24" s="486"/>
      <c r="JIB24" s="486"/>
      <c r="JIC24" s="486"/>
      <c r="JID24" s="486"/>
      <c r="JIE24" s="486"/>
      <c r="JIF24" s="486"/>
      <c r="JIG24" s="486"/>
      <c r="JIH24" s="486"/>
      <c r="JII24" s="486"/>
      <c r="JIJ24" s="486"/>
      <c r="JIK24" s="486"/>
      <c r="JIL24" s="486"/>
      <c r="JIM24" s="486"/>
      <c r="JIN24" s="486"/>
      <c r="JIO24" s="486"/>
      <c r="JIP24" s="486"/>
      <c r="JIQ24" s="486"/>
      <c r="JIR24" s="486"/>
      <c r="JIS24" s="486"/>
      <c r="JIT24" s="486"/>
      <c r="JIU24" s="486"/>
      <c r="JIV24" s="486"/>
      <c r="JIW24" s="486"/>
      <c r="JIX24" s="486"/>
      <c r="JIY24" s="486"/>
      <c r="JIZ24" s="486"/>
      <c r="JJA24" s="486"/>
      <c r="JJB24" s="486"/>
      <c r="JJC24" s="486"/>
      <c r="JJD24" s="486"/>
      <c r="JJE24" s="486"/>
      <c r="JJF24" s="486"/>
      <c r="JJG24" s="486"/>
      <c r="JJH24" s="486"/>
      <c r="JJI24" s="486"/>
      <c r="JJJ24" s="486"/>
      <c r="JJK24" s="486"/>
      <c r="JJL24" s="486"/>
      <c r="JJM24" s="486"/>
      <c r="JJN24" s="486"/>
      <c r="JJO24" s="486"/>
      <c r="JJP24" s="486"/>
      <c r="JJQ24" s="486"/>
      <c r="JJR24" s="486"/>
      <c r="JJS24" s="486"/>
      <c r="JJT24" s="486"/>
      <c r="JJU24" s="486"/>
      <c r="JJV24" s="486"/>
      <c r="JJW24" s="486"/>
      <c r="JJX24" s="486"/>
      <c r="JJY24" s="486"/>
      <c r="JJZ24" s="486"/>
      <c r="JKA24" s="486"/>
      <c r="JKB24" s="486"/>
      <c r="JKC24" s="486"/>
      <c r="JKD24" s="486"/>
      <c r="JKE24" s="486"/>
      <c r="JKF24" s="486"/>
      <c r="JKG24" s="486"/>
      <c r="JKH24" s="486"/>
      <c r="JKI24" s="486"/>
      <c r="JKJ24" s="486"/>
      <c r="JKK24" s="486"/>
      <c r="JKL24" s="486"/>
      <c r="JKM24" s="486"/>
      <c r="JKN24" s="486"/>
      <c r="JKO24" s="486"/>
      <c r="JKP24" s="486"/>
      <c r="JKQ24" s="486"/>
      <c r="JKR24" s="486"/>
      <c r="JKS24" s="486"/>
      <c r="JKT24" s="486"/>
      <c r="JKU24" s="486"/>
      <c r="JKV24" s="486"/>
      <c r="JKW24" s="486"/>
      <c r="JKX24" s="486"/>
      <c r="JKY24" s="486"/>
      <c r="JKZ24" s="486"/>
      <c r="JLA24" s="486"/>
      <c r="JLB24" s="486"/>
      <c r="JLC24" s="486"/>
      <c r="JLD24" s="486"/>
      <c r="JLE24" s="486"/>
      <c r="JLF24" s="486"/>
      <c r="JLG24" s="486"/>
      <c r="JLH24" s="486"/>
      <c r="JLI24" s="486"/>
      <c r="JLJ24" s="486"/>
      <c r="JLK24" s="486"/>
      <c r="JLL24" s="486"/>
      <c r="JLM24" s="486"/>
      <c r="JLN24" s="486"/>
      <c r="JLO24" s="486"/>
      <c r="JLP24" s="486"/>
      <c r="JLQ24" s="486"/>
      <c r="JLR24" s="486"/>
      <c r="JLS24" s="486"/>
      <c r="JLT24" s="486"/>
      <c r="JLU24" s="486"/>
      <c r="JLV24" s="486"/>
      <c r="JLW24" s="486"/>
      <c r="JLX24" s="486"/>
      <c r="JLY24" s="486"/>
      <c r="JLZ24" s="486"/>
      <c r="JMA24" s="486"/>
      <c r="JMB24" s="486"/>
      <c r="JMC24" s="486"/>
      <c r="JMD24" s="486"/>
      <c r="JME24" s="486"/>
      <c r="JMF24" s="486"/>
      <c r="JMG24" s="486"/>
      <c r="JMH24" s="486"/>
      <c r="JMI24" s="486"/>
      <c r="JMJ24" s="486"/>
      <c r="JMK24" s="486"/>
      <c r="JML24" s="486"/>
      <c r="JMM24" s="486"/>
      <c r="JMN24" s="486"/>
      <c r="JMO24" s="486"/>
      <c r="JMP24" s="486"/>
      <c r="JMQ24" s="486"/>
      <c r="JMR24" s="486"/>
      <c r="JMS24" s="486"/>
      <c r="JMT24" s="486"/>
      <c r="JMU24" s="486"/>
      <c r="JMV24" s="486"/>
      <c r="JMW24" s="486"/>
      <c r="JMX24" s="486"/>
      <c r="JMY24" s="486"/>
      <c r="JMZ24" s="486"/>
      <c r="JNA24" s="486"/>
      <c r="JNB24" s="486"/>
      <c r="JNC24" s="486"/>
      <c r="JND24" s="486"/>
      <c r="JNE24" s="486"/>
      <c r="JNF24" s="486"/>
      <c r="JNG24" s="486"/>
      <c r="JNH24" s="486"/>
      <c r="JNI24" s="486"/>
      <c r="JNJ24" s="486"/>
      <c r="JNK24" s="486"/>
      <c r="JNL24" s="486"/>
      <c r="JNM24" s="486"/>
      <c r="JNN24" s="486"/>
      <c r="JNO24" s="486"/>
      <c r="JNP24" s="486"/>
      <c r="JNQ24" s="486"/>
      <c r="JNR24" s="486"/>
      <c r="JNS24" s="486"/>
      <c r="JNT24" s="486"/>
      <c r="JNU24" s="486"/>
      <c r="JNV24" s="486"/>
      <c r="JNW24" s="486"/>
      <c r="JNX24" s="486"/>
      <c r="JNY24" s="486"/>
      <c r="JNZ24" s="486"/>
      <c r="JOA24" s="486"/>
      <c r="JOB24" s="486"/>
      <c r="JOC24" s="486"/>
      <c r="JOD24" s="486"/>
      <c r="JOE24" s="486"/>
      <c r="JOF24" s="486"/>
      <c r="JOG24" s="486"/>
      <c r="JOH24" s="486"/>
      <c r="JOI24" s="486"/>
      <c r="JOJ24" s="486"/>
      <c r="JOK24" s="486"/>
      <c r="JOL24" s="486"/>
      <c r="JOM24" s="486"/>
      <c r="JON24" s="486"/>
      <c r="JOO24" s="486"/>
      <c r="JOP24" s="486"/>
      <c r="JOQ24" s="486"/>
      <c r="JOR24" s="486"/>
      <c r="JOS24" s="486"/>
      <c r="JOT24" s="486"/>
      <c r="JOU24" s="486"/>
      <c r="JOV24" s="486"/>
      <c r="JOW24" s="486"/>
      <c r="JOX24" s="486"/>
      <c r="JOY24" s="486"/>
      <c r="JOZ24" s="486"/>
      <c r="JPA24" s="486"/>
      <c r="JPB24" s="486"/>
      <c r="JPC24" s="486"/>
      <c r="JPD24" s="486"/>
      <c r="JPE24" s="486"/>
      <c r="JPF24" s="486"/>
      <c r="JPG24" s="486"/>
      <c r="JPH24" s="486"/>
      <c r="JPI24" s="486"/>
      <c r="JPJ24" s="486"/>
      <c r="JPK24" s="486"/>
      <c r="JPL24" s="486"/>
      <c r="JPM24" s="486"/>
      <c r="JPN24" s="486"/>
      <c r="JPO24" s="486"/>
      <c r="JPP24" s="486"/>
      <c r="JPQ24" s="486"/>
      <c r="JPR24" s="486"/>
      <c r="JPS24" s="486"/>
      <c r="JPT24" s="486"/>
      <c r="JPU24" s="486"/>
      <c r="JPV24" s="486"/>
      <c r="JPW24" s="486"/>
      <c r="JPX24" s="486"/>
      <c r="JPY24" s="486"/>
      <c r="JPZ24" s="486"/>
      <c r="JQA24" s="486"/>
      <c r="JQB24" s="486"/>
      <c r="JQC24" s="486"/>
      <c r="JQD24" s="486"/>
      <c r="JQE24" s="486"/>
      <c r="JQF24" s="486"/>
      <c r="JQG24" s="486"/>
      <c r="JQH24" s="486"/>
      <c r="JQI24" s="486"/>
      <c r="JQJ24" s="486"/>
      <c r="JQK24" s="486"/>
      <c r="JQL24" s="486"/>
      <c r="JQM24" s="486"/>
      <c r="JQN24" s="486"/>
      <c r="JQO24" s="486"/>
      <c r="JQP24" s="486"/>
      <c r="JQQ24" s="486"/>
      <c r="JQR24" s="486"/>
      <c r="JQS24" s="486"/>
      <c r="JQT24" s="486"/>
      <c r="JQU24" s="486"/>
      <c r="JQV24" s="486"/>
      <c r="JQW24" s="486"/>
      <c r="JQX24" s="486"/>
      <c r="JQY24" s="486"/>
      <c r="JQZ24" s="486"/>
      <c r="JRA24" s="486"/>
      <c r="JRB24" s="486"/>
      <c r="JRC24" s="486"/>
      <c r="JRD24" s="486"/>
      <c r="JRE24" s="486"/>
      <c r="JRF24" s="486"/>
      <c r="JRG24" s="486"/>
      <c r="JRH24" s="486"/>
      <c r="JRI24" s="486"/>
      <c r="JRJ24" s="486"/>
      <c r="JRK24" s="486"/>
      <c r="JRL24" s="486"/>
      <c r="JRM24" s="486"/>
      <c r="JRN24" s="486"/>
      <c r="JRO24" s="486"/>
      <c r="JRP24" s="486"/>
      <c r="JRQ24" s="486"/>
      <c r="JRR24" s="486"/>
      <c r="JRS24" s="486"/>
      <c r="JRT24" s="486"/>
      <c r="JRU24" s="486"/>
      <c r="JRV24" s="486"/>
      <c r="JRW24" s="486"/>
      <c r="JRX24" s="486"/>
      <c r="JRY24" s="486"/>
      <c r="JRZ24" s="486"/>
      <c r="JSA24" s="486"/>
      <c r="JSB24" s="486"/>
      <c r="JSC24" s="486"/>
      <c r="JSD24" s="486"/>
      <c r="JSE24" s="486"/>
      <c r="JSF24" s="486"/>
      <c r="JSG24" s="486"/>
      <c r="JSH24" s="486"/>
      <c r="JSI24" s="486"/>
      <c r="JSJ24" s="486"/>
      <c r="JSK24" s="486"/>
      <c r="JSL24" s="486"/>
      <c r="JSM24" s="486"/>
      <c r="JSN24" s="486"/>
      <c r="JSO24" s="486"/>
      <c r="JSP24" s="486"/>
      <c r="JSQ24" s="486"/>
      <c r="JSR24" s="486"/>
      <c r="JSS24" s="486"/>
      <c r="JST24" s="486"/>
      <c r="JSU24" s="486"/>
      <c r="JSV24" s="486"/>
      <c r="JSW24" s="486"/>
      <c r="JSX24" s="486"/>
      <c r="JSY24" s="486"/>
      <c r="JSZ24" s="486"/>
      <c r="JTA24" s="486"/>
      <c r="JTB24" s="486"/>
      <c r="JTC24" s="486"/>
      <c r="JTD24" s="486"/>
      <c r="JTE24" s="486"/>
      <c r="JTF24" s="486"/>
      <c r="JTG24" s="486"/>
      <c r="JTH24" s="486"/>
      <c r="JTI24" s="486"/>
      <c r="JTJ24" s="486"/>
      <c r="JTK24" s="486"/>
      <c r="JTL24" s="486"/>
      <c r="JTM24" s="486"/>
      <c r="JTN24" s="486"/>
      <c r="JTO24" s="486"/>
      <c r="JTP24" s="486"/>
      <c r="JTQ24" s="486"/>
      <c r="JTR24" s="486"/>
      <c r="JTS24" s="486"/>
      <c r="JTT24" s="486"/>
      <c r="JTU24" s="486"/>
      <c r="JTV24" s="486"/>
      <c r="JTW24" s="486"/>
      <c r="JTX24" s="486"/>
      <c r="JTY24" s="486"/>
      <c r="JTZ24" s="486"/>
      <c r="JUA24" s="486"/>
      <c r="JUB24" s="486"/>
      <c r="JUC24" s="486"/>
      <c r="JUD24" s="486"/>
      <c r="JUE24" s="486"/>
      <c r="JUF24" s="486"/>
      <c r="JUG24" s="486"/>
      <c r="JUH24" s="486"/>
      <c r="JUI24" s="486"/>
      <c r="JUJ24" s="486"/>
      <c r="JUK24" s="486"/>
      <c r="JUL24" s="486"/>
      <c r="JUM24" s="486"/>
      <c r="JUN24" s="486"/>
      <c r="JUO24" s="486"/>
      <c r="JUP24" s="486"/>
      <c r="JUQ24" s="486"/>
      <c r="JUR24" s="486"/>
      <c r="JUS24" s="486"/>
      <c r="JUT24" s="486"/>
      <c r="JUU24" s="486"/>
      <c r="JUV24" s="486"/>
      <c r="JUW24" s="486"/>
      <c r="JUX24" s="486"/>
      <c r="JUY24" s="486"/>
      <c r="JUZ24" s="486"/>
      <c r="JVA24" s="486"/>
      <c r="JVB24" s="486"/>
      <c r="JVC24" s="486"/>
      <c r="JVD24" s="486"/>
      <c r="JVE24" s="486"/>
      <c r="JVF24" s="486"/>
      <c r="JVG24" s="486"/>
      <c r="JVH24" s="486"/>
      <c r="JVI24" s="486"/>
      <c r="JVJ24" s="486"/>
      <c r="JVK24" s="486"/>
      <c r="JVL24" s="486"/>
      <c r="JVM24" s="486"/>
      <c r="JVN24" s="486"/>
      <c r="JVO24" s="486"/>
      <c r="JVP24" s="486"/>
      <c r="JVQ24" s="486"/>
      <c r="JVR24" s="486"/>
      <c r="JVS24" s="486"/>
      <c r="JVT24" s="486"/>
      <c r="JVU24" s="486"/>
      <c r="JVV24" s="486"/>
      <c r="JVW24" s="486"/>
      <c r="JVX24" s="486"/>
      <c r="JVY24" s="486"/>
      <c r="JVZ24" s="486"/>
      <c r="JWA24" s="486"/>
      <c r="JWB24" s="486"/>
      <c r="JWC24" s="486"/>
      <c r="JWD24" s="486"/>
      <c r="JWE24" s="486"/>
      <c r="JWF24" s="486"/>
      <c r="JWG24" s="486"/>
      <c r="JWH24" s="486"/>
      <c r="JWI24" s="486"/>
      <c r="JWJ24" s="486"/>
      <c r="JWK24" s="486"/>
      <c r="JWL24" s="486"/>
      <c r="JWM24" s="486"/>
      <c r="JWN24" s="486"/>
      <c r="JWO24" s="486"/>
      <c r="JWP24" s="486"/>
      <c r="JWQ24" s="486"/>
      <c r="JWR24" s="486"/>
      <c r="JWS24" s="486"/>
      <c r="JWT24" s="486"/>
      <c r="JWU24" s="486"/>
      <c r="JWV24" s="486"/>
      <c r="JWW24" s="486"/>
      <c r="JWX24" s="486"/>
      <c r="JWY24" s="486"/>
      <c r="JWZ24" s="486"/>
      <c r="JXA24" s="486"/>
      <c r="JXB24" s="486"/>
      <c r="JXC24" s="486"/>
      <c r="JXD24" s="486"/>
      <c r="JXE24" s="486"/>
      <c r="JXF24" s="486"/>
      <c r="JXG24" s="486"/>
      <c r="JXH24" s="486"/>
      <c r="JXI24" s="486"/>
      <c r="JXJ24" s="486"/>
      <c r="JXK24" s="486"/>
      <c r="JXL24" s="486"/>
      <c r="JXM24" s="486"/>
      <c r="JXN24" s="486"/>
      <c r="JXO24" s="486"/>
      <c r="JXP24" s="486"/>
      <c r="JXQ24" s="486"/>
      <c r="JXR24" s="486"/>
      <c r="JXS24" s="486"/>
      <c r="JXT24" s="486"/>
      <c r="JXU24" s="486"/>
      <c r="JXV24" s="486"/>
      <c r="JXW24" s="486"/>
      <c r="JXX24" s="486"/>
      <c r="JXY24" s="486"/>
      <c r="JXZ24" s="486"/>
      <c r="JYA24" s="486"/>
      <c r="JYB24" s="486"/>
      <c r="JYC24" s="486"/>
      <c r="JYD24" s="486"/>
      <c r="JYE24" s="486"/>
      <c r="JYF24" s="486"/>
      <c r="JYG24" s="486"/>
      <c r="JYH24" s="486"/>
      <c r="JYI24" s="486"/>
      <c r="JYJ24" s="486"/>
      <c r="JYK24" s="486"/>
      <c r="JYL24" s="486"/>
      <c r="JYM24" s="486"/>
      <c r="JYN24" s="486"/>
      <c r="JYO24" s="486"/>
      <c r="JYP24" s="486"/>
      <c r="JYQ24" s="486"/>
      <c r="JYR24" s="486"/>
      <c r="JYS24" s="486"/>
      <c r="JYT24" s="486"/>
      <c r="JYU24" s="486"/>
      <c r="JYV24" s="486"/>
      <c r="JYW24" s="486"/>
      <c r="JYX24" s="486"/>
      <c r="JYY24" s="486"/>
      <c r="JYZ24" s="486"/>
      <c r="JZA24" s="486"/>
      <c r="JZB24" s="486"/>
      <c r="JZC24" s="486"/>
      <c r="JZD24" s="486"/>
      <c r="JZE24" s="486"/>
      <c r="JZF24" s="486"/>
      <c r="JZG24" s="486"/>
      <c r="JZH24" s="486"/>
      <c r="JZI24" s="486"/>
      <c r="JZJ24" s="486"/>
      <c r="JZK24" s="486"/>
      <c r="JZL24" s="486"/>
      <c r="JZM24" s="486"/>
      <c r="JZN24" s="486"/>
      <c r="JZO24" s="486"/>
      <c r="JZP24" s="486"/>
      <c r="JZQ24" s="486"/>
      <c r="JZR24" s="486"/>
      <c r="JZS24" s="486"/>
      <c r="JZT24" s="486"/>
      <c r="JZU24" s="486"/>
      <c r="JZV24" s="486"/>
      <c r="JZW24" s="486"/>
      <c r="JZX24" s="486"/>
      <c r="JZY24" s="486"/>
      <c r="JZZ24" s="486"/>
      <c r="KAA24" s="486"/>
      <c r="KAB24" s="486"/>
      <c r="KAC24" s="486"/>
      <c r="KAD24" s="486"/>
      <c r="KAE24" s="486"/>
      <c r="KAF24" s="486"/>
      <c r="KAG24" s="486"/>
      <c r="KAH24" s="486"/>
      <c r="KAI24" s="486"/>
      <c r="KAJ24" s="486"/>
      <c r="KAK24" s="486"/>
      <c r="KAL24" s="486"/>
      <c r="KAM24" s="486"/>
      <c r="KAN24" s="486"/>
      <c r="KAO24" s="486"/>
      <c r="KAP24" s="486"/>
      <c r="KAQ24" s="486"/>
      <c r="KAR24" s="486"/>
      <c r="KAS24" s="486"/>
      <c r="KAT24" s="486"/>
      <c r="KAU24" s="486"/>
      <c r="KAV24" s="486"/>
      <c r="KAW24" s="486"/>
      <c r="KAX24" s="486"/>
      <c r="KAY24" s="486"/>
      <c r="KAZ24" s="486"/>
      <c r="KBA24" s="486"/>
      <c r="KBB24" s="486"/>
      <c r="KBC24" s="486"/>
      <c r="KBD24" s="486"/>
      <c r="KBE24" s="486"/>
      <c r="KBF24" s="486"/>
      <c r="KBG24" s="486"/>
      <c r="KBH24" s="486"/>
      <c r="KBI24" s="486"/>
      <c r="KBJ24" s="486"/>
      <c r="KBK24" s="486"/>
      <c r="KBL24" s="486"/>
      <c r="KBM24" s="486"/>
      <c r="KBN24" s="486"/>
      <c r="KBO24" s="486"/>
      <c r="KBP24" s="486"/>
      <c r="KBQ24" s="486"/>
      <c r="KBR24" s="486"/>
      <c r="KBS24" s="486"/>
      <c r="KBT24" s="486"/>
      <c r="KBU24" s="486"/>
      <c r="KBV24" s="486"/>
      <c r="KBW24" s="486"/>
      <c r="KBX24" s="486"/>
      <c r="KBY24" s="486"/>
      <c r="KBZ24" s="486"/>
      <c r="KCA24" s="486"/>
      <c r="KCB24" s="486"/>
      <c r="KCC24" s="486"/>
      <c r="KCD24" s="486"/>
      <c r="KCE24" s="486"/>
      <c r="KCF24" s="486"/>
      <c r="KCG24" s="486"/>
      <c r="KCH24" s="486"/>
      <c r="KCI24" s="486"/>
      <c r="KCJ24" s="486"/>
      <c r="KCK24" s="486"/>
      <c r="KCL24" s="486"/>
      <c r="KCM24" s="486"/>
      <c r="KCN24" s="486"/>
      <c r="KCO24" s="486"/>
      <c r="KCP24" s="486"/>
      <c r="KCQ24" s="486"/>
      <c r="KCR24" s="486"/>
      <c r="KCS24" s="486"/>
      <c r="KCT24" s="486"/>
      <c r="KCU24" s="486"/>
      <c r="KCV24" s="486"/>
      <c r="KCW24" s="486"/>
      <c r="KCX24" s="486"/>
      <c r="KCY24" s="486"/>
      <c r="KCZ24" s="486"/>
      <c r="KDA24" s="486"/>
      <c r="KDB24" s="486"/>
      <c r="KDC24" s="486"/>
      <c r="KDD24" s="486"/>
      <c r="KDE24" s="486"/>
      <c r="KDF24" s="486"/>
      <c r="KDG24" s="486"/>
      <c r="KDH24" s="486"/>
      <c r="KDI24" s="486"/>
      <c r="KDJ24" s="486"/>
      <c r="KDK24" s="486"/>
      <c r="KDL24" s="486"/>
      <c r="KDM24" s="486"/>
      <c r="KDN24" s="486"/>
      <c r="KDO24" s="486"/>
      <c r="KDP24" s="486"/>
      <c r="KDQ24" s="486"/>
      <c r="KDR24" s="486"/>
      <c r="KDS24" s="486"/>
      <c r="KDT24" s="486"/>
      <c r="KDU24" s="486"/>
      <c r="KDV24" s="486"/>
      <c r="KDW24" s="486"/>
      <c r="KDX24" s="486"/>
      <c r="KDY24" s="486"/>
      <c r="KDZ24" s="486"/>
      <c r="KEA24" s="486"/>
      <c r="KEB24" s="486"/>
      <c r="KEC24" s="486"/>
      <c r="KED24" s="486"/>
      <c r="KEE24" s="486"/>
      <c r="KEF24" s="486"/>
      <c r="KEG24" s="486"/>
      <c r="KEH24" s="486"/>
      <c r="KEI24" s="486"/>
      <c r="KEJ24" s="486"/>
      <c r="KEK24" s="486"/>
      <c r="KEL24" s="486"/>
      <c r="KEM24" s="486"/>
      <c r="KEN24" s="486"/>
      <c r="KEO24" s="486"/>
      <c r="KEP24" s="486"/>
      <c r="KEQ24" s="486"/>
      <c r="KER24" s="486"/>
      <c r="KES24" s="486"/>
      <c r="KET24" s="486"/>
      <c r="KEU24" s="486"/>
      <c r="KEV24" s="486"/>
      <c r="KEW24" s="486"/>
      <c r="KEX24" s="486"/>
      <c r="KEY24" s="486"/>
      <c r="KEZ24" s="486"/>
      <c r="KFA24" s="486"/>
      <c r="KFB24" s="486"/>
      <c r="KFC24" s="486"/>
      <c r="KFD24" s="486"/>
      <c r="KFE24" s="486"/>
      <c r="KFF24" s="486"/>
      <c r="KFG24" s="486"/>
      <c r="KFH24" s="486"/>
      <c r="KFI24" s="486"/>
      <c r="KFJ24" s="486"/>
      <c r="KFK24" s="486"/>
      <c r="KFL24" s="486"/>
      <c r="KFM24" s="486"/>
      <c r="KFN24" s="486"/>
      <c r="KFO24" s="486"/>
      <c r="KFP24" s="486"/>
      <c r="KFQ24" s="486"/>
      <c r="KFR24" s="486"/>
      <c r="KFS24" s="486"/>
      <c r="KFT24" s="486"/>
      <c r="KFU24" s="486"/>
      <c r="KFV24" s="486"/>
      <c r="KFW24" s="486"/>
      <c r="KFX24" s="486"/>
      <c r="KFY24" s="486"/>
      <c r="KFZ24" s="486"/>
      <c r="KGA24" s="486"/>
      <c r="KGB24" s="486"/>
      <c r="KGC24" s="486"/>
      <c r="KGD24" s="486"/>
      <c r="KGE24" s="486"/>
      <c r="KGF24" s="486"/>
      <c r="KGG24" s="486"/>
      <c r="KGH24" s="486"/>
      <c r="KGI24" s="486"/>
      <c r="KGJ24" s="486"/>
      <c r="KGK24" s="486"/>
      <c r="KGL24" s="486"/>
      <c r="KGM24" s="486"/>
      <c r="KGN24" s="486"/>
      <c r="KGO24" s="486"/>
      <c r="KGP24" s="486"/>
      <c r="KGQ24" s="486"/>
      <c r="KGR24" s="486"/>
      <c r="KGS24" s="486"/>
      <c r="KGT24" s="486"/>
      <c r="KGU24" s="486"/>
      <c r="KGV24" s="486"/>
      <c r="KGW24" s="486"/>
      <c r="KGX24" s="486"/>
      <c r="KGY24" s="486"/>
      <c r="KGZ24" s="486"/>
      <c r="KHA24" s="486"/>
      <c r="KHB24" s="486"/>
      <c r="KHC24" s="486"/>
      <c r="KHD24" s="486"/>
      <c r="KHE24" s="486"/>
      <c r="KHF24" s="486"/>
      <c r="KHG24" s="486"/>
      <c r="KHH24" s="486"/>
      <c r="KHI24" s="486"/>
      <c r="KHJ24" s="486"/>
      <c r="KHK24" s="486"/>
      <c r="KHL24" s="486"/>
      <c r="KHM24" s="486"/>
      <c r="KHN24" s="486"/>
      <c r="KHO24" s="486"/>
      <c r="KHP24" s="486"/>
      <c r="KHQ24" s="486"/>
      <c r="KHR24" s="486"/>
      <c r="KHS24" s="486"/>
      <c r="KHT24" s="486"/>
      <c r="KHU24" s="486"/>
      <c r="KHV24" s="486"/>
      <c r="KHW24" s="486"/>
      <c r="KHX24" s="486"/>
      <c r="KHY24" s="486"/>
      <c r="KHZ24" s="486"/>
      <c r="KIA24" s="486"/>
      <c r="KIB24" s="486"/>
      <c r="KIC24" s="486"/>
      <c r="KID24" s="486"/>
      <c r="KIE24" s="486"/>
      <c r="KIF24" s="486"/>
      <c r="KIG24" s="486"/>
      <c r="KIH24" s="486"/>
      <c r="KII24" s="486"/>
      <c r="KIJ24" s="486"/>
      <c r="KIK24" s="486"/>
      <c r="KIL24" s="486"/>
      <c r="KIM24" s="486"/>
      <c r="KIN24" s="486"/>
      <c r="KIO24" s="486"/>
      <c r="KIP24" s="486"/>
      <c r="KIQ24" s="486"/>
      <c r="KIR24" s="486"/>
      <c r="KIS24" s="486"/>
      <c r="KIT24" s="486"/>
      <c r="KIU24" s="486"/>
      <c r="KIV24" s="486"/>
      <c r="KIW24" s="486"/>
      <c r="KIX24" s="486"/>
      <c r="KIY24" s="486"/>
      <c r="KIZ24" s="486"/>
      <c r="KJA24" s="486"/>
      <c r="KJB24" s="486"/>
      <c r="KJC24" s="486"/>
      <c r="KJD24" s="486"/>
      <c r="KJE24" s="486"/>
      <c r="KJF24" s="486"/>
      <c r="KJG24" s="486"/>
      <c r="KJH24" s="486"/>
      <c r="KJI24" s="486"/>
      <c r="KJJ24" s="486"/>
      <c r="KJK24" s="486"/>
      <c r="KJL24" s="486"/>
      <c r="KJM24" s="486"/>
      <c r="KJN24" s="486"/>
      <c r="KJO24" s="486"/>
      <c r="KJP24" s="486"/>
      <c r="KJQ24" s="486"/>
      <c r="KJR24" s="486"/>
      <c r="KJS24" s="486"/>
      <c r="KJT24" s="486"/>
      <c r="KJU24" s="486"/>
      <c r="KJV24" s="486"/>
      <c r="KJW24" s="486"/>
      <c r="KJX24" s="486"/>
      <c r="KJY24" s="486"/>
      <c r="KJZ24" s="486"/>
      <c r="KKA24" s="486"/>
      <c r="KKB24" s="486"/>
      <c r="KKC24" s="486"/>
      <c r="KKD24" s="486"/>
      <c r="KKE24" s="486"/>
      <c r="KKF24" s="486"/>
      <c r="KKG24" s="486"/>
      <c r="KKH24" s="486"/>
      <c r="KKI24" s="486"/>
      <c r="KKJ24" s="486"/>
      <c r="KKK24" s="486"/>
      <c r="KKL24" s="486"/>
      <c r="KKM24" s="486"/>
      <c r="KKN24" s="486"/>
      <c r="KKO24" s="486"/>
      <c r="KKP24" s="486"/>
      <c r="KKQ24" s="486"/>
      <c r="KKR24" s="486"/>
      <c r="KKS24" s="486"/>
      <c r="KKT24" s="486"/>
      <c r="KKU24" s="486"/>
      <c r="KKV24" s="486"/>
      <c r="KKW24" s="486"/>
      <c r="KKX24" s="486"/>
      <c r="KKY24" s="486"/>
      <c r="KKZ24" s="486"/>
      <c r="KLA24" s="486"/>
      <c r="KLB24" s="486"/>
      <c r="KLC24" s="486"/>
      <c r="KLD24" s="486"/>
      <c r="KLE24" s="486"/>
      <c r="KLF24" s="486"/>
      <c r="KLG24" s="486"/>
      <c r="KLH24" s="486"/>
      <c r="KLI24" s="486"/>
      <c r="KLJ24" s="486"/>
      <c r="KLK24" s="486"/>
      <c r="KLL24" s="486"/>
      <c r="KLM24" s="486"/>
      <c r="KLN24" s="486"/>
      <c r="KLO24" s="486"/>
      <c r="KLP24" s="486"/>
      <c r="KLQ24" s="486"/>
      <c r="KLR24" s="486"/>
      <c r="KLS24" s="486"/>
      <c r="KLT24" s="486"/>
      <c r="KLU24" s="486"/>
      <c r="KLV24" s="486"/>
      <c r="KLW24" s="486"/>
      <c r="KLX24" s="486"/>
      <c r="KLY24" s="486"/>
      <c r="KLZ24" s="486"/>
      <c r="KMA24" s="486"/>
      <c r="KMB24" s="486"/>
      <c r="KMC24" s="486"/>
      <c r="KMD24" s="486"/>
      <c r="KME24" s="486"/>
      <c r="KMF24" s="486"/>
      <c r="KMG24" s="486"/>
      <c r="KMH24" s="486"/>
      <c r="KMI24" s="486"/>
      <c r="KMJ24" s="486"/>
      <c r="KMK24" s="486"/>
      <c r="KML24" s="486"/>
      <c r="KMM24" s="486"/>
      <c r="KMN24" s="486"/>
      <c r="KMO24" s="486"/>
      <c r="KMP24" s="486"/>
      <c r="KMQ24" s="486"/>
      <c r="KMR24" s="486"/>
      <c r="KMS24" s="486"/>
      <c r="KMT24" s="486"/>
      <c r="KMU24" s="486"/>
      <c r="KMV24" s="486"/>
      <c r="KMW24" s="486"/>
      <c r="KMX24" s="486"/>
      <c r="KMY24" s="486"/>
      <c r="KMZ24" s="486"/>
      <c r="KNA24" s="486"/>
      <c r="KNB24" s="486"/>
      <c r="KNC24" s="486"/>
      <c r="KND24" s="486"/>
      <c r="KNE24" s="486"/>
      <c r="KNF24" s="486"/>
      <c r="KNG24" s="486"/>
      <c r="KNH24" s="486"/>
      <c r="KNI24" s="486"/>
      <c r="KNJ24" s="486"/>
      <c r="KNK24" s="486"/>
      <c r="KNL24" s="486"/>
      <c r="KNM24" s="486"/>
      <c r="KNN24" s="486"/>
      <c r="KNO24" s="486"/>
      <c r="KNP24" s="486"/>
      <c r="KNQ24" s="486"/>
      <c r="KNR24" s="486"/>
      <c r="KNS24" s="486"/>
      <c r="KNT24" s="486"/>
      <c r="KNU24" s="486"/>
      <c r="KNV24" s="486"/>
      <c r="KNW24" s="486"/>
      <c r="KNX24" s="486"/>
      <c r="KNY24" s="486"/>
      <c r="KNZ24" s="486"/>
      <c r="KOA24" s="486"/>
      <c r="KOB24" s="486"/>
      <c r="KOC24" s="486"/>
      <c r="KOD24" s="486"/>
      <c r="KOE24" s="486"/>
      <c r="KOF24" s="486"/>
      <c r="KOG24" s="486"/>
      <c r="KOH24" s="486"/>
      <c r="KOI24" s="486"/>
      <c r="KOJ24" s="486"/>
      <c r="KOK24" s="486"/>
      <c r="KOL24" s="486"/>
      <c r="KOM24" s="486"/>
      <c r="KON24" s="486"/>
      <c r="KOO24" s="486"/>
      <c r="KOP24" s="486"/>
      <c r="KOQ24" s="486"/>
      <c r="KOR24" s="486"/>
      <c r="KOS24" s="486"/>
      <c r="KOT24" s="486"/>
      <c r="KOU24" s="486"/>
      <c r="KOV24" s="486"/>
      <c r="KOW24" s="486"/>
      <c r="KOX24" s="486"/>
      <c r="KOY24" s="486"/>
      <c r="KOZ24" s="486"/>
      <c r="KPA24" s="486"/>
      <c r="KPB24" s="486"/>
      <c r="KPC24" s="486"/>
      <c r="KPD24" s="486"/>
      <c r="KPE24" s="486"/>
      <c r="KPF24" s="486"/>
      <c r="KPG24" s="486"/>
      <c r="KPH24" s="486"/>
      <c r="KPI24" s="486"/>
      <c r="KPJ24" s="486"/>
      <c r="KPK24" s="486"/>
      <c r="KPL24" s="486"/>
      <c r="KPM24" s="486"/>
      <c r="KPN24" s="486"/>
      <c r="KPO24" s="486"/>
      <c r="KPP24" s="486"/>
      <c r="KPQ24" s="486"/>
      <c r="KPR24" s="486"/>
      <c r="KPS24" s="486"/>
      <c r="KPT24" s="486"/>
      <c r="KPU24" s="486"/>
      <c r="KPV24" s="486"/>
      <c r="KPW24" s="486"/>
      <c r="KPX24" s="486"/>
      <c r="KPY24" s="486"/>
      <c r="KPZ24" s="486"/>
      <c r="KQA24" s="486"/>
      <c r="KQB24" s="486"/>
      <c r="KQC24" s="486"/>
      <c r="KQD24" s="486"/>
      <c r="KQE24" s="486"/>
      <c r="KQF24" s="486"/>
      <c r="KQG24" s="486"/>
      <c r="KQH24" s="486"/>
      <c r="KQI24" s="486"/>
      <c r="KQJ24" s="486"/>
      <c r="KQK24" s="486"/>
      <c r="KQL24" s="486"/>
      <c r="KQM24" s="486"/>
      <c r="KQN24" s="486"/>
      <c r="KQO24" s="486"/>
      <c r="KQP24" s="486"/>
      <c r="KQQ24" s="486"/>
      <c r="KQR24" s="486"/>
      <c r="KQS24" s="486"/>
      <c r="KQT24" s="486"/>
      <c r="KQU24" s="486"/>
      <c r="KQV24" s="486"/>
      <c r="KQW24" s="486"/>
      <c r="KQX24" s="486"/>
      <c r="KQY24" s="486"/>
      <c r="KQZ24" s="486"/>
      <c r="KRA24" s="486"/>
      <c r="KRB24" s="486"/>
      <c r="KRC24" s="486"/>
      <c r="KRD24" s="486"/>
      <c r="KRE24" s="486"/>
      <c r="KRF24" s="486"/>
      <c r="KRG24" s="486"/>
      <c r="KRH24" s="486"/>
      <c r="KRI24" s="486"/>
      <c r="KRJ24" s="486"/>
      <c r="KRK24" s="486"/>
      <c r="KRL24" s="486"/>
      <c r="KRM24" s="486"/>
      <c r="KRN24" s="486"/>
      <c r="KRO24" s="486"/>
      <c r="KRP24" s="486"/>
      <c r="KRQ24" s="486"/>
      <c r="KRR24" s="486"/>
      <c r="KRS24" s="486"/>
      <c r="KRT24" s="486"/>
      <c r="KRU24" s="486"/>
      <c r="KRV24" s="486"/>
      <c r="KRW24" s="486"/>
      <c r="KRX24" s="486"/>
      <c r="KRY24" s="486"/>
      <c r="KRZ24" s="486"/>
      <c r="KSA24" s="486"/>
      <c r="KSB24" s="486"/>
      <c r="KSC24" s="486"/>
      <c r="KSD24" s="486"/>
      <c r="KSE24" s="486"/>
      <c r="KSF24" s="486"/>
      <c r="KSG24" s="486"/>
      <c r="KSH24" s="486"/>
      <c r="KSI24" s="486"/>
      <c r="KSJ24" s="486"/>
      <c r="KSK24" s="486"/>
      <c r="KSL24" s="486"/>
      <c r="KSM24" s="486"/>
      <c r="KSN24" s="486"/>
      <c r="KSO24" s="486"/>
      <c r="KSP24" s="486"/>
      <c r="KSQ24" s="486"/>
      <c r="KSR24" s="486"/>
      <c r="KSS24" s="486"/>
      <c r="KST24" s="486"/>
      <c r="KSU24" s="486"/>
      <c r="KSV24" s="486"/>
      <c r="KSW24" s="486"/>
      <c r="KSX24" s="486"/>
      <c r="KSY24" s="486"/>
      <c r="KSZ24" s="486"/>
      <c r="KTA24" s="486"/>
      <c r="KTB24" s="486"/>
      <c r="KTC24" s="486"/>
      <c r="KTD24" s="486"/>
      <c r="KTE24" s="486"/>
      <c r="KTF24" s="486"/>
      <c r="KTG24" s="486"/>
      <c r="KTH24" s="486"/>
      <c r="KTI24" s="486"/>
      <c r="KTJ24" s="486"/>
      <c r="KTK24" s="486"/>
      <c r="KTL24" s="486"/>
      <c r="KTM24" s="486"/>
      <c r="KTN24" s="486"/>
      <c r="KTO24" s="486"/>
      <c r="KTP24" s="486"/>
      <c r="KTQ24" s="486"/>
      <c r="KTR24" s="486"/>
      <c r="KTS24" s="486"/>
      <c r="KTT24" s="486"/>
      <c r="KTU24" s="486"/>
      <c r="KTV24" s="486"/>
      <c r="KTW24" s="486"/>
      <c r="KTX24" s="486"/>
      <c r="KTY24" s="486"/>
      <c r="KTZ24" s="486"/>
      <c r="KUA24" s="486"/>
      <c r="KUB24" s="486"/>
      <c r="KUC24" s="486"/>
      <c r="KUD24" s="486"/>
      <c r="KUE24" s="486"/>
      <c r="KUF24" s="486"/>
      <c r="KUG24" s="486"/>
      <c r="KUH24" s="486"/>
      <c r="KUI24" s="486"/>
      <c r="KUJ24" s="486"/>
      <c r="KUK24" s="486"/>
      <c r="KUL24" s="486"/>
      <c r="KUM24" s="486"/>
      <c r="KUN24" s="486"/>
      <c r="KUO24" s="486"/>
      <c r="KUP24" s="486"/>
      <c r="KUQ24" s="486"/>
      <c r="KUR24" s="486"/>
      <c r="KUS24" s="486"/>
      <c r="KUT24" s="486"/>
      <c r="KUU24" s="486"/>
      <c r="KUV24" s="486"/>
      <c r="KUW24" s="486"/>
      <c r="KUX24" s="486"/>
      <c r="KUY24" s="486"/>
      <c r="KUZ24" s="486"/>
      <c r="KVA24" s="486"/>
      <c r="KVB24" s="486"/>
      <c r="KVC24" s="486"/>
      <c r="KVD24" s="486"/>
      <c r="KVE24" s="486"/>
      <c r="KVF24" s="486"/>
      <c r="KVG24" s="486"/>
      <c r="KVH24" s="486"/>
      <c r="KVI24" s="486"/>
      <c r="KVJ24" s="486"/>
      <c r="KVK24" s="486"/>
      <c r="KVL24" s="486"/>
      <c r="KVM24" s="486"/>
      <c r="KVN24" s="486"/>
      <c r="KVO24" s="486"/>
      <c r="KVP24" s="486"/>
      <c r="KVQ24" s="486"/>
      <c r="KVR24" s="486"/>
      <c r="KVS24" s="486"/>
      <c r="KVT24" s="486"/>
      <c r="KVU24" s="486"/>
      <c r="KVV24" s="486"/>
      <c r="KVW24" s="486"/>
      <c r="KVX24" s="486"/>
      <c r="KVY24" s="486"/>
      <c r="KVZ24" s="486"/>
      <c r="KWA24" s="486"/>
      <c r="KWB24" s="486"/>
      <c r="KWC24" s="486"/>
      <c r="KWD24" s="486"/>
      <c r="KWE24" s="486"/>
      <c r="KWF24" s="486"/>
      <c r="KWG24" s="486"/>
      <c r="KWH24" s="486"/>
      <c r="KWI24" s="486"/>
      <c r="KWJ24" s="486"/>
      <c r="KWK24" s="486"/>
      <c r="KWL24" s="486"/>
      <c r="KWM24" s="486"/>
      <c r="KWN24" s="486"/>
      <c r="KWO24" s="486"/>
      <c r="KWP24" s="486"/>
      <c r="KWQ24" s="486"/>
      <c r="KWR24" s="486"/>
      <c r="KWS24" s="486"/>
      <c r="KWT24" s="486"/>
      <c r="KWU24" s="486"/>
      <c r="KWV24" s="486"/>
      <c r="KWW24" s="486"/>
      <c r="KWX24" s="486"/>
      <c r="KWY24" s="486"/>
      <c r="KWZ24" s="486"/>
      <c r="KXA24" s="486"/>
      <c r="KXB24" s="486"/>
      <c r="KXC24" s="486"/>
      <c r="KXD24" s="486"/>
      <c r="KXE24" s="486"/>
      <c r="KXF24" s="486"/>
      <c r="KXG24" s="486"/>
      <c r="KXH24" s="486"/>
      <c r="KXI24" s="486"/>
      <c r="KXJ24" s="486"/>
      <c r="KXK24" s="486"/>
      <c r="KXL24" s="486"/>
      <c r="KXM24" s="486"/>
      <c r="KXN24" s="486"/>
      <c r="KXO24" s="486"/>
      <c r="KXP24" s="486"/>
      <c r="KXQ24" s="486"/>
      <c r="KXR24" s="486"/>
      <c r="KXS24" s="486"/>
      <c r="KXT24" s="486"/>
      <c r="KXU24" s="486"/>
      <c r="KXV24" s="486"/>
      <c r="KXW24" s="486"/>
      <c r="KXX24" s="486"/>
      <c r="KXY24" s="486"/>
      <c r="KXZ24" s="486"/>
      <c r="KYA24" s="486"/>
      <c r="KYB24" s="486"/>
      <c r="KYC24" s="486"/>
      <c r="KYD24" s="486"/>
      <c r="KYE24" s="486"/>
      <c r="KYF24" s="486"/>
      <c r="KYG24" s="486"/>
      <c r="KYH24" s="486"/>
      <c r="KYI24" s="486"/>
      <c r="KYJ24" s="486"/>
      <c r="KYK24" s="486"/>
      <c r="KYL24" s="486"/>
      <c r="KYM24" s="486"/>
      <c r="KYN24" s="486"/>
      <c r="KYO24" s="486"/>
      <c r="KYP24" s="486"/>
      <c r="KYQ24" s="486"/>
      <c r="KYR24" s="486"/>
      <c r="KYS24" s="486"/>
      <c r="KYT24" s="486"/>
      <c r="KYU24" s="486"/>
      <c r="KYV24" s="486"/>
      <c r="KYW24" s="486"/>
      <c r="KYX24" s="486"/>
      <c r="KYY24" s="486"/>
      <c r="KYZ24" s="486"/>
      <c r="KZA24" s="486"/>
      <c r="KZB24" s="486"/>
      <c r="KZC24" s="486"/>
      <c r="KZD24" s="486"/>
      <c r="KZE24" s="486"/>
      <c r="KZF24" s="486"/>
      <c r="KZG24" s="486"/>
      <c r="KZH24" s="486"/>
      <c r="KZI24" s="486"/>
      <c r="KZJ24" s="486"/>
      <c r="KZK24" s="486"/>
      <c r="KZL24" s="486"/>
      <c r="KZM24" s="486"/>
      <c r="KZN24" s="486"/>
      <c r="KZO24" s="486"/>
      <c r="KZP24" s="486"/>
      <c r="KZQ24" s="486"/>
      <c r="KZR24" s="486"/>
      <c r="KZS24" s="486"/>
      <c r="KZT24" s="486"/>
      <c r="KZU24" s="486"/>
      <c r="KZV24" s="486"/>
      <c r="KZW24" s="486"/>
      <c r="KZX24" s="486"/>
      <c r="KZY24" s="486"/>
      <c r="KZZ24" s="486"/>
      <c r="LAA24" s="486"/>
      <c r="LAB24" s="486"/>
      <c r="LAC24" s="486"/>
      <c r="LAD24" s="486"/>
      <c r="LAE24" s="486"/>
      <c r="LAF24" s="486"/>
      <c r="LAG24" s="486"/>
      <c r="LAH24" s="486"/>
      <c r="LAI24" s="486"/>
      <c r="LAJ24" s="486"/>
      <c r="LAK24" s="486"/>
      <c r="LAL24" s="486"/>
      <c r="LAM24" s="486"/>
      <c r="LAN24" s="486"/>
      <c r="LAO24" s="486"/>
      <c r="LAP24" s="486"/>
      <c r="LAQ24" s="486"/>
      <c r="LAR24" s="486"/>
      <c r="LAS24" s="486"/>
      <c r="LAT24" s="486"/>
      <c r="LAU24" s="486"/>
      <c r="LAV24" s="486"/>
      <c r="LAW24" s="486"/>
      <c r="LAX24" s="486"/>
      <c r="LAY24" s="486"/>
      <c r="LAZ24" s="486"/>
      <c r="LBA24" s="486"/>
      <c r="LBB24" s="486"/>
      <c r="LBC24" s="486"/>
      <c r="LBD24" s="486"/>
      <c r="LBE24" s="486"/>
      <c r="LBF24" s="486"/>
      <c r="LBG24" s="486"/>
      <c r="LBH24" s="486"/>
      <c r="LBI24" s="486"/>
      <c r="LBJ24" s="486"/>
      <c r="LBK24" s="486"/>
      <c r="LBL24" s="486"/>
      <c r="LBM24" s="486"/>
      <c r="LBN24" s="486"/>
      <c r="LBO24" s="486"/>
      <c r="LBP24" s="486"/>
      <c r="LBQ24" s="486"/>
      <c r="LBR24" s="486"/>
      <c r="LBS24" s="486"/>
      <c r="LBT24" s="486"/>
      <c r="LBU24" s="486"/>
      <c r="LBV24" s="486"/>
      <c r="LBW24" s="486"/>
      <c r="LBX24" s="486"/>
      <c r="LBY24" s="486"/>
      <c r="LBZ24" s="486"/>
      <c r="LCA24" s="486"/>
      <c r="LCB24" s="486"/>
      <c r="LCC24" s="486"/>
      <c r="LCD24" s="486"/>
      <c r="LCE24" s="486"/>
      <c r="LCF24" s="486"/>
      <c r="LCG24" s="486"/>
      <c r="LCH24" s="486"/>
      <c r="LCI24" s="486"/>
      <c r="LCJ24" s="486"/>
      <c r="LCK24" s="486"/>
      <c r="LCL24" s="486"/>
      <c r="LCM24" s="486"/>
      <c r="LCN24" s="486"/>
      <c r="LCO24" s="486"/>
      <c r="LCP24" s="486"/>
      <c r="LCQ24" s="486"/>
      <c r="LCR24" s="486"/>
      <c r="LCS24" s="486"/>
      <c r="LCT24" s="486"/>
      <c r="LCU24" s="486"/>
      <c r="LCV24" s="486"/>
      <c r="LCW24" s="486"/>
      <c r="LCX24" s="486"/>
      <c r="LCY24" s="486"/>
      <c r="LCZ24" s="486"/>
      <c r="LDA24" s="486"/>
      <c r="LDB24" s="486"/>
      <c r="LDC24" s="486"/>
      <c r="LDD24" s="486"/>
      <c r="LDE24" s="486"/>
      <c r="LDF24" s="486"/>
      <c r="LDG24" s="486"/>
      <c r="LDH24" s="486"/>
      <c r="LDI24" s="486"/>
      <c r="LDJ24" s="486"/>
      <c r="LDK24" s="486"/>
      <c r="LDL24" s="486"/>
      <c r="LDM24" s="486"/>
      <c r="LDN24" s="486"/>
      <c r="LDO24" s="486"/>
      <c r="LDP24" s="486"/>
      <c r="LDQ24" s="486"/>
      <c r="LDR24" s="486"/>
      <c r="LDS24" s="486"/>
      <c r="LDT24" s="486"/>
      <c r="LDU24" s="486"/>
      <c r="LDV24" s="486"/>
      <c r="LDW24" s="486"/>
      <c r="LDX24" s="486"/>
      <c r="LDY24" s="486"/>
      <c r="LDZ24" s="486"/>
      <c r="LEA24" s="486"/>
      <c r="LEB24" s="486"/>
      <c r="LEC24" s="486"/>
      <c r="LED24" s="486"/>
      <c r="LEE24" s="486"/>
      <c r="LEF24" s="486"/>
      <c r="LEG24" s="486"/>
      <c r="LEH24" s="486"/>
      <c r="LEI24" s="486"/>
      <c r="LEJ24" s="486"/>
      <c r="LEK24" s="486"/>
      <c r="LEL24" s="486"/>
      <c r="LEM24" s="486"/>
      <c r="LEN24" s="486"/>
      <c r="LEO24" s="486"/>
      <c r="LEP24" s="486"/>
      <c r="LEQ24" s="486"/>
      <c r="LER24" s="486"/>
      <c r="LES24" s="486"/>
      <c r="LET24" s="486"/>
      <c r="LEU24" s="486"/>
      <c r="LEV24" s="486"/>
      <c r="LEW24" s="486"/>
      <c r="LEX24" s="486"/>
      <c r="LEY24" s="486"/>
      <c r="LEZ24" s="486"/>
      <c r="LFA24" s="486"/>
      <c r="LFB24" s="486"/>
      <c r="LFC24" s="486"/>
      <c r="LFD24" s="486"/>
      <c r="LFE24" s="486"/>
      <c r="LFF24" s="486"/>
      <c r="LFG24" s="486"/>
      <c r="LFH24" s="486"/>
      <c r="LFI24" s="486"/>
      <c r="LFJ24" s="486"/>
      <c r="LFK24" s="486"/>
      <c r="LFL24" s="486"/>
      <c r="LFM24" s="486"/>
      <c r="LFN24" s="486"/>
      <c r="LFO24" s="486"/>
      <c r="LFP24" s="486"/>
      <c r="LFQ24" s="486"/>
      <c r="LFR24" s="486"/>
      <c r="LFS24" s="486"/>
      <c r="LFT24" s="486"/>
      <c r="LFU24" s="486"/>
      <c r="LFV24" s="486"/>
      <c r="LFW24" s="486"/>
      <c r="LFX24" s="486"/>
      <c r="LFY24" s="486"/>
      <c r="LFZ24" s="486"/>
      <c r="LGA24" s="486"/>
      <c r="LGB24" s="486"/>
      <c r="LGC24" s="486"/>
      <c r="LGD24" s="486"/>
      <c r="LGE24" s="486"/>
      <c r="LGF24" s="486"/>
      <c r="LGG24" s="486"/>
      <c r="LGH24" s="486"/>
      <c r="LGI24" s="486"/>
      <c r="LGJ24" s="486"/>
      <c r="LGK24" s="486"/>
      <c r="LGL24" s="486"/>
      <c r="LGM24" s="486"/>
      <c r="LGN24" s="486"/>
      <c r="LGO24" s="486"/>
      <c r="LGP24" s="486"/>
      <c r="LGQ24" s="486"/>
      <c r="LGR24" s="486"/>
      <c r="LGS24" s="486"/>
      <c r="LGT24" s="486"/>
      <c r="LGU24" s="486"/>
      <c r="LGV24" s="486"/>
      <c r="LGW24" s="486"/>
      <c r="LGX24" s="486"/>
      <c r="LGY24" s="486"/>
      <c r="LGZ24" s="486"/>
      <c r="LHA24" s="486"/>
      <c r="LHB24" s="486"/>
      <c r="LHC24" s="486"/>
      <c r="LHD24" s="486"/>
      <c r="LHE24" s="486"/>
      <c r="LHF24" s="486"/>
      <c r="LHG24" s="486"/>
      <c r="LHH24" s="486"/>
      <c r="LHI24" s="486"/>
      <c r="LHJ24" s="486"/>
      <c r="LHK24" s="486"/>
      <c r="LHL24" s="486"/>
      <c r="LHM24" s="486"/>
      <c r="LHN24" s="486"/>
      <c r="LHO24" s="486"/>
      <c r="LHP24" s="486"/>
      <c r="LHQ24" s="486"/>
      <c r="LHR24" s="486"/>
      <c r="LHS24" s="486"/>
      <c r="LHT24" s="486"/>
      <c r="LHU24" s="486"/>
      <c r="LHV24" s="486"/>
      <c r="LHW24" s="486"/>
      <c r="LHX24" s="486"/>
      <c r="LHY24" s="486"/>
      <c r="LHZ24" s="486"/>
      <c r="LIA24" s="486"/>
      <c r="LIB24" s="486"/>
      <c r="LIC24" s="486"/>
      <c r="LID24" s="486"/>
      <c r="LIE24" s="486"/>
      <c r="LIF24" s="486"/>
      <c r="LIG24" s="486"/>
      <c r="LIH24" s="486"/>
      <c r="LII24" s="486"/>
      <c r="LIJ24" s="486"/>
      <c r="LIK24" s="486"/>
      <c r="LIL24" s="486"/>
      <c r="LIM24" s="486"/>
      <c r="LIN24" s="486"/>
      <c r="LIO24" s="486"/>
      <c r="LIP24" s="486"/>
      <c r="LIQ24" s="486"/>
      <c r="LIR24" s="486"/>
      <c r="LIS24" s="486"/>
      <c r="LIT24" s="486"/>
      <c r="LIU24" s="486"/>
      <c r="LIV24" s="486"/>
      <c r="LIW24" s="486"/>
      <c r="LIX24" s="486"/>
      <c r="LIY24" s="486"/>
      <c r="LIZ24" s="486"/>
      <c r="LJA24" s="486"/>
      <c r="LJB24" s="486"/>
      <c r="LJC24" s="486"/>
      <c r="LJD24" s="486"/>
      <c r="LJE24" s="486"/>
      <c r="LJF24" s="486"/>
      <c r="LJG24" s="486"/>
      <c r="LJH24" s="486"/>
      <c r="LJI24" s="486"/>
      <c r="LJJ24" s="486"/>
      <c r="LJK24" s="486"/>
      <c r="LJL24" s="486"/>
      <c r="LJM24" s="486"/>
      <c r="LJN24" s="486"/>
      <c r="LJO24" s="486"/>
      <c r="LJP24" s="486"/>
      <c r="LJQ24" s="486"/>
      <c r="LJR24" s="486"/>
      <c r="LJS24" s="486"/>
      <c r="LJT24" s="486"/>
      <c r="LJU24" s="486"/>
      <c r="LJV24" s="486"/>
      <c r="LJW24" s="486"/>
      <c r="LJX24" s="486"/>
      <c r="LJY24" s="486"/>
      <c r="LJZ24" s="486"/>
      <c r="LKA24" s="486"/>
      <c r="LKB24" s="486"/>
      <c r="LKC24" s="486"/>
      <c r="LKD24" s="486"/>
      <c r="LKE24" s="486"/>
      <c r="LKF24" s="486"/>
      <c r="LKG24" s="486"/>
      <c r="LKH24" s="486"/>
      <c r="LKI24" s="486"/>
      <c r="LKJ24" s="486"/>
      <c r="LKK24" s="486"/>
      <c r="LKL24" s="486"/>
      <c r="LKM24" s="486"/>
      <c r="LKN24" s="486"/>
      <c r="LKO24" s="486"/>
      <c r="LKP24" s="486"/>
      <c r="LKQ24" s="486"/>
      <c r="LKR24" s="486"/>
      <c r="LKS24" s="486"/>
      <c r="LKT24" s="486"/>
      <c r="LKU24" s="486"/>
      <c r="LKV24" s="486"/>
      <c r="LKW24" s="486"/>
      <c r="LKX24" s="486"/>
      <c r="LKY24" s="486"/>
      <c r="LKZ24" s="486"/>
      <c r="LLA24" s="486"/>
      <c r="LLB24" s="486"/>
      <c r="LLC24" s="486"/>
      <c r="LLD24" s="486"/>
      <c r="LLE24" s="486"/>
      <c r="LLF24" s="486"/>
      <c r="LLG24" s="486"/>
      <c r="LLH24" s="486"/>
      <c r="LLI24" s="486"/>
      <c r="LLJ24" s="486"/>
      <c r="LLK24" s="486"/>
      <c r="LLL24" s="486"/>
      <c r="LLM24" s="486"/>
      <c r="LLN24" s="486"/>
      <c r="LLO24" s="486"/>
      <c r="LLP24" s="486"/>
      <c r="LLQ24" s="486"/>
      <c r="LLR24" s="486"/>
      <c r="LLS24" s="486"/>
      <c r="LLT24" s="486"/>
      <c r="LLU24" s="486"/>
      <c r="LLV24" s="486"/>
      <c r="LLW24" s="486"/>
      <c r="LLX24" s="486"/>
      <c r="LLY24" s="486"/>
      <c r="LLZ24" s="486"/>
      <c r="LMA24" s="486"/>
      <c r="LMB24" s="486"/>
      <c r="LMC24" s="486"/>
      <c r="LMD24" s="486"/>
      <c r="LME24" s="486"/>
      <c r="LMF24" s="486"/>
      <c r="LMG24" s="486"/>
      <c r="LMH24" s="486"/>
      <c r="LMI24" s="486"/>
      <c r="LMJ24" s="486"/>
      <c r="LMK24" s="486"/>
      <c r="LML24" s="486"/>
      <c r="LMM24" s="486"/>
      <c r="LMN24" s="486"/>
      <c r="LMO24" s="486"/>
      <c r="LMP24" s="486"/>
      <c r="LMQ24" s="486"/>
      <c r="LMR24" s="486"/>
      <c r="LMS24" s="486"/>
      <c r="LMT24" s="486"/>
      <c r="LMU24" s="486"/>
      <c r="LMV24" s="486"/>
      <c r="LMW24" s="486"/>
      <c r="LMX24" s="486"/>
      <c r="LMY24" s="486"/>
      <c r="LMZ24" s="486"/>
      <c r="LNA24" s="486"/>
      <c r="LNB24" s="486"/>
      <c r="LNC24" s="486"/>
      <c r="LND24" s="486"/>
      <c r="LNE24" s="486"/>
      <c r="LNF24" s="486"/>
      <c r="LNG24" s="486"/>
      <c r="LNH24" s="486"/>
      <c r="LNI24" s="486"/>
      <c r="LNJ24" s="486"/>
      <c r="LNK24" s="486"/>
      <c r="LNL24" s="486"/>
      <c r="LNM24" s="486"/>
      <c r="LNN24" s="486"/>
      <c r="LNO24" s="486"/>
      <c r="LNP24" s="486"/>
      <c r="LNQ24" s="486"/>
      <c r="LNR24" s="486"/>
      <c r="LNS24" s="486"/>
      <c r="LNT24" s="486"/>
      <c r="LNU24" s="486"/>
      <c r="LNV24" s="486"/>
      <c r="LNW24" s="486"/>
      <c r="LNX24" s="486"/>
      <c r="LNY24" s="486"/>
      <c r="LNZ24" s="486"/>
      <c r="LOA24" s="486"/>
      <c r="LOB24" s="486"/>
      <c r="LOC24" s="486"/>
      <c r="LOD24" s="486"/>
      <c r="LOE24" s="486"/>
      <c r="LOF24" s="486"/>
      <c r="LOG24" s="486"/>
      <c r="LOH24" s="486"/>
      <c r="LOI24" s="486"/>
      <c r="LOJ24" s="486"/>
      <c r="LOK24" s="486"/>
      <c r="LOL24" s="486"/>
      <c r="LOM24" s="486"/>
      <c r="LON24" s="486"/>
      <c r="LOO24" s="486"/>
      <c r="LOP24" s="486"/>
      <c r="LOQ24" s="486"/>
      <c r="LOR24" s="486"/>
      <c r="LOS24" s="486"/>
      <c r="LOT24" s="486"/>
      <c r="LOU24" s="486"/>
      <c r="LOV24" s="486"/>
      <c r="LOW24" s="486"/>
      <c r="LOX24" s="486"/>
      <c r="LOY24" s="486"/>
      <c r="LOZ24" s="486"/>
      <c r="LPA24" s="486"/>
      <c r="LPB24" s="486"/>
      <c r="LPC24" s="486"/>
      <c r="LPD24" s="486"/>
      <c r="LPE24" s="486"/>
      <c r="LPF24" s="486"/>
      <c r="LPG24" s="486"/>
      <c r="LPH24" s="486"/>
      <c r="LPI24" s="486"/>
      <c r="LPJ24" s="486"/>
      <c r="LPK24" s="486"/>
      <c r="LPL24" s="486"/>
      <c r="LPM24" s="486"/>
      <c r="LPN24" s="486"/>
      <c r="LPO24" s="486"/>
      <c r="LPP24" s="486"/>
      <c r="LPQ24" s="486"/>
      <c r="LPR24" s="486"/>
      <c r="LPS24" s="486"/>
      <c r="LPT24" s="486"/>
      <c r="LPU24" s="486"/>
      <c r="LPV24" s="486"/>
      <c r="LPW24" s="486"/>
      <c r="LPX24" s="486"/>
      <c r="LPY24" s="486"/>
      <c r="LPZ24" s="486"/>
      <c r="LQA24" s="486"/>
      <c r="LQB24" s="486"/>
      <c r="LQC24" s="486"/>
      <c r="LQD24" s="486"/>
      <c r="LQE24" s="486"/>
      <c r="LQF24" s="486"/>
      <c r="LQG24" s="486"/>
      <c r="LQH24" s="486"/>
      <c r="LQI24" s="486"/>
      <c r="LQJ24" s="486"/>
      <c r="LQK24" s="486"/>
      <c r="LQL24" s="486"/>
      <c r="LQM24" s="486"/>
      <c r="LQN24" s="486"/>
      <c r="LQO24" s="486"/>
      <c r="LQP24" s="486"/>
      <c r="LQQ24" s="486"/>
      <c r="LQR24" s="486"/>
      <c r="LQS24" s="486"/>
      <c r="LQT24" s="486"/>
      <c r="LQU24" s="486"/>
      <c r="LQV24" s="486"/>
      <c r="LQW24" s="486"/>
      <c r="LQX24" s="486"/>
      <c r="LQY24" s="486"/>
      <c r="LQZ24" s="486"/>
      <c r="LRA24" s="486"/>
      <c r="LRB24" s="486"/>
      <c r="LRC24" s="486"/>
      <c r="LRD24" s="486"/>
      <c r="LRE24" s="486"/>
      <c r="LRF24" s="486"/>
      <c r="LRG24" s="486"/>
      <c r="LRH24" s="486"/>
      <c r="LRI24" s="486"/>
      <c r="LRJ24" s="486"/>
      <c r="LRK24" s="486"/>
      <c r="LRL24" s="486"/>
      <c r="LRM24" s="486"/>
      <c r="LRN24" s="486"/>
      <c r="LRO24" s="486"/>
      <c r="LRP24" s="486"/>
      <c r="LRQ24" s="486"/>
      <c r="LRR24" s="486"/>
      <c r="LRS24" s="486"/>
      <c r="LRT24" s="486"/>
      <c r="LRU24" s="486"/>
      <c r="LRV24" s="486"/>
      <c r="LRW24" s="486"/>
      <c r="LRX24" s="486"/>
      <c r="LRY24" s="486"/>
      <c r="LRZ24" s="486"/>
      <c r="LSA24" s="486"/>
      <c r="LSB24" s="486"/>
      <c r="LSC24" s="486"/>
      <c r="LSD24" s="486"/>
      <c r="LSE24" s="486"/>
      <c r="LSF24" s="486"/>
      <c r="LSG24" s="486"/>
      <c r="LSH24" s="486"/>
      <c r="LSI24" s="486"/>
      <c r="LSJ24" s="486"/>
      <c r="LSK24" s="486"/>
      <c r="LSL24" s="486"/>
      <c r="LSM24" s="486"/>
      <c r="LSN24" s="486"/>
      <c r="LSO24" s="486"/>
      <c r="LSP24" s="486"/>
      <c r="LSQ24" s="486"/>
      <c r="LSR24" s="486"/>
      <c r="LSS24" s="486"/>
      <c r="LST24" s="486"/>
      <c r="LSU24" s="486"/>
      <c r="LSV24" s="486"/>
      <c r="LSW24" s="486"/>
      <c r="LSX24" s="486"/>
      <c r="LSY24" s="486"/>
      <c r="LSZ24" s="486"/>
      <c r="LTA24" s="486"/>
      <c r="LTB24" s="486"/>
      <c r="LTC24" s="486"/>
      <c r="LTD24" s="486"/>
      <c r="LTE24" s="486"/>
      <c r="LTF24" s="486"/>
      <c r="LTG24" s="486"/>
      <c r="LTH24" s="486"/>
      <c r="LTI24" s="486"/>
      <c r="LTJ24" s="486"/>
      <c r="LTK24" s="486"/>
      <c r="LTL24" s="486"/>
      <c r="LTM24" s="486"/>
      <c r="LTN24" s="486"/>
      <c r="LTO24" s="486"/>
      <c r="LTP24" s="486"/>
      <c r="LTQ24" s="486"/>
      <c r="LTR24" s="486"/>
      <c r="LTS24" s="486"/>
      <c r="LTT24" s="486"/>
      <c r="LTU24" s="486"/>
      <c r="LTV24" s="486"/>
      <c r="LTW24" s="486"/>
      <c r="LTX24" s="486"/>
      <c r="LTY24" s="486"/>
      <c r="LTZ24" s="486"/>
      <c r="LUA24" s="486"/>
      <c r="LUB24" s="486"/>
      <c r="LUC24" s="486"/>
      <c r="LUD24" s="486"/>
      <c r="LUE24" s="486"/>
      <c r="LUF24" s="486"/>
      <c r="LUG24" s="486"/>
      <c r="LUH24" s="486"/>
      <c r="LUI24" s="486"/>
      <c r="LUJ24" s="486"/>
      <c r="LUK24" s="486"/>
      <c r="LUL24" s="486"/>
      <c r="LUM24" s="486"/>
      <c r="LUN24" s="486"/>
      <c r="LUO24" s="486"/>
      <c r="LUP24" s="486"/>
      <c r="LUQ24" s="486"/>
      <c r="LUR24" s="486"/>
      <c r="LUS24" s="486"/>
      <c r="LUT24" s="486"/>
      <c r="LUU24" s="486"/>
      <c r="LUV24" s="486"/>
      <c r="LUW24" s="486"/>
      <c r="LUX24" s="486"/>
      <c r="LUY24" s="486"/>
      <c r="LUZ24" s="486"/>
      <c r="LVA24" s="486"/>
      <c r="LVB24" s="486"/>
      <c r="LVC24" s="486"/>
      <c r="LVD24" s="486"/>
      <c r="LVE24" s="486"/>
      <c r="LVF24" s="486"/>
      <c r="LVG24" s="486"/>
      <c r="LVH24" s="486"/>
      <c r="LVI24" s="486"/>
      <c r="LVJ24" s="486"/>
      <c r="LVK24" s="486"/>
      <c r="LVL24" s="486"/>
      <c r="LVM24" s="486"/>
      <c r="LVN24" s="486"/>
      <c r="LVO24" s="486"/>
      <c r="LVP24" s="486"/>
      <c r="LVQ24" s="486"/>
      <c r="LVR24" s="486"/>
      <c r="LVS24" s="486"/>
      <c r="LVT24" s="486"/>
      <c r="LVU24" s="486"/>
      <c r="LVV24" s="486"/>
      <c r="LVW24" s="486"/>
      <c r="LVX24" s="486"/>
      <c r="LVY24" s="486"/>
      <c r="LVZ24" s="486"/>
      <c r="LWA24" s="486"/>
      <c r="LWB24" s="486"/>
      <c r="LWC24" s="486"/>
      <c r="LWD24" s="486"/>
      <c r="LWE24" s="486"/>
      <c r="LWF24" s="486"/>
      <c r="LWG24" s="486"/>
      <c r="LWH24" s="486"/>
      <c r="LWI24" s="486"/>
      <c r="LWJ24" s="486"/>
      <c r="LWK24" s="486"/>
      <c r="LWL24" s="486"/>
      <c r="LWM24" s="486"/>
      <c r="LWN24" s="486"/>
      <c r="LWO24" s="486"/>
      <c r="LWP24" s="486"/>
      <c r="LWQ24" s="486"/>
      <c r="LWR24" s="486"/>
      <c r="LWS24" s="486"/>
      <c r="LWT24" s="486"/>
      <c r="LWU24" s="486"/>
      <c r="LWV24" s="486"/>
      <c r="LWW24" s="486"/>
      <c r="LWX24" s="486"/>
      <c r="LWY24" s="486"/>
      <c r="LWZ24" s="486"/>
      <c r="LXA24" s="486"/>
      <c r="LXB24" s="486"/>
      <c r="LXC24" s="486"/>
      <c r="LXD24" s="486"/>
      <c r="LXE24" s="486"/>
      <c r="LXF24" s="486"/>
      <c r="LXG24" s="486"/>
      <c r="LXH24" s="486"/>
      <c r="LXI24" s="486"/>
      <c r="LXJ24" s="486"/>
      <c r="LXK24" s="486"/>
      <c r="LXL24" s="486"/>
      <c r="LXM24" s="486"/>
      <c r="LXN24" s="486"/>
      <c r="LXO24" s="486"/>
      <c r="LXP24" s="486"/>
      <c r="LXQ24" s="486"/>
      <c r="LXR24" s="486"/>
      <c r="LXS24" s="486"/>
      <c r="LXT24" s="486"/>
      <c r="LXU24" s="486"/>
      <c r="LXV24" s="486"/>
      <c r="LXW24" s="486"/>
      <c r="LXX24" s="486"/>
      <c r="LXY24" s="486"/>
      <c r="LXZ24" s="486"/>
      <c r="LYA24" s="486"/>
      <c r="LYB24" s="486"/>
      <c r="LYC24" s="486"/>
      <c r="LYD24" s="486"/>
      <c r="LYE24" s="486"/>
      <c r="LYF24" s="486"/>
      <c r="LYG24" s="486"/>
      <c r="LYH24" s="486"/>
      <c r="LYI24" s="486"/>
      <c r="LYJ24" s="486"/>
      <c r="LYK24" s="486"/>
      <c r="LYL24" s="486"/>
      <c r="LYM24" s="486"/>
      <c r="LYN24" s="486"/>
      <c r="LYO24" s="486"/>
      <c r="LYP24" s="486"/>
      <c r="LYQ24" s="486"/>
      <c r="LYR24" s="486"/>
      <c r="LYS24" s="486"/>
      <c r="LYT24" s="486"/>
      <c r="LYU24" s="486"/>
      <c r="LYV24" s="486"/>
      <c r="LYW24" s="486"/>
      <c r="LYX24" s="486"/>
      <c r="LYY24" s="486"/>
      <c r="LYZ24" s="486"/>
      <c r="LZA24" s="486"/>
      <c r="LZB24" s="486"/>
      <c r="LZC24" s="486"/>
      <c r="LZD24" s="486"/>
      <c r="LZE24" s="486"/>
      <c r="LZF24" s="486"/>
      <c r="LZG24" s="486"/>
      <c r="LZH24" s="486"/>
      <c r="LZI24" s="486"/>
      <c r="LZJ24" s="486"/>
      <c r="LZK24" s="486"/>
      <c r="LZL24" s="486"/>
      <c r="LZM24" s="486"/>
      <c r="LZN24" s="486"/>
      <c r="LZO24" s="486"/>
      <c r="LZP24" s="486"/>
      <c r="LZQ24" s="486"/>
      <c r="LZR24" s="486"/>
      <c r="LZS24" s="486"/>
      <c r="LZT24" s="486"/>
      <c r="LZU24" s="486"/>
      <c r="LZV24" s="486"/>
      <c r="LZW24" s="486"/>
      <c r="LZX24" s="486"/>
      <c r="LZY24" s="486"/>
      <c r="LZZ24" s="486"/>
      <c r="MAA24" s="486"/>
      <c r="MAB24" s="486"/>
      <c r="MAC24" s="486"/>
      <c r="MAD24" s="486"/>
      <c r="MAE24" s="486"/>
      <c r="MAF24" s="486"/>
      <c r="MAG24" s="486"/>
      <c r="MAH24" s="486"/>
      <c r="MAI24" s="486"/>
      <c r="MAJ24" s="486"/>
      <c r="MAK24" s="486"/>
      <c r="MAL24" s="486"/>
      <c r="MAM24" s="486"/>
      <c r="MAN24" s="486"/>
      <c r="MAO24" s="486"/>
      <c r="MAP24" s="486"/>
      <c r="MAQ24" s="486"/>
      <c r="MAR24" s="486"/>
      <c r="MAS24" s="486"/>
      <c r="MAT24" s="486"/>
      <c r="MAU24" s="486"/>
      <c r="MAV24" s="486"/>
      <c r="MAW24" s="486"/>
      <c r="MAX24" s="486"/>
      <c r="MAY24" s="486"/>
      <c r="MAZ24" s="486"/>
      <c r="MBA24" s="486"/>
      <c r="MBB24" s="486"/>
      <c r="MBC24" s="486"/>
      <c r="MBD24" s="486"/>
      <c r="MBE24" s="486"/>
      <c r="MBF24" s="486"/>
      <c r="MBG24" s="486"/>
      <c r="MBH24" s="486"/>
      <c r="MBI24" s="486"/>
      <c r="MBJ24" s="486"/>
      <c r="MBK24" s="486"/>
      <c r="MBL24" s="486"/>
      <c r="MBM24" s="486"/>
      <c r="MBN24" s="486"/>
      <c r="MBO24" s="486"/>
      <c r="MBP24" s="486"/>
      <c r="MBQ24" s="486"/>
      <c r="MBR24" s="486"/>
      <c r="MBS24" s="486"/>
      <c r="MBT24" s="486"/>
      <c r="MBU24" s="486"/>
      <c r="MBV24" s="486"/>
      <c r="MBW24" s="486"/>
      <c r="MBX24" s="486"/>
      <c r="MBY24" s="486"/>
      <c r="MBZ24" s="486"/>
      <c r="MCA24" s="486"/>
      <c r="MCB24" s="486"/>
      <c r="MCC24" s="486"/>
      <c r="MCD24" s="486"/>
      <c r="MCE24" s="486"/>
      <c r="MCF24" s="486"/>
      <c r="MCG24" s="486"/>
      <c r="MCH24" s="486"/>
      <c r="MCI24" s="486"/>
      <c r="MCJ24" s="486"/>
      <c r="MCK24" s="486"/>
      <c r="MCL24" s="486"/>
      <c r="MCM24" s="486"/>
      <c r="MCN24" s="486"/>
      <c r="MCO24" s="486"/>
      <c r="MCP24" s="486"/>
      <c r="MCQ24" s="486"/>
      <c r="MCR24" s="486"/>
      <c r="MCS24" s="486"/>
      <c r="MCT24" s="486"/>
      <c r="MCU24" s="486"/>
      <c r="MCV24" s="486"/>
      <c r="MCW24" s="486"/>
      <c r="MCX24" s="486"/>
      <c r="MCY24" s="486"/>
      <c r="MCZ24" s="486"/>
      <c r="MDA24" s="486"/>
      <c r="MDB24" s="486"/>
      <c r="MDC24" s="486"/>
      <c r="MDD24" s="486"/>
      <c r="MDE24" s="486"/>
      <c r="MDF24" s="486"/>
      <c r="MDG24" s="486"/>
      <c r="MDH24" s="486"/>
      <c r="MDI24" s="486"/>
      <c r="MDJ24" s="486"/>
      <c r="MDK24" s="486"/>
      <c r="MDL24" s="486"/>
      <c r="MDM24" s="486"/>
      <c r="MDN24" s="486"/>
      <c r="MDO24" s="486"/>
      <c r="MDP24" s="486"/>
      <c r="MDQ24" s="486"/>
      <c r="MDR24" s="486"/>
      <c r="MDS24" s="486"/>
      <c r="MDT24" s="486"/>
      <c r="MDU24" s="486"/>
      <c r="MDV24" s="486"/>
      <c r="MDW24" s="486"/>
      <c r="MDX24" s="486"/>
      <c r="MDY24" s="486"/>
      <c r="MDZ24" s="486"/>
      <c r="MEA24" s="486"/>
      <c r="MEB24" s="486"/>
      <c r="MEC24" s="486"/>
      <c r="MED24" s="486"/>
      <c r="MEE24" s="486"/>
      <c r="MEF24" s="486"/>
      <c r="MEG24" s="486"/>
      <c r="MEH24" s="486"/>
      <c r="MEI24" s="486"/>
      <c r="MEJ24" s="486"/>
      <c r="MEK24" s="486"/>
      <c r="MEL24" s="486"/>
      <c r="MEM24" s="486"/>
      <c r="MEN24" s="486"/>
      <c r="MEO24" s="486"/>
      <c r="MEP24" s="486"/>
      <c r="MEQ24" s="486"/>
      <c r="MER24" s="486"/>
      <c r="MES24" s="486"/>
      <c r="MET24" s="486"/>
      <c r="MEU24" s="486"/>
      <c r="MEV24" s="486"/>
      <c r="MEW24" s="486"/>
      <c r="MEX24" s="486"/>
      <c r="MEY24" s="486"/>
      <c r="MEZ24" s="486"/>
      <c r="MFA24" s="486"/>
      <c r="MFB24" s="486"/>
      <c r="MFC24" s="486"/>
      <c r="MFD24" s="486"/>
      <c r="MFE24" s="486"/>
      <c r="MFF24" s="486"/>
      <c r="MFG24" s="486"/>
      <c r="MFH24" s="486"/>
      <c r="MFI24" s="486"/>
      <c r="MFJ24" s="486"/>
      <c r="MFK24" s="486"/>
      <c r="MFL24" s="486"/>
      <c r="MFM24" s="486"/>
      <c r="MFN24" s="486"/>
      <c r="MFO24" s="486"/>
      <c r="MFP24" s="486"/>
      <c r="MFQ24" s="486"/>
      <c r="MFR24" s="486"/>
      <c r="MFS24" s="486"/>
      <c r="MFT24" s="486"/>
      <c r="MFU24" s="486"/>
      <c r="MFV24" s="486"/>
      <c r="MFW24" s="486"/>
      <c r="MFX24" s="486"/>
      <c r="MFY24" s="486"/>
      <c r="MFZ24" s="486"/>
      <c r="MGA24" s="486"/>
      <c r="MGB24" s="486"/>
      <c r="MGC24" s="486"/>
      <c r="MGD24" s="486"/>
      <c r="MGE24" s="486"/>
      <c r="MGF24" s="486"/>
      <c r="MGG24" s="486"/>
      <c r="MGH24" s="486"/>
      <c r="MGI24" s="486"/>
      <c r="MGJ24" s="486"/>
      <c r="MGK24" s="486"/>
      <c r="MGL24" s="486"/>
      <c r="MGM24" s="486"/>
      <c r="MGN24" s="486"/>
      <c r="MGO24" s="486"/>
      <c r="MGP24" s="486"/>
      <c r="MGQ24" s="486"/>
      <c r="MGR24" s="486"/>
      <c r="MGS24" s="486"/>
      <c r="MGT24" s="486"/>
      <c r="MGU24" s="486"/>
      <c r="MGV24" s="486"/>
      <c r="MGW24" s="486"/>
      <c r="MGX24" s="486"/>
      <c r="MGY24" s="486"/>
      <c r="MGZ24" s="486"/>
      <c r="MHA24" s="486"/>
      <c r="MHB24" s="486"/>
      <c r="MHC24" s="486"/>
      <c r="MHD24" s="486"/>
      <c r="MHE24" s="486"/>
      <c r="MHF24" s="486"/>
      <c r="MHG24" s="486"/>
      <c r="MHH24" s="486"/>
      <c r="MHI24" s="486"/>
      <c r="MHJ24" s="486"/>
      <c r="MHK24" s="486"/>
      <c r="MHL24" s="486"/>
      <c r="MHM24" s="486"/>
      <c r="MHN24" s="486"/>
      <c r="MHO24" s="486"/>
      <c r="MHP24" s="486"/>
      <c r="MHQ24" s="486"/>
      <c r="MHR24" s="486"/>
      <c r="MHS24" s="486"/>
      <c r="MHT24" s="486"/>
      <c r="MHU24" s="486"/>
      <c r="MHV24" s="486"/>
      <c r="MHW24" s="486"/>
      <c r="MHX24" s="486"/>
      <c r="MHY24" s="486"/>
      <c r="MHZ24" s="486"/>
      <c r="MIA24" s="486"/>
      <c r="MIB24" s="486"/>
      <c r="MIC24" s="486"/>
      <c r="MID24" s="486"/>
      <c r="MIE24" s="486"/>
      <c r="MIF24" s="486"/>
      <c r="MIG24" s="486"/>
      <c r="MIH24" s="486"/>
      <c r="MII24" s="486"/>
      <c r="MIJ24" s="486"/>
      <c r="MIK24" s="486"/>
      <c r="MIL24" s="486"/>
      <c r="MIM24" s="486"/>
      <c r="MIN24" s="486"/>
      <c r="MIO24" s="486"/>
      <c r="MIP24" s="486"/>
      <c r="MIQ24" s="486"/>
      <c r="MIR24" s="486"/>
      <c r="MIS24" s="486"/>
      <c r="MIT24" s="486"/>
      <c r="MIU24" s="486"/>
      <c r="MIV24" s="486"/>
      <c r="MIW24" s="486"/>
      <c r="MIX24" s="486"/>
      <c r="MIY24" s="486"/>
      <c r="MIZ24" s="486"/>
      <c r="MJA24" s="486"/>
      <c r="MJB24" s="486"/>
      <c r="MJC24" s="486"/>
      <c r="MJD24" s="486"/>
      <c r="MJE24" s="486"/>
      <c r="MJF24" s="486"/>
      <c r="MJG24" s="486"/>
      <c r="MJH24" s="486"/>
      <c r="MJI24" s="486"/>
      <c r="MJJ24" s="486"/>
      <c r="MJK24" s="486"/>
      <c r="MJL24" s="486"/>
      <c r="MJM24" s="486"/>
      <c r="MJN24" s="486"/>
      <c r="MJO24" s="486"/>
      <c r="MJP24" s="486"/>
      <c r="MJQ24" s="486"/>
      <c r="MJR24" s="486"/>
      <c r="MJS24" s="486"/>
      <c r="MJT24" s="486"/>
      <c r="MJU24" s="486"/>
      <c r="MJV24" s="486"/>
      <c r="MJW24" s="486"/>
      <c r="MJX24" s="486"/>
      <c r="MJY24" s="486"/>
      <c r="MJZ24" s="486"/>
      <c r="MKA24" s="486"/>
      <c r="MKB24" s="486"/>
      <c r="MKC24" s="486"/>
      <c r="MKD24" s="486"/>
      <c r="MKE24" s="486"/>
      <c r="MKF24" s="486"/>
      <c r="MKG24" s="486"/>
      <c r="MKH24" s="486"/>
      <c r="MKI24" s="486"/>
      <c r="MKJ24" s="486"/>
      <c r="MKK24" s="486"/>
      <c r="MKL24" s="486"/>
      <c r="MKM24" s="486"/>
      <c r="MKN24" s="486"/>
      <c r="MKO24" s="486"/>
      <c r="MKP24" s="486"/>
      <c r="MKQ24" s="486"/>
      <c r="MKR24" s="486"/>
      <c r="MKS24" s="486"/>
      <c r="MKT24" s="486"/>
      <c r="MKU24" s="486"/>
      <c r="MKV24" s="486"/>
      <c r="MKW24" s="486"/>
      <c r="MKX24" s="486"/>
      <c r="MKY24" s="486"/>
      <c r="MKZ24" s="486"/>
      <c r="MLA24" s="486"/>
      <c r="MLB24" s="486"/>
      <c r="MLC24" s="486"/>
      <c r="MLD24" s="486"/>
      <c r="MLE24" s="486"/>
      <c r="MLF24" s="486"/>
      <c r="MLG24" s="486"/>
      <c r="MLH24" s="486"/>
      <c r="MLI24" s="486"/>
      <c r="MLJ24" s="486"/>
      <c r="MLK24" s="486"/>
      <c r="MLL24" s="486"/>
      <c r="MLM24" s="486"/>
      <c r="MLN24" s="486"/>
      <c r="MLO24" s="486"/>
      <c r="MLP24" s="486"/>
      <c r="MLQ24" s="486"/>
      <c r="MLR24" s="486"/>
      <c r="MLS24" s="486"/>
      <c r="MLT24" s="486"/>
      <c r="MLU24" s="486"/>
      <c r="MLV24" s="486"/>
      <c r="MLW24" s="486"/>
      <c r="MLX24" s="486"/>
      <c r="MLY24" s="486"/>
      <c r="MLZ24" s="486"/>
      <c r="MMA24" s="486"/>
      <c r="MMB24" s="486"/>
      <c r="MMC24" s="486"/>
      <c r="MMD24" s="486"/>
      <c r="MME24" s="486"/>
      <c r="MMF24" s="486"/>
      <c r="MMG24" s="486"/>
      <c r="MMH24" s="486"/>
      <c r="MMI24" s="486"/>
      <c r="MMJ24" s="486"/>
      <c r="MMK24" s="486"/>
      <c r="MML24" s="486"/>
      <c r="MMM24" s="486"/>
      <c r="MMN24" s="486"/>
      <c r="MMO24" s="486"/>
      <c r="MMP24" s="486"/>
      <c r="MMQ24" s="486"/>
      <c r="MMR24" s="486"/>
      <c r="MMS24" s="486"/>
      <c r="MMT24" s="486"/>
      <c r="MMU24" s="486"/>
      <c r="MMV24" s="486"/>
      <c r="MMW24" s="486"/>
      <c r="MMX24" s="486"/>
      <c r="MMY24" s="486"/>
      <c r="MMZ24" s="486"/>
      <c r="MNA24" s="486"/>
      <c r="MNB24" s="486"/>
      <c r="MNC24" s="486"/>
      <c r="MND24" s="486"/>
      <c r="MNE24" s="486"/>
      <c r="MNF24" s="486"/>
      <c r="MNG24" s="486"/>
      <c r="MNH24" s="486"/>
      <c r="MNI24" s="486"/>
      <c r="MNJ24" s="486"/>
      <c r="MNK24" s="486"/>
      <c r="MNL24" s="486"/>
      <c r="MNM24" s="486"/>
      <c r="MNN24" s="486"/>
      <c r="MNO24" s="486"/>
      <c r="MNP24" s="486"/>
      <c r="MNQ24" s="486"/>
      <c r="MNR24" s="486"/>
      <c r="MNS24" s="486"/>
      <c r="MNT24" s="486"/>
      <c r="MNU24" s="486"/>
      <c r="MNV24" s="486"/>
      <c r="MNW24" s="486"/>
      <c r="MNX24" s="486"/>
      <c r="MNY24" s="486"/>
      <c r="MNZ24" s="486"/>
      <c r="MOA24" s="486"/>
      <c r="MOB24" s="486"/>
      <c r="MOC24" s="486"/>
      <c r="MOD24" s="486"/>
      <c r="MOE24" s="486"/>
      <c r="MOF24" s="486"/>
      <c r="MOG24" s="486"/>
      <c r="MOH24" s="486"/>
      <c r="MOI24" s="486"/>
      <c r="MOJ24" s="486"/>
      <c r="MOK24" s="486"/>
      <c r="MOL24" s="486"/>
      <c r="MOM24" s="486"/>
      <c r="MON24" s="486"/>
      <c r="MOO24" s="486"/>
      <c r="MOP24" s="486"/>
      <c r="MOQ24" s="486"/>
      <c r="MOR24" s="486"/>
      <c r="MOS24" s="486"/>
      <c r="MOT24" s="486"/>
      <c r="MOU24" s="486"/>
      <c r="MOV24" s="486"/>
      <c r="MOW24" s="486"/>
      <c r="MOX24" s="486"/>
      <c r="MOY24" s="486"/>
      <c r="MOZ24" s="486"/>
      <c r="MPA24" s="486"/>
      <c r="MPB24" s="486"/>
      <c r="MPC24" s="486"/>
      <c r="MPD24" s="486"/>
      <c r="MPE24" s="486"/>
      <c r="MPF24" s="486"/>
      <c r="MPG24" s="486"/>
      <c r="MPH24" s="486"/>
      <c r="MPI24" s="486"/>
      <c r="MPJ24" s="486"/>
      <c r="MPK24" s="486"/>
      <c r="MPL24" s="486"/>
      <c r="MPM24" s="486"/>
      <c r="MPN24" s="486"/>
      <c r="MPO24" s="486"/>
      <c r="MPP24" s="486"/>
      <c r="MPQ24" s="486"/>
      <c r="MPR24" s="486"/>
      <c r="MPS24" s="486"/>
      <c r="MPT24" s="486"/>
      <c r="MPU24" s="486"/>
      <c r="MPV24" s="486"/>
      <c r="MPW24" s="486"/>
      <c r="MPX24" s="486"/>
      <c r="MPY24" s="486"/>
      <c r="MPZ24" s="486"/>
      <c r="MQA24" s="486"/>
      <c r="MQB24" s="486"/>
      <c r="MQC24" s="486"/>
      <c r="MQD24" s="486"/>
      <c r="MQE24" s="486"/>
      <c r="MQF24" s="486"/>
      <c r="MQG24" s="486"/>
      <c r="MQH24" s="486"/>
      <c r="MQI24" s="486"/>
      <c r="MQJ24" s="486"/>
      <c r="MQK24" s="486"/>
      <c r="MQL24" s="486"/>
      <c r="MQM24" s="486"/>
      <c r="MQN24" s="486"/>
      <c r="MQO24" s="486"/>
      <c r="MQP24" s="486"/>
      <c r="MQQ24" s="486"/>
      <c r="MQR24" s="486"/>
      <c r="MQS24" s="486"/>
      <c r="MQT24" s="486"/>
      <c r="MQU24" s="486"/>
      <c r="MQV24" s="486"/>
      <c r="MQW24" s="486"/>
      <c r="MQX24" s="486"/>
      <c r="MQY24" s="486"/>
      <c r="MQZ24" s="486"/>
      <c r="MRA24" s="486"/>
      <c r="MRB24" s="486"/>
      <c r="MRC24" s="486"/>
      <c r="MRD24" s="486"/>
      <c r="MRE24" s="486"/>
      <c r="MRF24" s="486"/>
      <c r="MRG24" s="486"/>
      <c r="MRH24" s="486"/>
      <c r="MRI24" s="486"/>
      <c r="MRJ24" s="486"/>
      <c r="MRK24" s="486"/>
      <c r="MRL24" s="486"/>
      <c r="MRM24" s="486"/>
      <c r="MRN24" s="486"/>
      <c r="MRO24" s="486"/>
      <c r="MRP24" s="486"/>
      <c r="MRQ24" s="486"/>
      <c r="MRR24" s="486"/>
      <c r="MRS24" s="486"/>
      <c r="MRT24" s="486"/>
      <c r="MRU24" s="486"/>
      <c r="MRV24" s="486"/>
      <c r="MRW24" s="486"/>
      <c r="MRX24" s="486"/>
      <c r="MRY24" s="486"/>
      <c r="MRZ24" s="486"/>
      <c r="MSA24" s="486"/>
      <c r="MSB24" s="486"/>
      <c r="MSC24" s="486"/>
      <c r="MSD24" s="486"/>
      <c r="MSE24" s="486"/>
      <c r="MSF24" s="486"/>
      <c r="MSG24" s="486"/>
      <c r="MSH24" s="486"/>
      <c r="MSI24" s="486"/>
      <c r="MSJ24" s="486"/>
      <c r="MSK24" s="486"/>
      <c r="MSL24" s="486"/>
      <c r="MSM24" s="486"/>
      <c r="MSN24" s="486"/>
      <c r="MSO24" s="486"/>
      <c r="MSP24" s="486"/>
      <c r="MSQ24" s="486"/>
      <c r="MSR24" s="486"/>
      <c r="MSS24" s="486"/>
      <c r="MST24" s="486"/>
      <c r="MSU24" s="486"/>
      <c r="MSV24" s="486"/>
      <c r="MSW24" s="486"/>
      <c r="MSX24" s="486"/>
      <c r="MSY24" s="486"/>
      <c r="MSZ24" s="486"/>
      <c r="MTA24" s="486"/>
      <c r="MTB24" s="486"/>
      <c r="MTC24" s="486"/>
      <c r="MTD24" s="486"/>
      <c r="MTE24" s="486"/>
      <c r="MTF24" s="486"/>
      <c r="MTG24" s="486"/>
      <c r="MTH24" s="486"/>
      <c r="MTI24" s="486"/>
      <c r="MTJ24" s="486"/>
      <c r="MTK24" s="486"/>
      <c r="MTL24" s="486"/>
      <c r="MTM24" s="486"/>
      <c r="MTN24" s="486"/>
      <c r="MTO24" s="486"/>
      <c r="MTP24" s="486"/>
      <c r="MTQ24" s="486"/>
      <c r="MTR24" s="486"/>
      <c r="MTS24" s="486"/>
      <c r="MTT24" s="486"/>
      <c r="MTU24" s="486"/>
      <c r="MTV24" s="486"/>
      <c r="MTW24" s="486"/>
      <c r="MTX24" s="486"/>
      <c r="MTY24" s="486"/>
      <c r="MTZ24" s="486"/>
      <c r="MUA24" s="486"/>
      <c r="MUB24" s="486"/>
      <c r="MUC24" s="486"/>
      <c r="MUD24" s="486"/>
      <c r="MUE24" s="486"/>
      <c r="MUF24" s="486"/>
      <c r="MUG24" s="486"/>
      <c r="MUH24" s="486"/>
      <c r="MUI24" s="486"/>
      <c r="MUJ24" s="486"/>
      <c r="MUK24" s="486"/>
      <c r="MUL24" s="486"/>
      <c r="MUM24" s="486"/>
      <c r="MUN24" s="486"/>
      <c r="MUO24" s="486"/>
      <c r="MUP24" s="486"/>
      <c r="MUQ24" s="486"/>
      <c r="MUR24" s="486"/>
      <c r="MUS24" s="486"/>
      <c r="MUT24" s="486"/>
      <c r="MUU24" s="486"/>
      <c r="MUV24" s="486"/>
      <c r="MUW24" s="486"/>
      <c r="MUX24" s="486"/>
      <c r="MUY24" s="486"/>
      <c r="MUZ24" s="486"/>
      <c r="MVA24" s="486"/>
      <c r="MVB24" s="486"/>
      <c r="MVC24" s="486"/>
      <c r="MVD24" s="486"/>
      <c r="MVE24" s="486"/>
      <c r="MVF24" s="486"/>
      <c r="MVG24" s="486"/>
      <c r="MVH24" s="486"/>
      <c r="MVI24" s="486"/>
      <c r="MVJ24" s="486"/>
      <c r="MVK24" s="486"/>
      <c r="MVL24" s="486"/>
      <c r="MVM24" s="486"/>
      <c r="MVN24" s="486"/>
      <c r="MVO24" s="486"/>
      <c r="MVP24" s="486"/>
      <c r="MVQ24" s="486"/>
      <c r="MVR24" s="486"/>
      <c r="MVS24" s="486"/>
      <c r="MVT24" s="486"/>
      <c r="MVU24" s="486"/>
      <c r="MVV24" s="486"/>
      <c r="MVW24" s="486"/>
      <c r="MVX24" s="486"/>
      <c r="MVY24" s="486"/>
      <c r="MVZ24" s="486"/>
      <c r="MWA24" s="486"/>
      <c r="MWB24" s="486"/>
      <c r="MWC24" s="486"/>
      <c r="MWD24" s="486"/>
      <c r="MWE24" s="486"/>
      <c r="MWF24" s="486"/>
      <c r="MWG24" s="486"/>
      <c r="MWH24" s="486"/>
      <c r="MWI24" s="486"/>
      <c r="MWJ24" s="486"/>
      <c r="MWK24" s="486"/>
      <c r="MWL24" s="486"/>
      <c r="MWM24" s="486"/>
      <c r="MWN24" s="486"/>
      <c r="MWO24" s="486"/>
      <c r="MWP24" s="486"/>
      <c r="MWQ24" s="486"/>
      <c r="MWR24" s="486"/>
      <c r="MWS24" s="486"/>
      <c r="MWT24" s="486"/>
      <c r="MWU24" s="486"/>
      <c r="MWV24" s="486"/>
      <c r="MWW24" s="486"/>
      <c r="MWX24" s="486"/>
      <c r="MWY24" s="486"/>
      <c r="MWZ24" s="486"/>
      <c r="MXA24" s="486"/>
      <c r="MXB24" s="486"/>
      <c r="MXC24" s="486"/>
      <c r="MXD24" s="486"/>
      <c r="MXE24" s="486"/>
      <c r="MXF24" s="486"/>
      <c r="MXG24" s="486"/>
      <c r="MXH24" s="486"/>
      <c r="MXI24" s="486"/>
      <c r="MXJ24" s="486"/>
      <c r="MXK24" s="486"/>
      <c r="MXL24" s="486"/>
      <c r="MXM24" s="486"/>
      <c r="MXN24" s="486"/>
      <c r="MXO24" s="486"/>
      <c r="MXP24" s="486"/>
      <c r="MXQ24" s="486"/>
      <c r="MXR24" s="486"/>
      <c r="MXS24" s="486"/>
      <c r="MXT24" s="486"/>
      <c r="MXU24" s="486"/>
      <c r="MXV24" s="486"/>
      <c r="MXW24" s="486"/>
      <c r="MXX24" s="486"/>
      <c r="MXY24" s="486"/>
      <c r="MXZ24" s="486"/>
      <c r="MYA24" s="486"/>
      <c r="MYB24" s="486"/>
      <c r="MYC24" s="486"/>
      <c r="MYD24" s="486"/>
      <c r="MYE24" s="486"/>
      <c r="MYF24" s="486"/>
      <c r="MYG24" s="486"/>
      <c r="MYH24" s="486"/>
      <c r="MYI24" s="486"/>
      <c r="MYJ24" s="486"/>
      <c r="MYK24" s="486"/>
      <c r="MYL24" s="486"/>
      <c r="MYM24" s="486"/>
      <c r="MYN24" s="486"/>
      <c r="MYO24" s="486"/>
      <c r="MYP24" s="486"/>
      <c r="MYQ24" s="486"/>
      <c r="MYR24" s="486"/>
      <c r="MYS24" s="486"/>
      <c r="MYT24" s="486"/>
      <c r="MYU24" s="486"/>
      <c r="MYV24" s="486"/>
      <c r="MYW24" s="486"/>
      <c r="MYX24" s="486"/>
      <c r="MYY24" s="486"/>
      <c r="MYZ24" s="486"/>
      <c r="MZA24" s="486"/>
      <c r="MZB24" s="486"/>
      <c r="MZC24" s="486"/>
      <c r="MZD24" s="486"/>
      <c r="MZE24" s="486"/>
      <c r="MZF24" s="486"/>
      <c r="MZG24" s="486"/>
      <c r="MZH24" s="486"/>
      <c r="MZI24" s="486"/>
      <c r="MZJ24" s="486"/>
      <c r="MZK24" s="486"/>
      <c r="MZL24" s="486"/>
      <c r="MZM24" s="486"/>
      <c r="MZN24" s="486"/>
      <c r="MZO24" s="486"/>
      <c r="MZP24" s="486"/>
      <c r="MZQ24" s="486"/>
      <c r="MZR24" s="486"/>
      <c r="MZS24" s="486"/>
      <c r="MZT24" s="486"/>
      <c r="MZU24" s="486"/>
      <c r="MZV24" s="486"/>
      <c r="MZW24" s="486"/>
      <c r="MZX24" s="486"/>
      <c r="MZY24" s="486"/>
      <c r="MZZ24" s="486"/>
      <c r="NAA24" s="486"/>
      <c r="NAB24" s="486"/>
      <c r="NAC24" s="486"/>
      <c r="NAD24" s="486"/>
      <c r="NAE24" s="486"/>
      <c r="NAF24" s="486"/>
      <c r="NAG24" s="486"/>
      <c r="NAH24" s="486"/>
      <c r="NAI24" s="486"/>
      <c r="NAJ24" s="486"/>
      <c r="NAK24" s="486"/>
      <c r="NAL24" s="486"/>
      <c r="NAM24" s="486"/>
      <c r="NAN24" s="486"/>
      <c r="NAO24" s="486"/>
      <c r="NAP24" s="486"/>
      <c r="NAQ24" s="486"/>
      <c r="NAR24" s="486"/>
      <c r="NAS24" s="486"/>
      <c r="NAT24" s="486"/>
      <c r="NAU24" s="486"/>
      <c r="NAV24" s="486"/>
      <c r="NAW24" s="486"/>
      <c r="NAX24" s="486"/>
      <c r="NAY24" s="486"/>
      <c r="NAZ24" s="486"/>
      <c r="NBA24" s="486"/>
      <c r="NBB24" s="486"/>
      <c r="NBC24" s="486"/>
      <c r="NBD24" s="486"/>
      <c r="NBE24" s="486"/>
      <c r="NBF24" s="486"/>
      <c r="NBG24" s="486"/>
      <c r="NBH24" s="486"/>
      <c r="NBI24" s="486"/>
      <c r="NBJ24" s="486"/>
      <c r="NBK24" s="486"/>
      <c r="NBL24" s="486"/>
      <c r="NBM24" s="486"/>
      <c r="NBN24" s="486"/>
      <c r="NBO24" s="486"/>
      <c r="NBP24" s="486"/>
      <c r="NBQ24" s="486"/>
      <c r="NBR24" s="486"/>
      <c r="NBS24" s="486"/>
      <c r="NBT24" s="486"/>
      <c r="NBU24" s="486"/>
      <c r="NBV24" s="486"/>
      <c r="NBW24" s="486"/>
      <c r="NBX24" s="486"/>
      <c r="NBY24" s="486"/>
      <c r="NBZ24" s="486"/>
      <c r="NCA24" s="486"/>
      <c r="NCB24" s="486"/>
      <c r="NCC24" s="486"/>
      <c r="NCD24" s="486"/>
      <c r="NCE24" s="486"/>
      <c r="NCF24" s="486"/>
      <c r="NCG24" s="486"/>
      <c r="NCH24" s="486"/>
      <c r="NCI24" s="486"/>
      <c r="NCJ24" s="486"/>
      <c r="NCK24" s="486"/>
      <c r="NCL24" s="486"/>
      <c r="NCM24" s="486"/>
      <c r="NCN24" s="486"/>
      <c r="NCO24" s="486"/>
      <c r="NCP24" s="486"/>
      <c r="NCQ24" s="486"/>
      <c r="NCR24" s="486"/>
      <c r="NCS24" s="486"/>
      <c r="NCT24" s="486"/>
      <c r="NCU24" s="486"/>
      <c r="NCV24" s="486"/>
      <c r="NCW24" s="486"/>
      <c r="NCX24" s="486"/>
      <c r="NCY24" s="486"/>
      <c r="NCZ24" s="486"/>
      <c r="NDA24" s="486"/>
      <c r="NDB24" s="486"/>
      <c r="NDC24" s="486"/>
      <c r="NDD24" s="486"/>
      <c r="NDE24" s="486"/>
      <c r="NDF24" s="486"/>
      <c r="NDG24" s="486"/>
      <c r="NDH24" s="486"/>
      <c r="NDI24" s="486"/>
      <c r="NDJ24" s="486"/>
      <c r="NDK24" s="486"/>
      <c r="NDL24" s="486"/>
      <c r="NDM24" s="486"/>
      <c r="NDN24" s="486"/>
      <c r="NDO24" s="486"/>
      <c r="NDP24" s="486"/>
      <c r="NDQ24" s="486"/>
      <c r="NDR24" s="486"/>
      <c r="NDS24" s="486"/>
      <c r="NDT24" s="486"/>
      <c r="NDU24" s="486"/>
      <c r="NDV24" s="486"/>
      <c r="NDW24" s="486"/>
      <c r="NDX24" s="486"/>
      <c r="NDY24" s="486"/>
      <c r="NDZ24" s="486"/>
      <c r="NEA24" s="486"/>
      <c r="NEB24" s="486"/>
      <c r="NEC24" s="486"/>
      <c r="NED24" s="486"/>
      <c r="NEE24" s="486"/>
      <c r="NEF24" s="486"/>
      <c r="NEG24" s="486"/>
      <c r="NEH24" s="486"/>
      <c r="NEI24" s="486"/>
      <c r="NEJ24" s="486"/>
      <c r="NEK24" s="486"/>
      <c r="NEL24" s="486"/>
      <c r="NEM24" s="486"/>
      <c r="NEN24" s="486"/>
      <c r="NEO24" s="486"/>
      <c r="NEP24" s="486"/>
      <c r="NEQ24" s="486"/>
      <c r="NER24" s="486"/>
      <c r="NES24" s="486"/>
      <c r="NET24" s="486"/>
      <c r="NEU24" s="486"/>
      <c r="NEV24" s="486"/>
      <c r="NEW24" s="486"/>
      <c r="NEX24" s="486"/>
      <c r="NEY24" s="486"/>
      <c r="NEZ24" s="486"/>
      <c r="NFA24" s="486"/>
      <c r="NFB24" s="486"/>
      <c r="NFC24" s="486"/>
      <c r="NFD24" s="486"/>
      <c r="NFE24" s="486"/>
      <c r="NFF24" s="486"/>
      <c r="NFG24" s="486"/>
      <c r="NFH24" s="486"/>
      <c r="NFI24" s="486"/>
      <c r="NFJ24" s="486"/>
      <c r="NFK24" s="486"/>
      <c r="NFL24" s="486"/>
      <c r="NFM24" s="486"/>
      <c r="NFN24" s="486"/>
      <c r="NFO24" s="486"/>
      <c r="NFP24" s="486"/>
      <c r="NFQ24" s="486"/>
      <c r="NFR24" s="486"/>
      <c r="NFS24" s="486"/>
      <c r="NFT24" s="486"/>
      <c r="NFU24" s="486"/>
      <c r="NFV24" s="486"/>
      <c r="NFW24" s="486"/>
      <c r="NFX24" s="486"/>
      <c r="NFY24" s="486"/>
      <c r="NFZ24" s="486"/>
      <c r="NGA24" s="486"/>
      <c r="NGB24" s="486"/>
      <c r="NGC24" s="486"/>
      <c r="NGD24" s="486"/>
      <c r="NGE24" s="486"/>
      <c r="NGF24" s="486"/>
      <c r="NGG24" s="486"/>
      <c r="NGH24" s="486"/>
      <c r="NGI24" s="486"/>
      <c r="NGJ24" s="486"/>
      <c r="NGK24" s="486"/>
      <c r="NGL24" s="486"/>
      <c r="NGM24" s="486"/>
      <c r="NGN24" s="486"/>
      <c r="NGO24" s="486"/>
      <c r="NGP24" s="486"/>
      <c r="NGQ24" s="486"/>
      <c r="NGR24" s="486"/>
      <c r="NGS24" s="486"/>
      <c r="NGT24" s="486"/>
      <c r="NGU24" s="486"/>
      <c r="NGV24" s="486"/>
      <c r="NGW24" s="486"/>
      <c r="NGX24" s="486"/>
      <c r="NGY24" s="486"/>
      <c r="NGZ24" s="486"/>
      <c r="NHA24" s="486"/>
      <c r="NHB24" s="486"/>
      <c r="NHC24" s="486"/>
      <c r="NHD24" s="486"/>
      <c r="NHE24" s="486"/>
      <c r="NHF24" s="486"/>
      <c r="NHG24" s="486"/>
      <c r="NHH24" s="486"/>
      <c r="NHI24" s="486"/>
      <c r="NHJ24" s="486"/>
      <c r="NHK24" s="486"/>
      <c r="NHL24" s="486"/>
      <c r="NHM24" s="486"/>
      <c r="NHN24" s="486"/>
      <c r="NHO24" s="486"/>
      <c r="NHP24" s="486"/>
      <c r="NHQ24" s="486"/>
      <c r="NHR24" s="486"/>
      <c r="NHS24" s="486"/>
      <c r="NHT24" s="486"/>
      <c r="NHU24" s="486"/>
      <c r="NHV24" s="486"/>
      <c r="NHW24" s="486"/>
      <c r="NHX24" s="486"/>
      <c r="NHY24" s="486"/>
      <c r="NHZ24" s="486"/>
      <c r="NIA24" s="486"/>
      <c r="NIB24" s="486"/>
      <c r="NIC24" s="486"/>
      <c r="NID24" s="486"/>
      <c r="NIE24" s="486"/>
      <c r="NIF24" s="486"/>
      <c r="NIG24" s="486"/>
      <c r="NIH24" s="486"/>
      <c r="NII24" s="486"/>
      <c r="NIJ24" s="486"/>
      <c r="NIK24" s="486"/>
      <c r="NIL24" s="486"/>
      <c r="NIM24" s="486"/>
      <c r="NIN24" s="486"/>
      <c r="NIO24" s="486"/>
      <c r="NIP24" s="486"/>
      <c r="NIQ24" s="486"/>
      <c r="NIR24" s="486"/>
      <c r="NIS24" s="486"/>
      <c r="NIT24" s="486"/>
      <c r="NIU24" s="486"/>
      <c r="NIV24" s="486"/>
      <c r="NIW24" s="486"/>
      <c r="NIX24" s="486"/>
      <c r="NIY24" s="486"/>
      <c r="NIZ24" s="486"/>
      <c r="NJA24" s="486"/>
      <c r="NJB24" s="486"/>
      <c r="NJC24" s="486"/>
      <c r="NJD24" s="486"/>
      <c r="NJE24" s="486"/>
      <c r="NJF24" s="486"/>
      <c r="NJG24" s="486"/>
      <c r="NJH24" s="486"/>
      <c r="NJI24" s="486"/>
      <c r="NJJ24" s="486"/>
      <c r="NJK24" s="486"/>
      <c r="NJL24" s="486"/>
      <c r="NJM24" s="486"/>
      <c r="NJN24" s="486"/>
      <c r="NJO24" s="486"/>
      <c r="NJP24" s="486"/>
      <c r="NJQ24" s="486"/>
      <c r="NJR24" s="486"/>
      <c r="NJS24" s="486"/>
      <c r="NJT24" s="486"/>
      <c r="NJU24" s="486"/>
      <c r="NJV24" s="486"/>
      <c r="NJW24" s="486"/>
      <c r="NJX24" s="486"/>
      <c r="NJY24" s="486"/>
      <c r="NJZ24" s="486"/>
      <c r="NKA24" s="486"/>
      <c r="NKB24" s="486"/>
      <c r="NKC24" s="486"/>
      <c r="NKD24" s="486"/>
      <c r="NKE24" s="486"/>
      <c r="NKF24" s="486"/>
      <c r="NKG24" s="486"/>
      <c r="NKH24" s="486"/>
      <c r="NKI24" s="486"/>
      <c r="NKJ24" s="486"/>
      <c r="NKK24" s="486"/>
      <c r="NKL24" s="486"/>
      <c r="NKM24" s="486"/>
      <c r="NKN24" s="486"/>
      <c r="NKO24" s="486"/>
      <c r="NKP24" s="486"/>
      <c r="NKQ24" s="486"/>
      <c r="NKR24" s="486"/>
      <c r="NKS24" s="486"/>
      <c r="NKT24" s="486"/>
      <c r="NKU24" s="486"/>
      <c r="NKV24" s="486"/>
      <c r="NKW24" s="486"/>
      <c r="NKX24" s="486"/>
      <c r="NKY24" s="486"/>
      <c r="NKZ24" s="486"/>
      <c r="NLA24" s="486"/>
      <c r="NLB24" s="486"/>
      <c r="NLC24" s="486"/>
      <c r="NLD24" s="486"/>
      <c r="NLE24" s="486"/>
      <c r="NLF24" s="486"/>
      <c r="NLG24" s="486"/>
      <c r="NLH24" s="486"/>
      <c r="NLI24" s="486"/>
      <c r="NLJ24" s="486"/>
      <c r="NLK24" s="486"/>
      <c r="NLL24" s="486"/>
      <c r="NLM24" s="486"/>
      <c r="NLN24" s="486"/>
      <c r="NLO24" s="486"/>
      <c r="NLP24" s="486"/>
      <c r="NLQ24" s="486"/>
      <c r="NLR24" s="486"/>
      <c r="NLS24" s="486"/>
      <c r="NLT24" s="486"/>
      <c r="NLU24" s="486"/>
      <c r="NLV24" s="486"/>
      <c r="NLW24" s="486"/>
      <c r="NLX24" s="486"/>
      <c r="NLY24" s="486"/>
      <c r="NLZ24" s="486"/>
      <c r="NMA24" s="486"/>
      <c r="NMB24" s="486"/>
      <c r="NMC24" s="486"/>
      <c r="NMD24" s="486"/>
      <c r="NME24" s="486"/>
      <c r="NMF24" s="486"/>
      <c r="NMG24" s="486"/>
      <c r="NMH24" s="486"/>
      <c r="NMI24" s="486"/>
      <c r="NMJ24" s="486"/>
      <c r="NMK24" s="486"/>
      <c r="NML24" s="486"/>
      <c r="NMM24" s="486"/>
      <c r="NMN24" s="486"/>
      <c r="NMO24" s="486"/>
      <c r="NMP24" s="486"/>
      <c r="NMQ24" s="486"/>
      <c r="NMR24" s="486"/>
      <c r="NMS24" s="486"/>
      <c r="NMT24" s="486"/>
      <c r="NMU24" s="486"/>
      <c r="NMV24" s="486"/>
      <c r="NMW24" s="486"/>
      <c r="NMX24" s="486"/>
      <c r="NMY24" s="486"/>
      <c r="NMZ24" s="486"/>
      <c r="NNA24" s="486"/>
      <c r="NNB24" s="486"/>
      <c r="NNC24" s="486"/>
      <c r="NND24" s="486"/>
      <c r="NNE24" s="486"/>
      <c r="NNF24" s="486"/>
      <c r="NNG24" s="486"/>
      <c r="NNH24" s="486"/>
      <c r="NNI24" s="486"/>
      <c r="NNJ24" s="486"/>
      <c r="NNK24" s="486"/>
      <c r="NNL24" s="486"/>
      <c r="NNM24" s="486"/>
      <c r="NNN24" s="486"/>
      <c r="NNO24" s="486"/>
      <c r="NNP24" s="486"/>
      <c r="NNQ24" s="486"/>
      <c r="NNR24" s="486"/>
      <c r="NNS24" s="486"/>
      <c r="NNT24" s="486"/>
      <c r="NNU24" s="486"/>
      <c r="NNV24" s="486"/>
      <c r="NNW24" s="486"/>
      <c r="NNX24" s="486"/>
      <c r="NNY24" s="486"/>
      <c r="NNZ24" s="486"/>
      <c r="NOA24" s="486"/>
      <c r="NOB24" s="486"/>
      <c r="NOC24" s="486"/>
      <c r="NOD24" s="486"/>
      <c r="NOE24" s="486"/>
      <c r="NOF24" s="486"/>
      <c r="NOG24" s="486"/>
      <c r="NOH24" s="486"/>
      <c r="NOI24" s="486"/>
      <c r="NOJ24" s="486"/>
      <c r="NOK24" s="486"/>
      <c r="NOL24" s="486"/>
      <c r="NOM24" s="486"/>
      <c r="NON24" s="486"/>
      <c r="NOO24" s="486"/>
      <c r="NOP24" s="486"/>
      <c r="NOQ24" s="486"/>
      <c r="NOR24" s="486"/>
      <c r="NOS24" s="486"/>
      <c r="NOT24" s="486"/>
      <c r="NOU24" s="486"/>
      <c r="NOV24" s="486"/>
      <c r="NOW24" s="486"/>
      <c r="NOX24" s="486"/>
      <c r="NOY24" s="486"/>
      <c r="NOZ24" s="486"/>
      <c r="NPA24" s="486"/>
      <c r="NPB24" s="486"/>
      <c r="NPC24" s="486"/>
      <c r="NPD24" s="486"/>
      <c r="NPE24" s="486"/>
      <c r="NPF24" s="486"/>
      <c r="NPG24" s="486"/>
      <c r="NPH24" s="486"/>
      <c r="NPI24" s="486"/>
      <c r="NPJ24" s="486"/>
      <c r="NPK24" s="486"/>
      <c r="NPL24" s="486"/>
      <c r="NPM24" s="486"/>
      <c r="NPN24" s="486"/>
      <c r="NPO24" s="486"/>
      <c r="NPP24" s="486"/>
      <c r="NPQ24" s="486"/>
      <c r="NPR24" s="486"/>
      <c r="NPS24" s="486"/>
      <c r="NPT24" s="486"/>
      <c r="NPU24" s="486"/>
      <c r="NPV24" s="486"/>
      <c r="NPW24" s="486"/>
      <c r="NPX24" s="486"/>
      <c r="NPY24" s="486"/>
      <c r="NPZ24" s="486"/>
      <c r="NQA24" s="486"/>
      <c r="NQB24" s="486"/>
      <c r="NQC24" s="486"/>
      <c r="NQD24" s="486"/>
      <c r="NQE24" s="486"/>
      <c r="NQF24" s="486"/>
      <c r="NQG24" s="486"/>
      <c r="NQH24" s="486"/>
      <c r="NQI24" s="486"/>
      <c r="NQJ24" s="486"/>
      <c r="NQK24" s="486"/>
      <c r="NQL24" s="486"/>
      <c r="NQM24" s="486"/>
      <c r="NQN24" s="486"/>
      <c r="NQO24" s="486"/>
      <c r="NQP24" s="486"/>
      <c r="NQQ24" s="486"/>
      <c r="NQR24" s="486"/>
      <c r="NQS24" s="486"/>
      <c r="NQT24" s="486"/>
      <c r="NQU24" s="486"/>
      <c r="NQV24" s="486"/>
      <c r="NQW24" s="486"/>
      <c r="NQX24" s="486"/>
      <c r="NQY24" s="486"/>
      <c r="NQZ24" s="486"/>
      <c r="NRA24" s="486"/>
      <c r="NRB24" s="486"/>
      <c r="NRC24" s="486"/>
      <c r="NRD24" s="486"/>
      <c r="NRE24" s="486"/>
      <c r="NRF24" s="486"/>
      <c r="NRG24" s="486"/>
      <c r="NRH24" s="486"/>
      <c r="NRI24" s="486"/>
      <c r="NRJ24" s="486"/>
      <c r="NRK24" s="486"/>
      <c r="NRL24" s="486"/>
      <c r="NRM24" s="486"/>
      <c r="NRN24" s="486"/>
      <c r="NRO24" s="486"/>
      <c r="NRP24" s="486"/>
      <c r="NRQ24" s="486"/>
      <c r="NRR24" s="486"/>
      <c r="NRS24" s="486"/>
      <c r="NRT24" s="486"/>
      <c r="NRU24" s="486"/>
      <c r="NRV24" s="486"/>
      <c r="NRW24" s="486"/>
      <c r="NRX24" s="486"/>
      <c r="NRY24" s="486"/>
      <c r="NRZ24" s="486"/>
      <c r="NSA24" s="486"/>
      <c r="NSB24" s="486"/>
      <c r="NSC24" s="486"/>
      <c r="NSD24" s="486"/>
      <c r="NSE24" s="486"/>
      <c r="NSF24" s="486"/>
      <c r="NSG24" s="486"/>
      <c r="NSH24" s="486"/>
      <c r="NSI24" s="486"/>
      <c r="NSJ24" s="486"/>
      <c r="NSK24" s="486"/>
      <c r="NSL24" s="486"/>
      <c r="NSM24" s="486"/>
      <c r="NSN24" s="486"/>
      <c r="NSO24" s="486"/>
      <c r="NSP24" s="486"/>
      <c r="NSQ24" s="486"/>
      <c r="NSR24" s="486"/>
      <c r="NSS24" s="486"/>
      <c r="NST24" s="486"/>
      <c r="NSU24" s="486"/>
      <c r="NSV24" s="486"/>
      <c r="NSW24" s="486"/>
      <c r="NSX24" s="486"/>
      <c r="NSY24" s="486"/>
      <c r="NSZ24" s="486"/>
      <c r="NTA24" s="486"/>
      <c r="NTB24" s="486"/>
      <c r="NTC24" s="486"/>
      <c r="NTD24" s="486"/>
      <c r="NTE24" s="486"/>
      <c r="NTF24" s="486"/>
      <c r="NTG24" s="486"/>
      <c r="NTH24" s="486"/>
      <c r="NTI24" s="486"/>
      <c r="NTJ24" s="486"/>
      <c r="NTK24" s="486"/>
      <c r="NTL24" s="486"/>
      <c r="NTM24" s="486"/>
      <c r="NTN24" s="486"/>
      <c r="NTO24" s="486"/>
      <c r="NTP24" s="486"/>
      <c r="NTQ24" s="486"/>
      <c r="NTR24" s="486"/>
      <c r="NTS24" s="486"/>
      <c r="NTT24" s="486"/>
      <c r="NTU24" s="486"/>
      <c r="NTV24" s="486"/>
      <c r="NTW24" s="486"/>
      <c r="NTX24" s="486"/>
      <c r="NTY24" s="486"/>
      <c r="NTZ24" s="486"/>
      <c r="NUA24" s="486"/>
      <c r="NUB24" s="486"/>
      <c r="NUC24" s="486"/>
      <c r="NUD24" s="486"/>
      <c r="NUE24" s="486"/>
      <c r="NUF24" s="486"/>
      <c r="NUG24" s="486"/>
      <c r="NUH24" s="486"/>
      <c r="NUI24" s="486"/>
      <c r="NUJ24" s="486"/>
      <c r="NUK24" s="486"/>
      <c r="NUL24" s="486"/>
      <c r="NUM24" s="486"/>
      <c r="NUN24" s="486"/>
      <c r="NUO24" s="486"/>
      <c r="NUP24" s="486"/>
      <c r="NUQ24" s="486"/>
      <c r="NUR24" s="486"/>
      <c r="NUS24" s="486"/>
      <c r="NUT24" s="486"/>
      <c r="NUU24" s="486"/>
      <c r="NUV24" s="486"/>
      <c r="NUW24" s="486"/>
      <c r="NUX24" s="486"/>
      <c r="NUY24" s="486"/>
      <c r="NUZ24" s="486"/>
      <c r="NVA24" s="486"/>
      <c r="NVB24" s="486"/>
      <c r="NVC24" s="486"/>
      <c r="NVD24" s="486"/>
      <c r="NVE24" s="486"/>
      <c r="NVF24" s="486"/>
      <c r="NVG24" s="486"/>
      <c r="NVH24" s="486"/>
      <c r="NVI24" s="486"/>
      <c r="NVJ24" s="486"/>
      <c r="NVK24" s="486"/>
      <c r="NVL24" s="486"/>
      <c r="NVM24" s="486"/>
      <c r="NVN24" s="486"/>
      <c r="NVO24" s="486"/>
      <c r="NVP24" s="486"/>
      <c r="NVQ24" s="486"/>
      <c r="NVR24" s="486"/>
      <c r="NVS24" s="486"/>
      <c r="NVT24" s="486"/>
      <c r="NVU24" s="486"/>
      <c r="NVV24" s="486"/>
      <c r="NVW24" s="486"/>
      <c r="NVX24" s="486"/>
      <c r="NVY24" s="486"/>
      <c r="NVZ24" s="486"/>
      <c r="NWA24" s="486"/>
      <c r="NWB24" s="486"/>
      <c r="NWC24" s="486"/>
      <c r="NWD24" s="486"/>
      <c r="NWE24" s="486"/>
      <c r="NWF24" s="486"/>
      <c r="NWG24" s="486"/>
      <c r="NWH24" s="486"/>
      <c r="NWI24" s="486"/>
      <c r="NWJ24" s="486"/>
      <c r="NWK24" s="486"/>
      <c r="NWL24" s="486"/>
      <c r="NWM24" s="486"/>
      <c r="NWN24" s="486"/>
      <c r="NWO24" s="486"/>
      <c r="NWP24" s="486"/>
      <c r="NWQ24" s="486"/>
      <c r="NWR24" s="486"/>
      <c r="NWS24" s="486"/>
      <c r="NWT24" s="486"/>
      <c r="NWU24" s="486"/>
      <c r="NWV24" s="486"/>
      <c r="NWW24" s="486"/>
      <c r="NWX24" s="486"/>
      <c r="NWY24" s="486"/>
      <c r="NWZ24" s="486"/>
      <c r="NXA24" s="486"/>
      <c r="NXB24" s="486"/>
      <c r="NXC24" s="486"/>
      <c r="NXD24" s="486"/>
      <c r="NXE24" s="486"/>
      <c r="NXF24" s="486"/>
      <c r="NXG24" s="486"/>
      <c r="NXH24" s="486"/>
      <c r="NXI24" s="486"/>
      <c r="NXJ24" s="486"/>
      <c r="NXK24" s="486"/>
      <c r="NXL24" s="486"/>
      <c r="NXM24" s="486"/>
      <c r="NXN24" s="486"/>
      <c r="NXO24" s="486"/>
      <c r="NXP24" s="486"/>
      <c r="NXQ24" s="486"/>
      <c r="NXR24" s="486"/>
      <c r="NXS24" s="486"/>
      <c r="NXT24" s="486"/>
      <c r="NXU24" s="486"/>
      <c r="NXV24" s="486"/>
      <c r="NXW24" s="486"/>
      <c r="NXX24" s="486"/>
      <c r="NXY24" s="486"/>
      <c r="NXZ24" s="486"/>
      <c r="NYA24" s="486"/>
      <c r="NYB24" s="486"/>
      <c r="NYC24" s="486"/>
      <c r="NYD24" s="486"/>
      <c r="NYE24" s="486"/>
      <c r="NYF24" s="486"/>
      <c r="NYG24" s="486"/>
      <c r="NYH24" s="486"/>
      <c r="NYI24" s="486"/>
      <c r="NYJ24" s="486"/>
      <c r="NYK24" s="486"/>
      <c r="NYL24" s="486"/>
      <c r="NYM24" s="486"/>
      <c r="NYN24" s="486"/>
      <c r="NYO24" s="486"/>
      <c r="NYP24" s="486"/>
      <c r="NYQ24" s="486"/>
      <c r="NYR24" s="486"/>
      <c r="NYS24" s="486"/>
      <c r="NYT24" s="486"/>
      <c r="NYU24" s="486"/>
      <c r="NYV24" s="486"/>
      <c r="NYW24" s="486"/>
      <c r="NYX24" s="486"/>
      <c r="NYY24" s="486"/>
      <c r="NYZ24" s="486"/>
      <c r="NZA24" s="486"/>
      <c r="NZB24" s="486"/>
      <c r="NZC24" s="486"/>
      <c r="NZD24" s="486"/>
      <c r="NZE24" s="486"/>
      <c r="NZF24" s="486"/>
      <c r="NZG24" s="486"/>
      <c r="NZH24" s="486"/>
      <c r="NZI24" s="486"/>
      <c r="NZJ24" s="486"/>
      <c r="NZK24" s="486"/>
      <c r="NZL24" s="486"/>
      <c r="NZM24" s="486"/>
      <c r="NZN24" s="486"/>
      <c r="NZO24" s="486"/>
      <c r="NZP24" s="486"/>
      <c r="NZQ24" s="486"/>
      <c r="NZR24" s="486"/>
      <c r="NZS24" s="486"/>
      <c r="NZT24" s="486"/>
      <c r="NZU24" s="486"/>
      <c r="NZV24" s="486"/>
      <c r="NZW24" s="486"/>
      <c r="NZX24" s="486"/>
      <c r="NZY24" s="486"/>
      <c r="NZZ24" s="486"/>
      <c r="OAA24" s="486"/>
      <c r="OAB24" s="486"/>
      <c r="OAC24" s="486"/>
      <c r="OAD24" s="486"/>
      <c r="OAE24" s="486"/>
      <c r="OAF24" s="486"/>
      <c r="OAG24" s="486"/>
      <c r="OAH24" s="486"/>
      <c r="OAI24" s="486"/>
      <c r="OAJ24" s="486"/>
      <c r="OAK24" s="486"/>
      <c r="OAL24" s="486"/>
      <c r="OAM24" s="486"/>
      <c r="OAN24" s="486"/>
      <c r="OAO24" s="486"/>
      <c r="OAP24" s="486"/>
      <c r="OAQ24" s="486"/>
      <c r="OAR24" s="486"/>
      <c r="OAS24" s="486"/>
      <c r="OAT24" s="486"/>
      <c r="OAU24" s="486"/>
      <c r="OAV24" s="486"/>
      <c r="OAW24" s="486"/>
      <c r="OAX24" s="486"/>
      <c r="OAY24" s="486"/>
      <c r="OAZ24" s="486"/>
      <c r="OBA24" s="486"/>
      <c r="OBB24" s="486"/>
      <c r="OBC24" s="486"/>
      <c r="OBD24" s="486"/>
      <c r="OBE24" s="486"/>
      <c r="OBF24" s="486"/>
      <c r="OBG24" s="486"/>
      <c r="OBH24" s="486"/>
      <c r="OBI24" s="486"/>
      <c r="OBJ24" s="486"/>
      <c r="OBK24" s="486"/>
      <c r="OBL24" s="486"/>
      <c r="OBM24" s="486"/>
      <c r="OBN24" s="486"/>
      <c r="OBO24" s="486"/>
      <c r="OBP24" s="486"/>
      <c r="OBQ24" s="486"/>
      <c r="OBR24" s="486"/>
      <c r="OBS24" s="486"/>
      <c r="OBT24" s="486"/>
      <c r="OBU24" s="486"/>
      <c r="OBV24" s="486"/>
      <c r="OBW24" s="486"/>
      <c r="OBX24" s="486"/>
      <c r="OBY24" s="486"/>
      <c r="OBZ24" s="486"/>
      <c r="OCA24" s="486"/>
      <c r="OCB24" s="486"/>
      <c r="OCC24" s="486"/>
      <c r="OCD24" s="486"/>
      <c r="OCE24" s="486"/>
      <c r="OCF24" s="486"/>
      <c r="OCG24" s="486"/>
      <c r="OCH24" s="486"/>
      <c r="OCI24" s="486"/>
      <c r="OCJ24" s="486"/>
      <c r="OCK24" s="486"/>
      <c r="OCL24" s="486"/>
      <c r="OCM24" s="486"/>
      <c r="OCN24" s="486"/>
      <c r="OCO24" s="486"/>
      <c r="OCP24" s="486"/>
      <c r="OCQ24" s="486"/>
      <c r="OCR24" s="486"/>
      <c r="OCS24" s="486"/>
      <c r="OCT24" s="486"/>
      <c r="OCU24" s="486"/>
      <c r="OCV24" s="486"/>
      <c r="OCW24" s="486"/>
      <c r="OCX24" s="486"/>
      <c r="OCY24" s="486"/>
      <c r="OCZ24" s="486"/>
      <c r="ODA24" s="486"/>
      <c r="ODB24" s="486"/>
      <c r="ODC24" s="486"/>
      <c r="ODD24" s="486"/>
      <c r="ODE24" s="486"/>
      <c r="ODF24" s="486"/>
      <c r="ODG24" s="486"/>
      <c r="ODH24" s="486"/>
      <c r="ODI24" s="486"/>
      <c r="ODJ24" s="486"/>
      <c r="ODK24" s="486"/>
      <c r="ODL24" s="486"/>
      <c r="ODM24" s="486"/>
      <c r="ODN24" s="486"/>
      <c r="ODO24" s="486"/>
      <c r="ODP24" s="486"/>
      <c r="ODQ24" s="486"/>
      <c r="ODR24" s="486"/>
      <c r="ODS24" s="486"/>
      <c r="ODT24" s="486"/>
      <c r="ODU24" s="486"/>
      <c r="ODV24" s="486"/>
      <c r="ODW24" s="486"/>
      <c r="ODX24" s="486"/>
      <c r="ODY24" s="486"/>
      <c r="ODZ24" s="486"/>
      <c r="OEA24" s="486"/>
      <c r="OEB24" s="486"/>
      <c r="OEC24" s="486"/>
      <c r="OED24" s="486"/>
      <c r="OEE24" s="486"/>
      <c r="OEF24" s="486"/>
      <c r="OEG24" s="486"/>
      <c r="OEH24" s="486"/>
      <c r="OEI24" s="486"/>
      <c r="OEJ24" s="486"/>
      <c r="OEK24" s="486"/>
      <c r="OEL24" s="486"/>
      <c r="OEM24" s="486"/>
      <c r="OEN24" s="486"/>
      <c r="OEO24" s="486"/>
      <c r="OEP24" s="486"/>
      <c r="OEQ24" s="486"/>
      <c r="OER24" s="486"/>
      <c r="OES24" s="486"/>
      <c r="OET24" s="486"/>
      <c r="OEU24" s="486"/>
      <c r="OEV24" s="486"/>
      <c r="OEW24" s="486"/>
      <c r="OEX24" s="486"/>
      <c r="OEY24" s="486"/>
      <c r="OEZ24" s="486"/>
      <c r="OFA24" s="486"/>
      <c r="OFB24" s="486"/>
      <c r="OFC24" s="486"/>
      <c r="OFD24" s="486"/>
      <c r="OFE24" s="486"/>
      <c r="OFF24" s="486"/>
      <c r="OFG24" s="486"/>
      <c r="OFH24" s="486"/>
      <c r="OFI24" s="486"/>
      <c r="OFJ24" s="486"/>
      <c r="OFK24" s="486"/>
      <c r="OFL24" s="486"/>
      <c r="OFM24" s="486"/>
      <c r="OFN24" s="486"/>
      <c r="OFO24" s="486"/>
      <c r="OFP24" s="486"/>
      <c r="OFQ24" s="486"/>
      <c r="OFR24" s="486"/>
      <c r="OFS24" s="486"/>
      <c r="OFT24" s="486"/>
      <c r="OFU24" s="486"/>
      <c r="OFV24" s="486"/>
      <c r="OFW24" s="486"/>
      <c r="OFX24" s="486"/>
      <c r="OFY24" s="486"/>
      <c r="OFZ24" s="486"/>
      <c r="OGA24" s="486"/>
      <c r="OGB24" s="486"/>
      <c r="OGC24" s="486"/>
      <c r="OGD24" s="486"/>
      <c r="OGE24" s="486"/>
      <c r="OGF24" s="486"/>
      <c r="OGG24" s="486"/>
      <c r="OGH24" s="486"/>
      <c r="OGI24" s="486"/>
      <c r="OGJ24" s="486"/>
      <c r="OGK24" s="486"/>
      <c r="OGL24" s="486"/>
      <c r="OGM24" s="486"/>
      <c r="OGN24" s="486"/>
      <c r="OGO24" s="486"/>
      <c r="OGP24" s="486"/>
      <c r="OGQ24" s="486"/>
      <c r="OGR24" s="486"/>
      <c r="OGS24" s="486"/>
      <c r="OGT24" s="486"/>
      <c r="OGU24" s="486"/>
      <c r="OGV24" s="486"/>
      <c r="OGW24" s="486"/>
      <c r="OGX24" s="486"/>
      <c r="OGY24" s="486"/>
      <c r="OGZ24" s="486"/>
      <c r="OHA24" s="486"/>
      <c r="OHB24" s="486"/>
      <c r="OHC24" s="486"/>
      <c r="OHD24" s="486"/>
      <c r="OHE24" s="486"/>
      <c r="OHF24" s="486"/>
      <c r="OHG24" s="486"/>
      <c r="OHH24" s="486"/>
      <c r="OHI24" s="486"/>
      <c r="OHJ24" s="486"/>
      <c r="OHK24" s="486"/>
      <c r="OHL24" s="486"/>
      <c r="OHM24" s="486"/>
      <c r="OHN24" s="486"/>
      <c r="OHO24" s="486"/>
      <c r="OHP24" s="486"/>
      <c r="OHQ24" s="486"/>
      <c r="OHR24" s="486"/>
      <c r="OHS24" s="486"/>
      <c r="OHT24" s="486"/>
      <c r="OHU24" s="486"/>
      <c r="OHV24" s="486"/>
      <c r="OHW24" s="486"/>
      <c r="OHX24" s="486"/>
      <c r="OHY24" s="486"/>
      <c r="OHZ24" s="486"/>
      <c r="OIA24" s="486"/>
      <c r="OIB24" s="486"/>
      <c r="OIC24" s="486"/>
      <c r="OID24" s="486"/>
      <c r="OIE24" s="486"/>
      <c r="OIF24" s="486"/>
      <c r="OIG24" s="486"/>
      <c r="OIH24" s="486"/>
      <c r="OII24" s="486"/>
      <c r="OIJ24" s="486"/>
      <c r="OIK24" s="486"/>
      <c r="OIL24" s="486"/>
      <c r="OIM24" s="486"/>
      <c r="OIN24" s="486"/>
      <c r="OIO24" s="486"/>
      <c r="OIP24" s="486"/>
      <c r="OIQ24" s="486"/>
      <c r="OIR24" s="486"/>
      <c r="OIS24" s="486"/>
      <c r="OIT24" s="486"/>
      <c r="OIU24" s="486"/>
      <c r="OIV24" s="486"/>
      <c r="OIW24" s="486"/>
      <c r="OIX24" s="486"/>
      <c r="OIY24" s="486"/>
      <c r="OIZ24" s="486"/>
      <c r="OJA24" s="486"/>
      <c r="OJB24" s="486"/>
      <c r="OJC24" s="486"/>
      <c r="OJD24" s="486"/>
      <c r="OJE24" s="486"/>
      <c r="OJF24" s="486"/>
      <c r="OJG24" s="486"/>
      <c r="OJH24" s="486"/>
      <c r="OJI24" s="486"/>
      <c r="OJJ24" s="486"/>
      <c r="OJK24" s="486"/>
      <c r="OJL24" s="486"/>
      <c r="OJM24" s="486"/>
      <c r="OJN24" s="486"/>
      <c r="OJO24" s="486"/>
      <c r="OJP24" s="486"/>
      <c r="OJQ24" s="486"/>
      <c r="OJR24" s="486"/>
      <c r="OJS24" s="486"/>
      <c r="OJT24" s="486"/>
      <c r="OJU24" s="486"/>
      <c r="OJV24" s="486"/>
      <c r="OJW24" s="486"/>
      <c r="OJX24" s="486"/>
      <c r="OJY24" s="486"/>
      <c r="OJZ24" s="486"/>
      <c r="OKA24" s="486"/>
      <c r="OKB24" s="486"/>
      <c r="OKC24" s="486"/>
      <c r="OKD24" s="486"/>
      <c r="OKE24" s="486"/>
      <c r="OKF24" s="486"/>
      <c r="OKG24" s="486"/>
      <c r="OKH24" s="486"/>
      <c r="OKI24" s="486"/>
      <c r="OKJ24" s="486"/>
      <c r="OKK24" s="486"/>
      <c r="OKL24" s="486"/>
      <c r="OKM24" s="486"/>
      <c r="OKN24" s="486"/>
      <c r="OKO24" s="486"/>
      <c r="OKP24" s="486"/>
      <c r="OKQ24" s="486"/>
      <c r="OKR24" s="486"/>
      <c r="OKS24" s="486"/>
      <c r="OKT24" s="486"/>
      <c r="OKU24" s="486"/>
      <c r="OKV24" s="486"/>
      <c r="OKW24" s="486"/>
      <c r="OKX24" s="486"/>
      <c r="OKY24" s="486"/>
      <c r="OKZ24" s="486"/>
      <c r="OLA24" s="486"/>
      <c r="OLB24" s="486"/>
      <c r="OLC24" s="486"/>
      <c r="OLD24" s="486"/>
      <c r="OLE24" s="486"/>
      <c r="OLF24" s="486"/>
      <c r="OLG24" s="486"/>
      <c r="OLH24" s="486"/>
      <c r="OLI24" s="486"/>
      <c r="OLJ24" s="486"/>
      <c r="OLK24" s="486"/>
      <c r="OLL24" s="486"/>
      <c r="OLM24" s="486"/>
      <c r="OLN24" s="486"/>
      <c r="OLO24" s="486"/>
      <c r="OLP24" s="486"/>
      <c r="OLQ24" s="486"/>
      <c r="OLR24" s="486"/>
      <c r="OLS24" s="486"/>
      <c r="OLT24" s="486"/>
      <c r="OLU24" s="486"/>
      <c r="OLV24" s="486"/>
      <c r="OLW24" s="486"/>
      <c r="OLX24" s="486"/>
      <c r="OLY24" s="486"/>
      <c r="OLZ24" s="486"/>
      <c r="OMA24" s="486"/>
      <c r="OMB24" s="486"/>
      <c r="OMC24" s="486"/>
      <c r="OMD24" s="486"/>
      <c r="OME24" s="486"/>
      <c r="OMF24" s="486"/>
      <c r="OMG24" s="486"/>
      <c r="OMH24" s="486"/>
      <c r="OMI24" s="486"/>
      <c r="OMJ24" s="486"/>
      <c r="OMK24" s="486"/>
      <c r="OML24" s="486"/>
      <c r="OMM24" s="486"/>
      <c r="OMN24" s="486"/>
      <c r="OMO24" s="486"/>
      <c r="OMP24" s="486"/>
      <c r="OMQ24" s="486"/>
      <c r="OMR24" s="486"/>
      <c r="OMS24" s="486"/>
      <c r="OMT24" s="486"/>
      <c r="OMU24" s="486"/>
      <c r="OMV24" s="486"/>
      <c r="OMW24" s="486"/>
      <c r="OMX24" s="486"/>
      <c r="OMY24" s="486"/>
      <c r="OMZ24" s="486"/>
      <c r="ONA24" s="486"/>
      <c r="ONB24" s="486"/>
      <c r="ONC24" s="486"/>
      <c r="OND24" s="486"/>
      <c r="ONE24" s="486"/>
      <c r="ONF24" s="486"/>
      <c r="ONG24" s="486"/>
      <c r="ONH24" s="486"/>
      <c r="ONI24" s="486"/>
      <c r="ONJ24" s="486"/>
      <c r="ONK24" s="486"/>
      <c r="ONL24" s="486"/>
      <c r="ONM24" s="486"/>
      <c r="ONN24" s="486"/>
      <c r="ONO24" s="486"/>
      <c r="ONP24" s="486"/>
      <c r="ONQ24" s="486"/>
      <c r="ONR24" s="486"/>
      <c r="ONS24" s="486"/>
      <c r="ONT24" s="486"/>
      <c r="ONU24" s="486"/>
      <c r="ONV24" s="486"/>
      <c r="ONW24" s="486"/>
      <c r="ONX24" s="486"/>
      <c r="ONY24" s="486"/>
      <c r="ONZ24" s="486"/>
      <c r="OOA24" s="486"/>
      <c r="OOB24" s="486"/>
      <c r="OOC24" s="486"/>
      <c r="OOD24" s="486"/>
      <c r="OOE24" s="486"/>
      <c r="OOF24" s="486"/>
      <c r="OOG24" s="486"/>
      <c r="OOH24" s="486"/>
      <c r="OOI24" s="486"/>
      <c r="OOJ24" s="486"/>
      <c r="OOK24" s="486"/>
      <c r="OOL24" s="486"/>
      <c r="OOM24" s="486"/>
      <c r="OON24" s="486"/>
      <c r="OOO24" s="486"/>
      <c r="OOP24" s="486"/>
      <c r="OOQ24" s="486"/>
      <c r="OOR24" s="486"/>
      <c r="OOS24" s="486"/>
      <c r="OOT24" s="486"/>
      <c r="OOU24" s="486"/>
      <c r="OOV24" s="486"/>
      <c r="OOW24" s="486"/>
      <c r="OOX24" s="486"/>
      <c r="OOY24" s="486"/>
      <c r="OOZ24" s="486"/>
      <c r="OPA24" s="486"/>
      <c r="OPB24" s="486"/>
      <c r="OPC24" s="486"/>
      <c r="OPD24" s="486"/>
      <c r="OPE24" s="486"/>
      <c r="OPF24" s="486"/>
      <c r="OPG24" s="486"/>
      <c r="OPH24" s="486"/>
      <c r="OPI24" s="486"/>
      <c r="OPJ24" s="486"/>
      <c r="OPK24" s="486"/>
      <c r="OPL24" s="486"/>
      <c r="OPM24" s="486"/>
      <c r="OPN24" s="486"/>
      <c r="OPO24" s="486"/>
      <c r="OPP24" s="486"/>
      <c r="OPQ24" s="486"/>
      <c r="OPR24" s="486"/>
      <c r="OPS24" s="486"/>
      <c r="OPT24" s="486"/>
      <c r="OPU24" s="486"/>
      <c r="OPV24" s="486"/>
      <c r="OPW24" s="486"/>
      <c r="OPX24" s="486"/>
      <c r="OPY24" s="486"/>
      <c r="OPZ24" s="486"/>
      <c r="OQA24" s="486"/>
      <c r="OQB24" s="486"/>
      <c r="OQC24" s="486"/>
      <c r="OQD24" s="486"/>
      <c r="OQE24" s="486"/>
      <c r="OQF24" s="486"/>
      <c r="OQG24" s="486"/>
      <c r="OQH24" s="486"/>
      <c r="OQI24" s="486"/>
      <c r="OQJ24" s="486"/>
      <c r="OQK24" s="486"/>
      <c r="OQL24" s="486"/>
      <c r="OQM24" s="486"/>
      <c r="OQN24" s="486"/>
      <c r="OQO24" s="486"/>
      <c r="OQP24" s="486"/>
      <c r="OQQ24" s="486"/>
      <c r="OQR24" s="486"/>
      <c r="OQS24" s="486"/>
      <c r="OQT24" s="486"/>
      <c r="OQU24" s="486"/>
      <c r="OQV24" s="486"/>
      <c r="OQW24" s="486"/>
      <c r="OQX24" s="486"/>
      <c r="OQY24" s="486"/>
      <c r="OQZ24" s="486"/>
      <c r="ORA24" s="486"/>
      <c r="ORB24" s="486"/>
      <c r="ORC24" s="486"/>
      <c r="ORD24" s="486"/>
      <c r="ORE24" s="486"/>
      <c r="ORF24" s="486"/>
      <c r="ORG24" s="486"/>
      <c r="ORH24" s="486"/>
      <c r="ORI24" s="486"/>
      <c r="ORJ24" s="486"/>
      <c r="ORK24" s="486"/>
      <c r="ORL24" s="486"/>
      <c r="ORM24" s="486"/>
      <c r="ORN24" s="486"/>
      <c r="ORO24" s="486"/>
      <c r="ORP24" s="486"/>
      <c r="ORQ24" s="486"/>
      <c r="ORR24" s="486"/>
      <c r="ORS24" s="486"/>
      <c r="ORT24" s="486"/>
      <c r="ORU24" s="486"/>
      <c r="ORV24" s="486"/>
      <c r="ORW24" s="486"/>
      <c r="ORX24" s="486"/>
      <c r="ORY24" s="486"/>
      <c r="ORZ24" s="486"/>
      <c r="OSA24" s="486"/>
      <c r="OSB24" s="486"/>
      <c r="OSC24" s="486"/>
      <c r="OSD24" s="486"/>
      <c r="OSE24" s="486"/>
      <c r="OSF24" s="486"/>
      <c r="OSG24" s="486"/>
      <c r="OSH24" s="486"/>
      <c r="OSI24" s="486"/>
      <c r="OSJ24" s="486"/>
      <c r="OSK24" s="486"/>
      <c r="OSL24" s="486"/>
      <c r="OSM24" s="486"/>
      <c r="OSN24" s="486"/>
      <c r="OSO24" s="486"/>
      <c r="OSP24" s="486"/>
      <c r="OSQ24" s="486"/>
      <c r="OSR24" s="486"/>
      <c r="OSS24" s="486"/>
      <c r="OST24" s="486"/>
      <c r="OSU24" s="486"/>
      <c r="OSV24" s="486"/>
      <c r="OSW24" s="486"/>
      <c r="OSX24" s="486"/>
      <c r="OSY24" s="486"/>
      <c r="OSZ24" s="486"/>
      <c r="OTA24" s="486"/>
      <c r="OTB24" s="486"/>
      <c r="OTC24" s="486"/>
      <c r="OTD24" s="486"/>
      <c r="OTE24" s="486"/>
      <c r="OTF24" s="486"/>
      <c r="OTG24" s="486"/>
      <c r="OTH24" s="486"/>
      <c r="OTI24" s="486"/>
      <c r="OTJ24" s="486"/>
      <c r="OTK24" s="486"/>
      <c r="OTL24" s="486"/>
      <c r="OTM24" s="486"/>
      <c r="OTN24" s="486"/>
      <c r="OTO24" s="486"/>
      <c r="OTP24" s="486"/>
      <c r="OTQ24" s="486"/>
      <c r="OTR24" s="486"/>
      <c r="OTS24" s="486"/>
      <c r="OTT24" s="486"/>
      <c r="OTU24" s="486"/>
      <c r="OTV24" s="486"/>
      <c r="OTW24" s="486"/>
      <c r="OTX24" s="486"/>
      <c r="OTY24" s="486"/>
      <c r="OTZ24" s="486"/>
      <c r="OUA24" s="486"/>
      <c r="OUB24" s="486"/>
      <c r="OUC24" s="486"/>
      <c r="OUD24" s="486"/>
      <c r="OUE24" s="486"/>
      <c r="OUF24" s="486"/>
      <c r="OUG24" s="486"/>
      <c r="OUH24" s="486"/>
      <c r="OUI24" s="486"/>
      <c r="OUJ24" s="486"/>
      <c r="OUK24" s="486"/>
      <c r="OUL24" s="486"/>
      <c r="OUM24" s="486"/>
      <c r="OUN24" s="486"/>
      <c r="OUO24" s="486"/>
      <c r="OUP24" s="486"/>
      <c r="OUQ24" s="486"/>
      <c r="OUR24" s="486"/>
      <c r="OUS24" s="486"/>
      <c r="OUT24" s="486"/>
      <c r="OUU24" s="486"/>
      <c r="OUV24" s="486"/>
      <c r="OUW24" s="486"/>
      <c r="OUX24" s="486"/>
      <c r="OUY24" s="486"/>
      <c r="OUZ24" s="486"/>
      <c r="OVA24" s="486"/>
      <c r="OVB24" s="486"/>
      <c r="OVC24" s="486"/>
      <c r="OVD24" s="486"/>
      <c r="OVE24" s="486"/>
      <c r="OVF24" s="486"/>
      <c r="OVG24" s="486"/>
      <c r="OVH24" s="486"/>
      <c r="OVI24" s="486"/>
      <c r="OVJ24" s="486"/>
      <c r="OVK24" s="486"/>
      <c r="OVL24" s="486"/>
      <c r="OVM24" s="486"/>
      <c r="OVN24" s="486"/>
      <c r="OVO24" s="486"/>
      <c r="OVP24" s="486"/>
      <c r="OVQ24" s="486"/>
      <c r="OVR24" s="486"/>
      <c r="OVS24" s="486"/>
      <c r="OVT24" s="486"/>
      <c r="OVU24" s="486"/>
      <c r="OVV24" s="486"/>
      <c r="OVW24" s="486"/>
      <c r="OVX24" s="486"/>
      <c r="OVY24" s="486"/>
      <c r="OVZ24" s="486"/>
      <c r="OWA24" s="486"/>
      <c r="OWB24" s="486"/>
      <c r="OWC24" s="486"/>
      <c r="OWD24" s="486"/>
      <c r="OWE24" s="486"/>
      <c r="OWF24" s="486"/>
      <c r="OWG24" s="486"/>
      <c r="OWH24" s="486"/>
      <c r="OWI24" s="486"/>
      <c r="OWJ24" s="486"/>
      <c r="OWK24" s="486"/>
      <c r="OWL24" s="486"/>
      <c r="OWM24" s="486"/>
      <c r="OWN24" s="486"/>
      <c r="OWO24" s="486"/>
      <c r="OWP24" s="486"/>
      <c r="OWQ24" s="486"/>
      <c r="OWR24" s="486"/>
      <c r="OWS24" s="486"/>
      <c r="OWT24" s="486"/>
      <c r="OWU24" s="486"/>
      <c r="OWV24" s="486"/>
      <c r="OWW24" s="486"/>
      <c r="OWX24" s="486"/>
      <c r="OWY24" s="486"/>
      <c r="OWZ24" s="486"/>
      <c r="OXA24" s="486"/>
      <c r="OXB24" s="486"/>
      <c r="OXC24" s="486"/>
      <c r="OXD24" s="486"/>
      <c r="OXE24" s="486"/>
      <c r="OXF24" s="486"/>
      <c r="OXG24" s="486"/>
      <c r="OXH24" s="486"/>
      <c r="OXI24" s="486"/>
      <c r="OXJ24" s="486"/>
      <c r="OXK24" s="486"/>
      <c r="OXL24" s="486"/>
      <c r="OXM24" s="486"/>
      <c r="OXN24" s="486"/>
      <c r="OXO24" s="486"/>
      <c r="OXP24" s="486"/>
      <c r="OXQ24" s="486"/>
      <c r="OXR24" s="486"/>
      <c r="OXS24" s="486"/>
      <c r="OXT24" s="486"/>
      <c r="OXU24" s="486"/>
      <c r="OXV24" s="486"/>
      <c r="OXW24" s="486"/>
      <c r="OXX24" s="486"/>
      <c r="OXY24" s="486"/>
      <c r="OXZ24" s="486"/>
      <c r="OYA24" s="486"/>
      <c r="OYB24" s="486"/>
      <c r="OYC24" s="486"/>
      <c r="OYD24" s="486"/>
      <c r="OYE24" s="486"/>
      <c r="OYF24" s="486"/>
      <c r="OYG24" s="486"/>
      <c r="OYH24" s="486"/>
      <c r="OYI24" s="486"/>
      <c r="OYJ24" s="486"/>
      <c r="OYK24" s="486"/>
      <c r="OYL24" s="486"/>
      <c r="OYM24" s="486"/>
      <c r="OYN24" s="486"/>
      <c r="OYO24" s="486"/>
      <c r="OYP24" s="486"/>
      <c r="OYQ24" s="486"/>
      <c r="OYR24" s="486"/>
      <c r="OYS24" s="486"/>
      <c r="OYT24" s="486"/>
      <c r="OYU24" s="486"/>
      <c r="OYV24" s="486"/>
      <c r="OYW24" s="486"/>
      <c r="OYX24" s="486"/>
      <c r="OYY24" s="486"/>
      <c r="OYZ24" s="486"/>
      <c r="OZA24" s="486"/>
      <c r="OZB24" s="486"/>
      <c r="OZC24" s="486"/>
      <c r="OZD24" s="486"/>
      <c r="OZE24" s="486"/>
      <c r="OZF24" s="486"/>
      <c r="OZG24" s="486"/>
      <c r="OZH24" s="486"/>
      <c r="OZI24" s="486"/>
      <c r="OZJ24" s="486"/>
      <c r="OZK24" s="486"/>
      <c r="OZL24" s="486"/>
      <c r="OZM24" s="486"/>
      <c r="OZN24" s="486"/>
      <c r="OZO24" s="486"/>
      <c r="OZP24" s="486"/>
      <c r="OZQ24" s="486"/>
      <c r="OZR24" s="486"/>
      <c r="OZS24" s="486"/>
      <c r="OZT24" s="486"/>
      <c r="OZU24" s="486"/>
      <c r="OZV24" s="486"/>
      <c r="OZW24" s="486"/>
      <c r="OZX24" s="486"/>
      <c r="OZY24" s="486"/>
      <c r="OZZ24" s="486"/>
      <c r="PAA24" s="486"/>
      <c r="PAB24" s="486"/>
      <c r="PAC24" s="486"/>
      <c r="PAD24" s="486"/>
      <c r="PAE24" s="486"/>
      <c r="PAF24" s="486"/>
      <c r="PAG24" s="486"/>
      <c r="PAH24" s="486"/>
      <c r="PAI24" s="486"/>
      <c r="PAJ24" s="486"/>
      <c r="PAK24" s="486"/>
      <c r="PAL24" s="486"/>
      <c r="PAM24" s="486"/>
      <c r="PAN24" s="486"/>
      <c r="PAO24" s="486"/>
      <c r="PAP24" s="486"/>
      <c r="PAQ24" s="486"/>
      <c r="PAR24" s="486"/>
      <c r="PAS24" s="486"/>
      <c r="PAT24" s="486"/>
      <c r="PAU24" s="486"/>
      <c r="PAV24" s="486"/>
      <c r="PAW24" s="486"/>
      <c r="PAX24" s="486"/>
      <c r="PAY24" s="486"/>
      <c r="PAZ24" s="486"/>
      <c r="PBA24" s="486"/>
      <c r="PBB24" s="486"/>
      <c r="PBC24" s="486"/>
      <c r="PBD24" s="486"/>
      <c r="PBE24" s="486"/>
      <c r="PBF24" s="486"/>
      <c r="PBG24" s="486"/>
      <c r="PBH24" s="486"/>
      <c r="PBI24" s="486"/>
      <c r="PBJ24" s="486"/>
      <c r="PBK24" s="486"/>
      <c r="PBL24" s="486"/>
      <c r="PBM24" s="486"/>
      <c r="PBN24" s="486"/>
      <c r="PBO24" s="486"/>
      <c r="PBP24" s="486"/>
      <c r="PBQ24" s="486"/>
      <c r="PBR24" s="486"/>
      <c r="PBS24" s="486"/>
      <c r="PBT24" s="486"/>
      <c r="PBU24" s="486"/>
      <c r="PBV24" s="486"/>
      <c r="PBW24" s="486"/>
      <c r="PBX24" s="486"/>
      <c r="PBY24" s="486"/>
      <c r="PBZ24" s="486"/>
      <c r="PCA24" s="486"/>
      <c r="PCB24" s="486"/>
      <c r="PCC24" s="486"/>
      <c r="PCD24" s="486"/>
      <c r="PCE24" s="486"/>
      <c r="PCF24" s="486"/>
      <c r="PCG24" s="486"/>
      <c r="PCH24" s="486"/>
      <c r="PCI24" s="486"/>
      <c r="PCJ24" s="486"/>
      <c r="PCK24" s="486"/>
      <c r="PCL24" s="486"/>
      <c r="PCM24" s="486"/>
      <c r="PCN24" s="486"/>
      <c r="PCO24" s="486"/>
      <c r="PCP24" s="486"/>
      <c r="PCQ24" s="486"/>
      <c r="PCR24" s="486"/>
      <c r="PCS24" s="486"/>
      <c r="PCT24" s="486"/>
      <c r="PCU24" s="486"/>
      <c r="PCV24" s="486"/>
      <c r="PCW24" s="486"/>
      <c r="PCX24" s="486"/>
      <c r="PCY24" s="486"/>
      <c r="PCZ24" s="486"/>
      <c r="PDA24" s="486"/>
      <c r="PDB24" s="486"/>
      <c r="PDC24" s="486"/>
      <c r="PDD24" s="486"/>
      <c r="PDE24" s="486"/>
      <c r="PDF24" s="486"/>
      <c r="PDG24" s="486"/>
      <c r="PDH24" s="486"/>
      <c r="PDI24" s="486"/>
      <c r="PDJ24" s="486"/>
      <c r="PDK24" s="486"/>
      <c r="PDL24" s="486"/>
      <c r="PDM24" s="486"/>
      <c r="PDN24" s="486"/>
      <c r="PDO24" s="486"/>
      <c r="PDP24" s="486"/>
      <c r="PDQ24" s="486"/>
      <c r="PDR24" s="486"/>
      <c r="PDS24" s="486"/>
      <c r="PDT24" s="486"/>
      <c r="PDU24" s="486"/>
      <c r="PDV24" s="486"/>
      <c r="PDW24" s="486"/>
      <c r="PDX24" s="486"/>
      <c r="PDY24" s="486"/>
      <c r="PDZ24" s="486"/>
      <c r="PEA24" s="486"/>
      <c r="PEB24" s="486"/>
      <c r="PEC24" s="486"/>
      <c r="PED24" s="486"/>
      <c r="PEE24" s="486"/>
      <c r="PEF24" s="486"/>
      <c r="PEG24" s="486"/>
      <c r="PEH24" s="486"/>
      <c r="PEI24" s="486"/>
      <c r="PEJ24" s="486"/>
      <c r="PEK24" s="486"/>
      <c r="PEL24" s="486"/>
      <c r="PEM24" s="486"/>
      <c r="PEN24" s="486"/>
      <c r="PEO24" s="486"/>
      <c r="PEP24" s="486"/>
      <c r="PEQ24" s="486"/>
      <c r="PER24" s="486"/>
      <c r="PES24" s="486"/>
      <c r="PET24" s="486"/>
      <c r="PEU24" s="486"/>
      <c r="PEV24" s="486"/>
      <c r="PEW24" s="486"/>
      <c r="PEX24" s="486"/>
      <c r="PEY24" s="486"/>
      <c r="PEZ24" s="486"/>
      <c r="PFA24" s="486"/>
      <c r="PFB24" s="486"/>
      <c r="PFC24" s="486"/>
      <c r="PFD24" s="486"/>
      <c r="PFE24" s="486"/>
      <c r="PFF24" s="486"/>
      <c r="PFG24" s="486"/>
      <c r="PFH24" s="486"/>
      <c r="PFI24" s="486"/>
      <c r="PFJ24" s="486"/>
      <c r="PFK24" s="486"/>
      <c r="PFL24" s="486"/>
      <c r="PFM24" s="486"/>
      <c r="PFN24" s="486"/>
      <c r="PFO24" s="486"/>
      <c r="PFP24" s="486"/>
      <c r="PFQ24" s="486"/>
      <c r="PFR24" s="486"/>
      <c r="PFS24" s="486"/>
      <c r="PFT24" s="486"/>
      <c r="PFU24" s="486"/>
      <c r="PFV24" s="486"/>
      <c r="PFW24" s="486"/>
      <c r="PFX24" s="486"/>
      <c r="PFY24" s="486"/>
      <c r="PFZ24" s="486"/>
      <c r="PGA24" s="486"/>
      <c r="PGB24" s="486"/>
      <c r="PGC24" s="486"/>
      <c r="PGD24" s="486"/>
      <c r="PGE24" s="486"/>
      <c r="PGF24" s="486"/>
      <c r="PGG24" s="486"/>
      <c r="PGH24" s="486"/>
      <c r="PGI24" s="486"/>
      <c r="PGJ24" s="486"/>
      <c r="PGK24" s="486"/>
      <c r="PGL24" s="486"/>
      <c r="PGM24" s="486"/>
      <c r="PGN24" s="486"/>
      <c r="PGO24" s="486"/>
      <c r="PGP24" s="486"/>
      <c r="PGQ24" s="486"/>
      <c r="PGR24" s="486"/>
      <c r="PGS24" s="486"/>
      <c r="PGT24" s="486"/>
      <c r="PGU24" s="486"/>
      <c r="PGV24" s="486"/>
      <c r="PGW24" s="486"/>
      <c r="PGX24" s="486"/>
      <c r="PGY24" s="486"/>
      <c r="PGZ24" s="486"/>
      <c r="PHA24" s="486"/>
      <c r="PHB24" s="486"/>
      <c r="PHC24" s="486"/>
      <c r="PHD24" s="486"/>
      <c r="PHE24" s="486"/>
      <c r="PHF24" s="486"/>
      <c r="PHG24" s="486"/>
      <c r="PHH24" s="486"/>
      <c r="PHI24" s="486"/>
      <c r="PHJ24" s="486"/>
      <c r="PHK24" s="486"/>
      <c r="PHL24" s="486"/>
      <c r="PHM24" s="486"/>
      <c r="PHN24" s="486"/>
      <c r="PHO24" s="486"/>
      <c r="PHP24" s="486"/>
      <c r="PHQ24" s="486"/>
      <c r="PHR24" s="486"/>
      <c r="PHS24" s="486"/>
      <c r="PHT24" s="486"/>
      <c r="PHU24" s="486"/>
      <c r="PHV24" s="486"/>
      <c r="PHW24" s="486"/>
      <c r="PHX24" s="486"/>
      <c r="PHY24" s="486"/>
      <c r="PHZ24" s="486"/>
      <c r="PIA24" s="486"/>
      <c r="PIB24" s="486"/>
      <c r="PIC24" s="486"/>
      <c r="PID24" s="486"/>
      <c r="PIE24" s="486"/>
      <c r="PIF24" s="486"/>
      <c r="PIG24" s="486"/>
      <c r="PIH24" s="486"/>
      <c r="PII24" s="486"/>
      <c r="PIJ24" s="486"/>
      <c r="PIK24" s="486"/>
      <c r="PIL24" s="486"/>
      <c r="PIM24" s="486"/>
      <c r="PIN24" s="486"/>
      <c r="PIO24" s="486"/>
      <c r="PIP24" s="486"/>
      <c r="PIQ24" s="486"/>
      <c r="PIR24" s="486"/>
      <c r="PIS24" s="486"/>
      <c r="PIT24" s="486"/>
      <c r="PIU24" s="486"/>
      <c r="PIV24" s="486"/>
      <c r="PIW24" s="486"/>
      <c r="PIX24" s="486"/>
      <c r="PIY24" s="486"/>
      <c r="PIZ24" s="486"/>
      <c r="PJA24" s="486"/>
      <c r="PJB24" s="486"/>
      <c r="PJC24" s="486"/>
      <c r="PJD24" s="486"/>
      <c r="PJE24" s="486"/>
      <c r="PJF24" s="486"/>
      <c r="PJG24" s="486"/>
      <c r="PJH24" s="486"/>
      <c r="PJI24" s="486"/>
      <c r="PJJ24" s="486"/>
      <c r="PJK24" s="486"/>
      <c r="PJL24" s="486"/>
      <c r="PJM24" s="486"/>
      <c r="PJN24" s="486"/>
      <c r="PJO24" s="486"/>
      <c r="PJP24" s="486"/>
      <c r="PJQ24" s="486"/>
      <c r="PJR24" s="486"/>
      <c r="PJS24" s="486"/>
      <c r="PJT24" s="486"/>
      <c r="PJU24" s="486"/>
      <c r="PJV24" s="486"/>
      <c r="PJW24" s="486"/>
      <c r="PJX24" s="486"/>
      <c r="PJY24" s="486"/>
      <c r="PJZ24" s="486"/>
      <c r="PKA24" s="486"/>
      <c r="PKB24" s="486"/>
      <c r="PKC24" s="486"/>
      <c r="PKD24" s="486"/>
      <c r="PKE24" s="486"/>
      <c r="PKF24" s="486"/>
      <c r="PKG24" s="486"/>
      <c r="PKH24" s="486"/>
      <c r="PKI24" s="486"/>
      <c r="PKJ24" s="486"/>
      <c r="PKK24" s="486"/>
      <c r="PKL24" s="486"/>
      <c r="PKM24" s="486"/>
      <c r="PKN24" s="486"/>
      <c r="PKO24" s="486"/>
      <c r="PKP24" s="486"/>
      <c r="PKQ24" s="486"/>
      <c r="PKR24" s="486"/>
      <c r="PKS24" s="486"/>
      <c r="PKT24" s="486"/>
      <c r="PKU24" s="486"/>
      <c r="PKV24" s="486"/>
      <c r="PKW24" s="486"/>
      <c r="PKX24" s="486"/>
      <c r="PKY24" s="486"/>
      <c r="PKZ24" s="486"/>
      <c r="PLA24" s="486"/>
      <c r="PLB24" s="486"/>
      <c r="PLC24" s="486"/>
      <c r="PLD24" s="486"/>
      <c r="PLE24" s="486"/>
      <c r="PLF24" s="486"/>
      <c r="PLG24" s="486"/>
      <c r="PLH24" s="486"/>
      <c r="PLI24" s="486"/>
      <c r="PLJ24" s="486"/>
      <c r="PLK24" s="486"/>
      <c r="PLL24" s="486"/>
      <c r="PLM24" s="486"/>
      <c r="PLN24" s="486"/>
      <c r="PLO24" s="486"/>
      <c r="PLP24" s="486"/>
      <c r="PLQ24" s="486"/>
      <c r="PLR24" s="486"/>
      <c r="PLS24" s="486"/>
      <c r="PLT24" s="486"/>
      <c r="PLU24" s="486"/>
      <c r="PLV24" s="486"/>
      <c r="PLW24" s="486"/>
      <c r="PLX24" s="486"/>
      <c r="PLY24" s="486"/>
      <c r="PLZ24" s="486"/>
      <c r="PMA24" s="486"/>
      <c r="PMB24" s="486"/>
      <c r="PMC24" s="486"/>
      <c r="PMD24" s="486"/>
      <c r="PME24" s="486"/>
      <c r="PMF24" s="486"/>
      <c r="PMG24" s="486"/>
      <c r="PMH24" s="486"/>
      <c r="PMI24" s="486"/>
      <c r="PMJ24" s="486"/>
      <c r="PMK24" s="486"/>
      <c r="PML24" s="486"/>
      <c r="PMM24" s="486"/>
      <c r="PMN24" s="486"/>
      <c r="PMO24" s="486"/>
      <c r="PMP24" s="486"/>
      <c r="PMQ24" s="486"/>
      <c r="PMR24" s="486"/>
      <c r="PMS24" s="486"/>
      <c r="PMT24" s="486"/>
      <c r="PMU24" s="486"/>
      <c r="PMV24" s="486"/>
      <c r="PMW24" s="486"/>
      <c r="PMX24" s="486"/>
      <c r="PMY24" s="486"/>
      <c r="PMZ24" s="486"/>
      <c r="PNA24" s="486"/>
      <c r="PNB24" s="486"/>
      <c r="PNC24" s="486"/>
      <c r="PND24" s="486"/>
      <c r="PNE24" s="486"/>
      <c r="PNF24" s="486"/>
      <c r="PNG24" s="486"/>
      <c r="PNH24" s="486"/>
      <c r="PNI24" s="486"/>
      <c r="PNJ24" s="486"/>
      <c r="PNK24" s="486"/>
      <c r="PNL24" s="486"/>
      <c r="PNM24" s="486"/>
      <c r="PNN24" s="486"/>
      <c r="PNO24" s="486"/>
      <c r="PNP24" s="486"/>
      <c r="PNQ24" s="486"/>
      <c r="PNR24" s="486"/>
      <c r="PNS24" s="486"/>
      <c r="PNT24" s="486"/>
      <c r="PNU24" s="486"/>
      <c r="PNV24" s="486"/>
      <c r="PNW24" s="486"/>
      <c r="PNX24" s="486"/>
      <c r="PNY24" s="486"/>
      <c r="PNZ24" s="486"/>
      <c r="POA24" s="486"/>
      <c r="POB24" s="486"/>
      <c r="POC24" s="486"/>
      <c r="POD24" s="486"/>
      <c r="POE24" s="486"/>
      <c r="POF24" s="486"/>
      <c r="POG24" s="486"/>
      <c r="POH24" s="486"/>
      <c r="POI24" s="486"/>
      <c r="POJ24" s="486"/>
      <c r="POK24" s="486"/>
      <c r="POL24" s="486"/>
      <c r="POM24" s="486"/>
      <c r="PON24" s="486"/>
      <c r="POO24" s="486"/>
      <c r="POP24" s="486"/>
      <c r="POQ24" s="486"/>
      <c r="POR24" s="486"/>
      <c r="POS24" s="486"/>
      <c r="POT24" s="486"/>
      <c r="POU24" s="486"/>
      <c r="POV24" s="486"/>
      <c r="POW24" s="486"/>
      <c r="POX24" s="486"/>
      <c r="POY24" s="486"/>
      <c r="POZ24" s="486"/>
      <c r="PPA24" s="486"/>
      <c r="PPB24" s="486"/>
      <c r="PPC24" s="486"/>
      <c r="PPD24" s="486"/>
      <c r="PPE24" s="486"/>
      <c r="PPF24" s="486"/>
      <c r="PPG24" s="486"/>
      <c r="PPH24" s="486"/>
      <c r="PPI24" s="486"/>
      <c r="PPJ24" s="486"/>
      <c r="PPK24" s="486"/>
      <c r="PPL24" s="486"/>
      <c r="PPM24" s="486"/>
      <c r="PPN24" s="486"/>
      <c r="PPO24" s="486"/>
      <c r="PPP24" s="486"/>
      <c r="PPQ24" s="486"/>
      <c r="PPR24" s="486"/>
      <c r="PPS24" s="486"/>
      <c r="PPT24" s="486"/>
      <c r="PPU24" s="486"/>
      <c r="PPV24" s="486"/>
      <c r="PPW24" s="486"/>
      <c r="PPX24" s="486"/>
      <c r="PPY24" s="486"/>
      <c r="PPZ24" s="486"/>
      <c r="PQA24" s="486"/>
      <c r="PQB24" s="486"/>
      <c r="PQC24" s="486"/>
      <c r="PQD24" s="486"/>
      <c r="PQE24" s="486"/>
      <c r="PQF24" s="486"/>
      <c r="PQG24" s="486"/>
      <c r="PQH24" s="486"/>
      <c r="PQI24" s="486"/>
      <c r="PQJ24" s="486"/>
      <c r="PQK24" s="486"/>
      <c r="PQL24" s="486"/>
      <c r="PQM24" s="486"/>
      <c r="PQN24" s="486"/>
      <c r="PQO24" s="486"/>
      <c r="PQP24" s="486"/>
      <c r="PQQ24" s="486"/>
      <c r="PQR24" s="486"/>
      <c r="PQS24" s="486"/>
      <c r="PQT24" s="486"/>
      <c r="PQU24" s="486"/>
      <c r="PQV24" s="486"/>
      <c r="PQW24" s="486"/>
      <c r="PQX24" s="486"/>
      <c r="PQY24" s="486"/>
      <c r="PQZ24" s="486"/>
      <c r="PRA24" s="486"/>
      <c r="PRB24" s="486"/>
      <c r="PRC24" s="486"/>
      <c r="PRD24" s="486"/>
      <c r="PRE24" s="486"/>
      <c r="PRF24" s="486"/>
      <c r="PRG24" s="486"/>
      <c r="PRH24" s="486"/>
      <c r="PRI24" s="486"/>
      <c r="PRJ24" s="486"/>
      <c r="PRK24" s="486"/>
      <c r="PRL24" s="486"/>
      <c r="PRM24" s="486"/>
      <c r="PRN24" s="486"/>
      <c r="PRO24" s="486"/>
      <c r="PRP24" s="486"/>
      <c r="PRQ24" s="486"/>
      <c r="PRR24" s="486"/>
      <c r="PRS24" s="486"/>
      <c r="PRT24" s="486"/>
      <c r="PRU24" s="486"/>
      <c r="PRV24" s="486"/>
      <c r="PRW24" s="486"/>
      <c r="PRX24" s="486"/>
      <c r="PRY24" s="486"/>
      <c r="PRZ24" s="486"/>
      <c r="PSA24" s="486"/>
      <c r="PSB24" s="486"/>
      <c r="PSC24" s="486"/>
      <c r="PSD24" s="486"/>
      <c r="PSE24" s="486"/>
      <c r="PSF24" s="486"/>
      <c r="PSG24" s="486"/>
      <c r="PSH24" s="486"/>
      <c r="PSI24" s="486"/>
      <c r="PSJ24" s="486"/>
      <c r="PSK24" s="486"/>
      <c r="PSL24" s="486"/>
      <c r="PSM24" s="486"/>
      <c r="PSN24" s="486"/>
      <c r="PSO24" s="486"/>
      <c r="PSP24" s="486"/>
      <c r="PSQ24" s="486"/>
      <c r="PSR24" s="486"/>
      <c r="PSS24" s="486"/>
      <c r="PST24" s="486"/>
      <c r="PSU24" s="486"/>
      <c r="PSV24" s="486"/>
      <c r="PSW24" s="486"/>
      <c r="PSX24" s="486"/>
      <c r="PSY24" s="486"/>
      <c r="PSZ24" s="486"/>
      <c r="PTA24" s="486"/>
      <c r="PTB24" s="486"/>
      <c r="PTC24" s="486"/>
      <c r="PTD24" s="486"/>
      <c r="PTE24" s="486"/>
      <c r="PTF24" s="486"/>
      <c r="PTG24" s="486"/>
      <c r="PTH24" s="486"/>
      <c r="PTI24" s="486"/>
      <c r="PTJ24" s="486"/>
      <c r="PTK24" s="486"/>
      <c r="PTL24" s="486"/>
      <c r="PTM24" s="486"/>
      <c r="PTN24" s="486"/>
      <c r="PTO24" s="486"/>
      <c r="PTP24" s="486"/>
      <c r="PTQ24" s="486"/>
      <c r="PTR24" s="486"/>
      <c r="PTS24" s="486"/>
      <c r="PTT24" s="486"/>
      <c r="PTU24" s="486"/>
      <c r="PTV24" s="486"/>
      <c r="PTW24" s="486"/>
      <c r="PTX24" s="486"/>
      <c r="PTY24" s="486"/>
      <c r="PTZ24" s="486"/>
      <c r="PUA24" s="486"/>
      <c r="PUB24" s="486"/>
      <c r="PUC24" s="486"/>
      <c r="PUD24" s="486"/>
      <c r="PUE24" s="486"/>
      <c r="PUF24" s="486"/>
      <c r="PUG24" s="486"/>
      <c r="PUH24" s="486"/>
      <c r="PUI24" s="486"/>
      <c r="PUJ24" s="486"/>
      <c r="PUK24" s="486"/>
      <c r="PUL24" s="486"/>
      <c r="PUM24" s="486"/>
      <c r="PUN24" s="486"/>
      <c r="PUO24" s="486"/>
      <c r="PUP24" s="486"/>
      <c r="PUQ24" s="486"/>
      <c r="PUR24" s="486"/>
      <c r="PUS24" s="486"/>
      <c r="PUT24" s="486"/>
      <c r="PUU24" s="486"/>
      <c r="PUV24" s="486"/>
      <c r="PUW24" s="486"/>
      <c r="PUX24" s="486"/>
      <c r="PUY24" s="486"/>
      <c r="PUZ24" s="486"/>
      <c r="PVA24" s="486"/>
      <c r="PVB24" s="486"/>
      <c r="PVC24" s="486"/>
      <c r="PVD24" s="486"/>
      <c r="PVE24" s="486"/>
      <c r="PVF24" s="486"/>
      <c r="PVG24" s="486"/>
      <c r="PVH24" s="486"/>
      <c r="PVI24" s="486"/>
      <c r="PVJ24" s="486"/>
      <c r="PVK24" s="486"/>
      <c r="PVL24" s="486"/>
      <c r="PVM24" s="486"/>
      <c r="PVN24" s="486"/>
      <c r="PVO24" s="486"/>
      <c r="PVP24" s="486"/>
      <c r="PVQ24" s="486"/>
      <c r="PVR24" s="486"/>
      <c r="PVS24" s="486"/>
      <c r="PVT24" s="486"/>
      <c r="PVU24" s="486"/>
      <c r="PVV24" s="486"/>
      <c r="PVW24" s="486"/>
      <c r="PVX24" s="486"/>
      <c r="PVY24" s="486"/>
      <c r="PVZ24" s="486"/>
      <c r="PWA24" s="486"/>
      <c r="PWB24" s="486"/>
      <c r="PWC24" s="486"/>
      <c r="PWD24" s="486"/>
      <c r="PWE24" s="486"/>
      <c r="PWF24" s="486"/>
      <c r="PWG24" s="486"/>
      <c r="PWH24" s="486"/>
      <c r="PWI24" s="486"/>
      <c r="PWJ24" s="486"/>
      <c r="PWK24" s="486"/>
      <c r="PWL24" s="486"/>
      <c r="PWM24" s="486"/>
      <c r="PWN24" s="486"/>
      <c r="PWO24" s="486"/>
      <c r="PWP24" s="486"/>
      <c r="PWQ24" s="486"/>
      <c r="PWR24" s="486"/>
      <c r="PWS24" s="486"/>
      <c r="PWT24" s="486"/>
      <c r="PWU24" s="486"/>
      <c r="PWV24" s="486"/>
      <c r="PWW24" s="486"/>
      <c r="PWX24" s="486"/>
      <c r="PWY24" s="486"/>
      <c r="PWZ24" s="486"/>
      <c r="PXA24" s="486"/>
      <c r="PXB24" s="486"/>
      <c r="PXC24" s="486"/>
      <c r="PXD24" s="486"/>
      <c r="PXE24" s="486"/>
      <c r="PXF24" s="486"/>
      <c r="PXG24" s="486"/>
      <c r="PXH24" s="486"/>
      <c r="PXI24" s="486"/>
      <c r="PXJ24" s="486"/>
      <c r="PXK24" s="486"/>
      <c r="PXL24" s="486"/>
      <c r="PXM24" s="486"/>
      <c r="PXN24" s="486"/>
      <c r="PXO24" s="486"/>
      <c r="PXP24" s="486"/>
      <c r="PXQ24" s="486"/>
      <c r="PXR24" s="486"/>
      <c r="PXS24" s="486"/>
      <c r="PXT24" s="486"/>
      <c r="PXU24" s="486"/>
      <c r="PXV24" s="486"/>
      <c r="PXW24" s="486"/>
      <c r="PXX24" s="486"/>
      <c r="PXY24" s="486"/>
      <c r="PXZ24" s="486"/>
      <c r="PYA24" s="486"/>
      <c r="PYB24" s="486"/>
      <c r="PYC24" s="486"/>
      <c r="PYD24" s="486"/>
      <c r="PYE24" s="486"/>
      <c r="PYF24" s="486"/>
      <c r="PYG24" s="486"/>
      <c r="PYH24" s="486"/>
      <c r="PYI24" s="486"/>
      <c r="PYJ24" s="486"/>
      <c r="PYK24" s="486"/>
      <c r="PYL24" s="486"/>
      <c r="PYM24" s="486"/>
      <c r="PYN24" s="486"/>
      <c r="PYO24" s="486"/>
      <c r="PYP24" s="486"/>
      <c r="PYQ24" s="486"/>
      <c r="PYR24" s="486"/>
      <c r="PYS24" s="486"/>
      <c r="PYT24" s="486"/>
      <c r="PYU24" s="486"/>
      <c r="PYV24" s="486"/>
      <c r="PYW24" s="486"/>
      <c r="PYX24" s="486"/>
      <c r="PYY24" s="486"/>
      <c r="PYZ24" s="486"/>
      <c r="PZA24" s="486"/>
      <c r="PZB24" s="486"/>
      <c r="PZC24" s="486"/>
      <c r="PZD24" s="486"/>
      <c r="PZE24" s="486"/>
      <c r="PZF24" s="486"/>
      <c r="PZG24" s="486"/>
      <c r="PZH24" s="486"/>
      <c r="PZI24" s="486"/>
      <c r="PZJ24" s="486"/>
      <c r="PZK24" s="486"/>
      <c r="PZL24" s="486"/>
      <c r="PZM24" s="486"/>
      <c r="PZN24" s="486"/>
      <c r="PZO24" s="486"/>
      <c r="PZP24" s="486"/>
      <c r="PZQ24" s="486"/>
      <c r="PZR24" s="486"/>
      <c r="PZS24" s="486"/>
      <c r="PZT24" s="486"/>
      <c r="PZU24" s="486"/>
      <c r="PZV24" s="486"/>
      <c r="PZW24" s="486"/>
      <c r="PZX24" s="486"/>
      <c r="PZY24" s="486"/>
      <c r="PZZ24" s="486"/>
      <c r="QAA24" s="486"/>
      <c r="QAB24" s="486"/>
      <c r="QAC24" s="486"/>
      <c r="QAD24" s="486"/>
      <c r="QAE24" s="486"/>
      <c r="QAF24" s="486"/>
      <c r="QAG24" s="486"/>
      <c r="QAH24" s="486"/>
      <c r="QAI24" s="486"/>
      <c r="QAJ24" s="486"/>
      <c r="QAK24" s="486"/>
      <c r="QAL24" s="486"/>
      <c r="QAM24" s="486"/>
      <c r="QAN24" s="486"/>
      <c r="QAO24" s="486"/>
      <c r="QAP24" s="486"/>
      <c r="QAQ24" s="486"/>
      <c r="QAR24" s="486"/>
      <c r="QAS24" s="486"/>
      <c r="QAT24" s="486"/>
      <c r="QAU24" s="486"/>
      <c r="QAV24" s="486"/>
      <c r="QAW24" s="486"/>
      <c r="QAX24" s="486"/>
      <c r="QAY24" s="486"/>
      <c r="QAZ24" s="486"/>
      <c r="QBA24" s="486"/>
      <c r="QBB24" s="486"/>
      <c r="QBC24" s="486"/>
      <c r="QBD24" s="486"/>
      <c r="QBE24" s="486"/>
      <c r="QBF24" s="486"/>
      <c r="QBG24" s="486"/>
      <c r="QBH24" s="486"/>
      <c r="QBI24" s="486"/>
      <c r="QBJ24" s="486"/>
      <c r="QBK24" s="486"/>
      <c r="QBL24" s="486"/>
      <c r="QBM24" s="486"/>
      <c r="QBN24" s="486"/>
      <c r="QBO24" s="486"/>
      <c r="QBP24" s="486"/>
      <c r="QBQ24" s="486"/>
      <c r="QBR24" s="486"/>
      <c r="QBS24" s="486"/>
      <c r="QBT24" s="486"/>
      <c r="QBU24" s="486"/>
      <c r="QBV24" s="486"/>
      <c r="QBW24" s="486"/>
      <c r="QBX24" s="486"/>
      <c r="QBY24" s="486"/>
      <c r="QBZ24" s="486"/>
      <c r="QCA24" s="486"/>
      <c r="QCB24" s="486"/>
      <c r="QCC24" s="486"/>
      <c r="QCD24" s="486"/>
      <c r="QCE24" s="486"/>
      <c r="QCF24" s="486"/>
      <c r="QCG24" s="486"/>
      <c r="QCH24" s="486"/>
      <c r="QCI24" s="486"/>
      <c r="QCJ24" s="486"/>
      <c r="QCK24" s="486"/>
      <c r="QCL24" s="486"/>
      <c r="QCM24" s="486"/>
      <c r="QCN24" s="486"/>
      <c r="QCO24" s="486"/>
      <c r="QCP24" s="486"/>
      <c r="QCQ24" s="486"/>
      <c r="QCR24" s="486"/>
      <c r="QCS24" s="486"/>
      <c r="QCT24" s="486"/>
      <c r="QCU24" s="486"/>
      <c r="QCV24" s="486"/>
      <c r="QCW24" s="486"/>
      <c r="QCX24" s="486"/>
      <c r="QCY24" s="486"/>
      <c r="QCZ24" s="486"/>
      <c r="QDA24" s="486"/>
      <c r="QDB24" s="486"/>
      <c r="QDC24" s="486"/>
      <c r="QDD24" s="486"/>
      <c r="QDE24" s="486"/>
      <c r="QDF24" s="486"/>
      <c r="QDG24" s="486"/>
      <c r="QDH24" s="486"/>
      <c r="QDI24" s="486"/>
      <c r="QDJ24" s="486"/>
      <c r="QDK24" s="486"/>
      <c r="QDL24" s="486"/>
      <c r="QDM24" s="486"/>
      <c r="QDN24" s="486"/>
      <c r="QDO24" s="486"/>
      <c r="QDP24" s="486"/>
      <c r="QDQ24" s="486"/>
      <c r="QDR24" s="486"/>
      <c r="QDS24" s="486"/>
      <c r="QDT24" s="486"/>
      <c r="QDU24" s="486"/>
      <c r="QDV24" s="486"/>
      <c r="QDW24" s="486"/>
      <c r="QDX24" s="486"/>
      <c r="QDY24" s="486"/>
      <c r="QDZ24" s="486"/>
      <c r="QEA24" s="486"/>
      <c r="QEB24" s="486"/>
      <c r="QEC24" s="486"/>
      <c r="QED24" s="486"/>
      <c r="QEE24" s="486"/>
      <c r="QEF24" s="486"/>
      <c r="QEG24" s="486"/>
      <c r="QEH24" s="486"/>
      <c r="QEI24" s="486"/>
      <c r="QEJ24" s="486"/>
      <c r="QEK24" s="486"/>
      <c r="QEL24" s="486"/>
      <c r="QEM24" s="486"/>
      <c r="QEN24" s="486"/>
      <c r="QEO24" s="486"/>
      <c r="QEP24" s="486"/>
      <c r="QEQ24" s="486"/>
      <c r="QER24" s="486"/>
      <c r="QES24" s="486"/>
      <c r="QET24" s="486"/>
      <c r="QEU24" s="486"/>
      <c r="QEV24" s="486"/>
      <c r="QEW24" s="486"/>
      <c r="QEX24" s="486"/>
      <c r="QEY24" s="486"/>
      <c r="QEZ24" s="486"/>
      <c r="QFA24" s="486"/>
      <c r="QFB24" s="486"/>
      <c r="QFC24" s="486"/>
      <c r="QFD24" s="486"/>
      <c r="QFE24" s="486"/>
      <c r="QFF24" s="486"/>
      <c r="QFG24" s="486"/>
      <c r="QFH24" s="486"/>
      <c r="QFI24" s="486"/>
      <c r="QFJ24" s="486"/>
      <c r="QFK24" s="486"/>
      <c r="QFL24" s="486"/>
      <c r="QFM24" s="486"/>
      <c r="QFN24" s="486"/>
      <c r="QFO24" s="486"/>
      <c r="QFP24" s="486"/>
      <c r="QFQ24" s="486"/>
      <c r="QFR24" s="486"/>
      <c r="QFS24" s="486"/>
      <c r="QFT24" s="486"/>
      <c r="QFU24" s="486"/>
      <c r="QFV24" s="486"/>
      <c r="QFW24" s="486"/>
      <c r="QFX24" s="486"/>
      <c r="QFY24" s="486"/>
      <c r="QFZ24" s="486"/>
      <c r="QGA24" s="486"/>
      <c r="QGB24" s="486"/>
      <c r="QGC24" s="486"/>
      <c r="QGD24" s="486"/>
      <c r="QGE24" s="486"/>
      <c r="QGF24" s="486"/>
      <c r="QGG24" s="486"/>
      <c r="QGH24" s="486"/>
      <c r="QGI24" s="486"/>
      <c r="QGJ24" s="486"/>
      <c r="QGK24" s="486"/>
      <c r="QGL24" s="486"/>
      <c r="QGM24" s="486"/>
      <c r="QGN24" s="486"/>
      <c r="QGO24" s="486"/>
      <c r="QGP24" s="486"/>
      <c r="QGQ24" s="486"/>
      <c r="QGR24" s="486"/>
      <c r="QGS24" s="486"/>
      <c r="QGT24" s="486"/>
      <c r="QGU24" s="486"/>
      <c r="QGV24" s="486"/>
      <c r="QGW24" s="486"/>
      <c r="QGX24" s="486"/>
      <c r="QGY24" s="486"/>
      <c r="QGZ24" s="486"/>
      <c r="QHA24" s="486"/>
      <c r="QHB24" s="486"/>
      <c r="QHC24" s="486"/>
      <c r="QHD24" s="486"/>
      <c r="QHE24" s="486"/>
      <c r="QHF24" s="486"/>
      <c r="QHG24" s="486"/>
      <c r="QHH24" s="486"/>
      <c r="QHI24" s="486"/>
      <c r="QHJ24" s="486"/>
      <c r="QHK24" s="486"/>
      <c r="QHL24" s="486"/>
      <c r="QHM24" s="486"/>
      <c r="QHN24" s="486"/>
      <c r="QHO24" s="486"/>
      <c r="QHP24" s="486"/>
      <c r="QHQ24" s="486"/>
      <c r="QHR24" s="486"/>
      <c r="QHS24" s="486"/>
      <c r="QHT24" s="486"/>
      <c r="QHU24" s="486"/>
      <c r="QHV24" s="486"/>
      <c r="QHW24" s="486"/>
      <c r="QHX24" s="486"/>
      <c r="QHY24" s="486"/>
      <c r="QHZ24" s="486"/>
      <c r="QIA24" s="486"/>
      <c r="QIB24" s="486"/>
      <c r="QIC24" s="486"/>
      <c r="QID24" s="486"/>
      <c r="QIE24" s="486"/>
      <c r="QIF24" s="486"/>
      <c r="QIG24" s="486"/>
      <c r="QIH24" s="486"/>
      <c r="QII24" s="486"/>
      <c r="QIJ24" s="486"/>
      <c r="QIK24" s="486"/>
      <c r="QIL24" s="486"/>
      <c r="QIM24" s="486"/>
      <c r="QIN24" s="486"/>
      <c r="QIO24" s="486"/>
      <c r="QIP24" s="486"/>
      <c r="QIQ24" s="486"/>
      <c r="QIR24" s="486"/>
      <c r="QIS24" s="486"/>
      <c r="QIT24" s="486"/>
      <c r="QIU24" s="486"/>
      <c r="QIV24" s="486"/>
      <c r="QIW24" s="486"/>
      <c r="QIX24" s="486"/>
      <c r="QIY24" s="486"/>
      <c r="QIZ24" s="486"/>
      <c r="QJA24" s="486"/>
      <c r="QJB24" s="486"/>
      <c r="QJC24" s="486"/>
      <c r="QJD24" s="486"/>
      <c r="QJE24" s="486"/>
      <c r="QJF24" s="486"/>
      <c r="QJG24" s="486"/>
      <c r="QJH24" s="486"/>
      <c r="QJI24" s="486"/>
      <c r="QJJ24" s="486"/>
      <c r="QJK24" s="486"/>
      <c r="QJL24" s="486"/>
      <c r="QJM24" s="486"/>
      <c r="QJN24" s="486"/>
      <c r="QJO24" s="486"/>
      <c r="QJP24" s="486"/>
      <c r="QJQ24" s="486"/>
      <c r="QJR24" s="486"/>
      <c r="QJS24" s="486"/>
      <c r="QJT24" s="486"/>
      <c r="QJU24" s="486"/>
      <c r="QJV24" s="486"/>
      <c r="QJW24" s="486"/>
      <c r="QJX24" s="486"/>
      <c r="QJY24" s="486"/>
      <c r="QJZ24" s="486"/>
      <c r="QKA24" s="486"/>
      <c r="QKB24" s="486"/>
      <c r="QKC24" s="486"/>
      <c r="QKD24" s="486"/>
      <c r="QKE24" s="486"/>
      <c r="QKF24" s="486"/>
      <c r="QKG24" s="486"/>
      <c r="QKH24" s="486"/>
      <c r="QKI24" s="486"/>
      <c r="QKJ24" s="486"/>
      <c r="QKK24" s="486"/>
      <c r="QKL24" s="486"/>
      <c r="QKM24" s="486"/>
      <c r="QKN24" s="486"/>
      <c r="QKO24" s="486"/>
      <c r="QKP24" s="486"/>
      <c r="QKQ24" s="486"/>
      <c r="QKR24" s="486"/>
      <c r="QKS24" s="486"/>
      <c r="QKT24" s="486"/>
      <c r="QKU24" s="486"/>
      <c r="QKV24" s="486"/>
      <c r="QKW24" s="486"/>
      <c r="QKX24" s="486"/>
      <c r="QKY24" s="486"/>
      <c r="QKZ24" s="486"/>
      <c r="QLA24" s="486"/>
      <c r="QLB24" s="486"/>
      <c r="QLC24" s="486"/>
      <c r="QLD24" s="486"/>
      <c r="QLE24" s="486"/>
      <c r="QLF24" s="486"/>
      <c r="QLG24" s="486"/>
      <c r="QLH24" s="486"/>
      <c r="QLI24" s="486"/>
      <c r="QLJ24" s="486"/>
      <c r="QLK24" s="486"/>
      <c r="QLL24" s="486"/>
      <c r="QLM24" s="486"/>
      <c r="QLN24" s="486"/>
      <c r="QLO24" s="486"/>
      <c r="QLP24" s="486"/>
      <c r="QLQ24" s="486"/>
      <c r="QLR24" s="486"/>
      <c r="QLS24" s="486"/>
      <c r="QLT24" s="486"/>
      <c r="QLU24" s="486"/>
      <c r="QLV24" s="486"/>
      <c r="QLW24" s="486"/>
      <c r="QLX24" s="486"/>
      <c r="QLY24" s="486"/>
      <c r="QLZ24" s="486"/>
      <c r="QMA24" s="486"/>
      <c r="QMB24" s="486"/>
      <c r="QMC24" s="486"/>
      <c r="QMD24" s="486"/>
      <c r="QME24" s="486"/>
      <c r="QMF24" s="486"/>
      <c r="QMG24" s="486"/>
      <c r="QMH24" s="486"/>
      <c r="QMI24" s="486"/>
      <c r="QMJ24" s="486"/>
      <c r="QMK24" s="486"/>
      <c r="QML24" s="486"/>
      <c r="QMM24" s="486"/>
      <c r="QMN24" s="486"/>
      <c r="QMO24" s="486"/>
      <c r="QMP24" s="486"/>
      <c r="QMQ24" s="486"/>
      <c r="QMR24" s="486"/>
      <c r="QMS24" s="486"/>
      <c r="QMT24" s="486"/>
      <c r="QMU24" s="486"/>
      <c r="QMV24" s="486"/>
      <c r="QMW24" s="486"/>
      <c r="QMX24" s="486"/>
      <c r="QMY24" s="486"/>
      <c r="QMZ24" s="486"/>
      <c r="QNA24" s="486"/>
      <c r="QNB24" s="486"/>
      <c r="QNC24" s="486"/>
      <c r="QND24" s="486"/>
      <c r="QNE24" s="486"/>
      <c r="QNF24" s="486"/>
      <c r="QNG24" s="486"/>
      <c r="QNH24" s="486"/>
      <c r="QNI24" s="486"/>
      <c r="QNJ24" s="486"/>
      <c r="QNK24" s="486"/>
      <c r="QNL24" s="486"/>
      <c r="QNM24" s="486"/>
      <c r="QNN24" s="486"/>
      <c r="QNO24" s="486"/>
      <c r="QNP24" s="486"/>
      <c r="QNQ24" s="486"/>
      <c r="QNR24" s="486"/>
      <c r="QNS24" s="486"/>
      <c r="QNT24" s="486"/>
      <c r="QNU24" s="486"/>
      <c r="QNV24" s="486"/>
      <c r="QNW24" s="486"/>
      <c r="QNX24" s="486"/>
      <c r="QNY24" s="486"/>
      <c r="QNZ24" s="486"/>
      <c r="QOA24" s="486"/>
      <c r="QOB24" s="486"/>
      <c r="QOC24" s="486"/>
      <c r="QOD24" s="486"/>
      <c r="QOE24" s="486"/>
      <c r="QOF24" s="486"/>
      <c r="QOG24" s="486"/>
      <c r="QOH24" s="486"/>
      <c r="QOI24" s="486"/>
      <c r="QOJ24" s="486"/>
      <c r="QOK24" s="486"/>
      <c r="QOL24" s="486"/>
      <c r="QOM24" s="486"/>
      <c r="QON24" s="486"/>
      <c r="QOO24" s="486"/>
      <c r="QOP24" s="486"/>
      <c r="QOQ24" s="486"/>
      <c r="QOR24" s="486"/>
      <c r="QOS24" s="486"/>
      <c r="QOT24" s="486"/>
      <c r="QOU24" s="486"/>
      <c r="QOV24" s="486"/>
      <c r="QOW24" s="486"/>
      <c r="QOX24" s="486"/>
      <c r="QOY24" s="486"/>
      <c r="QOZ24" s="486"/>
      <c r="QPA24" s="486"/>
      <c r="QPB24" s="486"/>
      <c r="QPC24" s="486"/>
      <c r="QPD24" s="486"/>
      <c r="QPE24" s="486"/>
      <c r="QPF24" s="486"/>
      <c r="QPG24" s="486"/>
      <c r="QPH24" s="486"/>
      <c r="QPI24" s="486"/>
      <c r="QPJ24" s="486"/>
      <c r="QPK24" s="486"/>
      <c r="QPL24" s="486"/>
      <c r="QPM24" s="486"/>
      <c r="QPN24" s="486"/>
      <c r="QPO24" s="486"/>
      <c r="QPP24" s="486"/>
      <c r="QPQ24" s="486"/>
      <c r="QPR24" s="486"/>
      <c r="QPS24" s="486"/>
      <c r="QPT24" s="486"/>
      <c r="QPU24" s="486"/>
      <c r="QPV24" s="486"/>
      <c r="QPW24" s="486"/>
      <c r="QPX24" s="486"/>
      <c r="QPY24" s="486"/>
      <c r="QPZ24" s="486"/>
      <c r="QQA24" s="486"/>
      <c r="QQB24" s="486"/>
      <c r="QQC24" s="486"/>
      <c r="QQD24" s="486"/>
      <c r="QQE24" s="486"/>
      <c r="QQF24" s="486"/>
      <c r="QQG24" s="486"/>
      <c r="QQH24" s="486"/>
      <c r="QQI24" s="486"/>
      <c r="QQJ24" s="486"/>
      <c r="QQK24" s="486"/>
      <c r="QQL24" s="486"/>
      <c r="QQM24" s="486"/>
      <c r="QQN24" s="486"/>
      <c r="QQO24" s="486"/>
      <c r="QQP24" s="486"/>
      <c r="QQQ24" s="486"/>
      <c r="QQR24" s="486"/>
      <c r="QQS24" s="486"/>
      <c r="QQT24" s="486"/>
      <c r="QQU24" s="486"/>
      <c r="QQV24" s="486"/>
      <c r="QQW24" s="486"/>
      <c r="QQX24" s="486"/>
      <c r="QQY24" s="486"/>
      <c r="QQZ24" s="486"/>
      <c r="QRA24" s="486"/>
      <c r="QRB24" s="486"/>
      <c r="QRC24" s="486"/>
      <c r="QRD24" s="486"/>
      <c r="QRE24" s="486"/>
      <c r="QRF24" s="486"/>
      <c r="QRG24" s="486"/>
      <c r="QRH24" s="486"/>
      <c r="QRI24" s="486"/>
      <c r="QRJ24" s="486"/>
      <c r="QRK24" s="486"/>
      <c r="QRL24" s="486"/>
      <c r="QRM24" s="486"/>
      <c r="QRN24" s="486"/>
      <c r="QRO24" s="486"/>
      <c r="QRP24" s="486"/>
      <c r="QRQ24" s="486"/>
      <c r="QRR24" s="486"/>
      <c r="QRS24" s="486"/>
      <c r="QRT24" s="486"/>
      <c r="QRU24" s="486"/>
      <c r="QRV24" s="486"/>
      <c r="QRW24" s="486"/>
      <c r="QRX24" s="486"/>
      <c r="QRY24" s="486"/>
      <c r="QRZ24" s="486"/>
      <c r="QSA24" s="486"/>
      <c r="QSB24" s="486"/>
      <c r="QSC24" s="486"/>
      <c r="QSD24" s="486"/>
      <c r="QSE24" s="486"/>
      <c r="QSF24" s="486"/>
      <c r="QSG24" s="486"/>
      <c r="QSH24" s="486"/>
      <c r="QSI24" s="486"/>
      <c r="QSJ24" s="486"/>
      <c r="QSK24" s="486"/>
      <c r="QSL24" s="486"/>
      <c r="QSM24" s="486"/>
      <c r="QSN24" s="486"/>
      <c r="QSO24" s="486"/>
      <c r="QSP24" s="486"/>
      <c r="QSQ24" s="486"/>
      <c r="QSR24" s="486"/>
      <c r="QSS24" s="486"/>
      <c r="QST24" s="486"/>
      <c r="QSU24" s="486"/>
      <c r="QSV24" s="486"/>
      <c r="QSW24" s="486"/>
      <c r="QSX24" s="486"/>
      <c r="QSY24" s="486"/>
      <c r="QSZ24" s="486"/>
      <c r="QTA24" s="486"/>
      <c r="QTB24" s="486"/>
      <c r="QTC24" s="486"/>
      <c r="QTD24" s="486"/>
      <c r="QTE24" s="486"/>
      <c r="QTF24" s="486"/>
      <c r="QTG24" s="486"/>
      <c r="QTH24" s="486"/>
      <c r="QTI24" s="486"/>
      <c r="QTJ24" s="486"/>
      <c r="QTK24" s="486"/>
      <c r="QTL24" s="486"/>
      <c r="QTM24" s="486"/>
      <c r="QTN24" s="486"/>
      <c r="QTO24" s="486"/>
      <c r="QTP24" s="486"/>
      <c r="QTQ24" s="486"/>
      <c r="QTR24" s="486"/>
      <c r="QTS24" s="486"/>
      <c r="QTT24" s="486"/>
      <c r="QTU24" s="486"/>
      <c r="QTV24" s="486"/>
      <c r="QTW24" s="486"/>
      <c r="QTX24" s="486"/>
      <c r="QTY24" s="486"/>
      <c r="QTZ24" s="486"/>
      <c r="QUA24" s="486"/>
      <c r="QUB24" s="486"/>
      <c r="QUC24" s="486"/>
      <c r="QUD24" s="486"/>
      <c r="QUE24" s="486"/>
      <c r="QUF24" s="486"/>
      <c r="QUG24" s="486"/>
      <c r="QUH24" s="486"/>
      <c r="QUI24" s="486"/>
      <c r="QUJ24" s="486"/>
      <c r="QUK24" s="486"/>
      <c r="QUL24" s="486"/>
      <c r="QUM24" s="486"/>
      <c r="QUN24" s="486"/>
      <c r="QUO24" s="486"/>
      <c r="QUP24" s="486"/>
      <c r="QUQ24" s="486"/>
      <c r="QUR24" s="486"/>
      <c r="QUS24" s="486"/>
      <c r="QUT24" s="486"/>
      <c r="QUU24" s="486"/>
      <c r="QUV24" s="486"/>
      <c r="QUW24" s="486"/>
      <c r="QUX24" s="486"/>
      <c r="QUY24" s="486"/>
      <c r="QUZ24" s="486"/>
      <c r="QVA24" s="486"/>
      <c r="QVB24" s="486"/>
      <c r="QVC24" s="486"/>
      <c r="QVD24" s="486"/>
      <c r="QVE24" s="486"/>
      <c r="QVF24" s="486"/>
      <c r="QVG24" s="486"/>
      <c r="QVH24" s="486"/>
      <c r="QVI24" s="486"/>
      <c r="QVJ24" s="486"/>
      <c r="QVK24" s="486"/>
      <c r="QVL24" s="486"/>
      <c r="QVM24" s="486"/>
      <c r="QVN24" s="486"/>
      <c r="QVO24" s="486"/>
      <c r="QVP24" s="486"/>
      <c r="QVQ24" s="486"/>
      <c r="QVR24" s="486"/>
      <c r="QVS24" s="486"/>
      <c r="QVT24" s="486"/>
      <c r="QVU24" s="486"/>
      <c r="QVV24" s="486"/>
      <c r="QVW24" s="486"/>
      <c r="QVX24" s="486"/>
      <c r="QVY24" s="486"/>
      <c r="QVZ24" s="486"/>
      <c r="QWA24" s="486"/>
      <c r="QWB24" s="486"/>
      <c r="QWC24" s="486"/>
      <c r="QWD24" s="486"/>
      <c r="QWE24" s="486"/>
      <c r="QWF24" s="486"/>
      <c r="QWG24" s="486"/>
      <c r="QWH24" s="486"/>
      <c r="QWI24" s="486"/>
      <c r="QWJ24" s="486"/>
      <c r="QWK24" s="486"/>
      <c r="QWL24" s="486"/>
      <c r="QWM24" s="486"/>
      <c r="QWN24" s="486"/>
      <c r="QWO24" s="486"/>
      <c r="QWP24" s="486"/>
      <c r="QWQ24" s="486"/>
      <c r="QWR24" s="486"/>
      <c r="QWS24" s="486"/>
      <c r="QWT24" s="486"/>
      <c r="QWU24" s="486"/>
      <c r="QWV24" s="486"/>
      <c r="QWW24" s="486"/>
      <c r="QWX24" s="486"/>
      <c r="QWY24" s="486"/>
      <c r="QWZ24" s="486"/>
      <c r="QXA24" s="486"/>
      <c r="QXB24" s="486"/>
      <c r="QXC24" s="486"/>
      <c r="QXD24" s="486"/>
      <c r="QXE24" s="486"/>
      <c r="QXF24" s="486"/>
      <c r="QXG24" s="486"/>
      <c r="QXH24" s="486"/>
      <c r="QXI24" s="486"/>
      <c r="QXJ24" s="486"/>
      <c r="QXK24" s="486"/>
      <c r="QXL24" s="486"/>
      <c r="QXM24" s="486"/>
      <c r="QXN24" s="486"/>
      <c r="QXO24" s="486"/>
      <c r="QXP24" s="486"/>
      <c r="QXQ24" s="486"/>
      <c r="QXR24" s="486"/>
      <c r="QXS24" s="486"/>
      <c r="QXT24" s="486"/>
      <c r="QXU24" s="486"/>
      <c r="QXV24" s="486"/>
      <c r="QXW24" s="486"/>
      <c r="QXX24" s="486"/>
      <c r="QXY24" s="486"/>
      <c r="QXZ24" s="486"/>
      <c r="QYA24" s="486"/>
      <c r="QYB24" s="486"/>
      <c r="QYC24" s="486"/>
      <c r="QYD24" s="486"/>
      <c r="QYE24" s="486"/>
      <c r="QYF24" s="486"/>
      <c r="QYG24" s="486"/>
      <c r="QYH24" s="486"/>
      <c r="QYI24" s="486"/>
      <c r="QYJ24" s="486"/>
      <c r="QYK24" s="486"/>
      <c r="QYL24" s="486"/>
      <c r="QYM24" s="486"/>
      <c r="QYN24" s="486"/>
      <c r="QYO24" s="486"/>
      <c r="QYP24" s="486"/>
      <c r="QYQ24" s="486"/>
      <c r="QYR24" s="486"/>
      <c r="QYS24" s="486"/>
      <c r="QYT24" s="486"/>
      <c r="QYU24" s="486"/>
      <c r="QYV24" s="486"/>
      <c r="QYW24" s="486"/>
      <c r="QYX24" s="486"/>
      <c r="QYY24" s="486"/>
      <c r="QYZ24" s="486"/>
      <c r="QZA24" s="486"/>
      <c r="QZB24" s="486"/>
      <c r="QZC24" s="486"/>
      <c r="QZD24" s="486"/>
      <c r="QZE24" s="486"/>
      <c r="QZF24" s="486"/>
      <c r="QZG24" s="486"/>
      <c r="QZH24" s="486"/>
      <c r="QZI24" s="486"/>
      <c r="QZJ24" s="486"/>
      <c r="QZK24" s="486"/>
      <c r="QZL24" s="486"/>
      <c r="QZM24" s="486"/>
      <c r="QZN24" s="486"/>
      <c r="QZO24" s="486"/>
      <c r="QZP24" s="486"/>
      <c r="QZQ24" s="486"/>
      <c r="QZR24" s="486"/>
      <c r="QZS24" s="486"/>
      <c r="QZT24" s="486"/>
      <c r="QZU24" s="486"/>
      <c r="QZV24" s="486"/>
      <c r="QZW24" s="486"/>
      <c r="QZX24" s="486"/>
      <c r="QZY24" s="486"/>
      <c r="QZZ24" s="486"/>
      <c r="RAA24" s="486"/>
      <c r="RAB24" s="486"/>
      <c r="RAC24" s="486"/>
      <c r="RAD24" s="486"/>
      <c r="RAE24" s="486"/>
      <c r="RAF24" s="486"/>
      <c r="RAG24" s="486"/>
      <c r="RAH24" s="486"/>
      <c r="RAI24" s="486"/>
      <c r="RAJ24" s="486"/>
      <c r="RAK24" s="486"/>
      <c r="RAL24" s="486"/>
      <c r="RAM24" s="486"/>
      <c r="RAN24" s="486"/>
      <c r="RAO24" s="486"/>
      <c r="RAP24" s="486"/>
      <c r="RAQ24" s="486"/>
      <c r="RAR24" s="486"/>
      <c r="RAS24" s="486"/>
      <c r="RAT24" s="486"/>
      <c r="RAU24" s="486"/>
      <c r="RAV24" s="486"/>
      <c r="RAW24" s="486"/>
      <c r="RAX24" s="486"/>
      <c r="RAY24" s="486"/>
      <c r="RAZ24" s="486"/>
      <c r="RBA24" s="486"/>
      <c r="RBB24" s="486"/>
      <c r="RBC24" s="486"/>
      <c r="RBD24" s="486"/>
      <c r="RBE24" s="486"/>
      <c r="RBF24" s="486"/>
      <c r="RBG24" s="486"/>
      <c r="RBH24" s="486"/>
      <c r="RBI24" s="486"/>
      <c r="RBJ24" s="486"/>
      <c r="RBK24" s="486"/>
      <c r="RBL24" s="486"/>
      <c r="RBM24" s="486"/>
      <c r="RBN24" s="486"/>
      <c r="RBO24" s="486"/>
      <c r="RBP24" s="486"/>
      <c r="RBQ24" s="486"/>
      <c r="RBR24" s="486"/>
      <c r="RBS24" s="486"/>
      <c r="RBT24" s="486"/>
      <c r="RBU24" s="486"/>
      <c r="RBV24" s="486"/>
      <c r="RBW24" s="486"/>
      <c r="RBX24" s="486"/>
      <c r="RBY24" s="486"/>
      <c r="RBZ24" s="486"/>
      <c r="RCA24" s="486"/>
      <c r="RCB24" s="486"/>
      <c r="RCC24" s="486"/>
      <c r="RCD24" s="486"/>
      <c r="RCE24" s="486"/>
      <c r="RCF24" s="486"/>
      <c r="RCG24" s="486"/>
      <c r="RCH24" s="486"/>
      <c r="RCI24" s="486"/>
      <c r="RCJ24" s="486"/>
      <c r="RCK24" s="486"/>
      <c r="RCL24" s="486"/>
      <c r="RCM24" s="486"/>
      <c r="RCN24" s="486"/>
      <c r="RCO24" s="486"/>
      <c r="RCP24" s="486"/>
      <c r="RCQ24" s="486"/>
      <c r="RCR24" s="486"/>
      <c r="RCS24" s="486"/>
      <c r="RCT24" s="486"/>
      <c r="RCU24" s="486"/>
      <c r="RCV24" s="486"/>
      <c r="RCW24" s="486"/>
      <c r="RCX24" s="486"/>
      <c r="RCY24" s="486"/>
      <c r="RCZ24" s="486"/>
      <c r="RDA24" s="486"/>
      <c r="RDB24" s="486"/>
      <c r="RDC24" s="486"/>
      <c r="RDD24" s="486"/>
      <c r="RDE24" s="486"/>
      <c r="RDF24" s="486"/>
      <c r="RDG24" s="486"/>
      <c r="RDH24" s="486"/>
      <c r="RDI24" s="486"/>
      <c r="RDJ24" s="486"/>
      <c r="RDK24" s="486"/>
      <c r="RDL24" s="486"/>
      <c r="RDM24" s="486"/>
      <c r="RDN24" s="486"/>
      <c r="RDO24" s="486"/>
      <c r="RDP24" s="486"/>
      <c r="RDQ24" s="486"/>
      <c r="RDR24" s="486"/>
      <c r="RDS24" s="486"/>
      <c r="RDT24" s="486"/>
      <c r="RDU24" s="486"/>
      <c r="RDV24" s="486"/>
      <c r="RDW24" s="486"/>
      <c r="RDX24" s="486"/>
      <c r="RDY24" s="486"/>
      <c r="RDZ24" s="486"/>
      <c r="REA24" s="486"/>
      <c r="REB24" s="486"/>
      <c r="REC24" s="486"/>
      <c r="RED24" s="486"/>
      <c r="REE24" s="486"/>
      <c r="REF24" s="486"/>
      <c r="REG24" s="486"/>
      <c r="REH24" s="486"/>
      <c r="REI24" s="486"/>
      <c r="REJ24" s="486"/>
      <c r="REK24" s="486"/>
      <c r="REL24" s="486"/>
      <c r="REM24" s="486"/>
      <c r="REN24" s="486"/>
      <c r="REO24" s="486"/>
      <c r="REP24" s="486"/>
      <c r="REQ24" s="486"/>
      <c r="RER24" s="486"/>
      <c r="RES24" s="486"/>
      <c r="RET24" s="486"/>
      <c r="REU24" s="486"/>
      <c r="REV24" s="486"/>
      <c r="REW24" s="486"/>
      <c r="REX24" s="486"/>
      <c r="REY24" s="486"/>
      <c r="REZ24" s="486"/>
      <c r="RFA24" s="486"/>
      <c r="RFB24" s="486"/>
      <c r="RFC24" s="486"/>
      <c r="RFD24" s="486"/>
      <c r="RFE24" s="486"/>
      <c r="RFF24" s="486"/>
      <c r="RFG24" s="486"/>
      <c r="RFH24" s="486"/>
      <c r="RFI24" s="486"/>
      <c r="RFJ24" s="486"/>
      <c r="RFK24" s="486"/>
      <c r="RFL24" s="486"/>
      <c r="RFM24" s="486"/>
      <c r="RFN24" s="486"/>
      <c r="RFO24" s="486"/>
      <c r="RFP24" s="486"/>
      <c r="RFQ24" s="486"/>
      <c r="RFR24" s="486"/>
      <c r="RFS24" s="486"/>
      <c r="RFT24" s="486"/>
      <c r="RFU24" s="486"/>
      <c r="RFV24" s="486"/>
      <c r="RFW24" s="486"/>
      <c r="RFX24" s="486"/>
      <c r="RFY24" s="486"/>
      <c r="RFZ24" s="486"/>
      <c r="RGA24" s="486"/>
      <c r="RGB24" s="486"/>
      <c r="RGC24" s="486"/>
      <c r="RGD24" s="486"/>
      <c r="RGE24" s="486"/>
      <c r="RGF24" s="486"/>
      <c r="RGG24" s="486"/>
      <c r="RGH24" s="486"/>
      <c r="RGI24" s="486"/>
      <c r="RGJ24" s="486"/>
      <c r="RGK24" s="486"/>
      <c r="RGL24" s="486"/>
      <c r="RGM24" s="486"/>
      <c r="RGN24" s="486"/>
      <c r="RGO24" s="486"/>
      <c r="RGP24" s="486"/>
      <c r="RGQ24" s="486"/>
      <c r="RGR24" s="486"/>
      <c r="RGS24" s="486"/>
      <c r="RGT24" s="486"/>
      <c r="RGU24" s="486"/>
      <c r="RGV24" s="486"/>
      <c r="RGW24" s="486"/>
      <c r="RGX24" s="486"/>
      <c r="RGY24" s="486"/>
      <c r="RGZ24" s="486"/>
      <c r="RHA24" s="486"/>
      <c r="RHB24" s="486"/>
      <c r="RHC24" s="486"/>
      <c r="RHD24" s="486"/>
      <c r="RHE24" s="486"/>
      <c r="RHF24" s="486"/>
      <c r="RHG24" s="486"/>
      <c r="RHH24" s="486"/>
      <c r="RHI24" s="486"/>
      <c r="RHJ24" s="486"/>
      <c r="RHK24" s="486"/>
      <c r="RHL24" s="486"/>
      <c r="RHM24" s="486"/>
      <c r="RHN24" s="486"/>
      <c r="RHO24" s="486"/>
      <c r="RHP24" s="486"/>
      <c r="RHQ24" s="486"/>
      <c r="RHR24" s="486"/>
      <c r="RHS24" s="486"/>
      <c r="RHT24" s="486"/>
      <c r="RHU24" s="486"/>
      <c r="RHV24" s="486"/>
      <c r="RHW24" s="486"/>
      <c r="RHX24" s="486"/>
      <c r="RHY24" s="486"/>
      <c r="RHZ24" s="486"/>
      <c r="RIA24" s="486"/>
      <c r="RIB24" s="486"/>
      <c r="RIC24" s="486"/>
      <c r="RID24" s="486"/>
      <c r="RIE24" s="486"/>
      <c r="RIF24" s="486"/>
      <c r="RIG24" s="486"/>
      <c r="RIH24" s="486"/>
      <c r="RII24" s="486"/>
      <c r="RIJ24" s="486"/>
      <c r="RIK24" s="486"/>
      <c r="RIL24" s="486"/>
      <c r="RIM24" s="486"/>
      <c r="RIN24" s="486"/>
      <c r="RIO24" s="486"/>
      <c r="RIP24" s="486"/>
      <c r="RIQ24" s="486"/>
      <c r="RIR24" s="486"/>
      <c r="RIS24" s="486"/>
      <c r="RIT24" s="486"/>
      <c r="RIU24" s="486"/>
      <c r="RIV24" s="486"/>
      <c r="RIW24" s="486"/>
      <c r="RIX24" s="486"/>
      <c r="RIY24" s="486"/>
      <c r="RIZ24" s="486"/>
      <c r="RJA24" s="486"/>
      <c r="RJB24" s="486"/>
      <c r="RJC24" s="486"/>
      <c r="RJD24" s="486"/>
      <c r="RJE24" s="486"/>
      <c r="RJF24" s="486"/>
      <c r="RJG24" s="486"/>
      <c r="RJH24" s="486"/>
      <c r="RJI24" s="486"/>
      <c r="RJJ24" s="486"/>
      <c r="RJK24" s="486"/>
      <c r="RJL24" s="486"/>
      <c r="RJM24" s="486"/>
      <c r="RJN24" s="486"/>
      <c r="RJO24" s="486"/>
      <c r="RJP24" s="486"/>
      <c r="RJQ24" s="486"/>
      <c r="RJR24" s="486"/>
      <c r="RJS24" s="486"/>
      <c r="RJT24" s="486"/>
      <c r="RJU24" s="486"/>
      <c r="RJV24" s="486"/>
      <c r="RJW24" s="486"/>
      <c r="RJX24" s="486"/>
      <c r="RJY24" s="486"/>
      <c r="RJZ24" s="486"/>
      <c r="RKA24" s="486"/>
      <c r="RKB24" s="486"/>
      <c r="RKC24" s="486"/>
      <c r="RKD24" s="486"/>
      <c r="RKE24" s="486"/>
      <c r="RKF24" s="486"/>
      <c r="RKG24" s="486"/>
      <c r="RKH24" s="486"/>
      <c r="RKI24" s="486"/>
      <c r="RKJ24" s="486"/>
      <c r="RKK24" s="486"/>
      <c r="RKL24" s="486"/>
      <c r="RKM24" s="486"/>
      <c r="RKN24" s="486"/>
      <c r="RKO24" s="486"/>
      <c r="RKP24" s="486"/>
      <c r="RKQ24" s="486"/>
      <c r="RKR24" s="486"/>
      <c r="RKS24" s="486"/>
      <c r="RKT24" s="486"/>
      <c r="RKU24" s="486"/>
      <c r="RKV24" s="486"/>
      <c r="RKW24" s="486"/>
      <c r="RKX24" s="486"/>
      <c r="RKY24" s="486"/>
      <c r="RKZ24" s="486"/>
      <c r="RLA24" s="486"/>
      <c r="RLB24" s="486"/>
      <c r="RLC24" s="486"/>
      <c r="RLD24" s="486"/>
      <c r="RLE24" s="486"/>
      <c r="RLF24" s="486"/>
      <c r="RLG24" s="486"/>
      <c r="RLH24" s="486"/>
      <c r="RLI24" s="486"/>
      <c r="RLJ24" s="486"/>
      <c r="RLK24" s="486"/>
      <c r="RLL24" s="486"/>
      <c r="RLM24" s="486"/>
      <c r="RLN24" s="486"/>
      <c r="RLO24" s="486"/>
      <c r="RLP24" s="486"/>
      <c r="RLQ24" s="486"/>
      <c r="RLR24" s="486"/>
      <c r="RLS24" s="486"/>
      <c r="RLT24" s="486"/>
      <c r="RLU24" s="486"/>
      <c r="RLV24" s="486"/>
      <c r="RLW24" s="486"/>
      <c r="RLX24" s="486"/>
      <c r="RLY24" s="486"/>
      <c r="RLZ24" s="486"/>
      <c r="RMA24" s="486"/>
      <c r="RMB24" s="486"/>
      <c r="RMC24" s="486"/>
      <c r="RMD24" s="486"/>
      <c r="RME24" s="486"/>
      <c r="RMF24" s="486"/>
      <c r="RMG24" s="486"/>
      <c r="RMH24" s="486"/>
      <c r="RMI24" s="486"/>
      <c r="RMJ24" s="486"/>
      <c r="RMK24" s="486"/>
      <c r="RML24" s="486"/>
      <c r="RMM24" s="486"/>
      <c r="RMN24" s="486"/>
      <c r="RMO24" s="486"/>
      <c r="RMP24" s="486"/>
      <c r="RMQ24" s="486"/>
      <c r="RMR24" s="486"/>
      <c r="RMS24" s="486"/>
      <c r="RMT24" s="486"/>
      <c r="RMU24" s="486"/>
      <c r="RMV24" s="486"/>
      <c r="RMW24" s="486"/>
      <c r="RMX24" s="486"/>
      <c r="RMY24" s="486"/>
      <c r="RMZ24" s="486"/>
      <c r="RNA24" s="486"/>
      <c r="RNB24" s="486"/>
      <c r="RNC24" s="486"/>
      <c r="RND24" s="486"/>
      <c r="RNE24" s="486"/>
      <c r="RNF24" s="486"/>
      <c r="RNG24" s="486"/>
      <c r="RNH24" s="486"/>
      <c r="RNI24" s="486"/>
      <c r="RNJ24" s="486"/>
      <c r="RNK24" s="486"/>
      <c r="RNL24" s="486"/>
      <c r="RNM24" s="486"/>
      <c r="RNN24" s="486"/>
      <c r="RNO24" s="486"/>
      <c r="RNP24" s="486"/>
      <c r="RNQ24" s="486"/>
      <c r="RNR24" s="486"/>
      <c r="RNS24" s="486"/>
      <c r="RNT24" s="486"/>
      <c r="RNU24" s="486"/>
      <c r="RNV24" s="486"/>
      <c r="RNW24" s="486"/>
      <c r="RNX24" s="486"/>
      <c r="RNY24" s="486"/>
      <c r="RNZ24" s="486"/>
      <c r="ROA24" s="486"/>
      <c r="ROB24" s="486"/>
      <c r="ROC24" s="486"/>
      <c r="ROD24" s="486"/>
      <c r="ROE24" s="486"/>
      <c r="ROF24" s="486"/>
      <c r="ROG24" s="486"/>
      <c r="ROH24" s="486"/>
      <c r="ROI24" s="486"/>
      <c r="ROJ24" s="486"/>
      <c r="ROK24" s="486"/>
      <c r="ROL24" s="486"/>
      <c r="ROM24" s="486"/>
      <c r="RON24" s="486"/>
      <c r="ROO24" s="486"/>
      <c r="ROP24" s="486"/>
      <c r="ROQ24" s="486"/>
      <c r="ROR24" s="486"/>
      <c r="ROS24" s="486"/>
      <c r="ROT24" s="486"/>
      <c r="ROU24" s="486"/>
      <c r="ROV24" s="486"/>
      <c r="ROW24" s="486"/>
      <c r="ROX24" s="486"/>
      <c r="ROY24" s="486"/>
      <c r="ROZ24" s="486"/>
      <c r="RPA24" s="486"/>
      <c r="RPB24" s="486"/>
      <c r="RPC24" s="486"/>
      <c r="RPD24" s="486"/>
      <c r="RPE24" s="486"/>
      <c r="RPF24" s="486"/>
      <c r="RPG24" s="486"/>
      <c r="RPH24" s="486"/>
      <c r="RPI24" s="486"/>
      <c r="RPJ24" s="486"/>
      <c r="RPK24" s="486"/>
      <c r="RPL24" s="486"/>
      <c r="RPM24" s="486"/>
      <c r="RPN24" s="486"/>
      <c r="RPO24" s="486"/>
      <c r="RPP24" s="486"/>
      <c r="RPQ24" s="486"/>
      <c r="RPR24" s="486"/>
      <c r="RPS24" s="486"/>
      <c r="RPT24" s="486"/>
      <c r="RPU24" s="486"/>
      <c r="RPV24" s="486"/>
      <c r="RPW24" s="486"/>
      <c r="RPX24" s="486"/>
      <c r="RPY24" s="486"/>
      <c r="RPZ24" s="486"/>
      <c r="RQA24" s="486"/>
      <c r="RQB24" s="486"/>
      <c r="RQC24" s="486"/>
      <c r="RQD24" s="486"/>
      <c r="RQE24" s="486"/>
      <c r="RQF24" s="486"/>
      <c r="RQG24" s="486"/>
      <c r="RQH24" s="486"/>
      <c r="RQI24" s="486"/>
      <c r="RQJ24" s="486"/>
      <c r="RQK24" s="486"/>
      <c r="RQL24" s="486"/>
      <c r="RQM24" s="486"/>
      <c r="RQN24" s="486"/>
      <c r="RQO24" s="486"/>
      <c r="RQP24" s="486"/>
      <c r="RQQ24" s="486"/>
      <c r="RQR24" s="486"/>
      <c r="RQS24" s="486"/>
      <c r="RQT24" s="486"/>
      <c r="RQU24" s="486"/>
      <c r="RQV24" s="486"/>
      <c r="RQW24" s="486"/>
      <c r="RQX24" s="486"/>
      <c r="RQY24" s="486"/>
      <c r="RQZ24" s="486"/>
      <c r="RRA24" s="486"/>
      <c r="RRB24" s="486"/>
      <c r="RRC24" s="486"/>
      <c r="RRD24" s="486"/>
      <c r="RRE24" s="486"/>
      <c r="RRF24" s="486"/>
      <c r="RRG24" s="486"/>
      <c r="RRH24" s="486"/>
      <c r="RRI24" s="486"/>
      <c r="RRJ24" s="486"/>
      <c r="RRK24" s="486"/>
      <c r="RRL24" s="486"/>
      <c r="RRM24" s="486"/>
      <c r="RRN24" s="486"/>
      <c r="RRO24" s="486"/>
      <c r="RRP24" s="486"/>
      <c r="RRQ24" s="486"/>
      <c r="RRR24" s="486"/>
      <c r="RRS24" s="486"/>
      <c r="RRT24" s="486"/>
      <c r="RRU24" s="486"/>
      <c r="RRV24" s="486"/>
      <c r="RRW24" s="486"/>
      <c r="RRX24" s="486"/>
      <c r="RRY24" s="486"/>
      <c r="RRZ24" s="486"/>
      <c r="RSA24" s="486"/>
      <c r="RSB24" s="486"/>
      <c r="RSC24" s="486"/>
      <c r="RSD24" s="486"/>
      <c r="RSE24" s="486"/>
      <c r="RSF24" s="486"/>
      <c r="RSG24" s="486"/>
      <c r="RSH24" s="486"/>
      <c r="RSI24" s="486"/>
      <c r="RSJ24" s="486"/>
      <c r="RSK24" s="486"/>
      <c r="RSL24" s="486"/>
      <c r="RSM24" s="486"/>
      <c r="RSN24" s="486"/>
      <c r="RSO24" s="486"/>
      <c r="RSP24" s="486"/>
      <c r="RSQ24" s="486"/>
      <c r="RSR24" s="486"/>
      <c r="RSS24" s="486"/>
      <c r="RST24" s="486"/>
      <c r="RSU24" s="486"/>
      <c r="RSV24" s="486"/>
      <c r="RSW24" s="486"/>
      <c r="RSX24" s="486"/>
      <c r="RSY24" s="486"/>
      <c r="RSZ24" s="486"/>
      <c r="RTA24" s="486"/>
      <c r="RTB24" s="486"/>
      <c r="RTC24" s="486"/>
      <c r="RTD24" s="486"/>
      <c r="RTE24" s="486"/>
      <c r="RTF24" s="486"/>
      <c r="RTG24" s="486"/>
      <c r="RTH24" s="486"/>
      <c r="RTI24" s="486"/>
      <c r="RTJ24" s="486"/>
      <c r="RTK24" s="486"/>
      <c r="RTL24" s="486"/>
      <c r="RTM24" s="486"/>
      <c r="RTN24" s="486"/>
      <c r="RTO24" s="486"/>
      <c r="RTP24" s="486"/>
      <c r="RTQ24" s="486"/>
      <c r="RTR24" s="486"/>
      <c r="RTS24" s="486"/>
      <c r="RTT24" s="486"/>
      <c r="RTU24" s="486"/>
      <c r="RTV24" s="486"/>
      <c r="RTW24" s="486"/>
      <c r="RTX24" s="486"/>
      <c r="RTY24" s="486"/>
      <c r="RTZ24" s="486"/>
      <c r="RUA24" s="486"/>
      <c r="RUB24" s="486"/>
      <c r="RUC24" s="486"/>
      <c r="RUD24" s="486"/>
      <c r="RUE24" s="486"/>
      <c r="RUF24" s="486"/>
      <c r="RUG24" s="486"/>
      <c r="RUH24" s="486"/>
      <c r="RUI24" s="486"/>
      <c r="RUJ24" s="486"/>
      <c r="RUK24" s="486"/>
      <c r="RUL24" s="486"/>
      <c r="RUM24" s="486"/>
      <c r="RUN24" s="486"/>
      <c r="RUO24" s="486"/>
      <c r="RUP24" s="486"/>
      <c r="RUQ24" s="486"/>
      <c r="RUR24" s="486"/>
      <c r="RUS24" s="486"/>
      <c r="RUT24" s="486"/>
      <c r="RUU24" s="486"/>
      <c r="RUV24" s="486"/>
      <c r="RUW24" s="486"/>
      <c r="RUX24" s="486"/>
      <c r="RUY24" s="486"/>
      <c r="RUZ24" s="486"/>
      <c r="RVA24" s="486"/>
      <c r="RVB24" s="486"/>
      <c r="RVC24" s="486"/>
      <c r="RVD24" s="486"/>
      <c r="RVE24" s="486"/>
      <c r="RVF24" s="486"/>
      <c r="RVG24" s="486"/>
      <c r="RVH24" s="486"/>
      <c r="RVI24" s="486"/>
      <c r="RVJ24" s="486"/>
      <c r="RVK24" s="486"/>
      <c r="RVL24" s="486"/>
      <c r="RVM24" s="486"/>
      <c r="RVN24" s="486"/>
      <c r="RVO24" s="486"/>
      <c r="RVP24" s="486"/>
      <c r="RVQ24" s="486"/>
      <c r="RVR24" s="486"/>
      <c r="RVS24" s="486"/>
      <c r="RVT24" s="486"/>
      <c r="RVU24" s="486"/>
      <c r="RVV24" s="486"/>
      <c r="RVW24" s="486"/>
      <c r="RVX24" s="486"/>
      <c r="RVY24" s="486"/>
      <c r="RVZ24" s="486"/>
      <c r="RWA24" s="486"/>
      <c r="RWB24" s="486"/>
      <c r="RWC24" s="486"/>
      <c r="RWD24" s="486"/>
      <c r="RWE24" s="486"/>
      <c r="RWF24" s="486"/>
      <c r="RWG24" s="486"/>
      <c r="RWH24" s="486"/>
      <c r="RWI24" s="486"/>
      <c r="RWJ24" s="486"/>
      <c r="RWK24" s="486"/>
      <c r="RWL24" s="486"/>
      <c r="RWM24" s="486"/>
      <c r="RWN24" s="486"/>
      <c r="RWO24" s="486"/>
      <c r="RWP24" s="486"/>
      <c r="RWQ24" s="486"/>
      <c r="RWR24" s="486"/>
      <c r="RWS24" s="486"/>
      <c r="RWT24" s="486"/>
      <c r="RWU24" s="486"/>
      <c r="RWV24" s="486"/>
      <c r="RWW24" s="486"/>
      <c r="RWX24" s="486"/>
      <c r="RWY24" s="486"/>
      <c r="RWZ24" s="486"/>
      <c r="RXA24" s="486"/>
      <c r="RXB24" s="486"/>
      <c r="RXC24" s="486"/>
      <c r="RXD24" s="486"/>
      <c r="RXE24" s="486"/>
      <c r="RXF24" s="486"/>
      <c r="RXG24" s="486"/>
      <c r="RXH24" s="486"/>
      <c r="RXI24" s="486"/>
      <c r="RXJ24" s="486"/>
      <c r="RXK24" s="486"/>
      <c r="RXL24" s="486"/>
      <c r="RXM24" s="486"/>
      <c r="RXN24" s="486"/>
      <c r="RXO24" s="486"/>
      <c r="RXP24" s="486"/>
      <c r="RXQ24" s="486"/>
      <c r="RXR24" s="486"/>
      <c r="RXS24" s="486"/>
      <c r="RXT24" s="486"/>
      <c r="RXU24" s="486"/>
      <c r="RXV24" s="486"/>
      <c r="RXW24" s="486"/>
      <c r="RXX24" s="486"/>
      <c r="RXY24" s="486"/>
      <c r="RXZ24" s="486"/>
      <c r="RYA24" s="486"/>
      <c r="RYB24" s="486"/>
      <c r="RYC24" s="486"/>
      <c r="RYD24" s="486"/>
      <c r="RYE24" s="486"/>
      <c r="RYF24" s="486"/>
      <c r="RYG24" s="486"/>
      <c r="RYH24" s="486"/>
      <c r="RYI24" s="486"/>
      <c r="RYJ24" s="486"/>
      <c r="RYK24" s="486"/>
      <c r="RYL24" s="486"/>
      <c r="RYM24" s="486"/>
      <c r="RYN24" s="486"/>
      <c r="RYO24" s="486"/>
      <c r="RYP24" s="486"/>
      <c r="RYQ24" s="486"/>
      <c r="RYR24" s="486"/>
      <c r="RYS24" s="486"/>
      <c r="RYT24" s="486"/>
      <c r="RYU24" s="486"/>
      <c r="RYV24" s="486"/>
      <c r="RYW24" s="486"/>
      <c r="RYX24" s="486"/>
      <c r="RYY24" s="486"/>
      <c r="RYZ24" s="486"/>
      <c r="RZA24" s="486"/>
      <c r="RZB24" s="486"/>
      <c r="RZC24" s="486"/>
      <c r="RZD24" s="486"/>
      <c r="RZE24" s="486"/>
      <c r="RZF24" s="486"/>
      <c r="RZG24" s="486"/>
      <c r="RZH24" s="486"/>
      <c r="RZI24" s="486"/>
      <c r="RZJ24" s="486"/>
      <c r="RZK24" s="486"/>
      <c r="RZL24" s="486"/>
      <c r="RZM24" s="486"/>
      <c r="RZN24" s="486"/>
      <c r="RZO24" s="486"/>
      <c r="RZP24" s="486"/>
      <c r="RZQ24" s="486"/>
      <c r="RZR24" s="486"/>
      <c r="RZS24" s="486"/>
      <c r="RZT24" s="486"/>
      <c r="RZU24" s="486"/>
      <c r="RZV24" s="486"/>
      <c r="RZW24" s="486"/>
      <c r="RZX24" s="486"/>
      <c r="RZY24" s="486"/>
      <c r="RZZ24" s="486"/>
      <c r="SAA24" s="486"/>
      <c r="SAB24" s="486"/>
      <c r="SAC24" s="486"/>
      <c r="SAD24" s="486"/>
      <c r="SAE24" s="486"/>
      <c r="SAF24" s="486"/>
      <c r="SAG24" s="486"/>
      <c r="SAH24" s="486"/>
      <c r="SAI24" s="486"/>
      <c r="SAJ24" s="486"/>
      <c r="SAK24" s="486"/>
      <c r="SAL24" s="486"/>
      <c r="SAM24" s="486"/>
      <c r="SAN24" s="486"/>
      <c r="SAO24" s="486"/>
      <c r="SAP24" s="486"/>
      <c r="SAQ24" s="486"/>
      <c r="SAR24" s="486"/>
      <c r="SAS24" s="486"/>
      <c r="SAT24" s="486"/>
      <c r="SAU24" s="486"/>
      <c r="SAV24" s="486"/>
      <c r="SAW24" s="486"/>
      <c r="SAX24" s="486"/>
      <c r="SAY24" s="486"/>
      <c r="SAZ24" s="486"/>
      <c r="SBA24" s="486"/>
      <c r="SBB24" s="486"/>
      <c r="SBC24" s="486"/>
      <c r="SBD24" s="486"/>
      <c r="SBE24" s="486"/>
      <c r="SBF24" s="486"/>
      <c r="SBG24" s="486"/>
      <c r="SBH24" s="486"/>
      <c r="SBI24" s="486"/>
      <c r="SBJ24" s="486"/>
      <c r="SBK24" s="486"/>
      <c r="SBL24" s="486"/>
      <c r="SBM24" s="486"/>
      <c r="SBN24" s="486"/>
      <c r="SBO24" s="486"/>
      <c r="SBP24" s="486"/>
      <c r="SBQ24" s="486"/>
      <c r="SBR24" s="486"/>
      <c r="SBS24" s="486"/>
      <c r="SBT24" s="486"/>
      <c r="SBU24" s="486"/>
      <c r="SBV24" s="486"/>
      <c r="SBW24" s="486"/>
      <c r="SBX24" s="486"/>
      <c r="SBY24" s="486"/>
      <c r="SBZ24" s="486"/>
      <c r="SCA24" s="486"/>
      <c r="SCB24" s="486"/>
      <c r="SCC24" s="486"/>
      <c r="SCD24" s="486"/>
      <c r="SCE24" s="486"/>
      <c r="SCF24" s="486"/>
      <c r="SCG24" s="486"/>
      <c r="SCH24" s="486"/>
      <c r="SCI24" s="486"/>
      <c r="SCJ24" s="486"/>
      <c r="SCK24" s="486"/>
      <c r="SCL24" s="486"/>
      <c r="SCM24" s="486"/>
      <c r="SCN24" s="486"/>
      <c r="SCO24" s="486"/>
      <c r="SCP24" s="486"/>
      <c r="SCQ24" s="486"/>
      <c r="SCR24" s="486"/>
      <c r="SCS24" s="486"/>
      <c r="SCT24" s="486"/>
      <c r="SCU24" s="486"/>
      <c r="SCV24" s="486"/>
      <c r="SCW24" s="486"/>
      <c r="SCX24" s="486"/>
      <c r="SCY24" s="486"/>
      <c r="SCZ24" s="486"/>
      <c r="SDA24" s="486"/>
      <c r="SDB24" s="486"/>
      <c r="SDC24" s="486"/>
      <c r="SDD24" s="486"/>
      <c r="SDE24" s="486"/>
      <c r="SDF24" s="486"/>
      <c r="SDG24" s="486"/>
      <c r="SDH24" s="486"/>
      <c r="SDI24" s="486"/>
      <c r="SDJ24" s="486"/>
      <c r="SDK24" s="486"/>
      <c r="SDL24" s="486"/>
      <c r="SDM24" s="486"/>
      <c r="SDN24" s="486"/>
      <c r="SDO24" s="486"/>
      <c r="SDP24" s="486"/>
      <c r="SDQ24" s="486"/>
      <c r="SDR24" s="486"/>
      <c r="SDS24" s="486"/>
      <c r="SDT24" s="486"/>
      <c r="SDU24" s="486"/>
      <c r="SDV24" s="486"/>
      <c r="SDW24" s="486"/>
      <c r="SDX24" s="486"/>
      <c r="SDY24" s="486"/>
      <c r="SDZ24" s="486"/>
      <c r="SEA24" s="486"/>
      <c r="SEB24" s="486"/>
      <c r="SEC24" s="486"/>
      <c r="SED24" s="486"/>
      <c r="SEE24" s="486"/>
      <c r="SEF24" s="486"/>
      <c r="SEG24" s="486"/>
      <c r="SEH24" s="486"/>
      <c r="SEI24" s="486"/>
      <c r="SEJ24" s="486"/>
      <c r="SEK24" s="486"/>
      <c r="SEL24" s="486"/>
      <c r="SEM24" s="486"/>
      <c r="SEN24" s="486"/>
      <c r="SEO24" s="486"/>
      <c r="SEP24" s="486"/>
      <c r="SEQ24" s="486"/>
      <c r="SER24" s="486"/>
      <c r="SES24" s="486"/>
      <c r="SET24" s="486"/>
      <c r="SEU24" s="486"/>
      <c r="SEV24" s="486"/>
      <c r="SEW24" s="486"/>
      <c r="SEX24" s="486"/>
      <c r="SEY24" s="486"/>
      <c r="SEZ24" s="486"/>
      <c r="SFA24" s="486"/>
      <c r="SFB24" s="486"/>
      <c r="SFC24" s="486"/>
      <c r="SFD24" s="486"/>
      <c r="SFE24" s="486"/>
      <c r="SFF24" s="486"/>
      <c r="SFG24" s="486"/>
      <c r="SFH24" s="486"/>
      <c r="SFI24" s="486"/>
      <c r="SFJ24" s="486"/>
      <c r="SFK24" s="486"/>
      <c r="SFL24" s="486"/>
      <c r="SFM24" s="486"/>
      <c r="SFN24" s="486"/>
      <c r="SFO24" s="486"/>
      <c r="SFP24" s="486"/>
      <c r="SFQ24" s="486"/>
      <c r="SFR24" s="486"/>
      <c r="SFS24" s="486"/>
      <c r="SFT24" s="486"/>
      <c r="SFU24" s="486"/>
      <c r="SFV24" s="486"/>
      <c r="SFW24" s="486"/>
      <c r="SFX24" s="486"/>
      <c r="SFY24" s="486"/>
      <c r="SFZ24" s="486"/>
      <c r="SGA24" s="486"/>
      <c r="SGB24" s="486"/>
      <c r="SGC24" s="486"/>
      <c r="SGD24" s="486"/>
      <c r="SGE24" s="486"/>
      <c r="SGF24" s="486"/>
      <c r="SGG24" s="486"/>
      <c r="SGH24" s="486"/>
      <c r="SGI24" s="486"/>
      <c r="SGJ24" s="486"/>
      <c r="SGK24" s="486"/>
      <c r="SGL24" s="486"/>
      <c r="SGM24" s="486"/>
      <c r="SGN24" s="486"/>
      <c r="SGO24" s="486"/>
      <c r="SGP24" s="486"/>
      <c r="SGQ24" s="486"/>
      <c r="SGR24" s="486"/>
      <c r="SGS24" s="486"/>
      <c r="SGT24" s="486"/>
      <c r="SGU24" s="486"/>
      <c r="SGV24" s="486"/>
      <c r="SGW24" s="486"/>
      <c r="SGX24" s="486"/>
      <c r="SGY24" s="486"/>
      <c r="SGZ24" s="486"/>
      <c r="SHA24" s="486"/>
      <c r="SHB24" s="486"/>
      <c r="SHC24" s="486"/>
      <c r="SHD24" s="486"/>
      <c r="SHE24" s="486"/>
      <c r="SHF24" s="486"/>
      <c r="SHG24" s="486"/>
      <c r="SHH24" s="486"/>
      <c r="SHI24" s="486"/>
      <c r="SHJ24" s="486"/>
      <c r="SHK24" s="486"/>
      <c r="SHL24" s="486"/>
      <c r="SHM24" s="486"/>
      <c r="SHN24" s="486"/>
      <c r="SHO24" s="486"/>
      <c r="SHP24" s="486"/>
      <c r="SHQ24" s="486"/>
      <c r="SHR24" s="486"/>
      <c r="SHS24" s="486"/>
      <c r="SHT24" s="486"/>
      <c r="SHU24" s="486"/>
      <c r="SHV24" s="486"/>
      <c r="SHW24" s="486"/>
      <c r="SHX24" s="486"/>
      <c r="SHY24" s="486"/>
      <c r="SHZ24" s="486"/>
      <c r="SIA24" s="486"/>
      <c r="SIB24" s="486"/>
      <c r="SIC24" s="486"/>
      <c r="SID24" s="486"/>
      <c r="SIE24" s="486"/>
      <c r="SIF24" s="486"/>
      <c r="SIG24" s="486"/>
      <c r="SIH24" s="486"/>
      <c r="SII24" s="486"/>
      <c r="SIJ24" s="486"/>
      <c r="SIK24" s="486"/>
      <c r="SIL24" s="486"/>
      <c r="SIM24" s="486"/>
      <c r="SIN24" s="486"/>
      <c r="SIO24" s="486"/>
      <c r="SIP24" s="486"/>
      <c r="SIQ24" s="486"/>
      <c r="SIR24" s="486"/>
      <c r="SIS24" s="486"/>
      <c r="SIT24" s="486"/>
      <c r="SIU24" s="486"/>
      <c r="SIV24" s="486"/>
      <c r="SIW24" s="486"/>
      <c r="SIX24" s="486"/>
      <c r="SIY24" s="486"/>
      <c r="SIZ24" s="486"/>
      <c r="SJA24" s="486"/>
      <c r="SJB24" s="486"/>
      <c r="SJC24" s="486"/>
      <c r="SJD24" s="486"/>
      <c r="SJE24" s="486"/>
      <c r="SJF24" s="486"/>
      <c r="SJG24" s="486"/>
      <c r="SJH24" s="486"/>
      <c r="SJI24" s="486"/>
      <c r="SJJ24" s="486"/>
      <c r="SJK24" s="486"/>
      <c r="SJL24" s="486"/>
      <c r="SJM24" s="486"/>
      <c r="SJN24" s="486"/>
      <c r="SJO24" s="486"/>
      <c r="SJP24" s="486"/>
      <c r="SJQ24" s="486"/>
      <c r="SJR24" s="486"/>
      <c r="SJS24" s="486"/>
      <c r="SJT24" s="486"/>
      <c r="SJU24" s="486"/>
      <c r="SJV24" s="486"/>
      <c r="SJW24" s="486"/>
      <c r="SJX24" s="486"/>
      <c r="SJY24" s="486"/>
      <c r="SJZ24" s="486"/>
      <c r="SKA24" s="486"/>
      <c r="SKB24" s="486"/>
      <c r="SKC24" s="486"/>
      <c r="SKD24" s="486"/>
      <c r="SKE24" s="486"/>
      <c r="SKF24" s="486"/>
      <c r="SKG24" s="486"/>
      <c r="SKH24" s="486"/>
      <c r="SKI24" s="486"/>
      <c r="SKJ24" s="486"/>
      <c r="SKK24" s="486"/>
      <c r="SKL24" s="486"/>
      <c r="SKM24" s="486"/>
      <c r="SKN24" s="486"/>
      <c r="SKO24" s="486"/>
      <c r="SKP24" s="486"/>
      <c r="SKQ24" s="486"/>
      <c r="SKR24" s="486"/>
      <c r="SKS24" s="486"/>
      <c r="SKT24" s="486"/>
      <c r="SKU24" s="486"/>
      <c r="SKV24" s="486"/>
      <c r="SKW24" s="486"/>
      <c r="SKX24" s="486"/>
      <c r="SKY24" s="486"/>
      <c r="SKZ24" s="486"/>
      <c r="SLA24" s="486"/>
      <c r="SLB24" s="486"/>
      <c r="SLC24" s="486"/>
      <c r="SLD24" s="486"/>
      <c r="SLE24" s="486"/>
      <c r="SLF24" s="486"/>
      <c r="SLG24" s="486"/>
      <c r="SLH24" s="486"/>
      <c r="SLI24" s="486"/>
      <c r="SLJ24" s="486"/>
      <c r="SLK24" s="486"/>
      <c r="SLL24" s="486"/>
      <c r="SLM24" s="486"/>
      <c r="SLN24" s="486"/>
      <c r="SLO24" s="486"/>
      <c r="SLP24" s="486"/>
      <c r="SLQ24" s="486"/>
      <c r="SLR24" s="486"/>
      <c r="SLS24" s="486"/>
      <c r="SLT24" s="486"/>
      <c r="SLU24" s="486"/>
      <c r="SLV24" s="486"/>
      <c r="SLW24" s="486"/>
      <c r="SLX24" s="486"/>
      <c r="SLY24" s="486"/>
      <c r="SLZ24" s="486"/>
      <c r="SMA24" s="486"/>
      <c r="SMB24" s="486"/>
      <c r="SMC24" s="486"/>
      <c r="SMD24" s="486"/>
      <c r="SME24" s="486"/>
      <c r="SMF24" s="486"/>
      <c r="SMG24" s="486"/>
      <c r="SMH24" s="486"/>
      <c r="SMI24" s="486"/>
      <c r="SMJ24" s="486"/>
      <c r="SMK24" s="486"/>
      <c r="SML24" s="486"/>
      <c r="SMM24" s="486"/>
      <c r="SMN24" s="486"/>
      <c r="SMO24" s="486"/>
      <c r="SMP24" s="486"/>
      <c r="SMQ24" s="486"/>
      <c r="SMR24" s="486"/>
      <c r="SMS24" s="486"/>
      <c r="SMT24" s="486"/>
      <c r="SMU24" s="486"/>
      <c r="SMV24" s="486"/>
      <c r="SMW24" s="486"/>
      <c r="SMX24" s="486"/>
      <c r="SMY24" s="486"/>
      <c r="SMZ24" s="486"/>
      <c r="SNA24" s="486"/>
      <c r="SNB24" s="486"/>
      <c r="SNC24" s="486"/>
      <c r="SND24" s="486"/>
      <c r="SNE24" s="486"/>
      <c r="SNF24" s="486"/>
      <c r="SNG24" s="486"/>
      <c r="SNH24" s="486"/>
      <c r="SNI24" s="486"/>
      <c r="SNJ24" s="486"/>
      <c r="SNK24" s="486"/>
      <c r="SNL24" s="486"/>
      <c r="SNM24" s="486"/>
      <c r="SNN24" s="486"/>
      <c r="SNO24" s="486"/>
      <c r="SNP24" s="486"/>
      <c r="SNQ24" s="486"/>
      <c r="SNR24" s="486"/>
      <c r="SNS24" s="486"/>
      <c r="SNT24" s="486"/>
      <c r="SNU24" s="486"/>
      <c r="SNV24" s="486"/>
      <c r="SNW24" s="486"/>
      <c r="SNX24" s="486"/>
      <c r="SNY24" s="486"/>
      <c r="SNZ24" s="486"/>
      <c r="SOA24" s="486"/>
      <c r="SOB24" s="486"/>
      <c r="SOC24" s="486"/>
      <c r="SOD24" s="486"/>
      <c r="SOE24" s="486"/>
      <c r="SOF24" s="486"/>
      <c r="SOG24" s="486"/>
      <c r="SOH24" s="486"/>
      <c r="SOI24" s="486"/>
      <c r="SOJ24" s="486"/>
      <c r="SOK24" s="486"/>
      <c r="SOL24" s="486"/>
      <c r="SOM24" s="486"/>
      <c r="SON24" s="486"/>
      <c r="SOO24" s="486"/>
      <c r="SOP24" s="486"/>
      <c r="SOQ24" s="486"/>
      <c r="SOR24" s="486"/>
      <c r="SOS24" s="486"/>
      <c r="SOT24" s="486"/>
      <c r="SOU24" s="486"/>
      <c r="SOV24" s="486"/>
      <c r="SOW24" s="486"/>
      <c r="SOX24" s="486"/>
      <c r="SOY24" s="486"/>
      <c r="SOZ24" s="486"/>
      <c r="SPA24" s="486"/>
      <c r="SPB24" s="486"/>
      <c r="SPC24" s="486"/>
      <c r="SPD24" s="486"/>
      <c r="SPE24" s="486"/>
      <c r="SPF24" s="486"/>
      <c r="SPG24" s="486"/>
      <c r="SPH24" s="486"/>
      <c r="SPI24" s="486"/>
      <c r="SPJ24" s="486"/>
      <c r="SPK24" s="486"/>
      <c r="SPL24" s="486"/>
      <c r="SPM24" s="486"/>
      <c r="SPN24" s="486"/>
      <c r="SPO24" s="486"/>
      <c r="SPP24" s="486"/>
      <c r="SPQ24" s="486"/>
      <c r="SPR24" s="486"/>
      <c r="SPS24" s="486"/>
      <c r="SPT24" s="486"/>
      <c r="SPU24" s="486"/>
      <c r="SPV24" s="486"/>
      <c r="SPW24" s="486"/>
      <c r="SPX24" s="486"/>
      <c r="SPY24" s="486"/>
      <c r="SPZ24" s="486"/>
      <c r="SQA24" s="486"/>
      <c r="SQB24" s="486"/>
      <c r="SQC24" s="486"/>
      <c r="SQD24" s="486"/>
      <c r="SQE24" s="486"/>
      <c r="SQF24" s="486"/>
      <c r="SQG24" s="486"/>
      <c r="SQH24" s="486"/>
      <c r="SQI24" s="486"/>
      <c r="SQJ24" s="486"/>
      <c r="SQK24" s="486"/>
      <c r="SQL24" s="486"/>
      <c r="SQM24" s="486"/>
      <c r="SQN24" s="486"/>
      <c r="SQO24" s="486"/>
      <c r="SQP24" s="486"/>
      <c r="SQQ24" s="486"/>
      <c r="SQR24" s="486"/>
      <c r="SQS24" s="486"/>
      <c r="SQT24" s="486"/>
      <c r="SQU24" s="486"/>
      <c r="SQV24" s="486"/>
      <c r="SQW24" s="486"/>
      <c r="SQX24" s="486"/>
      <c r="SQY24" s="486"/>
      <c r="SQZ24" s="486"/>
      <c r="SRA24" s="486"/>
      <c r="SRB24" s="486"/>
      <c r="SRC24" s="486"/>
      <c r="SRD24" s="486"/>
      <c r="SRE24" s="486"/>
      <c r="SRF24" s="486"/>
      <c r="SRG24" s="486"/>
      <c r="SRH24" s="486"/>
      <c r="SRI24" s="486"/>
      <c r="SRJ24" s="486"/>
      <c r="SRK24" s="486"/>
      <c r="SRL24" s="486"/>
      <c r="SRM24" s="486"/>
      <c r="SRN24" s="486"/>
      <c r="SRO24" s="486"/>
      <c r="SRP24" s="486"/>
      <c r="SRQ24" s="486"/>
      <c r="SRR24" s="486"/>
      <c r="SRS24" s="486"/>
      <c r="SRT24" s="486"/>
      <c r="SRU24" s="486"/>
      <c r="SRV24" s="486"/>
      <c r="SRW24" s="486"/>
      <c r="SRX24" s="486"/>
      <c r="SRY24" s="486"/>
      <c r="SRZ24" s="486"/>
      <c r="SSA24" s="486"/>
      <c r="SSB24" s="486"/>
      <c r="SSC24" s="486"/>
      <c r="SSD24" s="486"/>
      <c r="SSE24" s="486"/>
      <c r="SSF24" s="486"/>
      <c r="SSG24" s="486"/>
      <c r="SSH24" s="486"/>
      <c r="SSI24" s="486"/>
      <c r="SSJ24" s="486"/>
      <c r="SSK24" s="486"/>
      <c r="SSL24" s="486"/>
      <c r="SSM24" s="486"/>
      <c r="SSN24" s="486"/>
      <c r="SSO24" s="486"/>
      <c r="SSP24" s="486"/>
      <c r="SSQ24" s="486"/>
      <c r="SSR24" s="486"/>
      <c r="SSS24" s="486"/>
      <c r="SST24" s="486"/>
      <c r="SSU24" s="486"/>
      <c r="SSV24" s="486"/>
      <c r="SSW24" s="486"/>
      <c r="SSX24" s="486"/>
      <c r="SSY24" s="486"/>
      <c r="SSZ24" s="486"/>
      <c r="STA24" s="486"/>
      <c r="STB24" s="486"/>
      <c r="STC24" s="486"/>
      <c r="STD24" s="486"/>
      <c r="STE24" s="486"/>
      <c r="STF24" s="486"/>
      <c r="STG24" s="486"/>
      <c r="STH24" s="486"/>
      <c r="STI24" s="486"/>
      <c r="STJ24" s="486"/>
      <c r="STK24" s="486"/>
      <c r="STL24" s="486"/>
      <c r="STM24" s="486"/>
      <c r="STN24" s="486"/>
      <c r="STO24" s="486"/>
      <c r="STP24" s="486"/>
      <c r="STQ24" s="486"/>
      <c r="STR24" s="486"/>
      <c r="STS24" s="486"/>
      <c r="STT24" s="486"/>
      <c r="STU24" s="486"/>
      <c r="STV24" s="486"/>
      <c r="STW24" s="486"/>
      <c r="STX24" s="486"/>
      <c r="STY24" s="486"/>
      <c r="STZ24" s="486"/>
      <c r="SUA24" s="486"/>
      <c r="SUB24" s="486"/>
      <c r="SUC24" s="486"/>
      <c r="SUD24" s="486"/>
      <c r="SUE24" s="486"/>
      <c r="SUF24" s="486"/>
      <c r="SUG24" s="486"/>
      <c r="SUH24" s="486"/>
      <c r="SUI24" s="486"/>
      <c r="SUJ24" s="486"/>
      <c r="SUK24" s="486"/>
      <c r="SUL24" s="486"/>
      <c r="SUM24" s="486"/>
      <c r="SUN24" s="486"/>
      <c r="SUO24" s="486"/>
      <c r="SUP24" s="486"/>
      <c r="SUQ24" s="486"/>
      <c r="SUR24" s="486"/>
      <c r="SUS24" s="486"/>
      <c r="SUT24" s="486"/>
      <c r="SUU24" s="486"/>
      <c r="SUV24" s="486"/>
      <c r="SUW24" s="486"/>
      <c r="SUX24" s="486"/>
      <c r="SUY24" s="486"/>
      <c r="SUZ24" s="486"/>
      <c r="SVA24" s="486"/>
      <c r="SVB24" s="486"/>
      <c r="SVC24" s="486"/>
      <c r="SVD24" s="486"/>
      <c r="SVE24" s="486"/>
      <c r="SVF24" s="486"/>
      <c r="SVG24" s="486"/>
      <c r="SVH24" s="486"/>
      <c r="SVI24" s="486"/>
      <c r="SVJ24" s="486"/>
      <c r="SVK24" s="486"/>
      <c r="SVL24" s="486"/>
      <c r="SVM24" s="486"/>
      <c r="SVN24" s="486"/>
      <c r="SVO24" s="486"/>
      <c r="SVP24" s="486"/>
      <c r="SVQ24" s="486"/>
      <c r="SVR24" s="486"/>
      <c r="SVS24" s="486"/>
      <c r="SVT24" s="486"/>
      <c r="SVU24" s="486"/>
      <c r="SVV24" s="486"/>
      <c r="SVW24" s="486"/>
      <c r="SVX24" s="486"/>
      <c r="SVY24" s="486"/>
      <c r="SVZ24" s="486"/>
      <c r="SWA24" s="486"/>
      <c r="SWB24" s="486"/>
      <c r="SWC24" s="486"/>
      <c r="SWD24" s="486"/>
      <c r="SWE24" s="486"/>
      <c r="SWF24" s="486"/>
      <c r="SWG24" s="486"/>
      <c r="SWH24" s="486"/>
      <c r="SWI24" s="486"/>
      <c r="SWJ24" s="486"/>
      <c r="SWK24" s="486"/>
      <c r="SWL24" s="486"/>
      <c r="SWM24" s="486"/>
      <c r="SWN24" s="486"/>
      <c r="SWO24" s="486"/>
      <c r="SWP24" s="486"/>
      <c r="SWQ24" s="486"/>
      <c r="SWR24" s="486"/>
      <c r="SWS24" s="486"/>
      <c r="SWT24" s="486"/>
      <c r="SWU24" s="486"/>
      <c r="SWV24" s="486"/>
      <c r="SWW24" s="486"/>
      <c r="SWX24" s="486"/>
      <c r="SWY24" s="486"/>
      <c r="SWZ24" s="486"/>
      <c r="SXA24" s="486"/>
      <c r="SXB24" s="486"/>
      <c r="SXC24" s="486"/>
      <c r="SXD24" s="486"/>
      <c r="SXE24" s="486"/>
      <c r="SXF24" s="486"/>
      <c r="SXG24" s="486"/>
      <c r="SXH24" s="486"/>
      <c r="SXI24" s="486"/>
      <c r="SXJ24" s="486"/>
      <c r="SXK24" s="486"/>
      <c r="SXL24" s="486"/>
      <c r="SXM24" s="486"/>
      <c r="SXN24" s="486"/>
      <c r="SXO24" s="486"/>
      <c r="SXP24" s="486"/>
      <c r="SXQ24" s="486"/>
      <c r="SXR24" s="486"/>
      <c r="SXS24" s="486"/>
      <c r="SXT24" s="486"/>
      <c r="SXU24" s="486"/>
      <c r="SXV24" s="486"/>
      <c r="SXW24" s="486"/>
      <c r="SXX24" s="486"/>
      <c r="SXY24" s="486"/>
      <c r="SXZ24" s="486"/>
      <c r="SYA24" s="486"/>
      <c r="SYB24" s="486"/>
      <c r="SYC24" s="486"/>
      <c r="SYD24" s="486"/>
      <c r="SYE24" s="486"/>
      <c r="SYF24" s="486"/>
      <c r="SYG24" s="486"/>
      <c r="SYH24" s="486"/>
      <c r="SYI24" s="486"/>
      <c r="SYJ24" s="486"/>
      <c r="SYK24" s="486"/>
      <c r="SYL24" s="486"/>
      <c r="SYM24" s="486"/>
      <c r="SYN24" s="486"/>
      <c r="SYO24" s="486"/>
      <c r="SYP24" s="486"/>
      <c r="SYQ24" s="486"/>
      <c r="SYR24" s="486"/>
      <c r="SYS24" s="486"/>
      <c r="SYT24" s="486"/>
      <c r="SYU24" s="486"/>
      <c r="SYV24" s="486"/>
      <c r="SYW24" s="486"/>
      <c r="SYX24" s="486"/>
      <c r="SYY24" s="486"/>
      <c r="SYZ24" s="486"/>
      <c r="SZA24" s="486"/>
      <c r="SZB24" s="486"/>
      <c r="SZC24" s="486"/>
      <c r="SZD24" s="486"/>
      <c r="SZE24" s="486"/>
      <c r="SZF24" s="486"/>
      <c r="SZG24" s="486"/>
      <c r="SZH24" s="486"/>
      <c r="SZI24" s="486"/>
      <c r="SZJ24" s="486"/>
      <c r="SZK24" s="486"/>
      <c r="SZL24" s="486"/>
      <c r="SZM24" s="486"/>
      <c r="SZN24" s="486"/>
      <c r="SZO24" s="486"/>
      <c r="SZP24" s="486"/>
      <c r="SZQ24" s="486"/>
      <c r="SZR24" s="486"/>
      <c r="SZS24" s="486"/>
      <c r="SZT24" s="486"/>
      <c r="SZU24" s="486"/>
      <c r="SZV24" s="486"/>
      <c r="SZW24" s="486"/>
      <c r="SZX24" s="486"/>
      <c r="SZY24" s="486"/>
      <c r="SZZ24" s="486"/>
      <c r="TAA24" s="486"/>
      <c r="TAB24" s="486"/>
      <c r="TAC24" s="486"/>
      <c r="TAD24" s="486"/>
      <c r="TAE24" s="486"/>
      <c r="TAF24" s="486"/>
      <c r="TAG24" s="486"/>
      <c r="TAH24" s="486"/>
      <c r="TAI24" s="486"/>
      <c r="TAJ24" s="486"/>
      <c r="TAK24" s="486"/>
      <c r="TAL24" s="486"/>
      <c r="TAM24" s="486"/>
      <c r="TAN24" s="486"/>
      <c r="TAO24" s="486"/>
      <c r="TAP24" s="486"/>
      <c r="TAQ24" s="486"/>
      <c r="TAR24" s="486"/>
      <c r="TAS24" s="486"/>
      <c r="TAT24" s="486"/>
      <c r="TAU24" s="486"/>
      <c r="TAV24" s="486"/>
      <c r="TAW24" s="486"/>
      <c r="TAX24" s="486"/>
      <c r="TAY24" s="486"/>
      <c r="TAZ24" s="486"/>
      <c r="TBA24" s="486"/>
      <c r="TBB24" s="486"/>
      <c r="TBC24" s="486"/>
      <c r="TBD24" s="486"/>
      <c r="TBE24" s="486"/>
      <c r="TBF24" s="486"/>
      <c r="TBG24" s="486"/>
      <c r="TBH24" s="486"/>
      <c r="TBI24" s="486"/>
      <c r="TBJ24" s="486"/>
      <c r="TBK24" s="486"/>
      <c r="TBL24" s="486"/>
      <c r="TBM24" s="486"/>
      <c r="TBN24" s="486"/>
      <c r="TBO24" s="486"/>
      <c r="TBP24" s="486"/>
      <c r="TBQ24" s="486"/>
      <c r="TBR24" s="486"/>
      <c r="TBS24" s="486"/>
      <c r="TBT24" s="486"/>
      <c r="TBU24" s="486"/>
      <c r="TBV24" s="486"/>
      <c r="TBW24" s="486"/>
      <c r="TBX24" s="486"/>
      <c r="TBY24" s="486"/>
      <c r="TBZ24" s="486"/>
      <c r="TCA24" s="486"/>
      <c r="TCB24" s="486"/>
      <c r="TCC24" s="486"/>
      <c r="TCD24" s="486"/>
      <c r="TCE24" s="486"/>
      <c r="TCF24" s="486"/>
      <c r="TCG24" s="486"/>
      <c r="TCH24" s="486"/>
      <c r="TCI24" s="486"/>
      <c r="TCJ24" s="486"/>
      <c r="TCK24" s="486"/>
      <c r="TCL24" s="486"/>
      <c r="TCM24" s="486"/>
      <c r="TCN24" s="486"/>
      <c r="TCO24" s="486"/>
      <c r="TCP24" s="486"/>
      <c r="TCQ24" s="486"/>
      <c r="TCR24" s="486"/>
      <c r="TCS24" s="486"/>
      <c r="TCT24" s="486"/>
      <c r="TCU24" s="486"/>
      <c r="TCV24" s="486"/>
      <c r="TCW24" s="486"/>
      <c r="TCX24" s="486"/>
      <c r="TCY24" s="486"/>
      <c r="TCZ24" s="486"/>
      <c r="TDA24" s="486"/>
      <c r="TDB24" s="486"/>
      <c r="TDC24" s="486"/>
      <c r="TDD24" s="486"/>
      <c r="TDE24" s="486"/>
      <c r="TDF24" s="486"/>
      <c r="TDG24" s="486"/>
      <c r="TDH24" s="486"/>
      <c r="TDI24" s="486"/>
      <c r="TDJ24" s="486"/>
      <c r="TDK24" s="486"/>
      <c r="TDL24" s="486"/>
      <c r="TDM24" s="486"/>
      <c r="TDN24" s="486"/>
      <c r="TDO24" s="486"/>
      <c r="TDP24" s="486"/>
      <c r="TDQ24" s="486"/>
      <c r="TDR24" s="486"/>
      <c r="TDS24" s="486"/>
      <c r="TDT24" s="486"/>
      <c r="TDU24" s="486"/>
      <c r="TDV24" s="486"/>
      <c r="TDW24" s="486"/>
      <c r="TDX24" s="486"/>
      <c r="TDY24" s="486"/>
      <c r="TDZ24" s="486"/>
      <c r="TEA24" s="486"/>
      <c r="TEB24" s="486"/>
      <c r="TEC24" s="486"/>
      <c r="TED24" s="486"/>
      <c r="TEE24" s="486"/>
      <c r="TEF24" s="486"/>
      <c r="TEG24" s="486"/>
      <c r="TEH24" s="486"/>
      <c r="TEI24" s="486"/>
      <c r="TEJ24" s="486"/>
      <c r="TEK24" s="486"/>
      <c r="TEL24" s="486"/>
      <c r="TEM24" s="486"/>
      <c r="TEN24" s="486"/>
      <c r="TEO24" s="486"/>
      <c r="TEP24" s="486"/>
      <c r="TEQ24" s="486"/>
      <c r="TER24" s="486"/>
      <c r="TES24" s="486"/>
      <c r="TET24" s="486"/>
      <c r="TEU24" s="486"/>
      <c r="TEV24" s="486"/>
      <c r="TEW24" s="486"/>
      <c r="TEX24" s="486"/>
      <c r="TEY24" s="486"/>
      <c r="TEZ24" s="486"/>
      <c r="TFA24" s="486"/>
      <c r="TFB24" s="486"/>
      <c r="TFC24" s="486"/>
      <c r="TFD24" s="486"/>
      <c r="TFE24" s="486"/>
      <c r="TFF24" s="486"/>
      <c r="TFG24" s="486"/>
      <c r="TFH24" s="486"/>
      <c r="TFI24" s="486"/>
      <c r="TFJ24" s="486"/>
      <c r="TFK24" s="486"/>
      <c r="TFL24" s="486"/>
      <c r="TFM24" s="486"/>
      <c r="TFN24" s="486"/>
      <c r="TFO24" s="486"/>
      <c r="TFP24" s="486"/>
      <c r="TFQ24" s="486"/>
      <c r="TFR24" s="486"/>
      <c r="TFS24" s="486"/>
      <c r="TFT24" s="486"/>
      <c r="TFU24" s="486"/>
      <c r="TFV24" s="486"/>
      <c r="TFW24" s="486"/>
      <c r="TFX24" s="486"/>
      <c r="TFY24" s="486"/>
      <c r="TFZ24" s="486"/>
      <c r="TGA24" s="486"/>
      <c r="TGB24" s="486"/>
      <c r="TGC24" s="486"/>
      <c r="TGD24" s="486"/>
      <c r="TGE24" s="486"/>
      <c r="TGF24" s="486"/>
      <c r="TGG24" s="486"/>
      <c r="TGH24" s="486"/>
      <c r="TGI24" s="486"/>
      <c r="TGJ24" s="486"/>
      <c r="TGK24" s="486"/>
      <c r="TGL24" s="486"/>
      <c r="TGM24" s="486"/>
      <c r="TGN24" s="486"/>
      <c r="TGO24" s="486"/>
      <c r="TGP24" s="486"/>
      <c r="TGQ24" s="486"/>
      <c r="TGR24" s="486"/>
      <c r="TGS24" s="486"/>
      <c r="TGT24" s="486"/>
      <c r="TGU24" s="486"/>
      <c r="TGV24" s="486"/>
      <c r="TGW24" s="486"/>
      <c r="TGX24" s="486"/>
      <c r="TGY24" s="486"/>
      <c r="TGZ24" s="486"/>
      <c r="THA24" s="486"/>
      <c r="THB24" s="486"/>
      <c r="THC24" s="486"/>
      <c r="THD24" s="486"/>
      <c r="THE24" s="486"/>
      <c r="THF24" s="486"/>
      <c r="THG24" s="486"/>
      <c r="THH24" s="486"/>
      <c r="THI24" s="486"/>
      <c r="THJ24" s="486"/>
      <c r="THK24" s="486"/>
      <c r="THL24" s="486"/>
      <c r="THM24" s="486"/>
      <c r="THN24" s="486"/>
      <c r="THO24" s="486"/>
      <c r="THP24" s="486"/>
      <c r="THQ24" s="486"/>
      <c r="THR24" s="486"/>
      <c r="THS24" s="486"/>
      <c r="THT24" s="486"/>
      <c r="THU24" s="486"/>
      <c r="THV24" s="486"/>
      <c r="THW24" s="486"/>
      <c r="THX24" s="486"/>
      <c r="THY24" s="486"/>
      <c r="THZ24" s="486"/>
      <c r="TIA24" s="486"/>
      <c r="TIB24" s="486"/>
      <c r="TIC24" s="486"/>
      <c r="TID24" s="486"/>
      <c r="TIE24" s="486"/>
      <c r="TIF24" s="486"/>
      <c r="TIG24" s="486"/>
      <c r="TIH24" s="486"/>
      <c r="TII24" s="486"/>
      <c r="TIJ24" s="486"/>
      <c r="TIK24" s="486"/>
      <c r="TIL24" s="486"/>
      <c r="TIM24" s="486"/>
      <c r="TIN24" s="486"/>
      <c r="TIO24" s="486"/>
      <c r="TIP24" s="486"/>
      <c r="TIQ24" s="486"/>
      <c r="TIR24" s="486"/>
      <c r="TIS24" s="486"/>
      <c r="TIT24" s="486"/>
      <c r="TIU24" s="486"/>
      <c r="TIV24" s="486"/>
      <c r="TIW24" s="486"/>
      <c r="TIX24" s="486"/>
      <c r="TIY24" s="486"/>
      <c r="TIZ24" s="486"/>
      <c r="TJA24" s="486"/>
      <c r="TJB24" s="486"/>
      <c r="TJC24" s="486"/>
      <c r="TJD24" s="486"/>
      <c r="TJE24" s="486"/>
      <c r="TJF24" s="486"/>
      <c r="TJG24" s="486"/>
      <c r="TJH24" s="486"/>
      <c r="TJI24" s="486"/>
      <c r="TJJ24" s="486"/>
      <c r="TJK24" s="486"/>
      <c r="TJL24" s="486"/>
      <c r="TJM24" s="486"/>
      <c r="TJN24" s="486"/>
      <c r="TJO24" s="486"/>
      <c r="TJP24" s="486"/>
      <c r="TJQ24" s="486"/>
      <c r="TJR24" s="486"/>
      <c r="TJS24" s="486"/>
      <c r="TJT24" s="486"/>
      <c r="TJU24" s="486"/>
      <c r="TJV24" s="486"/>
      <c r="TJW24" s="486"/>
      <c r="TJX24" s="486"/>
      <c r="TJY24" s="486"/>
      <c r="TJZ24" s="486"/>
      <c r="TKA24" s="486"/>
      <c r="TKB24" s="486"/>
      <c r="TKC24" s="486"/>
      <c r="TKD24" s="486"/>
      <c r="TKE24" s="486"/>
      <c r="TKF24" s="486"/>
      <c r="TKG24" s="486"/>
      <c r="TKH24" s="486"/>
      <c r="TKI24" s="486"/>
      <c r="TKJ24" s="486"/>
      <c r="TKK24" s="486"/>
      <c r="TKL24" s="486"/>
      <c r="TKM24" s="486"/>
      <c r="TKN24" s="486"/>
      <c r="TKO24" s="486"/>
      <c r="TKP24" s="486"/>
      <c r="TKQ24" s="486"/>
      <c r="TKR24" s="486"/>
      <c r="TKS24" s="486"/>
      <c r="TKT24" s="486"/>
      <c r="TKU24" s="486"/>
      <c r="TKV24" s="486"/>
      <c r="TKW24" s="486"/>
      <c r="TKX24" s="486"/>
      <c r="TKY24" s="486"/>
      <c r="TKZ24" s="486"/>
      <c r="TLA24" s="486"/>
      <c r="TLB24" s="486"/>
      <c r="TLC24" s="486"/>
      <c r="TLD24" s="486"/>
      <c r="TLE24" s="486"/>
      <c r="TLF24" s="486"/>
      <c r="TLG24" s="486"/>
      <c r="TLH24" s="486"/>
      <c r="TLI24" s="486"/>
      <c r="TLJ24" s="486"/>
      <c r="TLK24" s="486"/>
      <c r="TLL24" s="486"/>
      <c r="TLM24" s="486"/>
      <c r="TLN24" s="486"/>
      <c r="TLO24" s="486"/>
      <c r="TLP24" s="486"/>
      <c r="TLQ24" s="486"/>
      <c r="TLR24" s="486"/>
      <c r="TLS24" s="486"/>
      <c r="TLT24" s="486"/>
      <c r="TLU24" s="486"/>
      <c r="TLV24" s="486"/>
      <c r="TLW24" s="486"/>
      <c r="TLX24" s="486"/>
      <c r="TLY24" s="486"/>
      <c r="TLZ24" s="486"/>
      <c r="TMA24" s="486"/>
      <c r="TMB24" s="486"/>
      <c r="TMC24" s="486"/>
      <c r="TMD24" s="486"/>
      <c r="TME24" s="486"/>
      <c r="TMF24" s="486"/>
      <c r="TMG24" s="486"/>
      <c r="TMH24" s="486"/>
      <c r="TMI24" s="486"/>
      <c r="TMJ24" s="486"/>
      <c r="TMK24" s="486"/>
      <c r="TML24" s="486"/>
      <c r="TMM24" s="486"/>
      <c r="TMN24" s="486"/>
      <c r="TMO24" s="486"/>
      <c r="TMP24" s="486"/>
      <c r="TMQ24" s="486"/>
      <c r="TMR24" s="486"/>
      <c r="TMS24" s="486"/>
      <c r="TMT24" s="486"/>
      <c r="TMU24" s="486"/>
      <c r="TMV24" s="486"/>
      <c r="TMW24" s="486"/>
      <c r="TMX24" s="486"/>
      <c r="TMY24" s="486"/>
      <c r="TMZ24" s="486"/>
      <c r="TNA24" s="486"/>
      <c r="TNB24" s="486"/>
      <c r="TNC24" s="486"/>
      <c r="TND24" s="486"/>
      <c r="TNE24" s="486"/>
      <c r="TNF24" s="486"/>
      <c r="TNG24" s="486"/>
      <c r="TNH24" s="486"/>
      <c r="TNI24" s="486"/>
      <c r="TNJ24" s="486"/>
      <c r="TNK24" s="486"/>
      <c r="TNL24" s="486"/>
      <c r="TNM24" s="486"/>
      <c r="TNN24" s="486"/>
      <c r="TNO24" s="486"/>
      <c r="TNP24" s="486"/>
      <c r="TNQ24" s="486"/>
      <c r="TNR24" s="486"/>
      <c r="TNS24" s="486"/>
      <c r="TNT24" s="486"/>
      <c r="TNU24" s="486"/>
      <c r="TNV24" s="486"/>
      <c r="TNW24" s="486"/>
      <c r="TNX24" s="486"/>
      <c r="TNY24" s="486"/>
      <c r="TNZ24" s="486"/>
      <c r="TOA24" s="486"/>
      <c r="TOB24" s="486"/>
      <c r="TOC24" s="486"/>
      <c r="TOD24" s="486"/>
      <c r="TOE24" s="486"/>
      <c r="TOF24" s="486"/>
      <c r="TOG24" s="486"/>
      <c r="TOH24" s="486"/>
      <c r="TOI24" s="486"/>
      <c r="TOJ24" s="486"/>
      <c r="TOK24" s="486"/>
      <c r="TOL24" s="486"/>
      <c r="TOM24" s="486"/>
      <c r="TON24" s="486"/>
      <c r="TOO24" s="486"/>
      <c r="TOP24" s="486"/>
      <c r="TOQ24" s="486"/>
      <c r="TOR24" s="486"/>
      <c r="TOS24" s="486"/>
      <c r="TOT24" s="486"/>
      <c r="TOU24" s="486"/>
      <c r="TOV24" s="486"/>
      <c r="TOW24" s="486"/>
      <c r="TOX24" s="486"/>
      <c r="TOY24" s="486"/>
      <c r="TOZ24" s="486"/>
      <c r="TPA24" s="486"/>
      <c r="TPB24" s="486"/>
      <c r="TPC24" s="486"/>
      <c r="TPD24" s="486"/>
      <c r="TPE24" s="486"/>
      <c r="TPF24" s="486"/>
      <c r="TPG24" s="486"/>
      <c r="TPH24" s="486"/>
      <c r="TPI24" s="486"/>
      <c r="TPJ24" s="486"/>
      <c r="TPK24" s="486"/>
      <c r="TPL24" s="486"/>
      <c r="TPM24" s="486"/>
      <c r="TPN24" s="486"/>
      <c r="TPO24" s="486"/>
      <c r="TPP24" s="486"/>
      <c r="TPQ24" s="486"/>
      <c r="TPR24" s="486"/>
      <c r="TPS24" s="486"/>
      <c r="TPT24" s="486"/>
      <c r="TPU24" s="486"/>
      <c r="TPV24" s="486"/>
      <c r="TPW24" s="486"/>
      <c r="TPX24" s="486"/>
      <c r="TPY24" s="486"/>
      <c r="TPZ24" s="486"/>
      <c r="TQA24" s="486"/>
      <c r="TQB24" s="486"/>
      <c r="TQC24" s="486"/>
      <c r="TQD24" s="486"/>
      <c r="TQE24" s="486"/>
      <c r="TQF24" s="486"/>
      <c r="TQG24" s="486"/>
      <c r="TQH24" s="486"/>
      <c r="TQI24" s="486"/>
      <c r="TQJ24" s="486"/>
      <c r="TQK24" s="486"/>
      <c r="TQL24" s="486"/>
      <c r="TQM24" s="486"/>
      <c r="TQN24" s="486"/>
      <c r="TQO24" s="486"/>
      <c r="TQP24" s="486"/>
      <c r="TQQ24" s="486"/>
      <c r="TQR24" s="486"/>
      <c r="TQS24" s="486"/>
      <c r="TQT24" s="486"/>
      <c r="TQU24" s="486"/>
      <c r="TQV24" s="486"/>
      <c r="TQW24" s="486"/>
      <c r="TQX24" s="486"/>
      <c r="TQY24" s="486"/>
      <c r="TQZ24" s="486"/>
      <c r="TRA24" s="486"/>
      <c r="TRB24" s="486"/>
      <c r="TRC24" s="486"/>
      <c r="TRD24" s="486"/>
      <c r="TRE24" s="486"/>
      <c r="TRF24" s="486"/>
      <c r="TRG24" s="486"/>
      <c r="TRH24" s="486"/>
      <c r="TRI24" s="486"/>
      <c r="TRJ24" s="486"/>
      <c r="TRK24" s="486"/>
      <c r="TRL24" s="486"/>
      <c r="TRM24" s="486"/>
      <c r="TRN24" s="486"/>
      <c r="TRO24" s="486"/>
      <c r="TRP24" s="486"/>
      <c r="TRQ24" s="486"/>
      <c r="TRR24" s="486"/>
      <c r="TRS24" s="486"/>
      <c r="TRT24" s="486"/>
      <c r="TRU24" s="486"/>
      <c r="TRV24" s="486"/>
      <c r="TRW24" s="486"/>
      <c r="TRX24" s="486"/>
      <c r="TRY24" s="486"/>
      <c r="TRZ24" s="486"/>
      <c r="TSA24" s="486"/>
      <c r="TSB24" s="486"/>
      <c r="TSC24" s="486"/>
      <c r="TSD24" s="486"/>
      <c r="TSE24" s="486"/>
      <c r="TSF24" s="486"/>
      <c r="TSG24" s="486"/>
      <c r="TSH24" s="486"/>
      <c r="TSI24" s="486"/>
      <c r="TSJ24" s="486"/>
      <c r="TSK24" s="486"/>
      <c r="TSL24" s="486"/>
      <c r="TSM24" s="486"/>
      <c r="TSN24" s="486"/>
      <c r="TSO24" s="486"/>
      <c r="TSP24" s="486"/>
      <c r="TSQ24" s="486"/>
      <c r="TSR24" s="486"/>
      <c r="TSS24" s="486"/>
      <c r="TST24" s="486"/>
      <c r="TSU24" s="486"/>
      <c r="TSV24" s="486"/>
      <c r="TSW24" s="486"/>
      <c r="TSX24" s="486"/>
      <c r="TSY24" s="486"/>
      <c r="TSZ24" s="486"/>
      <c r="TTA24" s="486"/>
      <c r="TTB24" s="486"/>
      <c r="TTC24" s="486"/>
      <c r="TTD24" s="486"/>
      <c r="TTE24" s="486"/>
      <c r="TTF24" s="486"/>
      <c r="TTG24" s="486"/>
      <c r="TTH24" s="486"/>
      <c r="TTI24" s="486"/>
      <c r="TTJ24" s="486"/>
      <c r="TTK24" s="486"/>
      <c r="TTL24" s="486"/>
      <c r="TTM24" s="486"/>
      <c r="TTN24" s="486"/>
      <c r="TTO24" s="486"/>
      <c r="TTP24" s="486"/>
      <c r="TTQ24" s="486"/>
      <c r="TTR24" s="486"/>
      <c r="TTS24" s="486"/>
      <c r="TTT24" s="486"/>
      <c r="TTU24" s="486"/>
      <c r="TTV24" s="486"/>
      <c r="TTW24" s="486"/>
      <c r="TTX24" s="486"/>
      <c r="TTY24" s="486"/>
      <c r="TTZ24" s="486"/>
      <c r="TUA24" s="486"/>
      <c r="TUB24" s="486"/>
      <c r="TUC24" s="486"/>
      <c r="TUD24" s="486"/>
      <c r="TUE24" s="486"/>
      <c r="TUF24" s="486"/>
      <c r="TUG24" s="486"/>
      <c r="TUH24" s="486"/>
      <c r="TUI24" s="486"/>
      <c r="TUJ24" s="486"/>
      <c r="TUK24" s="486"/>
      <c r="TUL24" s="486"/>
      <c r="TUM24" s="486"/>
      <c r="TUN24" s="486"/>
      <c r="TUO24" s="486"/>
      <c r="TUP24" s="486"/>
      <c r="TUQ24" s="486"/>
      <c r="TUR24" s="486"/>
      <c r="TUS24" s="486"/>
      <c r="TUT24" s="486"/>
      <c r="TUU24" s="486"/>
      <c r="TUV24" s="486"/>
      <c r="TUW24" s="486"/>
      <c r="TUX24" s="486"/>
      <c r="TUY24" s="486"/>
      <c r="TUZ24" s="486"/>
      <c r="TVA24" s="486"/>
      <c r="TVB24" s="486"/>
      <c r="TVC24" s="486"/>
      <c r="TVD24" s="486"/>
      <c r="TVE24" s="486"/>
      <c r="TVF24" s="486"/>
      <c r="TVG24" s="486"/>
      <c r="TVH24" s="486"/>
      <c r="TVI24" s="486"/>
      <c r="TVJ24" s="486"/>
      <c r="TVK24" s="486"/>
      <c r="TVL24" s="486"/>
      <c r="TVM24" s="486"/>
      <c r="TVN24" s="486"/>
      <c r="TVO24" s="486"/>
      <c r="TVP24" s="486"/>
      <c r="TVQ24" s="486"/>
      <c r="TVR24" s="486"/>
      <c r="TVS24" s="486"/>
      <c r="TVT24" s="486"/>
      <c r="TVU24" s="486"/>
      <c r="TVV24" s="486"/>
      <c r="TVW24" s="486"/>
      <c r="TVX24" s="486"/>
      <c r="TVY24" s="486"/>
      <c r="TVZ24" s="486"/>
      <c r="TWA24" s="486"/>
      <c r="TWB24" s="486"/>
      <c r="TWC24" s="486"/>
      <c r="TWD24" s="486"/>
      <c r="TWE24" s="486"/>
      <c r="TWF24" s="486"/>
      <c r="TWG24" s="486"/>
      <c r="TWH24" s="486"/>
      <c r="TWI24" s="486"/>
      <c r="TWJ24" s="486"/>
      <c r="TWK24" s="486"/>
      <c r="TWL24" s="486"/>
      <c r="TWM24" s="486"/>
      <c r="TWN24" s="486"/>
      <c r="TWO24" s="486"/>
      <c r="TWP24" s="486"/>
      <c r="TWQ24" s="486"/>
      <c r="TWR24" s="486"/>
      <c r="TWS24" s="486"/>
      <c r="TWT24" s="486"/>
      <c r="TWU24" s="486"/>
      <c r="TWV24" s="486"/>
      <c r="TWW24" s="486"/>
      <c r="TWX24" s="486"/>
      <c r="TWY24" s="486"/>
      <c r="TWZ24" s="486"/>
      <c r="TXA24" s="486"/>
      <c r="TXB24" s="486"/>
      <c r="TXC24" s="486"/>
      <c r="TXD24" s="486"/>
      <c r="TXE24" s="486"/>
      <c r="TXF24" s="486"/>
      <c r="TXG24" s="486"/>
      <c r="TXH24" s="486"/>
      <c r="TXI24" s="486"/>
      <c r="TXJ24" s="486"/>
      <c r="TXK24" s="486"/>
      <c r="TXL24" s="486"/>
      <c r="TXM24" s="486"/>
      <c r="TXN24" s="486"/>
      <c r="TXO24" s="486"/>
      <c r="TXP24" s="486"/>
      <c r="TXQ24" s="486"/>
      <c r="TXR24" s="486"/>
      <c r="TXS24" s="486"/>
      <c r="TXT24" s="486"/>
      <c r="TXU24" s="486"/>
      <c r="TXV24" s="486"/>
      <c r="TXW24" s="486"/>
      <c r="TXX24" s="486"/>
      <c r="TXY24" s="486"/>
      <c r="TXZ24" s="486"/>
      <c r="TYA24" s="486"/>
      <c r="TYB24" s="486"/>
      <c r="TYC24" s="486"/>
      <c r="TYD24" s="486"/>
      <c r="TYE24" s="486"/>
      <c r="TYF24" s="486"/>
      <c r="TYG24" s="486"/>
      <c r="TYH24" s="486"/>
      <c r="TYI24" s="486"/>
      <c r="TYJ24" s="486"/>
      <c r="TYK24" s="486"/>
      <c r="TYL24" s="486"/>
      <c r="TYM24" s="486"/>
      <c r="TYN24" s="486"/>
      <c r="TYO24" s="486"/>
      <c r="TYP24" s="486"/>
      <c r="TYQ24" s="486"/>
      <c r="TYR24" s="486"/>
      <c r="TYS24" s="486"/>
      <c r="TYT24" s="486"/>
      <c r="TYU24" s="486"/>
      <c r="TYV24" s="486"/>
      <c r="TYW24" s="486"/>
      <c r="TYX24" s="486"/>
      <c r="TYY24" s="486"/>
      <c r="TYZ24" s="486"/>
      <c r="TZA24" s="486"/>
      <c r="TZB24" s="486"/>
      <c r="TZC24" s="486"/>
      <c r="TZD24" s="486"/>
      <c r="TZE24" s="486"/>
      <c r="TZF24" s="486"/>
      <c r="TZG24" s="486"/>
      <c r="TZH24" s="486"/>
      <c r="TZI24" s="486"/>
      <c r="TZJ24" s="486"/>
      <c r="TZK24" s="486"/>
      <c r="TZL24" s="486"/>
      <c r="TZM24" s="486"/>
      <c r="TZN24" s="486"/>
      <c r="TZO24" s="486"/>
      <c r="TZP24" s="486"/>
      <c r="TZQ24" s="486"/>
      <c r="TZR24" s="486"/>
      <c r="TZS24" s="486"/>
      <c r="TZT24" s="486"/>
      <c r="TZU24" s="486"/>
      <c r="TZV24" s="486"/>
      <c r="TZW24" s="486"/>
      <c r="TZX24" s="486"/>
      <c r="TZY24" s="486"/>
      <c r="TZZ24" s="486"/>
      <c r="UAA24" s="486"/>
      <c r="UAB24" s="486"/>
      <c r="UAC24" s="486"/>
      <c r="UAD24" s="486"/>
      <c r="UAE24" s="486"/>
      <c r="UAF24" s="486"/>
      <c r="UAG24" s="486"/>
      <c r="UAH24" s="486"/>
      <c r="UAI24" s="486"/>
      <c r="UAJ24" s="486"/>
      <c r="UAK24" s="486"/>
      <c r="UAL24" s="486"/>
      <c r="UAM24" s="486"/>
      <c r="UAN24" s="486"/>
      <c r="UAO24" s="486"/>
      <c r="UAP24" s="486"/>
      <c r="UAQ24" s="486"/>
      <c r="UAR24" s="486"/>
      <c r="UAS24" s="486"/>
      <c r="UAT24" s="486"/>
      <c r="UAU24" s="486"/>
      <c r="UAV24" s="486"/>
      <c r="UAW24" s="486"/>
      <c r="UAX24" s="486"/>
      <c r="UAY24" s="486"/>
      <c r="UAZ24" s="486"/>
      <c r="UBA24" s="486"/>
      <c r="UBB24" s="486"/>
      <c r="UBC24" s="486"/>
      <c r="UBD24" s="486"/>
      <c r="UBE24" s="486"/>
      <c r="UBF24" s="486"/>
      <c r="UBG24" s="486"/>
      <c r="UBH24" s="486"/>
      <c r="UBI24" s="486"/>
      <c r="UBJ24" s="486"/>
      <c r="UBK24" s="486"/>
      <c r="UBL24" s="486"/>
      <c r="UBM24" s="486"/>
      <c r="UBN24" s="486"/>
      <c r="UBO24" s="486"/>
      <c r="UBP24" s="486"/>
      <c r="UBQ24" s="486"/>
      <c r="UBR24" s="486"/>
      <c r="UBS24" s="486"/>
      <c r="UBT24" s="486"/>
      <c r="UBU24" s="486"/>
      <c r="UBV24" s="486"/>
      <c r="UBW24" s="486"/>
      <c r="UBX24" s="486"/>
      <c r="UBY24" s="486"/>
      <c r="UBZ24" s="486"/>
      <c r="UCA24" s="486"/>
      <c r="UCB24" s="486"/>
      <c r="UCC24" s="486"/>
      <c r="UCD24" s="486"/>
      <c r="UCE24" s="486"/>
      <c r="UCF24" s="486"/>
      <c r="UCG24" s="486"/>
      <c r="UCH24" s="486"/>
      <c r="UCI24" s="486"/>
      <c r="UCJ24" s="486"/>
      <c r="UCK24" s="486"/>
      <c r="UCL24" s="486"/>
      <c r="UCM24" s="486"/>
      <c r="UCN24" s="486"/>
      <c r="UCO24" s="486"/>
      <c r="UCP24" s="486"/>
      <c r="UCQ24" s="486"/>
      <c r="UCR24" s="486"/>
      <c r="UCS24" s="486"/>
      <c r="UCT24" s="486"/>
      <c r="UCU24" s="486"/>
      <c r="UCV24" s="486"/>
      <c r="UCW24" s="486"/>
      <c r="UCX24" s="486"/>
      <c r="UCY24" s="486"/>
      <c r="UCZ24" s="486"/>
      <c r="UDA24" s="486"/>
      <c r="UDB24" s="486"/>
      <c r="UDC24" s="486"/>
      <c r="UDD24" s="486"/>
      <c r="UDE24" s="486"/>
      <c r="UDF24" s="486"/>
      <c r="UDG24" s="486"/>
      <c r="UDH24" s="486"/>
      <c r="UDI24" s="486"/>
      <c r="UDJ24" s="486"/>
      <c r="UDK24" s="486"/>
      <c r="UDL24" s="486"/>
      <c r="UDM24" s="486"/>
      <c r="UDN24" s="486"/>
      <c r="UDO24" s="486"/>
      <c r="UDP24" s="486"/>
      <c r="UDQ24" s="486"/>
      <c r="UDR24" s="486"/>
      <c r="UDS24" s="486"/>
      <c r="UDT24" s="486"/>
      <c r="UDU24" s="486"/>
      <c r="UDV24" s="486"/>
      <c r="UDW24" s="486"/>
      <c r="UDX24" s="486"/>
      <c r="UDY24" s="486"/>
      <c r="UDZ24" s="486"/>
      <c r="UEA24" s="486"/>
      <c r="UEB24" s="486"/>
      <c r="UEC24" s="486"/>
      <c r="UED24" s="486"/>
      <c r="UEE24" s="486"/>
      <c r="UEF24" s="486"/>
      <c r="UEG24" s="486"/>
      <c r="UEH24" s="486"/>
      <c r="UEI24" s="486"/>
      <c r="UEJ24" s="486"/>
      <c r="UEK24" s="486"/>
      <c r="UEL24" s="486"/>
      <c r="UEM24" s="486"/>
      <c r="UEN24" s="486"/>
      <c r="UEO24" s="486"/>
      <c r="UEP24" s="486"/>
      <c r="UEQ24" s="486"/>
      <c r="UER24" s="486"/>
      <c r="UES24" s="486"/>
      <c r="UET24" s="486"/>
      <c r="UEU24" s="486"/>
      <c r="UEV24" s="486"/>
      <c r="UEW24" s="486"/>
      <c r="UEX24" s="486"/>
      <c r="UEY24" s="486"/>
      <c r="UEZ24" s="486"/>
      <c r="UFA24" s="486"/>
      <c r="UFB24" s="486"/>
      <c r="UFC24" s="486"/>
      <c r="UFD24" s="486"/>
      <c r="UFE24" s="486"/>
      <c r="UFF24" s="486"/>
      <c r="UFG24" s="486"/>
      <c r="UFH24" s="486"/>
      <c r="UFI24" s="486"/>
      <c r="UFJ24" s="486"/>
      <c r="UFK24" s="486"/>
      <c r="UFL24" s="486"/>
      <c r="UFM24" s="486"/>
      <c r="UFN24" s="486"/>
      <c r="UFO24" s="486"/>
      <c r="UFP24" s="486"/>
      <c r="UFQ24" s="486"/>
      <c r="UFR24" s="486"/>
      <c r="UFS24" s="486"/>
      <c r="UFT24" s="486"/>
      <c r="UFU24" s="486"/>
      <c r="UFV24" s="486"/>
      <c r="UFW24" s="486"/>
      <c r="UFX24" s="486"/>
      <c r="UFY24" s="486"/>
      <c r="UFZ24" s="486"/>
      <c r="UGA24" s="486"/>
      <c r="UGB24" s="486"/>
      <c r="UGC24" s="486"/>
      <c r="UGD24" s="486"/>
      <c r="UGE24" s="486"/>
      <c r="UGF24" s="486"/>
      <c r="UGG24" s="486"/>
      <c r="UGH24" s="486"/>
      <c r="UGI24" s="486"/>
      <c r="UGJ24" s="486"/>
      <c r="UGK24" s="486"/>
      <c r="UGL24" s="486"/>
      <c r="UGM24" s="486"/>
      <c r="UGN24" s="486"/>
      <c r="UGO24" s="486"/>
      <c r="UGP24" s="486"/>
      <c r="UGQ24" s="486"/>
      <c r="UGR24" s="486"/>
      <c r="UGS24" s="486"/>
      <c r="UGT24" s="486"/>
      <c r="UGU24" s="486"/>
      <c r="UGV24" s="486"/>
      <c r="UGW24" s="486"/>
      <c r="UGX24" s="486"/>
      <c r="UGY24" s="486"/>
      <c r="UGZ24" s="486"/>
      <c r="UHA24" s="486"/>
      <c r="UHB24" s="486"/>
      <c r="UHC24" s="486"/>
      <c r="UHD24" s="486"/>
      <c r="UHE24" s="486"/>
      <c r="UHF24" s="486"/>
      <c r="UHG24" s="486"/>
      <c r="UHH24" s="486"/>
      <c r="UHI24" s="486"/>
      <c r="UHJ24" s="486"/>
      <c r="UHK24" s="486"/>
      <c r="UHL24" s="486"/>
      <c r="UHM24" s="486"/>
      <c r="UHN24" s="486"/>
      <c r="UHO24" s="486"/>
      <c r="UHP24" s="486"/>
      <c r="UHQ24" s="486"/>
      <c r="UHR24" s="486"/>
      <c r="UHS24" s="486"/>
      <c r="UHT24" s="486"/>
      <c r="UHU24" s="486"/>
      <c r="UHV24" s="486"/>
      <c r="UHW24" s="486"/>
      <c r="UHX24" s="486"/>
      <c r="UHY24" s="486"/>
      <c r="UHZ24" s="486"/>
      <c r="UIA24" s="486"/>
      <c r="UIB24" s="486"/>
      <c r="UIC24" s="486"/>
      <c r="UID24" s="486"/>
      <c r="UIE24" s="486"/>
      <c r="UIF24" s="486"/>
      <c r="UIG24" s="486"/>
      <c r="UIH24" s="486"/>
      <c r="UII24" s="486"/>
      <c r="UIJ24" s="486"/>
      <c r="UIK24" s="486"/>
      <c r="UIL24" s="486"/>
      <c r="UIM24" s="486"/>
      <c r="UIN24" s="486"/>
      <c r="UIO24" s="486"/>
      <c r="UIP24" s="486"/>
      <c r="UIQ24" s="486"/>
      <c r="UIR24" s="486"/>
      <c r="UIS24" s="486"/>
      <c r="UIT24" s="486"/>
      <c r="UIU24" s="486"/>
      <c r="UIV24" s="486"/>
      <c r="UIW24" s="486"/>
      <c r="UIX24" s="486"/>
      <c r="UIY24" s="486"/>
      <c r="UIZ24" s="486"/>
      <c r="UJA24" s="486"/>
      <c r="UJB24" s="486"/>
      <c r="UJC24" s="486"/>
      <c r="UJD24" s="486"/>
      <c r="UJE24" s="486"/>
      <c r="UJF24" s="486"/>
      <c r="UJG24" s="486"/>
      <c r="UJH24" s="486"/>
      <c r="UJI24" s="486"/>
      <c r="UJJ24" s="486"/>
      <c r="UJK24" s="486"/>
      <c r="UJL24" s="486"/>
      <c r="UJM24" s="486"/>
      <c r="UJN24" s="486"/>
      <c r="UJO24" s="486"/>
      <c r="UJP24" s="486"/>
      <c r="UJQ24" s="486"/>
      <c r="UJR24" s="486"/>
      <c r="UJS24" s="486"/>
      <c r="UJT24" s="486"/>
      <c r="UJU24" s="486"/>
      <c r="UJV24" s="486"/>
      <c r="UJW24" s="486"/>
      <c r="UJX24" s="486"/>
      <c r="UJY24" s="486"/>
      <c r="UJZ24" s="486"/>
      <c r="UKA24" s="486"/>
      <c r="UKB24" s="486"/>
      <c r="UKC24" s="486"/>
      <c r="UKD24" s="486"/>
      <c r="UKE24" s="486"/>
      <c r="UKF24" s="486"/>
      <c r="UKG24" s="486"/>
      <c r="UKH24" s="486"/>
      <c r="UKI24" s="486"/>
      <c r="UKJ24" s="486"/>
      <c r="UKK24" s="486"/>
      <c r="UKL24" s="486"/>
      <c r="UKM24" s="486"/>
      <c r="UKN24" s="486"/>
      <c r="UKO24" s="486"/>
      <c r="UKP24" s="486"/>
      <c r="UKQ24" s="486"/>
      <c r="UKR24" s="486"/>
      <c r="UKS24" s="486"/>
      <c r="UKT24" s="486"/>
      <c r="UKU24" s="486"/>
      <c r="UKV24" s="486"/>
      <c r="UKW24" s="486"/>
      <c r="UKX24" s="486"/>
      <c r="UKY24" s="486"/>
      <c r="UKZ24" s="486"/>
      <c r="ULA24" s="486"/>
      <c r="ULB24" s="486"/>
      <c r="ULC24" s="486"/>
      <c r="ULD24" s="486"/>
      <c r="ULE24" s="486"/>
      <c r="ULF24" s="486"/>
      <c r="ULG24" s="486"/>
      <c r="ULH24" s="486"/>
      <c r="ULI24" s="486"/>
      <c r="ULJ24" s="486"/>
      <c r="ULK24" s="486"/>
      <c r="ULL24" s="486"/>
      <c r="ULM24" s="486"/>
      <c r="ULN24" s="486"/>
      <c r="ULO24" s="486"/>
      <c r="ULP24" s="486"/>
      <c r="ULQ24" s="486"/>
      <c r="ULR24" s="486"/>
      <c r="ULS24" s="486"/>
      <c r="ULT24" s="486"/>
      <c r="ULU24" s="486"/>
      <c r="ULV24" s="486"/>
      <c r="ULW24" s="486"/>
      <c r="ULX24" s="486"/>
      <c r="ULY24" s="486"/>
      <c r="ULZ24" s="486"/>
      <c r="UMA24" s="486"/>
      <c r="UMB24" s="486"/>
      <c r="UMC24" s="486"/>
      <c r="UMD24" s="486"/>
      <c r="UME24" s="486"/>
      <c r="UMF24" s="486"/>
      <c r="UMG24" s="486"/>
      <c r="UMH24" s="486"/>
      <c r="UMI24" s="486"/>
      <c r="UMJ24" s="486"/>
      <c r="UMK24" s="486"/>
      <c r="UML24" s="486"/>
      <c r="UMM24" s="486"/>
      <c r="UMN24" s="486"/>
      <c r="UMO24" s="486"/>
      <c r="UMP24" s="486"/>
      <c r="UMQ24" s="486"/>
      <c r="UMR24" s="486"/>
      <c r="UMS24" s="486"/>
      <c r="UMT24" s="486"/>
      <c r="UMU24" s="486"/>
      <c r="UMV24" s="486"/>
      <c r="UMW24" s="486"/>
      <c r="UMX24" s="486"/>
      <c r="UMY24" s="486"/>
      <c r="UMZ24" s="486"/>
      <c r="UNA24" s="486"/>
      <c r="UNB24" s="486"/>
      <c r="UNC24" s="486"/>
      <c r="UND24" s="486"/>
      <c r="UNE24" s="486"/>
      <c r="UNF24" s="486"/>
      <c r="UNG24" s="486"/>
      <c r="UNH24" s="486"/>
      <c r="UNI24" s="486"/>
      <c r="UNJ24" s="486"/>
      <c r="UNK24" s="486"/>
      <c r="UNL24" s="486"/>
      <c r="UNM24" s="486"/>
      <c r="UNN24" s="486"/>
      <c r="UNO24" s="486"/>
      <c r="UNP24" s="486"/>
      <c r="UNQ24" s="486"/>
      <c r="UNR24" s="486"/>
      <c r="UNS24" s="486"/>
      <c r="UNT24" s="486"/>
      <c r="UNU24" s="486"/>
      <c r="UNV24" s="486"/>
      <c r="UNW24" s="486"/>
      <c r="UNX24" s="486"/>
      <c r="UNY24" s="486"/>
      <c r="UNZ24" s="486"/>
      <c r="UOA24" s="486"/>
      <c r="UOB24" s="486"/>
      <c r="UOC24" s="486"/>
      <c r="UOD24" s="486"/>
      <c r="UOE24" s="486"/>
      <c r="UOF24" s="486"/>
      <c r="UOG24" s="486"/>
      <c r="UOH24" s="486"/>
      <c r="UOI24" s="486"/>
      <c r="UOJ24" s="486"/>
      <c r="UOK24" s="486"/>
      <c r="UOL24" s="486"/>
      <c r="UOM24" s="486"/>
      <c r="UON24" s="486"/>
      <c r="UOO24" s="486"/>
      <c r="UOP24" s="486"/>
      <c r="UOQ24" s="486"/>
      <c r="UOR24" s="486"/>
      <c r="UOS24" s="486"/>
      <c r="UOT24" s="486"/>
      <c r="UOU24" s="486"/>
      <c r="UOV24" s="486"/>
      <c r="UOW24" s="486"/>
      <c r="UOX24" s="486"/>
      <c r="UOY24" s="486"/>
      <c r="UOZ24" s="486"/>
      <c r="UPA24" s="486"/>
      <c r="UPB24" s="486"/>
      <c r="UPC24" s="486"/>
      <c r="UPD24" s="486"/>
      <c r="UPE24" s="486"/>
      <c r="UPF24" s="486"/>
      <c r="UPG24" s="486"/>
      <c r="UPH24" s="486"/>
      <c r="UPI24" s="486"/>
      <c r="UPJ24" s="486"/>
      <c r="UPK24" s="486"/>
      <c r="UPL24" s="486"/>
      <c r="UPM24" s="486"/>
      <c r="UPN24" s="486"/>
      <c r="UPO24" s="486"/>
      <c r="UPP24" s="486"/>
      <c r="UPQ24" s="486"/>
      <c r="UPR24" s="486"/>
      <c r="UPS24" s="486"/>
      <c r="UPT24" s="486"/>
      <c r="UPU24" s="486"/>
      <c r="UPV24" s="486"/>
      <c r="UPW24" s="486"/>
      <c r="UPX24" s="486"/>
      <c r="UPY24" s="486"/>
      <c r="UPZ24" s="486"/>
      <c r="UQA24" s="486"/>
      <c r="UQB24" s="486"/>
      <c r="UQC24" s="486"/>
      <c r="UQD24" s="486"/>
      <c r="UQE24" s="486"/>
      <c r="UQF24" s="486"/>
      <c r="UQG24" s="486"/>
      <c r="UQH24" s="486"/>
      <c r="UQI24" s="486"/>
      <c r="UQJ24" s="486"/>
      <c r="UQK24" s="486"/>
      <c r="UQL24" s="486"/>
      <c r="UQM24" s="486"/>
      <c r="UQN24" s="486"/>
      <c r="UQO24" s="486"/>
      <c r="UQP24" s="486"/>
      <c r="UQQ24" s="486"/>
      <c r="UQR24" s="486"/>
      <c r="UQS24" s="486"/>
      <c r="UQT24" s="486"/>
      <c r="UQU24" s="486"/>
      <c r="UQV24" s="486"/>
      <c r="UQW24" s="486"/>
      <c r="UQX24" s="486"/>
      <c r="UQY24" s="486"/>
      <c r="UQZ24" s="486"/>
      <c r="URA24" s="486"/>
      <c r="URB24" s="486"/>
      <c r="URC24" s="486"/>
      <c r="URD24" s="486"/>
      <c r="URE24" s="486"/>
      <c r="URF24" s="486"/>
      <c r="URG24" s="486"/>
      <c r="URH24" s="486"/>
      <c r="URI24" s="486"/>
      <c r="URJ24" s="486"/>
      <c r="URK24" s="486"/>
      <c r="URL24" s="486"/>
      <c r="URM24" s="486"/>
      <c r="URN24" s="486"/>
      <c r="URO24" s="486"/>
      <c r="URP24" s="486"/>
      <c r="URQ24" s="486"/>
      <c r="URR24" s="486"/>
      <c r="URS24" s="486"/>
      <c r="URT24" s="486"/>
      <c r="URU24" s="486"/>
      <c r="URV24" s="486"/>
      <c r="URW24" s="486"/>
      <c r="URX24" s="486"/>
      <c r="URY24" s="486"/>
      <c r="URZ24" s="486"/>
      <c r="USA24" s="486"/>
      <c r="USB24" s="486"/>
      <c r="USC24" s="486"/>
      <c r="USD24" s="486"/>
      <c r="USE24" s="486"/>
      <c r="USF24" s="486"/>
      <c r="USG24" s="486"/>
      <c r="USH24" s="486"/>
      <c r="USI24" s="486"/>
      <c r="USJ24" s="486"/>
      <c r="USK24" s="486"/>
      <c r="USL24" s="486"/>
      <c r="USM24" s="486"/>
      <c r="USN24" s="486"/>
      <c r="USO24" s="486"/>
      <c r="USP24" s="486"/>
      <c r="USQ24" s="486"/>
      <c r="USR24" s="486"/>
      <c r="USS24" s="486"/>
      <c r="UST24" s="486"/>
      <c r="USU24" s="486"/>
      <c r="USV24" s="486"/>
      <c r="USW24" s="486"/>
      <c r="USX24" s="486"/>
      <c r="USY24" s="486"/>
      <c r="USZ24" s="486"/>
      <c r="UTA24" s="486"/>
      <c r="UTB24" s="486"/>
      <c r="UTC24" s="486"/>
      <c r="UTD24" s="486"/>
      <c r="UTE24" s="486"/>
      <c r="UTF24" s="486"/>
      <c r="UTG24" s="486"/>
      <c r="UTH24" s="486"/>
      <c r="UTI24" s="486"/>
      <c r="UTJ24" s="486"/>
      <c r="UTK24" s="486"/>
      <c r="UTL24" s="486"/>
      <c r="UTM24" s="486"/>
      <c r="UTN24" s="486"/>
      <c r="UTO24" s="486"/>
      <c r="UTP24" s="486"/>
      <c r="UTQ24" s="486"/>
      <c r="UTR24" s="486"/>
      <c r="UTS24" s="486"/>
      <c r="UTT24" s="486"/>
      <c r="UTU24" s="486"/>
      <c r="UTV24" s="486"/>
      <c r="UTW24" s="486"/>
      <c r="UTX24" s="486"/>
      <c r="UTY24" s="486"/>
      <c r="UTZ24" s="486"/>
      <c r="UUA24" s="486"/>
      <c r="UUB24" s="486"/>
      <c r="UUC24" s="486"/>
      <c r="UUD24" s="486"/>
      <c r="UUE24" s="486"/>
      <c r="UUF24" s="486"/>
      <c r="UUG24" s="486"/>
      <c r="UUH24" s="486"/>
      <c r="UUI24" s="486"/>
      <c r="UUJ24" s="486"/>
      <c r="UUK24" s="486"/>
      <c r="UUL24" s="486"/>
      <c r="UUM24" s="486"/>
      <c r="UUN24" s="486"/>
      <c r="UUO24" s="486"/>
      <c r="UUP24" s="486"/>
      <c r="UUQ24" s="486"/>
      <c r="UUR24" s="486"/>
      <c r="UUS24" s="486"/>
      <c r="UUT24" s="486"/>
      <c r="UUU24" s="486"/>
      <c r="UUV24" s="486"/>
      <c r="UUW24" s="486"/>
      <c r="UUX24" s="486"/>
      <c r="UUY24" s="486"/>
      <c r="UUZ24" s="486"/>
      <c r="UVA24" s="486"/>
      <c r="UVB24" s="486"/>
      <c r="UVC24" s="486"/>
      <c r="UVD24" s="486"/>
      <c r="UVE24" s="486"/>
      <c r="UVF24" s="486"/>
      <c r="UVG24" s="486"/>
      <c r="UVH24" s="486"/>
      <c r="UVI24" s="486"/>
      <c r="UVJ24" s="486"/>
      <c r="UVK24" s="486"/>
      <c r="UVL24" s="486"/>
      <c r="UVM24" s="486"/>
      <c r="UVN24" s="486"/>
      <c r="UVO24" s="486"/>
      <c r="UVP24" s="486"/>
      <c r="UVQ24" s="486"/>
      <c r="UVR24" s="486"/>
      <c r="UVS24" s="486"/>
      <c r="UVT24" s="486"/>
      <c r="UVU24" s="486"/>
      <c r="UVV24" s="486"/>
      <c r="UVW24" s="486"/>
      <c r="UVX24" s="486"/>
      <c r="UVY24" s="486"/>
      <c r="UVZ24" s="486"/>
      <c r="UWA24" s="486"/>
      <c r="UWB24" s="486"/>
      <c r="UWC24" s="486"/>
      <c r="UWD24" s="486"/>
      <c r="UWE24" s="486"/>
      <c r="UWF24" s="486"/>
      <c r="UWG24" s="486"/>
      <c r="UWH24" s="486"/>
      <c r="UWI24" s="486"/>
      <c r="UWJ24" s="486"/>
      <c r="UWK24" s="486"/>
      <c r="UWL24" s="486"/>
      <c r="UWM24" s="486"/>
      <c r="UWN24" s="486"/>
      <c r="UWO24" s="486"/>
      <c r="UWP24" s="486"/>
      <c r="UWQ24" s="486"/>
      <c r="UWR24" s="486"/>
      <c r="UWS24" s="486"/>
      <c r="UWT24" s="486"/>
      <c r="UWU24" s="486"/>
      <c r="UWV24" s="486"/>
      <c r="UWW24" s="486"/>
      <c r="UWX24" s="486"/>
      <c r="UWY24" s="486"/>
      <c r="UWZ24" s="486"/>
      <c r="UXA24" s="486"/>
      <c r="UXB24" s="486"/>
      <c r="UXC24" s="486"/>
      <c r="UXD24" s="486"/>
      <c r="UXE24" s="486"/>
      <c r="UXF24" s="486"/>
      <c r="UXG24" s="486"/>
      <c r="UXH24" s="486"/>
      <c r="UXI24" s="486"/>
      <c r="UXJ24" s="486"/>
      <c r="UXK24" s="486"/>
      <c r="UXL24" s="486"/>
      <c r="UXM24" s="486"/>
      <c r="UXN24" s="486"/>
      <c r="UXO24" s="486"/>
      <c r="UXP24" s="486"/>
      <c r="UXQ24" s="486"/>
      <c r="UXR24" s="486"/>
      <c r="UXS24" s="486"/>
      <c r="UXT24" s="486"/>
      <c r="UXU24" s="486"/>
      <c r="UXV24" s="486"/>
      <c r="UXW24" s="486"/>
      <c r="UXX24" s="486"/>
      <c r="UXY24" s="486"/>
      <c r="UXZ24" s="486"/>
      <c r="UYA24" s="486"/>
      <c r="UYB24" s="486"/>
      <c r="UYC24" s="486"/>
      <c r="UYD24" s="486"/>
      <c r="UYE24" s="486"/>
      <c r="UYF24" s="486"/>
      <c r="UYG24" s="486"/>
      <c r="UYH24" s="486"/>
      <c r="UYI24" s="486"/>
      <c r="UYJ24" s="486"/>
      <c r="UYK24" s="486"/>
      <c r="UYL24" s="486"/>
      <c r="UYM24" s="486"/>
      <c r="UYN24" s="486"/>
      <c r="UYO24" s="486"/>
      <c r="UYP24" s="486"/>
      <c r="UYQ24" s="486"/>
      <c r="UYR24" s="486"/>
      <c r="UYS24" s="486"/>
      <c r="UYT24" s="486"/>
      <c r="UYU24" s="486"/>
      <c r="UYV24" s="486"/>
      <c r="UYW24" s="486"/>
      <c r="UYX24" s="486"/>
      <c r="UYY24" s="486"/>
      <c r="UYZ24" s="486"/>
      <c r="UZA24" s="486"/>
      <c r="UZB24" s="486"/>
      <c r="UZC24" s="486"/>
      <c r="UZD24" s="486"/>
      <c r="UZE24" s="486"/>
      <c r="UZF24" s="486"/>
      <c r="UZG24" s="486"/>
      <c r="UZH24" s="486"/>
      <c r="UZI24" s="486"/>
      <c r="UZJ24" s="486"/>
      <c r="UZK24" s="486"/>
      <c r="UZL24" s="486"/>
      <c r="UZM24" s="486"/>
      <c r="UZN24" s="486"/>
      <c r="UZO24" s="486"/>
      <c r="UZP24" s="486"/>
      <c r="UZQ24" s="486"/>
      <c r="UZR24" s="486"/>
      <c r="UZS24" s="486"/>
      <c r="UZT24" s="486"/>
      <c r="UZU24" s="486"/>
      <c r="UZV24" s="486"/>
      <c r="UZW24" s="486"/>
      <c r="UZX24" s="486"/>
      <c r="UZY24" s="486"/>
      <c r="UZZ24" s="486"/>
      <c r="VAA24" s="486"/>
      <c r="VAB24" s="486"/>
      <c r="VAC24" s="486"/>
      <c r="VAD24" s="486"/>
      <c r="VAE24" s="486"/>
      <c r="VAF24" s="486"/>
      <c r="VAG24" s="486"/>
      <c r="VAH24" s="486"/>
      <c r="VAI24" s="486"/>
      <c r="VAJ24" s="486"/>
      <c r="VAK24" s="486"/>
      <c r="VAL24" s="486"/>
      <c r="VAM24" s="486"/>
      <c r="VAN24" s="486"/>
      <c r="VAO24" s="486"/>
      <c r="VAP24" s="486"/>
      <c r="VAQ24" s="486"/>
      <c r="VAR24" s="486"/>
      <c r="VAS24" s="486"/>
      <c r="VAT24" s="486"/>
      <c r="VAU24" s="486"/>
      <c r="VAV24" s="486"/>
      <c r="VAW24" s="486"/>
      <c r="VAX24" s="486"/>
      <c r="VAY24" s="486"/>
      <c r="VAZ24" s="486"/>
      <c r="VBA24" s="486"/>
      <c r="VBB24" s="486"/>
      <c r="VBC24" s="486"/>
      <c r="VBD24" s="486"/>
      <c r="VBE24" s="486"/>
      <c r="VBF24" s="486"/>
      <c r="VBG24" s="486"/>
      <c r="VBH24" s="486"/>
      <c r="VBI24" s="486"/>
      <c r="VBJ24" s="486"/>
      <c r="VBK24" s="486"/>
      <c r="VBL24" s="486"/>
      <c r="VBM24" s="486"/>
      <c r="VBN24" s="486"/>
      <c r="VBO24" s="486"/>
      <c r="VBP24" s="486"/>
      <c r="VBQ24" s="486"/>
      <c r="VBR24" s="486"/>
      <c r="VBS24" s="486"/>
      <c r="VBT24" s="486"/>
      <c r="VBU24" s="486"/>
      <c r="VBV24" s="486"/>
      <c r="VBW24" s="486"/>
      <c r="VBX24" s="486"/>
      <c r="VBY24" s="486"/>
      <c r="VBZ24" s="486"/>
      <c r="VCA24" s="486"/>
      <c r="VCB24" s="486"/>
      <c r="VCC24" s="486"/>
      <c r="VCD24" s="486"/>
      <c r="VCE24" s="486"/>
      <c r="VCF24" s="486"/>
      <c r="VCG24" s="486"/>
      <c r="VCH24" s="486"/>
      <c r="VCI24" s="486"/>
      <c r="VCJ24" s="486"/>
      <c r="VCK24" s="486"/>
      <c r="VCL24" s="486"/>
      <c r="VCM24" s="486"/>
      <c r="VCN24" s="486"/>
      <c r="VCO24" s="486"/>
      <c r="VCP24" s="486"/>
      <c r="VCQ24" s="486"/>
      <c r="VCR24" s="486"/>
      <c r="VCS24" s="486"/>
      <c r="VCT24" s="486"/>
      <c r="VCU24" s="486"/>
      <c r="VCV24" s="486"/>
      <c r="VCW24" s="486"/>
      <c r="VCX24" s="486"/>
      <c r="VCY24" s="486"/>
      <c r="VCZ24" s="486"/>
      <c r="VDA24" s="486"/>
      <c r="VDB24" s="486"/>
      <c r="VDC24" s="486"/>
      <c r="VDD24" s="486"/>
      <c r="VDE24" s="486"/>
      <c r="VDF24" s="486"/>
      <c r="VDG24" s="486"/>
      <c r="VDH24" s="486"/>
      <c r="VDI24" s="486"/>
      <c r="VDJ24" s="486"/>
      <c r="VDK24" s="486"/>
      <c r="VDL24" s="486"/>
      <c r="VDM24" s="486"/>
      <c r="VDN24" s="486"/>
      <c r="VDO24" s="486"/>
      <c r="VDP24" s="486"/>
      <c r="VDQ24" s="486"/>
      <c r="VDR24" s="486"/>
      <c r="VDS24" s="486"/>
      <c r="VDT24" s="486"/>
      <c r="VDU24" s="486"/>
      <c r="VDV24" s="486"/>
      <c r="VDW24" s="486"/>
      <c r="VDX24" s="486"/>
      <c r="VDY24" s="486"/>
      <c r="VDZ24" s="486"/>
      <c r="VEA24" s="486"/>
      <c r="VEB24" s="486"/>
      <c r="VEC24" s="486"/>
      <c r="VED24" s="486"/>
      <c r="VEE24" s="486"/>
      <c r="VEF24" s="486"/>
      <c r="VEG24" s="486"/>
      <c r="VEH24" s="486"/>
      <c r="VEI24" s="486"/>
      <c r="VEJ24" s="486"/>
      <c r="VEK24" s="486"/>
      <c r="VEL24" s="486"/>
      <c r="VEM24" s="486"/>
      <c r="VEN24" s="486"/>
      <c r="VEO24" s="486"/>
      <c r="VEP24" s="486"/>
      <c r="VEQ24" s="486"/>
      <c r="VER24" s="486"/>
      <c r="VES24" s="486"/>
      <c r="VET24" s="486"/>
      <c r="VEU24" s="486"/>
      <c r="VEV24" s="486"/>
      <c r="VEW24" s="486"/>
      <c r="VEX24" s="486"/>
      <c r="VEY24" s="486"/>
      <c r="VEZ24" s="486"/>
      <c r="VFA24" s="486"/>
      <c r="VFB24" s="486"/>
      <c r="VFC24" s="486"/>
      <c r="VFD24" s="486"/>
      <c r="VFE24" s="486"/>
      <c r="VFF24" s="486"/>
      <c r="VFG24" s="486"/>
      <c r="VFH24" s="486"/>
      <c r="VFI24" s="486"/>
      <c r="VFJ24" s="486"/>
      <c r="VFK24" s="486"/>
      <c r="VFL24" s="486"/>
      <c r="VFM24" s="486"/>
      <c r="VFN24" s="486"/>
      <c r="VFO24" s="486"/>
      <c r="VFP24" s="486"/>
      <c r="VFQ24" s="486"/>
      <c r="VFR24" s="486"/>
      <c r="VFS24" s="486"/>
      <c r="VFT24" s="486"/>
      <c r="VFU24" s="486"/>
      <c r="VFV24" s="486"/>
      <c r="VFW24" s="486"/>
      <c r="VFX24" s="486"/>
      <c r="VFY24" s="486"/>
      <c r="VFZ24" s="486"/>
      <c r="VGA24" s="486"/>
      <c r="VGB24" s="486"/>
      <c r="VGC24" s="486"/>
      <c r="VGD24" s="486"/>
      <c r="VGE24" s="486"/>
      <c r="VGF24" s="486"/>
      <c r="VGG24" s="486"/>
      <c r="VGH24" s="486"/>
      <c r="VGI24" s="486"/>
      <c r="VGJ24" s="486"/>
      <c r="VGK24" s="486"/>
      <c r="VGL24" s="486"/>
      <c r="VGM24" s="486"/>
      <c r="VGN24" s="486"/>
      <c r="VGO24" s="486"/>
      <c r="VGP24" s="486"/>
      <c r="VGQ24" s="486"/>
      <c r="VGR24" s="486"/>
      <c r="VGS24" s="486"/>
      <c r="VGT24" s="486"/>
      <c r="VGU24" s="486"/>
      <c r="VGV24" s="486"/>
      <c r="VGW24" s="486"/>
      <c r="VGX24" s="486"/>
      <c r="VGY24" s="486"/>
      <c r="VGZ24" s="486"/>
      <c r="VHA24" s="486"/>
      <c r="VHB24" s="486"/>
      <c r="VHC24" s="486"/>
      <c r="VHD24" s="486"/>
      <c r="VHE24" s="486"/>
      <c r="VHF24" s="486"/>
      <c r="VHG24" s="486"/>
      <c r="VHH24" s="486"/>
      <c r="VHI24" s="486"/>
      <c r="VHJ24" s="486"/>
      <c r="VHK24" s="486"/>
      <c r="VHL24" s="486"/>
      <c r="VHM24" s="486"/>
      <c r="VHN24" s="486"/>
      <c r="VHO24" s="486"/>
      <c r="VHP24" s="486"/>
      <c r="VHQ24" s="486"/>
      <c r="VHR24" s="486"/>
      <c r="VHS24" s="486"/>
      <c r="VHT24" s="486"/>
      <c r="VHU24" s="486"/>
      <c r="VHV24" s="486"/>
      <c r="VHW24" s="486"/>
      <c r="VHX24" s="486"/>
      <c r="VHY24" s="486"/>
      <c r="VHZ24" s="486"/>
      <c r="VIA24" s="486"/>
      <c r="VIB24" s="486"/>
      <c r="VIC24" s="486"/>
      <c r="VID24" s="486"/>
      <c r="VIE24" s="486"/>
      <c r="VIF24" s="486"/>
      <c r="VIG24" s="486"/>
      <c r="VIH24" s="486"/>
      <c r="VII24" s="486"/>
      <c r="VIJ24" s="486"/>
      <c r="VIK24" s="486"/>
      <c r="VIL24" s="486"/>
      <c r="VIM24" s="486"/>
      <c r="VIN24" s="486"/>
      <c r="VIO24" s="486"/>
      <c r="VIP24" s="486"/>
      <c r="VIQ24" s="486"/>
      <c r="VIR24" s="486"/>
      <c r="VIS24" s="486"/>
      <c r="VIT24" s="486"/>
      <c r="VIU24" s="486"/>
      <c r="VIV24" s="486"/>
      <c r="VIW24" s="486"/>
      <c r="VIX24" s="486"/>
      <c r="VIY24" s="486"/>
      <c r="VIZ24" s="486"/>
      <c r="VJA24" s="486"/>
      <c r="VJB24" s="486"/>
      <c r="VJC24" s="486"/>
      <c r="VJD24" s="486"/>
      <c r="VJE24" s="486"/>
      <c r="VJF24" s="486"/>
      <c r="VJG24" s="486"/>
      <c r="VJH24" s="486"/>
      <c r="VJI24" s="486"/>
      <c r="VJJ24" s="486"/>
      <c r="VJK24" s="486"/>
      <c r="VJL24" s="486"/>
      <c r="VJM24" s="486"/>
      <c r="VJN24" s="486"/>
      <c r="VJO24" s="486"/>
      <c r="VJP24" s="486"/>
      <c r="VJQ24" s="486"/>
      <c r="VJR24" s="486"/>
      <c r="VJS24" s="486"/>
      <c r="VJT24" s="486"/>
      <c r="VJU24" s="486"/>
      <c r="VJV24" s="486"/>
      <c r="VJW24" s="486"/>
      <c r="VJX24" s="486"/>
      <c r="VJY24" s="486"/>
      <c r="VJZ24" s="486"/>
      <c r="VKA24" s="486"/>
      <c r="VKB24" s="486"/>
      <c r="VKC24" s="486"/>
      <c r="VKD24" s="486"/>
      <c r="VKE24" s="486"/>
      <c r="VKF24" s="486"/>
      <c r="VKG24" s="486"/>
      <c r="VKH24" s="486"/>
      <c r="VKI24" s="486"/>
      <c r="VKJ24" s="486"/>
      <c r="VKK24" s="486"/>
      <c r="VKL24" s="486"/>
      <c r="VKM24" s="486"/>
      <c r="VKN24" s="486"/>
      <c r="VKO24" s="486"/>
      <c r="VKP24" s="486"/>
      <c r="VKQ24" s="486"/>
      <c r="VKR24" s="486"/>
      <c r="VKS24" s="486"/>
      <c r="VKT24" s="486"/>
      <c r="VKU24" s="486"/>
      <c r="VKV24" s="486"/>
      <c r="VKW24" s="486"/>
      <c r="VKX24" s="486"/>
      <c r="VKY24" s="486"/>
      <c r="VKZ24" s="486"/>
      <c r="VLA24" s="486"/>
      <c r="VLB24" s="486"/>
      <c r="VLC24" s="486"/>
      <c r="VLD24" s="486"/>
      <c r="VLE24" s="486"/>
      <c r="VLF24" s="486"/>
      <c r="VLG24" s="486"/>
      <c r="VLH24" s="486"/>
      <c r="VLI24" s="486"/>
      <c r="VLJ24" s="486"/>
      <c r="VLK24" s="486"/>
      <c r="VLL24" s="486"/>
      <c r="VLM24" s="486"/>
      <c r="VLN24" s="486"/>
      <c r="VLO24" s="486"/>
      <c r="VLP24" s="486"/>
      <c r="VLQ24" s="486"/>
      <c r="VLR24" s="486"/>
      <c r="VLS24" s="486"/>
      <c r="VLT24" s="486"/>
      <c r="VLU24" s="486"/>
      <c r="VLV24" s="486"/>
      <c r="VLW24" s="486"/>
      <c r="VLX24" s="486"/>
      <c r="VLY24" s="486"/>
      <c r="VLZ24" s="486"/>
      <c r="VMA24" s="486"/>
      <c r="VMB24" s="486"/>
      <c r="VMC24" s="486"/>
      <c r="VMD24" s="486"/>
      <c r="VME24" s="486"/>
      <c r="VMF24" s="486"/>
      <c r="VMG24" s="486"/>
      <c r="VMH24" s="486"/>
      <c r="VMI24" s="486"/>
      <c r="VMJ24" s="486"/>
      <c r="VMK24" s="486"/>
      <c r="VML24" s="486"/>
      <c r="VMM24" s="486"/>
      <c r="VMN24" s="486"/>
      <c r="VMO24" s="486"/>
      <c r="VMP24" s="486"/>
      <c r="VMQ24" s="486"/>
      <c r="VMR24" s="486"/>
      <c r="VMS24" s="486"/>
      <c r="VMT24" s="486"/>
      <c r="VMU24" s="486"/>
      <c r="VMV24" s="486"/>
      <c r="VMW24" s="486"/>
      <c r="VMX24" s="486"/>
      <c r="VMY24" s="486"/>
      <c r="VMZ24" s="486"/>
      <c r="VNA24" s="486"/>
      <c r="VNB24" s="486"/>
      <c r="VNC24" s="486"/>
      <c r="VND24" s="486"/>
      <c r="VNE24" s="486"/>
      <c r="VNF24" s="486"/>
      <c r="VNG24" s="486"/>
      <c r="VNH24" s="486"/>
      <c r="VNI24" s="486"/>
      <c r="VNJ24" s="486"/>
      <c r="VNK24" s="486"/>
      <c r="VNL24" s="486"/>
      <c r="VNM24" s="486"/>
      <c r="VNN24" s="486"/>
      <c r="VNO24" s="486"/>
      <c r="VNP24" s="486"/>
      <c r="VNQ24" s="486"/>
      <c r="VNR24" s="486"/>
      <c r="VNS24" s="486"/>
      <c r="VNT24" s="486"/>
      <c r="VNU24" s="486"/>
      <c r="VNV24" s="486"/>
      <c r="VNW24" s="486"/>
      <c r="VNX24" s="486"/>
      <c r="VNY24" s="486"/>
      <c r="VNZ24" s="486"/>
      <c r="VOA24" s="486"/>
      <c r="VOB24" s="486"/>
      <c r="VOC24" s="486"/>
      <c r="VOD24" s="486"/>
      <c r="VOE24" s="486"/>
      <c r="VOF24" s="486"/>
      <c r="VOG24" s="486"/>
      <c r="VOH24" s="486"/>
      <c r="VOI24" s="486"/>
      <c r="VOJ24" s="486"/>
      <c r="VOK24" s="486"/>
      <c r="VOL24" s="486"/>
      <c r="VOM24" s="486"/>
      <c r="VON24" s="486"/>
      <c r="VOO24" s="486"/>
      <c r="VOP24" s="486"/>
      <c r="VOQ24" s="486"/>
      <c r="VOR24" s="486"/>
      <c r="VOS24" s="486"/>
      <c r="VOT24" s="486"/>
      <c r="VOU24" s="486"/>
      <c r="VOV24" s="486"/>
      <c r="VOW24" s="486"/>
      <c r="VOX24" s="486"/>
      <c r="VOY24" s="486"/>
      <c r="VOZ24" s="486"/>
      <c r="VPA24" s="486"/>
      <c r="VPB24" s="486"/>
      <c r="VPC24" s="486"/>
      <c r="VPD24" s="486"/>
      <c r="VPE24" s="486"/>
      <c r="VPF24" s="486"/>
      <c r="VPG24" s="486"/>
      <c r="VPH24" s="486"/>
      <c r="VPI24" s="486"/>
      <c r="VPJ24" s="486"/>
      <c r="VPK24" s="486"/>
      <c r="VPL24" s="486"/>
      <c r="VPM24" s="486"/>
      <c r="VPN24" s="486"/>
      <c r="VPO24" s="486"/>
      <c r="VPP24" s="486"/>
      <c r="VPQ24" s="486"/>
      <c r="VPR24" s="486"/>
      <c r="VPS24" s="486"/>
      <c r="VPT24" s="486"/>
      <c r="VPU24" s="486"/>
      <c r="VPV24" s="486"/>
      <c r="VPW24" s="486"/>
      <c r="VPX24" s="486"/>
      <c r="VPY24" s="486"/>
      <c r="VPZ24" s="486"/>
      <c r="VQA24" s="486"/>
      <c r="VQB24" s="486"/>
      <c r="VQC24" s="486"/>
      <c r="VQD24" s="486"/>
      <c r="VQE24" s="486"/>
      <c r="VQF24" s="486"/>
      <c r="VQG24" s="486"/>
      <c r="VQH24" s="486"/>
      <c r="VQI24" s="486"/>
      <c r="VQJ24" s="486"/>
      <c r="VQK24" s="486"/>
      <c r="VQL24" s="486"/>
      <c r="VQM24" s="486"/>
      <c r="VQN24" s="486"/>
      <c r="VQO24" s="486"/>
      <c r="VQP24" s="486"/>
      <c r="VQQ24" s="486"/>
      <c r="VQR24" s="486"/>
      <c r="VQS24" s="486"/>
      <c r="VQT24" s="486"/>
      <c r="VQU24" s="486"/>
      <c r="VQV24" s="486"/>
      <c r="VQW24" s="486"/>
      <c r="VQX24" s="486"/>
      <c r="VQY24" s="486"/>
      <c r="VQZ24" s="486"/>
      <c r="VRA24" s="486"/>
      <c r="VRB24" s="486"/>
      <c r="VRC24" s="486"/>
      <c r="VRD24" s="486"/>
      <c r="VRE24" s="486"/>
      <c r="VRF24" s="486"/>
      <c r="VRG24" s="486"/>
      <c r="VRH24" s="486"/>
      <c r="VRI24" s="486"/>
      <c r="VRJ24" s="486"/>
      <c r="VRK24" s="486"/>
      <c r="VRL24" s="486"/>
      <c r="VRM24" s="486"/>
      <c r="VRN24" s="486"/>
      <c r="VRO24" s="486"/>
      <c r="VRP24" s="486"/>
      <c r="VRQ24" s="486"/>
      <c r="VRR24" s="486"/>
      <c r="VRS24" s="486"/>
      <c r="VRT24" s="486"/>
      <c r="VRU24" s="486"/>
      <c r="VRV24" s="486"/>
      <c r="VRW24" s="486"/>
      <c r="VRX24" s="486"/>
      <c r="VRY24" s="486"/>
      <c r="VRZ24" s="486"/>
      <c r="VSA24" s="486"/>
      <c r="VSB24" s="486"/>
      <c r="VSC24" s="486"/>
      <c r="VSD24" s="486"/>
      <c r="VSE24" s="486"/>
      <c r="VSF24" s="486"/>
      <c r="VSG24" s="486"/>
      <c r="VSH24" s="486"/>
      <c r="VSI24" s="486"/>
      <c r="VSJ24" s="486"/>
      <c r="VSK24" s="486"/>
      <c r="VSL24" s="486"/>
      <c r="VSM24" s="486"/>
      <c r="VSN24" s="486"/>
      <c r="VSO24" s="486"/>
      <c r="VSP24" s="486"/>
      <c r="VSQ24" s="486"/>
      <c r="VSR24" s="486"/>
      <c r="VSS24" s="486"/>
      <c r="VST24" s="486"/>
      <c r="VSU24" s="486"/>
      <c r="VSV24" s="486"/>
      <c r="VSW24" s="486"/>
      <c r="VSX24" s="486"/>
      <c r="VSY24" s="486"/>
      <c r="VSZ24" s="486"/>
      <c r="VTA24" s="486"/>
      <c r="VTB24" s="486"/>
      <c r="VTC24" s="486"/>
      <c r="VTD24" s="486"/>
      <c r="VTE24" s="486"/>
      <c r="VTF24" s="486"/>
      <c r="VTG24" s="486"/>
      <c r="VTH24" s="486"/>
      <c r="VTI24" s="486"/>
      <c r="VTJ24" s="486"/>
      <c r="VTK24" s="486"/>
      <c r="VTL24" s="486"/>
      <c r="VTM24" s="486"/>
      <c r="VTN24" s="486"/>
      <c r="VTO24" s="486"/>
      <c r="VTP24" s="486"/>
      <c r="VTQ24" s="486"/>
      <c r="VTR24" s="486"/>
      <c r="VTS24" s="486"/>
      <c r="VTT24" s="486"/>
      <c r="VTU24" s="486"/>
      <c r="VTV24" s="486"/>
      <c r="VTW24" s="486"/>
      <c r="VTX24" s="486"/>
      <c r="VTY24" s="486"/>
      <c r="VTZ24" s="486"/>
      <c r="VUA24" s="486"/>
      <c r="VUB24" s="486"/>
      <c r="VUC24" s="486"/>
      <c r="VUD24" s="486"/>
      <c r="VUE24" s="486"/>
      <c r="VUF24" s="486"/>
      <c r="VUG24" s="486"/>
      <c r="VUH24" s="486"/>
      <c r="VUI24" s="486"/>
      <c r="VUJ24" s="486"/>
      <c r="VUK24" s="486"/>
      <c r="VUL24" s="486"/>
      <c r="VUM24" s="486"/>
      <c r="VUN24" s="486"/>
      <c r="VUO24" s="486"/>
      <c r="VUP24" s="486"/>
      <c r="VUQ24" s="486"/>
      <c r="VUR24" s="486"/>
      <c r="VUS24" s="486"/>
      <c r="VUT24" s="486"/>
      <c r="VUU24" s="486"/>
      <c r="VUV24" s="486"/>
      <c r="VUW24" s="486"/>
      <c r="VUX24" s="486"/>
      <c r="VUY24" s="486"/>
      <c r="VUZ24" s="486"/>
      <c r="VVA24" s="486"/>
      <c r="VVB24" s="486"/>
      <c r="VVC24" s="486"/>
      <c r="VVD24" s="486"/>
      <c r="VVE24" s="486"/>
      <c r="VVF24" s="486"/>
      <c r="VVG24" s="486"/>
      <c r="VVH24" s="486"/>
      <c r="VVI24" s="486"/>
      <c r="VVJ24" s="486"/>
      <c r="VVK24" s="486"/>
      <c r="VVL24" s="486"/>
      <c r="VVM24" s="486"/>
      <c r="VVN24" s="486"/>
      <c r="VVO24" s="486"/>
      <c r="VVP24" s="486"/>
      <c r="VVQ24" s="486"/>
      <c r="VVR24" s="486"/>
      <c r="VVS24" s="486"/>
      <c r="VVT24" s="486"/>
      <c r="VVU24" s="486"/>
      <c r="VVV24" s="486"/>
      <c r="VVW24" s="486"/>
      <c r="VVX24" s="486"/>
      <c r="VVY24" s="486"/>
      <c r="VVZ24" s="486"/>
      <c r="VWA24" s="486"/>
      <c r="VWB24" s="486"/>
      <c r="VWC24" s="486"/>
      <c r="VWD24" s="486"/>
      <c r="VWE24" s="486"/>
      <c r="VWF24" s="486"/>
      <c r="VWG24" s="486"/>
      <c r="VWH24" s="486"/>
      <c r="VWI24" s="486"/>
      <c r="VWJ24" s="486"/>
      <c r="VWK24" s="486"/>
      <c r="VWL24" s="486"/>
      <c r="VWM24" s="486"/>
      <c r="VWN24" s="486"/>
      <c r="VWO24" s="486"/>
      <c r="VWP24" s="486"/>
      <c r="VWQ24" s="486"/>
      <c r="VWR24" s="486"/>
      <c r="VWS24" s="486"/>
      <c r="VWT24" s="486"/>
      <c r="VWU24" s="486"/>
      <c r="VWV24" s="486"/>
      <c r="VWW24" s="486"/>
      <c r="VWX24" s="486"/>
      <c r="VWY24" s="486"/>
      <c r="VWZ24" s="486"/>
      <c r="VXA24" s="486"/>
      <c r="VXB24" s="486"/>
      <c r="VXC24" s="486"/>
      <c r="VXD24" s="486"/>
      <c r="VXE24" s="486"/>
      <c r="VXF24" s="486"/>
      <c r="VXG24" s="486"/>
      <c r="VXH24" s="486"/>
      <c r="VXI24" s="486"/>
      <c r="VXJ24" s="486"/>
      <c r="VXK24" s="486"/>
      <c r="VXL24" s="486"/>
      <c r="VXM24" s="486"/>
      <c r="VXN24" s="486"/>
      <c r="VXO24" s="486"/>
      <c r="VXP24" s="486"/>
      <c r="VXQ24" s="486"/>
      <c r="VXR24" s="486"/>
      <c r="VXS24" s="486"/>
      <c r="VXT24" s="486"/>
      <c r="VXU24" s="486"/>
      <c r="VXV24" s="486"/>
      <c r="VXW24" s="486"/>
      <c r="VXX24" s="486"/>
      <c r="VXY24" s="486"/>
      <c r="VXZ24" s="486"/>
      <c r="VYA24" s="486"/>
      <c r="VYB24" s="486"/>
      <c r="VYC24" s="486"/>
      <c r="VYD24" s="486"/>
      <c r="VYE24" s="486"/>
      <c r="VYF24" s="486"/>
      <c r="VYG24" s="486"/>
      <c r="VYH24" s="486"/>
      <c r="VYI24" s="486"/>
      <c r="VYJ24" s="486"/>
      <c r="VYK24" s="486"/>
      <c r="VYL24" s="486"/>
      <c r="VYM24" s="486"/>
      <c r="VYN24" s="486"/>
      <c r="VYO24" s="486"/>
      <c r="VYP24" s="486"/>
      <c r="VYQ24" s="486"/>
      <c r="VYR24" s="486"/>
      <c r="VYS24" s="486"/>
      <c r="VYT24" s="486"/>
      <c r="VYU24" s="486"/>
      <c r="VYV24" s="486"/>
      <c r="VYW24" s="486"/>
      <c r="VYX24" s="486"/>
      <c r="VYY24" s="486"/>
      <c r="VYZ24" s="486"/>
      <c r="VZA24" s="486"/>
      <c r="VZB24" s="486"/>
      <c r="VZC24" s="486"/>
      <c r="VZD24" s="486"/>
      <c r="VZE24" s="486"/>
      <c r="VZF24" s="486"/>
      <c r="VZG24" s="486"/>
      <c r="VZH24" s="486"/>
      <c r="VZI24" s="486"/>
      <c r="VZJ24" s="486"/>
      <c r="VZK24" s="486"/>
      <c r="VZL24" s="486"/>
      <c r="VZM24" s="486"/>
      <c r="VZN24" s="486"/>
      <c r="VZO24" s="486"/>
      <c r="VZP24" s="486"/>
      <c r="VZQ24" s="486"/>
      <c r="VZR24" s="486"/>
      <c r="VZS24" s="486"/>
      <c r="VZT24" s="486"/>
      <c r="VZU24" s="486"/>
      <c r="VZV24" s="486"/>
      <c r="VZW24" s="486"/>
      <c r="VZX24" s="486"/>
      <c r="VZY24" s="486"/>
      <c r="VZZ24" s="486"/>
      <c r="WAA24" s="486"/>
      <c r="WAB24" s="486"/>
      <c r="WAC24" s="486"/>
      <c r="WAD24" s="486"/>
      <c r="WAE24" s="486"/>
      <c r="WAF24" s="486"/>
      <c r="WAG24" s="486"/>
      <c r="WAH24" s="486"/>
      <c r="WAI24" s="486"/>
      <c r="WAJ24" s="486"/>
      <c r="WAK24" s="486"/>
      <c r="WAL24" s="486"/>
      <c r="WAM24" s="486"/>
      <c r="WAN24" s="486"/>
      <c r="WAO24" s="486"/>
      <c r="WAP24" s="486"/>
      <c r="WAQ24" s="486"/>
      <c r="WAR24" s="486"/>
      <c r="WAS24" s="486"/>
      <c r="WAT24" s="486"/>
      <c r="WAU24" s="486"/>
      <c r="WAV24" s="486"/>
      <c r="WAW24" s="486"/>
      <c r="WAX24" s="486"/>
      <c r="WAY24" s="486"/>
      <c r="WAZ24" s="486"/>
      <c r="WBA24" s="486"/>
      <c r="WBB24" s="486"/>
      <c r="WBC24" s="486"/>
      <c r="WBD24" s="486"/>
      <c r="WBE24" s="486"/>
      <c r="WBF24" s="486"/>
      <c r="WBG24" s="486"/>
      <c r="WBH24" s="486"/>
      <c r="WBI24" s="486"/>
      <c r="WBJ24" s="486"/>
      <c r="WBK24" s="486"/>
      <c r="WBL24" s="486"/>
      <c r="WBM24" s="486"/>
      <c r="WBN24" s="486"/>
      <c r="WBO24" s="486"/>
      <c r="WBP24" s="486"/>
      <c r="WBQ24" s="486"/>
      <c r="WBR24" s="486"/>
      <c r="WBS24" s="486"/>
      <c r="WBT24" s="486"/>
      <c r="WBU24" s="486"/>
      <c r="WBV24" s="486"/>
      <c r="WBW24" s="486"/>
      <c r="WBX24" s="486"/>
      <c r="WBY24" s="486"/>
      <c r="WBZ24" s="486"/>
      <c r="WCA24" s="486"/>
      <c r="WCB24" s="486"/>
      <c r="WCC24" s="486"/>
      <c r="WCD24" s="486"/>
      <c r="WCE24" s="486"/>
      <c r="WCF24" s="486"/>
      <c r="WCG24" s="486"/>
      <c r="WCH24" s="486"/>
      <c r="WCI24" s="486"/>
      <c r="WCJ24" s="486"/>
      <c r="WCK24" s="486"/>
      <c r="WCL24" s="486"/>
      <c r="WCM24" s="486"/>
      <c r="WCN24" s="486"/>
      <c r="WCO24" s="486"/>
      <c r="WCP24" s="486"/>
      <c r="WCQ24" s="486"/>
      <c r="WCR24" s="486"/>
      <c r="WCS24" s="486"/>
      <c r="WCT24" s="486"/>
      <c r="WCU24" s="486"/>
      <c r="WCV24" s="486"/>
      <c r="WCW24" s="486"/>
      <c r="WCX24" s="486"/>
      <c r="WCY24" s="486"/>
      <c r="WCZ24" s="486"/>
      <c r="WDA24" s="486"/>
      <c r="WDB24" s="486"/>
      <c r="WDC24" s="486"/>
      <c r="WDD24" s="486"/>
      <c r="WDE24" s="486"/>
      <c r="WDF24" s="486"/>
      <c r="WDG24" s="486"/>
      <c r="WDH24" s="486"/>
      <c r="WDI24" s="486"/>
      <c r="WDJ24" s="486"/>
      <c r="WDK24" s="486"/>
      <c r="WDL24" s="486"/>
      <c r="WDM24" s="486"/>
      <c r="WDN24" s="486"/>
      <c r="WDO24" s="486"/>
      <c r="WDP24" s="486"/>
      <c r="WDQ24" s="486"/>
      <c r="WDR24" s="486"/>
      <c r="WDS24" s="486"/>
      <c r="WDT24" s="486"/>
      <c r="WDU24" s="486"/>
      <c r="WDV24" s="486"/>
      <c r="WDW24" s="486"/>
      <c r="WDX24" s="486"/>
      <c r="WDY24" s="486"/>
      <c r="WDZ24" s="486"/>
      <c r="WEA24" s="486"/>
      <c r="WEB24" s="486"/>
      <c r="WEC24" s="486"/>
      <c r="WED24" s="486"/>
      <c r="WEE24" s="486"/>
      <c r="WEF24" s="486"/>
      <c r="WEG24" s="486"/>
      <c r="WEH24" s="486"/>
      <c r="WEI24" s="486"/>
      <c r="WEJ24" s="486"/>
      <c r="WEK24" s="486"/>
      <c r="WEL24" s="486"/>
      <c r="WEM24" s="486"/>
      <c r="WEN24" s="486"/>
      <c r="WEO24" s="486"/>
      <c r="WEP24" s="486"/>
      <c r="WEQ24" s="486"/>
      <c r="WER24" s="486"/>
      <c r="WES24" s="486"/>
      <c r="WET24" s="486"/>
      <c r="WEU24" s="486"/>
      <c r="WEV24" s="486"/>
      <c r="WEW24" s="486"/>
      <c r="WEX24" s="486"/>
      <c r="WEY24" s="486"/>
      <c r="WEZ24" s="486"/>
      <c r="WFA24" s="486"/>
      <c r="WFB24" s="486"/>
      <c r="WFC24" s="486"/>
      <c r="WFD24" s="486"/>
      <c r="WFE24" s="486"/>
      <c r="WFF24" s="486"/>
      <c r="WFG24" s="486"/>
      <c r="WFH24" s="486"/>
      <c r="WFI24" s="486"/>
      <c r="WFJ24" s="486"/>
      <c r="WFK24" s="486"/>
      <c r="WFL24" s="486"/>
      <c r="WFM24" s="486"/>
      <c r="WFN24" s="486"/>
      <c r="WFO24" s="486"/>
      <c r="WFP24" s="486"/>
      <c r="WFQ24" s="486"/>
      <c r="WFR24" s="486"/>
      <c r="WFS24" s="486"/>
      <c r="WFT24" s="486"/>
      <c r="WFU24" s="486"/>
      <c r="WFV24" s="486"/>
      <c r="WFW24" s="486"/>
      <c r="WFX24" s="486"/>
      <c r="WFY24" s="486"/>
      <c r="WFZ24" s="486"/>
      <c r="WGA24" s="486"/>
      <c r="WGB24" s="486"/>
      <c r="WGC24" s="486"/>
      <c r="WGD24" s="486"/>
      <c r="WGE24" s="486"/>
      <c r="WGF24" s="486"/>
      <c r="WGG24" s="486"/>
      <c r="WGH24" s="486"/>
      <c r="WGI24" s="486"/>
      <c r="WGJ24" s="486"/>
      <c r="WGK24" s="486"/>
      <c r="WGL24" s="486"/>
      <c r="WGM24" s="486"/>
      <c r="WGN24" s="486"/>
      <c r="WGO24" s="486"/>
      <c r="WGP24" s="486"/>
      <c r="WGQ24" s="486"/>
      <c r="WGR24" s="486"/>
      <c r="WGS24" s="486"/>
      <c r="WGT24" s="486"/>
      <c r="WGU24" s="486"/>
      <c r="WGV24" s="486"/>
      <c r="WGW24" s="486"/>
      <c r="WGX24" s="486"/>
      <c r="WGY24" s="486"/>
      <c r="WGZ24" s="486"/>
      <c r="WHA24" s="486"/>
      <c r="WHB24" s="486"/>
      <c r="WHC24" s="486"/>
      <c r="WHD24" s="486"/>
      <c r="WHE24" s="486"/>
      <c r="WHF24" s="486"/>
      <c r="WHG24" s="486"/>
      <c r="WHH24" s="486"/>
      <c r="WHI24" s="486"/>
      <c r="WHJ24" s="486"/>
      <c r="WHK24" s="486"/>
      <c r="WHL24" s="486"/>
      <c r="WHM24" s="486"/>
      <c r="WHN24" s="486"/>
      <c r="WHO24" s="486"/>
      <c r="WHP24" s="486"/>
      <c r="WHQ24" s="486"/>
      <c r="WHR24" s="486"/>
      <c r="WHS24" s="486"/>
      <c r="WHT24" s="486"/>
      <c r="WHU24" s="486"/>
      <c r="WHV24" s="486"/>
      <c r="WHW24" s="486"/>
      <c r="WHX24" s="486"/>
      <c r="WHY24" s="486"/>
      <c r="WHZ24" s="486"/>
      <c r="WIA24" s="486"/>
      <c r="WIB24" s="486"/>
      <c r="WIC24" s="486"/>
      <c r="WID24" s="486"/>
      <c r="WIE24" s="486"/>
      <c r="WIF24" s="486"/>
      <c r="WIG24" s="486"/>
      <c r="WIH24" s="486"/>
      <c r="WII24" s="486"/>
      <c r="WIJ24" s="486"/>
      <c r="WIK24" s="486"/>
      <c r="WIL24" s="486"/>
      <c r="WIM24" s="486"/>
      <c r="WIN24" s="486"/>
      <c r="WIO24" s="486"/>
      <c r="WIP24" s="486"/>
      <c r="WIQ24" s="486"/>
      <c r="WIR24" s="486"/>
      <c r="WIS24" s="486"/>
      <c r="WIT24" s="486"/>
      <c r="WIU24" s="486"/>
      <c r="WIV24" s="486"/>
      <c r="WIW24" s="486"/>
      <c r="WIX24" s="486"/>
      <c r="WIY24" s="486"/>
      <c r="WIZ24" s="486"/>
      <c r="WJA24" s="486"/>
      <c r="WJB24" s="486"/>
      <c r="WJC24" s="486"/>
      <c r="WJD24" s="486"/>
      <c r="WJE24" s="486"/>
      <c r="WJF24" s="486"/>
      <c r="WJG24" s="486"/>
      <c r="WJH24" s="486"/>
      <c r="WJI24" s="486"/>
      <c r="WJJ24" s="486"/>
      <c r="WJK24" s="486"/>
      <c r="WJL24" s="486"/>
      <c r="WJM24" s="486"/>
      <c r="WJN24" s="486"/>
      <c r="WJO24" s="486"/>
      <c r="WJP24" s="486"/>
      <c r="WJQ24" s="486"/>
      <c r="WJR24" s="486"/>
      <c r="WJS24" s="486"/>
      <c r="WJT24" s="486"/>
      <c r="WJU24" s="486"/>
      <c r="WJV24" s="486"/>
      <c r="WJW24" s="486"/>
      <c r="WJX24" s="486"/>
      <c r="WJY24" s="486"/>
      <c r="WJZ24" s="486"/>
      <c r="WKA24" s="486"/>
      <c r="WKB24" s="486"/>
      <c r="WKC24" s="486"/>
      <c r="WKD24" s="486"/>
      <c r="WKE24" s="486"/>
      <c r="WKF24" s="486"/>
      <c r="WKG24" s="486"/>
      <c r="WKH24" s="486"/>
      <c r="WKI24" s="486"/>
      <c r="WKJ24" s="486"/>
      <c r="WKK24" s="486"/>
      <c r="WKL24" s="486"/>
      <c r="WKM24" s="486"/>
      <c r="WKN24" s="486"/>
      <c r="WKO24" s="486"/>
      <c r="WKP24" s="486"/>
      <c r="WKQ24" s="486"/>
      <c r="WKR24" s="486"/>
      <c r="WKS24" s="486"/>
      <c r="WKT24" s="486"/>
      <c r="WKU24" s="486"/>
      <c r="WKV24" s="486"/>
      <c r="WKW24" s="486"/>
      <c r="WKX24" s="486"/>
      <c r="WKY24" s="486"/>
      <c r="WKZ24" s="486"/>
      <c r="WLA24" s="486"/>
      <c r="WLB24" s="486"/>
      <c r="WLC24" s="486"/>
      <c r="WLD24" s="486"/>
      <c r="WLE24" s="486"/>
      <c r="WLF24" s="486"/>
      <c r="WLG24" s="486"/>
      <c r="WLH24" s="486"/>
      <c r="WLI24" s="486"/>
      <c r="WLJ24" s="486"/>
      <c r="WLK24" s="486"/>
      <c r="WLL24" s="486"/>
      <c r="WLM24" s="486"/>
      <c r="WLN24" s="486"/>
      <c r="WLO24" s="486"/>
      <c r="WLP24" s="486"/>
      <c r="WLQ24" s="486"/>
      <c r="WLR24" s="486"/>
      <c r="WLS24" s="486"/>
      <c r="WLT24" s="486"/>
      <c r="WLU24" s="486"/>
      <c r="WLV24" s="486"/>
      <c r="WLW24" s="486"/>
      <c r="WLX24" s="486"/>
      <c r="WLY24" s="486"/>
      <c r="WLZ24" s="486"/>
      <c r="WMA24" s="486"/>
      <c r="WMB24" s="486"/>
      <c r="WMC24" s="486"/>
      <c r="WMD24" s="486"/>
      <c r="WME24" s="486"/>
      <c r="WMF24" s="486"/>
      <c r="WMG24" s="486"/>
      <c r="WMH24" s="486"/>
      <c r="WMI24" s="486"/>
      <c r="WMJ24" s="486"/>
      <c r="WMK24" s="486"/>
      <c r="WML24" s="486"/>
      <c r="WMM24" s="486"/>
      <c r="WMN24" s="486"/>
      <c r="WMO24" s="486"/>
      <c r="WMP24" s="486"/>
      <c r="WMQ24" s="486"/>
      <c r="WMR24" s="486"/>
      <c r="WMS24" s="486"/>
      <c r="WMT24" s="486"/>
      <c r="WMU24" s="486"/>
      <c r="WMV24" s="486"/>
      <c r="WMW24" s="486"/>
      <c r="WMX24" s="486"/>
      <c r="WMY24" s="486"/>
      <c r="WMZ24" s="486"/>
      <c r="WNA24" s="486"/>
      <c r="WNB24" s="486"/>
      <c r="WNC24" s="486"/>
      <c r="WND24" s="486"/>
      <c r="WNE24" s="486"/>
      <c r="WNF24" s="486"/>
      <c r="WNG24" s="486"/>
      <c r="WNH24" s="486"/>
      <c r="WNI24" s="486"/>
      <c r="WNJ24" s="486"/>
      <c r="WNK24" s="486"/>
      <c r="WNL24" s="486"/>
      <c r="WNM24" s="486"/>
      <c r="WNN24" s="486"/>
      <c r="WNO24" s="486"/>
      <c r="WNP24" s="486"/>
      <c r="WNQ24" s="486"/>
      <c r="WNR24" s="486"/>
      <c r="WNS24" s="486"/>
      <c r="WNT24" s="486"/>
      <c r="WNU24" s="486"/>
      <c r="WNV24" s="486"/>
      <c r="WNW24" s="486"/>
      <c r="WNX24" s="486"/>
      <c r="WNY24" s="486"/>
      <c r="WNZ24" s="486"/>
      <c r="WOA24" s="486"/>
      <c r="WOB24" s="486"/>
      <c r="WOC24" s="486"/>
      <c r="WOD24" s="486"/>
      <c r="WOE24" s="486"/>
      <c r="WOF24" s="486"/>
      <c r="WOG24" s="486"/>
      <c r="WOH24" s="486"/>
      <c r="WOI24" s="486"/>
      <c r="WOJ24" s="486"/>
      <c r="WOK24" s="486"/>
      <c r="WOL24" s="486"/>
      <c r="WOM24" s="486"/>
      <c r="WON24" s="486"/>
      <c r="WOO24" s="486"/>
      <c r="WOP24" s="486"/>
      <c r="WOQ24" s="486"/>
      <c r="WOR24" s="486"/>
      <c r="WOS24" s="486"/>
      <c r="WOT24" s="486"/>
      <c r="WOU24" s="486"/>
      <c r="WOV24" s="486"/>
      <c r="WOW24" s="486"/>
      <c r="WOX24" s="486"/>
      <c r="WOY24" s="486"/>
      <c r="WOZ24" s="486"/>
      <c r="WPA24" s="486"/>
      <c r="WPB24" s="486"/>
      <c r="WPC24" s="486"/>
      <c r="WPD24" s="486"/>
      <c r="WPE24" s="486"/>
      <c r="WPF24" s="486"/>
      <c r="WPG24" s="486"/>
      <c r="WPH24" s="486"/>
      <c r="WPI24" s="486"/>
      <c r="WPJ24" s="486"/>
      <c r="WPK24" s="486"/>
      <c r="WPL24" s="486"/>
      <c r="WPM24" s="486"/>
      <c r="WPN24" s="486"/>
      <c r="WPO24" s="486"/>
      <c r="WPP24" s="486"/>
      <c r="WPQ24" s="486"/>
      <c r="WPR24" s="486"/>
      <c r="WPS24" s="486"/>
      <c r="WPT24" s="486"/>
      <c r="WPU24" s="486"/>
      <c r="WPV24" s="486"/>
      <c r="WPW24" s="486"/>
      <c r="WPX24" s="486"/>
      <c r="WPY24" s="486"/>
      <c r="WPZ24" s="486"/>
      <c r="WQA24" s="486"/>
      <c r="WQB24" s="486"/>
      <c r="WQC24" s="486"/>
      <c r="WQD24" s="486"/>
      <c r="WQE24" s="486"/>
      <c r="WQF24" s="486"/>
      <c r="WQG24" s="486"/>
      <c r="WQH24" s="486"/>
      <c r="WQI24" s="486"/>
      <c r="WQJ24" s="486"/>
      <c r="WQK24" s="486"/>
      <c r="WQL24" s="486"/>
      <c r="WQM24" s="486"/>
      <c r="WQN24" s="486"/>
      <c r="WQO24" s="486"/>
      <c r="WQP24" s="486"/>
      <c r="WQQ24" s="486"/>
      <c r="WQR24" s="486"/>
      <c r="WQS24" s="486"/>
      <c r="WQT24" s="486"/>
      <c r="WQU24" s="486"/>
      <c r="WQV24" s="486"/>
      <c r="WQW24" s="486"/>
      <c r="WQX24" s="486"/>
      <c r="WQY24" s="486"/>
      <c r="WQZ24" s="486"/>
      <c r="WRA24" s="486"/>
      <c r="WRB24" s="486"/>
      <c r="WRC24" s="486"/>
      <c r="WRD24" s="486"/>
      <c r="WRE24" s="486"/>
      <c r="WRF24" s="486"/>
      <c r="WRG24" s="486"/>
      <c r="WRH24" s="486"/>
      <c r="WRI24" s="486"/>
      <c r="WRJ24" s="486"/>
      <c r="WRK24" s="486"/>
      <c r="WRL24" s="486"/>
      <c r="WRM24" s="486"/>
      <c r="WRN24" s="486"/>
      <c r="WRO24" s="486"/>
      <c r="WRP24" s="486"/>
      <c r="WRQ24" s="486"/>
      <c r="WRR24" s="486"/>
      <c r="WRS24" s="486"/>
      <c r="WRT24" s="486"/>
      <c r="WRU24" s="486"/>
      <c r="WRV24" s="486"/>
      <c r="WRW24" s="486"/>
      <c r="WRX24" s="486"/>
      <c r="WRY24" s="486"/>
      <c r="WRZ24" s="486"/>
      <c r="WSA24" s="486"/>
      <c r="WSB24" s="486"/>
      <c r="WSC24" s="486"/>
      <c r="WSD24" s="486"/>
      <c r="WSE24" s="486"/>
      <c r="WSF24" s="486"/>
      <c r="WSG24" s="486"/>
      <c r="WSH24" s="486"/>
      <c r="WSI24" s="486"/>
      <c r="WSJ24" s="486"/>
      <c r="WSK24" s="486"/>
      <c r="WSL24" s="486"/>
      <c r="WSM24" s="486"/>
      <c r="WSN24" s="486"/>
      <c r="WSO24" s="486"/>
      <c r="WSP24" s="486"/>
      <c r="WSQ24" s="486"/>
      <c r="WSR24" s="486"/>
      <c r="WSS24" s="486"/>
      <c r="WST24" s="486"/>
      <c r="WSU24" s="486"/>
      <c r="WSV24" s="486"/>
      <c r="WSW24" s="486"/>
      <c r="WSX24" s="486"/>
      <c r="WSY24" s="486"/>
      <c r="WSZ24" s="486"/>
      <c r="WTA24" s="486"/>
      <c r="WTB24" s="486"/>
      <c r="WTC24" s="486"/>
      <c r="WTD24" s="486"/>
      <c r="WTE24" s="486"/>
      <c r="WTF24" s="486"/>
      <c r="WTG24" s="486"/>
      <c r="WTH24" s="486"/>
      <c r="WTI24" s="486"/>
      <c r="WTJ24" s="486"/>
      <c r="WTK24" s="486"/>
      <c r="WTL24" s="486"/>
      <c r="WTM24" s="486"/>
      <c r="WTN24" s="486"/>
      <c r="WTO24" s="486"/>
      <c r="WTP24" s="486"/>
      <c r="WTQ24" s="486"/>
      <c r="WTR24" s="486"/>
      <c r="WTS24" s="486"/>
      <c r="WTT24" s="486"/>
      <c r="WTU24" s="486"/>
      <c r="WTV24" s="486"/>
      <c r="WTW24" s="486"/>
      <c r="WTX24" s="486"/>
      <c r="WTY24" s="486"/>
      <c r="WTZ24" s="486"/>
      <c r="WUA24" s="486"/>
      <c r="WUB24" s="486"/>
      <c r="WUC24" s="486"/>
      <c r="WUD24" s="486"/>
      <c r="WUE24" s="486"/>
      <c r="WUF24" s="486"/>
      <c r="WUG24" s="486"/>
      <c r="WUH24" s="486"/>
      <c r="WUI24" s="486"/>
      <c r="WUJ24" s="486"/>
      <c r="WUK24" s="486"/>
      <c r="WUL24" s="486"/>
      <c r="WUM24" s="486"/>
      <c r="WUN24" s="486"/>
      <c r="WUO24" s="486"/>
      <c r="WUP24" s="486"/>
      <c r="WUQ24" s="486"/>
      <c r="WUR24" s="486"/>
      <c r="WUS24" s="486"/>
      <c r="WUT24" s="486"/>
      <c r="WUU24" s="486"/>
      <c r="WUV24" s="486"/>
      <c r="WUW24" s="486"/>
      <c r="WUX24" s="486"/>
      <c r="WUY24" s="486"/>
      <c r="WUZ24" s="486"/>
      <c r="WVA24" s="486"/>
      <c r="WVB24" s="486"/>
      <c r="WVC24" s="486"/>
      <c r="WVD24" s="486"/>
      <c r="WVE24" s="486"/>
      <c r="WVF24" s="486"/>
      <c r="WVG24" s="486"/>
      <c r="WVH24" s="486"/>
      <c r="WVI24" s="486"/>
      <c r="WVJ24" s="486"/>
      <c r="WVK24" s="486"/>
      <c r="WVL24" s="486"/>
      <c r="WVM24" s="486"/>
      <c r="WVN24" s="486"/>
      <c r="WVO24" s="486"/>
      <c r="WVP24" s="486"/>
      <c r="WVQ24" s="486"/>
      <c r="WVR24" s="486"/>
      <c r="WVS24" s="486"/>
      <c r="WVT24" s="486"/>
      <c r="WVU24" s="486"/>
      <c r="WVV24" s="486"/>
      <c r="WVW24" s="486"/>
      <c r="WVX24" s="486"/>
      <c r="WVY24" s="486"/>
      <c r="WVZ24" s="486"/>
      <c r="WWA24" s="486"/>
      <c r="WWB24" s="486"/>
      <c r="WWC24" s="486"/>
      <c r="WWD24" s="486"/>
      <c r="WWE24" s="486"/>
      <c r="WWF24" s="486"/>
      <c r="WWG24" s="486"/>
      <c r="WWH24" s="486"/>
      <c r="WWI24" s="486"/>
      <c r="WWJ24" s="486"/>
      <c r="WWK24" s="486"/>
      <c r="WWL24" s="486"/>
      <c r="WWM24" s="486"/>
      <c r="WWN24" s="486"/>
      <c r="WWO24" s="486"/>
      <c r="WWP24" s="486"/>
      <c r="WWQ24" s="486"/>
      <c r="WWR24" s="486"/>
      <c r="WWS24" s="486"/>
      <c r="WWT24" s="486"/>
      <c r="WWU24" s="486"/>
      <c r="WWV24" s="486"/>
      <c r="WWW24" s="486"/>
      <c r="WWX24" s="486"/>
      <c r="WWY24" s="486"/>
      <c r="WWZ24" s="486"/>
      <c r="WXA24" s="486"/>
      <c r="WXB24" s="486"/>
      <c r="WXC24" s="486"/>
      <c r="WXD24" s="486"/>
      <c r="WXE24" s="486"/>
      <c r="WXF24" s="486"/>
      <c r="WXG24" s="486"/>
      <c r="WXH24" s="486"/>
      <c r="WXI24" s="486"/>
      <c r="WXJ24" s="486"/>
      <c r="WXK24" s="486"/>
      <c r="WXL24" s="486"/>
      <c r="WXM24" s="486"/>
      <c r="WXN24" s="486"/>
      <c r="WXO24" s="486"/>
      <c r="WXP24" s="486"/>
      <c r="WXQ24" s="486"/>
      <c r="WXR24" s="486"/>
      <c r="WXS24" s="486"/>
      <c r="WXT24" s="486"/>
      <c r="WXU24" s="486"/>
      <c r="WXV24" s="486"/>
      <c r="WXW24" s="486"/>
      <c r="WXX24" s="486"/>
      <c r="WXY24" s="486"/>
      <c r="WXZ24" s="486"/>
      <c r="WYA24" s="486"/>
      <c r="WYB24" s="486"/>
      <c r="WYC24" s="486"/>
      <c r="WYD24" s="486"/>
      <c r="WYE24" s="486"/>
      <c r="WYF24" s="486"/>
      <c r="WYG24" s="486"/>
      <c r="WYH24" s="486"/>
      <c r="WYI24" s="486"/>
      <c r="WYJ24" s="486"/>
      <c r="WYK24" s="486"/>
      <c r="WYL24" s="486"/>
      <c r="WYM24" s="486"/>
      <c r="WYN24" s="486"/>
      <c r="WYO24" s="486"/>
      <c r="WYP24" s="486"/>
      <c r="WYQ24" s="486"/>
      <c r="WYR24" s="486"/>
      <c r="WYS24" s="486"/>
      <c r="WYT24" s="486"/>
      <c r="WYU24" s="486"/>
      <c r="WYV24" s="486"/>
      <c r="WYW24" s="486"/>
      <c r="WYX24" s="486"/>
      <c r="WYY24" s="486"/>
      <c r="WYZ24" s="486"/>
      <c r="WZA24" s="486"/>
      <c r="WZB24" s="486"/>
      <c r="WZC24" s="486"/>
      <c r="WZD24" s="486"/>
      <c r="WZE24" s="486"/>
      <c r="WZF24" s="486"/>
      <c r="WZG24" s="486"/>
      <c r="WZH24" s="486"/>
      <c r="WZI24" s="486"/>
      <c r="WZJ24" s="486"/>
      <c r="WZK24" s="486"/>
      <c r="WZL24" s="486"/>
      <c r="WZM24" s="486"/>
      <c r="WZN24" s="486"/>
      <c r="WZO24" s="486"/>
      <c r="WZP24" s="486"/>
      <c r="WZQ24" s="486"/>
      <c r="WZR24" s="486"/>
      <c r="WZS24" s="486"/>
      <c r="WZT24" s="486"/>
      <c r="WZU24" s="486"/>
      <c r="WZV24" s="486"/>
      <c r="WZW24" s="486"/>
      <c r="WZX24" s="486"/>
      <c r="WZY24" s="486"/>
      <c r="WZZ24" s="486"/>
      <c r="XAA24" s="486"/>
      <c r="XAB24" s="486"/>
      <c r="XAC24" s="486"/>
      <c r="XAD24" s="486"/>
      <c r="XAE24" s="486"/>
      <c r="XAF24" s="486"/>
      <c r="XAG24" s="486"/>
      <c r="XAH24" s="486"/>
      <c r="XAI24" s="486"/>
      <c r="XAJ24" s="486"/>
      <c r="XAK24" s="486"/>
      <c r="XAL24" s="486"/>
      <c r="XAM24" s="486"/>
      <c r="XAN24" s="486"/>
      <c r="XAO24" s="486"/>
      <c r="XAP24" s="486"/>
      <c r="XAQ24" s="486"/>
      <c r="XAR24" s="486"/>
      <c r="XAS24" s="486"/>
      <c r="XAT24" s="486"/>
      <c r="XAU24" s="486"/>
      <c r="XAV24" s="486"/>
      <c r="XAW24" s="486"/>
      <c r="XAX24" s="486"/>
      <c r="XAY24" s="486"/>
      <c r="XAZ24" s="486"/>
      <c r="XBA24" s="486"/>
      <c r="XBB24" s="486"/>
      <c r="XBC24" s="486"/>
      <c r="XBD24" s="486"/>
      <c r="XBE24" s="486"/>
      <c r="XBF24" s="486"/>
      <c r="XBG24" s="486"/>
      <c r="XBH24" s="486"/>
      <c r="XBI24" s="486"/>
      <c r="XBJ24" s="486"/>
      <c r="XBK24" s="486"/>
      <c r="XBL24" s="486"/>
      <c r="XBM24" s="486"/>
      <c r="XBN24" s="486"/>
      <c r="XBO24" s="486"/>
      <c r="XBP24" s="486"/>
      <c r="XBQ24" s="486"/>
      <c r="XBR24" s="486"/>
      <c r="XBS24" s="486"/>
      <c r="XBT24" s="486"/>
      <c r="XBU24" s="486"/>
      <c r="XBV24" s="486"/>
      <c r="XBW24" s="486"/>
      <c r="XBX24" s="486"/>
      <c r="XBY24" s="486"/>
      <c r="XBZ24" s="486"/>
      <c r="XCA24" s="486"/>
      <c r="XCB24" s="486"/>
      <c r="XCC24" s="486"/>
      <c r="XCD24" s="486"/>
      <c r="XCE24" s="486"/>
      <c r="XCF24" s="486"/>
      <c r="XCG24" s="486"/>
      <c r="XCH24" s="486"/>
      <c r="XCI24" s="486"/>
      <c r="XCJ24" s="486"/>
      <c r="XCK24" s="486"/>
      <c r="XCL24" s="486"/>
      <c r="XCM24" s="486"/>
      <c r="XCN24" s="486"/>
      <c r="XCO24" s="486"/>
      <c r="XCP24" s="486"/>
      <c r="XCQ24" s="486"/>
      <c r="XCR24" s="486"/>
      <c r="XCS24" s="486"/>
      <c r="XCT24" s="486"/>
      <c r="XCU24" s="486"/>
      <c r="XCV24" s="486"/>
      <c r="XCW24" s="486"/>
      <c r="XCX24" s="486"/>
      <c r="XCY24" s="486"/>
      <c r="XCZ24" s="486"/>
      <c r="XDA24" s="486"/>
      <c r="XDB24" s="486"/>
      <c r="XDC24" s="486"/>
      <c r="XDD24" s="486"/>
      <c r="XDE24" s="486"/>
      <c r="XDF24" s="486"/>
      <c r="XDG24" s="486"/>
      <c r="XDH24" s="486"/>
      <c r="XDI24" s="486"/>
      <c r="XDJ24" s="486"/>
      <c r="XDK24" s="486"/>
      <c r="XDL24" s="486"/>
      <c r="XDM24" s="486"/>
      <c r="XDN24" s="486"/>
      <c r="XDO24" s="486"/>
      <c r="XDP24" s="486"/>
      <c r="XDQ24" s="486"/>
      <c r="XDR24" s="486"/>
      <c r="XDS24" s="486"/>
      <c r="XDT24" s="486"/>
      <c r="XDU24" s="486"/>
      <c r="XDV24" s="486"/>
      <c r="XDW24" s="486"/>
      <c r="XDX24" s="486"/>
      <c r="XDY24" s="486"/>
      <c r="XDZ24" s="486"/>
      <c r="XEA24" s="486"/>
      <c r="XEB24" s="486"/>
      <c r="XEC24" s="486"/>
      <c r="XED24" s="486"/>
      <c r="XEE24" s="486"/>
      <c r="XEF24" s="486"/>
      <c r="XEG24" s="486"/>
      <c r="XEH24" s="486"/>
      <c r="XEI24" s="486"/>
      <c r="XEJ24" s="486"/>
      <c r="XEK24" s="486"/>
      <c r="XEL24" s="486"/>
      <c r="XEM24" s="486"/>
      <c r="XEN24" s="486"/>
      <c r="XEO24" s="486"/>
      <c r="XEP24" s="486"/>
      <c r="XEQ24" s="486"/>
      <c r="XER24" s="486"/>
      <c r="XES24" s="486"/>
      <c r="XET24" s="486"/>
      <c r="XEU24" s="486"/>
      <c r="XEV24" s="486"/>
      <c r="XEW24" s="486"/>
      <c r="XEX24" s="486"/>
      <c r="XEY24" s="486"/>
      <c r="XEZ24" s="486"/>
      <c r="XFA24" s="486"/>
      <c r="XFB24" s="486"/>
      <c r="XFC24" s="486"/>
      <c r="XFD24" s="486"/>
    </row>
    <row r="25" customHeight="1" spans="1:16384">
      <c r="A25" s="367">
        <v>21</v>
      </c>
      <c r="B25" s="368" t="s">
        <v>36</v>
      </c>
      <c r="C25" s="369">
        <v>111.6591</v>
      </c>
      <c r="D25" s="369">
        <v>131.6591</v>
      </c>
      <c r="E25" s="369">
        <f t="shared" si="2"/>
        <v>20</v>
      </c>
      <c r="F25" s="369">
        <f t="shared" si="3"/>
        <v>20</v>
      </c>
      <c r="G25" s="369">
        <v>3.59828</v>
      </c>
      <c r="H25" s="369">
        <v>3.348</v>
      </c>
      <c r="I25" s="369">
        <v>2.29828</v>
      </c>
      <c r="J25" s="369">
        <v>1.73674</v>
      </c>
      <c r="K25" s="369">
        <v>3.39828</v>
      </c>
      <c r="L25" s="369">
        <v>2.95311</v>
      </c>
      <c r="M25" s="405">
        <v>1.75</v>
      </c>
      <c r="N25" s="405">
        <v>1.75</v>
      </c>
      <c r="O25" s="406">
        <v>1</v>
      </c>
      <c r="P25" s="369">
        <v>3.39828</v>
      </c>
      <c r="Q25" s="369">
        <v>2.94818</v>
      </c>
      <c r="R25" s="434">
        <v>0.45</v>
      </c>
      <c r="S25" s="434">
        <v>0.45</v>
      </c>
      <c r="T25" s="406">
        <v>0</v>
      </c>
      <c r="U25" s="435">
        <v>3.1</v>
      </c>
      <c r="V25" s="446">
        <v>22.25</v>
      </c>
      <c r="W25" s="437">
        <v>22.25</v>
      </c>
      <c r="X25" s="447"/>
      <c r="Y25" s="447"/>
      <c r="Z25"/>
      <c r="AA25" s="469"/>
      <c r="AB25" s="469"/>
      <c r="AC25" s="472"/>
      <c r="AD25"/>
      <c r="AE25"/>
      <c r="AF25" s="470"/>
      <c r="AG25"/>
      <c r="XFC25" s="342"/>
      <c r="XFD25" s="342"/>
    </row>
    <row r="26" customHeight="1" spans="1:16384">
      <c r="A26" s="367">
        <v>22</v>
      </c>
      <c r="B26" s="368" t="s">
        <v>37</v>
      </c>
      <c r="C26" s="369">
        <v>131.6891</v>
      </c>
      <c r="D26" s="369">
        <v>151.6891</v>
      </c>
      <c r="E26" s="369">
        <f t="shared" si="2"/>
        <v>20</v>
      </c>
      <c r="F26" s="369">
        <f t="shared" si="3"/>
        <v>20</v>
      </c>
      <c r="G26" s="369">
        <v>3.348</v>
      </c>
      <c r="H26" s="369">
        <v>3.348</v>
      </c>
      <c r="I26" s="369">
        <v>1.7359</v>
      </c>
      <c r="J26" s="369">
        <v>1.17435</v>
      </c>
      <c r="K26" s="369">
        <v>2.95236</v>
      </c>
      <c r="L26" s="369">
        <v>2.45236</v>
      </c>
      <c r="M26" s="405">
        <v>1.75</v>
      </c>
      <c r="N26" s="405">
        <v>1.75</v>
      </c>
      <c r="O26" s="406">
        <v>1</v>
      </c>
      <c r="P26" s="369">
        <v>2.94734</v>
      </c>
      <c r="Q26" s="369">
        <v>2.27469</v>
      </c>
      <c r="R26" s="434">
        <v>0.45</v>
      </c>
      <c r="S26" s="434">
        <v>0.45</v>
      </c>
      <c r="T26" s="406">
        <v>0</v>
      </c>
      <c r="U26" s="435">
        <v>3.1</v>
      </c>
      <c r="V26" s="446">
        <v>22.25</v>
      </c>
      <c r="W26" s="437">
        <v>22.25</v>
      </c>
      <c r="X26" s="447"/>
      <c r="Y26" s="447"/>
      <c r="Z26"/>
      <c r="AA26" s="469"/>
      <c r="AB26" s="469"/>
      <c r="AC26" s="472"/>
      <c r="AD26"/>
      <c r="AE26"/>
      <c r="AF26" s="470"/>
      <c r="AG26"/>
      <c r="XFC26" s="342"/>
      <c r="XFD26" s="342"/>
    </row>
    <row r="27" customHeight="1" spans="1:16383">
      <c r="A27" s="367">
        <v>23</v>
      </c>
      <c r="B27" s="368" t="s">
        <v>38</v>
      </c>
      <c r="C27" s="369">
        <v>191.7791</v>
      </c>
      <c r="D27" s="369">
        <v>211.7791</v>
      </c>
      <c r="E27" s="369">
        <f t="shared" si="2"/>
        <v>20</v>
      </c>
      <c r="F27" s="369">
        <f t="shared" si="3"/>
        <v>20</v>
      </c>
      <c r="G27" s="369">
        <v>3.348</v>
      </c>
      <c r="H27" s="369">
        <v>3.348</v>
      </c>
      <c r="I27" s="369">
        <v>-0.40882</v>
      </c>
      <c r="J27" s="369">
        <v>-1.19881</v>
      </c>
      <c r="K27" s="369">
        <v>1.45011</v>
      </c>
      <c r="L27" s="369">
        <v>0.95011</v>
      </c>
      <c r="M27" s="405">
        <v>1.75</v>
      </c>
      <c r="N27" s="405">
        <v>1.75</v>
      </c>
      <c r="O27" s="406">
        <v>0</v>
      </c>
      <c r="P27" s="369">
        <v>0.69122</v>
      </c>
      <c r="Q27" s="369">
        <v>-0.09878</v>
      </c>
      <c r="R27" s="434">
        <v>0.45</v>
      </c>
      <c r="S27" s="434">
        <v>0.45</v>
      </c>
      <c r="T27" s="406">
        <v>0</v>
      </c>
      <c r="U27" s="435">
        <v>3.1</v>
      </c>
      <c r="V27" s="446">
        <v>12.5</v>
      </c>
      <c r="W27" s="437">
        <v>12.5</v>
      </c>
      <c r="X27" s="447"/>
      <c r="Y27" s="447"/>
      <c r="Z27" s="477"/>
      <c r="AA27"/>
      <c r="AB27"/>
      <c r="AD27"/>
      <c r="AE27"/>
      <c r="AF27"/>
      <c r="AG27" s="470"/>
      <c r="AH27"/>
      <c r="XFC27" s="342"/>
    </row>
    <row r="28" customHeight="1" spans="1:16383">
      <c r="A28" s="367">
        <v>24</v>
      </c>
      <c r="B28" s="368" t="s">
        <v>39</v>
      </c>
      <c r="C28" s="369">
        <v>211.8091</v>
      </c>
      <c r="D28" s="369">
        <v>231.8091</v>
      </c>
      <c r="E28" s="369">
        <f t="shared" si="2"/>
        <v>20</v>
      </c>
      <c r="F28" s="369">
        <f t="shared" si="3"/>
        <v>20</v>
      </c>
      <c r="G28" s="369">
        <v>3.348</v>
      </c>
      <c r="H28" s="369">
        <v>3.348</v>
      </c>
      <c r="I28" s="369">
        <v>-1.19999</v>
      </c>
      <c r="J28" s="369">
        <v>-1.98997</v>
      </c>
      <c r="K28" s="369">
        <v>0.94936</v>
      </c>
      <c r="L28" s="369">
        <v>0.44936</v>
      </c>
      <c r="M28" s="405">
        <v>1.75</v>
      </c>
      <c r="N28" s="405">
        <v>1.75</v>
      </c>
      <c r="O28" s="406">
        <v>0</v>
      </c>
      <c r="P28" s="369">
        <v>-0.09997</v>
      </c>
      <c r="Q28" s="369">
        <v>-0.88997</v>
      </c>
      <c r="R28" s="434">
        <v>0.45</v>
      </c>
      <c r="S28" s="434">
        <v>0.45</v>
      </c>
      <c r="T28" s="406">
        <v>0</v>
      </c>
      <c r="U28" s="435">
        <v>3.1</v>
      </c>
      <c r="V28" s="446">
        <v>12.5</v>
      </c>
      <c r="W28" s="437">
        <v>12.5</v>
      </c>
      <c r="X28" s="447"/>
      <c r="Y28" s="447"/>
      <c r="Z28" s="477"/>
      <c r="AA28"/>
      <c r="AB28"/>
      <c r="AD28"/>
      <c r="AE28"/>
      <c r="AF28"/>
      <c r="AG28" s="470"/>
      <c r="AH28"/>
      <c r="XFC28" s="342"/>
    </row>
    <row r="29" customHeight="1" spans="1:16383">
      <c r="A29" s="367">
        <v>25</v>
      </c>
      <c r="B29" s="368" t="s">
        <v>40</v>
      </c>
      <c r="C29" s="369">
        <v>231.8391</v>
      </c>
      <c r="D29" s="369">
        <v>251.8391</v>
      </c>
      <c r="E29" s="369">
        <f t="shared" si="2"/>
        <v>20</v>
      </c>
      <c r="F29" s="369">
        <f t="shared" si="3"/>
        <v>20</v>
      </c>
      <c r="G29" s="369">
        <v>3.348</v>
      </c>
      <c r="H29" s="369">
        <v>3.348</v>
      </c>
      <c r="I29" s="369">
        <v>-1.99116</v>
      </c>
      <c r="J29" s="369">
        <v>-2.78114</v>
      </c>
      <c r="K29" s="369">
        <v>0.44861</v>
      </c>
      <c r="L29" s="369">
        <v>-0.05139</v>
      </c>
      <c r="M29" s="405">
        <v>1.75</v>
      </c>
      <c r="N29" s="405">
        <v>1.75</v>
      </c>
      <c r="O29" s="406">
        <v>0</v>
      </c>
      <c r="P29" s="369">
        <v>-0.89115</v>
      </c>
      <c r="Q29" s="369">
        <v>-1.61791</v>
      </c>
      <c r="R29" s="434">
        <v>0.45</v>
      </c>
      <c r="S29" s="434">
        <v>0.45</v>
      </c>
      <c r="T29" s="406">
        <v>0</v>
      </c>
      <c r="U29" s="435">
        <v>3.1</v>
      </c>
      <c r="V29" s="446">
        <v>12.5</v>
      </c>
      <c r="W29" s="437">
        <v>12.5</v>
      </c>
      <c r="X29" s="447"/>
      <c r="Y29" s="447"/>
      <c r="AA29"/>
      <c r="AB29"/>
      <c r="AD29"/>
      <c r="AE29"/>
      <c r="AF29"/>
      <c r="AG29" s="470"/>
      <c r="AH29"/>
      <c r="XFC29" s="342"/>
    </row>
    <row r="30" customHeight="1" spans="1:16383">
      <c r="A30" s="367">
        <v>26</v>
      </c>
      <c r="B30" s="368" t="s">
        <v>41</v>
      </c>
      <c r="C30" s="369">
        <v>251.8691</v>
      </c>
      <c r="D30" s="369">
        <v>271.8691</v>
      </c>
      <c r="E30" s="369">
        <f t="shared" si="2"/>
        <v>20</v>
      </c>
      <c r="F30" s="369">
        <f t="shared" si="3"/>
        <v>20</v>
      </c>
      <c r="G30" s="369">
        <v>3.348</v>
      </c>
      <c r="H30" s="369">
        <v>3.348</v>
      </c>
      <c r="I30" s="369">
        <v>-2.78233</v>
      </c>
      <c r="J30" s="369">
        <v>-3.34525</v>
      </c>
      <c r="K30" s="369">
        <v>-0.05214</v>
      </c>
      <c r="L30" s="369">
        <v>-0.55214</v>
      </c>
      <c r="M30" s="405">
        <v>1.75</v>
      </c>
      <c r="N30" s="405">
        <v>1.75</v>
      </c>
      <c r="O30" s="406">
        <v>0</v>
      </c>
      <c r="P30" s="369">
        <v>-1.61884</v>
      </c>
      <c r="Q30" s="369">
        <v>-2.12974</v>
      </c>
      <c r="R30" s="434">
        <v>0.45</v>
      </c>
      <c r="S30" s="434">
        <v>0.45</v>
      </c>
      <c r="T30" s="406">
        <v>0</v>
      </c>
      <c r="U30" s="435">
        <v>3.1</v>
      </c>
      <c r="V30" s="446">
        <v>12.5</v>
      </c>
      <c r="W30" s="437">
        <v>12.5</v>
      </c>
      <c r="X30" s="447"/>
      <c r="Y30" s="447"/>
      <c r="AA30"/>
      <c r="AB30"/>
      <c r="AD30"/>
      <c r="AE30"/>
      <c r="AF30"/>
      <c r="AG30" s="470"/>
      <c r="AH30"/>
      <c r="XFC30" s="342"/>
    </row>
    <row r="31" s="344" customFormat="1" customHeight="1" spans="1:16383">
      <c r="A31" s="367">
        <v>27</v>
      </c>
      <c r="B31" s="368" t="s">
        <v>42</v>
      </c>
      <c r="C31" s="370">
        <v>271.8991</v>
      </c>
      <c r="D31" s="370">
        <v>291.8991</v>
      </c>
      <c r="E31" s="370">
        <f t="shared" si="2"/>
        <v>20</v>
      </c>
      <c r="F31" s="370">
        <f t="shared" si="3"/>
        <v>20</v>
      </c>
      <c r="G31" s="370">
        <v>3.348</v>
      </c>
      <c r="H31" s="370">
        <v>3.348</v>
      </c>
      <c r="I31" s="370">
        <v>-3.3461</v>
      </c>
      <c r="J31" s="370">
        <v>-3.90902</v>
      </c>
      <c r="K31" s="370">
        <v>-0.55289</v>
      </c>
      <c r="L31" s="370">
        <v>-0.95704</v>
      </c>
      <c r="M31" s="409">
        <v>1.75</v>
      </c>
      <c r="N31" s="409">
        <v>1.75</v>
      </c>
      <c r="O31" s="410">
        <v>1</v>
      </c>
      <c r="P31" s="370">
        <v>-2.13034</v>
      </c>
      <c r="Q31" s="370">
        <v>-2.41868</v>
      </c>
      <c r="R31" s="448">
        <v>0.45</v>
      </c>
      <c r="S31" s="448">
        <v>0.45</v>
      </c>
      <c r="T31" s="410">
        <v>0</v>
      </c>
      <c r="U31" s="449">
        <v>3.1</v>
      </c>
      <c r="V31" s="436">
        <v>28.29</v>
      </c>
      <c r="W31" s="437">
        <v>22.25</v>
      </c>
      <c r="X31" s="447"/>
      <c r="Y31" s="447"/>
      <c r="Z31" s="478"/>
      <c r="AC31" s="478"/>
      <c r="AG31" s="487"/>
      <c r="AI31" s="478"/>
      <c r="AJ31" s="478"/>
      <c r="AK31" s="478"/>
      <c r="AL31" s="478"/>
      <c r="AM31" s="478"/>
      <c r="AN31" s="478"/>
      <c r="AO31" s="478"/>
      <c r="AP31" s="478"/>
      <c r="AQ31" s="478"/>
      <c r="AR31" s="478"/>
      <c r="AS31" s="478"/>
      <c r="AT31" s="478"/>
      <c r="AU31" s="478"/>
      <c r="AV31" s="478"/>
      <c r="AW31" s="478"/>
      <c r="AX31" s="478"/>
      <c r="AY31" s="478"/>
      <c r="AZ31" s="478"/>
      <c r="BA31" s="478"/>
      <c r="BB31" s="478"/>
      <c r="BC31" s="478"/>
      <c r="BD31" s="478"/>
      <c r="BE31" s="478"/>
      <c r="BF31" s="478"/>
      <c r="BG31" s="478"/>
      <c r="BH31" s="478"/>
      <c r="BI31" s="478"/>
      <c r="BJ31" s="478"/>
      <c r="BK31" s="478"/>
      <c r="BL31" s="478"/>
      <c r="BM31" s="478"/>
      <c r="BN31" s="478"/>
      <c r="BO31" s="478"/>
      <c r="BP31" s="478"/>
      <c r="BQ31" s="478"/>
      <c r="BR31" s="478"/>
      <c r="BS31" s="478"/>
      <c r="BT31" s="478"/>
      <c r="BU31" s="478"/>
      <c r="BV31" s="478"/>
      <c r="BW31" s="478"/>
      <c r="BX31" s="478"/>
      <c r="BY31" s="478"/>
      <c r="BZ31" s="478"/>
      <c r="CA31" s="478"/>
      <c r="CB31" s="478"/>
      <c r="CC31" s="478"/>
      <c r="CD31" s="478"/>
      <c r="CE31" s="478"/>
      <c r="CF31" s="478"/>
      <c r="CG31" s="478"/>
      <c r="CH31" s="478"/>
      <c r="CI31" s="478"/>
      <c r="CJ31" s="478"/>
      <c r="CK31" s="478"/>
      <c r="CL31" s="478"/>
      <c r="CM31" s="478"/>
      <c r="CN31" s="478"/>
      <c r="CO31" s="478"/>
      <c r="CP31" s="478"/>
      <c r="CQ31" s="478"/>
      <c r="CR31" s="478"/>
      <c r="CS31" s="478"/>
      <c r="CT31" s="478"/>
      <c r="CU31" s="478"/>
      <c r="CV31" s="478"/>
      <c r="CW31" s="478"/>
      <c r="CX31" s="478"/>
      <c r="CY31" s="478"/>
      <c r="CZ31" s="478"/>
      <c r="DA31" s="478"/>
      <c r="DB31" s="478"/>
      <c r="DC31" s="478"/>
      <c r="DD31" s="478"/>
      <c r="DE31" s="478"/>
      <c r="DF31" s="478"/>
      <c r="DG31" s="478"/>
      <c r="DH31" s="478"/>
      <c r="DI31" s="478"/>
      <c r="DJ31" s="478"/>
      <c r="DK31" s="478"/>
      <c r="DL31" s="478"/>
      <c r="DM31" s="478"/>
      <c r="DN31" s="478"/>
      <c r="DO31" s="478"/>
      <c r="DP31" s="478"/>
      <c r="DQ31" s="478"/>
      <c r="DR31" s="478"/>
      <c r="DS31" s="478"/>
      <c r="DT31" s="478"/>
      <c r="DU31" s="478"/>
      <c r="DV31" s="478"/>
      <c r="DW31" s="478"/>
      <c r="DX31" s="478"/>
      <c r="DY31" s="478"/>
      <c r="DZ31" s="478"/>
      <c r="EA31" s="478"/>
      <c r="EB31" s="478"/>
      <c r="EC31" s="478"/>
      <c r="ED31" s="478"/>
      <c r="EE31" s="478"/>
      <c r="EF31" s="478"/>
      <c r="EG31" s="478"/>
      <c r="EH31" s="478"/>
      <c r="EI31" s="478"/>
      <c r="EJ31" s="478"/>
      <c r="EK31" s="478"/>
      <c r="EL31" s="478"/>
      <c r="EM31" s="478"/>
      <c r="EN31" s="478"/>
      <c r="EO31" s="478"/>
      <c r="EP31" s="478"/>
      <c r="EQ31" s="478"/>
      <c r="ER31" s="478"/>
      <c r="ES31" s="478"/>
      <c r="ET31" s="478"/>
      <c r="EU31" s="478"/>
      <c r="EV31" s="478"/>
      <c r="EW31" s="478"/>
      <c r="EX31" s="478"/>
      <c r="EY31" s="478"/>
      <c r="EZ31" s="478"/>
      <c r="FA31" s="478"/>
      <c r="FB31" s="478"/>
      <c r="FC31" s="478"/>
      <c r="FD31" s="478"/>
      <c r="FE31" s="478"/>
      <c r="FF31" s="478"/>
      <c r="FG31" s="478"/>
      <c r="FH31" s="478"/>
      <c r="FI31" s="478"/>
      <c r="FJ31" s="478"/>
      <c r="FK31" s="478"/>
      <c r="FL31" s="478"/>
      <c r="FM31" s="478"/>
      <c r="FN31" s="478"/>
      <c r="FO31" s="478"/>
      <c r="FP31" s="478"/>
      <c r="FQ31" s="478"/>
      <c r="FR31" s="478"/>
      <c r="FS31" s="478"/>
      <c r="FT31" s="478"/>
      <c r="FU31" s="478"/>
      <c r="FV31" s="478"/>
      <c r="FW31" s="478"/>
      <c r="FX31" s="478"/>
      <c r="FY31" s="478"/>
      <c r="FZ31" s="478"/>
      <c r="GA31" s="478"/>
      <c r="GB31" s="478"/>
      <c r="GC31" s="478"/>
      <c r="GD31" s="478"/>
      <c r="GE31" s="478"/>
      <c r="GF31" s="478"/>
      <c r="GG31" s="478"/>
      <c r="GH31" s="478"/>
      <c r="GI31" s="478"/>
      <c r="GJ31" s="478"/>
      <c r="GK31" s="478"/>
      <c r="GL31" s="478"/>
      <c r="GM31" s="478"/>
      <c r="GN31" s="478"/>
      <c r="GO31" s="478"/>
      <c r="GP31" s="478"/>
      <c r="GQ31" s="478"/>
      <c r="GR31" s="478"/>
      <c r="GS31" s="478"/>
      <c r="GT31" s="478"/>
      <c r="GU31" s="478"/>
      <c r="GV31" s="478"/>
      <c r="GW31" s="478"/>
      <c r="GX31" s="478"/>
      <c r="GY31" s="478"/>
      <c r="GZ31" s="478"/>
      <c r="HA31" s="478"/>
      <c r="HB31" s="478"/>
      <c r="HC31" s="478"/>
      <c r="HD31" s="478"/>
      <c r="HE31" s="478"/>
      <c r="HF31" s="478"/>
      <c r="HG31" s="478"/>
      <c r="HH31" s="478"/>
      <c r="HI31" s="478"/>
      <c r="HJ31" s="478"/>
      <c r="HK31" s="478"/>
      <c r="HL31" s="478"/>
      <c r="HM31" s="478"/>
      <c r="HN31" s="478"/>
      <c r="HO31" s="478"/>
      <c r="HP31" s="478"/>
      <c r="HQ31" s="478"/>
      <c r="HR31" s="478"/>
      <c r="HS31" s="478"/>
      <c r="HT31" s="478"/>
      <c r="HU31" s="478"/>
      <c r="HV31" s="478"/>
      <c r="HW31" s="478"/>
      <c r="HX31" s="478"/>
      <c r="HY31" s="478"/>
      <c r="HZ31" s="478"/>
      <c r="IA31" s="478"/>
      <c r="IB31" s="478"/>
      <c r="IC31" s="478"/>
      <c r="ID31" s="478"/>
      <c r="IE31" s="478"/>
      <c r="IF31" s="478"/>
      <c r="IG31" s="478"/>
      <c r="IH31" s="478"/>
      <c r="II31" s="478"/>
      <c r="IJ31" s="478"/>
      <c r="IK31" s="478"/>
      <c r="IL31" s="478"/>
      <c r="IM31" s="478"/>
      <c r="IN31" s="478"/>
      <c r="IO31" s="478"/>
      <c r="IP31" s="478"/>
      <c r="IQ31" s="478"/>
      <c r="IR31" s="478"/>
      <c r="IS31" s="478"/>
      <c r="IT31" s="478"/>
      <c r="IU31" s="478"/>
      <c r="IV31" s="478"/>
      <c r="IW31" s="478"/>
      <c r="IX31" s="478"/>
      <c r="IY31" s="478"/>
      <c r="IZ31" s="478"/>
      <c r="JA31" s="478"/>
      <c r="JB31" s="478"/>
      <c r="JC31" s="478"/>
      <c r="JD31" s="478"/>
      <c r="JE31" s="478"/>
      <c r="JF31" s="478"/>
      <c r="JG31" s="478"/>
      <c r="JH31" s="478"/>
      <c r="JI31" s="478"/>
      <c r="JJ31" s="478"/>
      <c r="JK31" s="478"/>
      <c r="JL31" s="478"/>
      <c r="JM31" s="478"/>
      <c r="JN31" s="478"/>
      <c r="JO31" s="478"/>
      <c r="JP31" s="478"/>
      <c r="JQ31" s="478"/>
      <c r="JR31" s="478"/>
      <c r="JS31" s="478"/>
      <c r="JT31" s="478"/>
      <c r="JU31" s="478"/>
      <c r="JV31" s="478"/>
      <c r="JW31" s="478"/>
      <c r="JX31" s="478"/>
      <c r="JY31" s="478"/>
      <c r="JZ31" s="478"/>
      <c r="KA31" s="478"/>
      <c r="KB31" s="478"/>
      <c r="KC31" s="478"/>
      <c r="KD31" s="478"/>
      <c r="KE31" s="478"/>
      <c r="KF31" s="478"/>
      <c r="KG31" s="478"/>
      <c r="KH31" s="478"/>
      <c r="KI31" s="478"/>
      <c r="KJ31" s="478"/>
      <c r="KK31" s="478"/>
      <c r="KL31" s="478"/>
      <c r="KM31" s="478"/>
      <c r="KN31" s="478"/>
      <c r="KO31" s="478"/>
      <c r="KP31" s="478"/>
      <c r="KQ31" s="478"/>
      <c r="KR31" s="478"/>
      <c r="KS31" s="478"/>
      <c r="KT31" s="478"/>
      <c r="KU31" s="478"/>
      <c r="KV31" s="478"/>
      <c r="KW31" s="478"/>
      <c r="KX31" s="478"/>
      <c r="KY31" s="478"/>
      <c r="KZ31" s="478"/>
      <c r="LA31" s="478"/>
      <c r="LB31" s="478"/>
      <c r="LC31" s="478"/>
      <c r="LD31" s="478"/>
      <c r="LE31" s="478"/>
      <c r="LF31" s="478"/>
      <c r="LG31" s="478"/>
      <c r="LH31" s="478"/>
      <c r="LI31" s="478"/>
      <c r="LJ31" s="478"/>
      <c r="LK31" s="478"/>
      <c r="LL31" s="478"/>
      <c r="LM31" s="478"/>
      <c r="LN31" s="478"/>
      <c r="LO31" s="478"/>
      <c r="LP31" s="478"/>
      <c r="LQ31" s="478"/>
      <c r="LR31" s="478"/>
      <c r="LS31" s="478"/>
      <c r="LT31" s="478"/>
      <c r="LU31" s="478"/>
      <c r="LV31" s="478"/>
      <c r="LW31" s="478"/>
      <c r="LX31" s="478"/>
      <c r="LY31" s="478"/>
      <c r="LZ31" s="478"/>
      <c r="MA31" s="478"/>
      <c r="MB31" s="478"/>
      <c r="MC31" s="478"/>
      <c r="MD31" s="478"/>
      <c r="ME31" s="478"/>
      <c r="MF31" s="478"/>
      <c r="MG31" s="478"/>
      <c r="MH31" s="478"/>
      <c r="MI31" s="478"/>
      <c r="MJ31" s="478"/>
      <c r="MK31" s="478"/>
      <c r="ML31" s="478"/>
      <c r="MM31" s="478"/>
      <c r="MN31" s="478"/>
      <c r="MO31" s="478"/>
      <c r="MP31" s="478"/>
      <c r="MQ31" s="478"/>
      <c r="MR31" s="478"/>
      <c r="MS31" s="478"/>
      <c r="MT31" s="478"/>
      <c r="MU31" s="478"/>
      <c r="MV31" s="478"/>
      <c r="MW31" s="478"/>
      <c r="MX31" s="478"/>
      <c r="MY31" s="478"/>
      <c r="MZ31" s="478"/>
      <c r="NA31" s="478"/>
      <c r="NB31" s="478"/>
      <c r="NC31" s="478"/>
      <c r="ND31" s="478"/>
      <c r="NE31" s="478"/>
      <c r="NF31" s="478"/>
      <c r="NG31" s="478"/>
      <c r="NH31" s="478"/>
      <c r="NI31" s="478"/>
      <c r="NJ31" s="478"/>
      <c r="NK31" s="478"/>
      <c r="NL31" s="478"/>
      <c r="NM31" s="478"/>
      <c r="NN31" s="478"/>
      <c r="NO31" s="478"/>
      <c r="NP31" s="478"/>
      <c r="NQ31" s="478"/>
      <c r="NR31" s="478"/>
      <c r="NS31" s="478"/>
      <c r="NT31" s="478"/>
      <c r="NU31" s="478"/>
      <c r="NV31" s="478"/>
      <c r="NW31" s="478"/>
      <c r="NX31" s="478"/>
      <c r="NY31" s="478"/>
      <c r="NZ31" s="478"/>
      <c r="OA31" s="478"/>
      <c r="OB31" s="478"/>
      <c r="OC31" s="478"/>
      <c r="OD31" s="478"/>
      <c r="OE31" s="478"/>
      <c r="OF31" s="478"/>
      <c r="OG31" s="478"/>
      <c r="OH31" s="478"/>
      <c r="OI31" s="478"/>
      <c r="OJ31" s="478"/>
      <c r="OK31" s="478"/>
      <c r="OL31" s="478"/>
      <c r="OM31" s="478"/>
      <c r="ON31" s="478"/>
      <c r="OO31" s="478"/>
      <c r="OP31" s="478"/>
      <c r="OQ31" s="478"/>
      <c r="OR31" s="478"/>
      <c r="OS31" s="478"/>
      <c r="OT31" s="478"/>
      <c r="OU31" s="478"/>
      <c r="OV31" s="478"/>
      <c r="OW31" s="478"/>
      <c r="OX31" s="478"/>
      <c r="OY31" s="478"/>
      <c r="OZ31" s="478"/>
      <c r="PA31" s="478"/>
      <c r="PB31" s="478"/>
      <c r="PC31" s="478"/>
      <c r="PD31" s="478"/>
      <c r="PE31" s="478"/>
      <c r="PF31" s="478"/>
      <c r="PG31" s="478"/>
      <c r="PH31" s="478"/>
      <c r="PI31" s="478"/>
      <c r="PJ31" s="478"/>
      <c r="PK31" s="478"/>
      <c r="PL31" s="478"/>
      <c r="PM31" s="478"/>
      <c r="PN31" s="478"/>
      <c r="PO31" s="478"/>
      <c r="PP31" s="478"/>
      <c r="PQ31" s="478"/>
      <c r="PR31" s="478"/>
      <c r="PS31" s="478"/>
      <c r="PT31" s="478"/>
      <c r="PU31" s="478"/>
      <c r="PV31" s="478"/>
      <c r="PW31" s="478"/>
      <c r="PX31" s="478"/>
      <c r="PY31" s="478"/>
      <c r="PZ31" s="478"/>
      <c r="QA31" s="478"/>
      <c r="QB31" s="478"/>
      <c r="QC31" s="478"/>
      <c r="QD31" s="478"/>
      <c r="QE31" s="478"/>
      <c r="QF31" s="478"/>
      <c r="QG31" s="478"/>
      <c r="QH31" s="478"/>
      <c r="QI31" s="478"/>
      <c r="QJ31" s="478"/>
      <c r="QK31" s="478"/>
      <c r="QL31" s="478"/>
      <c r="QM31" s="478"/>
      <c r="QN31" s="478"/>
      <c r="QO31" s="478"/>
      <c r="QP31" s="478"/>
      <c r="QQ31" s="478"/>
      <c r="QR31" s="478"/>
      <c r="QS31" s="478"/>
      <c r="QT31" s="478"/>
      <c r="QU31" s="478"/>
      <c r="QV31" s="478"/>
      <c r="QW31" s="478"/>
      <c r="QX31" s="478"/>
      <c r="QY31" s="478"/>
      <c r="QZ31" s="478"/>
      <c r="RA31" s="478"/>
      <c r="RB31" s="478"/>
      <c r="RC31" s="478"/>
      <c r="RD31" s="478"/>
      <c r="RE31" s="478"/>
      <c r="RF31" s="478"/>
      <c r="RG31" s="478"/>
      <c r="RH31" s="478"/>
      <c r="RI31" s="478"/>
      <c r="RJ31" s="478"/>
      <c r="RK31" s="478"/>
      <c r="RL31" s="478"/>
      <c r="RM31" s="478"/>
      <c r="RN31" s="478"/>
      <c r="RO31" s="478"/>
      <c r="RP31" s="478"/>
      <c r="RQ31" s="478"/>
      <c r="RR31" s="478"/>
      <c r="RS31" s="478"/>
      <c r="RT31" s="478"/>
      <c r="RU31" s="478"/>
      <c r="RV31" s="478"/>
      <c r="RW31" s="478"/>
      <c r="RX31" s="478"/>
      <c r="RY31" s="478"/>
      <c r="RZ31" s="478"/>
      <c r="SA31" s="478"/>
      <c r="SB31" s="478"/>
      <c r="SC31" s="478"/>
      <c r="SD31" s="478"/>
      <c r="SE31" s="478"/>
      <c r="SF31" s="478"/>
      <c r="SG31" s="478"/>
      <c r="SH31" s="478"/>
      <c r="SI31" s="478"/>
      <c r="SJ31" s="478"/>
      <c r="SK31" s="478"/>
      <c r="SL31" s="478"/>
      <c r="SM31" s="478"/>
      <c r="SN31" s="478"/>
      <c r="SO31" s="478"/>
      <c r="SP31" s="478"/>
      <c r="SQ31" s="478"/>
      <c r="SR31" s="478"/>
      <c r="SS31" s="478"/>
      <c r="ST31" s="478"/>
      <c r="SU31" s="478"/>
      <c r="SV31" s="478"/>
      <c r="SW31" s="478"/>
      <c r="SX31" s="478"/>
      <c r="SY31" s="478"/>
      <c r="SZ31" s="478"/>
      <c r="TA31" s="478"/>
      <c r="TB31" s="478"/>
      <c r="TC31" s="478"/>
      <c r="TD31" s="478"/>
      <c r="TE31" s="478"/>
      <c r="TF31" s="478"/>
      <c r="TG31" s="478"/>
      <c r="TH31" s="478"/>
      <c r="TI31" s="478"/>
      <c r="TJ31" s="478"/>
      <c r="TK31" s="478"/>
      <c r="TL31" s="478"/>
      <c r="TM31" s="478"/>
      <c r="TN31" s="478"/>
      <c r="TO31" s="478"/>
      <c r="TP31" s="478"/>
      <c r="TQ31" s="478"/>
      <c r="TR31" s="478"/>
      <c r="TS31" s="478"/>
      <c r="TT31" s="478"/>
      <c r="TU31" s="478"/>
      <c r="TV31" s="478"/>
      <c r="TW31" s="478"/>
      <c r="TX31" s="478"/>
      <c r="TY31" s="478"/>
      <c r="TZ31" s="478"/>
      <c r="UA31" s="478"/>
      <c r="UB31" s="478"/>
      <c r="UC31" s="478"/>
      <c r="UD31" s="478"/>
      <c r="UE31" s="478"/>
      <c r="UF31" s="478"/>
      <c r="UG31" s="478"/>
      <c r="UH31" s="478"/>
      <c r="UI31" s="478"/>
      <c r="UJ31" s="478"/>
      <c r="UK31" s="478"/>
      <c r="UL31" s="478"/>
      <c r="UM31" s="478"/>
      <c r="UN31" s="478"/>
      <c r="UO31" s="478"/>
      <c r="UP31" s="478"/>
      <c r="UQ31" s="478"/>
      <c r="UR31" s="478"/>
      <c r="US31" s="478"/>
      <c r="UT31" s="478"/>
      <c r="UU31" s="478"/>
      <c r="UV31" s="478"/>
      <c r="UW31" s="478"/>
      <c r="UX31" s="478"/>
      <c r="UY31" s="478"/>
      <c r="UZ31" s="478"/>
      <c r="VA31" s="478"/>
      <c r="VB31" s="478"/>
      <c r="VC31" s="478"/>
      <c r="VD31" s="478"/>
      <c r="VE31" s="478"/>
      <c r="VF31" s="478"/>
      <c r="VG31" s="478"/>
      <c r="VH31" s="478"/>
      <c r="VI31" s="478"/>
      <c r="VJ31" s="478"/>
      <c r="VK31" s="478"/>
      <c r="VL31" s="478"/>
      <c r="VM31" s="478"/>
      <c r="VN31" s="478"/>
      <c r="VO31" s="478"/>
      <c r="VP31" s="478"/>
      <c r="VQ31" s="478"/>
      <c r="VR31" s="478"/>
      <c r="VS31" s="478"/>
      <c r="VT31" s="478"/>
      <c r="VU31" s="478"/>
      <c r="VV31" s="478"/>
      <c r="VW31" s="478"/>
      <c r="VX31" s="478"/>
      <c r="VY31" s="478"/>
      <c r="VZ31" s="478"/>
      <c r="WA31" s="478"/>
      <c r="WB31" s="478"/>
      <c r="WC31" s="478"/>
      <c r="WD31" s="478"/>
      <c r="WE31" s="478"/>
      <c r="WF31" s="478"/>
      <c r="WG31" s="478"/>
      <c r="WH31" s="478"/>
      <c r="WI31" s="478"/>
      <c r="WJ31" s="478"/>
      <c r="WK31" s="478"/>
      <c r="WL31" s="478"/>
      <c r="WM31" s="478"/>
      <c r="WN31" s="478"/>
      <c r="WO31" s="478"/>
      <c r="WP31" s="478"/>
      <c r="WQ31" s="478"/>
      <c r="WR31" s="478"/>
      <c r="WS31" s="478"/>
      <c r="WT31" s="478"/>
      <c r="WU31" s="478"/>
      <c r="WV31" s="478"/>
      <c r="WW31" s="478"/>
      <c r="WX31" s="478"/>
      <c r="WY31" s="478"/>
      <c r="WZ31" s="478"/>
      <c r="XA31" s="478"/>
      <c r="XB31" s="478"/>
      <c r="XC31" s="478"/>
      <c r="XD31" s="478"/>
      <c r="XE31" s="478"/>
      <c r="XF31" s="478"/>
      <c r="XG31" s="478"/>
      <c r="XH31" s="478"/>
      <c r="XI31" s="478"/>
      <c r="XJ31" s="478"/>
      <c r="XK31" s="478"/>
      <c r="XL31" s="478"/>
      <c r="XM31" s="478"/>
      <c r="XN31" s="478"/>
      <c r="XO31" s="478"/>
      <c r="XP31" s="478"/>
      <c r="XQ31" s="478"/>
      <c r="XR31" s="478"/>
      <c r="XS31" s="478"/>
      <c r="XT31" s="478"/>
      <c r="XU31" s="478"/>
      <c r="XV31" s="478"/>
      <c r="XW31" s="478"/>
      <c r="XX31" s="478"/>
      <c r="XY31" s="478"/>
      <c r="XZ31" s="478"/>
      <c r="YA31" s="478"/>
      <c r="YB31" s="478"/>
      <c r="YC31" s="478"/>
      <c r="YD31" s="478"/>
      <c r="YE31" s="478"/>
      <c r="YF31" s="478"/>
      <c r="YG31" s="478"/>
      <c r="YH31" s="478"/>
      <c r="YI31" s="478"/>
      <c r="YJ31" s="478"/>
      <c r="YK31" s="478"/>
      <c r="YL31" s="478"/>
      <c r="YM31" s="478"/>
      <c r="YN31" s="478"/>
      <c r="YO31" s="478"/>
      <c r="YP31" s="478"/>
      <c r="YQ31" s="478"/>
      <c r="YR31" s="478"/>
      <c r="YS31" s="478"/>
      <c r="YT31" s="478"/>
      <c r="YU31" s="478"/>
      <c r="YV31" s="478"/>
      <c r="YW31" s="478"/>
      <c r="YX31" s="478"/>
      <c r="YY31" s="478"/>
      <c r="YZ31" s="478"/>
      <c r="ZA31" s="478"/>
      <c r="ZB31" s="478"/>
      <c r="ZC31" s="478"/>
      <c r="ZD31" s="478"/>
      <c r="ZE31" s="478"/>
      <c r="ZF31" s="478"/>
      <c r="ZG31" s="478"/>
      <c r="ZH31" s="478"/>
      <c r="ZI31" s="478"/>
      <c r="ZJ31" s="478"/>
      <c r="ZK31" s="478"/>
      <c r="ZL31" s="478"/>
      <c r="ZM31" s="478"/>
      <c r="ZN31" s="478"/>
      <c r="ZO31" s="478"/>
      <c r="ZP31" s="478"/>
      <c r="ZQ31" s="478"/>
      <c r="ZR31" s="478"/>
      <c r="ZS31" s="478"/>
      <c r="ZT31" s="478"/>
      <c r="ZU31" s="478"/>
      <c r="ZV31" s="478"/>
      <c r="ZW31" s="478"/>
      <c r="ZX31" s="478"/>
      <c r="ZY31" s="478"/>
      <c r="ZZ31" s="478"/>
      <c r="AAA31" s="478"/>
      <c r="AAB31" s="478"/>
      <c r="AAC31" s="478"/>
      <c r="AAD31" s="478"/>
      <c r="AAE31" s="478"/>
      <c r="AAF31" s="478"/>
      <c r="AAG31" s="478"/>
      <c r="AAH31" s="478"/>
      <c r="AAI31" s="478"/>
      <c r="AAJ31" s="478"/>
      <c r="AAK31" s="478"/>
      <c r="AAL31" s="478"/>
      <c r="AAM31" s="478"/>
      <c r="AAN31" s="478"/>
      <c r="AAO31" s="478"/>
      <c r="AAP31" s="478"/>
      <c r="AAQ31" s="478"/>
      <c r="AAR31" s="478"/>
      <c r="AAS31" s="478"/>
      <c r="AAT31" s="478"/>
      <c r="AAU31" s="478"/>
      <c r="AAV31" s="478"/>
      <c r="AAW31" s="478"/>
      <c r="AAX31" s="478"/>
      <c r="AAY31" s="478"/>
      <c r="AAZ31" s="478"/>
      <c r="ABA31" s="478"/>
      <c r="ABB31" s="478"/>
      <c r="ABC31" s="478"/>
      <c r="ABD31" s="478"/>
      <c r="ABE31" s="478"/>
      <c r="ABF31" s="478"/>
      <c r="ABG31" s="478"/>
      <c r="ABH31" s="478"/>
      <c r="ABI31" s="478"/>
      <c r="ABJ31" s="478"/>
      <c r="ABK31" s="478"/>
      <c r="ABL31" s="478"/>
      <c r="ABM31" s="478"/>
      <c r="ABN31" s="478"/>
      <c r="ABO31" s="478"/>
      <c r="ABP31" s="478"/>
      <c r="ABQ31" s="478"/>
      <c r="ABR31" s="478"/>
      <c r="ABS31" s="478"/>
      <c r="ABT31" s="478"/>
      <c r="ABU31" s="478"/>
      <c r="ABV31" s="478"/>
      <c r="ABW31" s="478"/>
      <c r="ABX31" s="478"/>
      <c r="ABY31" s="478"/>
      <c r="ABZ31" s="478"/>
      <c r="ACA31" s="478"/>
      <c r="ACB31" s="478"/>
      <c r="ACC31" s="478"/>
      <c r="ACD31" s="478"/>
      <c r="ACE31" s="478"/>
      <c r="ACF31" s="478"/>
      <c r="ACG31" s="478"/>
      <c r="ACH31" s="478"/>
      <c r="ACI31" s="478"/>
      <c r="ACJ31" s="478"/>
      <c r="ACK31" s="478"/>
      <c r="ACL31" s="478"/>
      <c r="ACM31" s="478"/>
      <c r="ACN31" s="478"/>
      <c r="ACO31" s="478"/>
      <c r="ACP31" s="478"/>
      <c r="ACQ31" s="478"/>
      <c r="ACR31" s="478"/>
      <c r="ACS31" s="478"/>
      <c r="ACT31" s="478"/>
      <c r="ACU31" s="478"/>
      <c r="ACV31" s="478"/>
      <c r="ACW31" s="478"/>
      <c r="ACX31" s="478"/>
      <c r="ACY31" s="478"/>
      <c r="ACZ31" s="478"/>
      <c r="ADA31" s="478"/>
      <c r="ADB31" s="478"/>
      <c r="ADC31" s="478"/>
      <c r="ADD31" s="478"/>
      <c r="ADE31" s="478"/>
      <c r="ADF31" s="478"/>
      <c r="ADG31" s="478"/>
      <c r="ADH31" s="478"/>
      <c r="ADI31" s="478"/>
      <c r="ADJ31" s="478"/>
      <c r="ADK31" s="478"/>
      <c r="ADL31" s="478"/>
      <c r="ADM31" s="478"/>
      <c r="ADN31" s="478"/>
      <c r="ADO31" s="478"/>
      <c r="ADP31" s="478"/>
      <c r="ADQ31" s="478"/>
      <c r="ADR31" s="478"/>
      <c r="ADS31" s="478"/>
      <c r="ADT31" s="478"/>
      <c r="ADU31" s="478"/>
      <c r="ADV31" s="478"/>
      <c r="ADW31" s="478"/>
      <c r="ADX31" s="478"/>
      <c r="ADY31" s="478"/>
      <c r="ADZ31" s="478"/>
      <c r="AEA31" s="478"/>
      <c r="AEB31" s="478"/>
      <c r="AEC31" s="478"/>
      <c r="AED31" s="478"/>
      <c r="AEE31" s="478"/>
      <c r="AEF31" s="478"/>
      <c r="AEG31" s="478"/>
      <c r="AEH31" s="478"/>
      <c r="AEI31" s="478"/>
      <c r="AEJ31" s="478"/>
      <c r="AEK31" s="478"/>
      <c r="AEL31" s="478"/>
      <c r="AEM31" s="478"/>
      <c r="AEN31" s="478"/>
      <c r="AEO31" s="478"/>
      <c r="AEP31" s="478"/>
      <c r="AEQ31" s="478"/>
      <c r="AER31" s="478"/>
      <c r="AES31" s="478"/>
      <c r="AET31" s="478"/>
      <c r="AEU31" s="478"/>
      <c r="AEV31" s="478"/>
      <c r="AEW31" s="478"/>
      <c r="AEX31" s="478"/>
      <c r="AEY31" s="478"/>
      <c r="AEZ31" s="478"/>
      <c r="AFA31" s="478"/>
      <c r="AFB31" s="478"/>
      <c r="AFC31" s="478"/>
      <c r="AFD31" s="478"/>
      <c r="AFE31" s="478"/>
      <c r="AFF31" s="478"/>
      <c r="AFG31" s="478"/>
      <c r="AFH31" s="478"/>
      <c r="AFI31" s="478"/>
      <c r="AFJ31" s="478"/>
      <c r="AFK31" s="478"/>
      <c r="AFL31" s="478"/>
      <c r="AFM31" s="478"/>
      <c r="AFN31" s="478"/>
      <c r="AFO31" s="478"/>
      <c r="AFP31" s="478"/>
      <c r="AFQ31" s="478"/>
      <c r="AFR31" s="478"/>
      <c r="AFS31" s="478"/>
      <c r="AFT31" s="478"/>
      <c r="AFU31" s="478"/>
      <c r="AFV31" s="478"/>
      <c r="AFW31" s="478"/>
      <c r="AFX31" s="478"/>
      <c r="AFY31" s="478"/>
      <c r="AFZ31" s="478"/>
      <c r="AGA31" s="478"/>
      <c r="AGB31" s="478"/>
      <c r="AGC31" s="478"/>
      <c r="AGD31" s="478"/>
      <c r="AGE31" s="478"/>
      <c r="AGF31" s="478"/>
      <c r="AGG31" s="478"/>
      <c r="AGH31" s="478"/>
      <c r="AGI31" s="478"/>
      <c r="AGJ31" s="478"/>
      <c r="AGK31" s="478"/>
      <c r="AGL31" s="478"/>
      <c r="AGM31" s="478"/>
      <c r="AGN31" s="478"/>
      <c r="AGO31" s="478"/>
      <c r="AGP31" s="478"/>
      <c r="AGQ31" s="478"/>
      <c r="AGR31" s="478"/>
      <c r="AGS31" s="478"/>
      <c r="AGT31" s="478"/>
      <c r="AGU31" s="478"/>
      <c r="AGV31" s="478"/>
      <c r="AGW31" s="478"/>
      <c r="AGX31" s="478"/>
      <c r="AGY31" s="478"/>
      <c r="AGZ31" s="478"/>
      <c r="AHA31" s="478"/>
      <c r="AHB31" s="478"/>
      <c r="AHC31" s="478"/>
      <c r="AHD31" s="478"/>
      <c r="AHE31" s="478"/>
      <c r="AHF31" s="478"/>
      <c r="AHG31" s="478"/>
      <c r="AHH31" s="478"/>
      <c r="AHI31" s="478"/>
      <c r="AHJ31" s="478"/>
      <c r="AHK31" s="478"/>
      <c r="AHL31" s="478"/>
      <c r="AHM31" s="478"/>
      <c r="AHN31" s="478"/>
      <c r="AHO31" s="478"/>
      <c r="AHP31" s="478"/>
      <c r="AHQ31" s="478"/>
      <c r="AHR31" s="478"/>
      <c r="AHS31" s="478"/>
      <c r="AHT31" s="478"/>
      <c r="AHU31" s="478"/>
      <c r="AHV31" s="478"/>
      <c r="AHW31" s="478"/>
      <c r="AHX31" s="478"/>
      <c r="AHY31" s="478"/>
      <c r="AHZ31" s="478"/>
      <c r="AIA31" s="478"/>
      <c r="AIB31" s="478"/>
      <c r="AIC31" s="478"/>
      <c r="AID31" s="478"/>
      <c r="AIE31" s="478"/>
      <c r="AIF31" s="478"/>
      <c r="AIG31" s="478"/>
      <c r="AIH31" s="478"/>
      <c r="AII31" s="478"/>
      <c r="AIJ31" s="478"/>
      <c r="AIK31" s="478"/>
      <c r="AIL31" s="478"/>
      <c r="AIM31" s="478"/>
      <c r="AIN31" s="478"/>
      <c r="AIO31" s="478"/>
      <c r="AIP31" s="478"/>
      <c r="AIQ31" s="478"/>
      <c r="AIR31" s="478"/>
      <c r="AIS31" s="478"/>
      <c r="AIT31" s="478"/>
      <c r="AIU31" s="478"/>
      <c r="AIV31" s="478"/>
      <c r="AIW31" s="478"/>
      <c r="AIX31" s="478"/>
      <c r="AIY31" s="478"/>
      <c r="AIZ31" s="478"/>
      <c r="AJA31" s="478"/>
      <c r="AJB31" s="478"/>
      <c r="AJC31" s="478"/>
      <c r="AJD31" s="478"/>
      <c r="AJE31" s="478"/>
      <c r="AJF31" s="478"/>
      <c r="AJG31" s="478"/>
      <c r="AJH31" s="478"/>
      <c r="AJI31" s="478"/>
      <c r="AJJ31" s="478"/>
      <c r="AJK31" s="478"/>
      <c r="AJL31" s="478"/>
      <c r="AJM31" s="478"/>
      <c r="AJN31" s="478"/>
      <c r="AJO31" s="478"/>
      <c r="AJP31" s="478"/>
      <c r="AJQ31" s="478"/>
      <c r="AJR31" s="478"/>
      <c r="AJS31" s="478"/>
      <c r="AJT31" s="478"/>
      <c r="AJU31" s="478"/>
      <c r="AJV31" s="478"/>
      <c r="AJW31" s="478"/>
      <c r="AJX31" s="478"/>
      <c r="AJY31" s="478"/>
      <c r="AJZ31" s="478"/>
      <c r="AKA31" s="478"/>
      <c r="AKB31" s="478"/>
      <c r="AKC31" s="478"/>
      <c r="AKD31" s="478"/>
      <c r="AKE31" s="478"/>
      <c r="AKF31" s="478"/>
      <c r="AKG31" s="478"/>
      <c r="AKH31" s="478"/>
      <c r="AKI31" s="478"/>
      <c r="AKJ31" s="478"/>
      <c r="AKK31" s="478"/>
      <c r="AKL31" s="478"/>
      <c r="AKM31" s="478"/>
      <c r="AKN31" s="478"/>
      <c r="AKO31" s="478"/>
      <c r="AKP31" s="478"/>
      <c r="AKQ31" s="478"/>
      <c r="AKR31" s="478"/>
      <c r="AKS31" s="478"/>
      <c r="AKT31" s="478"/>
      <c r="AKU31" s="478"/>
      <c r="AKV31" s="478"/>
      <c r="AKW31" s="478"/>
      <c r="AKX31" s="478"/>
      <c r="AKY31" s="478"/>
      <c r="AKZ31" s="478"/>
      <c r="ALA31" s="478"/>
      <c r="ALB31" s="478"/>
      <c r="ALC31" s="478"/>
      <c r="ALD31" s="478"/>
      <c r="ALE31" s="478"/>
      <c r="ALF31" s="478"/>
      <c r="ALG31" s="478"/>
      <c r="ALH31" s="478"/>
      <c r="ALI31" s="478"/>
      <c r="ALJ31" s="478"/>
      <c r="ALK31" s="478"/>
      <c r="ALL31" s="478"/>
      <c r="ALM31" s="478"/>
      <c r="ALN31" s="478"/>
      <c r="ALO31" s="478"/>
      <c r="ALP31" s="478"/>
      <c r="ALQ31" s="478"/>
      <c r="ALR31" s="478"/>
      <c r="ALS31" s="478"/>
      <c r="ALT31" s="478"/>
      <c r="ALU31" s="478"/>
      <c r="ALV31" s="478"/>
      <c r="ALW31" s="478"/>
      <c r="ALX31" s="478"/>
      <c r="ALY31" s="478"/>
      <c r="ALZ31" s="478"/>
      <c r="AMA31" s="478"/>
      <c r="AMB31" s="478"/>
      <c r="AMC31" s="478"/>
      <c r="AMD31" s="478"/>
      <c r="AME31" s="478"/>
      <c r="AMF31" s="478"/>
      <c r="AMG31" s="478"/>
      <c r="AMH31" s="478"/>
      <c r="AMI31" s="478"/>
      <c r="AMJ31" s="478"/>
      <c r="AMK31" s="478"/>
      <c r="AML31" s="478"/>
      <c r="AMM31" s="478"/>
      <c r="AMN31" s="478"/>
      <c r="AMO31" s="478"/>
      <c r="AMP31" s="478"/>
      <c r="AMQ31" s="478"/>
      <c r="AMR31" s="478"/>
      <c r="AMS31" s="478"/>
      <c r="AMT31" s="478"/>
      <c r="AMU31" s="478"/>
      <c r="AMV31" s="478"/>
      <c r="AMW31" s="478"/>
      <c r="AMX31" s="478"/>
      <c r="AMY31" s="478"/>
      <c r="AMZ31" s="478"/>
      <c r="ANA31" s="478"/>
      <c r="ANB31" s="478"/>
      <c r="ANC31" s="478"/>
      <c r="AND31" s="478"/>
      <c r="ANE31" s="478"/>
      <c r="ANF31" s="478"/>
      <c r="ANG31" s="478"/>
      <c r="ANH31" s="478"/>
      <c r="ANI31" s="478"/>
      <c r="ANJ31" s="478"/>
      <c r="ANK31" s="478"/>
      <c r="ANL31" s="478"/>
      <c r="ANM31" s="478"/>
      <c r="ANN31" s="478"/>
      <c r="ANO31" s="478"/>
      <c r="ANP31" s="478"/>
      <c r="ANQ31" s="478"/>
      <c r="ANR31" s="478"/>
      <c r="ANS31" s="478"/>
      <c r="ANT31" s="478"/>
      <c r="ANU31" s="478"/>
      <c r="ANV31" s="478"/>
      <c r="ANW31" s="478"/>
      <c r="ANX31" s="478"/>
      <c r="ANY31" s="478"/>
      <c r="ANZ31" s="478"/>
      <c r="AOA31" s="478"/>
      <c r="AOB31" s="478"/>
      <c r="AOC31" s="478"/>
      <c r="AOD31" s="478"/>
      <c r="AOE31" s="478"/>
      <c r="AOF31" s="478"/>
      <c r="AOG31" s="478"/>
      <c r="AOH31" s="478"/>
      <c r="AOI31" s="478"/>
      <c r="AOJ31" s="478"/>
      <c r="AOK31" s="478"/>
      <c r="AOL31" s="478"/>
      <c r="AOM31" s="478"/>
      <c r="AON31" s="478"/>
      <c r="AOO31" s="478"/>
      <c r="AOP31" s="478"/>
      <c r="AOQ31" s="478"/>
      <c r="AOR31" s="478"/>
      <c r="AOS31" s="478"/>
      <c r="AOT31" s="478"/>
      <c r="AOU31" s="478"/>
      <c r="AOV31" s="478"/>
      <c r="AOW31" s="478"/>
      <c r="AOX31" s="478"/>
      <c r="AOY31" s="478"/>
      <c r="AOZ31" s="478"/>
      <c r="APA31" s="478"/>
      <c r="APB31" s="478"/>
      <c r="APC31" s="478"/>
      <c r="APD31" s="478"/>
      <c r="APE31" s="478"/>
      <c r="APF31" s="478"/>
      <c r="APG31" s="478"/>
      <c r="APH31" s="478"/>
      <c r="API31" s="478"/>
      <c r="APJ31" s="478"/>
      <c r="APK31" s="478"/>
      <c r="APL31" s="478"/>
      <c r="APM31" s="478"/>
      <c r="APN31" s="478"/>
      <c r="APO31" s="478"/>
      <c r="APP31" s="478"/>
      <c r="APQ31" s="478"/>
      <c r="APR31" s="478"/>
      <c r="APS31" s="478"/>
      <c r="APT31" s="478"/>
      <c r="APU31" s="478"/>
      <c r="APV31" s="478"/>
      <c r="APW31" s="478"/>
      <c r="APX31" s="478"/>
      <c r="APY31" s="478"/>
      <c r="APZ31" s="478"/>
      <c r="AQA31" s="478"/>
      <c r="AQB31" s="478"/>
      <c r="AQC31" s="478"/>
      <c r="AQD31" s="478"/>
      <c r="AQE31" s="478"/>
      <c r="AQF31" s="478"/>
      <c r="AQG31" s="478"/>
      <c r="AQH31" s="478"/>
      <c r="AQI31" s="478"/>
      <c r="AQJ31" s="478"/>
      <c r="AQK31" s="478"/>
      <c r="AQL31" s="478"/>
      <c r="AQM31" s="478"/>
      <c r="AQN31" s="478"/>
      <c r="AQO31" s="478"/>
      <c r="AQP31" s="478"/>
      <c r="AQQ31" s="478"/>
      <c r="AQR31" s="478"/>
      <c r="AQS31" s="478"/>
      <c r="AQT31" s="478"/>
      <c r="AQU31" s="478"/>
      <c r="AQV31" s="478"/>
      <c r="AQW31" s="478"/>
      <c r="AQX31" s="478"/>
      <c r="AQY31" s="478"/>
      <c r="AQZ31" s="478"/>
      <c r="ARA31" s="478"/>
      <c r="ARB31" s="478"/>
      <c r="ARC31" s="478"/>
      <c r="ARD31" s="478"/>
      <c r="ARE31" s="478"/>
      <c r="ARF31" s="478"/>
      <c r="ARG31" s="478"/>
      <c r="ARH31" s="478"/>
      <c r="ARI31" s="478"/>
      <c r="ARJ31" s="478"/>
      <c r="ARK31" s="478"/>
      <c r="ARL31" s="478"/>
      <c r="ARM31" s="478"/>
      <c r="ARN31" s="478"/>
      <c r="ARO31" s="478"/>
      <c r="ARP31" s="478"/>
      <c r="ARQ31" s="478"/>
      <c r="ARR31" s="478"/>
      <c r="ARS31" s="478"/>
      <c r="ART31" s="478"/>
      <c r="ARU31" s="478"/>
      <c r="ARV31" s="478"/>
      <c r="ARW31" s="478"/>
      <c r="ARX31" s="478"/>
      <c r="ARY31" s="478"/>
      <c r="ARZ31" s="478"/>
      <c r="ASA31" s="478"/>
      <c r="ASB31" s="478"/>
      <c r="ASC31" s="478"/>
      <c r="ASD31" s="478"/>
      <c r="ASE31" s="478"/>
      <c r="ASF31" s="478"/>
      <c r="ASG31" s="478"/>
      <c r="ASH31" s="478"/>
      <c r="ASI31" s="478"/>
      <c r="ASJ31" s="478"/>
      <c r="ASK31" s="478"/>
      <c r="ASL31" s="478"/>
      <c r="ASM31" s="478"/>
      <c r="ASN31" s="478"/>
      <c r="ASO31" s="478"/>
      <c r="ASP31" s="478"/>
      <c r="ASQ31" s="478"/>
      <c r="ASR31" s="478"/>
      <c r="ASS31" s="478"/>
      <c r="AST31" s="478"/>
      <c r="ASU31" s="478"/>
      <c r="ASV31" s="478"/>
      <c r="ASW31" s="478"/>
      <c r="ASX31" s="478"/>
      <c r="ASY31" s="478"/>
      <c r="ASZ31" s="478"/>
      <c r="ATA31" s="478"/>
      <c r="ATB31" s="478"/>
      <c r="ATC31" s="478"/>
      <c r="ATD31" s="478"/>
      <c r="ATE31" s="478"/>
      <c r="ATF31" s="478"/>
      <c r="ATG31" s="478"/>
      <c r="ATH31" s="478"/>
      <c r="ATI31" s="478"/>
      <c r="ATJ31" s="478"/>
      <c r="ATK31" s="478"/>
      <c r="ATL31" s="478"/>
      <c r="ATM31" s="478"/>
      <c r="ATN31" s="478"/>
      <c r="ATO31" s="478"/>
      <c r="ATP31" s="478"/>
      <c r="ATQ31" s="478"/>
      <c r="ATR31" s="478"/>
      <c r="ATS31" s="478"/>
      <c r="ATT31" s="478"/>
      <c r="ATU31" s="478"/>
      <c r="ATV31" s="478"/>
      <c r="ATW31" s="478"/>
      <c r="ATX31" s="478"/>
      <c r="ATY31" s="478"/>
      <c r="ATZ31" s="478"/>
      <c r="AUA31" s="478"/>
      <c r="AUB31" s="478"/>
      <c r="AUC31" s="478"/>
      <c r="AUD31" s="478"/>
      <c r="AUE31" s="478"/>
      <c r="AUF31" s="478"/>
      <c r="AUG31" s="478"/>
      <c r="AUH31" s="478"/>
      <c r="AUI31" s="478"/>
      <c r="AUJ31" s="478"/>
      <c r="AUK31" s="478"/>
      <c r="AUL31" s="478"/>
      <c r="AUM31" s="478"/>
      <c r="AUN31" s="478"/>
      <c r="AUO31" s="478"/>
      <c r="AUP31" s="478"/>
      <c r="AUQ31" s="478"/>
      <c r="AUR31" s="478"/>
      <c r="AUS31" s="478"/>
      <c r="AUT31" s="478"/>
      <c r="AUU31" s="478"/>
      <c r="AUV31" s="478"/>
      <c r="AUW31" s="478"/>
      <c r="AUX31" s="478"/>
      <c r="AUY31" s="478"/>
      <c r="AUZ31" s="478"/>
      <c r="AVA31" s="478"/>
      <c r="AVB31" s="478"/>
      <c r="AVC31" s="478"/>
      <c r="AVD31" s="478"/>
      <c r="AVE31" s="478"/>
      <c r="AVF31" s="478"/>
      <c r="AVG31" s="478"/>
      <c r="AVH31" s="478"/>
      <c r="AVI31" s="478"/>
      <c r="AVJ31" s="478"/>
      <c r="AVK31" s="478"/>
      <c r="AVL31" s="478"/>
      <c r="AVM31" s="478"/>
      <c r="AVN31" s="478"/>
      <c r="AVO31" s="478"/>
      <c r="AVP31" s="478"/>
      <c r="AVQ31" s="478"/>
      <c r="AVR31" s="478"/>
      <c r="AVS31" s="478"/>
      <c r="AVT31" s="478"/>
      <c r="AVU31" s="478"/>
      <c r="AVV31" s="478"/>
      <c r="AVW31" s="478"/>
      <c r="AVX31" s="478"/>
      <c r="AVY31" s="478"/>
      <c r="AVZ31" s="478"/>
      <c r="AWA31" s="478"/>
      <c r="AWB31" s="478"/>
      <c r="AWC31" s="478"/>
      <c r="AWD31" s="478"/>
      <c r="AWE31" s="478"/>
      <c r="AWF31" s="478"/>
      <c r="AWG31" s="478"/>
      <c r="AWH31" s="478"/>
      <c r="AWI31" s="478"/>
      <c r="AWJ31" s="478"/>
      <c r="AWK31" s="478"/>
      <c r="AWL31" s="478"/>
      <c r="AWM31" s="478"/>
      <c r="AWN31" s="478"/>
      <c r="AWO31" s="478"/>
      <c r="AWP31" s="478"/>
      <c r="AWQ31" s="478"/>
      <c r="AWR31" s="478"/>
      <c r="AWS31" s="478"/>
      <c r="AWT31" s="478"/>
      <c r="AWU31" s="478"/>
      <c r="AWV31" s="478"/>
      <c r="AWW31" s="478"/>
      <c r="AWX31" s="478"/>
      <c r="AWY31" s="478"/>
      <c r="AWZ31" s="478"/>
      <c r="AXA31" s="478"/>
      <c r="AXB31" s="478"/>
      <c r="AXC31" s="478"/>
      <c r="AXD31" s="478"/>
      <c r="AXE31" s="478"/>
      <c r="AXF31" s="478"/>
      <c r="AXG31" s="478"/>
      <c r="AXH31" s="478"/>
      <c r="AXI31" s="478"/>
      <c r="AXJ31" s="478"/>
      <c r="AXK31" s="478"/>
      <c r="AXL31" s="478"/>
      <c r="AXM31" s="478"/>
      <c r="AXN31" s="478"/>
      <c r="AXO31" s="478"/>
      <c r="AXP31" s="478"/>
      <c r="AXQ31" s="478"/>
      <c r="AXR31" s="478"/>
      <c r="AXS31" s="478"/>
      <c r="AXT31" s="478"/>
      <c r="AXU31" s="478"/>
      <c r="AXV31" s="478"/>
      <c r="AXW31" s="478"/>
      <c r="AXX31" s="478"/>
      <c r="AXY31" s="478"/>
      <c r="AXZ31" s="478"/>
      <c r="AYA31" s="478"/>
      <c r="AYB31" s="478"/>
      <c r="AYC31" s="478"/>
      <c r="AYD31" s="478"/>
      <c r="AYE31" s="478"/>
      <c r="AYF31" s="478"/>
      <c r="AYG31" s="478"/>
      <c r="AYH31" s="478"/>
      <c r="AYI31" s="478"/>
      <c r="AYJ31" s="478"/>
      <c r="AYK31" s="478"/>
      <c r="AYL31" s="478"/>
      <c r="AYM31" s="478"/>
      <c r="AYN31" s="478"/>
      <c r="AYO31" s="478"/>
      <c r="AYP31" s="478"/>
      <c r="AYQ31" s="478"/>
      <c r="AYR31" s="478"/>
      <c r="AYS31" s="478"/>
      <c r="AYT31" s="478"/>
      <c r="AYU31" s="478"/>
      <c r="AYV31" s="478"/>
      <c r="AYW31" s="478"/>
      <c r="AYX31" s="478"/>
      <c r="AYY31" s="478"/>
      <c r="AYZ31" s="478"/>
      <c r="AZA31" s="478"/>
      <c r="AZB31" s="478"/>
      <c r="AZC31" s="478"/>
      <c r="AZD31" s="478"/>
      <c r="AZE31" s="478"/>
      <c r="AZF31" s="478"/>
      <c r="AZG31" s="478"/>
      <c r="AZH31" s="478"/>
      <c r="AZI31" s="478"/>
      <c r="AZJ31" s="478"/>
      <c r="AZK31" s="478"/>
      <c r="AZL31" s="478"/>
      <c r="AZM31" s="478"/>
      <c r="AZN31" s="478"/>
      <c r="AZO31" s="478"/>
      <c r="AZP31" s="478"/>
      <c r="AZQ31" s="478"/>
      <c r="AZR31" s="478"/>
      <c r="AZS31" s="478"/>
      <c r="AZT31" s="478"/>
      <c r="AZU31" s="478"/>
      <c r="AZV31" s="478"/>
      <c r="AZW31" s="478"/>
      <c r="AZX31" s="478"/>
      <c r="AZY31" s="478"/>
      <c r="AZZ31" s="478"/>
      <c r="BAA31" s="478"/>
      <c r="BAB31" s="478"/>
      <c r="BAC31" s="478"/>
      <c r="BAD31" s="478"/>
      <c r="BAE31" s="478"/>
      <c r="BAF31" s="478"/>
      <c r="BAG31" s="478"/>
      <c r="BAH31" s="478"/>
      <c r="BAI31" s="478"/>
      <c r="BAJ31" s="478"/>
      <c r="BAK31" s="478"/>
      <c r="BAL31" s="478"/>
      <c r="BAM31" s="478"/>
      <c r="BAN31" s="478"/>
      <c r="BAO31" s="478"/>
      <c r="BAP31" s="478"/>
      <c r="BAQ31" s="478"/>
      <c r="BAR31" s="478"/>
      <c r="BAS31" s="478"/>
      <c r="BAT31" s="478"/>
      <c r="BAU31" s="478"/>
      <c r="BAV31" s="478"/>
      <c r="BAW31" s="478"/>
      <c r="BAX31" s="478"/>
      <c r="BAY31" s="478"/>
      <c r="BAZ31" s="478"/>
      <c r="BBA31" s="478"/>
      <c r="BBB31" s="478"/>
      <c r="BBC31" s="478"/>
      <c r="BBD31" s="478"/>
      <c r="BBE31" s="478"/>
      <c r="BBF31" s="478"/>
      <c r="BBG31" s="478"/>
      <c r="BBH31" s="478"/>
      <c r="BBI31" s="478"/>
      <c r="BBJ31" s="478"/>
      <c r="BBK31" s="478"/>
      <c r="BBL31" s="478"/>
      <c r="BBM31" s="478"/>
      <c r="BBN31" s="478"/>
      <c r="BBO31" s="478"/>
      <c r="BBP31" s="478"/>
      <c r="BBQ31" s="478"/>
      <c r="BBR31" s="478"/>
      <c r="BBS31" s="478"/>
      <c r="BBT31" s="478"/>
      <c r="BBU31" s="478"/>
      <c r="BBV31" s="478"/>
      <c r="BBW31" s="478"/>
      <c r="BBX31" s="478"/>
      <c r="BBY31" s="478"/>
      <c r="BBZ31" s="478"/>
      <c r="BCA31" s="478"/>
      <c r="BCB31" s="478"/>
      <c r="BCC31" s="478"/>
      <c r="BCD31" s="478"/>
      <c r="BCE31" s="478"/>
      <c r="BCF31" s="478"/>
      <c r="BCG31" s="478"/>
      <c r="BCH31" s="478"/>
      <c r="BCI31" s="478"/>
      <c r="BCJ31" s="478"/>
      <c r="BCK31" s="478"/>
      <c r="BCL31" s="478"/>
      <c r="BCM31" s="478"/>
      <c r="BCN31" s="478"/>
      <c r="BCO31" s="478"/>
      <c r="BCP31" s="478"/>
      <c r="BCQ31" s="478"/>
      <c r="BCR31" s="478"/>
      <c r="BCS31" s="478"/>
      <c r="BCT31" s="478"/>
      <c r="BCU31" s="478"/>
      <c r="BCV31" s="478"/>
      <c r="BCW31" s="478"/>
      <c r="BCX31" s="478"/>
      <c r="BCY31" s="478"/>
      <c r="BCZ31" s="478"/>
      <c r="BDA31" s="478"/>
      <c r="BDB31" s="478"/>
      <c r="BDC31" s="478"/>
      <c r="BDD31" s="478"/>
      <c r="BDE31" s="478"/>
      <c r="BDF31" s="478"/>
      <c r="BDG31" s="478"/>
      <c r="BDH31" s="478"/>
      <c r="BDI31" s="478"/>
      <c r="BDJ31" s="478"/>
      <c r="BDK31" s="478"/>
      <c r="BDL31" s="478"/>
      <c r="BDM31" s="478"/>
      <c r="BDN31" s="478"/>
      <c r="BDO31" s="478"/>
      <c r="BDP31" s="478"/>
      <c r="BDQ31" s="478"/>
      <c r="BDR31" s="478"/>
      <c r="BDS31" s="478"/>
      <c r="BDT31" s="478"/>
      <c r="BDU31" s="478"/>
      <c r="BDV31" s="478"/>
      <c r="BDW31" s="478"/>
      <c r="BDX31" s="478"/>
      <c r="BDY31" s="478"/>
      <c r="BDZ31" s="478"/>
      <c r="BEA31" s="478"/>
      <c r="BEB31" s="478"/>
      <c r="BEC31" s="478"/>
      <c r="BED31" s="478"/>
      <c r="BEE31" s="478"/>
      <c r="BEF31" s="478"/>
      <c r="BEG31" s="478"/>
      <c r="BEH31" s="478"/>
      <c r="BEI31" s="478"/>
      <c r="BEJ31" s="478"/>
      <c r="BEK31" s="478"/>
      <c r="BEL31" s="478"/>
      <c r="BEM31" s="478"/>
      <c r="BEN31" s="478"/>
      <c r="BEO31" s="478"/>
      <c r="BEP31" s="478"/>
      <c r="BEQ31" s="478"/>
      <c r="BER31" s="478"/>
      <c r="BES31" s="478"/>
      <c r="BET31" s="478"/>
      <c r="BEU31" s="478"/>
      <c r="BEV31" s="478"/>
      <c r="BEW31" s="478"/>
      <c r="BEX31" s="478"/>
      <c r="BEY31" s="478"/>
      <c r="BEZ31" s="478"/>
      <c r="BFA31" s="478"/>
      <c r="BFB31" s="478"/>
      <c r="BFC31" s="478"/>
      <c r="BFD31" s="478"/>
      <c r="BFE31" s="478"/>
      <c r="BFF31" s="478"/>
      <c r="BFG31" s="478"/>
      <c r="BFH31" s="478"/>
      <c r="BFI31" s="478"/>
      <c r="BFJ31" s="478"/>
      <c r="BFK31" s="478"/>
      <c r="BFL31" s="478"/>
      <c r="BFM31" s="478"/>
      <c r="BFN31" s="478"/>
      <c r="BFO31" s="478"/>
      <c r="BFP31" s="478"/>
      <c r="BFQ31" s="478"/>
      <c r="BFR31" s="478"/>
      <c r="BFS31" s="478"/>
      <c r="BFT31" s="478"/>
      <c r="BFU31" s="478"/>
      <c r="BFV31" s="478"/>
      <c r="BFW31" s="478"/>
      <c r="BFX31" s="478"/>
      <c r="BFY31" s="478"/>
      <c r="BFZ31" s="478"/>
      <c r="BGA31" s="478"/>
      <c r="BGB31" s="478"/>
      <c r="BGC31" s="478"/>
      <c r="BGD31" s="478"/>
      <c r="BGE31" s="478"/>
      <c r="BGF31" s="478"/>
      <c r="BGG31" s="478"/>
      <c r="BGH31" s="478"/>
      <c r="BGI31" s="478"/>
      <c r="BGJ31" s="478"/>
      <c r="BGK31" s="478"/>
      <c r="BGL31" s="478"/>
      <c r="BGM31" s="478"/>
      <c r="BGN31" s="478"/>
      <c r="BGO31" s="478"/>
      <c r="BGP31" s="478"/>
      <c r="BGQ31" s="478"/>
      <c r="BGR31" s="478"/>
      <c r="BGS31" s="478"/>
      <c r="BGT31" s="478"/>
      <c r="BGU31" s="478"/>
      <c r="BGV31" s="478"/>
      <c r="BGW31" s="478"/>
      <c r="BGX31" s="478"/>
      <c r="BGY31" s="478"/>
      <c r="BGZ31" s="478"/>
      <c r="BHA31" s="478"/>
      <c r="BHB31" s="478"/>
      <c r="BHC31" s="478"/>
      <c r="BHD31" s="478"/>
      <c r="BHE31" s="478"/>
      <c r="BHF31" s="478"/>
      <c r="BHG31" s="478"/>
      <c r="BHH31" s="478"/>
      <c r="BHI31" s="478"/>
      <c r="BHJ31" s="478"/>
      <c r="BHK31" s="478"/>
      <c r="BHL31" s="478"/>
      <c r="BHM31" s="478"/>
      <c r="BHN31" s="478"/>
      <c r="BHO31" s="478"/>
      <c r="BHP31" s="478"/>
      <c r="BHQ31" s="478"/>
      <c r="BHR31" s="478"/>
      <c r="BHS31" s="478"/>
      <c r="BHT31" s="478"/>
      <c r="BHU31" s="478"/>
      <c r="BHV31" s="478"/>
      <c r="BHW31" s="478"/>
      <c r="BHX31" s="478"/>
      <c r="BHY31" s="478"/>
      <c r="BHZ31" s="478"/>
      <c r="BIA31" s="478"/>
      <c r="BIB31" s="478"/>
      <c r="BIC31" s="478"/>
      <c r="BID31" s="478"/>
      <c r="BIE31" s="478"/>
      <c r="BIF31" s="478"/>
      <c r="BIG31" s="478"/>
      <c r="BIH31" s="478"/>
      <c r="BII31" s="478"/>
      <c r="BIJ31" s="478"/>
      <c r="BIK31" s="478"/>
      <c r="BIL31" s="478"/>
      <c r="BIM31" s="478"/>
      <c r="BIN31" s="478"/>
      <c r="BIO31" s="478"/>
      <c r="BIP31" s="478"/>
      <c r="BIQ31" s="478"/>
      <c r="BIR31" s="478"/>
      <c r="BIS31" s="478"/>
      <c r="BIT31" s="478"/>
      <c r="BIU31" s="478"/>
      <c r="BIV31" s="478"/>
      <c r="BIW31" s="478"/>
      <c r="BIX31" s="478"/>
      <c r="BIY31" s="478"/>
      <c r="BIZ31" s="478"/>
      <c r="BJA31" s="478"/>
      <c r="BJB31" s="478"/>
      <c r="BJC31" s="478"/>
      <c r="BJD31" s="478"/>
      <c r="BJE31" s="478"/>
      <c r="BJF31" s="478"/>
      <c r="BJG31" s="478"/>
      <c r="BJH31" s="478"/>
      <c r="BJI31" s="478"/>
      <c r="BJJ31" s="478"/>
      <c r="BJK31" s="478"/>
      <c r="BJL31" s="478"/>
      <c r="BJM31" s="478"/>
      <c r="BJN31" s="478"/>
      <c r="BJO31" s="478"/>
      <c r="BJP31" s="478"/>
      <c r="BJQ31" s="478"/>
      <c r="BJR31" s="478"/>
      <c r="BJS31" s="478"/>
      <c r="BJT31" s="478"/>
      <c r="BJU31" s="478"/>
      <c r="BJV31" s="478"/>
      <c r="BJW31" s="478"/>
      <c r="BJX31" s="478"/>
      <c r="BJY31" s="478"/>
      <c r="BJZ31" s="478"/>
      <c r="BKA31" s="478"/>
      <c r="BKB31" s="478"/>
      <c r="BKC31" s="478"/>
      <c r="BKD31" s="478"/>
      <c r="BKE31" s="478"/>
      <c r="BKF31" s="478"/>
      <c r="BKG31" s="478"/>
      <c r="BKH31" s="478"/>
      <c r="BKI31" s="478"/>
      <c r="BKJ31" s="478"/>
      <c r="BKK31" s="478"/>
      <c r="BKL31" s="478"/>
      <c r="BKM31" s="478"/>
      <c r="BKN31" s="478"/>
      <c r="BKO31" s="478"/>
      <c r="BKP31" s="478"/>
      <c r="BKQ31" s="478"/>
      <c r="BKR31" s="478"/>
      <c r="BKS31" s="478"/>
      <c r="BKT31" s="478"/>
      <c r="BKU31" s="478"/>
      <c r="BKV31" s="478"/>
      <c r="BKW31" s="478"/>
      <c r="BKX31" s="478"/>
      <c r="BKY31" s="478"/>
      <c r="BKZ31" s="478"/>
      <c r="BLA31" s="478"/>
      <c r="BLB31" s="478"/>
      <c r="BLC31" s="478"/>
      <c r="BLD31" s="478"/>
      <c r="BLE31" s="478"/>
      <c r="BLF31" s="478"/>
      <c r="BLG31" s="478"/>
      <c r="BLH31" s="478"/>
      <c r="BLI31" s="478"/>
      <c r="BLJ31" s="478"/>
      <c r="BLK31" s="478"/>
      <c r="BLL31" s="478"/>
      <c r="BLM31" s="478"/>
      <c r="BLN31" s="478"/>
      <c r="BLO31" s="478"/>
      <c r="BLP31" s="478"/>
      <c r="BLQ31" s="478"/>
      <c r="BLR31" s="478"/>
      <c r="BLS31" s="478"/>
      <c r="BLT31" s="478"/>
      <c r="BLU31" s="478"/>
      <c r="BLV31" s="478"/>
      <c r="BLW31" s="478"/>
      <c r="BLX31" s="478"/>
      <c r="BLY31" s="478"/>
      <c r="BLZ31" s="478"/>
      <c r="BMA31" s="478"/>
      <c r="BMB31" s="478"/>
      <c r="BMC31" s="478"/>
      <c r="BMD31" s="478"/>
      <c r="BME31" s="478"/>
      <c r="BMF31" s="478"/>
      <c r="BMG31" s="478"/>
      <c r="BMH31" s="478"/>
      <c r="BMI31" s="478"/>
      <c r="BMJ31" s="478"/>
      <c r="BMK31" s="478"/>
      <c r="BML31" s="478"/>
      <c r="BMM31" s="478"/>
      <c r="BMN31" s="478"/>
      <c r="BMO31" s="478"/>
      <c r="BMP31" s="478"/>
      <c r="BMQ31" s="478"/>
      <c r="BMR31" s="478"/>
      <c r="BMS31" s="478"/>
      <c r="BMT31" s="478"/>
      <c r="BMU31" s="478"/>
      <c r="BMV31" s="478"/>
      <c r="BMW31" s="478"/>
      <c r="BMX31" s="478"/>
      <c r="BMY31" s="478"/>
      <c r="BMZ31" s="478"/>
      <c r="BNA31" s="478"/>
      <c r="BNB31" s="478"/>
      <c r="BNC31" s="478"/>
      <c r="BND31" s="478"/>
      <c r="BNE31" s="478"/>
      <c r="BNF31" s="478"/>
      <c r="BNG31" s="478"/>
      <c r="BNH31" s="478"/>
      <c r="BNI31" s="478"/>
      <c r="BNJ31" s="478"/>
      <c r="BNK31" s="478"/>
      <c r="BNL31" s="478"/>
      <c r="BNM31" s="478"/>
      <c r="BNN31" s="478"/>
      <c r="BNO31" s="478"/>
      <c r="BNP31" s="478"/>
      <c r="BNQ31" s="478"/>
      <c r="BNR31" s="478"/>
      <c r="BNS31" s="478"/>
      <c r="BNT31" s="478"/>
      <c r="BNU31" s="478"/>
      <c r="BNV31" s="478"/>
      <c r="BNW31" s="478"/>
      <c r="BNX31" s="478"/>
      <c r="BNY31" s="478"/>
      <c r="BNZ31" s="478"/>
      <c r="BOA31" s="478"/>
      <c r="BOB31" s="478"/>
      <c r="BOC31" s="478"/>
      <c r="BOD31" s="478"/>
      <c r="BOE31" s="478"/>
      <c r="BOF31" s="478"/>
      <c r="BOG31" s="478"/>
      <c r="BOH31" s="478"/>
      <c r="BOI31" s="478"/>
      <c r="BOJ31" s="478"/>
      <c r="BOK31" s="478"/>
      <c r="BOL31" s="478"/>
      <c r="BOM31" s="478"/>
      <c r="BON31" s="478"/>
      <c r="BOO31" s="478"/>
      <c r="BOP31" s="478"/>
      <c r="BOQ31" s="478"/>
      <c r="BOR31" s="478"/>
      <c r="BOS31" s="478"/>
      <c r="BOT31" s="478"/>
      <c r="BOU31" s="478"/>
      <c r="BOV31" s="478"/>
      <c r="BOW31" s="478"/>
      <c r="BOX31" s="478"/>
      <c r="BOY31" s="478"/>
      <c r="BOZ31" s="478"/>
      <c r="BPA31" s="478"/>
      <c r="BPB31" s="478"/>
      <c r="BPC31" s="478"/>
      <c r="BPD31" s="478"/>
      <c r="BPE31" s="478"/>
      <c r="BPF31" s="478"/>
      <c r="BPG31" s="478"/>
      <c r="BPH31" s="478"/>
      <c r="BPI31" s="478"/>
      <c r="BPJ31" s="478"/>
      <c r="BPK31" s="478"/>
      <c r="BPL31" s="478"/>
      <c r="BPM31" s="478"/>
      <c r="BPN31" s="478"/>
      <c r="BPO31" s="478"/>
      <c r="BPP31" s="478"/>
      <c r="BPQ31" s="478"/>
      <c r="BPR31" s="478"/>
      <c r="BPS31" s="478"/>
      <c r="BPT31" s="478"/>
      <c r="BPU31" s="478"/>
      <c r="BPV31" s="478"/>
      <c r="BPW31" s="478"/>
      <c r="BPX31" s="478"/>
      <c r="BPY31" s="478"/>
      <c r="BPZ31" s="478"/>
      <c r="BQA31" s="478"/>
      <c r="BQB31" s="478"/>
      <c r="BQC31" s="478"/>
      <c r="BQD31" s="478"/>
      <c r="BQE31" s="478"/>
      <c r="BQF31" s="478"/>
      <c r="BQG31" s="478"/>
      <c r="BQH31" s="478"/>
      <c r="BQI31" s="478"/>
      <c r="BQJ31" s="478"/>
      <c r="BQK31" s="478"/>
      <c r="BQL31" s="478"/>
      <c r="BQM31" s="478"/>
      <c r="BQN31" s="478"/>
      <c r="BQO31" s="478"/>
      <c r="BQP31" s="478"/>
      <c r="BQQ31" s="478"/>
      <c r="BQR31" s="478"/>
      <c r="BQS31" s="478"/>
      <c r="BQT31" s="478"/>
      <c r="BQU31" s="478"/>
      <c r="BQV31" s="478"/>
      <c r="BQW31" s="478"/>
      <c r="BQX31" s="478"/>
      <c r="BQY31" s="478"/>
      <c r="BQZ31" s="478"/>
      <c r="BRA31" s="478"/>
      <c r="BRB31" s="478"/>
      <c r="BRC31" s="478"/>
      <c r="BRD31" s="478"/>
      <c r="BRE31" s="478"/>
      <c r="BRF31" s="478"/>
      <c r="BRG31" s="478"/>
      <c r="BRH31" s="478"/>
      <c r="BRI31" s="478"/>
      <c r="BRJ31" s="478"/>
      <c r="BRK31" s="478"/>
      <c r="BRL31" s="478"/>
      <c r="BRM31" s="478"/>
      <c r="BRN31" s="478"/>
      <c r="BRO31" s="478"/>
      <c r="BRP31" s="478"/>
      <c r="BRQ31" s="478"/>
      <c r="BRR31" s="478"/>
      <c r="BRS31" s="478"/>
      <c r="BRT31" s="478"/>
      <c r="BRU31" s="478"/>
      <c r="BRV31" s="478"/>
      <c r="BRW31" s="478"/>
      <c r="BRX31" s="478"/>
      <c r="BRY31" s="478"/>
      <c r="BRZ31" s="478"/>
      <c r="BSA31" s="478"/>
      <c r="BSB31" s="478"/>
      <c r="BSC31" s="478"/>
      <c r="BSD31" s="478"/>
      <c r="BSE31" s="478"/>
      <c r="BSF31" s="478"/>
      <c r="BSG31" s="478"/>
      <c r="BSH31" s="478"/>
      <c r="BSI31" s="478"/>
      <c r="BSJ31" s="478"/>
      <c r="BSK31" s="478"/>
      <c r="BSL31" s="478"/>
      <c r="BSM31" s="478"/>
      <c r="BSN31" s="478"/>
      <c r="BSO31" s="478"/>
      <c r="BSP31" s="478"/>
      <c r="BSQ31" s="478"/>
      <c r="BSR31" s="478"/>
      <c r="BSS31" s="478"/>
      <c r="BST31" s="478"/>
      <c r="BSU31" s="478"/>
      <c r="BSV31" s="478"/>
      <c r="BSW31" s="478"/>
      <c r="BSX31" s="478"/>
      <c r="BSY31" s="478"/>
      <c r="BSZ31" s="478"/>
      <c r="BTA31" s="478"/>
      <c r="BTB31" s="478"/>
      <c r="BTC31" s="478"/>
      <c r="BTD31" s="478"/>
      <c r="BTE31" s="478"/>
      <c r="BTF31" s="478"/>
      <c r="BTG31" s="478"/>
      <c r="BTH31" s="478"/>
      <c r="BTI31" s="478"/>
      <c r="BTJ31" s="478"/>
      <c r="BTK31" s="478"/>
      <c r="BTL31" s="478"/>
      <c r="BTM31" s="478"/>
      <c r="BTN31" s="478"/>
      <c r="BTO31" s="478"/>
      <c r="BTP31" s="478"/>
      <c r="BTQ31" s="478"/>
      <c r="BTR31" s="478"/>
      <c r="BTS31" s="478"/>
      <c r="BTT31" s="478"/>
      <c r="BTU31" s="478"/>
      <c r="BTV31" s="478"/>
      <c r="BTW31" s="478"/>
      <c r="BTX31" s="478"/>
      <c r="BTY31" s="478"/>
      <c r="BTZ31" s="478"/>
      <c r="BUA31" s="478"/>
      <c r="BUB31" s="478"/>
      <c r="BUC31" s="478"/>
      <c r="BUD31" s="478"/>
      <c r="BUE31" s="478"/>
      <c r="BUF31" s="478"/>
      <c r="BUG31" s="478"/>
      <c r="BUH31" s="478"/>
      <c r="BUI31" s="478"/>
      <c r="BUJ31" s="478"/>
      <c r="BUK31" s="478"/>
      <c r="BUL31" s="478"/>
      <c r="BUM31" s="478"/>
      <c r="BUN31" s="478"/>
      <c r="BUO31" s="478"/>
      <c r="BUP31" s="478"/>
      <c r="BUQ31" s="478"/>
      <c r="BUR31" s="478"/>
      <c r="BUS31" s="478"/>
      <c r="BUT31" s="478"/>
      <c r="BUU31" s="478"/>
      <c r="BUV31" s="478"/>
      <c r="BUW31" s="478"/>
      <c r="BUX31" s="478"/>
      <c r="BUY31" s="478"/>
      <c r="BUZ31" s="478"/>
      <c r="BVA31" s="478"/>
      <c r="BVB31" s="478"/>
      <c r="BVC31" s="478"/>
      <c r="BVD31" s="478"/>
      <c r="BVE31" s="478"/>
      <c r="BVF31" s="478"/>
      <c r="BVG31" s="478"/>
      <c r="BVH31" s="478"/>
      <c r="BVI31" s="478"/>
      <c r="BVJ31" s="478"/>
      <c r="BVK31" s="478"/>
      <c r="BVL31" s="478"/>
      <c r="BVM31" s="478"/>
      <c r="BVN31" s="478"/>
      <c r="BVO31" s="478"/>
      <c r="BVP31" s="478"/>
      <c r="BVQ31" s="478"/>
      <c r="BVR31" s="478"/>
      <c r="BVS31" s="478"/>
      <c r="BVT31" s="478"/>
      <c r="BVU31" s="478"/>
      <c r="BVV31" s="478"/>
      <c r="BVW31" s="478"/>
      <c r="BVX31" s="478"/>
      <c r="BVY31" s="478"/>
      <c r="BVZ31" s="478"/>
      <c r="BWA31" s="478"/>
      <c r="BWB31" s="478"/>
      <c r="BWC31" s="478"/>
      <c r="BWD31" s="478"/>
      <c r="BWE31" s="478"/>
      <c r="BWF31" s="478"/>
      <c r="BWG31" s="478"/>
      <c r="BWH31" s="478"/>
      <c r="BWI31" s="478"/>
      <c r="BWJ31" s="478"/>
      <c r="BWK31" s="478"/>
      <c r="BWL31" s="478"/>
      <c r="BWM31" s="478"/>
      <c r="BWN31" s="478"/>
      <c r="BWO31" s="478"/>
      <c r="BWP31" s="478"/>
      <c r="BWQ31" s="478"/>
      <c r="BWR31" s="478"/>
      <c r="BWS31" s="478"/>
      <c r="BWT31" s="478"/>
      <c r="BWU31" s="478"/>
      <c r="BWV31" s="478"/>
      <c r="BWW31" s="478"/>
      <c r="BWX31" s="478"/>
      <c r="BWY31" s="478"/>
      <c r="BWZ31" s="478"/>
      <c r="BXA31" s="478"/>
      <c r="BXB31" s="478"/>
      <c r="BXC31" s="478"/>
      <c r="BXD31" s="478"/>
      <c r="BXE31" s="478"/>
      <c r="BXF31" s="478"/>
      <c r="BXG31" s="478"/>
      <c r="BXH31" s="478"/>
      <c r="BXI31" s="478"/>
      <c r="BXJ31" s="478"/>
      <c r="BXK31" s="478"/>
      <c r="BXL31" s="478"/>
      <c r="BXM31" s="478"/>
      <c r="BXN31" s="478"/>
      <c r="BXO31" s="478"/>
      <c r="BXP31" s="478"/>
      <c r="BXQ31" s="478"/>
      <c r="BXR31" s="478"/>
      <c r="BXS31" s="478"/>
      <c r="BXT31" s="478"/>
      <c r="BXU31" s="478"/>
      <c r="BXV31" s="478"/>
      <c r="BXW31" s="478"/>
      <c r="BXX31" s="478"/>
      <c r="BXY31" s="478"/>
      <c r="BXZ31" s="478"/>
      <c r="BYA31" s="478"/>
      <c r="BYB31" s="478"/>
      <c r="BYC31" s="478"/>
      <c r="BYD31" s="478"/>
      <c r="BYE31" s="478"/>
      <c r="BYF31" s="478"/>
      <c r="BYG31" s="478"/>
      <c r="BYH31" s="478"/>
      <c r="BYI31" s="478"/>
      <c r="BYJ31" s="478"/>
      <c r="BYK31" s="478"/>
      <c r="BYL31" s="478"/>
      <c r="BYM31" s="478"/>
      <c r="BYN31" s="478"/>
      <c r="BYO31" s="478"/>
      <c r="BYP31" s="478"/>
      <c r="BYQ31" s="478"/>
      <c r="BYR31" s="478"/>
      <c r="BYS31" s="478"/>
      <c r="BYT31" s="478"/>
      <c r="BYU31" s="478"/>
      <c r="BYV31" s="478"/>
      <c r="BYW31" s="478"/>
      <c r="BYX31" s="478"/>
      <c r="BYY31" s="478"/>
      <c r="BYZ31" s="478"/>
      <c r="BZA31" s="478"/>
      <c r="BZB31" s="478"/>
      <c r="BZC31" s="478"/>
      <c r="BZD31" s="478"/>
      <c r="BZE31" s="478"/>
      <c r="BZF31" s="478"/>
      <c r="BZG31" s="478"/>
      <c r="BZH31" s="478"/>
      <c r="BZI31" s="478"/>
      <c r="BZJ31" s="478"/>
      <c r="BZK31" s="478"/>
      <c r="BZL31" s="478"/>
      <c r="BZM31" s="478"/>
      <c r="BZN31" s="478"/>
      <c r="BZO31" s="478"/>
      <c r="BZP31" s="478"/>
      <c r="BZQ31" s="478"/>
      <c r="BZR31" s="478"/>
      <c r="BZS31" s="478"/>
      <c r="BZT31" s="478"/>
      <c r="BZU31" s="478"/>
      <c r="BZV31" s="478"/>
      <c r="BZW31" s="478"/>
      <c r="BZX31" s="478"/>
      <c r="BZY31" s="478"/>
      <c r="BZZ31" s="478"/>
      <c r="CAA31" s="478"/>
      <c r="CAB31" s="478"/>
      <c r="CAC31" s="478"/>
      <c r="CAD31" s="478"/>
      <c r="CAE31" s="478"/>
      <c r="CAF31" s="478"/>
      <c r="CAG31" s="478"/>
      <c r="CAH31" s="478"/>
      <c r="CAI31" s="478"/>
      <c r="CAJ31" s="478"/>
      <c r="CAK31" s="478"/>
      <c r="CAL31" s="478"/>
      <c r="CAM31" s="478"/>
      <c r="CAN31" s="478"/>
      <c r="CAO31" s="478"/>
      <c r="CAP31" s="478"/>
      <c r="CAQ31" s="478"/>
      <c r="CAR31" s="478"/>
      <c r="CAS31" s="478"/>
      <c r="CAT31" s="478"/>
      <c r="CAU31" s="478"/>
      <c r="CAV31" s="478"/>
      <c r="CAW31" s="478"/>
      <c r="CAX31" s="478"/>
      <c r="CAY31" s="478"/>
      <c r="CAZ31" s="478"/>
      <c r="CBA31" s="478"/>
      <c r="CBB31" s="478"/>
      <c r="CBC31" s="478"/>
      <c r="CBD31" s="478"/>
      <c r="CBE31" s="478"/>
      <c r="CBF31" s="478"/>
      <c r="CBG31" s="478"/>
      <c r="CBH31" s="478"/>
      <c r="CBI31" s="478"/>
      <c r="CBJ31" s="478"/>
      <c r="CBK31" s="478"/>
      <c r="CBL31" s="478"/>
      <c r="CBM31" s="478"/>
      <c r="CBN31" s="478"/>
      <c r="CBO31" s="478"/>
      <c r="CBP31" s="478"/>
      <c r="CBQ31" s="478"/>
      <c r="CBR31" s="478"/>
      <c r="CBS31" s="478"/>
      <c r="CBT31" s="478"/>
      <c r="CBU31" s="478"/>
      <c r="CBV31" s="478"/>
      <c r="CBW31" s="478"/>
      <c r="CBX31" s="478"/>
      <c r="CBY31" s="478"/>
      <c r="CBZ31" s="478"/>
      <c r="CCA31" s="478"/>
      <c r="CCB31" s="478"/>
      <c r="CCC31" s="478"/>
      <c r="CCD31" s="478"/>
      <c r="CCE31" s="478"/>
      <c r="CCF31" s="478"/>
      <c r="CCG31" s="478"/>
      <c r="CCH31" s="478"/>
      <c r="CCI31" s="478"/>
      <c r="CCJ31" s="478"/>
      <c r="CCK31" s="478"/>
      <c r="CCL31" s="478"/>
      <c r="CCM31" s="478"/>
      <c r="CCN31" s="478"/>
      <c r="CCO31" s="478"/>
      <c r="CCP31" s="478"/>
      <c r="CCQ31" s="478"/>
      <c r="CCR31" s="478"/>
      <c r="CCS31" s="478"/>
      <c r="CCT31" s="478"/>
      <c r="CCU31" s="478"/>
      <c r="CCV31" s="478"/>
      <c r="CCW31" s="478"/>
      <c r="CCX31" s="478"/>
      <c r="CCY31" s="478"/>
      <c r="CCZ31" s="478"/>
      <c r="CDA31" s="478"/>
      <c r="CDB31" s="478"/>
      <c r="CDC31" s="478"/>
      <c r="CDD31" s="478"/>
      <c r="CDE31" s="478"/>
      <c r="CDF31" s="478"/>
      <c r="CDG31" s="478"/>
      <c r="CDH31" s="478"/>
      <c r="CDI31" s="478"/>
      <c r="CDJ31" s="478"/>
      <c r="CDK31" s="478"/>
      <c r="CDL31" s="478"/>
      <c r="CDM31" s="478"/>
      <c r="CDN31" s="478"/>
      <c r="CDO31" s="478"/>
      <c r="CDP31" s="478"/>
      <c r="CDQ31" s="478"/>
      <c r="CDR31" s="478"/>
      <c r="CDS31" s="478"/>
      <c r="CDT31" s="478"/>
      <c r="CDU31" s="478"/>
      <c r="CDV31" s="478"/>
      <c r="CDW31" s="478"/>
      <c r="CDX31" s="478"/>
      <c r="CDY31" s="478"/>
      <c r="CDZ31" s="478"/>
      <c r="CEA31" s="478"/>
      <c r="CEB31" s="478"/>
      <c r="CEC31" s="478"/>
      <c r="CED31" s="478"/>
      <c r="CEE31" s="478"/>
      <c r="CEF31" s="478"/>
      <c r="CEG31" s="478"/>
      <c r="CEH31" s="478"/>
      <c r="CEI31" s="478"/>
      <c r="CEJ31" s="478"/>
      <c r="CEK31" s="478"/>
      <c r="CEL31" s="478"/>
      <c r="CEM31" s="478"/>
      <c r="CEN31" s="478"/>
      <c r="CEO31" s="478"/>
      <c r="CEP31" s="478"/>
      <c r="CEQ31" s="478"/>
      <c r="CER31" s="478"/>
      <c r="CES31" s="478"/>
      <c r="CET31" s="478"/>
      <c r="CEU31" s="478"/>
      <c r="CEV31" s="478"/>
      <c r="CEW31" s="478"/>
      <c r="CEX31" s="478"/>
      <c r="CEY31" s="478"/>
      <c r="CEZ31" s="478"/>
      <c r="CFA31" s="478"/>
      <c r="CFB31" s="478"/>
      <c r="CFC31" s="478"/>
      <c r="CFD31" s="478"/>
      <c r="CFE31" s="478"/>
      <c r="CFF31" s="478"/>
      <c r="CFG31" s="478"/>
      <c r="CFH31" s="478"/>
      <c r="CFI31" s="478"/>
      <c r="CFJ31" s="478"/>
      <c r="CFK31" s="478"/>
      <c r="CFL31" s="478"/>
      <c r="CFM31" s="478"/>
      <c r="CFN31" s="478"/>
      <c r="CFO31" s="478"/>
      <c r="CFP31" s="478"/>
      <c r="CFQ31" s="478"/>
      <c r="CFR31" s="478"/>
      <c r="CFS31" s="478"/>
      <c r="CFT31" s="478"/>
      <c r="CFU31" s="478"/>
      <c r="CFV31" s="478"/>
      <c r="CFW31" s="478"/>
      <c r="CFX31" s="478"/>
      <c r="CFY31" s="478"/>
      <c r="CFZ31" s="478"/>
      <c r="CGA31" s="478"/>
      <c r="CGB31" s="478"/>
      <c r="CGC31" s="478"/>
      <c r="CGD31" s="478"/>
      <c r="CGE31" s="478"/>
      <c r="CGF31" s="478"/>
      <c r="CGG31" s="478"/>
      <c r="CGH31" s="478"/>
      <c r="CGI31" s="478"/>
      <c r="CGJ31" s="478"/>
      <c r="CGK31" s="478"/>
      <c r="CGL31" s="478"/>
      <c r="CGM31" s="478"/>
      <c r="CGN31" s="478"/>
      <c r="CGO31" s="478"/>
      <c r="CGP31" s="478"/>
      <c r="CGQ31" s="478"/>
      <c r="CGR31" s="478"/>
      <c r="CGS31" s="478"/>
      <c r="CGT31" s="478"/>
      <c r="CGU31" s="478"/>
      <c r="CGV31" s="478"/>
      <c r="CGW31" s="478"/>
      <c r="CGX31" s="478"/>
      <c r="CGY31" s="478"/>
      <c r="CGZ31" s="478"/>
      <c r="CHA31" s="478"/>
      <c r="CHB31" s="478"/>
      <c r="CHC31" s="478"/>
      <c r="CHD31" s="478"/>
      <c r="CHE31" s="478"/>
      <c r="CHF31" s="478"/>
      <c r="CHG31" s="478"/>
      <c r="CHH31" s="478"/>
      <c r="CHI31" s="478"/>
      <c r="CHJ31" s="478"/>
      <c r="CHK31" s="478"/>
      <c r="CHL31" s="478"/>
      <c r="CHM31" s="478"/>
      <c r="CHN31" s="478"/>
      <c r="CHO31" s="478"/>
      <c r="CHP31" s="478"/>
      <c r="CHQ31" s="478"/>
      <c r="CHR31" s="478"/>
      <c r="CHS31" s="478"/>
      <c r="CHT31" s="478"/>
      <c r="CHU31" s="478"/>
      <c r="CHV31" s="478"/>
      <c r="CHW31" s="478"/>
      <c r="CHX31" s="478"/>
      <c r="CHY31" s="478"/>
      <c r="CHZ31" s="478"/>
      <c r="CIA31" s="478"/>
      <c r="CIB31" s="478"/>
      <c r="CIC31" s="478"/>
      <c r="CID31" s="478"/>
      <c r="CIE31" s="478"/>
      <c r="CIF31" s="478"/>
      <c r="CIG31" s="478"/>
      <c r="CIH31" s="478"/>
      <c r="CII31" s="478"/>
      <c r="CIJ31" s="478"/>
      <c r="CIK31" s="478"/>
      <c r="CIL31" s="478"/>
      <c r="CIM31" s="478"/>
      <c r="CIN31" s="478"/>
      <c r="CIO31" s="478"/>
      <c r="CIP31" s="478"/>
      <c r="CIQ31" s="478"/>
      <c r="CIR31" s="478"/>
      <c r="CIS31" s="478"/>
      <c r="CIT31" s="478"/>
      <c r="CIU31" s="478"/>
      <c r="CIV31" s="478"/>
      <c r="CIW31" s="478"/>
      <c r="CIX31" s="478"/>
      <c r="CIY31" s="478"/>
      <c r="CIZ31" s="478"/>
      <c r="CJA31" s="478"/>
      <c r="CJB31" s="478"/>
      <c r="CJC31" s="478"/>
      <c r="CJD31" s="478"/>
      <c r="CJE31" s="478"/>
      <c r="CJF31" s="478"/>
      <c r="CJG31" s="478"/>
      <c r="CJH31" s="478"/>
      <c r="CJI31" s="478"/>
      <c r="CJJ31" s="478"/>
      <c r="CJK31" s="478"/>
      <c r="CJL31" s="478"/>
      <c r="CJM31" s="478"/>
      <c r="CJN31" s="478"/>
      <c r="CJO31" s="478"/>
      <c r="CJP31" s="478"/>
      <c r="CJQ31" s="478"/>
      <c r="CJR31" s="478"/>
      <c r="CJS31" s="478"/>
      <c r="CJT31" s="478"/>
      <c r="CJU31" s="478"/>
      <c r="CJV31" s="478"/>
      <c r="CJW31" s="478"/>
      <c r="CJX31" s="478"/>
      <c r="CJY31" s="478"/>
      <c r="CJZ31" s="478"/>
      <c r="CKA31" s="478"/>
      <c r="CKB31" s="478"/>
      <c r="CKC31" s="478"/>
      <c r="CKD31" s="478"/>
      <c r="CKE31" s="478"/>
      <c r="CKF31" s="478"/>
      <c r="CKG31" s="478"/>
      <c r="CKH31" s="478"/>
      <c r="CKI31" s="478"/>
      <c r="CKJ31" s="478"/>
      <c r="CKK31" s="478"/>
      <c r="CKL31" s="478"/>
      <c r="CKM31" s="478"/>
      <c r="CKN31" s="478"/>
      <c r="CKO31" s="478"/>
      <c r="CKP31" s="478"/>
      <c r="CKQ31" s="478"/>
      <c r="CKR31" s="478"/>
      <c r="CKS31" s="478"/>
      <c r="CKT31" s="478"/>
      <c r="CKU31" s="478"/>
      <c r="CKV31" s="478"/>
      <c r="CKW31" s="478"/>
      <c r="CKX31" s="478"/>
      <c r="CKY31" s="478"/>
      <c r="CKZ31" s="478"/>
      <c r="CLA31" s="478"/>
      <c r="CLB31" s="478"/>
      <c r="CLC31" s="478"/>
      <c r="CLD31" s="478"/>
      <c r="CLE31" s="478"/>
      <c r="CLF31" s="478"/>
      <c r="CLG31" s="478"/>
      <c r="CLH31" s="478"/>
      <c r="CLI31" s="478"/>
      <c r="CLJ31" s="478"/>
      <c r="CLK31" s="478"/>
      <c r="CLL31" s="478"/>
      <c r="CLM31" s="478"/>
      <c r="CLN31" s="478"/>
      <c r="CLO31" s="478"/>
      <c r="CLP31" s="478"/>
      <c r="CLQ31" s="478"/>
      <c r="CLR31" s="478"/>
      <c r="CLS31" s="478"/>
      <c r="CLT31" s="478"/>
      <c r="CLU31" s="478"/>
      <c r="CLV31" s="478"/>
      <c r="CLW31" s="478"/>
      <c r="CLX31" s="478"/>
      <c r="CLY31" s="478"/>
      <c r="CLZ31" s="478"/>
      <c r="CMA31" s="478"/>
      <c r="CMB31" s="478"/>
      <c r="CMC31" s="478"/>
      <c r="CMD31" s="478"/>
      <c r="CME31" s="478"/>
      <c r="CMF31" s="478"/>
      <c r="CMG31" s="478"/>
      <c r="CMH31" s="478"/>
      <c r="CMI31" s="478"/>
      <c r="CMJ31" s="478"/>
      <c r="CMK31" s="478"/>
      <c r="CML31" s="478"/>
      <c r="CMM31" s="478"/>
      <c r="CMN31" s="478"/>
      <c r="CMO31" s="478"/>
      <c r="CMP31" s="478"/>
      <c r="CMQ31" s="478"/>
      <c r="CMR31" s="478"/>
      <c r="CMS31" s="478"/>
      <c r="CMT31" s="478"/>
      <c r="CMU31" s="478"/>
      <c r="CMV31" s="478"/>
      <c r="CMW31" s="478"/>
      <c r="CMX31" s="478"/>
      <c r="CMY31" s="478"/>
      <c r="CMZ31" s="478"/>
      <c r="CNA31" s="478"/>
      <c r="CNB31" s="478"/>
      <c r="CNC31" s="478"/>
      <c r="CND31" s="478"/>
      <c r="CNE31" s="478"/>
      <c r="CNF31" s="478"/>
      <c r="CNG31" s="478"/>
      <c r="CNH31" s="478"/>
      <c r="CNI31" s="478"/>
      <c r="CNJ31" s="478"/>
      <c r="CNK31" s="478"/>
      <c r="CNL31" s="478"/>
      <c r="CNM31" s="478"/>
      <c r="CNN31" s="478"/>
      <c r="CNO31" s="478"/>
      <c r="CNP31" s="478"/>
      <c r="CNQ31" s="478"/>
      <c r="CNR31" s="478"/>
      <c r="CNS31" s="478"/>
      <c r="CNT31" s="478"/>
      <c r="CNU31" s="478"/>
      <c r="CNV31" s="478"/>
      <c r="CNW31" s="478"/>
      <c r="CNX31" s="478"/>
      <c r="CNY31" s="478"/>
      <c r="CNZ31" s="478"/>
      <c r="COA31" s="478"/>
      <c r="COB31" s="478"/>
      <c r="COC31" s="478"/>
      <c r="COD31" s="478"/>
      <c r="COE31" s="478"/>
      <c r="COF31" s="478"/>
      <c r="COG31" s="478"/>
      <c r="COH31" s="478"/>
      <c r="COI31" s="478"/>
      <c r="COJ31" s="478"/>
      <c r="COK31" s="478"/>
      <c r="COL31" s="478"/>
      <c r="COM31" s="478"/>
      <c r="CON31" s="478"/>
      <c r="COO31" s="478"/>
      <c r="COP31" s="478"/>
      <c r="COQ31" s="478"/>
      <c r="COR31" s="478"/>
      <c r="COS31" s="478"/>
      <c r="COT31" s="478"/>
      <c r="COU31" s="478"/>
      <c r="COV31" s="478"/>
      <c r="COW31" s="478"/>
      <c r="COX31" s="478"/>
      <c r="COY31" s="478"/>
      <c r="COZ31" s="478"/>
      <c r="CPA31" s="478"/>
      <c r="CPB31" s="478"/>
      <c r="CPC31" s="478"/>
      <c r="CPD31" s="478"/>
      <c r="CPE31" s="478"/>
      <c r="CPF31" s="478"/>
      <c r="CPG31" s="478"/>
      <c r="CPH31" s="478"/>
      <c r="CPI31" s="478"/>
      <c r="CPJ31" s="478"/>
      <c r="CPK31" s="478"/>
      <c r="CPL31" s="478"/>
      <c r="CPM31" s="478"/>
      <c r="CPN31" s="478"/>
      <c r="CPO31" s="478"/>
      <c r="CPP31" s="478"/>
      <c r="CPQ31" s="478"/>
      <c r="CPR31" s="478"/>
      <c r="CPS31" s="478"/>
      <c r="CPT31" s="478"/>
      <c r="CPU31" s="478"/>
      <c r="CPV31" s="478"/>
      <c r="CPW31" s="478"/>
      <c r="CPX31" s="478"/>
      <c r="CPY31" s="478"/>
      <c r="CPZ31" s="478"/>
      <c r="CQA31" s="478"/>
      <c r="CQB31" s="478"/>
      <c r="CQC31" s="478"/>
      <c r="CQD31" s="478"/>
      <c r="CQE31" s="478"/>
      <c r="CQF31" s="478"/>
      <c r="CQG31" s="478"/>
      <c r="CQH31" s="478"/>
      <c r="CQI31" s="478"/>
      <c r="CQJ31" s="478"/>
      <c r="CQK31" s="478"/>
      <c r="CQL31" s="478"/>
      <c r="CQM31" s="478"/>
      <c r="CQN31" s="478"/>
      <c r="CQO31" s="478"/>
      <c r="CQP31" s="478"/>
      <c r="CQQ31" s="478"/>
      <c r="CQR31" s="478"/>
      <c r="CQS31" s="478"/>
      <c r="CQT31" s="478"/>
      <c r="CQU31" s="478"/>
      <c r="CQV31" s="478"/>
      <c r="CQW31" s="478"/>
      <c r="CQX31" s="478"/>
      <c r="CQY31" s="478"/>
      <c r="CQZ31" s="478"/>
      <c r="CRA31" s="478"/>
      <c r="CRB31" s="478"/>
      <c r="CRC31" s="478"/>
      <c r="CRD31" s="478"/>
      <c r="CRE31" s="478"/>
      <c r="CRF31" s="478"/>
      <c r="CRG31" s="478"/>
      <c r="CRH31" s="478"/>
      <c r="CRI31" s="478"/>
      <c r="CRJ31" s="478"/>
      <c r="CRK31" s="478"/>
      <c r="CRL31" s="478"/>
      <c r="CRM31" s="478"/>
      <c r="CRN31" s="478"/>
      <c r="CRO31" s="478"/>
      <c r="CRP31" s="478"/>
      <c r="CRQ31" s="478"/>
      <c r="CRR31" s="478"/>
      <c r="CRS31" s="478"/>
      <c r="CRT31" s="478"/>
      <c r="CRU31" s="478"/>
      <c r="CRV31" s="478"/>
      <c r="CRW31" s="478"/>
      <c r="CRX31" s="478"/>
      <c r="CRY31" s="478"/>
      <c r="CRZ31" s="478"/>
      <c r="CSA31" s="478"/>
      <c r="CSB31" s="478"/>
      <c r="CSC31" s="478"/>
      <c r="CSD31" s="478"/>
      <c r="CSE31" s="478"/>
      <c r="CSF31" s="478"/>
      <c r="CSG31" s="478"/>
      <c r="CSH31" s="478"/>
      <c r="CSI31" s="478"/>
      <c r="CSJ31" s="478"/>
      <c r="CSK31" s="478"/>
      <c r="CSL31" s="478"/>
      <c r="CSM31" s="478"/>
      <c r="CSN31" s="478"/>
      <c r="CSO31" s="478"/>
      <c r="CSP31" s="478"/>
      <c r="CSQ31" s="478"/>
      <c r="CSR31" s="478"/>
      <c r="CSS31" s="478"/>
      <c r="CST31" s="478"/>
      <c r="CSU31" s="478"/>
      <c r="CSV31" s="478"/>
      <c r="CSW31" s="478"/>
      <c r="CSX31" s="478"/>
      <c r="CSY31" s="478"/>
      <c r="CSZ31" s="478"/>
      <c r="CTA31" s="478"/>
      <c r="CTB31" s="478"/>
      <c r="CTC31" s="478"/>
      <c r="CTD31" s="478"/>
      <c r="CTE31" s="478"/>
      <c r="CTF31" s="478"/>
      <c r="CTG31" s="478"/>
      <c r="CTH31" s="478"/>
      <c r="CTI31" s="478"/>
      <c r="CTJ31" s="478"/>
      <c r="CTK31" s="478"/>
      <c r="CTL31" s="478"/>
      <c r="CTM31" s="478"/>
      <c r="CTN31" s="478"/>
      <c r="CTO31" s="478"/>
      <c r="CTP31" s="478"/>
      <c r="CTQ31" s="478"/>
      <c r="CTR31" s="478"/>
      <c r="CTS31" s="478"/>
      <c r="CTT31" s="478"/>
      <c r="CTU31" s="478"/>
      <c r="CTV31" s="478"/>
      <c r="CTW31" s="478"/>
      <c r="CTX31" s="478"/>
      <c r="CTY31" s="478"/>
      <c r="CTZ31" s="478"/>
      <c r="CUA31" s="478"/>
      <c r="CUB31" s="478"/>
      <c r="CUC31" s="478"/>
      <c r="CUD31" s="478"/>
      <c r="CUE31" s="478"/>
      <c r="CUF31" s="478"/>
      <c r="CUG31" s="478"/>
      <c r="CUH31" s="478"/>
      <c r="CUI31" s="478"/>
      <c r="CUJ31" s="478"/>
      <c r="CUK31" s="478"/>
      <c r="CUL31" s="478"/>
      <c r="CUM31" s="478"/>
      <c r="CUN31" s="478"/>
      <c r="CUO31" s="478"/>
      <c r="CUP31" s="478"/>
      <c r="CUQ31" s="478"/>
      <c r="CUR31" s="478"/>
      <c r="CUS31" s="478"/>
      <c r="CUT31" s="478"/>
      <c r="CUU31" s="478"/>
      <c r="CUV31" s="478"/>
      <c r="CUW31" s="478"/>
      <c r="CUX31" s="478"/>
      <c r="CUY31" s="478"/>
      <c r="CUZ31" s="478"/>
      <c r="CVA31" s="478"/>
      <c r="CVB31" s="478"/>
      <c r="CVC31" s="478"/>
      <c r="CVD31" s="478"/>
      <c r="CVE31" s="478"/>
      <c r="CVF31" s="478"/>
      <c r="CVG31" s="478"/>
      <c r="CVH31" s="478"/>
      <c r="CVI31" s="478"/>
      <c r="CVJ31" s="478"/>
      <c r="CVK31" s="478"/>
      <c r="CVL31" s="478"/>
      <c r="CVM31" s="478"/>
      <c r="CVN31" s="478"/>
      <c r="CVO31" s="478"/>
      <c r="CVP31" s="478"/>
      <c r="CVQ31" s="478"/>
      <c r="CVR31" s="478"/>
      <c r="CVS31" s="478"/>
      <c r="CVT31" s="478"/>
      <c r="CVU31" s="478"/>
      <c r="CVV31" s="478"/>
      <c r="CVW31" s="478"/>
      <c r="CVX31" s="478"/>
      <c r="CVY31" s="478"/>
      <c r="CVZ31" s="478"/>
      <c r="CWA31" s="478"/>
      <c r="CWB31" s="478"/>
      <c r="CWC31" s="478"/>
      <c r="CWD31" s="478"/>
      <c r="CWE31" s="478"/>
      <c r="CWF31" s="478"/>
      <c r="CWG31" s="478"/>
      <c r="CWH31" s="478"/>
      <c r="CWI31" s="478"/>
      <c r="CWJ31" s="478"/>
      <c r="CWK31" s="478"/>
      <c r="CWL31" s="478"/>
      <c r="CWM31" s="478"/>
      <c r="CWN31" s="478"/>
      <c r="CWO31" s="478"/>
      <c r="CWP31" s="478"/>
      <c r="CWQ31" s="478"/>
      <c r="CWR31" s="478"/>
      <c r="CWS31" s="478"/>
      <c r="CWT31" s="478"/>
      <c r="CWU31" s="478"/>
      <c r="CWV31" s="478"/>
      <c r="CWW31" s="478"/>
      <c r="CWX31" s="478"/>
      <c r="CWY31" s="478"/>
      <c r="CWZ31" s="478"/>
      <c r="CXA31" s="478"/>
      <c r="CXB31" s="478"/>
      <c r="CXC31" s="478"/>
      <c r="CXD31" s="478"/>
      <c r="CXE31" s="478"/>
      <c r="CXF31" s="478"/>
      <c r="CXG31" s="478"/>
      <c r="CXH31" s="478"/>
      <c r="CXI31" s="478"/>
      <c r="CXJ31" s="478"/>
      <c r="CXK31" s="478"/>
      <c r="CXL31" s="478"/>
      <c r="CXM31" s="478"/>
      <c r="CXN31" s="478"/>
      <c r="CXO31" s="478"/>
      <c r="CXP31" s="478"/>
      <c r="CXQ31" s="478"/>
      <c r="CXR31" s="478"/>
      <c r="CXS31" s="478"/>
      <c r="CXT31" s="478"/>
      <c r="CXU31" s="478"/>
      <c r="CXV31" s="478"/>
      <c r="CXW31" s="478"/>
      <c r="CXX31" s="478"/>
      <c r="CXY31" s="478"/>
      <c r="CXZ31" s="478"/>
      <c r="CYA31" s="478"/>
      <c r="CYB31" s="478"/>
      <c r="CYC31" s="478"/>
      <c r="CYD31" s="478"/>
      <c r="CYE31" s="478"/>
      <c r="CYF31" s="478"/>
      <c r="CYG31" s="478"/>
      <c r="CYH31" s="478"/>
      <c r="CYI31" s="478"/>
      <c r="CYJ31" s="478"/>
      <c r="CYK31" s="478"/>
      <c r="CYL31" s="478"/>
      <c r="CYM31" s="478"/>
      <c r="CYN31" s="478"/>
      <c r="CYO31" s="478"/>
      <c r="CYP31" s="478"/>
      <c r="CYQ31" s="478"/>
      <c r="CYR31" s="478"/>
      <c r="CYS31" s="478"/>
      <c r="CYT31" s="478"/>
      <c r="CYU31" s="478"/>
      <c r="CYV31" s="478"/>
      <c r="CYW31" s="478"/>
      <c r="CYX31" s="478"/>
      <c r="CYY31" s="478"/>
      <c r="CYZ31" s="478"/>
      <c r="CZA31" s="478"/>
      <c r="CZB31" s="478"/>
      <c r="CZC31" s="478"/>
      <c r="CZD31" s="478"/>
      <c r="CZE31" s="478"/>
      <c r="CZF31" s="478"/>
      <c r="CZG31" s="478"/>
      <c r="CZH31" s="478"/>
      <c r="CZI31" s="478"/>
      <c r="CZJ31" s="478"/>
      <c r="CZK31" s="478"/>
      <c r="CZL31" s="478"/>
      <c r="CZM31" s="478"/>
      <c r="CZN31" s="478"/>
      <c r="CZO31" s="478"/>
      <c r="CZP31" s="478"/>
      <c r="CZQ31" s="478"/>
      <c r="CZR31" s="478"/>
      <c r="CZS31" s="478"/>
      <c r="CZT31" s="478"/>
      <c r="CZU31" s="478"/>
      <c r="CZV31" s="478"/>
      <c r="CZW31" s="478"/>
      <c r="CZX31" s="478"/>
      <c r="CZY31" s="478"/>
      <c r="CZZ31" s="478"/>
      <c r="DAA31" s="478"/>
      <c r="DAB31" s="478"/>
      <c r="DAC31" s="478"/>
      <c r="DAD31" s="478"/>
      <c r="DAE31" s="478"/>
      <c r="DAF31" s="478"/>
      <c r="DAG31" s="478"/>
      <c r="DAH31" s="478"/>
      <c r="DAI31" s="478"/>
      <c r="DAJ31" s="478"/>
      <c r="DAK31" s="478"/>
      <c r="DAL31" s="478"/>
      <c r="DAM31" s="478"/>
      <c r="DAN31" s="478"/>
      <c r="DAO31" s="478"/>
      <c r="DAP31" s="478"/>
      <c r="DAQ31" s="478"/>
      <c r="DAR31" s="478"/>
      <c r="DAS31" s="478"/>
      <c r="DAT31" s="478"/>
      <c r="DAU31" s="478"/>
      <c r="DAV31" s="478"/>
      <c r="DAW31" s="478"/>
      <c r="DAX31" s="478"/>
      <c r="DAY31" s="478"/>
      <c r="DAZ31" s="478"/>
      <c r="DBA31" s="478"/>
      <c r="DBB31" s="478"/>
      <c r="DBC31" s="478"/>
      <c r="DBD31" s="478"/>
      <c r="DBE31" s="478"/>
      <c r="DBF31" s="478"/>
      <c r="DBG31" s="478"/>
      <c r="DBH31" s="478"/>
      <c r="DBI31" s="478"/>
      <c r="DBJ31" s="478"/>
      <c r="DBK31" s="478"/>
      <c r="DBL31" s="478"/>
      <c r="DBM31" s="478"/>
      <c r="DBN31" s="478"/>
      <c r="DBO31" s="478"/>
      <c r="DBP31" s="478"/>
      <c r="DBQ31" s="478"/>
      <c r="DBR31" s="478"/>
      <c r="DBS31" s="478"/>
      <c r="DBT31" s="478"/>
      <c r="DBU31" s="478"/>
      <c r="DBV31" s="478"/>
      <c r="DBW31" s="478"/>
      <c r="DBX31" s="478"/>
      <c r="DBY31" s="478"/>
      <c r="DBZ31" s="478"/>
      <c r="DCA31" s="478"/>
      <c r="DCB31" s="478"/>
      <c r="DCC31" s="478"/>
      <c r="DCD31" s="478"/>
      <c r="DCE31" s="478"/>
      <c r="DCF31" s="478"/>
      <c r="DCG31" s="478"/>
      <c r="DCH31" s="478"/>
      <c r="DCI31" s="478"/>
      <c r="DCJ31" s="478"/>
      <c r="DCK31" s="478"/>
      <c r="DCL31" s="478"/>
      <c r="DCM31" s="478"/>
      <c r="DCN31" s="478"/>
      <c r="DCO31" s="478"/>
      <c r="DCP31" s="478"/>
      <c r="DCQ31" s="478"/>
      <c r="DCR31" s="478"/>
      <c r="DCS31" s="478"/>
      <c r="DCT31" s="478"/>
      <c r="DCU31" s="478"/>
      <c r="DCV31" s="478"/>
      <c r="DCW31" s="478"/>
      <c r="DCX31" s="478"/>
      <c r="DCY31" s="478"/>
      <c r="DCZ31" s="478"/>
      <c r="DDA31" s="478"/>
      <c r="DDB31" s="478"/>
      <c r="DDC31" s="478"/>
      <c r="DDD31" s="478"/>
      <c r="DDE31" s="478"/>
      <c r="DDF31" s="478"/>
      <c r="DDG31" s="478"/>
      <c r="DDH31" s="478"/>
      <c r="DDI31" s="478"/>
      <c r="DDJ31" s="478"/>
      <c r="DDK31" s="478"/>
      <c r="DDL31" s="478"/>
      <c r="DDM31" s="478"/>
      <c r="DDN31" s="478"/>
      <c r="DDO31" s="478"/>
      <c r="DDP31" s="478"/>
      <c r="DDQ31" s="478"/>
      <c r="DDR31" s="478"/>
      <c r="DDS31" s="478"/>
      <c r="DDT31" s="478"/>
      <c r="DDU31" s="478"/>
      <c r="DDV31" s="478"/>
      <c r="DDW31" s="478"/>
      <c r="DDX31" s="478"/>
      <c r="DDY31" s="478"/>
      <c r="DDZ31" s="478"/>
      <c r="DEA31" s="478"/>
      <c r="DEB31" s="478"/>
      <c r="DEC31" s="478"/>
      <c r="DED31" s="478"/>
      <c r="DEE31" s="478"/>
      <c r="DEF31" s="478"/>
      <c r="DEG31" s="478"/>
      <c r="DEH31" s="478"/>
      <c r="DEI31" s="478"/>
      <c r="DEJ31" s="478"/>
      <c r="DEK31" s="478"/>
      <c r="DEL31" s="478"/>
      <c r="DEM31" s="478"/>
      <c r="DEN31" s="478"/>
      <c r="DEO31" s="478"/>
      <c r="DEP31" s="478"/>
      <c r="DEQ31" s="478"/>
      <c r="DER31" s="478"/>
      <c r="DES31" s="478"/>
      <c r="DET31" s="478"/>
      <c r="DEU31" s="478"/>
      <c r="DEV31" s="478"/>
      <c r="DEW31" s="478"/>
      <c r="DEX31" s="478"/>
      <c r="DEY31" s="478"/>
      <c r="DEZ31" s="478"/>
      <c r="DFA31" s="478"/>
      <c r="DFB31" s="478"/>
      <c r="DFC31" s="478"/>
      <c r="DFD31" s="478"/>
      <c r="DFE31" s="478"/>
      <c r="DFF31" s="478"/>
      <c r="DFG31" s="478"/>
      <c r="DFH31" s="478"/>
      <c r="DFI31" s="478"/>
      <c r="DFJ31" s="478"/>
      <c r="DFK31" s="478"/>
      <c r="DFL31" s="478"/>
      <c r="DFM31" s="478"/>
      <c r="DFN31" s="478"/>
      <c r="DFO31" s="478"/>
      <c r="DFP31" s="478"/>
      <c r="DFQ31" s="478"/>
      <c r="DFR31" s="478"/>
      <c r="DFS31" s="478"/>
      <c r="DFT31" s="478"/>
      <c r="DFU31" s="478"/>
      <c r="DFV31" s="478"/>
      <c r="DFW31" s="478"/>
      <c r="DFX31" s="478"/>
      <c r="DFY31" s="478"/>
      <c r="DFZ31" s="478"/>
      <c r="DGA31" s="478"/>
      <c r="DGB31" s="478"/>
      <c r="DGC31" s="478"/>
      <c r="DGD31" s="478"/>
      <c r="DGE31" s="478"/>
      <c r="DGF31" s="478"/>
      <c r="DGG31" s="478"/>
      <c r="DGH31" s="478"/>
      <c r="DGI31" s="478"/>
      <c r="DGJ31" s="478"/>
      <c r="DGK31" s="478"/>
      <c r="DGL31" s="478"/>
      <c r="DGM31" s="478"/>
      <c r="DGN31" s="478"/>
      <c r="DGO31" s="478"/>
      <c r="DGP31" s="478"/>
      <c r="DGQ31" s="478"/>
      <c r="DGR31" s="478"/>
      <c r="DGS31" s="478"/>
      <c r="DGT31" s="478"/>
      <c r="DGU31" s="478"/>
      <c r="DGV31" s="478"/>
      <c r="DGW31" s="478"/>
      <c r="DGX31" s="478"/>
      <c r="DGY31" s="478"/>
      <c r="DGZ31" s="478"/>
      <c r="DHA31" s="478"/>
      <c r="DHB31" s="478"/>
      <c r="DHC31" s="478"/>
      <c r="DHD31" s="478"/>
      <c r="DHE31" s="478"/>
      <c r="DHF31" s="478"/>
      <c r="DHG31" s="478"/>
      <c r="DHH31" s="478"/>
      <c r="DHI31" s="478"/>
      <c r="DHJ31" s="478"/>
      <c r="DHK31" s="478"/>
      <c r="DHL31" s="478"/>
      <c r="DHM31" s="478"/>
      <c r="DHN31" s="478"/>
      <c r="DHO31" s="478"/>
      <c r="DHP31" s="478"/>
      <c r="DHQ31" s="478"/>
      <c r="DHR31" s="478"/>
      <c r="DHS31" s="478"/>
      <c r="DHT31" s="478"/>
      <c r="DHU31" s="478"/>
      <c r="DHV31" s="478"/>
      <c r="DHW31" s="478"/>
      <c r="DHX31" s="478"/>
      <c r="DHY31" s="478"/>
      <c r="DHZ31" s="478"/>
      <c r="DIA31" s="478"/>
      <c r="DIB31" s="478"/>
      <c r="DIC31" s="478"/>
      <c r="DID31" s="478"/>
      <c r="DIE31" s="478"/>
      <c r="DIF31" s="478"/>
      <c r="DIG31" s="478"/>
      <c r="DIH31" s="478"/>
      <c r="DII31" s="478"/>
      <c r="DIJ31" s="478"/>
      <c r="DIK31" s="478"/>
      <c r="DIL31" s="478"/>
      <c r="DIM31" s="478"/>
      <c r="DIN31" s="478"/>
      <c r="DIO31" s="478"/>
      <c r="DIP31" s="478"/>
      <c r="DIQ31" s="478"/>
      <c r="DIR31" s="478"/>
      <c r="DIS31" s="478"/>
      <c r="DIT31" s="478"/>
      <c r="DIU31" s="478"/>
      <c r="DIV31" s="478"/>
      <c r="DIW31" s="478"/>
      <c r="DIX31" s="478"/>
      <c r="DIY31" s="478"/>
      <c r="DIZ31" s="478"/>
      <c r="DJA31" s="478"/>
      <c r="DJB31" s="478"/>
      <c r="DJC31" s="478"/>
      <c r="DJD31" s="478"/>
      <c r="DJE31" s="478"/>
      <c r="DJF31" s="478"/>
      <c r="DJG31" s="478"/>
      <c r="DJH31" s="478"/>
      <c r="DJI31" s="478"/>
      <c r="DJJ31" s="478"/>
      <c r="DJK31" s="478"/>
      <c r="DJL31" s="478"/>
      <c r="DJM31" s="478"/>
      <c r="DJN31" s="478"/>
      <c r="DJO31" s="478"/>
      <c r="DJP31" s="478"/>
      <c r="DJQ31" s="478"/>
      <c r="DJR31" s="478"/>
      <c r="DJS31" s="478"/>
      <c r="DJT31" s="478"/>
      <c r="DJU31" s="478"/>
      <c r="DJV31" s="478"/>
      <c r="DJW31" s="478"/>
      <c r="DJX31" s="478"/>
      <c r="DJY31" s="478"/>
      <c r="DJZ31" s="478"/>
      <c r="DKA31" s="478"/>
      <c r="DKB31" s="478"/>
      <c r="DKC31" s="478"/>
      <c r="DKD31" s="478"/>
      <c r="DKE31" s="478"/>
      <c r="DKF31" s="478"/>
      <c r="DKG31" s="478"/>
      <c r="DKH31" s="478"/>
      <c r="DKI31" s="478"/>
      <c r="DKJ31" s="478"/>
      <c r="DKK31" s="478"/>
      <c r="DKL31" s="478"/>
      <c r="DKM31" s="478"/>
      <c r="DKN31" s="478"/>
      <c r="DKO31" s="478"/>
      <c r="DKP31" s="478"/>
      <c r="DKQ31" s="478"/>
      <c r="DKR31" s="478"/>
      <c r="DKS31" s="478"/>
      <c r="DKT31" s="478"/>
      <c r="DKU31" s="478"/>
      <c r="DKV31" s="478"/>
      <c r="DKW31" s="478"/>
      <c r="DKX31" s="478"/>
      <c r="DKY31" s="478"/>
      <c r="DKZ31" s="478"/>
      <c r="DLA31" s="478"/>
      <c r="DLB31" s="478"/>
      <c r="DLC31" s="478"/>
      <c r="DLD31" s="478"/>
      <c r="DLE31" s="478"/>
      <c r="DLF31" s="478"/>
      <c r="DLG31" s="478"/>
      <c r="DLH31" s="478"/>
      <c r="DLI31" s="478"/>
      <c r="DLJ31" s="478"/>
      <c r="DLK31" s="478"/>
      <c r="DLL31" s="478"/>
      <c r="DLM31" s="478"/>
      <c r="DLN31" s="478"/>
      <c r="DLO31" s="478"/>
      <c r="DLP31" s="478"/>
      <c r="DLQ31" s="478"/>
      <c r="DLR31" s="478"/>
      <c r="DLS31" s="478"/>
      <c r="DLT31" s="478"/>
      <c r="DLU31" s="478"/>
      <c r="DLV31" s="478"/>
      <c r="DLW31" s="478"/>
      <c r="DLX31" s="478"/>
      <c r="DLY31" s="478"/>
      <c r="DLZ31" s="478"/>
      <c r="DMA31" s="478"/>
      <c r="DMB31" s="478"/>
      <c r="DMC31" s="478"/>
      <c r="DMD31" s="478"/>
      <c r="DME31" s="478"/>
      <c r="DMF31" s="478"/>
      <c r="DMG31" s="478"/>
      <c r="DMH31" s="478"/>
      <c r="DMI31" s="478"/>
      <c r="DMJ31" s="478"/>
      <c r="DMK31" s="478"/>
      <c r="DML31" s="478"/>
      <c r="DMM31" s="478"/>
      <c r="DMN31" s="478"/>
      <c r="DMO31" s="478"/>
      <c r="DMP31" s="478"/>
      <c r="DMQ31" s="478"/>
      <c r="DMR31" s="478"/>
      <c r="DMS31" s="478"/>
      <c r="DMT31" s="478"/>
      <c r="DMU31" s="478"/>
      <c r="DMV31" s="478"/>
      <c r="DMW31" s="478"/>
      <c r="DMX31" s="478"/>
      <c r="DMY31" s="478"/>
      <c r="DMZ31" s="478"/>
      <c r="DNA31" s="478"/>
      <c r="DNB31" s="478"/>
      <c r="DNC31" s="478"/>
      <c r="DND31" s="478"/>
      <c r="DNE31" s="478"/>
      <c r="DNF31" s="478"/>
      <c r="DNG31" s="478"/>
      <c r="DNH31" s="478"/>
      <c r="DNI31" s="478"/>
      <c r="DNJ31" s="478"/>
      <c r="DNK31" s="478"/>
      <c r="DNL31" s="478"/>
      <c r="DNM31" s="478"/>
      <c r="DNN31" s="478"/>
      <c r="DNO31" s="478"/>
      <c r="DNP31" s="478"/>
      <c r="DNQ31" s="478"/>
      <c r="DNR31" s="478"/>
      <c r="DNS31" s="478"/>
      <c r="DNT31" s="478"/>
      <c r="DNU31" s="478"/>
      <c r="DNV31" s="478"/>
      <c r="DNW31" s="478"/>
      <c r="DNX31" s="478"/>
      <c r="DNY31" s="478"/>
      <c r="DNZ31" s="478"/>
      <c r="DOA31" s="478"/>
      <c r="DOB31" s="478"/>
      <c r="DOC31" s="478"/>
      <c r="DOD31" s="478"/>
      <c r="DOE31" s="478"/>
      <c r="DOF31" s="478"/>
      <c r="DOG31" s="478"/>
      <c r="DOH31" s="478"/>
      <c r="DOI31" s="478"/>
      <c r="DOJ31" s="478"/>
      <c r="DOK31" s="478"/>
      <c r="DOL31" s="478"/>
      <c r="DOM31" s="478"/>
      <c r="DON31" s="478"/>
      <c r="DOO31" s="478"/>
      <c r="DOP31" s="478"/>
      <c r="DOQ31" s="478"/>
      <c r="DOR31" s="478"/>
      <c r="DOS31" s="478"/>
      <c r="DOT31" s="478"/>
      <c r="DOU31" s="478"/>
      <c r="DOV31" s="478"/>
      <c r="DOW31" s="478"/>
      <c r="DOX31" s="478"/>
      <c r="DOY31" s="478"/>
      <c r="DOZ31" s="478"/>
      <c r="DPA31" s="478"/>
      <c r="DPB31" s="478"/>
      <c r="DPC31" s="478"/>
      <c r="DPD31" s="478"/>
      <c r="DPE31" s="478"/>
      <c r="DPF31" s="478"/>
      <c r="DPG31" s="478"/>
      <c r="DPH31" s="478"/>
      <c r="DPI31" s="478"/>
      <c r="DPJ31" s="478"/>
      <c r="DPK31" s="478"/>
      <c r="DPL31" s="478"/>
      <c r="DPM31" s="478"/>
      <c r="DPN31" s="478"/>
      <c r="DPO31" s="478"/>
      <c r="DPP31" s="478"/>
      <c r="DPQ31" s="478"/>
      <c r="DPR31" s="478"/>
      <c r="DPS31" s="478"/>
      <c r="DPT31" s="478"/>
      <c r="DPU31" s="478"/>
      <c r="DPV31" s="478"/>
      <c r="DPW31" s="478"/>
      <c r="DPX31" s="478"/>
      <c r="DPY31" s="478"/>
      <c r="DPZ31" s="478"/>
      <c r="DQA31" s="478"/>
      <c r="DQB31" s="478"/>
      <c r="DQC31" s="478"/>
      <c r="DQD31" s="478"/>
      <c r="DQE31" s="478"/>
      <c r="DQF31" s="478"/>
      <c r="DQG31" s="478"/>
      <c r="DQH31" s="478"/>
      <c r="DQI31" s="478"/>
      <c r="DQJ31" s="478"/>
      <c r="DQK31" s="478"/>
      <c r="DQL31" s="478"/>
      <c r="DQM31" s="478"/>
      <c r="DQN31" s="478"/>
      <c r="DQO31" s="478"/>
      <c r="DQP31" s="478"/>
      <c r="DQQ31" s="478"/>
      <c r="DQR31" s="478"/>
      <c r="DQS31" s="478"/>
      <c r="DQT31" s="478"/>
      <c r="DQU31" s="478"/>
      <c r="DQV31" s="478"/>
      <c r="DQW31" s="478"/>
      <c r="DQX31" s="478"/>
      <c r="DQY31" s="478"/>
      <c r="DQZ31" s="478"/>
      <c r="DRA31" s="478"/>
      <c r="DRB31" s="478"/>
      <c r="DRC31" s="478"/>
      <c r="DRD31" s="478"/>
      <c r="DRE31" s="478"/>
      <c r="DRF31" s="478"/>
      <c r="DRG31" s="478"/>
      <c r="DRH31" s="478"/>
      <c r="DRI31" s="478"/>
      <c r="DRJ31" s="478"/>
      <c r="DRK31" s="478"/>
      <c r="DRL31" s="478"/>
      <c r="DRM31" s="478"/>
      <c r="DRN31" s="478"/>
      <c r="DRO31" s="478"/>
      <c r="DRP31" s="478"/>
      <c r="DRQ31" s="478"/>
      <c r="DRR31" s="478"/>
      <c r="DRS31" s="478"/>
      <c r="DRT31" s="478"/>
      <c r="DRU31" s="478"/>
      <c r="DRV31" s="478"/>
      <c r="DRW31" s="478"/>
      <c r="DRX31" s="478"/>
      <c r="DRY31" s="478"/>
      <c r="DRZ31" s="478"/>
      <c r="DSA31" s="478"/>
      <c r="DSB31" s="478"/>
      <c r="DSC31" s="478"/>
      <c r="DSD31" s="478"/>
      <c r="DSE31" s="478"/>
      <c r="DSF31" s="478"/>
      <c r="DSG31" s="478"/>
      <c r="DSH31" s="478"/>
      <c r="DSI31" s="478"/>
      <c r="DSJ31" s="478"/>
      <c r="DSK31" s="478"/>
      <c r="DSL31" s="478"/>
      <c r="DSM31" s="478"/>
      <c r="DSN31" s="478"/>
      <c r="DSO31" s="478"/>
      <c r="DSP31" s="478"/>
      <c r="DSQ31" s="478"/>
      <c r="DSR31" s="478"/>
      <c r="DSS31" s="478"/>
      <c r="DST31" s="478"/>
      <c r="DSU31" s="478"/>
      <c r="DSV31" s="478"/>
      <c r="DSW31" s="478"/>
      <c r="DSX31" s="478"/>
      <c r="DSY31" s="478"/>
      <c r="DSZ31" s="478"/>
      <c r="DTA31" s="478"/>
      <c r="DTB31" s="478"/>
      <c r="DTC31" s="478"/>
      <c r="DTD31" s="478"/>
      <c r="DTE31" s="478"/>
      <c r="DTF31" s="478"/>
      <c r="DTG31" s="478"/>
      <c r="DTH31" s="478"/>
      <c r="DTI31" s="478"/>
      <c r="DTJ31" s="478"/>
      <c r="DTK31" s="478"/>
      <c r="DTL31" s="478"/>
      <c r="DTM31" s="478"/>
      <c r="DTN31" s="478"/>
      <c r="DTO31" s="478"/>
      <c r="DTP31" s="478"/>
      <c r="DTQ31" s="478"/>
      <c r="DTR31" s="478"/>
      <c r="DTS31" s="478"/>
      <c r="DTT31" s="478"/>
      <c r="DTU31" s="478"/>
      <c r="DTV31" s="478"/>
      <c r="DTW31" s="478"/>
      <c r="DTX31" s="478"/>
      <c r="DTY31" s="478"/>
      <c r="DTZ31" s="478"/>
      <c r="DUA31" s="478"/>
      <c r="DUB31" s="478"/>
      <c r="DUC31" s="478"/>
      <c r="DUD31" s="478"/>
      <c r="DUE31" s="478"/>
      <c r="DUF31" s="478"/>
      <c r="DUG31" s="478"/>
      <c r="DUH31" s="478"/>
      <c r="DUI31" s="478"/>
      <c r="DUJ31" s="478"/>
      <c r="DUK31" s="478"/>
      <c r="DUL31" s="478"/>
      <c r="DUM31" s="478"/>
      <c r="DUN31" s="478"/>
      <c r="DUO31" s="478"/>
      <c r="DUP31" s="478"/>
      <c r="DUQ31" s="478"/>
      <c r="DUR31" s="478"/>
      <c r="DUS31" s="478"/>
      <c r="DUT31" s="478"/>
      <c r="DUU31" s="478"/>
      <c r="DUV31" s="478"/>
      <c r="DUW31" s="478"/>
      <c r="DUX31" s="478"/>
      <c r="DUY31" s="478"/>
      <c r="DUZ31" s="478"/>
      <c r="DVA31" s="478"/>
      <c r="DVB31" s="478"/>
      <c r="DVC31" s="478"/>
      <c r="DVD31" s="478"/>
      <c r="DVE31" s="478"/>
      <c r="DVF31" s="478"/>
      <c r="DVG31" s="478"/>
      <c r="DVH31" s="478"/>
      <c r="DVI31" s="478"/>
      <c r="DVJ31" s="478"/>
      <c r="DVK31" s="478"/>
      <c r="DVL31" s="478"/>
      <c r="DVM31" s="478"/>
      <c r="DVN31" s="478"/>
      <c r="DVO31" s="478"/>
      <c r="DVP31" s="478"/>
      <c r="DVQ31" s="478"/>
      <c r="DVR31" s="478"/>
      <c r="DVS31" s="478"/>
      <c r="DVT31" s="478"/>
      <c r="DVU31" s="478"/>
      <c r="DVV31" s="478"/>
      <c r="DVW31" s="478"/>
      <c r="DVX31" s="478"/>
      <c r="DVY31" s="478"/>
      <c r="DVZ31" s="478"/>
      <c r="DWA31" s="478"/>
      <c r="DWB31" s="478"/>
      <c r="DWC31" s="478"/>
      <c r="DWD31" s="478"/>
      <c r="DWE31" s="478"/>
      <c r="DWF31" s="478"/>
      <c r="DWG31" s="478"/>
      <c r="DWH31" s="478"/>
      <c r="DWI31" s="478"/>
      <c r="DWJ31" s="478"/>
      <c r="DWK31" s="478"/>
      <c r="DWL31" s="478"/>
      <c r="DWM31" s="478"/>
      <c r="DWN31" s="478"/>
      <c r="DWO31" s="478"/>
      <c r="DWP31" s="478"/>
      <c r="DWQ31" s="478"/>
      <c r="DWR31" s="478"/>
      <c r="DWS31" s="478"/>
      <c r="DWT31" s="478"/>
      <c r="DWU31" s="478"/>
      <c r="DWV31" s="478"/>
      <c r="DWW31" s="478"/>
      <c r="DWX31" s="478"/>
      <c r="DWY31" s="478"/>
      <c r="DWZ31" s="478"/>
      <c r="DXA31" s="478"/>
      <c r="DXB31" s="478"/>
      <c r="DXC31" s="478"/>
      <c r="DXD31" s="478"/>
      <c r="DXE31" s="478"/>
      <c r="DXF31" s="478"/>
      <c r="DXG31" s="478"/>
      <c r="DXH31" s="478"/>
      <c r="DXI31" s="478"/>
      <c r="DXJ31" s="478"/>
      <c r="DXK31" s="478"/>
      <c r="DXL31" s="478"/>
      <c r="DXM31" s="478"/>
      <c r="DXN31" s="478"/>
      <c r="DXO31" s="478"/>
      <c r="DXP31" s="478"/>
      <c r="DXQ31" s="478"/>
      <c r="DXR31" s="478"/>
      <c r="DXS31" s="478"/>
      <c r="DXT31" s="478"/>
      <c r="DXU31" s="478"/>
      <c r="DXV31" s="478"/>
      <c r="DXW31" s="478"/>
      <c r="DXX31" s="478"/>
      <c r="DXY31" s="478"/>
      <c r="DXZ31" s="478"/>
      <c r="DYA31" s="478"/>
      <c r="DYB31" s="478"/>
      <c r="DYC31" s="478"/>
      <c r="DYD31" s="478"/>
      <c r="DYE31" s="478"/>
      <c r="DYF31" s="478"/>
      <c r="DYG31" s="478"/>
      <c r="DYH31" s="478"/>
      <c r="DYI31" s="478"/>
      <c r="DYJ31" s="478"/>
      <c r="DYK31" s="478"/>
      <c r="DYL31" s="478"/>
      <c r="DYM31" s="478"/>
      <c r="DYN31" s="478"/>
      <c r="DYO31" s="478"/>
      <c r="DYP31" s="478"/>
      <c r="DYQ31" s="478"/>
      <c r="DYR31" s="478"/>
      <c r="DYS31" s="478"/>
      <c r="DYT31" s="478"/>
      <c r="DYU31" s="478"/>
      <c r="DYV31" s="478"/>
      <c r="DYW31" s="478"/>
      <c r="DYX31" s="478"/>
      <c r="DYY31" s="478"/>
      <c r="DYZ31" s="478"/>
      <c r="DZA31" s="478"/>
      <c r="DZB31" s="478"/>
      <c r="DZC31" s="478"/>
      <c r="DZD31" s="478"/>
      <c r="DZE31" s="478"/>
      <c r="DZF31" s="478"/>
      <c r="DZG31" s="478"/>
      <c r="DZH31" s="478"/>
      <c r="DZI31" s="478"/>
      <c r="DZJ31" s="478"/>
      <c r="DZK31" s="478"/>
      <c r="DZL31" s="478"/>
      <c r="DZM31" s="478"/>
      <c r="DZN31" s="478"/>
      <c r="DZO31" s="478"/>
      <c r="DZP31" s="478"/>
      <c r="DZQ31" s="478"/>
      <c r="DZR31" s="478"/>
      <c r="DZS31" s="478"/>
      <c r="DZT31" s="478"/>
      <c r="DZU31" s="478"/>
      <c r="DZV31" s="478"/>
      <c r="DZW31" s="478"/>
      <c r="DZX31" s="478"/>
      <c r="DZY31" s="478"/>
      <c r="DZZ31" s="478"/>
      <c r="EAA31" s="478"/>
      <c r="EAB31" s="478"/>
      <c r="EAC31" s="478"/>
      <c r="EAD31" s="478"/>
      <c r="EAE31" s="478"/>
      <c r="EAF31" s="478"/>
      <c r="EAG31" s="478"/>
      <c r="EAH31" s="478"/>
      <c r="EAI31" s="478"/>
      <c r="EAJ31" s="478"/>
      <c r="EAK31" s="478"/>
      <c r="EAL31" s="478"/>
      <c r="EAM31" s="478"/>
      <c r="EAN31" s="478"/>
      <c r="EAO31" s="478"/>
      <c r="EAP31" s="478"/>
      <c r="EAQ31" s="478"/>
      <c r="EAR31" s="478"/>
      <c r="EAS31" s="478"/>
      <c r="EAT31" s="478"/>
      <c r="EAU31" s="478"/>
      <c r="EAV31" s="478"/>
      <c r="EAW31" s="478"/>
      <c r="EAX31" s="478"/>
      <c r="EAY31" s="478"/>
      <c r="EAZ31" s="478"/>
      <c r="EBA31" s="478"/>
      <c r="EBB31" s="478"/>
      <c r="EBC31" s="478"/>
      <c r="EBD31" s="478"/>
      <c r="EBE31" s="478"/>
      <c r="EBF31" s="478"/>
      <c r="EBG31" s="478"/>
      <c r="EBH31" s="478"/>
      <c r="EBI31" s="478"/>
      <c r="EBJ31" s="478"/>
      <c r="EBK31" s="478"/>
      <c r="EBL31" s="478"/>
      <c r="EBM31" s="478"/>
      <c r="EBN31" s="478"/>
      <c r="EBO31" s="478"/>
      <c r="EBP31" s="478"/>
      <c r="EBQ31" s="478"/>
      <c r="EBR31" s="478"/>
      <c r="EBS31" s="478"/>
      <c r="EBT31" s="478"/>
      <c r="EBU31" s="478"/>
      <c r="EBV31" s="478"/>
      <c r="EBW31" s="478"/>
      <c r="EBX31" s="478"/>
      <c r="EBY31" s="478"/>
      <c r="EBZ31" s="478"/>
      <c r="ECA31" s="478"/>
      <c r="ECB31" s="478"/>
      <c r="ECC31" s="478"/>
      <c r="ECD31" s="478"/>
      <c r="ECE31" s="478"/>
      <c r="ECF31" s="478"/>
      <c r="ECG31" s="478"/>
      <c r="ECH31" s="478"/>
      <c r="ECI31" s="478"/>
      <c r="ECJ31" s="478"/>
      <c r="ECK31" s="478"/>
      <c r="ECL31" s="478"/>
      <c r="ECM31" s="478"/>
      <c r="ECN31" s="478"/>
      <c r="ECO31" s="478"/>
      <c r="ECP31" s="478"/>
      <c r="ECQ31" s="478"/>
      <c r="ECR31" s="478"/>
      <c r="ECS31" s="478"/>
      <c r="ECT31" s="478"/>
      <c r="ECU31" s="478"/>
      <c r="ECV31" s="478"/>
      <c r="ECW31" s="478"/>
      <c r="ECX31" s="478"/>
      <c r="ECY31" s="478"/>
      <c r="ECZ31" s="478"/>
      <c r="EDA31" s="478"/>
      <c r="EDB31" s="478"/>
      <c r="EDC31" s="478"/>
      <c r="EDD31" s="478"/>
      <c r="EDE31" s="478"/>
      <c r="EDF31" s="478"/>
      <c r="EDG31" s="478"/>
      <c r="EDH31" s="478"/>
      <c r="EDI31" s="478"/>
      <c r="EDJ31" s="478"/>
      <c r="EDK31" s="478"/>
      <c r="EDL31" s="478"/>
      <c r="EDM31" s="478"/>
      <c r="EDN31" s="478"/>
      <c r="EDO31" s="478"/>
      <c r="EDP31" s="478"/>
      <c r="EDQ31" s="478"/>
      <c r="EDR31" s="478"/>
      <c r="EDS31" s="478"/>
      <c r="EDT31" s="478"/>
      <c r="EDU31" s="478"/>
      <c r="EDV31" s="478"/>
      <c r="EDW31" s="478"/>
      <c r="EDX31" s="478"/>
      <c r="EDY31" s="478"/>
      <c r="EDZ31" s="478"/>
      <c r="EEA31" s="478"/>
      <c r="EEB31" s="478"/>
      <c r="EEC31" s="478"/>
      <c r="EED31" s="478"/>
      <c r="EEE31" s="478"/>
      <c r="EEF31" s="478"/>
      <c r="EEG31" s="478"/>
      <c r="EEH31" s="478"/>
      <c r="EEI31" s="478"/>
      <c r="EEJ31" s="478"/>
      <c r="EEK31" s="478"/>
      <c r="EEL31" s="478"/>
      <c r="EEM31" s="478"/>
      <c r="EEN31" s="478"/>
      <c r="EEO31" s="478"/>
      <c r="EEP31" s="478"/>
      <c r="EEQ31" s="478"/>
      <c r="EER31" s="478"/>
      <c r="EES31" s="478"/>
      <c r="EET31" s="478"/>
      <c r="EEU31" s="478"/>
      <c r="EEV31" s="478"/>
      <c r="EEW31" s="478"/>
      <c r="EEX31" s="478"/>
      <c r="EEY31" s="478"/>
      <c r="EEZ31" s="478"/>
      <c r="EFA31" s="478"/>
      <c r="EFB31" s="478"/>
      <c r="EFC31" s="478"/>
      <c r="EFD31" s="478"/>
      <c r="EFE31" s="478"/>
      <c r="EFF31" s="478"/>
      <c r="EFG31" s="478"/>
      <c r="EFH31" s="478"/>
      <c r="EFI31" s="478"/>
      <c r="EFJ31" s="478"/>
      <c r="EFK31" s="478"/>
      <c r="EFL31" s="478"/>
      <c r="EFM31" s="478"/>
      <c r="EFN31" s="478"/>
      <c r="EFO31" s="478"/>
      <c r="EFP31" s="478"/>
      <c r="EFQ31" s="478"/>
      <c r="EFR31" s="478"/>
      <c r="EFS31" s="478"/>
      <c r="EFT31" s="478"/>
      <c r="EFU31" s="478"/>
      <c r="EFV31" s="478"/>
      <c r="EFW31" s="478"/>
      <c r="EFX31" s="478"/>
      <c r="EFY31" s="478"/>
      <c r="EFZ31" s="478"/>
      <c r="EGA31" s="478"/>
      <c r="EGB31" s="478"/>
      <c r="EGC31" s="478"/>
      <c r="EGD31" s="478"/>
      <c r="EGE31" s="478"/>
      <c r="EGF31" s="478"/>
      <c r="EGG31" s="478"/>
      <c r="EGH31" s="478"/>
      <c r="EGI31" s="478"/>
      <c r="EGJ31" s="478"/>
      <c r="EGK31" s="478"/>
      <c r="EGL31" s="478"/>
      <c r="EGM31" s="478"/>
      <c r="EGN31" s="478"/>
      <c r="EGO31" s="478"/>
      <c r="EGP31" s="478"/>
      <c r="EGQ31" s="478"/>
      <c r="EGR31" s="478"/>
      <c r="EGS31" s="478"/>
      <c r="EGT31" s="478"/>
      <c r="EGU31" s="478"/>
      <c r="EGV31" s="478"/>
      <c r="EGW31" s="478"/>
      <c r="EGX31" s="478"/>
      <c r="EGY31" s="478"/>
      <c r="EGZ31" s="478"/>
      <c r="EHA31" s="478"/>
      <c r="EHB31" s="478"/>
      <c r="EHC31" s="478"/>
      <c r="EHD31" s="478"/>
      <c r="EHE31" s="478"/>
      <c r="EHF31" s="478"/>
      <c r="EHG31" s="478"/>
      <c r="EHH31" s="478"/>
      <c r="EHI31" s="478"/>
      <c r="EHJ31" s="478"/>
      <c r="EHK31" s="478"/>
      <c r="EHL31" s="478"/>
      <c r="EHM31" s="478"/>
      <c r="EHN31" s="478"/>
      <c r="EHO31" s="478"/>
      <c r="EHP31" s="478"/>
      <c r="EHQ31" s="478"/>
      <c r="EHR31" s="478"/>
      <c r="EHS31" s="478"/>
      <c r="EHT31" s="478"/>
      <c r="EHU31" s="478"/>
      <c r="EHV31" s="478"/>
      <c r="EHW31" s="478"/>
      <c r="EHX31" s="478"/>
      <c r="EHY31" s="478"/>
      <c r="EHZ31" s="478"/>
      <c r="EIA31" s="478"/>
      <c r="EIB31" s="478"/>
      <c r="EIC31" s="478"/>
      <c r="EID31" s="478"/>
      <c r="EIE31" s="478"/>
      <c r="EIF31" s="478"/>
      <c r="EIG31" s="478"/>
      <c r="EIH31" s="478"/>
      <c r="EII31" s="478"/>
      <c r="EIJ31" s="478"/>
      <c r="EIK31" s="478"/>
      <c r="EIL31" s="478"/>
      <c r="EIM31" s="478"/>
      <c r="EIN31" s="478"/>
      <c r="EIO31" s="478"/>
      <c r="EIP31" s="478"/>
      <c r="EIQ31" s="478"/>
      <c r="EIR31" s="478"/>
      <c r="EIS31" s="478"/>
      <c r="EIT31" s="478"/>
      <c r="EIU31" s="478"/>
      <c r="EIV31" s="478"/>
      <c r="EIW31" s="478"/>
      <c r="EIX31" s="478"/>
      <c r="EIY31" s="478"/>
      <c r="EIZ31" s="478"/>
      <c r="EJA31" s="478"/>
      <c r="EJB31" s="478"/>
      <c r="EJC31" s="478"/>
      <c r="EJD31" s="478"/>
      <c r="EJE31" s="478"/>
      <c r="EJF31" s="478"/>
      <c r="EJG31" s="478"/>
      <c r="EJH31" s="478"/>
      <c r="EJI31" s="478"/>
      <c r="EJJ31" s="478"/>
      <c r="EJK31" s="478"/>
      <c r="EJL31" s="478"/>
      <c r="EJM31" s="478"/>
      <c r="EJN31" s="478"/>
      <c r="EJO31" s="478"/>
      <c r="EJP31" s="478"/>
      <c r="EJQ31" s="478"/>
      <c r="EJR31" s="478"/>
      <c r="EJS31" s="478"/>
      <c r="EJT31" s="478"/>
      <c r="EJU31" s="478"/>
      <c r="EJV31" s="478"/>
      <c r="EJW31" s="478"/>
      <c r="EJX31" s="478"/>
      <c r="EJY31" s="478"/>
      <c r="EJZ31" s="478"/>
      <c r="EKA31" s="478"/>
      <c r="EKB31" s="478"/>
      <c r="EKC31" s="478"/>
      <c r="EKD31" s="478"/>
      <c r="EKE31" s="478"/>
      <c r="EKF31" s="478"/>
      <c r="EKG31" s="478"/>
      <c r="EKH31" s="478"/>
      <c r="EKI31" s="478"/>
      <c r="EKJ31" s="478"/>
      <c r="EKK31" s="478"/>
      <c r="EKL31" s="478"/>
      <c r="EKM31" s="478"/>
      <c r="EKN31" s="478"/>
      <c r="EKO31" s="478"/>
      <c r="EKP31" s="478"/>
      <c r="EKQ31" s="478"/>
      <c r="EKR31" s="478"/>
      <c r="EKS31" s="478"/>
      <c r="EKT31" s="478"/>
      <c r="EKU31" s="478"/>
      <c r="EKV31" s="478"/>
      <c r="EKW31" s="478"/>
      <c r="EKX31" s="478"/>
      <c r="EKY31" s="478"/>
      <c r="EKZ31" s="478"/>
      <c r="ELA31" s="478"/>
      <c r="ELB31" s="478"/>
      <c r="ELC31" s="478"/>
      <c r="ELD31" s="478"/>
      <c r="ELE31" s="478"/>
      <c r="ELF31" s="478"/>
      <c r="ELG31" s="478"/>
      <c r="ELH31" s="478"/>
      <c r="ELI31" s="478"/>
      <c r="ELJ31" s="478"/>
      <c r="ELK31" s="478"/>
      <c r="ELL31" s="478"/>
      <c r="ELM31" s="478"/>
      <c r="ELN31" s="478"/>
      <c r="ELO31" s="478"/>
      <c r="ELP31" s="478"/>
      <c r="ELQ31" s="478"/>
      <c r="ELR31" s="478"/>
      <c r="ELS31" s="478"/>
      <c r="ELT31" s="478"/>
      <c r="ELU31" s="478"/>
      <c r="ELV31" s="478"/>
      <c r="ELW31" s="478"/>
      <c r="ELX31" s="478"/>
      <c r="ELY31" s="478"/>
      <c r="ELZ31" s="478"/>
      <c r="EMA31" s="478"/>
      <c r="EMB31" s="478"/>
      <c r="EMC31" s="478"/>
      <c r="EMD31" s="478"/>
      <c r="EME31" s="478"/>
      <c r="EMF31" s="478"/>
      <c r="EMG31" s="478"/>
      <c r="EMH31" s="478"/>
      <c r="EMI31" s="478"/>
      <c r="EMJ31" s="478"/>
      <c r="EMK31" s="478"/>
      <c r="EML31" s="478"/>
      <c r="EMM31" s="478"/>
      <c r="EMN31" s="478"/>
      <c r="EMO31" s="478"/>
      <c r="EMP31" s="478"/>
      <c r="EMQ31" s="478"/>
      <c r="EMR31" s="478"/>
      <c r="EMS31" s="478"/>
      <c r="EMT31" s="478"/>
      <c r="EMU31" s="478"/>
      <c r="EMV31" s="478"/>
      <c r="EMW31" s="478"/>
      <c r="EMX31" s="478"/>
      <c r="EMY31" s="478"/>
      <c r="EMZ31" s="478"/>
      <c r="ENA31" s="478"/>
      <c r="ENB31" s="478"/>
      <c r="ENC31" s="478"/>
      <c r="END31" s="478"/>
      <c r="ENE31" s="478"/>
      <c r="ENF31" s="478"/>
      <c r="ENG31" s="478"/>
      <c r="ENH31" s="478"/>
      <c r="ENI31" s="478"/>
      <c r="ENJ31" s="478"/>
      <c r="ENK31" s="478"/>
      <c r="ENL31" s="478"/>
      <c r="ENM31" s="478"/>
      <c r="ENN31" s="478"/>
      <c r="ENO31" s="478"/>
      <c r="ENP31" s="478"/>
      <c r="ENQ31" s="478"/>
      <c r="ENR31" s="478"/>
      <c r="ENS31" s="478"/>
      <c r="ENT31" s="478"/>
      <c r="ENU31" s="478"/>
      <c r="ENV31" s="478"/>
      <c r="ENW31" s="478"/>
      <c r="ENX31" s="478"/>
      <c r="ENY31" s="478"/>
      <c r="ENZ31" s="478"/>
      <c r="EOA31" s="478"/>
      <c r="EOB31" s="478"/>
      <c r="EOC31" s="478"/>
      <c r="EOD31" s="478"/>
      <c r="EOE31" s="478"/>
      <c r="EOF31" s="478"/>
      <c r="EOG31" s="478"/>
      <c r="EOH31" s="478"/>
      <c r="EOI31" s="478"/>
      <c r="EOJ31" s="478"/>
      <c r="EOK31" s="478"/>
      <c r="EOL31" s="478"/>
      <c r="EOM31" s="478"/>
      <c r="EON31" s="478"/>
      <c r="EOO31" s="478"/>
      <c r="EOP31" s="478"/>
      <c r="EOQ31" s="478"/>
      <c r="EOR31" s="478"/>
      <c r="EOS31" s="478"/>
      <c r="EOT31" s="478"/>
      <c r="EOU31" s="478"/>
      <c r="EOV31" s="478"/>
      <c r="EOW31" s="478"/>
      <c r="EOX31" s="478"/>
      <c r="EOY31" s="478"/>
      <c r="EOZ31" s="478"/>
      <c r="EPA31" s="478"/>
      <c r="EPB31" s="478"/>
      <c r="EPC31" s="478"/>
      <c r="EPD31" s="478"/>
      <c r="EPE31" s="478"/>
      <c r="EPF31" s="478"/>
      <c r="EPG31" s="478"/>
      <c r="EPH31" s="478"/>
      <c r="EPI31" s="478"/>
      <c r="EPJ31" s="478"/>
      <c r="EPK31" s="478"/>
      <c r="EPL31" s="478"/>
      <c r="EPM31" s="478"/>
      <c r="EPN31" s="478"/>
      <c r="EPO31" s="478"/>
      <c r="EPP31" s="478"/>
      <c r="EPQ31" s="478"/>
      <c r="EPR31" s="478"/>
      <c r="EPS31" s="478"/>
      <c r="EPT31" s="478"/>
      <c r="EPU31" s="478"/>
      <c r="EPV31" s="478"/>
      <c r="EPW31" s="478"/>
      <c r="EPX31" s="478"/>
      <c r="EPY31" s="478"/>
      <c r="EPZ31" s="478"/>
      <c r="EQA31" s="478"/>
      <c r="EQB31" s="478"/>
      <c r="EQC31" s="478"/>
      <c r="EQD31" s="478"/>
      <c r="EQE31" s="478"/>
      <c r="EQF31" s="478"/>
      <c r="EQG31" s="478"/>
      <c r="EQH31" s="478"/>
      <c r="EQI31" s="478"/>
      <c r="EQJ31" s="478"/>
      <c r="EQK31" s="478"/>
      <c r="EQL31" s="478"/>
      <c r="EQM31" s="478"/>
      <c r="EQN31" s="478"/>
      <c r="EQO31" s="478"/>
      <c r="EQP31" s="478"/>
      <c r="EQQ31" s="478"/>
      <c r="EQR31" s="478"/>
      <c r="EQS31" s="478"/>
      <c r="EQT31" s="478"/>
      <c r="EQU31" s="478"/>
      <c r="EQV31" s="478"/>
      <c r="EQW31" s="478"/>
      <c r="EQX31" s="478"/>
      <c r="EQY31" s="478"/>
      <c r="EQZ31" s="478"/>
      <c r="ERA31" s="478"/>
      <c r="ERB31" s="478"/>
      <c r="ERC31" s="478"/>
      <c r="ERD31" s="478"/>
      <c r="ERE31" s="478"/>
      <c r="ERF31" s="478"/>
      <c r="ERG31" s="478"/>
      <c r="ERH31" s="478"/>
      <c r="ERI31" s="478"/>
      <c r="ERJ31" s="478"/>
      <c r="ERK31" s="478"/>
      <c r="ERL31" s="478"/>
      <c r="ERM31" s="478"/>
      <c r="ERN31" s="478"/>
      <c r="ERO31" s="478"/>
      <c r="ERP31" s="478"/>
      <c r="ERQ31" s="478"/>
      <c r="ERR31" s="478"/>
      <c r="ERS31" s="478"/>
      <c r="ERT31" s="478"/>
      <c r="ERU31" s="478"/>
      <c r="ERV31" s="478"/>
      <c r="ERW31" s="478"/>
      <c r="ERX31" s="478"/>
      <c r="ERY31" s="478"/>
      <c r="ERZ31" s="478"/>
      <c r="ESA31" s="478"/>
      <c r="ESB31" s="478"/>
      <c r="ESC31" s="478"/>
      <c r="ESD31" s="478"/>
      <c r="ESE31" s="478"/>
      <c r="ESF31" s="478"/>
      <c r="ESG31" s="478"/>
      <c r="ESH31" s="478"/>
      <c r="ESI31" s="478"/>
      <c r="ESJ31" s="478"/>
      <c r="ESK31" s="478"/>
      <c r="ESL31" s="478"/>
      <c r="ESM31" s="478"/>
      <c r="ESN31" s="478"/>
      <c r="ESO31" s="478"/>
      <c r="ESP31" s="478"/>
      <c r="ESQ31" s="478"/>
      <c r="ESR31" s="478"/>
      <c r="ESS31" s="478"/>
      <c r="EST31" s="478"/>
      <c r="ESU31" s="478"/>
      <c r="ESV31" s="478"/>
      <c r="ESW31" s="478"/>
      <c r="ESX31" s="478"/>
      <c r="ESY31" s="478"/>
      <c r="ESZ31" s="478"/>
      <c r="ETA31" s="478"/>
      <c r="ETB31" s="478"/>
      <c r="ETC31" s="478"/>
      <c r="ETD31" s="478"/>
      <c r="ETE31" s="478"/>
      <c r="ETF31" s="478"/>
      <c r="ETG31" s="478"/>
      <c r="ETH31" s="478"/>
      <c r="ETI31" s="478"/>
      <c r="ETJ31" s="478"/>
      <c r="ETK31" s="478"/>
      <c r="ETL31" s="478"/>
      <c r="ETM31" s="478"/>
      <c r="ETN31" s="478"/>
      <c r="ETO31" s="478"/>
      <c r="ETP31" s="478"/>
      <c r="ETQ31" s="478"/>
      <c r="ETR31" s="478"/>
      <c r="ETS31" s="478"/>
      <c r="ETT31" s="478"/>
      <c r="ETU31" s="478"/>
      <c r="ETV31" s="478"/>
      <c r="ETW31" s="478"/>
      <c r="ETX31" s="478"/>
      <c r="ETY31" s="478"/>
      <c r="ETZ31" s="478"/>
      <c r="EUA31" s="478"/>
      <c r="EUB31" s="478"/>
      <c r="EUC31" s="478"/>
      <c r="EUD31" s="478"/>
      <c r="EUE31" s="478"/>
      <c r="EUF31" s="478"/>
      <c r="EUG31" s="478"/>
      <c r="EUH31" s="478"/>
      <c r="EUI31" s="478"/>
      <c r="EUJ31" s="478"/>
      <c r="EUK31" s="478"/>
      <c r="EUL31" s="478"/>
      <c r="EUM31" s="478"/>
      <c r="EUN31" s="478"/>
      <c r="EUO31" s="478"/>
      <c r="EUP31" s="478"/>
      <c r="EUQ31" s="478"/>
      <c r="EUR31" s="478"/>
      <c r="EUS31" s="478"/>
      <c r="EUT31" s="478"/>
      <c r="EUU31" s="478"/>
      <c r="EUV31" s="478"/>
      <c r="EUW31" s="478"/>
      <c r="EUX31" s="478"/>
      <c r="EUY31" s="478"/>
      <c r="EUZ31" s="478"/>
      <c r="EVA31" s="478"/>
      <c r="EVB31" s="478"/>
      <c r="EVC31" s="478"/>
      <c r="EVD31" s="478"/>
      <c r="EVE31" s="478"/>
      <c r="EVF31" s="478"/>
      <c r="EVG31" s="478"/>
      <c r="EVH31" s="478"/>
      <c r="EVI31" s="478"/>
      <c r="EVJ31" s="478"/>
      <c r="EVK31" s="478"/>
      <c r="EVL31" s="478"/>
      <c r="EVM31" s="478"/>
      <c r="EVN31" s="478"/>
      <c r="EVO31" s="478"/>
      <c r="EVP31" s="478"/>
      <c r="EVQ31" s="478"/>
      <c r="EVR31" s="478"/>
      <c r="EVS31" s="478"/>
      <c r="EVT31" s="478"/>
      <c r="EVU31" s="478"/>
      <c r="EVV31" s="478"/>
      <c r="EVW31" s="478"/>
      <c r="EVX31" s="478"/>
      <c r="EVY31" s="478"/>
      <c r="EVZ31" s="478"/>
      <c r="EWA31" s="478"/>
      <c r="EWB31" s="478"/>
      <c r="EWC31" s="478"/>
      <c r="EWD31" s="478"/>
      <c r="EWE31" s="478"/>
      <c r="EWF31" s="478"/>
      <c r="EWG31" s="478"/>
      <c r="EWH31" s="478"/>
      <c r="EWI31" s="478"/>
      <c r="EWJ31" s="478"/>
      <c r="EWK31" s="478"/>
      <c r="EWL31" s="478"/>
      <c r="EWM31" s="478"/>
      <c r="EWN31" s="478"/>
      <c r="EWO31" s="478"/>
      <c r="EWP31" s="478"/>
      <c r="EWQ31" s="478"/>
      <c r="EWR31" s="478"/>
      <c r="EWS31" s="478"/>
      <c r="EWT31" s="478"/>
      <c r="EWU31" s="478"/>
      <c r="EWV31" s="478"/>
      <c r="EWW31" s="478"/>
      <c r="EWX31" s="478"/>
      <c r="EWY31" s="478"/>
      <c r="EWZ31" s="478"/>
      <c r="EXA31" s="478"/>
      <c r="EXB31" s="478"/>
      <c r="EXC31" s="478"/>
      <c r="EXD31" s="478"/>
      <c r="EXE31" s="478"/>
      <c r="EXF31" s="478"/>
      <c r="EXG31" s="478"/>
      <c r="EXH31" s="478"/>
      <c r="EXI31" s="478"/>
      <c r="EXJ31" s="478"/>
      <c r="EXK31" s="478"/>
      <c r="EXL31" s="478"/>
      <c r="EXM31" s="478"/>
      <c r="EXN31" s="478"/>
      <c r="EXO31" s="478"/>
      <c r="EXP31" s="478"/>
      <c r="EXQ31" s="478"/>
      <c r="EXR31" s="478"/>
      <c r="EXS31" s="478"/>
      <c r="EXT31" s="478"/>
      <c r="EXU31" s="478"/>
      <c r="EXV31" s="478"/>
      <c r="EXW31" s="478"/>
      <c r="EXX31" s="478"/>
      <c r="EXY31" s="478"/>
      <c r="EXZ31" s="478"/>
      <c r="EYA31" s="478"/>
      <c r="EYB31" s="478"/>
      <c r="EYC31" s="478"/>
      <c r="EYD31" s="478"/>
      <c r="EYE31" s="478"/>
      <c r="EYF31" s="478"/>
      <c r="EYG31" s="478"/>
      <c r="EYH31" s="478"/>
      <c r="EYI31" s="478"/>
      <c r="EYJ31" s="478"/>
      <c r="EYK31" s="478"/>
      <c r="EYL31" s="478"/>
      <c r="EYM31" s="478"/>
      <c r="EYN31" s="478"/>
      <c r="EYO31" s="478"/>
      <c r="EYP31" s="478"/>
      <c r="EYQ31" s="478"/>
      <c r="EYR31" s="478"/>
      <c r="EYS31" s="478"/>
      <c r="EYT31" s="478"/>
      <c r="EYU31" s="478"/>
      <c r="EYV31" s="478"/>
      <c r="EYW31" s="478"/>
      <c r="EYX31" s="478"/>
      <c r="EYY31" s="478"/>
      <c r="EYZ31" s="478"/>
      <c r="EZA31" s="478"/>
      <c r="EZB31" s="478"/>
      <c r="EZC31" s="478"/>
      <c r="EZD31" s="478"/>
      <c r="EZE31" s="478"/>
      <c r="EZF31" s="478"/>
      <c r="EZG31" s="478"/>
      <c r="EZH31" s="478"/>
      <c r="EZI31" s="478"/>
      <c r="EZJ31" s="478"/>
      <c r="EZK31" s="478"/>
      <c r="EZL31" s="478"/>
      <c r="EZM31" s="478"/>
      <c r="EZN31" s="478"/>
      <c r="EZO31" s="478"/>
      <c r="EZP31" s="478"/>
      <c r="EZQ31" s="478"/>
      <c r="EZR31" s="478"/>
      <c r="EZS31" s="478"/>
      <c r="EZT31" s="478"/>
      <c r="EZU31" s="478"/>
      <c r="EZV31" s="478"/>
      <c r="EZW31" s="478"/>
      <c r="EZX31" s="478"/>
      <c r="EZY31" s="478"/>
      <c r="EZZ31" s="478"/>
      <c r="FAA31" s="478"/>
      <c r="FAB31" s="478"/>
      <c r="FAC31" s="478"/>
      <c r="FAD31" s="478"/>
      <c r="FAE31" s="478"/>
      <c r="FAF31" s="478"/>
      <c r="FAG31" s="478"/>
      <c r="FAH31" s="478"/>
      <c r="FAI31" s="478"/>
      <c r="FAJ31" s="478"/>
      <c r="FAK31" s="478"/>
      <c r="FAL31" s="478"/>
      <c r="FAM31" s="478"/>
      <c r="FAN31" s="478"/>
      <c r="FAO31" s="478"/>
      <c r="FAP31" s="478"/>
      <c r="FAQ31" s="478"/>
      <c r="FAR31" s="478"/>
      <c r="FAS31" s="478"/>
      <c r="FAT31" s="478"/>
      <c r="FAU31" s="478"/>
      <c r="FAV31" s="478"/>
      <c r="FAW31" s="478"/>
      <c r="FAX31" s="478"/>
      <c r="FAY31" s="478"/>
      <c r="FAZ31" s="478"/>
      <c r="FBA31" s="478"/>
      <c r="FBB31" s="478"/>
      <c r="FBC31" s="478"/>
      <c r="FBD31" s="478"/>
      <c r="FBE31" s="478"/>
      <c r="FBF31" s="478"/>
      <c r="FBG31" s="478"/>
      <c r="FBH31" s="478"/>
      <c r="FBI31" s="478"/>
      <c r="FBJ31" s="478"/>
      <c r="FBK31" s="478"/>
      <c r="FBL31" s="478"/>
      <c r="FBM31" s="478"/>
      <c r="FBN31" s="478"/>
      <c r="FBO31" s="478"/>
      <c r="FBP31" s="478"/>
      <c r="FBQ31" s="478"/>
      <c r="FBR31" s="478"/>
      <c r="FBS31" s="478"/>
      <c r="FBT31" s="478"/>
      <c r="FBU31" s="478"/>
      <c r="FBV31" s="478"/>
      <c r="FBW31" s="478"/>
      <c r="FBX31" s="478"/>
      <c r="FBY31" s="478"/>
      <c r="FBZ31" s="478"/>
      <c r="FCA31" s="478"/>
      <c r="FCB31" s="478"/>
      <c r="FCC31" s="478"/>
      <c r="FCD31" s="478"/>
      <c r="FCE31" s="478"/>
      <c r="FCF31" s="478"/>
      <c r="FCG31" s="478"/>
      <c r="FCH31" s="478"/>
      <c r="FCI31" s="478"/>
      <c r="FCJ31" s="478"/>
      <c r="FCK31" s="478"/>
      <c r="FCL31" s="478"/>
      <c r="FCM31" s="478"/>
      <c r="FCN31" s="478"/>
      <c r="FCO31" s="478"/>
      <c r="FCP31" s="478"/>
      <c r="FCQ31" s="478"/>
      <c r="FCR31" s="478"/>
      <c r="FCS31" s="478"/>
      <c r="FCT31" s="478"/>
      <c r="FCU31" s="478"/>
      <c r="FCV31" s="478"/>
      <c r="FCW31" s="478"/>
      <c r="FCX31" s="478"/>
      <c r="FCY31" s="478"/>
      <c r="FCZ31" s="478"/>
      <c r="FDA31" s="478"/>
      <c r="FDB31" s="478"/>
      <c r="FDC31" s="478"/>
      <c r="FDD31" s="478"/>
      <c r="FDE31" s="478"/>
      <c r="FDF31" s="478"/>
      <c r="FDG31" s="478"/>
      <c r="FDH31" s="478"/>
      <c r="FDI31" s="478"/>
      <c r="FDJ31" s="478"/>
      <c r="FDK31" s="478"/>
      <c r="FDL31" s="478"/>
      <c r="FDM31" s="478"/>
      <c r="FDN31" s="478"/>
      <c r="FDO31" s="478"/>
      <c r="FDP31" s="478"/>
      <c r="FDQ31" s="478"/>
      <c r="FDR31" s="478"/>
      <c r="FDS31" s="478"/>
      <c r="FDT31" s="478"/>
      <c r="FDU31" s="478"/>
      <c r="FDV31" s="478"/>
      <c r="FDW31" s="478"/>
      <c r="FDX31" s="478"/>
      <c r="FDY31" s="478"/>
      <c r="FDZ31" s="478"/>
      <c r="FEA31" s="478"/>
      <c r="FEB31" s="478"/>
      <c r="FEC31" s="478"/>
      <c r="FED31" s="478"/>
      <c r="FEE31" s="478"/>
      <c r="FEF31" s="478"/>
      <c r="FEG31" s="478"/>
      <c r="FEH31" s="478"/>
      <c r="FEI31" s="478"/>
      <c r="FEJ31" s="478"/>
      <c r="FEK31" s="478"/>
      <c r="FEL31" s="478"/>
      <c r="FEM31" s="478"/>
      <c r="FEN31" s="478"/>
      <c r="FEO31" s="478"/>
      <c r="FEP31" s="478"/>
      <c r="FEQ31" s="478"/>
      <c r="FER31" s="478"/>
      <c r="FES31" s="478"/>
      <c r="FET31" s="478"/>
      <c r="FEU31" s="478"/>
      <c r="FEV31" s="478"/>
      <c r="FEW31" s="478"/>
      <c r="FEX31" s="478"/>
      <c r="FEY31" s="478"/>
      <c r="FEZ31" s="478"/>
      <c r="FFA31" s="478"/>
      <c r="FFB31" s="478"/>
      <c r="FFC31" s="478"/>
      <c r="FFD31" s="478"/>
      <c r="FFE31" s="478"/>
      <c r="FFF31" s="478"/>
      <c r="FFG31" s="478"/>
      <c r="FFH31" s="478"/>
      <c r="FFI31" s="478"/>
      <c r="FFJ31" s="478"/>
      <c r="FFK31" s="478"/>
      <c r="FFL31" s="478"/>
      <c r="FFM31" s="478"/>
      <c r="FFN31" s="478"/>
      <c r="FFO31" s="478"/>
      <c r="FFP31" s="478"/>
      <c r="FFQ31" s="478"/>
      <c r="FFR31" s="478"/>
      <c r="FFS31" s="478"/>
      <c r="FFT31" s="478"/>
      <c r="FFU31" s="478"/>
      <c r="FFV31" s="478"/>
      <c r="FFW31" s="478"/>
      <c r="FFX31" s="478"/>
      <c r="FFY31" s="478"/>
      <c r="FFZ31" s="478"/>
      <c r="FGA31" s="478"/>
      <c r="FGB31" s="478"/>
      <c r="FGC31" s="478"/>
      <c r="FGD31" s="478"/>
      <c r="FGE31" s="478"/>
      <c r="FGF31" s="478"/>
      <c r="FGG31" s="478"/>
      <c r="FGH31" s="478"/>
      <c r="FGI31" s="478"/>
      <c r="FGJ31" s="478"/>
      <c r="FGK31" s="478"/>
      <c r="FGL31" s="478"/>
      <c r="FGM31" s="478"/>
      <c r="FGN31" s="478"/>
      <c r="FGO31" s="478"/>
      <c r="FGP31" s="478"/>
      <c r="FGQ31" s="478"/>
      <c r="FGR31" s="478"/>
      <c r="FGS31" s="478"/>
      <c r="FGT31" s="478"/>
      <c r="FGU31" s="478"/>
      <c r="FGV31" s="478"/>
      <c r="FGW31" s="478"/>
      <c r="FGX31" s="478"/>
      <c r="FGY31" s="478"/>
      <c r="FGZ31" s="478"/>
      <c r="FHA31" s="478"/>
      <c r="FHB31" s="478"/>
      <c r="FHC31" s="478"/>
      <c r="FHD31" s="478"/>
      <c r="FHE31" s="478"/>
      <c r="FHF31" s="478"/>
      <c r="FHG31" s="478"/>
      <c r="FHH31" s="478"/>
      <c r="FHI31" s="478"/>
      <c r="FHJ31" s="478"/>
      <c r="FHK31" s="478"/>
      <c r="FHL31" s="478"/>
      <c r="FHM31" s="478"/>
      <c r="FHN31" s="478"/>
      <c r="FHO31" s="478"/>
      <c r="FHP31" s="478"/>
      <c r="FHQ31" s="478"/>
      <c r="FHR31" s="478"/>
      <c r="FHS31" s="478"/>
      <c r="FHT31" s="478"/>
      <c r="FHU31" s="478"/>
      <c r="FHV31" s="478"/>
      <c r="FHW31" s="478"/>
      <c r="FHX31" s="478"/>
      <c r="FHY31" s="478"/>
      <c r="FHZ31" s="478"/>
      <c r="FIA31" s="478"/>
      <c r="FIB31" s="478"/>
      <c r="FIC31" s="478"/>
      <c r="FID31" s="478"/>
      <c r="FIE31" s="478"/>
      <c r="FIF31" s="478"/>
      <c r="FIG31" s="478"/>
      <c r="FIH31" s="478"/>
      <c r="FII31" s="478"/>
      <c r="FIJ31" s="478"/>
      <c r="FIK31" s="478"/>
      <c r="FIL31" s="478"/>
      <c r="FIM31" s="478"/>
      <c r="FIN31" s="478"/>
      <c r="FIO31" s="478"/>
      <c r="FIP31" s="478"/>
      <c r="FIQ31" s="478"/>
      <c r="FIR31" s="478"/>
      <c r="FIS31" s="478"/>
      <c r="FIT31" s="478"/>
      <c r="FIU31" s="478"/>
      <c r="FIV31" s="478"/>
      <c r="FIW31" s="478"/>
      <c r="FIX31" s="478"/>
      <c r="FIY31" s="478"/>
      <c r="FIZ31" s="478"/>
      <c r="FJA31" s="478"/>
      <c r="FJB31" s="478"/>
      <c r="FJC31" s="478"/>
      <c r="FJD31" s="478"/>
      <c r="FJE31" s="478"/>
      <c r="FJF31" s="478"/>
      <c r="FJG31" s="478"/>
      <c r="FJH31" s="478"/>
      <c r="FJI31" s="478"/>
      <c r="FJJ31" s="478"/>
      <c r="FJK31" s="478"/>
      <c r="FJL31" s="478"/>
      <c r="FJM31" s="478"/>
      <c r="FJN31" s="478"/>
      <c r="FJO31" s="478"/>
      <c r="FJP31" s="478"/>
      <c r="FJQ31" s="478"/>
      <c r="FJR31" s="478"/>
      <c r="FJS31" s="478"/>
      <c r="FJT31" s="478"/>
      <c r="FJU31" s="478"/>
      <c r="FJV31" s="478"/>
      <c r="FJW31" s="478"/>
      <c r="FJX31" s="478"/>
      <c r="FJY31" s="478"/>
      <c r="FJZ31" s="478"/>
      <c r="FKA31" s="478"/>
      <c r="FKB31" s="478"/>
      <c r="FKC31" s="478"/>
      <c r="FKD31" s="478"/>
      <c r="FKE31" s="478"/>
      <c r="FKF31" s="478"/>
      <c r="FKG31" s="478"/>
      <c r="FKH31" s="478"/>
      <c r="FKI31" s="478"/>
      <c r="FKJ31" s="478"/>
      <c r="FKK31" s="478"/>
      <c r="FKL31" s="478"/>
      <c r="FKM31" s="478"/>
      <c r="FKN31" s="478"/>
      <c r="FKO31" s="478"/>
      <c r="FKP31" s="478"/>
      <c r="FKQ31" s="478"/>
      <c r="FKR31" s="478"/>
      <c r="FKS31" s="478"/>
      <c r="FKT31" s="478"/>
      <c r="FKU31" s="478"/>
      <c r="FKV31" s="478"/>
      <c r="FKW31" s="478"/>
      <c r="FKX31" s="478"/>
      <c r="FKY31" s="478"/>
      <c r="FKZ31" s="478"/>
      <c r="FLA31" s="478"/>
      <c r="FLB31" s="478"/>
      <c r="FLC31" s="478"/>
      <c r="FLD31" s="478"/>
      <c r="FLE31" s="478"/>
      <c r="FLF31" s="478"/>
      <c r="FLG31" s="478"/>
      <c r="FLH31" s="478"/>
      <c r="FLI31" s="478"/>
      <c r="FLJ31" s="478"/>
      <c r="FLK31" s="478"/>
      <c r="FLL31" s="478"/>
      <c r="FLM31" s="478"/>
      <c r="FLN31" s="478"/>
      <c r="FLO31" s="478"/>
      <c r="FLP31" s="478"/>
      <c r="FLQ31" s="478"/>
      <c r="FLR31" s="478"/>
      <c r="FLS31" s="478"/>
      <c r="FLT31" s="478"/>
      <c r="FLU31" s="478"/>
      <c r="FLV31" s="478"/>
      <c r="FLW31" s="478"/>
      <c r="FLX31" s="478"/>
      <c r="FLY31" s="478"/>
      <c r="FLZ31" s="478"/>
      <c r="FMA31" s="478"/>
      <c r="FMB31" s="478"/>
      <c r="FMC31" s="478"/>
      <c r="FMD31" s="478"/>
      <c r="FME31" s="478"/>
      <c r="FMF31" s="478"/>
      <c r="FMG31" s="478"/>
      <c r="FMH31" s="478"/>
      <c r="FMI31" s="478"/>
      <c r="FMJ31" s="478"/>
      <c r="FMK31" s="478"/>
      <c r="FML31" s="478"/>
      <c r="FMM31" s="478"/>
      <c r="FMN31" s="478"/>
      <c r="FMO31" s="478"/>
      <c r="FMP31" s="478"/>
      <c r="FMQ31" s="478"/>
      <c r="FMR31" s="478"/>
      <c r="FMS31" s="478"/>
      <c r="FMT31" s="478"/>
      <c r="FMU31" s="478"/>
      <c r="FMV31" s="478"/>
      <c r="FMW31" s="478"/>
      <c r="FMX31" s="478"/>
      <c r="FMY31" s="478"/>
      <c r="FMZ31" s="478"/>
      <c r="FNA31" s="478"/>
      <c r="FNB31" s="478"/>
      <c r="FNC31" s="478"/>
      <c r="FND31" s="478"/>
      <c r="FNE31" s="478"/>
      <c r="FNF31" s="478"/>
      <c r="FNG31" s="478"/>
      <c r="FNH31" s="478"/>
      <c r="FNI31" s="478"/>
      <c r="FNJ31" s="478"/>
      <c r="FNK31" s="478"/>
      <c r="FNL31" s="478"/>
      <c r="FNM31" s="478"/>
      <c r="FNN31" s="478"/>
      <c r="FNO31" s="478"/>
      <c r="FNP31" s="478"/>
      <c r="FNQ31" s="478"/>
      <c r="FNR31" s="478"/>
      <c r="FNS31" s="478"/>
      <c r="FNT31" s="478"/>
      <c r="FNU31" s="478"/>
      <c r="FNV31" s="478"/>
      <c r="FNW31" s="478"/>
      <c r="FNX31" s="478"/>
      <c r="FNY31" s="478"/>
      <c r="FNZ31" s="478"/>
      <c r="FOA31" s="478"/>
      <c r="FOB31" s="478"/>
      <c r="FOC31" s="478"/>
      <c r="FOD31" s="478"/>
      <c r="FOE31" s="478"/>
      <c r="FOF31" s="478"/>
      <c r="FOG31" s="478"/>
      <c r="FOH31" s="478"/>
      <c r="FOI31" s="478"/>
      <c r="FOJ31" s="478"/>
      <c r="FOK31" s="478"/>
      <c r="FOL31" s="478"/>
      <c r="FOM31" s="478"/>
      <c r="FON31" s="478"/>
      <c r="FOO31" s="478"/>
      <c r="FOP31" s="478"/>
      <c r="FOQ31" s="478"/>
      <c r="FOR31" s="478"/>
      <c r="FOS31" s="478"/>
      <c r="FOT31" s="478"/>
      <c r="FOU31" s="478"/>
      <c r="FOV31" s="478"/>
      <c r="FOW31" s="478"/>
      <c r="FOX31" s="478"/>
      <c r="FOY31" s="478"/>
      <c r="FOZ31" s="478"/>
      <c r="FPA31" s="478"/>
      <c r="FPB31" s="478"/>
      <c r="FPC31" s="478"/>
      <c r="FPD31" s="478"/>
      <c r="FPE31" s="478"/>
      <c r="FPF31" s="478"/>
      <c r="FPG31" s="478"/>
      <c r="FPH31" s="478"/>
      <c r="FPI31" s="478"/>
      <c r="FPJ31" s="478"/>
      <c r="FPK31" s="478"/>
      <c r="FPL31" s="478"/>
      <c r="FPM31" s="478"/>
      <c r="FPN31" s="478"/>
      <c r="FPO31" s="478"/>
      <c r="FPP31" s="478"/>
      <c r="FPQ31" s="478"/>
      <c r="FPR31" s="478"/>
      <c r="FPS31" s="478"/>
      <c r="FPT31" s="478"/>
      <c r="FPU31" s="478"/>
      <c r="FPV31" s="478"/>
      <c r="FPW31" s="478"/>
      <c r="FPX31" s="478"/>
      <c r="FPY31" s="478"/>
      <c r="FPZ31" s="478"/>
      <c r="FQA31" s="478"/>
      <c r="FQB31" s="478"/>
      <c r="FQC31" s="478"/>
      <c r="FQD31" s="478"/>
      <c r="FQE31" s="478"/>
      <c r="FQF31" s="478"/>
      <c r="FQG31" s="478"/>
      <c r="FQH31" s="478"/>
      <c r="FQI31" s="478"/>
      <c r="FQJ31" s="478"/>
      <c r="FQK31" s="478"/>
      <c r="FQL31" s="478"/>
      <c r="FQM31" s="478"/>
      <c r="FQN31" s="478"/>
      <c r="FQO31" s="478"/>
      <c r="FQP31" s="478"/>
      <c r="FQQ31" s="478"/>
      <c r="FQR31" s="478"/>
      <c r="FQS31" s="478"/>
      <c r="FQT31" s="478"/>
      <c r="FQU31" s="478"/>
      <c r="FQV31" s="478"/>
      <c r="FQW31" s="478"/>
      <c r="FQX31" s="478"/>
      <c r="FQY31" s="478"/>
      <c r="FQZ31" s="478"/>
      <c r="FRA31" s="478"/>
      <c r="FRB31" s="478"/>
      <c r="FRC31" s="478"/>
      <c r="FRD31" s="478"/>
      <c r="FRE31" s="478"/>
      <c r="FRF31" s="478"/>
      <c r="FRG31" s="478"/>
      <c r="FRH31" s="478"/>
      <c r="FRI31" s="478"/>
      <c r="FRJ31" s="478"/>
      <c r="FRK31" s="478"/>
      <c r="FRL31" s="478"/>
      <c r="FRM31" s="478"/>
      <c r="FRN31" s="478"/>
      <c r="FRO31" s="478"/>
      <c r="FRP31" s="478"/>
      <c r="FRQ31" s="478"/>
      <c r="FRR31" s="478"/>
      <c r="FRS31" s="478"/>
      <c r="FRT31" s="478"/>
      <c r="FRU31" s="478"/>
      <c r="FRV31" s="478"/>
      <c r="FRW31" s="478"/>
      <c r="FRX31" s="478"/>
      <c r="FRY31" s="478"/>
      <c r="FRZ31" s="478"/>
      <c r="FSA31" s="478"/>
      <c r="FSB31" s="478"/>
      <c r="FSC31" s="478"/>
      <c r="FSD31" s="478"/>
      <c r="FSE31" s="478"/>
      <c r="FSF31" s="478"/>
      <c r="FSG31" s="478"/>
      <c r="FSH31" s="478"/>
      <c r="FSI31" s="478"/>
      <c r="FSJ31" s="478"/>
      <c r="FSK31" s="478"/>
      <c r="FSL31" s="478"/>
      <c r="FSM31" s="478"/>
      <c r="FSN31" s="478"/>
      <c r="FSO31" s="478"/>
      <c r="FSP31" s="478"/>
      <c r="FSQ31" s="478"/>
      <c r="FSR31" s="478"/>
      <c r="FSS31" s="478"/>
      <c r="FST31" s="478"/>
      <c r="FSU31" s="478"/>
      <c r="FSV31" s="478"/>
      <c r="FSW31" s="478"/>
      <c r="FSX31" s="478"/>
      <c r="FSY31" s="478"/>
      <c r="FSZ31" s="478"/>
      <c r="FTA31" s="478"/>
      <c r="FTB31" s="478"/>
      <c r="FTC31" s="478"/>
      <c r="FTD31" s="478"/>
      <c r="FTE31" s="478"/>
      <c r="FTF31" s="478"/>
      <c r="FTG31" s="478"/>
      <c r="FTH31" s="478"/>
      <c r="FTI31" s="478"/>
      <c r="FTJ31" s="478"/>
      <c r="FTK31" s="478"/>
      <c r="FTL31" s="478"/>
      <c r="FTM31" s="478"/>
      <c r="FTN31" s="478"/>
      <c r="FTO31" s="478"/>
      <c r="FTP31" s="478"/>
      <c r="FTQ31" s="478"/>
      <c r="FTR31" s="478"/>
      <c r="FTS31" s="478"/>
      <c r="FTT31" s="478"/>
      <c r="FTU31" s="478"/>
      <c r="FTV31" s="478"/>
      <c r="FTW31" s="478"/>
      <c r="FTX31" s="478"/>
      <c r="FTY31" s="478"/>
      <c r="FTZ31" s="478"/>
      <c r="FUA31" s="478"/>
      <c r="FUB31" s="478"/>
      <c r="FUC31" s="478"/>
      <c r="FUD31" s="478"/>
      <c r="FUE31" s="478"/>
      <c r="FUF31" s="478"/>
      <c r="FUG31" s="478"/>
      <c r="FUH31" s="478"/>
      <c r="FUI31" s="478"/>
      <c r="FUJ31" s="478"/>
      <c r="FUK31" s="478"/>
      <c r="FUL31" s="478"/>
      <c r="FUM31" s="478"/>
      <c r="FUN31" s="478"/>
      <c r="FUO31" s="478"/>
      <c r="FUP31" s="478"/>
      <c r="FUQ31" s="478"/>
      <c r="FUR31" s="478"/>
      <c r="FUS31" s="478"/>
      <c r="FUT31" s="478"/>
      <c r="FUU31" s="478"/>
      <c r="FUV31" s="478"/>
      <c r="FUW31" s="478"/>
      <c r="FUX31" s="478"/>
      <c r="FUY31" s="478"/>
      <c r="FUZ31" s="478"/>
      <c r="FVA31" s="478"/>
      <c r="FVB31" s="478"/>
      <c r="FVC31" s="478"/>
      <c r="FVD31" s="478"/>
      <c r="FVE31" s="478"/>
      <c r="FVF31" s="478"/>
      <c r="FVG31" s="478"/>
      <c r="FVH31" s="478"/>
      <c r="FVI31" s="478"/>
      <c r="FVJ31" s="478"/>
      <c r="FVK31" s="478"/>
      <c r="FVL31" s="478"/>
      <c r="FVM31" s="478"/>
      <c r="FVN31" s="478"/>
      <c r="FVO31" s="478"/>
      <c r="FVP31" s="478"/>
      <c r="FVQ31" s="478"/>
      <c r="FVR31" s="478"/>
      <c r="FVS31" s="478"/>
      <c r="FVT31" s="478"/>
      <c r="FVU31" s="478"/>
      <c r="FVV31" s="478"/>
      <c r="FVW31" s="478"/>
      <c r="FVX31" s="478"/>
      <c r="FVY31" s="478"/>
      <c r="FVZ31" s="478"/>
      <c r="FWA31" s="478"/>
      <c r="FWB31" s="478"/>
      <c r="FWC31" s="478"/>
      <c r="FWD31" s="478"/>
      <c r="FWE31" s="478"/>
      <c r="FWF31" s="478"/>
      <c r="FWG31" s="478"/>
      <c r="FWH31" s="478"/>
      <c r="FWI31" s="478"/>
      <c r="FWJ31" s="478"/>
      <c r="FWK31" s="478"/>
      <c r="FWL31" s="478"/>
      <c r="FWM31" s="478"/>
      <c r="FWN31" s="478"/>
      <c r="FWO31" s="478"/>
      <c r="FWP31" s="478"/>
      <c r="FWQ31" s="478"/>
      <c r="FWR31" s="478"/>
      <c r="FWS31" s="478"/>
      <c r="FWT31" s="478"/>
      <c r="FWU31" s="478"/>
      <c r="FWV31" s="478"/>
      <c r="FWW31" s="478"/>
      <c r="FWX31" s="478"/>
      <c r="FWY31" s="478"/>
      <c r="FWZ31" s="478"/>
      <c r="FXA31" s="478"/>
      <c r="FXB31" s="478"/>
      <c r="FXC31" s="478"/>
      <c r="FXD31" s="478"/>
      <c r="FXE31" s="478"/>
      <c r="FXF31" s="478"/>
      <c r="FXG31" s="478"/>
      <c r="FXH31" s="478"/>
      <c r="FXI31" s="478"/>
      <c r="FXJ31" s="478"/>
      <c r="FXK31" s="478"/>
      <c r="FXL31" s="478"/>
      <c r="FXM31" s="478"/>
      <c r="FXN31" s="478"/>
      <c r="FXO31" s="478"/>
      <c r="FXP31" s="478"/>
      <c r="FXQ31" s="478"/>
      <c r="FXR31" s="478"/>
      <c r="FXS31" s="478"/>
      <c r="FXT31" s="478"/>
      <c r="FXU31" s="478"/>
      <c r="FXV31" s="478"/>
      <c r="FXW31" s="478"/>
      <c r="FXX31" s="478"/>
      <c r="FXY31" s="478"/>
      <c r="FXZ31" s="478"/>
      <c r="FYA31" s="478"/>
      <c r="FYB31" s="478"/>
      <c r="FYC31" s="478"/>
      <c r="FYD31" s="478"/>
      <c r="FYE31" s="478"/>
      <c r="FYF31" s="478"/>
      <c r="FYG31" s="478"/>
      <c r="FYH31" s="478"/>
      <c r="FYI31" s="478"/>
      <c r="FYJ31" s="478"/>
      <c r="FYK31" s="478"/>
      <c r="FYL31" s="478"/>
      <c r="FYM31" s="478"/>
      <c r="FYN31" s="478"/>
      <c r="FYO31" s="478"/>
      <c r="FYP31" s="478"/>
      <c r="FYQ31" s="478"/>
      <c r="FYR31" s="478"/>
      <c r="FYS31" s="478"/>
      <c r="FYT31" s="478"/>
      <c r="FYU31" s="478"/>
      <c r="FYV31" s="478"/>
      <c r="FYW31" s="478"/>
      <c r="FYX31" s="478"/>
      <c r="FYY31" s="478"/>
      <c r="FYZ31" s="478"/>
      <c r="FZA31" s="478"/>
      <c r="FZB31" s="478"/>
      <c r="FZC31" s="478"/>
      <c r="FZD31" s="478"/>
      <c r="FZE31" s="478"/>
      <c r="FZF31" s="478"/>
      <c r="FZG31" s="478"/>
      <c r="FZH31" s="478"/>
      <c r="FZI31" s="478"/>
      <c r="FZJ31" s="478"/>
      <c r="FZK31" s="478"/>
      <c r="FZL31" s="478"/>
      <c r="FZM31" s="478"/>
      <c r="FZN31" s="478"/>
      <c r="FZO31" s="478"/>
      <c r="FZP31" s="478"/>
      <c r="FZQ31" s="478"/>
      <c r="FZR31" s="478"/>
      <c r="FZS31" s="478"/>
      <c r="FZT31" s="478"/>
      <c r="FZU31" s="478"/>
      <c r="FZV31" s="478"/>
      <c r="FZW31" s="478"/>
      <c r="FZX31" s="478"/>
      <c r="FZY31" s="478"/>
      <c r="FZZ31" s="478"/>
      <c r="GAA31" s="478"/>
      <c r="GAB31" s="478"/>
      <c r="GAC31" s="478"/>
      <c r="GAD31" s="478"/>
      <c r="GAE31" s="478"/>
      <c r="GAF31" s="478"/>
      <c r="GAG31" s="478"/>
      <c r="GAH31" s="478"/>
      <c r="GAI31" s="478"/>
      <c r="GAJ31" s="478"/>
      <c r="GAK31" s="478"/>
      <c r="GAL31" s="478"/>
      <c r="GAM31" s="478"/>
      <c r="GAN31" s="478"/>
      <c r="GAO31" s="478"/>
      <c r="GAP31" s="478"/>
      <c r="GAQ31" s="478"/>
      <c r="GAR31" s="478"/>
      <c r="GAS31" s="478"/>
      <c r="GAT31" s="478"/>
      <c r="GAU31" s="478"/>
      <c r="GAV31" s="478"/>
      <c r="GAW31" s="478"/>
      <c r="GAX31" s="478"/>
      <c r="GAY31" s="478"/>
      <c r="GAZ31" s="478"/>
      <c r="GBA31" s="478"/>
      <c r="GBB31" s="478"/>
      <c r="GBC31" s="478"/>
      <c r="GBD31" s="478"/>
      <c r="GBE31" s="478"/>
      <c r="GBF31" s="478"/>
      <c r="GBG31" s="478"/>
      <c r="GBH31" s="478"/>
      <c r="GBI31" s="478"/>
      <c r="GBJ31" s="478"/>
      <c r="GBK31" s="478"/>
      <c r="GBL31" s="478"/>
      <c r="GBM31" s="478"/>
      <c r="GBN31" s="478"/>
      <c r="GBO31" s="478"/>
      <c r="GBP31" s="478"/>
      <c r="GBQ31" s="478"/>
      <c r="GBR31" s="478"/>
      <c r="GBS31" s="478"/>
      <c r="GBT31" s="478"/>
      <c r="GBU31" s="478"/>
      <c r="GBV31" s="478"/>
      <c r="GBW31" s="478"/>
      <c r="GBX31" s="478"/>
      <c r="GBY31" s="478"/>
      <c r="GBZ31" s="478"/>
      <c r="GCA31" s="478"/>
      <c r="GCB31" s="478"/>
      <c r="GCC31" s="478"/>
      <c r="GCD31" s="478"/>
      <c r="GCE31" s="478"/>
      <c r="GCF31" s="478"/>
      <c r="GCG31" s="478"/>
      <c r="GCH31" s="478"/>
      <c r="GCI31" s="478"/>
      <c r="GCJ31" s="478"/>
      <c r="GCK31" s="478"/>
      <c r="GCL31" s="478"/>
      <c r="GCM31" s="478"/>
      <c r="GCN31" s="478"/>
      <c r="GCO31" s="478"/>
      <c r="GCP31" s="478"/>
      <c r="GCQ31" s="478"/>
      <c r="GCR31" s="478"/>
      <c r="GCS31" s="478"/>
      <c r="GCT31" s="478"/>
      <c r="GCU31" s="478"/>
      <c r="GCV31" s="478"/>
      <c r="GCW31" s="478"/>
      <c r="GCX31" s="478"/>
      <c r="GCY31" s="478"/>
      <c r="GCZ31" s="478"/>
      <c r="GDA31" s="478"/>
      <c r="GDB31" s="478"/>
      <c r="GDC31" s="478"/>
      <c r="GDD31" s="478"/>
      <c r="GDE31" s="478"/>
      <c r="GDF31" s="478"/>
      <c r="GDG31" s="478"/>
      <c r="GDH31" s="478"/>
      <c r="GDI31" s="478"/>
      <c r="GDJ31" s="478"/>
      <c r="GDK31" s="478"/>
      <c r="GDL31" s="478"/>
      <c r="GDM31" s="478"/>
      <c r="GDN31" s="478"/>
      <c r="GDO31" s="478"/>
      <c r="GDP31" s="478"/>
      <c r="GDQ31" s="478"/>
      <c r="GDR31" s="478"/>
      <c r="GDS31" s="478"/>
      <c r="GDT31" s="478"/>
      <c r="GDU31" s="478"/>
      <c r="GDV31" s="478"/>
      <c r="GDW31" s="478"/>
      <c r="GDX31" s="478"/>
      <c r="GDY31" s="478"/>
      <c r="GDZ31" s="478"/>
      <c r="GEA31" s="478"/>
      <c r="GEB31" s="478"/>
      <c r="GEC31" s="478"/>
      <c r="GED31" s="478"/>
      <c r="GEE31" s="478"/>
      <c r="GEF31" s="478"/>
      <c r="GEG31" s="478"/>
      <c r="GEH31" s="478"/>
      <c r="GEI31" s="478"/>
      <c r="GEJ31" s="478"/>
      <c r="GEK31" s="478"/>
      <c r="GEL31" s="478"/>
      <c r="GEM31" s="478"/>
      <c r="GEN31" s="478"/>
      <c r="GEO31" s="478"/>
      <c r="GEP31" s="478"/>
      <c r="GEQ31" s="478"/>
      <c r="GER31" s="478"/>
      <c r="GES31" s="478"/>
      <c r="GET31" s="478"/>
      <c r="GEU31" s="478"/>
      <c r="GEV31" s="478"/>
      <c r="GEW31" s="478"/>
      <c r="GEX31" s="478"/>
      <c r="GEY31" s="478"/>
      <c r="GEZ31" s="478"/>
      <c r="GFA31" s="478"/>
      <c r="GFB31" s="478"/>
      <c r="GFC31" s="478"/>
      <c r="GFD31" s="478"/>
      <c r="GFE31" s="478"/>
      <c r="GFF31" s="478"/>
      <c r="GFG31" s="478"/>
      <c r="GFH31" s="478"/>
      <c r="GFI31" s="478"/>
      <c r="GFJ31" s="478"/>
      <c r="GFK31" s="478"/>
      <c r="GFL31" s="478"/>
      <c r="GFM31" s="478"/>
      <c r="GFN31" s="478"/>
      <c r="GFO31" s="478"/>
      <c r="GFP31" s="478"/>
      <c r="GFQ31" s="478"/>
      <c r="GFR31" s="478"/>
      <c r="GFS31" s="478"/>
      <c r="GFT31" s="478"/>
      <c r="GFU31" s="478"/>
      <c r="GFV31" s="478"/>
      <c r="GFW31" s="478"/>
      <c r="GFX31" s="478"/>
      <c r="GFY31" s="478"/>
      <c r="GFZ31" s="478"/>
      <c r="GGA31" s="478"/>
      <c r="GGB31" s="478"/>
      <c r="GGC31" s="478"/>
      <c r="GGD31" s="478"/>
      <c r="GGE31" s="478"/>
      <c r="GGF31" s="478"/>
      <c r="GGG31" s="478"/>
      <c r="GGH31" s="478"/>
      <c r="GGI31" s="478"/>
      <c r="GGJ31" s="478"/>
      <c r="GGK31" s="478"/>
      <c r="GGL31" s="478"/>
      <c r="GGM31" s="478"/>
      <c r="GGN31" s="478"/>
      <c r="GGO31" s="478"/>
      <c r="GGP31" s="478"/>
      <c r="GGQ31" s="478"/>
      <c r="GGR31" s="478"/>
      <c r="GGS31" s="478"/>
      <c r="GGT31" s="478"/>
      <c r="GGU31" s="478"/>
      <c r="GGV31" s="478"/>
      <c r="GGW31" s="478"/>
      <c r="GGX31" s="478"/>
      <c r="GGY31" s="478"/>
      <c r="GGZ31" s="478"/>
      <c r="GHA31" s="478"/>
      <c r="GHB31" s="478"/>
      <c r="GHC31" s="478"/>
      <c r="GHD31" s="478"/>
      <c r="GHE31" s="478"/>
      <c r="GHF31" s="478"/>
      <c r="GHG31" s="478"/>
      <c r="GHH31" s="478"/>
      <c r="GHI31" s="478"/>
      <c r="GHJ31" s="478"/>
      <c r="GHK31" s="478"/>
      <c r="GHL31" s="478"/>
      <c r="GHM31" s="478"/>
      <c r="GHN31" s="478"/>
      <c r="GHO31" s="478"/>
      <c r="GHP31" s="478"/>
      <c r="GHQ31" s="478"/>
      <c r="GHR31" s="478"/>
      <c r="GHS31" s="478"/>
      <c r="GHT31" s="478"/>
      <c r="GHU31" s="478"/>
      <c r="GHV31" s="478"/>
      <c r="GHW31" s="478"/>
      <c r="GHX31" s="478"/>
      <c r="GHY31" s="478"/>
      <c r="GHZ31" s="478"/>
      <c r="GIA31" s="478"/>
      <c r="GIB31" s="478"/>
      <c r="GIC31" s="478"/>
      <c r="GID31" s="478"/>
      <c r="GIE31" s="478"/>
      <c r="GIF31" s="478"/>
      <c r="GIG31" s="478"/>
      <c r="GIH31" s="478"/>
      <c r="GII31" s="478"/>
      <c r="GIJ31" s="478"/>
      <c r="GIK31" s="478"/>
      <c r="GIL31" s="478"/>
      <c r="GIM31" s="478"/>
      <c r="GIN31" s="478"/>
      <c r="GIO31" s="478"/>
      <c r="GIP31" s="478"/>
      <c r="GIQ31" s="478"/>
      <c r="GIR31" s="478"/>
      <c r="GIS31" s="478"/>
      <c r="GIT31" s="478"/>
      <c r="GIU31" s="478"/>
      <c r="GIV31" s="478"/>
      <c r="GIW31" s="478"/>
      <c r="GIX31" s="478"/>
      <c r="GIY31" s="478"/>
      <c r="GIZ31" s="478"/>
      <c r="GJA31" s="478"/>
      <c r="GJB31" s="478"/>
      <c r="GJC31" s="478"/>
      <c r="GJD31" s="478"/>
      <c r="GJE31" s="478"/>
      <c r="GJF31" s="478"/>
      <c r="GJG31" s="478"/>
      <c r="GJH31" s="478"/>
      <c r="GJI31" s="478"/>
      <c r="GJJ31" s="478"/>
      <c r="GJK31" s="478"/>
      <c r="GJL31" s="478"/>
      <c r="GJM31" s="478"/>
      <c r="GJN31" s="478"/>
      <c r="GJO31" s="478"/>
      <c r="GJP31" s="478"/>
      <c r="GJQ31" s="478"/>
      <c r="GJR31" s="478"/>
      <c r="GJS31" s="478"/>
      <c r="GJT31" s="478"/>
      <c r="GJU31" s="478"/>
      <c r="GJV31" s="478"/>
      <c r="GJW31" s="478"/>
      <c r="GJX31" s="478"/>
      <c r="GJY31" s="478"/>
      <c r="GJZ31" s="478"/>
      <c r="GKA31" s="478"/>
      <c r="GKB31" s="478"/>
      <c r="GKC31" s="478"/>
      <c r="GKD31" s="478"/>
      <c r="GKE31" s="478"/>
      <c r="GKF31" s="478"/>
      <c r="GKG31" s="478"/>
      <c r="GKH31" s="478"/>
      <c r="GKI31" s="478"/>
      <c r="GKJ31" s="478"/>
      <c r="GKK31" s="478"/>
      <c r="GKL31" s="478"/>
      <c r="GKM31" s="478"/>
      <c r="GKN31" s="478"/>
      <c r="GKO31" s="478"/>
      <c r="GKP31" s="478"/>
      <c r="GKQ31" s="478"/>
      <c r="GKR31" s="478"/>
      <c r="GKS31" s="478"/>
      <c r="GKT31" s="478"/>
      <c r="GKU31" s="478"/>
      <c r="GKV31" s="478"/>
      <c r="GKW31" s="478"/>
      <c r="GKX31" s="478"/>
      <c r="GKY31" s="478"/>
      <c r="GKZ31" s="478"/>
      <c r="GLA31" s="478"/>
      <c r="GLB31" s="478"/>
      <c r="GLC31" s="478"/>
      <c r="GLD31" s="478"/>
      <c r="GLE31" s="478"/>
      <c r="GLF31" s="478"/>
      <c r="GLG31" s="478"/>
      <c r="GLH31" s="478"/>
      <c r="GLI31" s="478"/>
      <c r="GLJ31" s="478"/>
      <c r="GLK31" s="478"/>
      <c r="GLL31" s="478"/>
      <c r="GLM31" s="478"/>
      <c r="GLN31" s="478"/>
      <c r="GLO31" s="478"/>
      <c r="GLP31" s="478"/>
      <c r="GLQ31" s="478"/>
      <c r="GLR31" s="478"/>
      <c r="GLS31" s="478"/>
      <c r="GLT31" s="478"/>
      <c r="GLU31" s="478"/>
      <c r="GLV31" s="478"/>
      <c r="GLW31" s="478"/>
      <c r="GLX31" s="478"/>
      <c r="GLY31" s="478"/>
      <c r="GLZ31" s="478"/>
      <c r="GMA31" s="478"/>
      <c r="GMB31" s="478"/>
      <c r="GMC31" s="478"/>
      <c r="GMD31" s="478"/>
      <c r="GME31" s="478"/>
      <c r="GMF31" s="478"/>
      <c r="GMG31" s="478"/>
      <c r="GMH31" s="478"/>
      <c r="GMI31" s="478"/>
      <c r="GMJ31" s="478"/>
      <c r="GMK31" s="478"/>
      <c r="GML31" s="478"/>
      <c r="GMM31" s="478"/>
      <c r="GMN31" s="478"/>
      <c r="GMO31" s="478"/>
      <c r="GMP31" s="478"/>
      <c r="GMQ31" s="478"/>
      <c r="GMR31" s="478"/>
      <c r="GMS31" s="478"/>
      <c r="GMT31" s="478"/>
      <c r="GMU31" s="478"/>
      <c r="GMV31" s="478"/>
      <c r="GMW31" s="478"/>
      <c r="GMX31" s="478"/>
      <c r="GMY31" s="478"/>
      <c r="GMZ31" s="478"/>
      <c r="GNA31" s="478"/>
      <c r="GNB31" s="478"/>
      <c r="GNC31" s="478"/>
      <c r="GND31" s="478"/>
      <c r="GNE31" s="478"/>
      <c r="GNF31" s="478"/>
      <c r="GNG31" s="478"/>
      <c r="GNH31" s="478"/>
      <c r="GNI31" s="478"/>
      <c r="GNJ31" s="478"/>
      <c r="GNK31" s="478"/>
      <c r="GNL31" s="478"/>
      <c r="GNM31" s="478"/>
      <c r="GNN31" s="478"/>
      <c r="GNO31" s="478"/>
      <c r="GNP31" s="478"/>
      <c r="GNQ31" s="478"/>
      <c r="GNR31" s="478"/>
      <c r="GNS31" s="478"/>
      <c r="GNT31" s="478"/>
      <c r="GNU31" s="478"/>
      <c r="GNV31" s="478"/>
      <c r="GNW31" s="478"/>
      <c r="GNX31" s="478"/>
      <c r="GNY31" s="478"/>
      <c r="GNZ31" s="478"/>
      <c r="GOA31" s="478"/>
      <c r="GOB31" s="478"/>
      <c r="GOC31" s="478"/>
      <c r="GOD31" s="478"/>
      <c r="GOE31" s="478"/>
      <c r="GOF31" s="478"/>
      <c r="GOG31" s="478"/>
      <c r="GOH31" s="478"/>
      <c r="GOI31" s="478"/>
      <c r="GOJ31" s="478"/>
      <c r="GOK31" s="478"/>
      <c r="GOL31" s="478"/>
      <c r="GOM31" s="478"/>
      <c r="GON31" s="478"/>
      <c r="GOO31" s="478"/>
      <c r="GOP31" s="478"/>
      <c r="GOQ31" s="478"/>
      <c r="GOR31" s="478"/>
      <c r="GOS31" s="478"/>
      <c r="GOT31" s="478"/>
      <c r="GOU31" s="478"/>
      <c r="GOV31" s="478"/>
      <c r="GOW31" s="478"/>
      <c r="GOX31" s="478"/>
      <c r="GOY31" s="478"/>
      <c r="GOZ31" s="478"/>
      <c r="GPA31" s="478"/>
      <c r="GPB31" s="478"/>
      <c r="GPC31" s="478"/>
      <c r="GPD31" s="478"/>
      <c r="GPE31" s="478"/>
      <c r="GPF31" s="478"/>
      <c r="GPG31" s="478"/>
      <c r="GPH31" s="478"/>
      <c r="GPI31" s="478"/>
      <c r="GPJ31" s="478"/>
      <c r="GPK31" s="478"/>
      <c r="GPL31" s="478"/>
      <c r="GPM31" s="478"/>
      <c r="GPN31" s="478"/>
      <c r="GPO31" s="478"/>
      <c r="GPP31" s="478"/>
      <c r="GPQ31" s="478"/>
      <c r="GPR31" s="478"/>
      <c r="GPS31" s="478"/>
      <c r="GPT31" s="478"/>
      <c r="GPU31" s="478"/>
      <c r="GPV31" s="478"/>
      <c r="GPW31" s="478"/>
      <c r="GPX31" s="478"/>
      <c r="GPY31" s="478"/>
      <c r="GPZ31" s="478"/>
      <c r="GQA31" s="478"/>
      <c r="GQB31" s="478"/>
      <c r="GQC31" s="478"/>
      <c r="GQD31" s="478"/>
      <c r="GQE31" s="478"/>
      <c r="GQF31" s="478"/>
      <c r="GQG31" s="478"/>
      <c r="GQH31" s="478"/>
      <c r="GQI31" s="478"/>
      <c r="GQJ31" s="478"/>
      <c r="GQK31" s="478"/>
      <c r="GQL31" s="478"/>
      <c r="GQM31" s="478"/>
      <c r="GQN31" s="478"/>
      <c r="GQO31" s="478"/>
      <c r="GQP31" s="478"/>
      <c r="GQQ31" s="478"/>
      <c r="GQR31" s="478"/>
      <c r="GQS31" s="478"/>
      <c r="GQT31" s="478"/>
      <c r="GQU31" s="478"/>
      <c r="GQV31" s="478"/>
      <c r="GQW31" s="478"/>
      <c r="GQX31" s="478"/>
      <c r="GQY31" s="478"/>
      <c r="GQZ31" s="478"/>
      <c r="GRA31" s="478"/>
      <c r="GRB31" s="478"/>
      <c r="GRC31" s="478"/>
      <c r="GRD31" s="478"/>
      <c r="GRE31" s="478"/>
      <c r="GRF31" s="478"/>
      <c r="GRG31" s="478"/>
      <c r="GRH31" s="478"/>
      <c r="GRI31" s="478"/>
      <c r="GRJ31" s="478"/>
      <c r="GRK31" s="478"/>
      <c r="GRL31" s="478"/>
      <c r="GRM31" s="478"/>
      <c r="GRN31" s="478"/>
      <c r="GRO31" s="478"/>
      <c r="GRP31" s="478"/>
      <c r="GRQ31" s="478"/>
      <c r="GRR31" s="478"/>
      <c r="GRS31" s="478"/>
      <c r="GRT31" s="478"/>
      <c r="GRU31" s="478"/>
      <c r="GRV31" s="478"/>
      <c r="GRW31" s="478"/>
      <c r="GRX31" s="478"/>
      <c r="GRY31" s="478"/>
      <c r="GRZ31" s="478"/>
      <c r="GSA31" s="478"/>
      <c r="GSB31" s="478"/>
      <c r="GSC31" s="478"/>
      <c r="GSD31" s="478"/>
      <c r="GSE31" s="478"/>
      <c r="GSF31" s="478"/>
      <c r="GSG31" s="478"/>
      <c r="GSH31" s="478"/>
      <c r="GSI31" s="478"/>
      <c r="GSJ31" s="478"/>
      <c r="GSK31" s="478"/>
      <c r="GSL31" s="478"/>
      <c r="GSM31" s="478"/>
      <c r="GSN31" s="478"/>
      <c r="GSO31" s="478"/>
      <c r="GSP31" s="478"/>
      <c r="GSQ31" s="478"/>
      <c r="GSR31" s="478"/>
      <c r="GSS31" s="478"/>
      <c r="GST31" s="478"/>
      <c r="GSU31" s="478"/>
      <c r="GSV31" s="478"/>
      <c r="GSW31" s="478"/>
      <c r="GSX31" s="478"/>
      <c r="GSY31" s="478"/>
      <c r="GSZ31" s="478"/>
      <c r="GTA31" s="478"/>
      <c r="GTB31" s="478"/>
      <c r="GTC31" s="478"/>
      <c r="GTD31" s="478"/>
      <c r="GTE31" s="478"/>
      <c r="GTF31" s="478"/>
      <c r="GTG31" s="478"/>
      <c r="GTH31" s="478"/>
      <c r="GTI31" s="478"/>
      <c r="GTJ31" s="478"/>
      <c r="GTK31" s="478"/>
      <c r="GTL31" s="478"/>
      <c r="GTM31" s="478"/>
      <c r="GTN31" s="478"/>
      <c r="GTO31" s="478"/>
      <c r="GTP31" s="478"/>
      <c r="GTQ31" s="478"/>
      <c r="GTR31" s="478"/>
      <c r="GTS31" s="478"/>
      <c r="GTT31" s="478"/>
      <c r="GTU31" s="478"/>
      <c r="GTV31" s="478"/>
      <c r="GTW31" s="478"/>
      <c r="GTX31" s="478"/>
      <c r="GTY31" s="478"/>
      <c r="GTZ31" s="478"/>
      <c r="GUA31" s="478"/>
      <c r="GUB31" s="478"/>
      <c r="GUC31" s="478"/>
      <c r="GUD31" s="478"/>
      <c r="GUE31" s="478"/>
      <c r="GUF31" s="478"/>
      <c r="GUG31" s="478"/>
      <c r="GUH31" s="478"/>
      <c r="GUI31" s="478"/>
      <c r="GUJ31" s="478"/>
      <c r="GUK31" s="478"/>
      <c r="GUL31" s="478"/>
      <c r="GUM31" s="478"/>
      <c r="GUN31" s="478"/>
      <c r="GUO31" s="478"/>
      <c r="GUP31" s="478"/>
      <c r="GUQ31" s="478"/>
      <c r="GUR31" s="478"/>
      <c r="GUS31" s="478"/>
      <c r="GUT31" s="478"/>
      <c r="GUU31" s="478"/>
      <c r="GUV31" s="478"/>
      <c r="GUW31" s="478"/>
      <c r="GUX31" s="478"/>
      <c r="GUY31" s="478"/>
      <c r="GUZ31" s="478"/>
      <c r="GVA31" s="478"/>
      <c r="GVB31" s="478"/>
      <c r="GVC31" s="478"/>
      <c r="GVD31" s="478"/>
      <c r="GVE31" s="478"/>
      <c r="GVF31" s="478"/>
      <c r="GVG31" s="478"/>
      <c r="GVH31" s="478"/>
      <c r="GVI31" s="478"/>
      <c r="GVJ31" s="478"/>
      <c r="GVK31" s="478"/>
      <c r="GVL31" s="478"/>
      <c r="GVM31" s="478"/>
      <c r="GVN31" s="478"/>
      <c r="GVO31" s="478"/>
      <c r="GVP31" s="478"/>
      <c r="GVQ31" s="478"/>
      <c r="GVR31" s="478"/>
      <c r="GVS31" s="478"/>
      <c r="GVT31" s="478"/>
      <c r="GVU31" s="478"/>
      <c r="GVV31" s="478"/>
      <c r="GVW31" s="478"/>
      <c r="GVX31" s="478"/>
      <c r="GVY31" s="478"/>
      <c r="GVZ31" s="478"/>
      <c r="GWA31" s="478"/>
      <c r="GWB31" s="478"/>
      <c r="GWC31" s="478"/>
      <c r="GWD31" s="478"/>
      <c r="GWE31" s="478"/>
      <c r="GWF31" s="478"/>
      <c r="GWG31" s="478"/>
      <c r="GWH31" s="478"/>
      <c r="GWI31" s="478"/>
      <c r="GWJ31" s="478"/>
      <c r="GWK31" s="478"/>
      <c r="GWL31" s="478"/>
      <c r="GWM31" s="478"/>
      <c r="GWN31" s="478"/>
      <c r="GWO31" s="478"/>
      <c r="GWP31" s="478"/>
      <c r="GWQ31" s="478"/>
      <c r="GWR31" s="478"/>
      <c r="GWS31" s="478"/>
      <c r="GWT31" s="478"/>
      <c r="GWU31" s="478"/>
      <c r="GWV31" s="478"/>
      <c r="GWW31" s="478"/>
      <c r="GWX31" s="478"/>
      <c r="GWY31" s="478"/>
      <c r="GWZ31" s="478"/>
      <c r="GXA31" s="478"/>
      <c r="GXB31" s="478"/>
      <c r="GXC31" s="478"/>
      <c r="GXD31" s="478"/>
      <c r="GXE31" s="478"/>
      <c r="GXF31" s="478"/>
      <c r="GXG31" s="478"/>
      <c r="GXH31" s="478"/>
      <c r="GXI31" s="478"/>
      <c r="GXJ31" s="478"/>
      <c r="GXK31" s="478"/>
      <c r="GXL31" s="478"/>
      <c r="GXM31" s="478"/>
      <c r="GXN31" s="478"/>
      <c r="GXO31" s="478"/>
      <c r="GXP31" s="478"/>
      <c r="GXQ31" s="478"/>
      <c r="GXR31" s="478"/>
      <c r="GXS31" s="478"/>
      <c r="GXT31" s="478"/>
      <c r="GXU31" s="478"/>
      <c r="GXV31" s="478"/>
      <c r="GXW31" s="478"/>
      <c r="GXX31" s="478"/>
      <c r="GXY31" s="478"/>
      <c r="GXZ31" s="478"/>
      <c r="GYA31" s="478"/>
      <c r="GYB31" s="478"/>
      <c r="GYC31" s="478"/>
      <c r="GYD31" s="478"/>
      <c r="GYE31" s="478"/>
      <c r="GYF31" s="478"/>
      <c r="GYG31" s="478"/>
      <c r="GYH31" s="478"/>
      <c r="GYI31" s="478"/>
      <c r="GYJ31" s="478"/>
      <c r="GYK31" s="478"/>
      <c r="GYL31" s="478"/>
      <c r="GYM31" s="478"/>
      <c r="GYN31" s="478"/>
      <c r="GYO31" s="478"/>
      <c r="GYP31" s="478"/>
      <c r="GYQ31" s="478"/>
      <c r="GYR31" s="478"/>
      <c r="GYS31" s="478"/>
      <c r="GYT31" s="478"/>
      <c r="GYU31" s="478"/>
      <c r="GYV31" s="478"/>
      <c r="GYW31" s="478"/>
      <c r="GYX31" s="478"/>
      <c r="GYY31" s="478"/>
      <c r="GYZ31" s="478"/>
      <c r="GZA31" s="478"/>
      <c r="GZB31" s="478"/>
      <c r="GZC31" s="478"/>
      <c r="GZD31" s="478"/>
      <c r="GZE31" s="478"/>
      <c r="GZF31" s="478"/>
      <c r="GZG31" s="478"/>
      <c r="GZH31" s="478"/>
      <c r="GZI31" s="478"/>
      <c r="GZJ31" s="478"/>
      <c r="GZK31" s="478"/>
      <c r="GZL31" s="478"/>
      <c r="GZM31" s="478"/>
      <c r="GZN31" s="478"/>
      <c r="GZO31" s="478"/>
      <c r="GZP31" s="478"/>
      <c r="GZQ31" s="478"/>
      <c r="GZR31" s="478"/>
      <c r="GZS31" s="478"/>
      <c r="GZT31" s="478"/>
      <c r="GZU31" s="478"/>
      <c r="GZV31" s="478"/>
      <c r="GZW31" s="478"/>
      <c r="GZX31" s="478"/>
      <c r="GZY31" s="478"/>
      <c r="GZZ31" s="478"/>
      <c r="HAA31" s="478"/>
      <c r="HAB31" s="478"/>
      <c r="HAC31" s="478"/>
      <c r="HAD31" s="478"/>
      <c r="HAE31" s="478"/>
      <c r="HAF31" s="478"/>
      <c r="HAG31" s="478"/>
      <c r="HAH31" s="478"/>
      <c r="HAI31" s="478"/>
      <c r="HAJ31" s="478"/>
      <c r="HAK31" s="478"/>
      <c r="HAL31" s="478"/>
      <c r="HAM31" s="478"/>
      <c r="HAN31" s="478"/>
      <c r="HAO31" s="478"/>
      <c r="HAP31" s="478"/>
      <c r="HAQ31" s="478"/>
      <c r="HAR31" s="478"/>
      <c r="HAS31" s="478"/>
      <c r="HAT31" s="478"/>
      <c r="HAU31" s="478"/>
      <c r="HAV31" s="478"/>
      <c r="HAW31" s="478"/>
      <c r="HAX31" s="478"/>
      <c r="HAY31" s="478"/>
      <c r="HAZ31" s="478"/>
      <c r="HBA31" s="478"/>
      <c r="HBB31" s="478"/>
      <c r="HBC31" s="478"/>
      <c r="HBD31" s="478"/>
      <c r="HBE31" s="478"/>
      <c r="HBF31" s="478"/>
      <c r="HBG31" s="478"/>
      <c r="HBH31" s="478"/>
      <c r="HBI31" s="478"/>
      <c r="HBJ31" s="478"/>
      <c r="HBK31" s="478"/>
      <c r="HBL31" s="478"/>
      <c r="HBM31" s="478"/>
      <c r="HBN31" s="478"/>
      <c r="HBO31" s="478"/>
      <c r="HBP31" s="478"/>
      <c r="HBQ31" s="478"/>
      <c r="HBR31" s="478"/>
      <c r="HBS31" s="478"/>
      <c r="HBT31" s="478"/>
      <c r="HBU31" s="478"/>
      <c r="HBV31" s="478"/>
      <c r="HBW31" s="478"/>
      <c r="HBX31" s="478"/>
      <c r="HBY31" s="478"/>
      <c r="HBZ31" s="478"/>
      <c r="HCA31" s="478"/>
      <c r="HCB31" s="478"/>
      <c r="HCC31" s="478"/>
      <c r="HCD31" s="478"/>
      <c r="HCE31" s="478"/>
      <c r="HCF31" s="478"/>
      <c r="HCG31" s="478"/>
      <c r="HCH31" s="478"/>
      <c r="HCI31" s="478"/>
      <c r="HCJ31" s="478"/>
      <c r="HCK31" s="478"/>
      <c r="HCL31" s="478"/>
      <c r="HCM31" s="478"/>
      <c r="HCN31" s="478"/>
      <c r="HCO31" s="478"/>
      <c r="HCP31" s="478"/>
      <c r="HCQ31" s="478"/>
      <c r="HCR31" s="478"/>
      <c r="HCS31" s="478"/>
      <c r="HCT31" s="478"/>
      <c r="HCU31" s="478"/>
      <c r="HCV31" s="478"/>
      <c r="HCW31" s="478"/>
      <c r="HCX31" s="478"/>
      <c r="HCY31" s="478"/>
      <c r="HCZ31" s="478"/>
      <c r="HDA31" s="478"/>
      <c r="HDB31" s="478"/>
      <c r="HDC31" s="478"/>
      <c r="HDD31" s="478"/>
      <c r="HDE31" s="478"/>
      <c r="HDF31" s="478"/>
      <c r="HDG31" s="478"/>
      <c r="HDH31" s="478"/>
      <c r="HDI31" s="478"/>
      <c r="HDJ31" s="478"/>
      <c r="HDK31" s="478"/>
      <c r="HDL31" s="478"/>
      <c r="HDM31" s="478"/>
      <c r="HDN31" s="478"/>
      <c r="HDO31" s="478"/>
      <c r="HDP31" s="478"/>
      <c r="HDQ31" s="478"/>
      <c r="HDR31" s="478"/>
      <c r="HDS31" s="478"/>
      <c r="HDT31" s="478"/>
      <c r="HDU31" s="478"/>
      <c r="HDV31" s="478"/>
      <c r="HDW31" s="478"/>
      <c r="HDX31" s="478"/>
      <c r="HDY31" s="478"/>
      <c r="HDZ31" s="478"/>
      <c r="HEA31" s="478"/>
      <c r="HEB31" s="478"/>
      <c r="HEC31" s="478"/>
      <c r="HED31" s="478"/>
      <c r="HEE31" s="478"/>
      <c r="HEF31" s="478"/>
      <c r="HEG31" s="478"/>
      <c r="HEH31" s="478"/>
      <c r="HEI31" s="478"/>
      <c r="HEJ31" s="478"/>
      <c r="HEK31" s="478"/>
      <c r="HEL31" s="478"/>
      <c r="HEM31" s="478"/>
      <c r="HEN31" s="478"/>
      <c r="HEO31" s="478"/>
      <c r="HEP31" s="478"/>
      <c r="HEQ31" s="478"/>
      <c r="HER31" s="478"/>
      <c r="HES31" s="478"/>
      <c r="HET31" s="478"/>
      <c r="HEU31" s="478"/>
      <c r="HEV31" s="478"/>
      <c r="HEW31" s="478"/>
      <c r="HEX31" s="478"/>
      <c r="HEY31" s="478"/>
      <c r="HEZ31" s="478"/>
      <c r="HFA31" s="478"/>
      <c r="HFB31" s="478"/>
      <c r="HFC31" s="478"/>
      <c r="HFD31" s="478"/>
      <c r="HFE31" s="478"/>
      <c r="HFF31" s="478"/>
      <c r="HFG31" s="478"/>
      <c r="HFH31" s="478"/>
      <c r="HFI31" s="478"/>
      <c r="HFJ31" s="478"/>
      <c r="HFK31" s="478"/>
      <c r="HFL31" s="478"/>
      <c r="HFM31" s="478"/>
      <c r="HFN31" s="478"/>
      <c r="HFO31" s="478"/>
      <c r="HFP31" s="478"/>
      <c r="HFQ31" s="478"/>
      <c r="HFR31" s="478"/>
      <c r="HFS31" s="478"/>
      <c r="HFT31" s="478"/>
      <c r="HFU31" s="478"/>
      <c r="HFV31" s="478"/>
      <c r="HFW31" s="478"/>
      <c r="HFX31" s="478"/>
      <c r="HFY31" s="478"/>
      <c r="HFZ31" s="478"/>
      <c r="HGA31" s="478"/>
      <c r="HGB31" s="478"/>
      <c r="HGC31" s="478"/>
      <c r="HGD31" s="478"/>
      <c r="HGE31" s="478"/>
      <c r="HGF31" s="478"/>
      <c r="HGG31" s="478"/>
      <c r="HGH31" s="478"/>
      <c r="HGI31" s="478"/>
      <c r="HGJ31" s="478"/>
      <c r="HGK31" s="478"/>
      <c r="HGL31" s="478"/>
      <c r="HGM31" s="478"/>
      <c r="HGN31" s="478"/>
      <c r="HGO31" s="478"/>
      <c r="HGP31" s="478"/>
      <c r="HGQ31" s="478"/>
      <c r="HGR31" s="478"/>
      <c r="HGS31" s="478"/>
      <c r="HGT31" s="478"/>
      <c r="HGU31" s="478"/>
      <c r="HGV31" s="478"/>
      <c r="HGW31" s="478"/>
      <c r="HGX31" s="478"/>
      <c r="HGY31" s="478"/>
      <c r="HGZ31" s="478"/>
      <c r="HHA31" s="478"/>
      <c r="HHB31" s="478"/>
      <c r="HHC31" s="478"/>
      <c r="HHD31" s="478"/>
      <c r="HHE31" s="478"/>
      <c r="HHF31" s="478"/>
      <c r="HHG31" s="478"/>
      <c r="HHH31" s="478"/>
      <c r="HHI31" s="478"/>
      <c r="HHJ31" s="478"/>
      <c r="HHK31" s="478"/>
      <c r="HHL31" s="478"/>
      <c r="HHM31" s="478"/>
      <c r="HHN31" s="478"/>
      <c r="HHO31" s="478"/>
      <c r="HHP31" s="478"/>
      <c r="HHQ31" s="478"/>
      <c r="HHR31" s="478"/>
      <c r="HHS31" s="478"/>
      <c r="HHT31" s="478"/>
      <c r="HHU31" s="478"/>
      <c r="HHV31" s="478"/>
      <c r="HHW31" s="478"/>
      <c r="HHX31" s="478"/>
      <c r="HHY31" s="478"/>
      <c r="HHZ31" s="478"/>
      <c r="HIA31" s="478"/>
      <c r="HIB31" s="478"/>
      <c r="HIC31" s="478"/>
      <c r="HID31" s="478"/>
      <c r="HIE31" s="478"/>
      <c r="HIF31" s="478"/>
      <c r="HIG31" s="478"/>
      <c r="HIH31" s="478"/>
      <c r="HII31" s="478"/>
      <c r="HIJ31" s="478"/>
      <c r="HIK31" s="478"/>
      <c r="HIL31" s="478"/>
      <c r="HIM31" s="478"/>
      <c r="HIN31" s="478"/>
      <c r="HIO31" s="478"/>
      <c r="HIP31" s="478"/>
      <c r="HIQ31" s="478"/>
      <c r="HIR31" s="478"/>
      <c r="HIS31" s="478"/>
      <c r="HIT31" s="478"/>
      <c r="HIU31" s="478"/>
      <c r="HIV31" s="478"/>
      <c r="HIW31" s="478"/>
      <c r="HIX31" s="478"/>
      <c r="HIY31" s="478"/>
      <c r="HIZ31" s="478"/>
      <c r="HJA31" s="478"/>
      <c r="HJB31" s="478"/>
      <c r="HJC31" s="478"/>
      <c r="HJD31" s="478"/>
      <c r="HJE31" s="478"/>
      <c r="HJF31" s="478"/>
      <c r="HJG31" s="478"/>
      <c r="HJH31" s="478"/>
      <c r="HJI31" s="478"/>
      <c r="HJJ31" s="478"/>
      <c r="HJK31" s="478"/>
      <c r="HJL31" s="478"/>
      <c r="HJM31" s="478"/>
      <c r="HJN31" s="478"/>
      <c r="HJO31" s="478"/>
      <c r="HJP31" s="478"/>
      <c r="HJQ31" s="478"/>
      <c r="HJR31" s="478"/>
      <c r="HJS31" s="478"/>
      <c r="HJT31" s="478"/>
      <c r="HJU31" s="478"/>
      <c r="HJV31" s="478"/>
      <c r="HJW31" s="478"/>
      <c r="HJX31" s="478"/>
      <c r="HJY31" s="478"/>
      <c r="HJZ31" s="478"/>
      <c r="HKA31" s="478"/>
      <c r="HKB31" s="478"/>
      <c r="HKC31" s="478"/>
      <c r="HKD31" s="478"/>
      <c r="HKE31" s="478"/>
      <c r="HKF31" s="478"/>
      <c r="HKG31" s="478"/>
      <c r="HKH31" s="478"/>
      <c r="HKI31" s="478"/>
      <c r="HKJ31" s="478"/>
      <c r="HKK31" s="478"/>
      <c r="HKL31" s="478"/>
      <c r="HKM31" s="478"/>
      <c r="HKN31" s="478"/>
      <c r="HKO31" s="478"/>
      <c r="HKP31" s="478"/>
      <c r="HKQ31" s="478"/>
      <c r="HKR31" s="478"/>
      <c r="HKS31" s="478"/>
      <c r="HKT31" s="478"/>
      <c r="HKU31" s="478"/>
      <c r="HKV31" s="478"/>
      <c r="HKW31" s="478"/>
      <c r="HKX31" s="478"/>
      <c r="HKY31" s="478"/>
      <c r="HKZ31" s="478"/>
      <c r="HLA31" s="478"/>
      <c r="HLB31" s="478"/>
      <c r="HLC31" s="478"/>
      <c r="HLD31" s="478"/>
      <c r="HLE31" s="478"/>
      <c r="HLF31" s="478"/>
      <c r="HLG31" s="478"/>
      <c r="HLH31" s="478"/>
      <c r="HLI31" s="478"/>
      <c r="HLJ31" s="478"/>
      <c r="HLK31" s="478"/>
      <c r="HLL31" s="478"/>
      <c r="HLM31" s="478"/>
      <c r="HLN31" s="478"/>
      <c r="HLO31" s="478"/>
      <c r="HLP31" s="478"/>
      <c r="HLQ31" s="478"/>
      <c r="HLR31" s="478"/>
      <c r="HLS31" s="478"/>
      <c r="HLT31" s="478"/>
      <c r="HLU31" s="478"/>
      <c r="HLV31" s="478"/>
      <c r="HLW31" s="478"/>
      <c r="HLX31" s="478"/>
      <c r="HLY31" s="478"/>
      <c r="HLZ31" s="478"/>
      <c r="HMA31" s="478"/>
      <c r="HMB31" s="478"/>
      <c r="HMC31" s="478"/>
      <c r="HMD31" s="478"/>
      <c r="HME31" s="478"/>
      <c r="HMF31" s="478"/>
      <c r="HMG31" s="478"/>
      <c r="HMH31" s="478"/>
      <c r="HMI31" s="478"/>
      <c r="HMJ31" s="478"/>
      <c r="HMK31" s="478"/>
      <c r="HML31" s="478"/>
      <c r="HMM31" s="478"/>
      <c r="HMN31" s="478"/>
      <c r="HMO31" s="478"/>
      <c r="HMP31" s="478"/>
      <c r="HMQ31" s="478"/>
      <c r="HMR31" s="478"/>
      <c r="HMS31" s="478"/>
      <c r="HMT31" s="478"/>
      <c r="HMU31" s="478"/>
      <c r="HMV31" s="478"/>
      <c r="HMW31" s="478"/>
      <c r="HMX31" s="478"/>
      <c r="HMY31" s="478"/>
      <c r="HMZ31" s="478"/>
      <c r="HNA31" s="478"/>
      <c r="HNB31" s="478"/>
      <c r="HNC31" s="478"/>
      <c r="HND31" s="478"/>
      <c r="HNE31" s="478"/>
      <c r="HNF31" s="478"/>
      <c r="HNG31" s="478"/>
      <c r="HNH31" s="478"/>
      <c r="HNI31" s="478"/>
      <c r="HNJ31" s="478"/>
      <c r="HNK31" s="478"/>
      <c r="HNL31" s="478"/>
      <c r="HNM31" s="478"/>
      <c r="HNN31" s="478"/>
      <c r="HNO31" s="478"/>
      <c r="HNP31" s="478"/>
      <c r="HNQ31" s="478"/>
      <c r="HNR31" s="478"/>
      <c r="HNS31" s="478"/>
      <c r="HNT31" s="478"/>
      <c r="HNU31" s="478"/>
      <c r="HNV31" s="478"/>
      <c r="HNW31" s="478"/>
      <c r="HNX31" s="478"/>
      <c r="HNY31" s="478"/>
      <c r="HNZ31" s="478"/>
      <c r="HOA31" s="478"/>
      <c r="HOB31" s="478"/>
      <c r="HOC31" s="478"/>
      <c r="HOD31" s="478"/>
      <c r="HOE31" s="478"/>
      <c r="HOF31" s="478"/>
      <c r="HOG31" s="478"/>
      <c r="HOH31" s="478"/>
      <c r="HOI31" s="478"/>
      <c r="HOJ31" s="478"/>
      <c r="HOK31" s="478"/>
      <c r="HOL31" s="478"/>
      <c r="HOM31" s="478"/>
      <c r="HON31" s="478"/>
      <c r="HOO31" s="478"/>
      <c r="HOP31" s="478"/>
      <c r="HOQ31" s="478"/>
      <c r="HOR31" s="478"/>
      <c r="HOS31" s="478"/>
      <c r="HOT31" s="478"/>
      <c r="HOU31" s="478"/>
      <c r="HOV31" s="478"/>
      <c r="HOW31" s="478"/>
      <c r="HOX31" s="478"/>
      <c r="HOY31" s="478"/>
      <c r="HOZ31" s="478"/>
      <c r="HPA31" s="478"/>
      <c r="HPB31" s="478"/>
      <c r="HPC31" s="478"/>
      <c r="HPD31" s="478"/>
      <c r="HPE31" s="478"/>
      <c r="HPF31" s="478"/>
      <c r="HPG31" s="478"/>
      <c r="HPH31" s="478"/>
      <c r="HPI31" s="478"/>
      <c r="HPJ31" s="478"/>
      <c r="HPK31" s="478"/>
      <c r="HPL31" s="478"/>
      <c r="HPM31" s="478"/>
      <c r="HPN31" s="478"/>
      <c r="HPO31" s="478"/>
      <c r="HPP31" s="478"/>
      <c r="HPQ31" s="478"/>
      <c r="HPR31" s="478"/>
      <c r="HPS31" s="478"/>
      <c r="HPT31" s="478"/>
      <c r="HPU31" s="478"/>
      <c r="HPV31" s="478"/>
      <c r="HPW31" s="478"/>
      <c r="HPX31" s="478"/>
      <c r="HPY31" s="478"/>
      <c r="HPZ31" s="478"/>
      <c r="HQA31" s="478"/>
      <c r="HQB31" s="478"/>
      <c r="HQC31" s="478"/>
      <c r="HQD31" s="478"/>
      <c r="HQE31" s="478"/>
      <c r="HQF31" s="478"/>
      <c r="HQG31" s="478"/>
      <c r="HQH31" s="478"/>
      <c r="HQI31" s="478"/>
      <c r="HQJ31" s="478"/>
      <c r="HQK31" s="478"/>
      <c r="HQL31" s="478"/>
      <c r="HQM31" s="478"/>
      <c r="HQN31" s="478"/>
      <c r="HQO31" s="478"/>
      <c r="HQP31" s="478"/>
      <c r="HQQ31" s="478"/>
      <c r="HQR31" s="478"/>
      <c r="HQS31" s="478"/>
      <c r="HQT31" s="478"/>
      <c r="HQU31" s="478"/>
      <c r="HQV31" s="478"/>
      <c r="HQW31" s="478"/>
      <c r="HQX31" s="478"/>
      <c r="HQY31" s="478"/>
      <c r="HQZ31" s="478"/>
      <c r="HRA31" s="478"/>
      <c r="HRB31" s="478"/>
      <c r="HRC31" s="478"/>
      <c r="HRD31" s="478"/>
      <c r="HRE31" s="478"/>
      <c r="HRF31" s="478"/>
      <c r="HRG31" s="478"/>
      <c r="HRH31" s="478"/>
      <c r="HRI31" s="478"/>
      <c r="HRJ31" s="478"/>
      <c r="HRK31" s="478"/>
      <c r="HRL31" s="478"/>
      <c r="HRM31" s="478"/>
      <c r="HRN31" s="478"/>
      <c r="HRO31" s="478"/>
      <c r="HRP31" s="478"/>
      <c r="HRQ31" s="478"/>
      <c r="HRR31" s="478"/>
      <c r="HRS31" s="478"/>
      <c r="HRT31" s="478"/>
      <c r="HRU31" s="478"/>
      <c r="HRV31" s="478"/>
      <c r="HRW31" s="478"/>
      <c r="HRX31" s="478"/>
      <c r="HRY31" s="478"/>
      <c r="HRZ31" s="478"/>
      <c r="HSA31" s="478"/>
      <c r="HSB31" s="478"/>
      <c r="HSC31" s="478"/>
      <c r="HSD31" s="478"/>
      <c r="HSE31" s="478"/>
      <c r="HSF31" s="478"/>
      <c r="HSG31" s="478"/>
      <c r="HSH31" s="478"/>
      <c r="HSI31" s="478"/>
      <c r="HSJ31" s="478"/>
      <c r="HSK31" s="478"/>
      <c r="HSL31" s="478"/>
      <c r="HSM31" s="478"/>
      <c r="HSN31" s="478"/>
      <c r="HSO31" s="478"/>
      <c r="HSP31" s="478"/>
      <c r="HSQ31" s="478"/>
      <c r="HSR31" s="478"/>
      <c r="HSS31" s="478"/>
      <c r="HST31" s="478"/>
      <c r="HSU31" s="478"/>
      <c r="HSV31" s="478"/>
      <c r="HSW31" s="478"/>
      <c r="HSX31" s="478"/>
      <c r="HSY31" s="478"/>
      <c r="HSZ31" s="478"/>
      <c r="HTA31" s="478"/>
      <c r="HTB31" s="478"/>
      <c r="HTC31" s="478"/>
      <c r="HTD31" s="478"/>
      <c r="HTE31" s="478"/>
      <c r="HTF31" s="478"/>
      <c r="HTG31" s="478"/>
      <c r="HTH31" s="478"/>
      <c r="HTI31" s="478"/>
      <c r="HTJ31" s="478"/>
      <c r="HTK31" s="478"/>
      <c r="HTL31" s="478"/>
      <c r="HTM31" s="478"/>
      <c r="HTN31" s="478"/>
      <c r="HTO31" s="478"/>
      <c r="HTP31" s="478"/>
      <c r="HTQ31" s="478"/>
      <c r="HTR31" s="478"/>
      <c r="HTS31" s="478"/>
      <c r="HTT31" s="478"/>
      <c r="HTU31" s="478"/>
      <c r="HTV31" s="478"/>
      <c r="HTW31" s="478"/>
      <c r="HTX31" s="478"/>
      <c r="HTY31" s="478"/>
      <c r="HTZ31" s="478"/>
      <c r="HUA31" s="478"/>
      <c r="HUB31" s="478"/>
      <c r="HUC31" s="478"/>
      <c r="HUD31" s="478"/>
      <c r="HUE31" s="478"/>
      <c r="HUF31" s="478"/>
      <c r="HUG31" s="478"/>
      <c r="HUH31" s="478"/>
      <c r="HUI31" s="478"/>
      <c r="HUJ31" s="478"/>
      <c r="HUK31" s="478"/>
      <c r="HUL31" s="478"/>
      <c r="HUM31" s="478"/>
      <c r="HUN31" s="478"/>
      <c r="HUO31" s="478"/>
      <c r="HUP31" s="478"/>
      <c r="HUQ31" s="478"/>
      <c r="HUR31" s="478"/>
      <c r="HUS31" s="478"/>
      <c r="HUT31" s="478"/>
      <c r="HUU31" s="478"/>
      <c r="HUV31" s="478"/>
      <c r="HUW31" s="478"/>
      <c r="HUX31" s="478"/>
      <c r="HUY31" s="478"/>
      <c r="HUZ31" s="478"/>
      <c r="HVA31" s="478"/>
      <c r="HVB31" s="478"/>
      <c r="HVC31" s="478"/>
      <c r="HVD31" s="478"/>
      <c r="HVE31" s="478"/>
      <c r="HVF31" s="478"/>
      <c r="HVG31" s="478"/>
      <c r="HVH31" s="478"/>
      <c r="HVI31" s="478"/>
      <c r="HVJ31" s="478"/>
      <c r="HVK31" s="478"/>
      <c r="HVL31" s="478"/>
      <c r="HVM31" s="478"/>
      <c r="HVN31" s="478"/>
      <c r="HVO31" s="478"/>
      <c r="HVP31" s="478"/>
      <c r="HVQ31" s="478"/>
      <c r="HVR31" s="478"/>
      <c r="HVS31" s="478"/>
      <c r="HVT31" s="478"/>
      <c r="HVU31" s="478"/>
      <c r="HVV31" s="478"/>
      <c r="HVW31" s="478"/>
      <c r="HVX31" s="478"/>
      <c r="HVY31" s="478"/>
      <c r="HVZ31" s="478"/>
      <c r="HWA31" s="478"/>
      <c r="HWB31" s="478"/>
      <c r="HWC31" s="478"/>
      <c r="HWD31" s="478"/>
      <c r="HWE31" s="478"/>
      <c r="HWF31" s="478"/>
      <c r="HWG31" s="478"/>
      <c r="HWH31" s="478"/>
      <c r="HWI31" s="478"/>
      <c r="HWJ31" s="478"/>
      <c r="HWK31" s="478"/>
      <c r="HWL31" s="478"/>
      <c r="HWM31" s="478"/>
      <c r="HWN31" s="478"/>
      <c r="HWO31" s="478"/>
      <c r="HWP31" s="478"/>
      <c r="HWQ31" s="478"/>
      <c r="HWR31" s="478"/>
      <c r="HWS31" s="478"/>
      <c r="HWT31" s="478"/>
      <c r="HWU31" s="478"/>
      <c r="HWV31" s="478"/>
      <c r="HWW31" s="478"/>
      <c r="HWX31" s="478"/>
      <c r="HWY31" s="478"/>
      <c r="HWZ31" s="478"/>
      <c r="HXA31" s="478"/>
      <c r="HXB31" s="478"/>
      <c r="HXC31" s="478"/>
      <c r="HXD31" s="478"/>
      <c r="HXE31" s="478"/>
      <c r="HXF31" s="478"/>
      <c r="HXG31" s="478"/>
      <c r="HXH31" s="478"/>
      <c r="HXI31" s="478"/>
      <c r="HXJ31" s="478"/>
      <c r="HXK31" s="478"/>
      <c r="HXL31" s="478"/>
      <c r="HXM31" s="478"/>
      <c r="HXN31" s="478"/>
      <c r="HXO31" s="478"/>
      <c r="HXP31" s="478"/>
      <c r="HXQ31" s="478"/>
      <c r="HXR31" s="478"/>
      <c r="HXS31" s="478"/>
      <c r="HXT31" s="478"/>
      <c r="HXU31" s="478"/>
      <c r="HXV31" s="478"/>
      <c r="HXW31" s="478"/>
      <c r="HXX31" s="478"/>
      <c r="HXY31" s="478"/>
      <c r="HXZ31" s="478"/>
      <c r="HYA31" s="478"/>
      <c r="HYB31" s="478"/>
      <c r="HYC31" s="478"/>
      <c r="HYD31" s="478"/>
      <c r="HYE31" s="478"/>
      <c r="HYF31" s="478"/>
      <c r="HYG31" s="478"/>
      <c r="HYH31" s="478"/>
      <c r="HYI31" s="478"/>
      <c r="HYJ31" s="478"/>
      <c r="HYK31" s="478"/>
      <c r="HYL31" s="478"/>
      <c r="HYM31" s="478"/>
      <c r="HYN31" s="478"/>
      <c r="HYO31" s="478"/>
      <c r="HYP31" s="478"/>
      <c r="HYQ31" s="478"/>
      <c r="HYR31" s="478"/>
      <c r="HYS31" s="478"/>
      <c r="HYT31" s="478"/>
      <c r="HYU31" s="478"/>
      <c r="HYV31" s="478"/>
      <c r="HYW31" s="478"/>
      <c r="HYX31" s="478"/>
      <c r="HYY31" s="478"/>
      <c r="HYZ31" s="478"/>
      <c r="HZA31" s="478"/>
      <c r="HZB31" s="478"/>
      <c r="HZC31" s="478"/>
      <c r="HZD31" s="478"/>
      <c r="HZE31" s="478"/>
      <c r="HZF31" s="478"/>
      <c r="HZG31" s="478"/>
      <c r="HZH31" s="478"/>
      <c r="HZI31" s="478"/>
      <c r="HZJ31" s="478"/>
      <c r="HZK31" s="478"/>
      <c r="HZL31" s="478"/>
      <c r="HZM31" s="478"/>
      <c r="HZN31" s="478"/>
      <c r="HZO31" s="478"/>
      <c r="HZP31" s="478"/>
      <c r="HZQ31" s="478"/>
      <c r="HZR31" s="478"/>
      <c r="HZS31" s="478"/>
      <c r="HZT31" s="478"/>
      <c r="HZU31" s="478"/>
      <c r="HZV31" s="478"/>
      <c r="HZW31" s="478"/>
      <c r="HZX31" s="478"/>
      <c r="HZY31" s="478"/>
      <c r="HZZ31" s="478"/>
      <c r="IAA31" s="478"/>
      <c r="IAB31" s="478"/>
      <c r="IAC31" s="478"/>
      <c r="IAD31" s="478"/>
      <c r="IAE31" s="478"/>
      <c r="IAF31" s="478"/>
      <c r="IAG31" s="478"/>
      <c r="IAH31" s="478"/>
      <c r="IAI31" s="478"/>
      <c r="IAJ31" s="478"/>
      <c r="IAK31" s="478"/>
      <c r="IAL31" s="478"/>
      <c r="IAM31" s="478"/>
      <c r="IAN31" s="478"/>
      <c r="IAO31" s="478"/>
      <c r="IAP31" s="478"/>
      <c r="IAQ31" s="478"/>
      <c r="IAR31" s="478"/>
      <c r="IAS31" s="478"/>
      <c r="IAT31" s="478"/>
      <c r="IAU31" s="478"/>
      <c r="IAV31" s="478"/>
      <c r="IAW31" s="478"/>
      <c r="IAX31" s="478"/>
      <c r="IAY31" s="478"/>
      <c r="IAZ31" s="478"/>
      <c r="IBA31" s="478"/>
      <c r="IBB31" s="478"/>
      <c r="IBC31" s="478"/>
      <c r="IBD31" s="478"/>
      <c r="IBE31" s="478"/>
      <c r="IBF31" s="478"/>
      <c r="IBG31" s="478"/>
      <c r="IBH31" s="478"/>
      <c r="IBI31" s="478"/>
      <c r="IBJ31" s="478"/>
      <c r="IBK31" s="478"/>
      <c r="IBL31" s="478"/>
      <c r="IBM31" s="478"/>
      <c r="IBN31" s="478"/>
      <c r="IBO31" s="478"/>
      <c r="IBP31" s="478"/>
      <c r="IBQ31" s="478"/>
      <c r="IBR31" s="478"/>
      <c r="IBS31" s="478"/>
      <c r="IBT31" s="478"/>
      <c r="IBU31" s="478"/>
      <c r="IBV31" s="478"/>
      <c r="IBW31" s="478"/>
      <c r="IBX31" s="478"/>
      <c r="IBY31" s="478"/>
      <c r="IBZ31" s="478"/>
      <c r="ICA31" s="478"/>
      <c r="ICB31" s="478"/>
      <c r="ICC31" s="478"/>
      <c r="ICD31" s="478"/>
      <c r="ICE31" s="478"/>
      <c r="ICF31" s="478"/>
      <c r="ICG31" s="478"/>
      <c r="ICH31" s="478"/>
      <c r="ICI31" s="478"/>
      <c r="ICJ31" s="478"/>
      <c r="ICK31" s="478"/>
      <c r="ICL31" s="478"/>
      <c r="ICM31" s="478"/>
      <c r="ICN31" s="478"/>
      <c r="ICO31" s="478"/>
      <c r="ICP31" s="478"/>
      <c r="ICQ31" s="478"/>
      <c r="ICR31" s="478"/>
      <c r="ICS31" s="478"/>
      <c r="ICT31" s="478"/>
      <c r="ICU31" s="478"/>
      <c r="ICV31" s="478"/>
      <c r="ICW31" s="478"/>
      <c r="ICX31" s="478"/>
      <c r="ICY31" s="478"/>
      <c r="ICZ31" s="478"/>
      <c r="IDA31" s="478"/>
      <c r="IDB31" s="478"/>
      <c r="IDC31" s="478"/>
      <c r="IDD31" s="478"/>
      <c r="IDE31" s="478"/>
      <c r="IDF31" s="478"/>
      <c r="IDG31" s="478"/>
      <c r="IDH31" s="478"/>
      <c r="IDI31" s="478"/>
      <c r="IDJ31" s="478"/>
      <c r="IDK31" s="478"/>
      <c r="IDL31" s="478"/>
      <c r="IDM31" s="478"/>
      <c r="IDN31" s="478"/>
      <c r="IDO31" s="478"/>
      <c r="IDP31" s="478"/>
      <c r="IDQ31" s="478"/>
      <c r="IDR31" s="478"/>
      <c r="IDS31" s="478"/>
      <c r="IDT31" s="478"/>
      <c r="IDU31" s="478"/>
      <c r="IDV31" s="478"/>
      <c r="IDW31" s="478"/>
      <c r="IDX31" s="478"/>
      <c r="IDY31" s="478"/>
      <c r="IDZ31" s="478"/>
      <c r="IEA31" s="478"/>
      <c r="IEB31" s="478"/>
      <c r="IEC31" s="478"/>
      <c r="IED31" s="478"/>
      <c r="IEE31" s="478"/>
      <c r="IEF31" s="478"/>
      <c r="IEG31" s="478"/>
      <c r="IEH31" s="478"/>
      <c r="IEI31" s="478"/>
      <c r="IEJ31" s="478"/>
      <c r="IEK31" s="478"/>
      <c r="IEL31" s="478"/>
      <c r="IEM31" s="478"/>
      <c r="IEN31" s="478"/>
      <c r="IEO31" s="478"/>
      <c r="IEP31" s="478"/>
      <c r="IEQ31" s="478"/>
      <c r="IER31" s="478"/>
      <c r="IES31" s="478"/>
      <c r="IET31" s="478"/>
      <c r="IEU31" s="478"/>
      <c r="IEV31" s="478"/>
      <c r="IEW31" s="478"/>
      <c r="IEX31" s="478"/>
      <c r="IEY31" s="478"/>
      <c r="IEZ31" s="478"/>
      <c r="IFA31" s="478"/>
      <c r="IFB31" s="478"/>
      <c r="IFC31" s="478"/>
      <c r="IFD31" s="478"/>
      <c r="IFE31" s="478"/>
      <c r="IFF31" s="478"/>
      <c r="IFG31" s="478"/>
      <c r="IFH31" s="478"/>
      <c r="IFI31" s="478"/>
      <c r="IFJ31" s="478"/>
      <c r="IFK31" s="478"/>
      <c r="IFL31" s="478"/>
      <c r="IFM31" s="478"/>
      <c r="IFN31" s="478"/>
      <c r="IFO31" s="478"/>
      <c r="IFP31" s="478"/>
      <c r="IFQ31" s="478"/>
      <c r="IFR31" s="478"/>
      <c r="IFS31" s="478"/>
      <c r="IFT31" s="478"/>
      <c r="IFU31" s="478"/>
      <c r="IFV31" s="478"/>
      <c r="IFW31" s="478"/>
      <c r="IFX31" s="478"/>
      <c r="IFY31" s="478"/>
      <c r="IFZ31" s="478"/>
      <c r="IGA31" s="478"/>
      <c r="IGB31" s="478"/>
      <c r="IGC31" s="478"/>
      <c r="IGD31" s="478"/>
      <c r="IGE31" s="478"/>
      <c r="IGF31" s="478"/>
      <c r="IGG31" s="478"/>
      <c r="IGH31" s="478"/>
      <c r="IGI31" s="478"/>
      <c r="IGJ31" s="478"/>
      <c r="IGK31" s="478"/>
      <c r="IGL31" s="478"/>
      <c r="IGM31" s="478"/>
      <c r="IGN31" s="478"/>
      <c r="IGO31" s="478"/>
      <c r="IGP31" s="478"/>
      <c r="IGQ31" s="478"/>
      <c r="IGR31" s="478"/>
      <c r="IGS31" s="478"/>
      <c r="IGT31" s="478"/>
      <c r="IGU31" s="478"/>
      <c r="IGV31" s="478"/>
      <c r="IGW31" s="478"/>
      <c r="IGX31" s="478"/>
      <c r="IGY31" s="478"/>
      <c r="IGZ31" s="478"/>
      <c r="IHA31" s="478"/>
      <c r="IHB31" s="478"/>
      <c r="IHC31" s="478"/>
      <c r="IHD31" s="478"/>
      <c r="IHE31" s="478"/>
      <c r="IHF31" s="478"/>
      <c r="IHG31" s="478"/>
      <c r="IHH31" s="478"/>
      <c r="IHI31" s="478"/>
      <c r="IHJ31" s="478"/>
      <c r="IHK31" s="478"/>
      <c r="IHL31" s="478"/>
      <c r="IHM31" s="478"/>
      <c r="IHN31" s="478"/>
      <c r="IHO31" s="478"/>
      <c r="IHP31" s="478"/>
      <c r="IHQ31" s="478"/>
      <c r="IHR31" s="478"/>
      <c r="IHS31" s="478"/>
      <c r="IHT31" s="478"/>
      <c r="IHU31" s="478"/>
      <c r="IHV31" s="478"/>
      <c r="IHW31" s="478"/>
      <c r="IHX31" s="478"/>
      <c r="IHY31" s="478"/>
      <c r="IHZ31" s="478"/>
      <c r="IIA31" s="478"/>
      <c r="IIB31" s="478"/>
      <c r="IIC31" s="478"/>
      <c r="IID31" s="478"/>
      <c r="IIE31" s="478"/>
      <c r="IIF31" s="478"/>
      <c r="IIG31" s="478"/>
      <c r="IIH31" s="478"/>
      <c r="III31" s="478"/>
      <c r="IIJ31" s="478"/>
      <c r="IIK31" s="478"/>
      <c r="IIL31" s="478"/>
      <c r="IIM31" s="478"/>
      <c r="IIN31" s="478"/>
      <c r="IIO31" s="478"/>
      <c r="IIP31" s="478"/>
      <c r="IIQ31" s="478"/>
      <c r="IIR31" s="478"/>
      <c r="IIS31" s="478"/>
      <c r="IIT31" s="478"/>
      <c r="IIU31" s="478"/>
      <c r="IIV31" s="478"/>
      <c r="IIW31" s="478"/>
      <c r="IIX31" s="478"/>
      <c r="IIY31" s="478"/>
      <c r="IIZ31" s="478"/>
      <c r="IJA31" s="478"/>
      <c r="IJB31" s="478"/>
      <c r="IJC31" s="478"/>
      <c r="IJD31" s="478"/>
      <c r="IJE31" s="478"/>
      <c r="IJF31" s="478"/>
      <c r="IJG31" s="478"/>
      <c r="IJH31" s="478"/>
      <c r="IJI31" s="478"/>
      <c r="IJJ31" s="478"/>
      <c r="IJK31" s="478"/>
      <c r="IJL31" s="478"/>
      <c r="IJM31" s="478"/>
      <c r="IJN31" s="478"/>
      <c r="IJO31" s="478"/>
      <c r="IJP31" s="478"/>
      <c r="IJQ31" s="478"/>
      <c r="IJR31" s="478"/>
      <c r="IJS31" s="478"/>
      <c r="IJT31" s="478"/>
      <c r="IJU31" s="478"/>
      <c r="IJV31" s="478"/>
      <c r="IJW31" s="478"/>
      <c r="IJX31" s="478"/>
      <c r="IJY31" s="478"/>
      <c r="IJZ31" s="478"/>
      <c r="IKA31" s="478"/>
      <c r="IKB31" s="478"/>
      <c r="IKC31" s="478"/>
      <c r="IKD31" s="478"/>
      <c r="IKE31" s="478"/>
      <c r="IKF31" s="478"/>
      <c r="IKG31" s="478"/>
      <c r="IKH31" s="478"/>
      <c r="IKI31" s="478"/>
      <c r="IKJ31" s="478"/>
      <c r="IKK31" s="478"/>
      <c r="IKL31" s="478"/>
      <c r="IKM31" s="478"/>
      <c r="IKN31" s="478"/>
      <c r="IKO31" s="478"/>
      <c r="IKP31" s="478"/>
      <c r="IKQ31" s="478"/>
      <c r="IKR31" s="478"/>
      <c r="IKS31" s="478"/>
      <c r="IKT31" s="478"/>
      <c r="IKU31" s="478"/>
      <c r="IKV31" s="478"/>
      <c r="IKW31" s="478"/>
      <c r="IKX31" s="478"/>
      <c r="IKY31" s="478"/>
      <c r="IKZ31" s="478"/>
      <c r="ILA31" s="478"/>
      <c r="ILB31" s="478"/>
      <c r="ILC31" s="478"/>
      <c r="ILD31" s="478"/>
      <c r="ILE31" s="478"/>
      <c r="ILF31" s="478"/>
      <c r="ILG31" s="478"/>
      <c r="ILH31" s="478"/>
      <c r="ILI31" s="478"/>
      <c r="ILJ31" s="478"/>
      <c r="ILK31" s="478"/>
      <c r="ILL31" s="478"/>
      <c r="ILM31" s="478"/>
      <c r="ILN31" s="478"/>
      <c r="ILO31" s="478"/>
      <c r="ILP31" s="478"/>
      <c r="ILQ31" s="478"/>
      <c r="ILR31" s="478"/>
      <c r="ILS31" s="478"/>
      <c r="ILT31" s="478"/>
      <c r="ILU31" s="478"/>
      <c r="ILV31" s="478"/>
      <c r="ILW31" s="478"/>
      <c r="ILX31" s="478"/>
      <c r="ILY31" s="478"/>
      <c r="ILZ31" s="478"/>
      <c r="IMA31" s="478"/>
      <c r="IMB31" s="478"/>
      <c r="IMC31" s="478"/>
      <c r="IMD31" s="478"/>
      <c r="IME31" s="478"/>
      <c r="IMF31" s="478"/>
      <c r="IMG31" s="478"/>
      <c r="IMH31" s="478"/>
      <c r="IMI31" s="478"/>
      <c r="IMJ31" s="478"/>
      <c r="IMK31" s="478"/>
      <c r="IML31" s="478"/>
      <c r="IMM31" s="478"/>
      <c r="IMN31" s="478"/>
      <c r="IMO31" s="478"/>
      <c r="IMP31" s="478"/>
      <c r="IMQ31" s="478"/>
      <c r="IMR31" s="478"/>
      <c r="IMS31" s="478"/>
      <c r="IMT31" s="478"/>
      <c r="IMU31" s="478"/>
      <c r="IMV31" s="478"/>
      <c r="IMW31" s="478"/>
      <c r="IMX31" s="478"/>
      <c r="IMY31" s="478"/>
      <c r="IMZ31" s="478"/>
      <c r="INA31" s="478"/>
      <c r="INB31" s="478"/>
      <c r="INC31" s="478"/>
      <c r="IND31" s="478"/>
      <c r="INE31" s="478"/>
      <c r="INF31" s="478"/>
      <c r="ING31" s="478"/>
      <c r="INH31" s="478"/>
      <c r="INI31" s="478"/>
      <c r="INJ31" s="478"/>
      <c r="INK31" s="478"/>
      <c r="INL31" s="478"/>
      <c r="INM31" s="478"/>
      <c r="INN31" s="478"/>
      <c r="INO31" s="478"/>
      <c r="INP31" s="478"/>
      <c r="INQ31" s="478"/>
      <c r="INR31" s="478"/>
      <c r="INS31" s="478"/>
      <c r="INT31" s="478"/>
      <c r="INU31" s="478"/>
      <c r="INV31" s="478"/>
      <c r="INW31" s="478"/>
      <c r="INX31" s="478"/>
      <c r="INY31" s="478"/>
      <c r="INZ31" s="478"/>
      <c r="IOA31" s="478"/>
      <c r="IOB31" s="478"/>
      <c r="IOC31" s="478"/>
      <c r="IOD31" s="478"/>
      <c r="IOE31" s="478"/>
      <c r="IOF31" s="478"/>
      <c r="IOG31" s="478"/>
      <c r="IOH31" s="478"/>
      <c r="IOI31" s="478"/>
      <c r="IOJ31" s="478"/>
      <c r="IOK31" s="478"/>
      <c r="IOL31" s="478"/>
      <c r="IOM31" s="478"/>
      <c r="ION31" s="478"/>
      <c r="IOO31" s="478"/>
      <c r="IOP31" s="478"/>
      <c r="IOQ31" s="478"/>
      <c r="IOR31" s="478"/>
      <c r="IOS31" s="478"/>
      <c r="IOT31" s="478"/>
      <c r="IOU31" s="478"/>
      <c r="IOV31" s="478"/>
      <c r="IOW31" s="478"/>
      <c r="IOX31" s="478"/>
      <c r="IOY31" s="478"/>
      <c r="IOZ31" s="478"/>
      <c r="IPA31" s="478"/>
      <c r="IPB31" s="478"/>
      <c r="IPC31" s="478"/>
      <c r="IPD31" s="478"/>
      <c r="IPE31" s="478"/>
      <c r="IPF31" s="478"/>
      <c r="IPG31" s="478"/>
      <c r="IPH31" s="478"/>
      <c r="IPI31" s="478"/>
      <c r="IPJ31" s="478"/>
      <c r="IPK31" s="478"/>
      <c r="IPL31" s="478"/>
      <c r="IPM31" s="478"/>
      <c r="IPN31" s="478"/>
      <c r="IPO31" s="478"/>
      <c r="IPP31" s="478"/>
      <c r="IPQ31" s="478"/>
      <c r="IPR31" s="478"/>
      <c r="IPS31" s="478"/>
      <c r="IPT31" s="478"/>
      <c r="IPU31" s="478"/>
      <c r="IPV31" s="478"/>
      <c r="IPW31" s="478"/>
      <c r="IPX31" s="478"/>
      <c r="IPY31" s="478"/>
      <c r="IPZ31" s="478"/>
      <c r="IQA31" s="478"/>
      <c r="IQB31" s="478"/>
      <c r="IQC31" s="478"/>
      <c r="IQD31" s="478"/>
      <c r="IQE31" s="478"/>
      <c r="IQF31" s="478"/>
      <c r="IQG31" s="478"/>
      <c r="IQH31" s="478"/>
      <c r="IQI31" s="478"/>
      <c r="IQJ31" s="478"/>
      <c r="IQK31" s="478"/>
      <c r="IQL31" s="478"/>
      <c r="IQM31" s="478"/>
      <c r="IQN31" s="478"/>
      <c r="IQO31" s="478"/>
      <c r="IQP31" s="478"/>
      <c r="IQQ31" s="478"/>
      <c r="IQR31" s="478"/>
      <c r="IQS31" s="478"/>
      <c r="IQT31" s="478"/>
      <c r="IQU31" s="478"/>
      <c r="IQV31" s="478"/>
      <c r="IQW31" s="478"/>
      <c r="IQX31" s="478"/>
      <c r="IQY31" s="478"/>
      <c r="IQZ31" s="478"/>
      <c r="IRA31" s="478"/>
      <c r="IRB31" s="478"/>
      <c r="IRC31" s="478"/>
      <c r="IRD31" s="478"/>
      <c r="IRE31" s="478"/>
      <c r="IRF31" s="478"/>
      <c r="IRG31" s="478"/>
      <c r="IRH31" s="478"/>
      <c r="IRI31" s="478"/>
      <c r="IRJ31" s="478"/>
      <c r="IRK31" s="478"/>
      <c r="IRL31" s="478"/>
      <c r="IRM31" s="478"/>
      <c r="IRN31" s="478"/>
      <c r="IRO31" s="478"/>
      <c r="IRP31" s="478"/>
      <c r="IRQ31" s="478"/>
      <c r="IRR31" s="478"/>
      <c r="IRS31" s="478"/>
      <c r="IRT31" s="478"/>
      <c r="IRU31" s="478"/>
      <c r="IRV31" s="478"/>
      <c r="IRW31" s="478"/>
      <c r="IRX31" s="478"/>
      <c r="IRY31" s="478"/>
      <c r="IRZ31" s="478"/>
      <c r="ISA31" s="478"/>
      <c r="ISB31" s="478"/>
      <c r="ISC31" s="478"/>
      <c r="ISD31" s="478"/>
      <c r="ISE31" s="478"/>
      <c r="ISF31" s="478"/>
      <c r="ISG31" s="478"/>
      <c r="ISH31" s="478"/>
      <c r="ISI31" s="478"/>
      <c r="ISJ31" s="478"/>
      <c r="ISK31" s="478"/>
      <c r="ISL31" s="478"/>
      <c r="ISM31" s="478"/>
      <c r="ISN31" s="478"/>
      <c r="ISO31" s="478"/>
      <c r="ISP31" s="478"/>
      <c r="ISQ31" s="478"/>
      <c r="ISR31" s="478"/>
      <c r="ISS31" s="478"/>
      <c r="IST31" s="478"/>
      <c r="ISU31" s="478"/>
      <c r="ISV31" s="478"/>
      <c r="ISW31" s="478"/>
      <c r="ISX31" s="478"/>
      <c r="ISY31" s="478"/>
      <c r="ISZ31" s="478"/>
      <c r="ITA31" s="478"/>
      <c r="ITB31" s="478"/>
      <c r="ITC31" s="478"/>
      <c r="ITD31" s="478"/>
      <c r="ITE31" s="478"/>
      <c r="ITF31" s="478"/>
      <c r="ITG31" s="478"/>
      <c r="ITH31" s="478"/>
      <c r="ITI31" s="478"/>
      <c r="ITJ31" s="478"/>
      <c r="ITK31" s="478"/>
      <c r="ITL31" s="478"/>
      <c r="ITM31" s="478"/>
      <c r="ITN31" s="478"/>
      <c r="ITO31" s="478"/>
      <c r="ITP31" s="478"/>
      <c r="ITQ31" s="478"/>
      <c r="ITR31" s="478"/>
      <c r="ITS31" s="478"/>
      <c r="ITT31" s="478"/>
      <c r="ITU31" s="478"/>
      <c r="ITV31" s="478"/>
      <c r="ITW31" s="478"/>
      <c r="ITX31" s="478"/>
      <c r="ITY31" s="478"/>
      <c r="ITZ31" s="478"/>
      <c r="IUA31" s="478"/>
      <c r="IUB31" s="478"/>
      <c r="IUC31" s="478"/>
      <c r="IUD31" s="478"/>
      <c r="IUE31" s="478"/>
      <c r="IUF31" s="478"/>
      <c r="IUG31" s="478"/>
      <c r="IUH31" s="478"/>
      <c r="IUI31" s="478"/>
      <c r="IUJ31" s="478"/>
      <c r="IUK31" s="478"/>
      <c r="IUL31" s="478"/>
      <c r="IUM31" s="478"/>
      <c r="IUN31" s="478"/>
      <c r="IUO31" s="478"/>
      <c r="IUP31" s="478"/>
      <c r="IUQ31" s="478"/>
      <c r="IUR31" s="478"/>
      <c r="IUS31" s="478"/>
      <c r="IUT31" s="478"/>
      <c r="IUU31" s="478"/>
      <c r="IUV31" s="478"/>
      <c r="IUW31" s="478"/>
      <c r="IUX31" s="478"/>
      <c r="IUY31" s="478"/>
      <c r="IUZ31" s="478"/>
      <c r="IVA31" s="478"/>
      <c r="IVB31" s="478"/>
      <c r="IVC31" s="478"/>
      <c r="IVD31" s="478"/>
      <c r="IVE31" s="478"/>
      <c r="IVF31" s="478"/>
      <c r="IVG31" s="478"/>
      <c r="IVH31" s="478"/>
      <c r="IVI31" s="478"/>
      <c r="IVJ31" s="478"/>
      <c r="IVK31" s="478"/>
      <c r="IVL31" s="478"/>
      <c r="IVM31" s="478"/>
      <c r="IVN31" s="478"/>
      <c r="IVO31" s="478"/>
      <c r="IVP31" s="478"/>
      <c r="IVQ31" s="478"/>
      <c r="IVR31" s="478"/>
      <c r="IVS31" s="478"/>
      <c r="IVT31" s="478"/>
      <c r="IVU31" s="478"/>
      <c r="IVV31" s="478"/>
      <c r="IVW31" s="478"/>
      <c r="IVX31" s="478"/>
      <c r="IVY31" s="478"/>
      <c r="IVZ31" s="478"/>
      <c r="IWA31" s="478"/>
      <c r="IWB31" s="478"/>
      <c r="IWC31" s="478"/>
      <c r="IWD31" s="478"/>
      <c r="IWE31" s="478"/>
      <c r="IWF31" s="478"/>
      <c r="IWG31" s="478"/>
      <c r="IWH31" s="478"/>
      <c r="IWI31" s="478"/>
      <c r="IWJ31" s="478"/>
      <c r="IWK31" s="478"/>
      <c r="IWL31" s="478"/>
      <c r="IWM31" s="478"/>
      <c r="IWN31" s="478"/>
      <c r="IWO31" s="478"/>
      <c r="IWP31" s="478"/>
      <c r="IWQ31" s="478"/>
      <c r="IWR31" s="478"/>
      <c r="IWS31" s="478"/>
      <c r="IWT31" s="478"/>
      <c r="IWU31" s="478"/>
      <c r="IWV31" s="478"/>
      <c r="IWW31" s="478"/>
      <c r="IWX31" s="478"/>
      <c r="IWY31" s="478"/>
      <c r="IWZ31" s="478"/>
      <c r="IXA31" s="478"/>
      <c r="IXB31" s="478"/>
      <c r="IXC31" s="478"/>
      <c r="IXD31" s="478"/>
      <c r="IXE31" s="478"/>
      <c r="IXF31" s="478"/>
      <c r="IXG31" s="478"/>
      <c r="IXH31" s="478"/>
      <c r="IXI31" s="478"/>
      <c r="IXJ31" s="478"/>
      <c r="IXK31" s="478"/>
      <c r="IXL31" s="478"/>
      <c r="IXM31" s="478"/>
      <c r="IXN31" s="478"/>
      <c r="IXO31" s="478"/>
      <c r="IXP31" s="478"/>
      <c r="IXQ31" s="478"/>
      <c r="IXR31" s="478"/>
      <c r="IXS31" s="478"/>
      <c r="IXT31" s="478"/>
      <c r="IXU31" s="478"/>
      <c r="IXV31" s="478"/>
      <c r="IXW31" s="478"/>
      <c r="IXX31" s="478"/>
      <c r="IXY31" s="478"/>
      <c r="IXZ31" s="478"/>
      <c r="IYA31" s="478"/>
      <c r="IYB31" s="478"/>
      <c r="IYC31" s="478"/>
      <c r="IYD31" s="478"/>
      <c r="IYE31" s="478"/>
      <c r="IYF31" s="478"/>
      <c r="IYG31" s="478"/>
      <c r="IYH31" s="478"/>
      <c r="IYI31" s="478"/>
      <c r="IYJ31" s="478"/>
      <c r="IYK31" s="478"/>
      <c r="IYL31" s="478"/>
      <c r="IYM31" s="478"/>
      <c r="IYN31" s="478"/>
      <c r="IYO31" s="478"/>
      <c r="IYP31" s="478"/>
      <c r="IYQ31" s="478"/>
      <c r="IYR31" s="478"/>
      <c r="IYS31" s="478"/>
      <c r="IYT31" s="478"/>
      <c r="IYU31" s="478"/>
      <c r="IYV31" s="478"/>
      <c r="IYW31" s="478"/>
      <c r="IYX31" s="478"/>
      <c r="IYY31" s="478"/>
      <c r="IYZ31" s="478"/>
      <c r="IZA31" s="478"/>
      <c r="IZB31" s="478"/>
      <c r="IZC31" s="478"/>
      <c r="IZD31" s="478"/>
      <c r="IZE31" s="478"/>
      <c r="IZF31" s="478"/>
      <c r="IZG31" s="478"/>
      <c r="IZH31" s="478"/>
      <c r="IZI31" s="478"/>
      <c r="IZJ31" s="478"/>
      <c r="IZK31" s="478"/>
      <c r="IZL31" s="478"/>
      <c r="IZM31" s="478"/>
      <c r="IZN31" s="478"/>
      <c r="IZO31" s="478"/>
      <c r="IZP31" s="478"/>
      <c r="IZQ31" s="478"/>
      <c r="IZR31" s="478"/>
      <c r="IZS31" s="478"/>
      <c r="IZT31" s="478"/>
      <c r="IZU31" s="478"/>
      <c r="IZV31" s="478"/>
      <c r="IZW31" s="478"/>
      <c r="IZX31" s="478"/>
      <c r="IZY31" s="478"/>
      <c r="IZZ31" s="478"/>
      <c r="JAA31" s="478"/>
      <c r="JAB31" s="478"/>
      <c r="JAC31" s="478"/>
      <c r="JAD31" s="478"/>
      <c r="JAE31" s="478"/>
      <c r="JAF31" s="478"/>
      <c r="JAG31" s="478"/>
      <c r="JAH31" s="478"/>
      <c r="JAI31" s="478"/>
      <c r="JAJ31" s="478"/>
      <c r="JAK31" s="478"/>
      <c r="JAL31" s="478"/>
      <c r="JAM31" s="478"/>
      <c r="JAN31" s="478"/>
      <c r="JAO31" s="478"/>
      <c r="JAP31" s="478"/>
      <c r="JAQ31" s="478"/>
      <c r="JAR31" s="478"/>
      <c r="JAS31" s="478"/>
      <c r="JAT31" s="478"/>
      <c r="JAU31" s="478"/>
      <c r="JAV31" s="478"/>
      <c r="JAW31" s="478"/>
      <c r="JAX31" s="478"/>
      <c r="JAY31" s="478"/>
      <c r="JAZ31" s="478"/>
      <c r="JBA31" s="478"/>
      <c r="JBB31" s="478"/>
      <c r="JBC31" s="478"/>
      <c r="JBD31" s="478"/>
      <c r="JBE31" s="478"/>
      <c r="JBF31" s="478"/>
      <c r="JBG31" s="478"/>
      <c r="JBH31" s="478"/>
      <c r="JBI31" s="478"/>
      <c r="JBJ31" s="478"/>
      <c r="JBK31" s="478"/>
      <c r="JBL31" s="478"/>
      <c r="JBM31" s="478"/>
      <c r="JBN31" s="478"/>
      <c r="JBO31" s="478"/>
      <c r="JBP31" s="478"/>
      <c r="JBQ31" s="478"/>
      <c r="JBR31" s="478"/>
      <c r="JBS31" s="478"/>
      <c r="JBT31" s="478"/>
      <c r="JBU31" s="478"/>
      <c r="JBV31" s="478"/>
      <c r="JBW31" s="478"/>
      <c r="JBX31" s="478"/>
      <c r="JBY31" s="478"/>
      <c r="JBZ31" s="478"/>
      <c r="JCA31" s="478"/>
      <c r="JCB31" s="478"/>
      <c r="JCC31" s="478"/>
      <c r="JCD31" s="478"/>
      <c r="JCE31" s="478"/>
      <c r="JCF31" s="478"/>
      <c r="JCG31" s="478"/>
      <c r="JCH31" s="478"/>
      <c r="JCI31" s="478"/>
      <c r="JCJ31" s="478"/>
      <c r="JCK31" s="478"/>
      <c r="JCL31" s="478"/>
      <c r="JCM31" s="478"/>
      <c r="JCN31" s="478"/>
      <c r="JCO31" s="478"/>
      <c r="JCP31" s="478"/>
      <c r="JCQ31" s="478"/>
      <c r="JCR31" s="478"/>
      <c r="JCS31" s="478"/>
      <c r="JCT31" s="478"/>
      <c r="JCU31" s="478"/>
      <c r="JCV31" s="478"/>
      <c r="JCW31" s="478"/>
      <c r="JCX31" s="478"/>
      <c r="JCY31" s="478"/>
      <c r="JCZ31" s="478"/>
      <c r="JDA31" s="478"/>
      <c r="JDB31" s="478"/>
      <c r="JDC31" s="478"/>
      <c r="JDD31" s="478"/>
      <c r="JDE31" s="478"/>
      <c r="JDF31" s="478"/>
      <c r="JDG31" s="478"/>
      <c r="JDH31" s="478"/>
      <c r="JDI31" s="478"/>
      <c r="JDJ31" s="478"/>
      <c r="JDK31" s="478"/>
      <c r="JDL31" s="478"/>
      <c r="JDM31" s="478"/>
      <c r="JDN31" s="478"/>
      <c r="JDO31" s="478"/>
      <c r="JDP31" s="478"/>
      <c r="JDQ31" s="478"/>
      <c r="JDR31" s="478"/>
      <c r="JDS31" s="478"/>
      <c r="JDT31" s="478"/>
      <c r="JDU31" s="478"/>
      <c r="JDV31" s="478"/>
      <c r="JDW31" s="478"/>
      <c r="JDX31" s="478"/>
      <c r="JDY31" s="478"/>
      <c r="JDZ31" s="478"/>
      <c r="JEA31" s="478"/>
      <c r="JEB31" s="478"/>
      <c r="JEC31" s="478"/>
      <c r="JED31" s="478"/>
      <c r="JEE31" s="478"/>
      <c r="JEF31" s="478"/>
      <c r="JEG31" s="478"/>
      <c r="JEH31" s="478"/>
      <c r="JEI31" s="478"/>
      <c r="JEJ31" s="478"/>
      <c r="JEK31" s="478"/>
      <c r="JEL31" s="478"/>
      <c r="JEM31" s="478"/>
      <c r="JEN31" s="478"/>
      <c r="JEO31" s="478"/>
      <c r="JEP31" s="478"/>
      <c r="JEQ31" s="478"/>
      <c r="JER31" s="478"/>
      <c r="JES31" s="478"/>
      <c r="JET31" s="478"/>
      <c r="JEU31" s="478"/>
      <c r="JEV31" s="478"/>
      <c r="JEW31" s="478"/>
      <c r="JEX31" s="478"/>
      <c r="JEY31" s="478"/>
      <c r="JEZ31" s="478"/>
      <c r="JFA31" s="478"/>
      <c r="JFB31" s="478"/>
      <c r="JFC31" s="478"/>
      <c r="JFD31" s="478"/>
      <c r="JFE31" s="478"/>
      <c r="JFF31" s="478"/>
      <c r="JFG31" s="478"/>
      <c r="JFH31" s="478"/>
      <c r="JFI31" s="478"/>
      <c r="JFJ31" s="478"/>
      <c r="JFK31" s="478"/>
      <c r="JFL31" s="478"/>
      <c r="JFM31" s="478"/>
      <c r="JFN31" s="478"/>
      <c r="JFO31" s="478"/>
      <c r="JFP31" s="478"/>
      <c r="JFQ31" s="478"/>
      <c r="JFR31" s="478"/>
      <c r="JFS31" s="478"/>
      <c r="JFT31" s="478"/>
      <c r="JFU31" s="478"/>
      <c r="JFV31" s="478"/>
      <c r="JFW31" s="478"/>
      <c r="JFX31" s="478"/>
      <c r="JFY31" s="478"/>
      <c r="JFZ31" s="478"/>
      <c r="JGA31" s="478"/>
      <c r="JGB31" s="478"/>
      <c r="JGC31" s="478"/>
      <c r="JGD31" s="478"/>
      <c r="JGE31" s="478"/>
      <c r="JGF31" s="478"/>
      <c r="JGG31" s="478"/>
      <c r="JGH31" s="478"/>
      <c r="JGI31" s="478"/>
      <c r="JGJ31" s="478"/>
      <c r="JGK31" s="478"/>
      <c r="JGL31" s="478"/>
      <c r="JGM31" s="478"/>
      <c r="JGN31" s="478"/>
      <c r="JGO31" s="478"/>
      <c r="JGP31" s="478"/>
      <c r="JGQ31" s="478"/>
      <c r="JGR31" s="478"/>
      <c r="JGS31" s="478"/>
      <c r="JGT31" s="478"/>
      <c r="JGU31" s="478"/>
      <c r="JGV31" s="478"/>
      <c r="JGW31" s="478"/>
      <c r="JGX31" s="478"/>
      <c r="JGY31" s="478"/>
      <c r="JGZ31" s="478"/>
      <c r="JHA31" s="478"/>
      <c r="JHB31" s="478"/>
      <c r="JHC31" s="478"/>
      <c r="JHD31" s="478"/>
      <c r="JHE31" s="478"/>
      <c r="JHF31" s="478"/>
      <c r="JHG31" s="478"/>
      <c r="JHH31" s="478"/>
      <c r="JHI31" s="478"/>
      <c r="JHJ31" s="478"/>
      <c r="JHK31" s="478"/>
      <c r="JHL31" s="478"/>
      <c r="JHM31" s="478"/>
      <c r="JHN31" s="478"/>
      <c r="JHO31" s="478"/>
      <c r="JHP31" s="478"/>
      <c r="JHQ31" s="478"/>
      <c r="JHR31" s="478"/>
      <c r="JHS31" s="478"/>
      <c r="JHT31" s="478"/>
      <c r="JHU31" s="478"/>
      <c r="JHV31" s="478"/>
      <c r="JHW31" s="478"/>
      <c r="JHX31" s="478"/>
      <c r="JHY31" s="478"/>
      <c r="JHZ31" s="478"/>
      <c r="JIA31" s="478"/>
      <c r="JIB31" s="478"/>
      <c r="JIC31" s="478"/>
      <c r="JID31" s="478"/>
      <c r="JIE31" s="478"/>
      <c r="JIF31" s="478"/>
      <c r="JIG31" s="478"/>
      <c r="JIH31" s="478"/>
      <c r="JII31" s="478"/>
      <c r="JIJ31" s="478"/>
      <c r="JIK31" s="478"/>
      <c r="JIL31" s="478"/>
      <c r="JIM31" s="478"/>
      <c r="JIN31" s="478"/>
      <c r="JIO31" s="478"/>
      <c r="JIP31" s="478"/>
      <c r="JIQ31" s="478"/>
      <c r="JIR31" s="478"/>
      <c r="JIS31" s="478"/>
      <c r="JIT31" s="478"/>
      <c r="JIU31" s="478"/>
      <c r="JIV31" s="478"/>
      <c r="JIW31" s="478"/>
      <c r="JIX31" s="478"/>
      <c r="JIY31" s="478"/>
      <c r="JIZ31" s="478"/>
      <c r="JJA31" s="478"/>
      <c r="JJB31" s="478"/>
      <c r="JJC31" s="478"/>
      <c r="JJD31" s="478"/>
      <c r="JJE31" s="478"/>
      <c r="JJF31" s="478"/>
      <c r="JJG31" s="478"/>
      <c r="JJH31" s="478"/>
      <c r="JJI31" s="478"/>
      <c r="JJJ31" s="478"/>
      <c r="JJK31" s="478"/>
      <c r="JJL31" s="478"/>
      <c r="JJM31" s="478"/>
      <c r="JJN31" s="478"/>
      <c r="JJO31" s="478"/>
      <c r="JJP31" s="478"/>
      <c r="JJQ31" s="478"/>
      <c r="JJR31" s="478"/>
      <c r="JJS31" s="478"/>
      <c r="JJT31" s="478"/>
      <c r="JJU31" s="478"/>
      <c r="JJV31" s="478"/>
      <c r="JJW31" s="478"/>
      <c r="JJX31" s="478"/>
      <c r="JJY31" s="478"/>
      <c r="JJZ31" s="478"/>
      <c r="JKA31" s="478"/>
      <c r="JKB31" s="478"/>
      <c r="JKC31" s="478"/>
      <c r="JKD31" s="478"/>
      <c r="JKE31" s="478"/>
      <c r="JKF31" s="478"/>
      <c r="JKG31" s="478"/>
      <c r="JKH31" s="478"/>
      <c r="JKI31" s="478"/>
      <c r="JKJ31" s="478"/>
      <c r="JKK31" s="478"/>
      <c r="JKL31" s="478"/>
      <c r="JKM31" s="478"/>
      <c r="JKN31" s="478"/>
      <c r="JKO31" s="478"/>
      <c r="JKP31" s="478"/>
      <c r="JKQ31" s="478"/>
      <c r="JKR31" s="478"/>
      <c r="JKS31" s="478"/>
      <c r="JKT31" s="478"/>
      <c r="JKU31" s="478"/>
      <c r="JKV31" s="478"/>
      <c r="JKW31" s="478"/>
      <c r="JKX31" s="478"/>
      <c r="JKY31" s="478"/>
      <c r="JKZ31" s="478"/>
      <c r="JLA31" s="478"/>
      <c r="JLB31" s="478"/>
      <c r="JLC31" s="478"/>
      <c r="JLD31" s="478"/>
      <c r="JLE31" s="478"/>
      <c r="JLF31" s="478"/>
      <c r="JLG31" s="478"/>
      <c r="JLH31" s="478"/>
      <c r="JLI31" s="478"/>
      <c r="JLJ31" s="478"/>
      <c r="JLK31" s="478"/>
      <c r="JLL31" s="478"/>
      <c r="JLM31" s="478"/>
      <c r="JLN31" s="478"/>
      <c r="JLO31" s="478"/>
      <c r="JLP31" s="478"/>
      <c r="JLQ31" s="478"/>
      <c r="JLR31" s="478"/>
      <c r="JLS31" s="478"/>
      <c r="JLT31" s="478"/>
      <c r="JLU31" s="478"/>
      <c r="JLV31" s="478"/>
      <c r="JLW31" s="478"/>
      <c r="JLX31" s="478"/>
      <c r="JLY31" s="478"/>
      <c r="JLZ31" s="478"/>
      <c r="JMA31" s="478"/>
      <c r="JMB31" s="478"/>
      <c r="JMC31" s="478"/>
      <c r="JMD31" s="478"/>
      <c r="JME31" s="478"/>
      <c r="JMF31" s="478"/>
      <c r="JMG31" s="478"/>
      <c r="JMH31" s="478"/>
      <c r="JMI31" s="478"/>
      <c r="JMJ31" s="478"/>
      <c r="JMK31" s="478"/>
      <c r="JML31" s="478"/>
      <c r="JMM31" s="478"/>
      <c r="JMN31" s="478"/>
      <c r="JMO31" s="478"/>
      <c r="JMP31" s="478"/>
      <c r="JMQ31" s="478"/>
      <c r="JMR31" s="478"/>
      <c r="JMS31" s="478"/>
      <c r="JMT31" s="478"/>
      <c r="JMU31" s="478"/>
      <c r="JMV31" s="478"/>
      <c r="JMW31" s="478"/>
      <c r="JMX31" s="478"/>
      <c r="JMY31" s="478"/>
      <c r="JMZ31" s="478"/>
      <c r="JNA31" s="478"/>
      <c r="JNB31" s="478"/>
      <c r="JNC31" s="478"/>
      <c r="JND31" s="478"/>
      <c r="JNE31" s="478"/>
      <c r="JNF31" s="478"/>
      <c r="JNG31" s="478"/>
      <c r="JNH31" s="478"/>
      <c r="JNI31" s="478"/>
      <c r="JNJ31" s="478"/>
      <c r="JNK31" s="478"/>
      <c r="JNL31" s="478"/>
      <c r="JNM31" s="478"/>
      <c r="JNN31" s="478"/>
      <c r="JNO31" s="478"/>
      <c r="JNP31" s="478"/>
      <c r="JNQ31" s="478"/>
      <c r="JNR31" s="478"/>
      <c r="JNS31" s="478"/>
      <c r="JNT31" s="478"/>
      <c r="JNU31" s="478"/>
      <c r="JNV31" s="478"/>
      <c r="JNW31" s="478"/>
      <c r="JNX31" s="478"/>
      <c r="JNY31" s="478"/>
      <c r="JNZ31" s="478"/>
      <c r="JOA31" s="478"/>
      <c r="JOB31" s="478"/>
      <c r="JOC31" s="478"/>
      <c r="JOD31" s="478"/>
      <c r="JOE31" s="478"/>
      <c r="JOF31" s="478"/>
      <c r="JOG31" s="478"/>
      <c r="JOH31" s="478"/>
      <c r="JOI31" s="478"/>
      <c r="JOJ31" s="478"/>
      <c r="JOK31" s="478"/>
      <c r="JOL31" s="478"/>
      <c r="JOM31" s="478"/>
      <c r="JON31" s="478"/>
      <c r="JOO31" s="478"/>
      <c r="JOP31" s="478"/>
      <c r="JOQ31" s="478"/>
      <c r="JOR31" s="478"/>
      <c r="JOS31" s="478"/>
      <c r="JOT31" s="478"/>
      <c r="JOU31" s="478"/>
      <c r="JOV31" s="478"/>
      <c r="JOW31" s="478"/>
      <c r="JOX31" s="478"/>
      <c r="JOY31" s="478"/>
      <c r="JOZ31" s="478"/>
      <c r="JPA31" s="478"/>
      <c r="JPB31" s="478"/>
      <c r="JPC31" s="478"/>
      <c r="JPD31" s="478"/>
      <c r="JPE31" s="478"/>
      <c r="JPF31" s="478"/>
      <c r="JPG31" s="478"/>
      <c r="JPH31" s="478"/>
      <c r="JPI31" s="478"/>
      <c r="JPJ31" s="478"/>
      <c r="JPK31" s="478"/>
      <c r="JPL31" s="478"/>
      <c r="JPM31" s="478"/>
      <c r="JPN31" s="478"/>
      <c r="JPO31" s="478"/>
      <c r="JPP31" s="478"/>
      <c r="JPQ31" s="478"/>
      <c r="JPR31" s="478"/>
      <c r="JPS31" s="478"/>
      <c r="JPT31" s="478"/>
      <c r="JPU31" s="478"/>
      <c r="JPV31" s="478"/>
      <c r="JPW31" s="478"/>
      <c r="JPX31" s="478"/>
      <c r="JPY31" s="478"/>
      <c r="JPZ31" s="478"/>
      <c r="JQA31" s="478"/>
      <c r="JQB31" s="478"/>
      <c r="JQC31" s="478"/>
      <c r="JQD31" s="478"/>
      <c r="JQE31" s="478"/>
      <c r="JQF31" s="478"/>
      <c r="JQG31" s="478"/>
      <c r="JQH31" s="478"/>
      <c r="JQI31" s="478"/>
      <c r="JQJ31" s="478"/>
      <c r="JQK31" s="478"/>
      <c r="JQL31" s="478"/>
      <c r="JQM31" s="478"/>
      <c r="JQN31" s="478"/>
      <c r="JQO31" s="478"/>
      <c r="JQP31" s="478"/>
      <c r="JQQ31" s="478"/>
      <c r="JQR31" s="478"/>
      <c r="JQS31" s="478"/>
      <c r="JQT31" s="478"/>
      <c r="JQU31" s="478"/>
      <c r="JQV31" s="478"/>
      <c r="JQW31" s="478"/>
      <c r="JQX31" s="478"/>
      <c r="JQY31" s="478"/>
      <c r="JQZ31" s="478"/>
      <c r="JRA31" s="478"/>
      <c r="JRB31" s="478"/>
      <c r="JRC31" s="478"/>
      <c r="JRD31" s="478"/>
      <c r="JRE31" s="478"/>
      <c r="JRF31" s="478"/>
      <c r="JRG31" s="478"/>
      <c r="JRH31" s="478"/>
      <c r="JRI31" s="478"/>
      <c r="JRJ31" s="478"/>
      <c r="JRK31" s="478"/>
      <c r="JRL31" s="478"/>
      <c r="JRM31" s="478"/>
      <c r="JRN31" s="478"/>
      <c r="JRO31" s="478"/>
      <c r="JRP31" s="478"/>
      <c r="JRQ31" s="478"/>
      <c r="JRR31" s="478"/>
      <c r="JRS31" s="478"/>
      <c r="JRT31" s="478"/>
      <c r="JRU31" s="478"/>
      <c r="JRV31" s="478"/>
      <c r="JRW31" s="478"/>
      <c r="JRX31" s="478"/>
      <c r="JRY31" s="478"/>
      <c r="JRZ31" s="478"/>
      <c r="JSA31" s="478"/>
      <c r="JSB31" s="478"/>
      <c r="JSC31" s="478"/>
      <c r="JSD31" s="478"/>
      <c r="JSE31" s="478"/>
      <c r="JSF31" s="478"/>
      <c r="JSG31" s="478"/>
      <c r="JSH31" s="478"/>
      <c r="JSI31" s="478"/>
      <c r="JSJ31" s="478"/>
      <c r="JSK31" s="478"/>
      <c r="JSL31" s="478"/>
      <c r="JSM31" s="478"/>
      <c r="JSN31" s="478"/>
      <c r="JSO31" s="478"/>
      <c r="JSP31" s="478"/>
      <c r="JSQ31" s="478"/>
      <c r="JSR31" s="478"/>
      <c r="JSS31" s="478"/>
      <c r="JST31" s="478"/>
      <c r="JSU31" s="478"/>
      <c r="JSV31" s="478"/>
      <c r="JSW31" s="478"/>
      <c r="JSX31" s="478"/>
      <c r="JSY31" s="478"/>
      <c r="JSZ31" s="478"/>
      <c r="JTA31" s="478"/>
      <c r="JTB31" s="478"/>
      <c r="JTC31" s="478"/>
      <c r="JTD31" s="478"/>
      <c r="JTE31" s="478"/>
      <c r="JTF31" s="478"/>
      <c r="JTG31" s="478"/>
      <c r="JTH31" s="478"/>
      <c r="JTI31" s="478"/>
      <c r="JTJ31" s="478"/>
      <c r="JTK31" s="478"/>
      <c r="JTL31" s="478"/>
      <c r="JTM31" s="478"/>
      <c r="JTN31" s="478"/>
      <c r="JTO31" s="478"/>
      <c r="JTP31" s="478"/>
      <c r="JTQ31" s="478"/>
      <c r="JTR31" s="478"/>
      <c r="JTS31" s="478"/>
      <c r="JTT31" s="478"/>
      <c r="JTU31" s="478"/>
      <c r="JTV31" s="478"/>
      <c r="JTW31" s="478"/>
      <c r="JTX31" s="478"/>
      <c r="JTY31" s="478"/>
      <c r="JTZ31" s="478"/>
      <c r="JUA31" s="478"/>
      <c r="JUB31" s="478"/>
      <c r="JUC31" s="478"/>
      <c r="JUD31" s="478"/>
      <c r="JUE31" s="478"/>
      <c r="JUF31" s="478"/>
      <c r="JUG31" s="478"/>
      <c r="JUH31" s="478"/>
      <c r="JUI31" s="478"/>
      <c r="JUJ31" s="478"/>
      <c r="JUK31" s="478"/>
      <c r="JUL31" s="478"/>
      <c r="JUM31" s="478"/>
      <c r="JUN31" s="478"/>
      <c r="JUO31" s="478"/>
      <c r="JUP31" s="478"/>
      <c r="JUQ31" s="478"/>
      <c r="JUR31" s="478"/>
      <c r="JUS31" s="478"/>
      <c r="JUT31" s="478"/>
      <c r="JUU31" s="478"/>
      <c r="JUV31" s="478"/>
      <c r="JUW31" s="478"/>
      <c r="JUX31" s="478"/>
      <c r="JUY31" s="478"/>
      <c r="JUZ31" s="478"/>
      <c r="JVA31" s="478"/>
      <c r="JVB31" s="478"/>
      <c r="JVC31" s="478"/>
      <c r="JVD31" s="478"/>
      <c r="JVE31" s="478"/>
      <c r="JVF31" s="478"/>
      <c r="JVG31" s="478"/>
      <c r="JVH31" s="478"/>
      <c r="JVI31" s="478"/>
      <c r="JVJ31" s="478"/>
      <c r="JVK31" s="478"/>
      <c r="JVL31" s="478"/>
      <c r="JVM31" s="478"/>
      <c r="JVN31" s="478"/>
      <c r="JVO31" s="478"/>
      <c r="JVP31" s="478"/>
      <c r="JVQ31" s="478"/>
      <c r="JVR31" s="478"/>
      <c r="JVS31" s="478"/>
      <c r="JVT31" s="478"/>
      <c r="JVU31" s="478"/>
      <c r="JVV31" s="478"/>
      <c r="JVW31" s="478"/>
      <c r="JVX31" s="478"/>
      <c r="JVY31" s="478"/>
      <c r="JVZ31" s="478"/>
      <c r="JWA31" s="478"/>
      <c r="JWB31" s="478"/>
      <c r="JWC31" s="478"/>
      <c r="JWD31" s="478"/>
      <c r="JWE31" s="478"/>
      <c r="JWF31" s="478"/>
      <c r="JWG31" s="478"/>
      <c r="JWH31" s="478"/>
      <c r="JWI31" s="478"/>
      <c r="JWJ31" s="478"/>
      <c r="JWK31" s="478"/>
      <c r="JWL31" s="478"/>
      <c r="JWM31" s="478"/>
      <c r="JWN31" s="478"/>
      <c r="JWO31" s="478"/>
      <c r="JWP31" s="478"/>
      <c r="JWQ31" s="478"/>
      <c r="JWR31" s="478"/>
      <c r="JWS31" s="478"/>
      <c r="JWT31" s="478"/>
      <c r="JWU31" s="478"/>
      <c r="JWV31" s="478"/>
      <c r="JWW31" s="478"/>
      <c r="JWX31" s="478"/>
      <c r="JWY31" s="478"/>
      <c r="JWZ31" s="478"/>
      <c r="JXA31" s="478"/>
      <c r="JXB31" s="478"/>
      <c r="JXC31" s="478"/>
      <c r="JXD31" s="478"/>
      <c r="JXE31" s="478"/>
      <c r="JXF31" s="478"/>
      <c r="JXG31" s="478"/>
      <c r="JXH31" s="478"/>
      <c r="JXI31" s="478"/>
      <c r="JXJ31" s="478"/>
      <c r="JXK31" s="478"/>
      <c r="JXL31" s="478"/>
      <c r="JXM31" s="478"/>
      <c r="JXN31" s="478"/>
      <c r="JXO31" s="478"/>
      <c r="JXP31" s="478"/>
      <c r="JXQ31" s="478"/>
      <c r="JXR31" s="478"/>
      <c r="JXS31" s="478"/>
      <c r="JXT31" s="478"/>
      <c r="JXU31" s="478"/>
      <c r="JXV31" s="478"/>
      <c r="JXW31" s="478"/>
      <c r="JXX31" s="478"/>
      <c r="JXY31" s="478"/>
      <c r="JXZ31" s="478"/>
      <c r="JYA31" s="478"/>
      <c r="JYB31" s="478"/>
      <c r="JYC31" s="478"/>
      <c r="JYD31" s="478"/>
      <c r="JYE31" s="478"/>
      <c r="JYF31" s="478"/>
      <c r="JYG31" s="478"/>
      <c r="JYH31" s="478"/>
      <c r="JYI31" s="478"/>
      <c r="JYJ31" s="478"/>
      <c r="JYK31" s="478"/>
      <c r="JYL31" s="478"/>
      <c r="JYM31" s="478"/>
      <c r="JYN31" s="478"/>
      <c r="JYO31" s="478"/>
      <c r="JYP31" s="478"/>
      <c r="JYQ31" s="478"/>
      <c r="JYR31" s="478"/>
      <c r="JYS31" s="478"/>
      <c r="JYT31" s="478"/>
      <c r="JYU31" s="478"/>
      <c r="JYV31" s="478"/>
      <c r="JYW31" s="478"/>
      <c r="JYX31" s="478"/>
      <c r="JYY31" s="478"/>
      <c r="JYZ31" s="478"/>
      <c r="JZA31" s="478"/>
      <c r="JZB31" s="478"/>
      <c r="JZC31" s="478"/>
      <c r="JZD31" s="478"/>
      <c r="JZE31" s="478"/>
      <c r="JZF31" s="478"/>
      <c r="JZG31" s="478"/>
      <c r="JZH31" s="478"/>
      <c r="JZI31" s="478"/>
      <c r="JZJ31" s="478"/>
      <c r="JZK31" s="478"/>
      <c r="JZL31" s="478"/>
      <c r="JZM31" s="478"/>
      <c r="JZN31" s="478"/>
      <c r="JZO31" s="478"/>
      <c r="JZP31" s="478"/>
      <c r="JZQ31" s="478"/>
      <c r="JZR31" s="478"/>
      <c r="JZS31" s="478"/>
      <c r="JZT31" s="478"/>
      <c r="JZU31" s="478"/>
      <c r="JZV31" s="478"/>
      <c r="JZW31" s="478"/>
      <c r="JZX31" s="478"/>
      <c r="JZY31" s="478"/>
      <c r="JZZ31" s="478"/>
      <c r="KAA31" s="478"/>
      <c r="KAB31" s="478"/>
      <c r="KAC31" s="478"/>
      <c r="KAD31" s="478"/>
      <c r="KAE31" s="478"/>
      <c r="KAF31" s="478"/>
      <c r="KAG31" s="478"/>
      <c r="KAH31" s="478"/>
      <c r="KAI31" s="478"/>
      <c r="KAJ31" s="478"/>
      <c r="KAK31" s="478"/>
      <c r="KAL31" s="478"/>
      <c r="KAM31" s="478"/>
      <c r="KAN31" s="478"/>
      <c r="KAO31" s="478"/>
      <c r="KAP31" s="478"/>
      <c r="KAQ31" s="478"/>
      <c r="KAR31" s="478"/>
      <c r="KAS31" s="478"/>
      <c r="KAT31" s="478"/>
      <c r="KAU31" s="478"/>
      <c r="KAV31" s="478"/>
      <c r="KAW31" s="478"/>
      <c r="KAX31" s="478"/>
      <c r="KAY31" s="478"/>
      <c r="KAZ31" s="478"/>
      <c r="KBA31" s="478"/>
      <c r="KBB31" s="478"/>
      <c r="KBC31" s="478"/>
      <c r="KBD31" s="478"/>
      <c r="KBE31" s="478"/>
      <c r="KBF31" s="478"/>
      <c r="KBG31" s="478"/>
      <c r="KBH31" s="478"/>
      <c r="KBI31" s="478"/>
      <c r="KBJ31" s="478"/>
      <c r="KBK31" s="478"/>
      <c r="KBL31" s="478"/>
      <c r="KBM31" s="478"/>
      <c r="KBN31" s="478"/>
      <c r="KBO31" s="478"/>
      <c r="KBP31" s="478"/>
      <c r="KBQ31" s="478"/>
      <c r="KBR31" s="478"/>
      <c r="KBS31" s="478"/>
      <c r="KBT31" s="478"/>
      <c r="KBU31" s="478"/>
      <c r="KBV31" s="478"/>
      <c r="KBW31" s="478"/>
      <c r="KBX31" s="478"/>
      <c r="KBY31" s="478"/>
      <c r="KBZ31" s="478"/>
      <c r="KCA31" s="478"/>
      <c r="KCB31" s="478"/>
      <c r="KCC31" s="478"/>
      <c r="KCD31" s="478"/>
      <c r="KCE31" s="478"/>
      <c r="KCF31" s="478"/>
      <c r="KCG31" s="478"/>
      <c r="KCH31" s="478"/>
      <c r="KCI31" s="478"/>
      <c r="KCJ31" s="478"/>
      <c r="KCK31" s="478"/>
      <c r="KCL31" s="478"/>
      <c r="KCM31" s="478"/>
      <c r="KCN31" s="478"/>
      <c r="KCO31" s="478"/>
      <c r="KCP31" s="478"/>
      <c r="KCQ31" s="478"/>
      <c r="KCR31" s="478"/>
      <c r="KCS31" s="478"/>
      <c r="KCT31" s="478"/>
      <c r="KCU31" s="478"/>
      <c r="KCV31" s="478"/>
      <c r="KCW31" s="478"/>
      <c r="KCX31" s="478"/>
      <c r="KCY31" s="478"/>
      <c r="KCZ31" s="478"/>
      <c r="KDA31" s="478"/>
      <c r="KDB31" s="478"/>
      <c r="KDC31" s="478"/>
      <c r="KDD31" s="478"/>
      <c r="KDE31" s="478"/>
      <c r="KDF31" s="478"/>
      <c r="KDG31" s="478"/>
      <c r="KDH31" s="478"/>
      <c r="KDI31" s="478"/>
      <c r="KDJ31" s="478"/>
      <c r="KDK31" s="478"/>
      <c r="KDL31" s="478"/>
      <c r="KDM31" s="478"/>
      <c r="KDN31" s="478"/>
      <c r="KDO31" s="478"/>
      <c r="KDP31" s="478"/>
      <c r="KDQ31" s="478"/>
      <c r="KDR31" s="478"/>
      <c r="KDS31" s="478"/>
      <c r="KDT31" s="478"/>
      <c r="KDU31" s="478"/>
      <c r="KDV31" s="478"/>
      <c r="KDW31" s="478"/>
      <c r="KDX31" s="478"/>
      <c r="KDY31" s="478"/>
      <c r="KDZ31" s="478"/>
      <c r="KEA31" s="478"/>
      <c r="KEB31" s="478"/>
      <c r="KEC31" s="478"/>
      <c r="KED31" s="478"/>
      <c r="KEE31" s="478"/>
      <c r="KEF31" s="478"/>
      <c r="KEG31" s="478"/>
      <c r="KEH31" s="478"/>
      <c r="KEI31" s="478"/>
      <c r="KEJ31" s="478"/>
      <c r="KEK31" s="478"/>
      <c r="KEL31" s="478"/>
      <c r="KEM31" s="478"/>
      <c r="KEN31" s="478"/>
      <c r="KEO31" s="478"/>
      <c r="KEP31" s="478"/>
      <c r="KEQ31" s="478"/>
      <c r="KER31" s="478"/>
      <c r="KES31" s="478"/>
      <c r="KET31" s="478"/>
      <c r="KEU31" s="478"/>
      <c r="KEV31" s="478"/>
      <c r="KEW31" s="478"/>
      <c r="KEX31" s="478"/>
      <c r="KEY31" s="478"/>
      <c r="KEZ31" s="478"/>
      <c r="KFA31" s="478"/>
      <c r="KFB31" s="478"/>
      <c r="KFC31" s="478"/>
      <c r="KFD31" s="478"/>
      <c r="KFE31" s="478"/>
      <c r="KFF31" s="478"/>
      <c r="KFG31" s="478"/>
      <c r="KFH31" s="478"/>
      <c r="KFI31" s="478"/>
      <c r="KFJ31" s="478"/>
      <c r="KFK31" s="478"/>
      <c r="KFL31" s="478"/>
      <c r="KFM31" s="478"/>
      <c r="KFN31" s="478"/>
      <c r="KFO31" s="478"/>
      <c r="KFP31" s="478"/>
      <c r="KFQ31" s="478"/>
      <c r="KFR31" s="478"/>
      <c r="KFS31" s="478"/>
      <c r="KFT31" s="478"/>
      <c r="KFU31" s="478"/>
      <c r="KFV31" s="478"/>
      <c r="KFW31" s="478"/>
      <c r="KFX31" s="478"/>
      <c r="KFY31" s="478"/>
      <c r="KFZ31" s="478"/>
      <c r="KGA31" s="478"/>
      <c r="KGB31" s="478"/>
      <c r="KGC31" s="478"/>
      <c r="KGD31" s="478"/>
      <c r="KGE31" s="478"/>
      <c r="KGF31" s="478"/>
      <c r="KGG31" s="478"/>
      <c r="KGH31" s="478"/>
      <c r="KGI31" s="478"/>
      <c r="KGJ31" s="478"/>
      <c r="KGK31" s="478"/>
      <c r="KGL31" s="478"/>
      <c r="KGM31" s="478"/>
      <c r="KGN31" s="478"/>
      <c r="KGO31" s="478"/>
      <c r="KGP31" s="478"/>
      <c r="KGQ31" s="478"/>
      <c r="KGR31" s="478"/>
      <c r="KGS31" s="478"/>
      <c r="KGT31" s="478"/>
      <c r="KGU31" s="478"/>
      <c r="KGV31" s="478"/>
      <c r="KGW31" s="478"/>
      <c r="KGX31" s="478"/>
      <c r="KGY31" s="478"/>
      <c r="KGZ31" s="478"/>
      <c r="KHA31" s="478"/>
      <c r="KHB31" s="478"/>
      <c r="KHC31" s="478"/>
      <c r="KHD31" s="478"/>
      <c r="KHE31" s="478"/>
      <c r="KHF31" s="478"/>
      <c r="KHG31" s="478"/>
      <c r="KHH31" s="478"/>
      <c r="KHI31" s="478"/>
      <c r="KHJ31" s="478"/>
      <c r="KHK31" s="478"/>
      <c r="KHL31" s="478"/>
      <c r="KHM31" s="478"/>
      <c r="KHN31" s="478"/>
      <c r="KHO31" s="478"/>
      <c r="KHP31" s="478"/>
      <c r="KHQ31" s="478"/>
      <c r="KHR31" s="478"/>
      <c r="KHS31" s="478"/>
      <c r="KHT31" s="478"/>
      <c r="KHU31" s="478"/>
      <c r="KHV31" s="478"/>
      <c r="KHW31" s="478"/>
      <c r="KHX31" s="478"/>
      <c r="KHY31" s="478"/>
      <c r="KHZ31" s="478"/>
      <c r="KIA31" s="478"/>
      <c r="KIB31" s="478"/>
      <c r="KIC31" s="478"/>
      <c r="KID31" s="478"/>
      <c r="KIE31" s="478"/>
      <c r="KIF31" s="478"/>
      <c r="KIG31" s="478"/>
      <c r="KIH31" s="478"/>
      <c r="KII31" s="478"/>
      <c r="KIJ31" s="478"/>
      <c r="KIK31" s="478"/>
      <c r="KIL31" s="478"/>
      <c r="KIM31" s="478"/>
      <c r="KIN31" s="478"/>
      <c r="KIO31" s="478"/>
      <c r="KIP31" s="478"/>
      <c r="KIQ31" s="478"/>
      <c r="KIR31" s="478"/>
      <c r="KIS31" s="478"/>
      <c r="KIT31" s="478"/>
      <c r="KIU31" s="478"/>
      <c r="KIV31" s="478"/>
      <c r="KIW31" s="478"/>
      <c r="KIX31" s="478"/>
      <c r="KIY31" s="478"/>
      <c r="KIZ31" s="478"/>
      <c r="KJA31" s="478"/>
      <c r="KJB31" s="478"/>
      <c r="KJC31" s="478"/>
      <c r="KJD31" s="478"/>
      <c r="KJE31" s="478"/>
      <c r="KJF31" s="478"/>
      <c r="KJG31" s="478"/>
      <c r="KJH31" s="478"/>
      <c r="KJI31" s="478"/>
      <c r="KJJ31" s="478"/>
      <c r="KJK31" s="478"/>
      <c r="KJL31" s="478"/>
      <c r="KJM31" s="478"/>
      <c r="KJN31" s="478"/>
      <c r="KJO31" s="478"/>
      <c r="KJP31" s="478"/>
      <c r="KJQ31" s="478"/>
      <c r="KJR31" s="478"/>
      <c r="KJS31" s="478"/>
      <c r="KJT31" s="478"/>
      <c r="KJU31" s="478"/>
      <c r="KJV31" s="478"/>
      <c r="KJW31" s="478"/>
      <c r="KJX31" s="478"/>
      <c r="KJY31" s="478"/>
      <c r="KJZ31" s="478"/>
      <c r="KKA31" s="478"/>
      <c r="KKB31" s="478"/>
      <c r="KKC31" s="478"/>
      <c r="KKD31" s="478"/>
      <c r="KKE31" s="478"/>
      <c r="KKF31" s="478"/>
      <c r="KKG31" s="478"/>
      <c r="KKH31" s="478"/>
      <c r="KKI31" s="478"/>
      <c r="KKJ31" s="478"/>
      <c r="KKK31" s="478"/>
      <c r="KKL31" s="478"/>
      <c r="KKM31" s="478"/>
      <c r="KKN31" s="478"/>
      <c r="KKO31" s="478"/>
      <c r="KKP31" s="478"/>
      <c r="KKQ31" s="478"/>
      <c r="KKR31" s="478"/>
      <c r="KKS31" s="478"/>
      <c r="KKT31" s="478"/>
      <c r="KKU31" s="478"/>
      <c r="KKV31" s="478"/>
      <c r="KKW31" s="478"/>
      <c r="KKX31" s="478"/>
      <c r="KKY31" s="478"/>
      <c r="KKZ31" s="478"/>
      <c r="KLA31" s="478"/>
      <c r="KLB31" s="478"/>
      <c r="KLC31" s="478"/>
      <c r="KLD31" s="478"/>
      <c r="KLE31" s="478"/>
      <c r="KLF31" s="478"/>
      <c r="KLG31" s="478"/>
      <c r="KLH31" s="478"/>
      <c r="KLI31" s="478"/>
      <c r="KLJ31" s="478"/>
      <c r="KLK31" s="478"/>
      <c r="KLL31" s="478"/>
      <c r="KLM31" s="478"/>
      <c r="KLN31" s="478"/>
      <c r="KLO31" s="478"/>
      <c r="KLP31" s="478"/>
      <c r="KLQ31" s="478"/>
      <c r="KLR31" s="478"/>
      <c r="KLS31" s="478"/>
      <c r="KLT31" s="478"/>
      <c r="KLU31" s="478"/>
      <c r="KLV31" s="478"/>
      <c r="KLW31" s="478"/>
      <c r="KLX31" s="478"/>
      <c r="KLY31" s="478"/>
      <c r="KLZ31" s="478"/>
      <c r="KMA31" s="478"/>
      <c r="KMB31" s="478"/>
      <c r="KMC31" s="478"/>
      <c r="KMD31" s="478"/>
      <c r="KME31" s="478"/>
      <c r="KMF31" s="478"/>
      <c r="KMG31" s="478"/>
      <c r="KMH31" s="478"/>
      <c r="KMI31" s="478"/>
      <c r="KMJ31" s="478"/>
      <c r="KMK31" s="478"/>
      <c r="KML31" s="478"/>
      <c r="KMM31" s="478"/>
      <c r="KMN31" s="478"/>
      <c r="KMO31" s="478"/>
      <c r="KMP31" s="478"/>
      <c r="KMQ31" s="478"/>
      <c r="KMR31" s="478"/>
      <c r="KMS31" s="478"/>
      <c r="KMT31" s="478"/>
      <c r="KMU31" s="478"/>
      <c r="KMV31" s="478"/>
      <c r="KMW31" s="478"/>
      <c r="KMX31" s="478"/>
      <c r="KMY31" s="478"/>
      <c r="KMZ31" s="478"/>
      <c r="KNA31" s="478"/>
      <c r="KNB31" s="478"/>
      <c r="KNC31" s="478"/>
      <c r="KND31" s="478"/>
      <c r="KNE31" s="478"/>
      <c r="KNF31" s="478"/>
      <c r="KNG31" s="478"/>
      <c r="KNH31" s="478"/>
      <c r="KNI31" s="478"/>
      <c r="KNJ31" s="478"/>
      <c r="KNK31" s="478"/>
      <c r="KNL31" s="478"/>
      <c r="KNM31" s="478"/>
      <c r="KNN31" s="478"/>
      <c r="KNO31" s="478"/>
      <c r="KNP31" s="478"/>
      <c r="KNQ31" s="478"/>
      <c r="KNR31" s="478"/>
      <c r="KNS31" s="478"/>
      <c r="KNT31" s="478"/>
      <c r="KNU31" s="478"/>
      <c r="KNV31" s="478"/>
      <c r="KNW31" s="478"/>
      <c r="KNX31" s="478"/>
      <c r="KNY31" s="478"/>
      <c r="KNZ31" s="478"/>
      <c r="KOA31" s="478"/>
      <c r="KOB31" s="478"/>
      <c r="KOC31" s="478"/>
      <c r="KOD31" s="478"/>
      <c r="KOE31" s="478"/>
      <c r="KOF31" s="478"/>
      <c r="KOG31" s="478"/>
      <c r="KOH31" s="478"/>
      <c r="KOI31" s="478"/>
      <c r="KOJ31" s="478"/>
      <c r="KOK31" s="478"/>
      <c r="KOL31" s="478"/>
      <c r="KOM31" s="478"/>
      <c r="KON31" s="478"/>
      <c r="KOO31" s="478"/>
      <c r="KOP31" s="478"/>
      <c r="KOQ31" s="478"/>
      <c r="KOR31" s="478"/>
      <c r="KOS31" s="478"/>
      <c r="KOT31" s="478"/>
      <c r="KOU31" s="478"/>
      <c r="KOV31" s="478"/>
      <c r="KOW31" s="478"/>
      <c r="KOX31" s="478"/>
      <c r="KOY31" s="478"/>
      <c r="KOZ31" s="478"/>
      <c r="KPA31" s="478"/>
      <c r="KPB31" s="478"/>
      <c r="KPC31" s="478"/>
      <c r="KPD31" s="478"/>
      <c r="KPE31" s="478"/>
      <c r="KPF31" s="478"/>
      <c r="KPG31" s="478"/>
      <c r="KPH31" s="478"/>
      <c r="KPI31" s="478"/>
      <c r="KPJ31" s="478"/>
      <c r="KPK31" s="478"/>
      <c r="KPL31" s="478"/>
      <c r="KPM31" s="478"/>
      <c r="KPN31" s="478"/>
      <c r="KPO31" s="478"/>
      <c r="KPP31" s="478"/>
      <c r="KPQ31" s="478"/>
      <c r="KPR31" s="478"/>
      <c r="KPS31" s="478"/>
      <c r="KPT31" s="478"/>
      <c r="KPU31" s="478"/>
      <c r="KPV31" s="478"/>
      <c r="KPW31" s="478"/>
      <c r="KPX31" s="478"/>
      <c r="KPY31" s="478"/>
      <c r="KPZ31" s="478"/>
      <c r="KQA31" s="478"/>
      <c r="KQB31" s="478"/>
      <c r="KQC31" s="478"/>
      <c r="KQD31" s="478"/>
      <c r="KQE31" s="478"/>
      <c r="KQF31" s="478"/>
      <c r="KQG31" s="478"/>
      <c r="KQH31" s="478"/>
      <c r="KQI31" s="478"/>
      <c r="KQJ31" s="478"/>
      <c r="KQK31" s="478"/>
      <c r="KQL31" s="478"/>
      <c r="KQM31" s="478"/>
      <c r="KQN31" s="478"/>
      <c r="KQO31" s="478"/>
      <c r="KQP31" s="478"/>
      <c r="KQQ31" s="478"/>
      <c r="KQR31" s="478"/>
      <c r="KQS31" s="478"/>
      <c r="KQT31" s="478"/>
      <c r="KQU31" s="478"/>
      <c r="KQV31" s="478"/>
      <c r="KQW31" s="478"/>
      <c r="KQX31" s="478"/>
      <c r="KQY31" s="478"/>
      <c r="KQZ31" s="478"/>
      <c r="KRA31" s="478"/>
      <c r="KRB31" s="478"/>
      <c r="KRC31" s="478"/>
      <c r="KRD31" s="478"/>
      <c r="KRE31" s="478"/>
      <c r="KRF31" s="478"/>
      <c r="KRG31" s="478"/>
      <c r="KRH31" s="478"/>
      <c r="KRI31" s="478"/>
      <c r="KRJ31" s="478"/>
      <c r="KRK31" s="478"/>
      <c r="KRL31" s="478"/>
      <c r="KRM31" s="478"/>
      <c r="KRN31" s="478"/>
      <c r="KRO31" s="478"/>
      <c r="KRP31" s="478"/>
      <c r="KRQ31" s="478"/>
      <c r="KRR31" s="478"/>
      <c r="KRS31" s="478"/>
      <c r="KRT31" s="478"/>
      <c r="KRU31" s="478"/>
      <c r="KRV31" s="478"/>
      <c r="KRW31" s="478"/>
      <c r="KRX31" s="478"/>
      <c r="KRY31" s="478"/>
      <c r="KRZ31" s="478"/>
      <c r="KSA31" s="478"/>
      <c r="KSB31" s="478"/>
      <c r="KSC31" s="478"/>
      <c r="KSD31" s="478"/>
      <c r="KSE31" s="478"/>
      <c r="KSF31" s="478"/>
      <c r="KSG31" s="478"/>
      <c r="KSH31" s="478"/>
      <c r="KSI31" s="478"/>
      <c r="KSJ31" s="478"/>
      <c r="KSK31" s="478"/>
      <c r="KSL31" s="478"/>
      <c r="KSM31" s="478"/>
      <c r="KSN31" s="478"/>
      <c r="KSO31" s="478"/>
      <c r="KSP31" s="478"/>
      <c r="KSQ31" s="478"/>
      <c r="KSR31" s="478"/>
      <c r="KSS31" s="478"/>
      <c r="KST31" s="478"/>
      <c r="KSU31" s="478"/>
      <c r="KSV31" s="478"/>
      <c r="KSW31" s="478"/>
      <c r="KSX31" s="478"/>
      <c r="KSY31" s="478"/>
      <c r="KSZ31" s="478"/>
      <c r="KTA31" s="478"/>
      <c r="KTB31" s="478"/>
      <c r="KTC31" s="478"/>
      <c r="KTD31" s="478"/>
      <c r="KTE31" s="478"/>
      <c r="KTF31" s="478"/>
      <c r="KTG31" s="478"/>
      <c r="KTH31" s="478"/>
      <c r="KTI31" s="478"/>
      <c r="KTJ31" s="478"/>
      <c r="KTK31" s="478"/>
      <c r="KTL31" s="478"/>
      <c r="KTM31" s="478"/>
      <c r="KTN31" s="478"/>
      <c r="KTO31" s="478"/>
      <c r="KTP31" s="478"/>
      <c r="KTQ31" s="478"/>
      <c r="KTR31" s="478"/>
      <c r="KTS31" s="478"/>
      <c r="KTT31" s="478"/>
      <c r="KTU31" s="478"/>
      <c r="KTV31" s="478"/>
      <c r="KTW31" s="478"/>
      <c r="KTX31" s="478"/>
      <c r="KTY31" s="478"/>
      <c r="KTZ31" s="478"/>
      <c r="KUA31" s="478"/>
      <c r="KUB31" s="478"/>
      <c r="KUC31" s="478"/>
      <c r="KUD31" s="478"/>
      <c r="KUE31" s="478"/>
      <c r="KUF31" s="478"/>
      <c r="KUG31" s="478"/>
      <c r="KUH31" s="478"/>
      <c r="KUI31" s="478"/>
      <c r="KUJ31" s="478"/>
      <c r="KUK31" s="478"/>
      <c r="KUL31" s="478"/>
      <c r="KUM31" s="478"/>
      <c r="KUN31" s="478"/>
      <c r="KUO31" s="478"/>
      <c r="KUP31" s="478"/>
      <c r="KUQ31" s="478"/>
      <c r="KUR31" s="478"/>
      <c r="KUS31" s="478"/>
      <c r="KUT31" s="478"/>
      <c r="KUU31" s="478"/>
      <c r="KUV31" s="478"/>
      <c r="KUW31" s="478"/>
      <c r="KUX31" s="478"/>
      <c r="KUY31" s="478"/>
      <c r="KUZ31" s="478"/>
      <c r="KVA31" s="478"/>
      <c r="KVB31" s="478"/>
      <c r="KVC31" s="478"/>
      <c r="KVD31" s="478"/>
      <c r="KVE31" s="478"/>
      <c r="KVF31" s="478"/>
      <c r="KVG31" s="478"/>
      <c r="KVH31" s="478"/>
      <c r="KVI31" s="478"/>
      <c r="KVJ31" s="478"/>
      <c r="KVK31" s="478"/>
      <c r="KVL31" s="478"/>
      <c r="KVM31" s="478"/>
      <c r="KVN31" s="478"/>
      <c r="KVO31" s="478"/>
      <c r="KVP31" s="478"/>
      <c r="KVQ31" s="478"/>
      <c r="KVR31" s="478"/>
      <c r="KVS31" s="478"/>
      <c r="KVT31" s="478"/>
      <c r="KVU31" s="478"/>
      <c r="KVV31" s="478"/>
      <c r="KVW31" s="478"/>
      <c r="KVX31" s="478"/>
      <c r="KVY31" s="478"/>
      <c r="KVZ31" s="478"/>
      <c r="KWA31" s="478"/>
      <c r="KWB31" s="478"/>
      <c r="KWC31" s="478"/>
      <c r="KWD31" s="478"/>
      <c r="KWE31" s="478"/>
      <c r="KWF31" s="478"/>
      <c r="KWG31" s="478"/>
      <c r="KWH31" s="478"/>
      <c r="KWI31" s="478"/>
      <c r="KWJ31" s="478"/>
      <c r="KWK31" s="478"/>
      <c r="KWL31" s="478"/>
      <c r="KWM31" s="478"/>
      <c r="KWN31" s="478"/>
      <c r="KWO31" s="478"/>
      <c r="KWP31" s="478"/>
      <c r="KWQ31" s="478"/>
      <c r="KWR31" s="478"/>
      <c r="KWS31" s="478"/>
      <c r="KWT31" s="478"/>
      <c r="KWU31" s="478"/>
      <c r="KWV31" s="478"/>
      <c r="KWW31" s="478"/>
      <c r="KWX31" s="478"/>
      <c r="KWY31" s="478"/>
      <c r="KWZ31" s="478"/>
      <c r="KXA31" s="478"/>
      <c r="KXB31" s="478"/>
      <c r="KXC31" s="478"/>
      <c r="KXD31" s="478"/>
      <c r="KXE31" s="478"/>
      <c r="KXF31" s="478"/>
      <c r="KXG31" s="478"/>
      <c r="KXH31" s="478"/>
      <c r="KXI31" s="478"/>
      <c r="KXJ31" s="478"/>
      <c r="KXK31" s="478"/>
      <c r="KXL31" s="478"/>
      <c r="KXM31" s="478"/>
      <c r="KXN31" s="478"/>
      <c r="KXO31" s="478"/>
      <c r="KXP31" s="478"/>
      <c r="KXQ31" s="478"/>
      <c r="KXR31" s="478"/>
      <c r="KXS31" s="478"/>
      <c r="KXT31" s="478"/>
      <c r="KXU31" s="478"/>
      <c r="KXV31" s="478"/>
      <c r="KXW31" s="478"/>
      <c r="KXX31" s="478"/>
      <c r="KXY31" s="478"/>
      <c r="KXZ31" s="478"/>
      <c r="KYA31" s="478"/>
      <c r="KYB31" s="478"/>
      <c r="KYC31" s="478"/>
      <c r="KYD31" s="478"/>
      <c r="KYE31" s="478"/>
      <c r="KYF31" s="478"/>
      <c r="KYG31" s="478"/>
      <c r="KYH31" s="478"/>
      <c r="KYI31" s="478"/>
      <c r="KYJ31" s="478"/>
      <c r="KYK31" s="478"/>
      <c r="KYL31" s="478"/>
      <c r="KYM31" s="478"/>
      <c r="KYN31" s="478"/>
      <c r="KYO31" s="478"/>
      <c r="KYP31" s="478"/>
      <c r="KYQ31" s="478"/>
      <c r="KYR31" s="478"/>
      <c r="KYS31" s="478"/>
      <c r="KYT31" s="478"/>
      <c r="KYU31" s="478"/>
      <c r="KYV31" s="478"/>
      <c r="KYW31" s="478"/>
      <c r="KYX31" s="478"/>
      <c r="KYY31" s="478"/>
      <c r="KYZ31" s="478"/>
      <c r="KZA31" s="478"/>
      <c r="KZB31" s="478"/>
      <c r="KZC31" s="478"/>
      <c r="KZD31" s="478"/>
      <c r="KZE31" s="478"/>
      <c r="KZF31" s="478"/>
      <c r="KZG31" s="478"/>
      <c r="KZH31" s="478"/>
      <c r="KZI31" s="478"/>
      <c r="KZJ31" s="478"/>
      <c r="KZK31" s="478"/>
      <c r="KZL31" s="478"/>
      <c r="KZM31" s="478"/>
      <c r="KZN31" s="478"/>
      <c r="KZO31" s="478"/>
      <c r="KZP31" s="478"/>
      <c r="KZQ31" s="478"/>
      <c r="KZR31" s="478"/>
      <c r="KZS31" s="478"/>
      <c r="KZT31" s="478"/>
      <c r="KZU31" s="478"/>
      <c r="KZV31" s="478"/>
      <c r="KZW31" s="478"/>
      <c r="KZX31" s="478"/>
      <c r="KZY31" s="478"/>
      <c r="KZZ31" s="478"/>
      <c r="LAA31" s="478"/>
      <c r="LAB31" s="478"/>
      <c r="LAC31" s="478"/>
      <c r="LAD31" s="478"/>
      <c r="LAE31" s="478"/>
      <c r="LAF31" s="478"/>
      <c r="LAG31" s="478"/>
      <c r="LAH31" s="478"/>
      <c r="LAI31" s="478"/>
      <c r="LAJ31" s="478"/>
      <c r="LAK31" s="478"/>
      <c r="LAL31" s="478"/>
      <c r="LAM31" s="478"/>
      <c r="LAN31" s="478"/>
      <c r="LAO31" s="478"/>
      <c r="LAP31" s="478"/>
      <c r="LAQ31" s="478"/>
      <c r="LAR31" s="478"/>
      <c r="LAS31" s="478"/>
      <c r="LAT31" s="478"/>
      <c r="LAU31" s="478"/>
      <c r="LAV31" s="478"/>
      <c r="LAW31" s="478"/>
      <c r="LAX31" s="478"/>
      <c r="LAY31" s="478"/>
      <c r="LAZ31" s="478"/>
      <c r="LBA31" s="478"/>
      <c r="LBB31" s="478"/>
      <c r="LBC31" s="478"/>
      <c r="LBD31" s="478"/>
      <c r="LBE31" s="478"/>
      <c r="LBF31" s="478"/>
      <c r="LBG31" s="478"/>
      <c r="LBH31" s="478"/>
      <c r="LBI31" s="478"/>
      <c r="LBJ31" s="478"/>
      <c r="LBK31" s="478"/>
      <c r="LBL31" s="478"/>
      <c r="LBM31" s="478"/>
      <c r="LBN31" s="478"/>
      <c r="LBO31" s="478"/>
      <c r="LBP31" s="478"/>
      <c r="LBQ31" s="478"/>
      <c r="LBR31" s="478"/>
      <c r="LBS31" s="478"/>
      <c r="LBT31" s="478"/>
      <c r="LBU31" s="478"/>
      <c r="LBV31" s="478"/>
      <c r="LBW31" s="478"/>
      <c r="LBX31" s="478"/>
      <c r="LBY31" s="478"/>
      <c r="LBZ31" s="478"/>
      <c r="LCA31" s="478"/>
      <c r="LCB31" s="478"/>
      <c r="LCC31" s="478"/>
      <c r="LCD31" s="478"/>
      <c r="LCE31" s="478"/>
      <c r="LCF31" s="478"/>
      <c r="LCG31" s="478"/>
      <c r="LCH31" s="478"/>
      <c r="LCI31" s="478"/>
      <c r="LCJ31" s="478"/>
      <c r="LCK31" s="478"/>
      <c r="LCL31" s="478"/>
      <c r="LCM31" s="478"/>
      <c r="LCN31" s="478"/>
      <c r="LCO31" s="478"/>
      <c r="LCP31" s="478"/>
      <c r="LCQ31" s="478"/>
      <c r="LCR31" s="478"/>
      <c r="LCS31" s="478"/>
      <c r="LCT31" s="478"/>
      <c r="LCU31" s="478"/>
      <c r="LCV31" s="478"/>
      <c r="LCW31" s="478"/>
      <c r="LCX31" s="478"/>
      <c r="LCY31" s="478"/>
      <c r="LCZ31" s="478"/>
      <c r="LDA31" s="478"/>
      <c r="LDB31" s="478"/>
      <c r="LDC31" s="478"/>
      <c r="LDD31" s="478"/>
      <c r="LDE31" s="478"/>
      <c r="LDF31" s="478"/>
      <c r="LDG31" s="478"/>
      <c r="LDH31" s="478"/>
      <c r="LDI31" s="478"/>
      <c r="LDJ31" s="478"/>
      <c r="LDK31" s="478"/>
      <c r="LDL31" s="478"/>
      <c r="LDM31" s="478"/>
      <c r="LDN31" s="478"/>
      <c r="LDO31" s="478"/>
      <c r="LDP31" s="478"/>
      <c r="LDQ31" s="478"/>
      <c r="LDR31" s="478"/>
      <c r="LDS31" s="478"/>
      <c r="LDT31" s="478"/>
      <c r="LDU31" s="478"/>
      <c r="LDV31" s="478"/>
      <c r="LDW31" s="478"/>
      <c r="LDX31" s="478"/>
      <c r="LDY31" s="478"/>
      <c r="LDZ31" s="478"/>
      <c r="LEA31" s="478"/>
      <c r="LEB31" s="478"/>
      <c r="LEC31" s="478"/>
      <c r="LED31" s="478"/>
      <c r="LEE31" s="478"/>
      <c r="LEF31" s="478"/>
      <c r="LEG31" s="478"/>
      <c r="LEH31" s="478"/>
      <c r="LEI31" s="478"/>
      <c r="LEJ31" s="478"/>
      <c r="LEK31" s="478"/>
      <c r="LEL31" s="478"/>
      <c r="LEM31" s="478"/>
      <c r="LEN31" s="478"/>
      <c r="LEO31" s="478"/>
      <c r="LEP31" s="478"/>
      <c r="LEQ31" s="478"/>
      <c r="LER31" s="478"/>
      <c r="LES31" s="478"/>
      <c r="LET31" s="478"/>
      <c r="LEU31" s="478"/>
      <c r="LEV31" s="478"/>
      <c r="LEW31" s="478"/>
      <c r="LEX31" s="478"/>
      <c r="LEY31" s="478"/>
      <c r="LEZ31" s="478"/>
      <c r="LFA31" s="478"/>
      <c r="LFB31" s="478"/>
      <c r="LFC31" s="478"/>
      <c r="LFD31" s="478"/>
      <c r="LFE31" s="478"/>
      <c r="LFF31" s="478"/>
      <c r="LFG31" s="478"/>
      <c r="LFH31" s="478"/>
      <c r="LFI31" s="478"/>
      <c r="LFJ31" s="478"/>
      <c r="LFK31" s="478"/>
      <c r="LFL31" s="478"/>
      <c r="LFM31" s="478"/>
      <c r="LFN31" s="478"/>
      <c r="LFO31" s="478"/>
      <c r="LFP31" s="478"/>
      <c r="LFQ31" s="478"/>
      <c r="LFR31" s="478"/>
      <c r="LFS31" s="478"/>
      <c r="LFT31" s="478"/>
      <c r="LFU31" s="478"/>
      <c r="LFV31" s="478"/>
      <c r="LFW31" s="478"/>
      <c r="LFX31" s="478"/>
      <c r="LFY31" s="478"/>
      <c r="LFZ31" s="478"/>
      <c r="LGA31" s="478"/>
      <c r="LGB31" s="478"/>
      <c r="LGC31" s="478"/>
      <c r="LGD31" s="478"/>
      <c r="LGE31" s="478"/>
      <c r="LGF31" s="478"/>
      <c r="LGG31" s="478"/>
      <c r="LGH31" s="478"/>
      <c r="LGI31" s="478"/>
      <c r="LGJ31" s="478"/>
      <c r="LGK31" s="478"/>
      <c r="LGL31" s="478"/>
      <c r="LGM31" s="478"/>
      <c r="LGN31" s="478"/>
      <c r="LGO31" s="478"/>
      <c r="LGP31" s="478"/>
      <c r="LGQ31" s="478"/>
      <c r="LGR31" s="478"/>
      <c r="LGS31" s="478"/>
      <c r="LGT31" s="478"/>
      <c r="LGU31" s="478"/>
      <c r="LGV31" s="478"/>
      <c r="LGW31" s="478"/>
      <c r="LGX31" s="478"/>
      <c r="LGY31" s="478"/>
      <c r="LGZ31" s="478"/>
      <c r="LHA31" s="478"/>
      <c r="LHB31" s="478"/>
      <c r="LHC31" s="478"/>
      <c r="LHD31" s="478"/>
      <c r="LHE31" s="478"/>
      <c r="LHF31" s="478"/>
      <c r="LHG31" s="478"/>
      <c r="LHH31" s="478"/>
      <c r="LHI31" s="478"/>
      <c r="LHJ31" s="478"/>
      <c r="LHK31" s="478"/>
      <c r="LHL31" s="478"/>
      <c r="LHM31" s="478"/>
      <c r="LHN31" s="478"/>
      <c r="LHO31" s="478"/>
      <c r="LHP31" s="478"/>
      <c r="LHQ31" s="478"/>
      <c r="LHR31" s="478"/>
      <c r="LHS31" s="478"/>
      <c r="LHT31" s="478"/>
      <c r="LHU31" s="478"/>
      <c r="LHV31" s="478"/>
      <c r="LHW31" s="478"/>
      <c r="LHX31" s="478"/>
      <c r="LHY31" s="478"/>
      <c r="LHZ31" s="478"/>
      <c r="LIA31" s="478"/>
      <c r="LIB31" s="478"/>
      <c r="LIC31" s="478"/>
      <c r="LID31" s="478"/>
      <c r="LIE31" s="478"/>
      <c r="LIF31" s="478"/>
      <c r="LIG31" s="478"/>
      <c r="LIH31" s="478"/>
      <c r="LII31" s="478"/>
      <c r="LIJ31" s="478"/>
      <c r="LIK31" s="478"/>
      <c r="LIL31" s="478"/>
      <c r="LIM31" s="478"/>
      <c r="LIN31" s="478"/>
      <c r="LIO31" s="478"/>
      <c r="LIP31" s="478"/>
      <c r="LIQ31" s="478"/>
      <c r="LIR31" s="478"/>
      <c r="LIS31" s="478"/>
      <c r="LIT31" s="478"/>
      <c r="LIU31" s="478"/>
      <c r="LIV31" s="478"/>
      <c r="LIW31" s="478"/>
      <c r="LIX31" s="478"/>
      <c r="LIY31" s="478"/>
      <c r="LIZ31" s="478"/>
      <c r="LJA31" s="478"/>
      <c r="LJB31" s="478"/>
      <c r="LJC31" s="478"/>
      <c r="LJD31" s="478"/>
      <c r="LJE31" s="478"/>
      <c r="LJF31" s="478"/>
      <c r="LJG31" s="478"/>
      <c r="LJH31" s="478"/>
      <c r="LJI31" s="478"/>
      <c r="LJJ31" s="478"/>
      <c r="LJK31" s="478"/>
      <c r="LJL31" s="478"/>
      <c r="LJM31" s="478"/>
      <c r="LJN31" s="478"/>
      <c r="LJO31" s="478"/>
      <c r="LJP31" s="478"/>
      <c r="LJQ31" s="478"/>
      <c r="LJR31" s="478"/>
      <c r="LJS31" s="478"/>
      <c r="LJT31" s="478"/>
      <c r="LJU31" s="478"/>
      <c r="LJV31" s="478"/>
      <c r="LJW31" s="478"/>
      <c r="LJX31" s="478"/>
      <c r="LJY31" s="478"/>
      <c r="LJZ31" s="478"/>
      <c r="LKA31" s="478"/>
      <c r="LKB31" s="478"/>
      <c r="LKC31" s="478"/>
      <c r="LKD31" s="478"/>
      <c r="LKE31" s="478"/>
      <c r="LKF31" s="478"/>
      <c r="LKG31" s="478"/>
      <c r="LKH31" s="478"/>
      <c r="LKI31" s="478"/>
      <c r="LKJ31" s="478"/>
      <c r="LKK31" s="478"/>
      <c r="LKL31" s="478"/>
      <c r="LKM31" s="478"/>
      <c r="LKN31" s="478"/>
      <c r="LKO31" s="478"/>
      <c r="LKP31" s="478"/>
      <c r="LKQ31" s="478"/>
      <c r="LKR31" s="478"/>
      <c r="LKS31" s="478"/>
      <c r="LKT31" s="478"/>
      <c r="LKU31" s="478"/>
      <c r="LKV31" s="478"/>
      <c r="LKW31" s="478"/>
      <c r="LKX31" s="478"/>
      <c r="LKY31" s="478"/>
      <c r="LKZ31" s="478"/>
      <c r="LLA31" s="478"/>
      <c r="LLB31" s="478"/>
      <c r="LLC31" s="478"/>
      <c r="LLD31" s="478"/>
      <c r="LLE31" s="478"/>
      <c r="LLF31" s="478"/>
      <c r="LLG31" s="478"/>
      <c r="LLH31" s="478"/>
      <c r="LLI31" s="478"/>
      <c r="LLJ31" s="478"/>
      <c r="LLK31" s="478"/>
      <c r="LLL31" s="478"/>
      <c r="LLM31" s="478"/>
      <c r="LLN31" s="478"/>
      <c r="LLO31" s="478"/>
      <c r="LLP31" s="478"/>
      <c r="LLQ31" s="478"/>
      <c r="LLR31" s="478"/>
      <c r="LLS31" s="478"/>
      <c r="LLT31" s="478"/>
      <c r="LLU31" s="478"/>
      <c r="LLV31" s="478"/>
      <c r="LLW31" s="478"/>
      <c r="LLX31" s="478"/>
      <c r="LLY31" s="478"/>
      <c r="LLZ31" s="478"/>
      <c r="LMA31" s="478"/>
      <c r="LMB31" s="478"/>
      <c r="LMC31" s="478"/>
      <c r="LMD31" s="478"/>
      <c r="LME31" s="478"/>
      <c r="LMF31" s="478"/>
      <c r="LMG31" s="478"/>
      <c r="LMH31" s="478"/>
      <c r="LMI31" s="478"/>
      <c r="LMJ31" s="478"/>
      <c r="LMK31" s="478"/>
      <c r="LML31" s="478"/>
      <c r="LMM31" s="478"/>
      <c r="LMN31" s="478"/>
      <c r="LMO31" s="478"/>
      <c r="LMP31" s="478"/>
      <c r="LMQ31" s="478"/>
      <c r="LMR31" s="478"/>
      <c r="LMS31" s="478"/>
      <c r="LMT31" s="478"/>
      <c r="LMU31" s="478"/>
      <c r="LMV31" s="478"/>
      <c r="LMW31" s="478"/>
      <c r="LMX31" s="478"/>
      <c r="LMY31" s="478"/>
      <c r="LMZ31" s="478"/>
      <c r="LNA31" s="478"/>
      <c r="LNB31" s="478"/>
      <c r="LNC31" s="478"/>
      <c r="LND31" s="478"/>
      <c r="LNE31" s="478"/>
      <c r="LNF31" s="478"/>
      <c r="LNG31" s="478"/>
      <c r="LNH31" s="478"/>
      <c r="LNI31" s="478"/>
      <c r="LNJ31" s="478"/>
      <c r="LNK31" s="478"/>
      <c r="LNL31" s="478"/>
      <c r="LNM31" s="478"/>
      <c r="LNN31" s="478"/>
      <c r="LNO31" s="478"/>
      <c r="LNP31" s="478"/>
      <c r="LNQ31" s="478"/>
      <c r="LNR31" s="478"/>
      <c r="LNS31" s="478"/>
      <c r="LNT31" s="478"/>
      <c r="LNU31" s="478"/>
      <c r="LNV31" s="478"/>
      <c r="LNW31" s="478"/>
      <c r="LNX31" s="478"/>
      <c r="LNY31" s="478"/>
      <c r="LNZ31" s="478"/>
      <c r="LOA31" s="478"/>
      <c r="LOB31" s="478"/>
      <c r="LOC31" s="478"/>
      <c r="LOD31" s="478"/>
      <c r="LOE31" s="478"/>
      <c r="LOF31" s="478"/>
      <c r="LOG31" s="478"/>
      <c r="LOH31" s="478"/>
      <c r="LOI31" s="478"/>
      <c r="LOJ31" s="478"/>
      <c r="LOK31" s="478"/>
      <c r="LOL31" s="478"/>
      <c r="LOM31" s="478"/>
      <c r="LON31" s="478"/>
      <c r="LOO31" s="478"/>
      <c r="LOP31" s="478"/>
      <c r="LOQ31" s="478"/>
      <c r="LOR31" s="478"/>
      <c r="LOS31" s="478"/>
      <c r="LOT31" s="478"/>
      <c r="LOU31" s="478"/>
      <c r="LOV31" s="478"/>
      <c r="LOW31" s="478"/>
      <c r="LOX31" s="478"/>
      <c r="LOY31" s="478"/>
      <c r="LOZ31" s="478"/>
      <c r="LPA31" s="478"/>
      <c r="LPB31" s="478"/>
      <c r="LPC31" s="478"/>
      <c r="LPD31" s="478"/>
      <c r="LPE31" s="478"/>
      <c r="LPF31" s="478"/>
      <c r="LPG31" s="478"/>
      <c r="LPH31" s="478"/>
      <c r="LPI31" s="478"/>
      <c r="LPJ31" s="478"/>
      <c r="LPK31" s="478"/>
      <c r="LPL31" s="478"/>
      <c r="LPM31" s="478"/>
      <c r="LPN31" s="478"/>
      <c r="LPO31" s="478"/>
      <c r="LPP31" s="478"/>
      <c r="LPQ31" s="478"/>
      <c r="LPR31" s="478"/>
      <c r="LPS31" s="478"/>
      <c r="LPT31" s="478"/>
      <c r="LPU31" s="478"/>
      <c r="LPV31" s="478"/>
      <c r="LPW31" s="478"/>
      <c r="LPX31" s="478"/>
      <c r="LPY31" s="478"/>
      <c r="LPZ31" s="478"/>
      <c r="LQA31" s="478"/>
      <c r="LQB31" s="478"/>
      <c r="LQC31" s="478"/>
      <c r="LQD31" s="478"/>
      <c r="LQE31" s="478"/>
      <c r="LQF31" s="478"/>
      <c r="LQG31" s="478"/>
      <c r="LQH31" s="478"/>
      <c r="LQI31" s="478"/>
      <c r="LQJ31" s="478"/>
      <c r="LQK31" s="478"/>
      <c r="LQL31" s="478"/>
      <c r="LQM31" s="478"/>
      <c r="LQN31" s="478"/>
      <c r="LQO31" s="478"/>
      <c r="LQP31" s="478"/>
      <c r="LQQ31" s="478"/>
      <c r="LQR31" s="478"/>
      <c r="LQS31" s="478"/>
      <c r="LQT31" s="478"/>
      <c r="LQU31" s="478"/>
      <c r="LQV31" s="478"/>
      <c r="LQW31" s="478"/>
      <c r="LQX31" s="478"/>
      <c r="LQY31" s="478"/>
      <c r="LQZ31" s="478"/>
      <c r="LRA31" s="478"/>
      <c r="LRB31" s="478"/>
      <c r="LRC31" s="478"/>
      <c r="LRD31" s="478"/>
      <c r="LRE31" s="478"/>
      <c r="LRF31" s="478"/>
      <c r="LRG31" s="478"/>
      <c r="LRH31" s="478"/>
      <c r="LRI31" s="478"/>
      <c r="LRJ31" s="478"/>
      <c r="LRK31" s="478"/>
      <c r="LRL31" s="478"/>
      <c r="LRM31" s="478"/>
      <c r="LRN31" s="478"/>
      <c r="LRO31" s="478"/>
      <c r="LRP31" s="478"/>
      <c r="LRQ31" s="478"/>
      <c r="LRR31" s="478"/>
      <c r="LRS31" s="478"/>
      <c r="LRT31" s="478"/>
      <c r="LRU31" s="478"/>
      <c r="LRV31" s="478"/>
      <c r="LRW31" s="478"/>
      <c r="LRX31" s="478"/>
      <c r="LRY31" s="478"/>
      <c r="LRZ31" s="478"/>
      <c r="LSA31" s="478"/>
      <c r="LSB31" s="478"/>
      <c r="LSC31" s="478"/>
      <c r="LSD31" s="478"/>
      <c r="LSE31" s="478"/>
      <c r="LSF31" s="478"/>
      <c r="LSG31" s="478"/>
      <c r="LSH31" s="478"/>
      <c r="LSI31" s="478"/>
      <c r="LSJ31" s="478"/>
      <c r="LSK31" s="478"/>
      <c r="LSL31" s="478"/>
      <c r="LSM31" s="478"/>
      <c r="LSN31" s="478"/>
      <c r="LSO31" s="478"/>
      <c r="LSP31" s="478"/>
      <c r="LSQ31" s="478"/>
      <c r="LSR31" s="478"/>
      <c r="LSS31" s="478"/>
      <c r="LST31" s="478"/>
      <c r="LSU31" s="478"/>
      <c r="LSV31" s="478"/>
      <c r="LSW31" s="478"/>
      <c r="LSX31" s="478"/>
      <c r="LSY31" s="478"/>
      <c r="LSZ31" s="478"/>
      <c r="LTA31" s="478"/>
      <c r="LTB31" s="478"/>
      <c r="LTC31" s="478"/>
      <c r="LTD31" s="478"/>
      <c r="LTE31" s="478"/>
      <c r="LTF31" s="478"/>
      <c r="LTG31" s="478"/>
      <c r="LTH31" s="478"/>
      <c r="LTI31" s="478"/>
      <c r="LTJ31" s="478"/>
      <c r="LTK31" s="478"/>
      <c r="LTL31" s="478"/>
      <c r="LTM31" s="478"/>
      <c r="LTN31" s="478"/>
      <c r="LTO31" s="478"/>
      <c r="LTP31" s="478"/>
      <c r="LTQ31" s="478"/>
      <c r="LTR31" s="478"/>
      <c r="LTS31" s="478"/>
      <c r="LTT31" s="478"/>
      <c r="LTU31" s="478"/>
      <c r="LTV31" s="478"/>
      <c r="LTW31" s="478"/>
      <c r="LTX31" s="478"/>
      <c r="LTY31" s="478"/>
      <c r="LTZ31" s="478"/>
      <c r="LUA31" s="478"/>
      <c r="LUB31" s="478"/>
      <c r="LUC31" s="478"/>
      <c r="LUD31" s="478"/>
      <c r="LUE31" s="478"/>
      <c r="LUF31" s="478"/>
      <c r="LUG31" s="478"/>
      <c r="LUH31" s="478"/>
      <c r="LUI31" s="478"/>
      <c r="LUJ31" s="478"/>
      <c r="LUK31" s="478"/>
      <c r="LUL31" s="478"/>
      <c r="LUM31" s="478"/>
      <c r="LUN31" s="478"/>
      <c r="LUO31" s="478"/>
      <c r="LUP31" s="478"/>
      <c r="LUQ31" s="478"/>
      <c r="LUR31" s="478"/>
      <c r="LUS31" s="478"/>
      <c r="LUT31" s="478"/>
      <c r="LUU31" s="478"/>
      <c r="LUV31" s="478"/>
      <c r="LUW31" s="478"/>
      <c r="LUX31" s="478"/>
      <c r="LUY31" s="478"/>
      <c r="LUZ31" s="478"/>
      <c r="LVA31" s="478"/>
      <c r="LVB31" s="478"/>
      <c r="LVC31" s="478"/>
      <c r="LVD31" s="478"/>
      <c r="LVE31" s="478"/>
      <c r="LVF31" s="478"/>
      <c r="LVG31" s="478"/>
      <c r="LVH31" s="478"/>
      <c r="LVI31" s="478"/>
      <c r="LVJ31" s="478"/>
      <c r="LVK31" s="478"/>
      <c r="LVL31" s="478"/>
      <c r="LVM31" s="478"/>
      <c r="LVN31" s="478"/>
      <c r="LVO31" s="478"/>
      <c r="LVP31" s="478"/>
      <c r="LVQ31" s="478"/>
      <c r="LVR31" s="478"/>
      <c r="LVS31" s="478"/>
      <c r="LVT31" s="478"/>
      <c r="LVU31" s="478"/>
      <c r="LVV31" s="478"/>
      <c r="LVW31" s="478"/>
      <c r="LVX31" s="478"/>
      <c r="LVY31" s="478"/>
      <c r="LVZ31" s="478"/>
      <c r="LWA31" s="478"/>
      <c r="LWB31" s="478"/>
      <c r="LWC31" s="478"/>
      <c r="LWD31" s="478"/>
      <c r="LWE31" s="478"/>
      <c r="LWF31" s="478"/>
      <c r="LWG31" s="478"/>
      <c r="LWH31" s="478"/>
      <c r="LWI31" s="478"/>
      <c r="LWJ31" s="478"/>
      <c r="LWK31" s="478"/>
      <c r="LWL31" s="478"/>
      <c r="LWM31" s="478"/>
      <c r="LWN31" s="478"/>
      <c r="LWO31" s="478"/>
      <c r="LWP31" s="478"/>
      <c r="LWQ31" s="478"/>
      <c r="LWR31" s="478"/>
      <c r="LWS31" s="478"/>
      <c r="LWT31" s="478"/>
      <c r="LWU31" s="478"/>
      <c r="LWV31" s="478"/>
      <c r="LWW31" s="478"/>
      <c r="LWX31" s="478"/>
      <c r="LWY31" s="478"/>
      <c r="LWZ31" s="478"/>
      <c r="LXA31" s="478"/>
      <c r="LXB31" s="478"/>
      <c r="LXC31" s="478"/>
      <c r="LXD31" s="478"/>
      <c r="LXE31" s="478"/>
      <c r="LXF31" s="478"/>
      <c r="LXG31" s="478"/>
      <c r="LXH31" s="478"/>
      <c r="LXI31" s="478"/>
      <c r="LXJ31" s="478"/>
      <c r="LXK31" s="478"/>
      <c r="LXL31" s="478"/>
      <c r="LXM31" s="478"/>
      <c r="LXN31" s="478"/>
      <c r="LXO31" s="478"/>
      <c r="LXP31" s="478"/>
      <c r="LXQ31" s="478"/>
      <c r="LXR31" s="478"/>
      <c r="LXS31" s="478"/>
      <c r="LXT31" s="478"/>
      <c r="LXU31" s="478"/>
      <c r="LXV31" s="478"/>
      <c r="LXW31" s="478"/>
      <c r="LXX31" s="478"/>
      <c r="LXY31" s="478"/>
      <c r="LXZ31" s="478"/>
      <c r="LYA31" s="478"/>
      <c r="LYB31" s="478"/>
      <c r="LYC31" s="478"/>
      <c r="LYD31" s="478"/>
      <c r="LYE31" s="478"/>
      <c r="LYF31" s="478"/>
      <c r="LYG31" s="478"/>
      <c r="LYH31" s="478"/>
      <c r="LYI31" s="478"/>
      <c r="LYJ31" s="478"/>
      <c r="LYK31" s="478"/>
      <c r="LYL31" s="478"/>
      <c r="LYM31" s="478"/>
      <c r="LYN31" s="478"/>
      <c r="LYO31" s="478"/>
      <c r="LYP31" s="478"/>
      <c r="LYQ31" s="478"/>
      <c r="LYR31" s="478"/>
      <c r="LYS31" s="478"/>
      <c r="LYT31" s="478"/>
      <c r="LYU31" s="478"/>
      <c r="LYV31" s="478"/>
      <c r="LYW31" s="478"/>
      <c r="LYX31" s="478"/>
      <c r="LYY31" s="478"/>
      <c r="LYZ31" s="478"/>
      <c r="LZA31" s="478"/>
      <c r="LZB31" s="478"/>
      <c r="LZC31" s="478"/>
      <c r="LZD31" s="478"/>
      <c r="LZE31" s="478"/>
      <c r="LZF31" s="478"/>
      <c r="LZG31" s="478"/>
      <c r="LZH31" s="478"/>
      <c r="LZI31" s="478"/>
      <c r="LZJ31" s="478"/>
      <c r="LZK31" s="478"/>
      <c r="LZL31" s="478"/>
      <c r="LZM31" s="478"/>
      <c r="LZN31" s="478"/>
      <c r="LZO31" s="478"/>
      <c r="LZP31" s="478"/>
      <c r="LZQ31" s="478"/>
      <c r="LZR31" s="478"/>
      <c r="LZS31" s="478"/>
      <c r="LZT31" s="478"/>
      <c r="LZU31" s="478"/>
      <c r="LZV31" s="478"/>
      <c r="LZW31" s="478"/>
      <c r="LZX31" s="478"/>
      <c r="LZY31" s="478"/>
      <c r="LZZ31" s="478"/>
      <c r="MAA31" s="478"/>
      <c r="MAB31" s="478"/>
      <c r="MAC31" s="478"/>
      <c r="MAD31" s="478"/>
      <c r="MAE31" s="478"/>
      <c r="MAF31" s="478"/>
      <c r="MAG31" s="478"/>
      <c r="MAH31" s="478"/>
      <c r="MAI31" s="478"/>
      <c r="MAJ31" s="478"/>
      <c r="MAK31" s="478"/>
      <c r="MAL31" s="478"/>
      <c r="MAM31" s="478"/>
      <c r="MAN31" s="478"/>
      <c r="MAO31" s="478"/>
      <c r="MAP31" s="478"/>
      <c r="MAQ31" s="478"/>
      <c r="MAR31" s="478"/>
      <c r="MAS31" s="478"/>
      <c r="MAT31" s="478"/>
      <c r="MAU31" s="478"/>
      <c r="MAV31" s="478"/>
      <c r="MAW31" s="478"/>
      <c r="MAX31" s="478"/>
      <c r="MAY31" s="478"/>
      <c r="MAZ31" s="478"/>
      <c r="MBA31" s="478"/>
      <c r="MBB31" s="478"/>
      <c r="MBC31" s="478"/>
      <c r="MBD31" s="478"/>
      <c r="MBE31" s="478"/>
      <c r="MBF31" s="478"/>
      <c r="MBG31" s="478"/>
      <c r="MBH31" s="478"/>
      <c r="MBI31" s="478"/>
      <c r="MBJ31" s="478"/>
      <c r="MBK31" s="478"/>
      <c r="MBL31" s="478"/>
      <c r="MBM31" s="478"/>
      <c r="MBN31" s="478"/>
      <c r="MBO31" s="478"/>
      <c r="MBP31" s="478"/>
      <c r="MBQ31" s="478"/>
      <c r="MBR31" s="478"/>
      <c r="MBS31" s="478"/>
      <c r="MBT31" s="478"/>
      <c r="MBU31" s="478"/>
      <c r="MBV31" s="478"/>
      <c r="MBW31" s="478"/>
      <c r="MBX31" s="478"/>
      <c r="MBY31" s="478"/>
      <c r="MBZ31" s="478"/>
      <c r="MCA31" s="478"/>
      <c r="MCB31" s="478"/>
      <c r="MCC31" s="478"/>
      <c r="MCD31" s="478"/>
      <c r="MCE31" s="478"/>
      <c r="MCF31" s="478"/>
      <c r="MCG31" s="478"/>
      <c r="MCH31" s="478"/>
      <c r="MCI31" s="478"/>
      <c r="MCJ31" s="478"/>
      <c r="MCK31" s="478"/>
      <c r="MCL31" s="478"/>
      <c r="MCM31" s="478"/>
      <c r="MCN31" s="478"/>
      <c r="MCO31" s="478"/>
      <c r="MCP31" s="478"/>
      <c r="MCQ31" s="478"/>
      <c r="MCR31" s="478"/>
      <c r="MCS31" s="478"/>
      <c r="MCT31" s="478"/>
      <c r="MCU31" s="478"/>
      <c r="MCV31" s="478"/>
      <c r="MCW31" s="478"/>
      <c r="MCX31" s="478"/>
      <c r="MCY31" s="478"/>
      <c r="MCZ31" s="478"/>
      <c r="MDA31" s="478"/>
      <c r="MDB31" s="478"/>
      <c r="MDC31" s="478"/>
      <c r="MDD31" s="478"/>
      <c r="MDE31" s="478"/>
      <c r="MDF31" s="478"/>
      <c r="MDG31" s="478"/>
      <c r="MDH31" s="478"/>
      <c r="MDI31" s="478"/>
      <c r="MDJ31" s="478"/>
      <c r="MDK31" s="478"/>
      <c r="MDL31" s="478"/>
      <c r="MDM31" s="478"/>
      <c r="MDN31" s="478"/>
      <c r="MDO31" s="478"/>
      <c r="MDP31" s="478"/>
      <c r="MDQ31" s="478"/>
      <c r="MDR31" s="478"/>
      <c r="MDS31" s="478"/>
      <c r="MDT31" s="478"/>
      <c r="MDU31" s="478"/>
      <c r="MDV31" s="478"/>
      <c r="MDW31" s="478"/>
      <c r="MDX31" s="478"/>
      <c r="MDY31" s="478"/>
      <c r="MDZ31" s="478"/>
      <c r="MEA31" s="478"/>
      <c r="MEB31" s="478"/>
      <c r="MEC31" s="478"/>
      <c r="MED31" s="478"/>
      <c r="MEE31" s="478"/>
      <c r="MEF31" s="478"/>
      <c r="MEG31" s="478"/>
      <c r="MEH31" s="478"/>
      <c r="MEI31" s="478"/>
      <c r="MEJ31" s="478"/>
      <c r="MEK31" s="478"/>
      <c r="MEL31" s="478"/>
      <c r="MEM31" s="478"/>
      <c r="MEN31" s="478"/>
      <c r="MEO31" s="478"/>
      <c r="MEP31" s="478"/>
      <c r="MEQ31" s="478"/>
      <c r="MER31" s="478"/>
      <c r="MES31" s="478"/>
      <c r="MET31" s="478"/>
      <c r="MEU31" s="478"/>
      <c r="MEV31" s="478"/>
      <c r="MEW31" s="478"/>
      <c r="MEX31" s="478"/>
      <c r="MEY31" s="478"/>
      <c r="MEZ31" s="478"/>
      <c r="MFA31" s="478"/>
      <c r="MFB31" s="478"/>
      <c r="MFC31" s="478"/>
      <c r="MFD31" s="478"/>
      <c r="MFE31" s="478"/>
      <c r="MFF31" s="478"/>
      <c r="MFG31" s="478"/>
      <c r="MFH31" s="478"/>
      <c r="MFI31" s="478"/>
      <c r="MFJ31" s="478"/>
      <c r="MFK31" s="478"/>
      <c r="MFL31" s="478"/>
      <c r="MFM31" s="478"/>
      <c r="MFN31" s="478"/>
      <c r="MFO31" s="478"/>
      <c r="MFP31" s="478"/>
      <c r="MFQ31" s="478"/>
      <c r="MFR31" s="478"/>
      <c r="MFS31" s="478"/>
      <c r="MFT31" s="478"/>
      <c r="MFU31" s="478"/>
      <c r="MFV31" s="478"/>
      <c r="MFW31" s="478"/>
      <c r="MFX31" s="478"/>
      <c r="MFY31" s="478"/>
      <c r="MFZ31" s="478"/>
      <c r="MGA31" s="478"/>
      <c r="MGB31" s="478"/>
      <c r="MGC31" s="478"/>
      <c r="MGD31" s="478"/>
      <c r="MGE31" s="478"/>
      <c r="MGF31" s="478"/>
      <c r="MGG31" s="478"/>
      <c r="MGH31" s="478"/>
      <c r="MGI31" s="478"/>
      <c r="MGJ31" s="478"/>
      <c r="MGK31" s="478"/>
      <c r="MGL31" s="478"/>
      <c r="MGM31" s="478"/>
      <c r="MGN31" s="478"/>
      <c r="MGO31" s="478"/>
      <c r="MGP31" s="478"/>
      <c r="MGQ31" s="478"/>
      <c r="MGR31" s="478"/>
      <c r="MGS31" s="478"/>
      <c r="MGT31" s="478"/>
      <c r="MGU31" s="478"/>
      <c r="MGV31" s="478"/>
      <c r="MGW31" s="478"/>
      <c r="MGX31" s="478"/>
      <c r="MGY31" s="478"/>
      <c r="MGZ31" s="478"/>
      <c r="MHA31" s="478"/>
      <c r="MHB31" s="478"/>
      <c r="MHC31" s="478"/>
      <c r="MHD31" s="478"/>
      <c r="MHE31" s="478"/>
      <c r="MHF31" s="478"/>
      <c r="MHG31" s="478"/>
      <c r="MHH31" s="478"/>
      <c r="MHI31" s="478"/>
      <c r="MHJ31" s="478"/>
      <c r="MHK31" s="478"/>
      <c r="MHL31" s="478"/>
      <c r="MHM31" s="478"/>
      <c r="MHN31" s="478"/>
      <c r="MHO31" s="478"/>
      <c r="MHP31" s="478"/>
      <c r="MHQ31" s="478"/>
      <c r="MHR31" s="478"/>
      <c r="MHS31" s="478"/>
      <c r="MHT31" s="478"/>
      <c r="MHU31" s="478"/>
      <c r="MHV31" s="478"/>
      <c r="MHW31" s="478"/>
      <c r="MHX31" s="478"/>
      <c r="MHY31" s="478"/>
      <c r="MHZ31" s="478"/>
      <c r="MIA31" s="478"/>
      <c r="MIB31" s="478"/>
      <c r="MIC31" s="478"/>
      <c r="MID31" s="478"/>
      <c r="MIE31" s="478"/>
      <c r="MIF31" s="478"/>
      <c r="MIG31" s="478"/>
      <c r="MIH31" s="478"/>
      <c r="MII31" s="478"/>
      <c r="MIJ31" s="478"/>
      <c r="MIK31" s="478"/>
      <c r="MIL31" s="478"/>
      <c r="MIM31" s="478"/>
      <c r="MIN31" s="478"/>
      <c r="MIO31" s="478"/>
      <c r="MIP31" s="478"/>
      <c r="MIQ31" s="478"/>
      <c r="MIR31" s="478"/>
      <c r="MIS31" s="478"/>
      <c r="MIT31" s="478"/>
      <c r="MIU31" s="478"/>
      <c r="MIV31" s="478"/>
      <c r="MIW31" s="478"/>
      <c r="MIX31" s="478"/>
      <c r="MIY31" s="478"/>
      <c r="MIZ31" s="478"/>
      <c r="MJA31" s="478"/>
      <c r="MJB31" s="478"/>
      <c r="MJC31" s="478"/>
      <c r="MJD31" s="478"/>
      <c r="MJE31" s="478"/>
      <c r="MJF31" s="478"/>
      <c r="MJG31" s="478"/>
      <c r="MJH31" s="478"/>
      <c r="MJI31" s="478"/>
      <c r="MJJ31" s="478"/>
      <c r="MJK31" s="478"/>
      <c r="MJL31" s="478"/>
      <c r="MJM31" s="478"/>
      <c r="MJN31" s="478"/>
      <c r="MJO31" s="478"/>
      <c r="MJP31" s="478"/>
      <c r="MJQ31" s="478"/>
      <c r="MJR31" s="478"/>
      <c r="MJS31" s="478"/>
      <c r="MJT31" s="478"/>
      <c r="MJU31" s="478"/>
      <c r="MJV31" s="478"/>
      <c r="MJW31" s="478"/>
      <c r="MJX31" s="478"/>
      <c r="MJY31" s="478"/>
      <c r="MJZ31" s="478"/>
      <c r="MKA31" s="478"/>
      <c r="MKB31" s="478"/>
      <c r="MKC31" s="478"/>
      <c r="MKD31" s="478"/>
      <c r="MKE31" s="478"/>
      <c r="MKF31" s="478"/>
      <c r="MKG31" s="478"/>
      <c r="MKH31" s="478"/>
      <c r="MKI31" s="478"/>
      <c r="MKJ31" s="478"/>
      <c r="MKK31" s="478"/>
      <c r="MKL31" s="478"/>
      <c r="MKM31" s="478"/>
      <c r="MKN31" s="478"/>
      <c r="MKO31" s="478"/>
      <c r="MKP31" s="478"/>
      <c r="MKQ31" s="478"/>
      <c r="MKR31" s="478"/>
      <c r="MKS31" s="478"/>
      <c r="MKT31" s="478"/>
      <c r="MKU31" s="478"/>
      <c r="MKV31" s="478"/>
      <c r="MKW31" s="478"/>
      <c r="MKX31" s="478"/>
      <c r="MKY31" s="478"/>
      <c r="MKZ31" s="478"/>
      <c r="MLA31" s="478"/>
      <c r="MLB31" s="478"/>
      <c r="MLC31" s="478"/>
      <c r="MLD31" s="478"/>
      <c r="MLE31" s="478"/>
      <c r="MLF31" s="478"/>
      <c r="MLG31" s="478"/>
      <c r="MLH31" s="478"/>
      <c r="MLI31" s="478"/>
      <c r="MLJ31" s="478"/>
      <c r="MLK31" s="478"/>
      <c r="MLL31" s="478"/>
      <c r="MLM31" s="478"/>
      <c r="MLN31" s="478"/>
      <c r="MLO31" s="478"/>
      <c r="MLP31" s="478"/>
      <c r="MLQ31" s="478"/>
      <c r="MLR31" s="478"/>
      <c r="MLS31" s="478"/>
      <c r="MLT31" s="478"/>
      <c r="MLU31" s="478"/>
      <c r="MLV31" s="478"/>
      <c r="MLW31" s="478"/>
      <c r="MLX31" s="478"/>
      <c r="MLY31" s="478"/>
      <c r="MLZ31" s="478"/>
      <c r="MMA31" s="478"/>
      <c r="MMB31" s="478"/>
      <c r="MMC31" s="478"/>
      <c r="MMD31" s="478"/>
      <c r="MME31" s="478"/>
      <c r="MMF31" s="478"/>
      <c r="MMG31" s="478"/>
      <c r="MMH31" s="478"/>
      <c r="MMI31" s="478"/>
      <c r="MMJ31" s="478"/>
      <c r="MMK31" s="478"/>
      <c r="MML31" s="478"/>
      <c r="MMM31" s="478"/>
      <c r="MMN31" s="478"/>
      <c r="MMO31" s="478"/>
      <c r="MMP31" s="478"/>
      <c r="MMQ31" s="478"/>
      <c r="MMR31" s="478"/>
      <c r="MMS31" s="478"/>
      <c r="MMT31" s="478"/>
      <c r="MMU31" s="478"/>
      <c r="MMV31" s="478"/>
      <c r="MMW31" s="478"/>
      <c r="MMX31" s="478"/>
      <c r="MMY31" s="478"/>
      <c r="MMZ31" s="478"/>
      <c r="MNA31" s="478"/>
      <c r="MNB31" s="478"/>
      <c r="MNC31" s="478"/>
      <c r="MND31" s="478"/>
      <c r="MNE31" s="478"/>
      <c r="MNF31" s="478"/>
      <c r="MNG31" s="478"/>
      <c r="MNH31" s="478"/>
      <c r="MNI31" s="478"/>
      <c r="MNJ31" s="478"/>
      <c r="MNK31" s="478"/>
      <c r="MNL31" s="478"/>
      <c r="MNM31" s="478"/>
      <c r="MNN31" s="478"/>
      <c r="MNO31" s="478"/>
      <c r="MNP31" s="478"/>
      <c r="MNQ31" s="478"/>
      <c r="MNR31" s="478"/>
      <c r="MNS31" s="478"/>
      <c r="MNT31" s="478"/>
      <c r="MNU31" s="478"/>
      <c r="MNV31" s="478"/>
      <c r="MNW31" s="478"/>
      <c r="MNX31" s="478"/>
      <c r="MNY31" s="478"/>
      <c r="MNZ31" s="478"/>
      <c r="MOA31" s="478"/>
      <c r="MOB31" s="478"/>
      <c r="MOC31" s="478"/>
      <c r="MOD31" s="478"/>
      <c r="MOE31" s="478"/>
      <c r="MOF31" s="478"/>
      <c r="MOG31" s="478"/>
      <c r="MOH31" s="478"/>
      <c r="MOI31" s="478"/>
      <c r="MOJ31" s="478"/>
      <c r="MOK31" s="478"/>
      <c r="MOL31" s="478"/>
      <c r="MOM31" s="478"/>
      <c r="MON31" s="478"/>
      <c r="MOO31" s="478"/>
      <c r="MOP31" s="478"/>
      <c r="MOQ31" s="478"/>
      <c r="MOR31" s="478"/>
      <c r="MOS31" s="478"/>
      <c r="MOT31" s="478"/>
      <c r="MOU31" s="478"/>
      <c r="MOV31" s="478"/>
      <c r="MOW31" s="478"/>
      <c r="MOX31" s="478"/>
      <c r="MOY31" s="478"/>
      <c r="MOZ31" s="478"/>
      <c r="MPA31" s="478"/>
      <c r="MPB31" s="478"/>
      <c r="MPC31" s="478"/>
      <c r="MPD31" s="478"/>
      <c r="MPE31" s="478"/>
      <c r="MPF31" s="478"/>
      <c r="MPG31" s="478"/>
      <c r="MPH31" s="478"/>
      <c r="MPI31" s="478"/>
      <c r="MPJ31" s="478"/>
      <c r="MPK31" s="478"/>
      <c r="MPL31" s="478"/>
      <c r="MPM31" s="478"/>
      <c r="MPN31" s="478"/>
      <c r="MPO31" s="478"/>
      <c r="MPP31" s="478"/>
      <c r="MPQ31" s="478"/>
      <c r="MPR31" s="478"/>
      <c r="MPS31" s="478"/>
      <c r="MPT31" s="478"/>
      <c r="MPU31" s="478"/>
      <c r="MPV31" s="478"/>
      <c r="MPW31" s="478"/>
      <c r="MPX31" s="478"/>
      <c r="MPY31" s="478"/>
      <c r="MPZ31" s="478"/>
      <c r="MQA31" s="478"/>
      <c r="MQB31" s="478"/>
      <c r="MQC31" s="478"/>
      <c r="MQD31" s="478"/>
      <c r="MQE31" s="478"/>
      <c r="MQF31" s="478"/>
      <c r="MQG31" s="478"/>
      <c r="MQH31" s="478"/>
      <c r="MQI31" s="478"/>
      <c r="MQJ31" s="478"/>
      <c r="MQK31" s="478"/>
      <c r="MQL31" s="478"/>
      <c r="MQM31" s="478"/>
      <c r="MQN31" s="478"/>
      <c r="MQO31" s="478"/>
      <c r="MQP31" s="478"/>
      <c r="MQQ31" s="478"/>
      <c r="MQR31" s="478"/>
      <c r="MQS31" s="478"/>
      <c r="MQT31" s="478"/>
      <c r="MQU31" s="478"/>
      <c r="MQV31" s="478"/>
      <c r="MQW31" s="478"/>
      <c r="MQX31" s="478"/>
      <c r="MQY31" s="478"/>
      <c r="MQZ31" s="478"/>
      <c r="MRA31" s="478"/>
      <c r="MRB31" s="478"/>
      <c r="MRC31" s="478"/>
      <c r="MRD31" s="478"/>
      <c r="MRE31" s="478"/>
      <c r="MRF31" s="478"/>
      <c r="MRG31" s="478"/>
      <c r="MRH31" s="478"/>
      <c r="MRI31" s="478"/>
      <c r="MRJ31" s="478"/>
      <c r="MRK31" s="478"/>
      <c r="MRL31" s="478"/>
      <c r="MRM31" s="478"/>
      <c r="MRN31" s="478"/>
      <c r="MRO31" s="478"/>
      <c r="MRP31" s="478"/>
      <c r="MRQ31" s="478"/>
      <c r="MRR31" s="478"/>
      <c r="MRS31" s="478"/>
      <c r="MRT31" s="478"/>
      <c r="MRU31" s="478"/>
      <c r="MRV31" s="478"/>
      <c r="MRW31" s="478"/>
      <c r="MRX31" s="478"/>
      <c r="MRY31" s="478"/>
      <c r="MRZ31" s="478"/>
      <c r="MSA31" s="478"/>
      <c r="MSB31" s="478"/>
      <c r="MSC31" s="478"/>
      <c r="MSD31" s="478"/>
      <c r="MSE31" s="478"/>
      <c r="MSF31" s="478"/>
      <c r="MSG31" s="478"/>
      <c r="MSH31" s="478"/>
      <c r="MSI31" s="478"/>
      <c r="MSJ31" s="478"/>
      <c r="MSK31" s="478"/>
      <c r="MSL31" s="478"/>
      <c r="MSM31" s="478"/>
      <c r="MSN31" s="478"/>
      <c r="MSO31" s="478"/>
      <c r="MSP31" s="478"/>
      <c r="MSQ31" s="478"/>
      <c r="MSR31" s="478"/>
      <c r="MSS31" s="478"/>
      <c r="MST31" s="478"/>
      <c r="MSU31" s="478"/>
      <c r="MSV31" s="478"/>
      <c r="MSW31" s="478"/>
      <c r="MSX31" s="478"/>
      <c r="MSY31" s="478"/>
      <c r="MSZ31" s="478"/>
      <c r="MTA31" s="478"/>
      <c r="MTB31" s="478"/>
      <c r="MTC31" s="478"/>
      <c r="MTD31" s="478"/>
      <c r="MTE31" s="478"/>
      <c r="MTF31" s="478"/>
      <c r="MTG31" s="478"/>
      <c r="MTH31" s="478"/>
      <c r="MTI31" s="478"/>
      <c r="MTJ31" s="478"/>
      <c r="MTK31" s="478"/>
      <c r="MTL31" s="478"/>
      <c r="MTM31" s="478"/>
      <c r="MTN31" s="478"/>
      <c r="MTO31" s="478"/>
      <c r="MTP31" s="478"/>
      <c r="MTQ31" s="478"/>
      <c r="MTR31" s="478"/>
      <c r="MTS31" s="478"/>
      <c r="MTT31" s="478"/>
      <c r="MTU31" s="478"/>
      <c r="MTV31" s="478"/>
      <c r="MTW31" s="478"/>
      <c r="MTX31" s="478"/>
      <c r="MTY31" s="478"/>
      <c r="MTZ31" s="478"/>
      <c r="MUA31" s="478"/>
      <c r="MUB31" s="478"/>
      <c r="MUC31" s="478"/>
      <c r="MUD31" s="478"/>
      <c r="MUE31" s="478"/>
      <c r="MUF31" s="478"/>
      <c r="MUG31" s="478"/>
      <c r="MUH31" s="478"/>
      <c r="MUI31" s="478"/>
      <c r="MUJ31" s="478"/>
      <c r="MUK31" s="478"/>
      <c r="MUL31" s="478"/>
      <c r="MUM31" s="478"/>
      <c r="MUN31" s="478"/>
      <c r="MUO31" s="478"/>
      <c r="MUP31" s="478"/>
      <c r="MUQ31" s="478"/>
      <c r="MUR31" s="478"/>
      <c r="MUS31" s="478"/>
      <c r="MUT31" s="478"/>
      <c r="MUU31" s="478"/>
      <c r="MUV31" s="478"/>
      <c r="MUW31" s="478"/>
      <c r="MUX31" s="478"/>
      <c r="MUY31" s="478"/>
      <c r="MUZ31" s="478"/>
      <c r="MVA31" s="478"/>
      <c r="MVB31" s="478"/>
      <c r="MVC31" s="478"/>
      <c r="MVD31" s="478"/>
      <c r="MVE31" s="478"/>
      <c r="MVF31" s="478"/>
      <c r="MVG31" s="478"/>
      <c r="MVH31" s="478"/>
      <c r="MVI31" s="478"/>
      <c r="MVJ31" s="478"/>
      <c r="MVK31" s="478"/>
      <c r="MVL31" s="478"/>
      <c r="MVM31" s="478"/>
      <c r="MVN31" s="478"/>
      <c r="MVO31" s="478"/>
      <c r="MVP31" s="478"/>
      <c r="MVQ31" s="478"/>
      <c r="MVR31" s="478"/>
      <c r="MVS31" s="478"/>
      <c r="MVT31" s="478"/>
      <c r="MVU31" s="478"/>
      <c r="MVV31" s="478"/>
      <c r="MVW31" s="478"/>
      <c r="MVX31" s="478"/>
      <c r="MVY31" s="478"/>
      <c r="MVZ31" s="478"/>
      <c r="MWA31" s="478"/>
      <c r="MWB31" s="478"/>
      <c r="MWC31" s="478"/>
      <c r="MWD31" s="478"/>
      <c r="MWE31" s="478"/>
      <c r="MWF31" s="478"/>
      <c r="MWG31" s="478"/>
      <c r="MWH31" s="478"/>
      <c r="MWI31" s="478"/>
      <c r="MWJ31" s="478"/>
      <c r="MWK31" s="478"/>
      <c r="MWL31" s="478"/>
      <c r="MWM31" s="478"/>
      <c r="MWN31" s="478"/>
      <c r="MWO31" s="478"/>
      <c r="MWP31" s="478"/>
      <c r="MWQ31" s="478"/>
      <c r="MWR31" s="478"/>
      <c r="MWS31" s="478"/>
      <c r="MWT31" s="478"/>
      <c r="MWU31" s="478"/>
      <c r="MWV31" s="478"/>
      <c r="MWW31" s="478"/>
      <c r="MWX31" s="478"/>
      <c r="MWY31" s="478"/>
      <c r="MWZ31" s="478"/>
      <c r="MXA31" s="478"/>
      <c r="MXB31" s="478"/>
      <c r="MXC31" s="478"/>
      <c r="MXD31" s="478"/>
      <c r="MXE31" s="478"/>
      <c r="MXF31" s="478"/>
      <c r="MXG31" s="478"/>
      <c r="MXH31" s="478"/>
      <c r="MXI31" s="478"/>
      <c r="MXJ31" s="478"/>
      <c r="MXK31" s="478"/>
      <c r="MXL31" s="478"/>
      <c r="MXM31" s="478"/>
      <c r="MXN31" s="478"/>
      <c r="MXO31" s="478"/>
      <c r="MXP31" s="478"/>
      <c r="MXQ31" s="478"/>
      <c r="MXR31" s="478"/>
      <c r="MXS31" s="478"/>
      <c r="MXT31" s="478"/>
      <c r="MXU31" s="478"/>
      <c r="MXV31" s="478"/>
      <c r="MXW31" s="478"/>
      <c r="MXX31" s="478"/>
      <c r="MXY31" s="478"/>
      <c r="MXZ31" s="478"/>
      <c r="MYA31" s="478"/>
      <c r="MYB31" s="478"/>
      <c r="MYC31" s="478"/>
      <c r="MYD31" s="478"/>
      <c r="MYE31" s="478"/>
      <c r="MYF31" s="478"/>
      <c r="MYG31" s="478"/>
      <c r="MYH31" s="478"/>
      <c r="MYI31" s="478"/>
      <c r="MYJ31" s="478"/>
      <c r="MYK31" s="478"/>
      <c r="MYL31" s="478"/>
      <c r="MYM31" s="478"/>
      <c r="MYN31" s="478"/>
      <c r="MYO31" s="478"/>
      <c r="MYP31" s="478"/>
      <c r="MYQ31" s="478"/>
      <c r="MYR31" s="478"/>
      <c r="MYS31" s="478"/>
      <c r="MYT31" s="478"/>
      <c r="MYU31" s="478"/>
      <c r="MYV31" s="478"/>
      <c r="MYW31" s="478"/>
      <c r="MYX31" s="478"/>
      <c r="MYY31" s="478"/>
      <c r="MYZ31" s="478"/>
      <c r="MZA31" s="478"/>
      <c r="MZB31" s="478"/>
      <c r="MZC31" s="478"/>
      <c r="MZD31" s="478"/>
      <c r="MZE31" s="478"/>
      <c r="MZF31" s="478"/>
      <c r="MZG31" s="478"/>
      <c r="MZH31" s="478"/>
      <c r="MZI31" s="478"/>
      <c r="MZJ31" s="478"/>
      <c r="MZK31" s="478"/>
      <c r="MZL31" s="478"/>
      <c r="MZM31" s="478"/>
      <c r="MZN31" s="478"/>
      <c r="MZO31" s="478"/>
      <c r="MZP31" s="478"/>
      <c r="MZQ31" s="478"/>
      <c r="MZR31" s="478"/>
      <c r="MZS31" s="478"/>
      <c r="MZT31" s="478"/>
      <c r="MZU31" s="478"/>
      <c r="MZV31" s="478"/>
      <c r="MZW31" s="478"/>
      <c r="MZX31" s="478"/>
      <c r="MZY31" s="478"/>
      <c r="MZZ31" s="478"/>
      <c r="NAA31" s="478"/>
      <c r="NAB31" s="478"/>
      <c r="NAC31" s="478"/>
      <c r="NAD31" s="478"/>
      <c r="NAE31" s="478"/>
      <c r="NAF31" s="478"/>
      <c r="NAG31" s="478"/>
      <c r="NAH31" s="478"/>
      <c r="NAI31" s="478"/>
      <c r="NAJ31" s="478"/>
      <c r="NAK31" s="478"/>
      <c r="NAL31" s="478"/>
      <c r="NAM31" s="478"/>
      <c r="NAN31" s="478"/>
      <c r="NAO31" s="478"/>
      <c r="NAP31" s="478"/>
      <c r="NAQ31" s="478"/>
      <c r="NAR31" s="478"/>
      <c r="NAS31" s="478"/>
      <c r="NAT31" s="478"/>
      <c r="NAU31" s="478"/>
      <c r="NAV31" s="478"/>
      <c r="NAW31" s="478"/>
      <c r="NAX31" s="478"/>
      <c r="NAY31" s="478"/>
      <c r="NAZ31" s="478"/>
      <c r="NBA31" s="478"/>
      <c r="NBB31" s="478"/>
      <c r="NBC31" s="478"/>
      <c r="NBD31" s="478"/>
      <c r="NBE31" s="478"/>
      <c r="NBF31" s="478"/>
      <c r="NBG31" s="478"/>
      <c r="NBH31" s="478"/>
      <c r="NBI31" s="478"/>
      <c r="NBJ31" s="478"/>
      <c r="NBK31" s="478"/>
      <c r="NBL31" s="478"/>
      <c r="NBM31" s="478"/>
      <c r="NBN31" s="478"/>
      <c r="NBO31" s="478"/>
      <c r="NBP31" s="478"/>
      <c r="NBQ31" s="478"/>
      <c r="NBR31" s="478"/>
      <c r="NBS31" s="478"/>
      <c r="NBT31" s="478"/>
      <c r="NBU31" s="478"/>
      <c r="NBV31" s="478"/>
      <c r="NBW31" s="478"/>
      <c r="NBX31" s="478"/>
      <c r="NBY31" s="478"/>
      <c r="NBZ31" s="478"/>
      <c r="NCA31" s="478"/>
      <c r="NCB31" s="478"/>
      <c r="NCC31" s="478"/>
      <c r="NCD31" s="478"/>
      <c r="NCE31" s="478"/>
      <c r="NCF31" s="478"/>
      <c r="NCG31" s="478"/>
      <c r="NCH31" s="478"/>
      <c r="NCI31" s="478"/>
      <c r="NCJ31" s="478"/>
      <c r="NCK31" s="478"/>
      <c r="NCL31" s="478"/>
      <c r="NCM31" s="478"/>
      <c r="NCN31" s="478"/>
      <c r="NCO31" s="478"/>
      <c r="NCP31" s="478"/>
      <c r="NCQ31" s="478"/>
      <c r="NCR31" s="478"/>
      <c r="NCS31" s="478"/>
      <c r="NCT31" s="478"/>
      <c r="NCU31" s="478"/>
      <c r="NCV31" s="478"/>
      <c r="NCW31" s="478"/>
      <c r="NCX31" s="478"/>
      <c r="NCY31" s="478"/>
      <c r="NCZ31" s="478"/>
      <c r="NDA31" s="478"/>
      <c r="NDB31" s="478"/>
      <c r="NDC31" s="478"/>
      <c r="NDD31" s="478"/>
      <c r="NDE31" s="478"/>
      <c r="NDF31" s="478"/>
      <c r="NDG31" s="478"/>
      <c r="NDH31" s="478"/>
      <c r="NDI31" s="478"/>
      <c r="NDJ31" s="478"/>
      <c r="NDK31" s="478"/>
      <c r="NDL31" s="478"/>
      <c r="NDM31" s="478"/>
      <c r="NDN31" s="478"/>
      <c r="NDO31" s="478"/>
      <c r="NDP31" s="478"/>
      <c r="NDQ31" s="478"/>
      <c r="NDR31" s="478"/>
      <c r="NDS31" s="478"/>
      <c r="NDT31" s="478"/>
      <c r="NDU31" s="478"/>
      <c r="NDV31" s="478"/>
      <c r="NDW31" s="478"/>
      <c r="NDX31" s="478"/>
      <c r="NDY31" s="478"/>
      <c r="NDZ31" s="478"/>
      <c r="NEA31" s="478"/>
      <c r="NEB31" s="478"/>
      <c r="NEC31" s="478"/>
      <c r="NED31" s="478"/>
      <c r="NEE31" s="478"/>
      <c r="NEF31" s="478"/>
      <c r="NEG31" s="478"/>
      <c r="NEH31" s="478"/>
      <c r="NEI31" s="478"/>
      <c r="NEJ31" s="478"/>
      <c r="NEK31" s="478"/>
      <c r="NEL31" s="478"/>
      <c r="NEM31" s="478"/>
      <c r="NEN31" s="478"/>
      <c r="NEO31" s="478"/>
      <c r="NEP31" s="478"/>
      <c r="NEQ31" s="478"/>
      <c r="NER31" s="478"/>
      <c r="NES31" s="478"/>
      <c r="NET31" s="478"/>
      <c r="NEU31" s="478"/>
      <c r="NEV31" s="478"/>
      <c r="NEW31" s="478"/>
      <c r="NEX31" s="478"/>
      <c r="NEY31" s="478"/>
      <c r="NEZ31" s="478"/>
      <c r="NFA31" s="478"/>
      <c r="NFB31" s="478"/>
      <c r="NFC31" s="478"/>
      <c r="NFD31" s="478"/>
      <c r="NFE31" s="478"/>
      <c r="NFF31" s="478"/>
      <c r="NFG31" s="478"/>
      <c r="NFH31" s="478"/>
      <c r="NFI31" s="478"/>
      <c r="NFJ31" s="478"/>
      <c r="NFK31" s="478"/>
      <c r="NFL31" s="478"/>
      <c r="NFM31" s="478"/>
      <c r="NFN31" s="478"/>
      <c r="NFO31" s="478"/>
      <c r="NFP31" s="478"/>
      <c r="NFQ31" s="478"/>
      <c r="NFR31" s="478"/>
      <c r="NFS31" s="478"/>
      <c r="NFT31" s="478"/>
      <c r="NFU31" s="478"/>
      <c r="NFV31" s="478"/>
      <c r="NFW31" s="478"/>
      <c r="NFX31" s="478"/>
      <c r="NFY31" s="478"/>
      <c r="NFZ31" s="478"/>
      <c r="NGA31" s="478"/>
      <c r="NGB31" s="478"/>
      <c r="NGC31" s="478"/>
      <c r="NGD31" s="478"/>
      <c r="NGE31" s="478"/>
      <c r="NGF31" s="478"/>
      <c r="NGG31" s="478"/>
      <c r="NGH31" s="478"/>
      <c r="NGI31" s="478"/>
      <c r="NGJ31" s="478"/>
      <c r="NGK31" s="478"/>
      <c r="NGL31" s="478"/>
      <c r="NGM31" s="478"/>
      <c r="NGN31" s="478"/>
      <c r="NGO31" s="478"/>
      <c r="NGP31" s="478"/>
      <c r="NGQ31" s="478"/>
      <c r="NGR31" s="478"/>
      <c r="NGS31" s="478"/>
      <c r="NGT31" s="478"/>
      <c r="NGU31" s="478"/>
      <c r="NGV31" s="478"/>
      <c r="NGW31" s="478"/>
      <c r="NGX31" s="478"/>
      <c r="NGY31" s="478"/>
      <c r="NGZ31" s="478"/>
      <c r="NHA31" s="478"/>
      <c r="NHB31" s="478"/>
      <c r="NHC31" s="478"/>
      <c r="NHD31" s="478"/>
      <c r="NHE31" s="478"/>
      <c r="NHF31" s="478"/>
      <c r="NHG31" s="478"/>
      <c r="NHH31" s="478"/>
      <c r="NHI31" s="478"/>
      <c r="NHJ31" s="478"/>
      <c r="NHK31" s="478"/>
      <c r="NHL31" s="478"/>
      <c r="NHM31" s="478"/>
      <c r="NHN31" s="478"/>
      <c r="NHO31" s="478"/>
      <c r="NHP31" s="478"/>
      <c r="NHQ31" s="478"/>
      <c r="NHR31" s="478"/>
      <c r="NHS31" s="478"/>
      <c r="NHT31" s="478"/>
      <c r="NHU31" s="478"/>
      <c r="NHV31" s="478"/>
      <c r="NHW31" s="478"/>
      <c r="NHX31" s="478"/>
      <c r="NHY31" s="478"/>
      <c r="NHZ31" s="478"/>
      <c r="NIA31" s="478"/>
      <c r="NIB31" s="478"/>
      <c r="NIC31" s="478"/>
      <c r="NID31" s="478"/>
      <c r="NIE31" s="478"/>
      <c r="NIF31" s="478"/>
      <c r="NIG31" s="478"/>
      <c r="NIH31" s="478"/>
      <c r="NII31" s="478"/>
      <c r="NIJ31" s="478"/>
      <c r="NIK31" s="478"/>
      <c r="NIL31" s="478"/>
      <c r="NIM31" s="478"/>
      <c r="NIN31" s="478"/>
      <c r="NIO31" s="478"/>
      <c r="NIP31" s="478"/>
      <c r="NIQ31" s="478"/>
      <c r="NIR31" s="478"/>
      <c r="NIS31" s="478"/>
      <c r="NIT31" s="478"/>
      <c r="NIU31" s="478"/>
      <c r="NIV31" s="478"/>
      <c r="NIW31" s="478"/>
      <c r="NIX31" s="478"/>
      <c r="NIY31" s="478"/>
      <c r="NIZ31" s="478"/>
      <c r="NJA31" s="478"/>
      <c r="NJB31" s="478"/>
      <c r="NJC31" s="478"/>
      <c r="NJD31" s="478"/>
      <c r="NJE31" s="478"/>
      <c r="NJF31" s="478"/>
      <c r="NJG31" s="478"/>
      <c r="NJH31" s="478"/>
      <c r="NJI31" s="478"/>
      <c r="NJJ31" s="478"/>
      <c r="NJK31" s="478"/>
      <c r="NJL31" s="478"/>
      <c r="NJM31" s="478"/>
      <c r="NJN31" s="478"/>
      <c r="NJO31" s="478"/>
      <c r="NJP31" s="478"/>
      <c r="NJQ31" s="478"/>
      <c r="NJR31" s="478"/>
      <c r="NJS31" s="478"/>
      <c r="NJT31" s="478"/>
      <c r="NJU31" s="478"/>
      <c r="NJV31" s="478"/>
      <c r="NJW31" s="478"/>
      <c r="NJX31" s="478"/>
      <c r="NJY31" s="478"/>
      <c r="NJZ31" s="478"/>
      <c r="NKA31" s="478"/>
      <c r="NKB31" s="478"/>
      <c r="NKC31" s="478"/>
      <c r="NKD31" s="478"/>
      <c r="NKE31" s="478"/>
      <c r="NKF31" s="478"/>
      <c r="NKG31" s="478"/>
      <c r="NKH31" s="478"/>
      <c r="NKI31" s="478"/>
      <c r="NKJ31" s="478"/>
      <c r="NKK31" s="478"/>
      <c r="NKL31" s="478"/>
      <c r="NKM31" s="478"/>
      <c r="NKN31" s="478"/>
      <c r="NKO31" s="478"/>
      <c r="NKP31" s="478"/>
      <c r="NKQ31" s="478"/>
      <c r="NKR31" s="478"/>
      <c r="NKS31" s="478"/>
      <c r="NKT31" s="478"/>
      <c r="NKU31" s="478"/>
      <c r="NKV31" s="478"/>
      <c r="NKW31" s="478"/>
      <c r="NKX31" s="478"/>
      <c r="NKY31" s="478"/>
      <c r="NKZ31" s="478"/>
      <c r="NLA31" s="478"/>
      <c r="NLB31" s="478"/>
      <c r="NLC31" s="478"/>
      <c r="NLD31" s="478"/>
      <c r="NLE31" s="478"/>
      <c r="NLF31" s="478"/>
      <c r="NLG31" s="478"/>
      <c r="NLH31" s="478"/>
      <c r="NLI31" s="478"/>
      <c r="NLJ31" s="478"/>
      <c r="NLK31" s="478"/>
      <c r="NLL31" s="478"/>
      <c r="NLM31" s="478"/>
      <c r="NLN31" s="478"/>
      <c r="NLO31" s="478"/>
      <c r="NLP31" s="478"/>
      <c r="NLQ31" s="478"/>
      <c r="NLR31" s="478"/>
      <c r="NLS31" s="478"/>
      <c r="NLT31" s="478"/>
      <c r="NLU31" s="478"/>
      <c r="NLV31" s="478"/>
      <c r="NLW31" s="478"/>
      <c r="NLX31" s="478"/>
      <c r="NLY31" s="478"/>
      <c r="NLZ31" s="478"/>
      <c r="NMA31" s="478"/>
      <c r="NMB31" s="478"/>
      <c r="NMC31" s="478"/>
      <c r="NMD31" s="478"/>
      <c r="NME31" s="478"/>
      <c r="NMF31" s="478"/>
      <c r="NMG31" s="478"/>
      <c r="NMH31" s="478"/>
      <c r="NMI31" s="478"/>
      <c r="NMJ31" s="478"/>
      <c r="NMK31" s="478"/>
      <c r="NML31" s="478"/>
      <c r="NMM31" s="478"/>
      <c r="NMN31" s="478"/>
      <c r="NMO31" s="478"/>
      <c r="NMP31" s="478"/>
      <c r="NMQ31" s="478"/>
      <c r="NMR31" s="478"/>
      <c r="NMS31" s="478"/>
      <c r="NMT31" s="478"/>
      <c r="NMU31" s="478"/>
      <c r="NMV31" s="478"/>
      <c r="NMW31" s="478"/>
      <c r="NMX31" s="478"/>
      <c r="NMY31" s="478"/>
      <c r="NMZ31" s="478"/>
      <c r="NNA31" s="478"/>
      <c r="NNB31" s="478"/>
      <c r="NNC31" s="478"/>
      <c r="NND31" s="478"/>
      <c r="NNE31" s="478"/>
      <c r="NNF31" s="478"/>
      <c r="NNG31" s="478"/>
      <c r="NNH31" s="478"/>
      <c r="NNI31" s="478"/>
      <c r="NNJ31" s="478"/>
      <c r="NNK31" s="478"/>
      <c r="NNL31" s="478"/>
      <c r="NNM31" s="478"/>
      <c r="NNN31" s="478"/>
      <c r="NNO31" s="478"/>
      <c r="NNP31" s="478"/>
      <c r="NNQ31" s="478"/>
      <c r="NNR31" s="478"/>
      <c r="NNS31" s="478"/>
      <c r="NNT31" s="478"/>
      <c r="NNU31" s="478"/>
      <c r="NNV31" s="478"/>
      <c r="NNW31" s="478"/>
      <c r="NNX31" s="478"/>
      <c r="NNY31" s="478"/>
      <c r="NNZ31" s="478"/>
      <c r="NOA31" s="478"/>
      <c r="NOB31" s="478"/>
      <c r="NOC31" s="478"/>
      <c r="NOD31" s="478"/>
      <c r="NOE31" s="478"/>
      <c r="NOF31" s="478"/>
      <c r="NOG31" s="478"/>
      <c r="NOH31" s="478"/>
      <c r="NOI31" s="478"/>
      <c r="NOJ31" s="478"/>
      <c r="NOK31" s="478"/>
      <c r="NOL31" s="478"/>
      <c r="NOM31" s="478"/>
      <c r="NON31" s="478"/>
      <c r="NOO31" s="478"/>
      <c r="NOP31" s="478"/>
      <c r="NOQ31" s="478"/>
      <c r="NOR31" s="478"/>
      <c r="NOS31" s="478"/>
      <c r="NOT31" s="478"/>
      <c r="NOU31" s="478"/>
      <c r="NOV31" s="478"/>
      <c r="NOW31" s="478"/>
      <c r="NOX31" s="478"/>
      <c r="NOY31" s="478"/>
      <c r="NOZ31" s="478"/>
      <c r="NPA31" s="478"/>
      <c r="NPB31" s="478"/>
      <c r="NPC31" s="478"/>
      <c r="NPD31" s="478"/>
      <c r="NPE31" s="478"/>
      <c r="NPF31" s="478"/>
      <c r="NPG31" s="478"/>
      <c r="NPH31" s="478"/>
      <c r="NPI31" s="478"/>
      <c r="NPJ31" s="478"/>
      <c r="NPK31" s="478"/>
      <c r="NPL31" s="478"/>
      <c r="NPM31" s="478"/>
      <c r="NPN31" s="478"/>
      <c r="NPO31" s="478"/>
      <c r="NPP31" s="478"/>
      <c r="NPQ31" s="478"/>
      <c r="NPR31" s="478"/>
      <c r="NPS31" s="478"/>
      <c r="NPT31" s="478"/>
      <c r="NPU31" s="478"/>
      <c r="NPV31" s="478"/>
      <c r="NPW31" s="478"/>
      <c r="NPX31" s="478"/>
      <c r="NPY31" s="478"/>
      <c r="NPZ31" s="478"/>
      <c r="NQA31" s="478"/>
      <c r="NQB31" s="478"/>
      <c r="NQC31" s="478"/>
      <c r="NQD31" s="478"/>
      <c r="NQE31" s="478"/>
      <c r="NQF31" s="478"/>
      <c r="NQG31" s="478"/>
      <c r="NQH31" s="478"/>
      <c r="NQI31" s="478"/>
      <c r="NQJ31" s="478"/>
      <c r="NQK31" s="478"/>
      <c r="NQL31" s="478"/>
      <c r="NQM31" s="478"/>
      <c r="NQN31" s="478"/>
      <c r="NQO31" s="478"/>
      <c r="NQP31" s="478"/>
      <c r="NQQ31" s="478"/>
      <c r="NQR31" s="478"/>
      <c r="NQS31" s="478"/>
      <c r="NQT31" s="478"/>
      <c r="NQU31" s="478"/>
      <c r="NQV31" s="478"/>
      <c r="NQW31" s="478"/>
      <c r="NQX31" s="478"/>
      <c r="NQY31" s="478"/>
      <c r="NQZ31" s="478"/>
      <c r="NRA31" s="478"/>
      <c r="NRB31" s="478"/>
      <c r="NRC31" s="478"/>
      <c r="NRD31" s="478"/>
      <c r="NRE31" s="478"/>
      <c r="NRF31" s="478"/>
      <c r="NRG31" s="478"/>
      <c r="NRH31" s="478"/>
      <c r="NRI31" s="478"/>
      <c r="NRJ31" s="478"/>
      <c r="NRK31" s="478"/>
      <c r="NRL31" s="478"/>
      <c r="NRM31" s="478"/>
      <c r="NRN31" s="478"/>
      <c r="NRO31" s="478"/>
      <c r="NRP31" s="478"/>
      <c r="NRQ31" s="478"/>
      <c r="NRR31" s="478"/>
      <c r="NRS31" s="478"/>
      <c r="NRT31" s="478"/>
      <c r="NRU31" s="478"/>
      <c r="NRV31" s="478"/>
      <c r="NRW31" s="478"/>
      <c r="NRX31" s="478"/>
      <c r="NRY31" s="478"/>
      <c r="NRZ31" s="478"/>
      <c r="NSA31" s="478"/>
      <c r="NSB31" s="478"/>
      <c r="NSC31" s="478"/>
      <c r="NSD31" s="478"/>
      <c r="NSE31" s="478"/>
      <c r="NSF31" s="478"/>
      <c r="NSG31" s="478"/>
      <c r="NSH31" s="478"/>
      <c r="NSI31" s="478"/>
      <c r="NSJ31" s="478"/>
      <c r="NSK31" s="478"/>
      <c r="NSL31" s="478"/>
      <c r="NSM31" s="478"/>
      <c r="NSN31" s="478"/>
      <c r="NSO31" s="478"/>
      <c r="NSP31" s="478"/>
      <c r="NSQ31" s="478"/>
      <c r="NSR31" s="478"/>
      <c r="NSS31" s="478"/>
      <c r="NST31" s="478"/>
      <c r="NSU31" s="478"/>
      <c r="NSV31" s="478"/>
      <c r="NSW31" s="478"/>
      <c r="NSX31" s="478"/>
      <c r="NSY31" s="478"/>
      <c r="NSZ31" s="478"/>
      <c r="NTA31" s="478"/>
      <c r="NTB31" s="478"/>
      <c r="NTC31" s="478"/>
      <c r="NTD31" s="478"/>
      <c r="NTE31" s="478"/>
      <c r="NTF31" s="478"/>
      <c r="NTG31" s="478"/>
      <c r="NTH31" s="478"/>
      <c r="NTI31" s="478"/>
      <c r="NTJ31" s="478"/>
      <c r="NTK31" s="478"/>
      <c r="NTL31" s="478"/>
      <c r="NTM31" s="478"/>
      <c r="NTN31" s="478"/>
      <c r="NTO31" s="478"/>
      <c r="NTP31" s="478"/>
      <c r="NTQ31" s="478"/>
      <c r="NTR31" s="478"/>
      <c r="NTS31" s="478"/>
      <c r="NTT31" s="478"/>
      <c r="NTU31" s="478"/>
      <c r="NTV31" s="478"/>
      <c r="NTW31" s="478"/>
      <c r="NTX31" s="478"/>
      <c r="NTY31" s="478"/>
      <c r="NTZ31" s="478"/>
      <c r="NUA31" s="478"/>
      <c r="NUB31" s="478"/>
      <c r="NUC31" s="478"/>
      <c r="NUD31" s="478"/>
      <c r="NUE31" s="478"/>
      <c r="NUF31" s="478"/>
      <c r="NUG31" s="478"/>
      <c r="NUH31" s="478"/>
      <c r="NUI31" s="478"/>
      <c r="NUJ31" s="478"/>
      <c r="NUK31" s="478"/>
      <c r="NUL31" s="478"/>
      <c r="NUM31" s="478"/>
      <c r="NUN31" s="478"/>
      <c r="NUO31" s="478"/>
      <c r="NUP31" s="478"/>
      <c r="NUQ31" s="478"/>
      <c r="NUR31" s="478"/>
      <c r="NUS31" s="478"/>
      <c r="NUT31" s="478"/>
      <c r="NUU31" s="478"/>
      <c r="NUV31" s="478"/>
      <c r="NUW31" s="478"/>
      <c r="NUX31" s="478"/>
      <c r="NUY31" s="478"/>
      <c r="NUZ31" s="478"/>
      <c r="NVA31" s="478"/>
      <c r="NVB31" s="478"/>
      <c r="NVC31" s="478"/>
      <c r="NVD31" s="478"/>
      <c r="NVE31" s="478"/>
      <c r="NVF31" s="478"/>
      <c r="NVG31" s="478"/>
      <c r="NVH31" s="478"/>
      <c r="NVI31" s="478"/>
      <c r="NVJ31" s="478"/>
      <c r="NVK31" s="478"/>
      <c r="NVL31" s="478"/>
      <c r="NVM31" s="478"/>
      <c r="NVN31" s="478"/>
      <c r="NVO31" s="478"/>
      <c r="NVP31" s="478"/>
      <c r="NVQ31" s="478"/>
      <c r="NVR31" s="478"/>
      <c r="NVS31" s="478"/>
      <c r="NVT31" s="478"/>
      <c r="NVU31" s="478"/>
      <c r="NVV31" s="478"/>
      <c r="NVW31" s="478"/>
      <c r="NVX31" s="478"/>
      <c r="NVY31" s="478"/>
      <c r="NVZ31" s="478"/>
      <c r="NWA31" s="478"/>
      <c r="NWB31" s="478"/>
      <c r="NWC31" s="478"/>
      <c r="NWD31" s="478"/>
      <c r="NWE31" s="478"/>
      <c r="NWF31" s="478"/>
      <c r="NWG31" s="478"/>
      <c r="NWH31" s="478"/>
      <c r="NWI31" s="478"/>
      <c r="NWJ31" s="478"/>
      <c r="NWK31" s="478"/>
      <c r="NWL31" s="478"/>
      <c r="NWM31" s="478"/>
      <c r="NWN31" s="478"/>
      <c r="NWO31" s="478"/>
      <c r="NWP31" s="478"/>
      <c r="NWQ31" s="478"/>
      <c r="NWR31" s="478"/>
      <c r="NWS31" s="478"/>
      <c r="NWT31" s="478"/>
      <c r="NWU31" s="478"/>
      <c r="NWV31" s="478"/>
      <c r="NWW31" s="478"/>
      <c r="NWX31" s="478"/>
      <c r="NWY31" s="478"/>
      <c r="NWZ31" s="478"/>
      <c r="NXA31" s="478"/>
      <c r="NXB31" s="478"/>
      <c r="NXC31" s="478"/>
      <c r="NXD31" s="478"/>
      <c r="NXE31" s="478"/>
      <c r="NXF31" s="478"/>
      <c r="NXG31" s="478"/>
      <c r="NXH31" s="478"/>
      <c r="NXI31" s="478"/>
      <c r="NXJ31" s="478"/>
      <c r="NXK31" s="478"/>
      <c r="NXL31" s="478"/>
      <c r="NXM31" s="478"/>
      <c r="NXN31" s="478"/>
      <c r="NXO31" s="478"/>
      <c r="NXP31" s="478"/>
      <c r="NXQ31" s="478"/>
      <c r="NXR31" s="478"/>
      <c r="NXS31" s="478"/>
      <c r="NXT31" s="478"/>
      <c r="NXU31" s="478"/>
      <c r="NXV31" s="478"/>
      <c r="NXW31" s="478"/>
      <c r="NXX31" s="478"/>
      <c r="NXY31" s="478"/>
      <c r="NXZ31" s="478"/>
      <c r="NYA31" s="478"/>
      <c r="NYB31" s="478"/>
      <c r="NYC31" s="478"/>
      <c r="NYD31" s="478"/>
      <c r="NYE31" s="478"/>
      <c r="NYF31" s="478"/>
      <c r="NYG31" s="478"/>
      <c r="NYH31" s="478"/>
      <c r="NYI31" s="478"/>
      <c r="NYJ31" s="478"/>
      <c r="NYK31" s="478"/>
      <c r="NYL31" s="478"/>
      <c r="NYM31" s="478"/>
      <c r="NYN31" s="478"/>
      <c r="NYO31" s="478"/>
      <c r="NYP31" s="478"/>
      <c r="NYQ31" s="478"/>
      <c r="NYR31" s="478"/>
      <c r="NYS31" s="478"/>
      <c r="NYT31" s="478"/>
      <c r="NYU31" s="478"/>
      <c r="NYV31" s="478"/>
      <c r="NYW31" s="478"/>
      <c r="NYX31" s="478"/>
      <c r="NYY31" s="478"/>
      <c r="NYZ31" s="478"/>
      <c r="NZA31" s="478"/>
      <c r="NZB31" s="478"/>
      <c r="NZC31" s="478"/>
      <c r="NZD31" s="478"/>
      <c r="NZE31" s="478"/>
      <c r="NZF31" s="478"/>
      <c r="NZG31" s="478"/>
      <c r="NZH31" s="478"/>
      <c r="NZI31" s="478"/>
      <c r="NZJ31" s="478"/>
      <c r="NZK31" s="478"/>
      <c r="NZL31" s="478"/>
      <c r="NZM31" s="478"/>
      <c r="NZN31" s="478"/>
      <c r="NZO31" s="478"/>
      <c r="NZP31" s="478"/>
      <c r="NZQ31" s="478"/>
      <c r="NZR31" s="478"/>
      <c r="NZS31" s="478"/>
      <c r="NZT31" s="478"/>
      <c r="NZU31" s="478"/>
      <c r="NZV31" s="478"/>
      <c r="NZW31" s="478"/>
      <c r="NZX31" s="478"/>
      <c r="NZY31" s="478"/>
      <c r="NZZ31" s="478"/>
      <c r="OAA31" s="478"/>
      <c r="OAB31" s="478"/>
      <c r="OAC31" s="478"/>
      <c r="OAD31" s="478"/>
      <c r="OAE31" s="478"/>
      <c r="OAF31" s="478"/>
      <c r="OAG31" s="478"/>
      <c r="OAH31" s="478"/>
      <c r="OAI31" s="478"/>
      <c r="OAJ31" s="478"/>
      <c r="OAK31" s="478"/>
      <c r="OAL31" s="478"/>
      <c r="OAM31" s="478"/>
      <c r="OAN31" s="478"/>
      <c r="OAO31" s="478"/>
      <c r="OAP31" s="478"/>
      <c r="OAQ31" s="478"/>
      <c r="OAR31" s="478"/>
      <c r="OAS31" s="478"/>
      <c r="OAT31" s="478"/>
      <c r="OAU31" s="478"/>
      <c r="OAV31" s="478"/>
      <c r="OAW31" s="478"/>
      <c r="OAX31" s="478"/>
      <c r="OAY31" s="478"/>
      <c r="OAZ31" s="478"/>
      <c r="OBA31" s="478"/>
      <c r="OBB31" s="478"/>
      <c r="OBC31" s="478"/>
      <c r="OBD31" s="478"/>
      <c r="OBE31" s="478"/>
      <c r="OBF31" s="478"/>
      <c r="OBG31" s="478"/>
      <c r="OBH31" s="478"/>
      <c r="OBI31" s="478"/>
      <c r="OBJ31" s="478"/>
      <c r="OBK31" s="478"/>
      <c r="OBL31" s="478"/>
      <c r="OBM31" s="478"/>
      <c r="OBN31" s="478"/>
      <c r="OBO31" s="478"/>
      <c r="OBP31" s="478"/>
      <c r="OBQ31" s="478"/>
      <c r="OBR31" s="478"/>
      <c r="OBS31" s="478"/>
      <c r="OBT31" s="478"/>
      <c r="OBU31" s="478"/>
      <c r="OBV31" s="478"/>
      <c r="OBW31" s="478"/>
      <c r="OBX31" s="478"/>
      <c r="OBY31" s="478"/>
      <c r="OBZ31" s="478"/>
      <c r="OCA31" s="478"/>
      <c r="OCB31" s="478"/>
      <c r="OCC31" s="478"/>
      <c r="OCD31" s="478"/>
      <c r="OCE31" s="478"/>
      <c r="OCF31" s="478"/>
      <c r="OCG31" s="478"/>
      <c r="OCH31" s="478"/>
      <c r="OCI31" s="478"/>
      <c r="OCJ31" s="478"/>
      <c r="OCK31" s="478"/>
      <c r="OCL31" s="478"/>
      <c r="OCM31" s="478"/>
      <c r="OCN31" s="478"/>
      <c r="OCO31" s="478"/>
      <c r="OCP31" s="478"/>
      <c r="OCQ31" s="478"/>
      <c r="OCR31" s="478"/>
      <c r="OCS31" s="478"/>
      <c r="OCT31" s="478"/>
      <c r="OCU31" s="478"/>
      <c r="OCV31" s="478"/>
      <c r="OCW31" s="478"/>
      <c r="OCX31" s="478"/>
      <c r="OCY31" s="478"/>
      <c r="OCZ31" s="478"/>
      <c r="ODA31" s="478"/>
      <c r="ODB31" s="478"/>
      <c r="ODC31" s="478"/>
      <c r="ODD31" s="478"/>
      <c r="ODE31" s="478"/>
      <c r="ODF31" s="478"/>
      <c r="ODG31" s="478"/>
      <c r="ODH31" s="478"/>
      <c r="ODI31" s="478"/>
      <c r="ODJ31" s="478"/>
      <c r="ODK31" s="478"/>
      <c r="ODL31" s="478"/>
      <c r="ODM31" s="478"/>
      <c r="ODN31" s="478"/>
      <c r="ODO31" s="478"/>
      <c r="ODP31" s="478"/>
      <c r="ODQ31" s="478"/>
      <c r="ODR31" s="478"/>
      <c r="ODS31" s="478"/>
      <c r="ODT31" s="478"/>
      <c r="ODU31" s="478"/>
      <c r="ODV31" s="478"/>
      <c r="ODW31" s="478"/>
      <c r="ODX31" s="478"/>
      <c r="ODY31" s="478"/>
      <c r="ODZ31" s="478"/>
      <c r="OEA31" s="478"/>
      <c r="OEB31" s="478"/>
      <c r="OEC31" s="478"/>
      <c r="OED31" s="478"/>
      <c r="OEE31" s="478"/>
      <c r="OEF31" s="478"/>
      <c r="OEG31" s="478"/>
      <c r="OEH31" s="478"/>
      <c r="OEI31" s="478"/>
      <c r="OEJ31" s="478"/>
      <c r="OEK31" s="478"/>
      <c r="OEL31" s="478"/>
      <c r="OEM31" s="478"/>
      <c r="OEN31" s="478"/>
      <c r="OEO31" s="478"/>
      <c r="OEP31" s="478"/>
      <c r="OEQ31" s="478"/>
      <c r="OER31" s="478"/>
      <c r="OES31" s="478"/>
      <c r="OET31" s="478"/>
      <c r="OEU31" s="478"/>
      <c r="OEV31" s="478"/>
      <c r="OEW31" s="478"/>
      <c r="OEX31" s="478"/>
      <c r="OEY31" s="478"/>
      <c r="OEZ31" s="478"/>
      <c r="OFA31" s="478"/>
      <c r="OFB31" s="478"/>
      <c r="OFC31" s="478"/>
      <c r="OFD31" s="478"/>
      <c r="OFE31" s="478"/>
      <c r="OFF31" s="478"/>
      <c r="OFG31" s="478"/>
      <c r="OFH31" s="478"/>
      <c r="OFI31" s="478"/>
      <c r="OFJ31" s="478"/>
      <c r="OFK31" s="478"/>
      <c r="OFL31" s="478"/>
      <c r="OFM31" s="478"/>
      <c r="OFN31" s="478"/>
      <c r="OFO31" s="478"/>
      <c r="OFP31" s="478"/>
      <c r="OFQ31" s="478"/>
      <c r="OFR31" s="478"/>
      <c r="OFS31" s="478"/>
      <c r="OFT31" s="478"/>
      <c r="OFU31" s="478"/>
      <c r="OFV31" s="478"/>
      <c r="OFW31" s="478"/>
      <c r="OFX31" s="478"/>
      <c r="OFY31" s="478"/>
      <c r="OFZ31" s="478"/>
      <c r="OGA31" s="478"/>
      <c r="OGB31" s="478"/>
      <c r="OGC31" s="478"/>
      <c r="OGD31" s="478"/>
      <c r="OGE31" s="478"/>
      <c r="OGF31" s="478"/>
      <c r="OGG31" s="478"/>
      <c r="OGH31" s="478"/>
      <c r="OGI31" s="478"/>
      <c r="OGJ31" s="478"/>
      <c r="OGK31" s="478"/>
      <c r="OGL31" s="478"/>
      <c r="OGM31" s="478"/>
      <c r="OGN31" s="478"/>
      <c r="OGO31" s="478"/>
      <c r="OGP31" s="478"/>
      <c r="OGQ31" s="478"/>
      <c r="OGR31" s="478"/>
      <c r="OGS31" s="478"/>
      <c r="OGT31" s="478"/>
      <c r="OGU31" s="478"/>
      <c r="OGV31" s="478"/>
      <c r="OGW31" s="478"/>
      <c r="OGX31" s="478"/>
      <c r="OGY31" s="478"/>
      <c r="OGZ31" s="478"/>
      <c r="OHA31" s="478"/>
      <c r="OHB31" s="478"/>
      <c r="OHC31" s="478"/>
      <c r="OHD31" s="478"/>
      <c r="OHE31" s="478"/>
      <c r="OHF31" s="478"/>
      <c r="OHG31" s="478"/>
      <c r="OHH31" s="478"/>
      <c r="OHI31" s="478"/>
      <c r="OHJ31" s="478"/>
      <c r="OHK31" s="478"/>
      <c r="OHL31" s="478"/>
      <c r="OHM31" s="478"/>
      <c r="OHN31" s="478"/>
      <c r="OHO31" s="478"/>
      <c r="OHP31" s="478"/>
      <c r="OHQ31" s="478"/>
      <c r="OHR31" s="478"/>
      <c r="OHS31" s="478"/>
      <c r="OHT31" s="478"/>
      <c r="OHU31" s="478"/>
      <c r="OHV31" s="478"/>
      <c r="OHW31" s="478"/>
      <c r="OHX31" s="478"/>
      <c r="OHY31" s="478"/>
      <c r="OHZ31" s="478"/>
      <c r="OIA31" s="478"/>
      <c r="OIB31" s="478"/>
      <c r="OIC31" s="478"/>
      <c r="OID31" s="478"/>
      <c r="OIE31" s="478"/>
      <c r="OIF31" s="478"/>
      <c r="OIG31" s="478"/>
      <c r="OIH31" s="478"/>
      <c r="OII31" s="478"/>
      <c r="OIJ31" s="478"/>
      <c r="OIK31" s="478"/>
      <c r="OIL31" s="478"/>
      <c r="OIM31" s="478"/>
      <c r="OIN31" s="478"/>
      <c r="OIO31" s="478"/>
      <c r="OIP31" s="478"/>
      <c r="OIQ31" s="478"/>
      <c r="OIR31" s="478"/>
      <c r="OIS31" s="478"/>
      <c r="OIT31" s="478"/>
      <c r="OIU31" s="478"/>
      <c r="OIV31" s="478"/>
      <c r="OIW31" s="478"/>
      <c r="OIX31" s="478"/>
      <c r="OIY31" s="478"/>
      <c r="OIZ31" s="478"/>
      <c r="OJA31" s="478"/>
      <c r="OJB31" s="478"/>
      <c r="OJC31" s="478"/>
      <c r="OJD31" s="478"/>
      <c r="OJE31" s="478"/>
      <c r="OJF31" s="478"/>
      <c r="OJG31" s="478"/>
      <c r="OJH31" s="478"/>
      <c r="OJI31" s="478"/>
      <c r="OJJ31" s="478"/>
      <c r="OJK31" s="478"/>
      <c r="OJL31" s="478"/>
      <c r="OJM31" s="478"/>
      <c r="OJN31" s="478"/>
      <c r="OJO31" s="478"/>
      <c r="OJP31" s="478"/>
      <c r="OJQ31" s="478"/>
      <c r="OJR31" s="478"/>
      <c r="OJS31" s="478"/>
      <c r="OJT31" s="478"/>
      <c r="OJU31" s="478"/>
      <c r="OJV31" s="478"/>
      <c r="OJW31" s="478"/>
      <c r="OJX31" s="478"/>
      <c r="OJY31" s="478"/>
      <c r="OJZ31" s="478"/>
      <c r="OKA31" s="478"/>
      <c r="OKB31" s="478"/>
      <c r="OKC31" s="478"/>
      <c r="OKD31" s="478"/>
      <c r="OKE31" s="478"/>
      <c r="OKF31" s="478"/>
      <c r="OKG31" s="478"/>
      <c r="OKH31" s="478"/>
      <c r="OKI31" s="478"/>
      <c r="OKJ31" s="478"/>
      <c r="OKK31" s="478"/>
      <c r="OKL31" s="478"/>
      <c r="OKM31" s="478"/>
      <c r="OKN31" s="478"/>
      <c r="OKO31" s="478"/>
      <c r="OKP31" s="478"/>
      <c r="OKQ31" s="478"/>
      <c r="OKR31" s="478"/>
      <c r="OKS31" s="478"/>
      <c r="OKT31" s="478"/>
      <c r="OKU31" s="478"/>
      <c r="OKV31" s="478"/>
      <c r="OKW31" s="478"/>
      <c r="OKX31" s="478"/>
      <c r="OKY31" s="478"/>
      <c r="OKZ31" s="478"/>
      <c r="OLA31" s="478"/>
      <c r="OLB31" s="478"/>
      <c r="OLC31" s="478"/>
      <c r="OLD31" s="478"/>
      <c r="OLE31" s="478"/>
      <c r="OLF31" s="478"/>
      <c r="OLG31" s="478"/>
      <c r="OLH31" s="478"/>
      <c r="OLI31" s="478"/>
      <c r="OLJ31" s="478"/>
      <c r="OLK31" s="478"/>
      <c r="OLL31" s="478"/>
      <c r="OLM31" s="478"/>
      <c r="OLN31" s="478"/>
      <c r="OLO31" s="478"/>
      <c r="OLP31" s="478"/>
      <c r="OLQ31" s="478"/>
      <c r="OLR31" s="478"/>
      <c r="OLS31" s="478"/>
      <c r="OLT31" s="478"/>
      <c r="OLU31" s="478"/>
      <c r="OLV31" s="478"/>
      <c r="OLW31" s="478"/>
      <c r="OLX31" s="478"/>
      <c r="OLY31" s="478"/>
      <c r="OLZ31" s="478"/>
      <c r="OMA31" s="478"/>
      <c r="OMB31" s="478"/>
      <c r="OMC31" s="478"/>
      <c r="OMD31" s="478"/>
      <c r="OME31" s="478"/>
      <c r="OMF31" s="478"/>
      <c r="OMG31" s="478"/>
      <c r="OMH31" s="478"/>
      <c r="OMI31" s="478"/>
      <c r="OMJ31" s="478"/>
      <c r="OMK31" s="478"/>
      <c r="OML31" s="478"/>
      <c r="OMM31" s="478"/>
      <c r="OMN31" s="478"/>
      <c r="OMO31" s="478"/>
      <c r="OMP31" s="478"/>
      <c r="OMQ31" s="478"/>
      <c r="OMR31" s="478"/>
      <c r="OMS31" s="478"/>
      <c r="OMT31" s="478"/>
      <c r="OMU31" s="478"/>
      <c r="OMV31" s="478"/>
      <c r="OMW31" s="478"/>
      <c r="OMX31" s="478"/>
      <c r="OMY31" s="478"/>
      <c r="OMZ31" s="478"/>
      <c r="ONA31" s="478"/>
      <c r="ONB31" s="478"/>
      <c r="ONC31" s="478"/>
      <c r="OND31" s="478"/>
      <c r="ONE31" s="478"/>
      <c r="ONF31" s="478"/>
      <c r="ONG31" s="478"/>
      <c r="ONH31" s="478"/>
      <c r="ONI31" s="478"/>
      <c r="ONJ31" s="478"/>
      <c r="ONK31" s="478"/>
      <c r="ONL31" s="478"/>
      <c r="ONM31" s="478"/>
      <c r="ONN31" s="478"/>
      <c r="ONO31" s="478"/>
      <c r="ONP31" s="478"/>
      <c r="ONQ31" s="478"/>
      <c r="ONR31" s="478"/>
      <c r="ONS31" s="478"/>
      <c r="ONT31" s="478"/>
      <c r="ONU31" s="478"/>
      <c r="ONV31" s="478"/>
      <c r="ONW31" s="478"/>
      <c r="ONX31" s="478"/>
      <c r="ONY31" s="478"/>
      <c r="ONZ31" s="478"/>
      <c r="OOA31" s="478"/>
      <c r="OOB31" s="478"/>
      <c r="OOC31" s="478"/>
      <c r="OOD31" s="478"/>
      <c r="OOE31" s="478"/>
      <c r="OOF31" s="478"/>
      <c r="OOG31" s="478"/>
      <c r="OOH31" s="478"/>
      <c r="OOI31" s="478"/>
      <c r="OOJ31" s="478"/>
      <c r="OOK31" s="478"/>
      <c r="OOL31" s="478"/>
      <c r="OOM31" s="478"/>
      <c r="OON31" s="478"/>
      <c r="OOO31" s="478"/>
      <c r="OOP31" s="478"/>
      <c r="OOQ31" s="478"/>
      <c r="OOR31" s="478"/>
      <c r="OOS31" s="478"/>
      <c r="OOT31" s="478"/>
      <c r="OOU31" s="478"/>
      <c r="OOV31" s="478"/>
      <c r="OOW31" s="478"/>
      <c r="OOX31" s="478"/>
      <c r="OOY31" s="478"/>
      <c r="OOZ31" s="478"/>
      <c r="OPA31" s="478"/>
      <c r="OPB31" s="478"/>
      <c r="OPC31" s="478"/>
      <c r="OPD31" s="478"/>
      <c r="OPE31" s="478"/>
      <c r="OPF31" s="478"/>
      <c r="OPG31" s="478"/>
      <c r="OPH31" s="478"/>
      <c r="OPI31" s="478"/>
      <c r="OPJ31" s="478"/>
      <c r="OPK31" s="478"/>
      <c r="OPL31" s="478"/>
      <c r="OPM31" s="478"/>
      <c r="OPN31" s="478"/>
      <c r="OPO31" s="478"/>
      <c r="OPP31" s="478"/>
      <c r="OPQ31" s="478"/>
      <c r="OPR31" s="478"/>
      <c r="OPS31" s="478"/>
      <c r="OPT31" s="478"/>
      <c r="OPU31" s="478"/>
      <c r="OPV31" s="478"/>
      <c r="OPW31" s="478"/>
      <c r="OPX31" s="478"/>
      <c r="OPY31" s="478"/>
      <c r="OPZ31" s="478"/>
      <c r="OQA31" s="478"/>
      <c r="OQB31" s="478"/>
      <c r="OQC31" s="478"/>
      <c r="OQD31" s="478"/>
      <c r="OQE31" s="478"/>
      <c r="OQF31" s="478"/>
      <c r="OQG31" s="478"/>
      <c r="OQH31" s="478"/>
      <c r="OQI31" s="478"/>
      <c r="OQJ31" s="478"/>
      <c r="OQK31" s="478"/>
      <c r="OQL31" s="478"/>
      <c r="OQM31" s="478"/>
      <c r="OQN31" s="478"/>
      <c r="OQO31" s="478"/>
      <c r="OQP31" s="478"/>
      <c r="OQQ31" s="478"/>
      <c r="OQR31" s="478"/>
      <c r="OQS31" s="478"/>
      <c r="OQT31" s="478"/>
      <c r="OQU31" s="478"/>
      <c r="OQV31" s="478"/>
      <c r="OQW31" s="478"/>
      <c r="OQX31" s="478"/>
      <c r="OQY31" s="478"/>
      <c r="OQZ31" s="478"/>
      <c r="ORA31" s="478"/>
      <c r="ORB31" s="478"/>
      <c r="ORC31" s="478"/>
      <c r="ORD31" s="478"/>
      <c r="ORE31" s="478"/>
      <c r="ORF31" s="478"/>
      <c r="ORG31" s="478"/>
      <c r="ORH31" s="478"/>
      <c r="ORI31" s="478"/>
      <c r="ORJ31" s="478"/>
      <c r="ORK31" s="478"/>
      <c r="ORL31" s="478"/>
      <c r="ORM31" s="478"/>
      <c r="ORN31" s="478"/>
      <c r="ORO31" s="478"/>
      <c r="ORP31" s="478"/>
      <c r="ORQ31" s="478"/>
      <c r="ORR31" s="478"/>
      <c r="ORS31" s="478"/>
      <c r="ORT31" s="478"/>
      <c r="ORU31" s="478"/>
      <c r="ORV31" s="478"/>
      <c r="ORW31" s="478"/>
      <c r="ORX31" s="478"/>
      <c r="ORY31" s="478"/>
      <c r="ORZ31" s="478"/>
      <c r="OSA31" s="478"/>
      <c r="OSB31" s="478"/>
      <c r="OSC31" s="478"/>
      <c r="OSD31" s="478"/>
      <c r="OSE31" s="478"/>
      <c r="OSF31" s="478"/>
      <c r="OSG31" s="478"/>
      <c r="OSH31" s="478"/>
      <c r="OSI31" s="478"/>
      <c r="OSJ31" s="478"/>
      <c r="OSK31" s="478"/>
      <c r="OSL31" s="478"/>
      <c r="OSM31" s="478"/>
      <c r="OSN31" s="478"/>
      <c r="OSO31" s="478"/>
      <c r="OSP31" s="478"/>
      <c r="OSQ31" s="478"/>
      <c r="OSR31" s="478"/>
      <c r="OSS31" s="478"/>
      <c r="OST31" s="478"/>
      <c r="OSU31" s="478"/>
      <c r="OSV31" s="478"/>
      <c r="OSW31" s="478"/>
      <c r="OSX31" s="478"/>
      <c r="OSY31" s="478"/>
      <c r="OSZ31" s="478"/>
      <c r="OTA31" s="478"/>
      <c r="OTB31" s="478"/>
      <c r="OTC31" s="478"/>
      <c r="OTD31" s="478"/>
      <c r="OTE31" s="478"/>
      <c r="OTF31" s="478"/>
      <c r="OTG31" s="478"/>
      <c r="OTH31" s="478"/>
      <c r="OTI31" s="478"/>
      <c r="OTJ31" s="478"/>
      <c r="OTK31" s="478"/>
      <c r="OTL31" s="478"/>
      <c r="OTM31" s="478"/>
      <c r="OTN31" s="478"/>
      <c r="OTO31" s="478"/>
      <c r="OTP31" s="478"/>
      <c r="OTQ31" s="478"/>
      <c r="OTR31" s="478"/>
      <c r="OTS31" s="478"/>
      <c r="OTT31" s="478"/>
      <c r="OTU31" s="478"/>
      <c r="OTV31" s="478"/>
      <c r="OTW31" s="478"/>
      <c r="OTX31" s="478"/>
      <c r="OTY31" s="478"/>
      <c r="OTZ31" s="478"/>
      <c r="OUA31" s="478"/>
      <c r="OUB31" s="478"/>
      <c r="OUC31" s="478"/>
      <c r="OUD31" s="478"/>
      <c r="OUE31" s="478"/>
      <c r="OUF31" s="478"/>
      <c r="OUG31" s="478"/>
      <c r="OUH31" s="478"/>
      <c r="OUI31" s="478"/>
      <c r="OUJ31" s="478"/>
      <c r="OUK31" s="478"/>
      <c r="OUL31" s="478"/>
      <c r="OUM31" s="478"/>
      <c r="OUN31" s="478"/>
      <c r="OUO31" s="478"/>
      <c r="OUP31" s="478"/>
      <c r="OUQ31" s="478"/>
      <c r="OUR31" s="478"/>
      <c r="OUS31" s="478"/>
      <c r="OUT31" s="478"/>
      <c r="OUU31" s="478"/>
      <c r="OUV31" s="478"/>
      <c r="OUW31" s="478"/>
      <c r="OUX31" s="478"/>
      <c r="OUY31" s="478"/>
      <c r="OUZ31" s="478"/>
      <c r="OVA31" s="478"/>
      <c r="OVB31" s="478"/>
      <c r="OVC31" s="478"/>
      <c r="OVD31" s="478"/>
      <c r="OVE31" s="478"/>
      <c r="OVF31" s="478"/>
      <c r="OVG31" s="478"/>
      <c r="OVH31" s="478"/>
      <c r="OVI31" s="478"/>
      <c r="OVJ31" s="478"/>
      <c r="OVK31" s="478"/>
      <c r="OVL31" s="478"/>
      <c r="OVM31" s="478"/>
      <c r="OVN31" s="478"/>
      <c r="OVO31" s="478"/>
      <c r="OVP31" s="478"/>
      <c r="OVQ31" s="478"/>
      <c r="OVR31" s="478"/>
      <c r="OVS31" s="478"/>
      <c r="OVT31" s="478"/>
      <c r="OVU31" s="478"/>
      <c r="OVV31" s="478"/>
      <c r="OVW31" s="478"/>
      <c r="OVX31" s="478"/>
      <c r="OVY31" s="478"/>
      <c r="OVZ31" s="478"/>
      <c r="OWA31" s="478"/>
      <c r="OWB31" s="478"/>
      <c r="OWC31" s="478"/>
      <c r="OWD31" s="478"/>
      <c r="OWE31" s="478"/>
      <c r="OWF31" s="478"/>
      <c r="OWG31" s="478"/>
      <c r="OWH31" s="478"/>
      <c r="OWI31" s="478"/>
      <c r="OWJ31" s="478"/>
      <c r="OWK31" s="478"/>
      <c r="OWL31" s="478"/>
      <c r="OWM31" s="478"/>
      <c r="OWN31" s="478"/>
      <c r="OWO31" s="478"/>
      <c r="OWP31" s="478"/>
      <c r="OWQ31" s="478"/>
      <c r="OWR31" s="478"/>
      <c r="OWS31" s="478"/>
      <c r="OWT31" s="478"/>
      <c r="OWU31" s="478"/>
      <c r="OWV31" s="478"/>
      <c r="OWW31" s="478"/>
      <c r="OWX31" s="478"/>
      <c r="OWY31" s="478"/>
      <c r="OWZ31" s="478"/>
      <c r="OXA31" s="478"/>
      <c r="OXB31" s="478"/>
      <c r="OXC31" s="478"/>
      <c r="OXD31" s="478"/>
      <c r="OXE31" s="478"/>
      <c r="OXF31" s="478"/>
      <c r="OXG31" s="478"/>
      <c r="OXH31" s="478"/>
      <c r="OXI31" s="478"/>
      <c r="OXJ31" s="478"/>
      <c r="OXK31" s="478"/>
      <c r="OXL31" s="478"/>
      <c r="OXM31" s="478"/>
      <c r="OXN31" s="478"/>
      <c r="OXO31" s="478"/>
      <c r="OXP31" s="478"/>
      <c r="OXQ31" s="478"/>
      <c r="OXR31" s="478"/>
      <c r="OXS31" s="478"/>
      <c r="OXT31" s="478"/>
      <c r="OXU31" s="478"/>
      <c r="OXV31" s="478"/>
      <c r="OXW31" s="478"/>
      <c r="OXX31" s="478"/>
      <c r="OXY31" s="478"/>
      <c r="OXZ31" s="478"/>
      <c r="OYA31" s="478"/>
      <c r="OYB31" s="478"/>
      <c r="OYC31" s="478"/>
      <c r="OYD31" s="478"/>
      <c r="OYE31" s="478"/>
      <c r="OYF31" s="478"/>
      <c r="OYG31" s="478"/>
      <c r="OYH31" s="478"/>
      <c r="OYI31" s="478"/>
      <c r="OYJ31" s="478"/>
      <c r="OYK31" s="478"/>
      <c r="OYL31" s="478"/>
      <c r="OYM31" s="478"/>
      <c r="OYN31" s="478"/>
      <c r="OYO31" s="478"/>
      <c r="OYP31" s="478"/>
      <c r="OYQ31" s="478"/>
      <c r="OYR31" s="478"/>
      <c r="OYS31" s="478"/>
      <c r="OYT31" s="478"/>
      <c r="OYU31" s="478"/>
      <c r="OYV31" s="478"/>
      <c r="OYW31" s="478"/>
      <c r="OYX31" s="478"/>
      <c r="OYY31" s="478"/>
      <c r="OYZ31" s="478"/>
      <c r="OZA31" s="478"/>
      <c r="OZB31" s="478"/>
      <c r="OZC31" s="478"/>
      <c r="OZD31" s="478"/>
      <c r="OZE31" s="478"/>
      <c r="OZF31" s="478"/>
      <c r="OZG31" s="478"/>
      <c r="OZH31" s="478"/>
      <c r="OZI31" s="478"/>
      <c r="OZJ31" s="478"/>
      <c r="OZK31" s="478"/>
      <c r="OZL31" s="478"/>
      <c r="OZM31" s="478"/>
      <c r="OZN31" s="478"/>
      <c r="OZO31" s="478"/>
      <c r="OZP31" s="478"/>
      <c r="OZQ31" s="478"/>
      <c r="OZR31" s="478"/>
      <c r="OZS31" s="478"/>
      <c r="OZT31" s="478"/>
      <c r="OZU31" s="478"/>
      <c r="OZV31" s="478"/>
      <c r="OZW31" s="478"/>
      <c r="OZX31" s="478"/>
      <c r="OZY31" s="478"/>
      <c r="OZZ31" s="478"/>
      <c r="PAA31" s="478"/>
      <c r="PAB31" s="478"/>
      <c r="PAC31" s="478"/>
      <c r="PAD31" s="478"/>
      <c r="PAE31" s="478"/>
      <c r="PAF31" s="478"/>
      <c r="PAG31" s="478"/>
      <c r="PAH31" s="478"/>
      <c r="PAI31" s="478"/>
      <c r="PAJ31" s="478"/>
      <c r="PAK31" s="478"/>
      <c r="PAL31" s="478"/>
      <c r="PAM31" s="478"/>
      <c r="PAN31" s="478"/>
      <c r="PAO31" s="478"/>
      <c r="PAP31" s="478"/>
      <c r="PAQ31" s="478"/>
      <c r="PAR31" s="478"/>
      <c r="PAS31" s="478"/>
      <c r="PAT31" s="478"/>
      <c r="PAU31" s="478"/>
      <c r="PAV31" s="478"/>
      <c r="PAW31" s="478"/>
      <c r="PAX31" s="478"/>
      <c r="PAY31" s="478"/>
      <c r="PAZ31" s="478"/>
      <c r="PBA31" s="478"/>
      <c r="PBB31" s="478"/>
      <c r="PBC31" s="478"/>
      <c r="PBD31" s="478"/>
      <c r="PBE31" s="478"/>
      <c r="PBF31" s="478"/>
      <c r="PBG31" s="478"/>
      <c r="PBH31" s="478"/>
      <c r="PBI31" s="478"/>
      <c r="PBJ31" s="478"/>
      <c r="PBK31" s="478"/>
      <c r="PBL31" s="478"/>
      <c r="PBM31" s="478"/>
      <c r="PBN31" s="478"/>
      <c r="PBO31" s="478"/>
      <c r="PBP31" s="478"/>
      <c r="PBQ31" s="478"/>
      <c r="PBR31" s="478"/>
      <c r="PBS31" s="478"/>
      <c r="PBT31" s="478"/>
      <c r="PBU31" s="478"/>
      <c r="PBV31" s="478"/>
      <c r="PBW31" s="478"/>
      <c r="PBX31" s="478"/>
      <c r="PBY31" s="478"/>
      <c r="PBZ31" s="478"/>
      <c r="PCA31" s="478"/>
      <c r="PCB31" s="478"/>
      <c r="PCC31" s="478"/>
      <c r="PCD31" s="478"/>
      <c r="PCE31" s="478"/>
      <c r="PCF31" s="478"/>
      <c r="PCG31" s="478"/>
      <c r="PCH31" s="478"/>
      <c r="PCI31" s="478"/>
      <c r="PCJ31" s="478"/>
      <c r="PCK31" s="478"/>
      <c r="PCL31" s="478"/>
      <c r="PCM31" s="478"/>
      <c r="PCN31" s="478"/>
      <c r="PCO31" s="478"/>
      <c r="PCP31" s="478"/>
      <c r="PCQ31" s="478"/>
      <c r="PCR31" s="478"/>
      <c r="PCS31" s="478"/>
      <c r="PCT31" s="478"/>
      <c r="PCU31" s="478"/>
      <c r="PCV31" s="478"/>
      <c r="PCW31" s="478"/>
      <c r="PCX31" s="478"/>
      <c r="PCY31" s="478"/>
      <c r="PCZ31" s="478"/>
      <c r="PDA31" s="478"/>
      <c r="PDB31" s="478"/>
      <c r="PDC31" s="478"/>
      <c r="PDD31" s="478"/>
      <c r="PDE31" s="478"/>
      <c r="PDF31" s="478"/>
      <c r="PDG31" s="478"/>
      <c r="PDH31" s="478"/>
      <c r="PDI31" s="478"/>
      <c r="PDJ31" s="478"/>
      <c r="PDK31" s="478"/>
      <c r="PDL31" s="478"/>
      <c r="PDM31" s="478"/>
      <c r="PDN31" s="478"/>
      <c r="PDO31" s="478"/>
      <c r="PDP31" s="478"/>
      <c r="PDQ31" s="478"/>
      <c r="PDR31" s="478"/>
      <c r="PDS31" s="478"/>
      <c r="PDT31" s="478"/>
      <c r="PDU31" s="478"/>
      <c r="PDV31" s="478"/>
      <c r="PDW31" s="478"/>
      <c r="PDX31" s="478"/>
      <c r="PDY31" s="478"/>
      <c r="PDZ31" s="478"/>
      <c r="PEA31" s="478"/>
      <c r="PEB31" s="478"/>
      <c r="PEC31" s="478"/>
      <c r="PED31" s="478"/>
      <c r="PEE31" s="478"/>
      <c r="PEF31" s="478"/>
      <c r="PEG31" s="478"/>
      <c r="PEH31" s="478"/>
      <c r="PEI31" s="478"/>
      <c r="PEJ31" s="478"/>
      <c r="PEK31" s="478"/>
      <c r="PEL31" s="478"/>
      <c r="PEM31" s="478"/>
      <c r="PEN31" s="478"/>
      <c r="PEO31" s="478"/>
      <c r="PEP31" s="478"/>
      <c r="PEQ31" s="478"/>
      <c r="PER31" s="478"/>
      <c r="PES31" s="478"/>
      <c r="PET31" s="478"/>
      <c r="PEU31" s="478"/>
      <c r="PEV31" s="478"/>
      <c r="PEW31" s="478"/>
      <c r="PEX31" s="478"/>
      <c r="PEY31" s="478"/>
      <c r="PEZ31" s="478"/>
      <c r="PFA31" s="478"/>
      <c r="PFB31" s="478"/>
      <c r="PFC31" s="478"/>
      <c r="PFD31" s="478"/>
      <c r="PFE31" s="478"/>
      <c r="PFF31" s="478"/>
      <c r="PFG31" s="478"/>
      <c r="PFH31" s="478"/>
      <c r="PFI31" s="478"/>
      <c r="PFJ31" s="478"/>
      <c r="PFK31" s="478"/>
      <c r="PFL31" s="478"/>
      <c r="PFM31" s="478"/>
      <c r="PFN31" s="478"/>
      <c r="PFO31" s="478"/>
      <c r="PFP31" s="478"/>
      <c r="PFQ31" s="478"/>
      <c r="PFR31" s="478"/>
      <c r="PFS31" s="478"/>
      <c r="PFT31" s="478"/>
      <c r="PFU31" s="478"/>
      <c r="PFV31" s="478"/>
      <c r="PFW31" s="478"/>
      <c r="PFX31" s="478"/>
      <c r="PFY31" s="478"/>
      <c r="PFZ31" s="478"/>
      <c r="PGA31" s="478"/>
      <c r="PGB31" s="478"/>
      <c r="PGC31" s="478"/>
      <c r="PGD31" s="478"/>
      <c r="PGE31" s="478"/>
      <c r="PGF31" s="478"/>
      <c r="PGG31" s="478"/>
      <c r="PGH31" s="478"/>
      <c r="PGI31" s="478"/>
      <c r="PGJ31" s="478"/>
      <c r="PGK31" s="478"/>
      <c r="PGL31" s="478"/>
      <c r="PGM31" s="478"/>
      <c r="PGN31" s="478"/>
      <c r="PGO31" s="478"/>
      <c r="PGP31" s="478"/>
      <c r="PGQ31" s="478"/>
      <c r="PGR31" s="478"/>
      <c r="PGS31" s="478"/>
      <c r="PGT31" s="478"/>
      <c r="PGU31" s="478"/>
      <c r="PGV31" s="478"/>
      <c r="PGW31" s="478"/>
      <c r="PGX31" s="478"/>
      <c r="PGY31" s="478"/>
      <c r="PGZ31" s="478"/>
      <c r="PHA31" s="478"/>
      <c r="PHB31" s="478"/>
      <c r="PHC31" s="478"/>
      <c r="PHD31" s="478"/>
      <c r="PHE31" s="478"/>
      <c r="PHF31" s="478"/>
      <c r="PHG31" s="478"/>
      <c r="PHH31" s="478"/>
      <c r="PHI31" s="478"/>
      <c r="PHJ31" s="478"/>
      <c r="PHK31" s="478"/>
      <c r="PHL31" s="478"/>
      <c r="PHM31" s="478"/>
      <c r="PHN31" s="478"/>
      <c r="PHO31" s="478"/>
      <c r="PHP31" s="478"/>
      <c r="PHQ31" s="478"/>
      <c r="PHR31" s="478"/>
      <c r="PHS31" s="478"/>
      <c r="PHT31" s="478"/>
      <c r="PHU31" s="478"/>
      <c r="PHV31" s="478"/>
      <c r="PHW31" s="478"/>
      <c r="PHX31" s="478"/>
      <c r="PHY31" s="478"/>
      <c r="PHZ31" s="478"/>
      <c r="PIA31" s="478"/>
      <c r="PIB31" s="478"/>
      <c r="PIC31" s="478"/>
      <c r="PID31" s="478"/>
      <c r="PIE31" s="478"/>
      <c r="PIF31" s="478"/>
      <c r="PIG31" s="478"/>
      <c r="PIH31" s="478"/>
      <c r="PII31" s="478"/>
      <c r="PIJ31" s="478"/>
      <c r="PIK31" s="478"/>
      <c r="PIL31" s="478"/>
      <c r="PIM31" s="478"/>
      <c r="PIN31" s="478"/>
      <c r="PIO31" s="478"/>
      <c r="PIP31" s="478"/>
      <c r="PIQ31" s="478"/>
      <c r="PIR31" s="478"/>
      <c r="PIS31" s="478"/>
      <c r="PIT31" s="478"/>
      <c r="PIU31" s="478"/>
      <c r="PIV31" s="478"/>
      <c r="PIW31" s="478"/>
      <c r="PIX31" s="478"/>
      <c r="PIY31" s="478"/>
      <c r="PIZ31" s="478"/>
      <c r="PJA31" s="478"/>
      <c r="PJB31" s="478"/>
      <c r="PJC31" s="478"/>
      <c r="PJD31" s="478"/>
      <c r="PJE31" s="478"/>
      <c r="PJF31" s="478"/>
      <c r="PJG31" s="478"/>
      <c r="PJH31" s="478"/>
      <c r="PJI31" s="478"/>
      <c r="PJJ31" s="478"/>
      <c r="PJK31" s="478"/>
      <c r="PJL31" s="478"/>
      <c r="PJM31" s="478"/>
      <c r="PJN31" s="478"/>
      <c r="PJO31" s="478"/>
      <c r="PJP31" s="478"/>
      <c r="PJQ31" s="478"/>
      <c r="PJR31" s="478"/>
      <c r="PJS31" s="478"/>
      <c r="PJT31" s="478"/>
      <c r="PJU31" s="478"/>
      <c r="PJV31" s="478"/>
      <c r="PJW31" s="478"/>
      <c r="PJX31" s="478"/>
      <c r="PJY31" s="478"/>
      <c r="PJZ31" s="478"/>
      <c r="PKA31" s="478"/>
      <c r="PKB31" s="478"/>
      <c r="PKC31" s="478"/>
      <c r="PKD31" s="478"/>
      <c r="PKE31" s="478"/>
      <c r="PKF31" s="478"/>
      <c r="PKG31" s="478"/>
      <c r="PKH31" s="478"/>
      <c r="PKI31" s="478"/>
      <c r="PKJ31" s="478"/>
      <c r="PKK31" s="478"/>
      <c r="PKL31" s="478"/>
      <c r="PKM31" s="478"/>
      <c r="PKN31" s="478"/>
      <c r="PKO31" s="478"/>
      <c r="PKP31" s="478"/>
      <c r="PKQ31" s="478"/>
      <c r="PKR31" s="478"/>
      <c r="PKS31" s="478"/>
      <c r="PKT31" s="478"/>
      <c r="PKU31" s="478"/>
      <c r="PKV31" s="478"/>
      <c r="PKW31" s="478"/>
      <c r="PKX31" s="478"/>
      <c r="PKY31" s="478"/>
      <c r="PKZ31" s="478"/>
      <c r="PLA31" s="478"/>
      <c r="PLB31" s="478"/>
      <c r="PLC31" s="478"/>
      <c r="PLD31" s="478"/>
      <c r="PLE31" s="478"/>
      <c r="PLF31" s="478"/>
      <c r="PLG31" s="478"/>
      <c r="PLH31" s="478"/>
      <c r="PLI31" s="478"/>
      <c r="PLJ31" s="478"/>
      <c r="PLK31" s="478"/>
      <c r="PLL31" s="478"/>
      <c r="PLM31" s="478"/>
      <c r="PLN31" s="478"/>
      <c r="PLO31" s="478"/>
      <c r="PLP31" s="478"/>
      <c r="PLQ31" s="478"/>
      <c r="PLR31" s="478"/>
      <c r="PLS31" s="478"/>
      <c r="PLT31" s="478"/>
      <c r="PLU31" s="478"/>
      <c r="PLV31" s="478"/>
      <c r="PLW31" s="478"/>
      <c r="PLX31" s="478"/>
      <c r="PLY31" s="478"/>
      <c r="PLZ31" s="478"/>
      <c r="PMA31" s="478"/>
      <c r="PMB31" s="478"/>
      <c r="PMC31" s="478"/>
      <c r="PMD31" s="478"/>
      <c r="PME31" s="478"/>
      <c r="PMF31" s="478"/>
      <c r="PMG31" s="478"/>
      <c r="PMH31" s="478"/>
      <c r="PMI31" s="478"/>
      <c r="PMJ31" s="478"/>
      <c r="PMK31" s="478"/>
      <c r="PML31" s="478"/>
      <c r="PMM31" s="478"/>
      <c r="PMN31" s="478"/>
      <c r="PMO31" s="478"/>
      <c r="PMP31" s="478"/>
      <c r="PMQ31" s="478"/>
      <c r="PMR31" s="478"/>
      <c r="PMS31" s="478"/>
      <c r="PMT31" s="478"/>
      <c r="PMU31" s="478"/>
      <c r="PMV31" s="478"/>
      <c r="PMW31" s="478"/>
      <c r="PMX31" s="478"/>
      <c r="PMY31" s="478"/>
      <c r="PMZ31" s="478"/>
      <c r="PNA31" s="478"/>
      <c r="PNB31" s="478"/>
      <c r="PNC31" s="478"/>
      <c r="PND31" s="478"/>
      <c r="PNE31" s="478"/>
      <c r="PNF31" s="478"/>
      <c r="PNG31" s="478"/>
      <c r="PNH31" s="478"/>
      <c r="PNI31" s="478"/>
      <c r="PNJ31" s="478"/>
      <c r="PNK31" s="478"/>
      <c r="PNL31" s="478"/>
      <c r="PNM31" s="478"/>
      <c r="PNN31" s="478"/>
      <c r="PNO31" s="478"/>
      <c r="PNP31" s="478"/>
      <c r="PNQ31" s="478"/>
      <c r="PNR31" s="478"/>
      <c r="PNS31" s="478"/>
      <c r="PNT31" s="478"/>
      <c r="PNU31" s="478"/>
      <c r="PNV31" s="478"/>
      <c r="PNW31" s="478"/>
      <c r="PNX31" s="478"/>
      <c r="PNY31" s="478"/>
      <c r="PNZ31" s="478"/>
      <c r="POA31" s="478"/>
      <c r="POB31" s="478"/>
      <c r="POC31" s="478"/>
      <c r="POD31" s="478"/>
      <c r="POE31" s="478"/>
      <c r="POF31" s="478"/>
      <c r="POG31" s="478"/>
      <c r="POH31" s="478"/>
      <c r="POI31" s="478"/>
      <c r="POJ31" s="478"/>
      <c r="POK31" s="478"/>
      <c r="POL31" s="478"/>
      <c r="POM31" s="478"/>
      <c r="PON31" s="478"/>
      <c r="POO31" s="478"/>
      <c r="POP31" s="478"/>
      <c r="POQ31" s="478"/>
      <c r="POR31" s="478"/>
      <c r="POS31" s="478"/>
      <c r="POT31" s="478"/>
      <c r="POU31" s="478"/>
      <c r="POV31" s="478"/>
      <c r="POW31" s="478"/>
      <c r="POX31" s="478"/>
      <c r="POY31" s="478"/>
      <c r="POZ31" s="478"/>
      <c r="PPA31" s="478"/>
      <c r="PPB31" s="478"/>
      <c r="PPC31" s="478"/>
      <c r="PPD31" s="478"/>
      <c r="PPE31" s="478"/>
      <c r="PPF31" s="478"/>
      <c r="PPG31" s="478"/>
      <c r="PPH31" s="478"/>
      <c r="PPI31" s="478"/>
      <c r="PPJ31" s="478"/>
      <c r="PPK31" s="478"/>
      <c r="PPL31" s="478"/>
      <c r="PPM31" s="478"/>
      <c r="PPN31" s="478"/>
      <c r="PPO31" s="478"/>
      <c r="PPP31" s="478"/>
      <c r="PPQ31" s="478"/>
      <c r="PPR31" s="478"/>
      <c r="PPS31" s="478"/>
      <c r="PPT31" s="478"/>
      <c r="PPU31" s="478"/>
      <c r="PPV31" s="478"/>
      <c r="PPW31" s="478"/>
      <c r="PPX31" s="478"/>
      <c r="PPY31" s="478"/>
      <c r="PPZ31" s="478"/>
      <c r="PQA31" s="478"/>
      <c r="PQB31" s="478"/>
      <c r="PQC31" s="478"/>
      <c r="PQD31" s="478"/>
      <c r="PQE31" s="478"/>
      <c r="PQF31" s="478"/>
      <c r="PQG31" s="478"/>
      <c r="PQH31" s="478"/>
      <c r="PQI31" s="478"/>
      <c r="PQJ31" s="478"/>
      <c r="PQK31" s="478"/>
      <c r="PQL31" s="478"/>
      <c r="PQM31" s="478"/>
      <c r="PQN31" s="478"/>
      <c r="PQO31" s="478"/>
      <c r="PQP31" s="478"/>
      <c r="PQQ31" s="478"/>
      <c r="PQR31" s="478"/>
      <c r="PQS31" s="478"/>
      <c r="PQT31" s="478"/>
      <c r="PQU31" s="478"/>
      <c r="PQV31" s="478"/>
      <c r="PQW31" s="478"/>
      <c r="PQX31" s="478"/>
      <c r="PQY31" s="478"/>
      <c r="PQZ31" s="478"/>
      <c r="PRA31" s="478"/>
      <c r="PRB31" s="478"/>
      <c r="PRC31" s="478"/>
      <c r="PRD31" s="478"/>
      <c r="PRE31" s="478"/>
      <c r="PRF31" s="478"/>
      <c r="PRG31" s="478"/>
      <c r="PRH31" s="478"/>
      <c r="PRI31" s="478"/>
      <c r="PRJ31" s="478"/>
      <c r="PRK31" s="478"/>
      <c r="PRL31" s="478"/>
      <c r="PRM31" s="478"/>
      <c r="PRN31" s="478"/>
      <c r="PRO31" s="478"/>
      <c r="PRP31" s="478"/>
      <c r="PRQ31" s="478"/>
      <c r="PRR31" s="478"/>
      <c r="PRS31" s="478"/>
      <c r="PRT31" s="478"/>
      <c r="PRU31" s="478"/>
      <c r="PRV31" s="478"/>
      <c r="PRW31" s="478"/>
      <c r="PRX31" s="478"/>
      <c r="PRY31" s="478"/>
      <c r="PRZ31" s="478"/>
      <c r="PSA31" s="478"/>
      <c r="PSB31" s="478"/>
      <c r="PSC31" s="478"/>
      <c r="PSD31" s="478"/>
      <c r="PSE31" s="478"/>
      <c r="PSF31" s="478"/>
      <c r="PSG31" s="478"/>
      <c r="PSH31" s="478"/>
      <c r="PSI31" s="478"/>
      <c r="PSJ31" s="478"/>
      <c r="PSK31" s="478"/>
      <c r="PSL31" s="478"/>
      <c r="PSM31" s="478"/>
      <c r="PSN31" s="478"/>
      <c r="PSO31" s="478"/>
      <c r="PSP31" s="478"/>
      <c r="PSQ31" s="478"/>
      <c r="PSR31" s="478"/>
      <c r="PSS31" s="478"/>
      <c r="PST31" s="478"/>
      <c r="PSU31" s="478"/>
      <c r="PSV31" s="478"/>
      <c r="PSW31" s="478"/>
      <c r="PSX31" s="478"/>
      <c r="PSY31" s="478"/>
      <c r="PSZ31" s="478"/>
      <c r="PTA31" s="478"/>
      <c r="PTB31" s="478"/>
      <c r="PTC31" s="478"/>
      <c r="PTD31" s="478"/>
      <c r="PTE31" s="478"/>
      <c r="PTF31" s="478"/>
      <c r="PTG31" s="478"/>
      <c r="PTH31" s="478"/>
      <c r="PTI31" s="478"/>
      <c r="PTJ31" s="478"/>
      <c r="PTK31" s="478"/>
      <c r="PTL31" s="478"/>
      <c r="PTM31" s="478"/>
      <c r="PTN31" s="478"/>
      <c r="PTO31" s="478"/>
      <c r="PTP31" s="478"/>
      <c r="PTQ31" s="478"/>
      <c r="PTR31" s="478"/>
      <c r="PTS31" s="478"/>
      <c r="PTT31" s="478"/>
      <c r="PTU31" s="478"/>
      <c r="PTV31" s="478"/>
      <c r="PTW31" s="478"/>
      <c r="PTX31" s="478"/>
      <c r="PTY31" s="478"/>
      <c r="PTZ31" s="478"/>
      <c r="PUA31" s="478"/>
      <c r="PUB31" s="478"/>
      <c r="PUC31" s="478"/>
      <c r="PUD31" s="478"/>
      <c r="PUE31" s="478"/>
      <c r="PUF31" s="478"/>
      <c r="PUG31" s="478"/>
      <c r="PUH31" s="478"/>
      <c r="PUI31" s="478"/>
      <c r="PUJ31" s="478"/>
      <c r="PUK31" s="478"/>
      <c r="PUL31" s="478"/>
      <c r="PUM31" s="478"/>
      <c r="PUN31" s="478"/>
      <c r="PUO31" s="478"/>
      <c r="PUP31" s="478"/>
      <c r="PUQ31" s="478"/>
      <c r="PUR31" s="478"/>
      <c r="PUS31" s="478"/>
      <c r="PUT31" s="478"/>
      <c r="PUU31" s="478"/>
      <c r="PUV31" s="478"/>
      <c r="PUW31" s="478"/>
      <c r="PUX31" s="478"/>
      <c r="PUY31" s="478"/>
      <c r="PUZ31" s="478"/>
      <c r="PVA31" s="478"/>
      <c r="PVB31" s="478"/>
      <c r="PVC31" s="478"/>
      <c r="PVD31" s="478"/>
      <c r="PVE31" s="478"/>
      <c r="PVF31" s="478"/>
      <c r="PVG31" s="478"/>
      <c r="PVH31" s="478"/>
      <c r="PVI31" s="478"/>
      <c r="PVJ31" s="478"/>
      <c r="PVK31" s="478"/>
      <c r="PVL31" s="478"/>
      <c r="PVM31" s="478"/>
      <c r="PVN31" s="478"/>
      <c r="PVO31" s="478"/>
      <c r="PVP31" s="478"/>
      <c r="PVQ31" s="478"/>
      <c r="PVR31" s="478"/>
      <c r="PVS31" s="478"/>
      <c r="PVT31" s="478"/>
      <c r="PVU31" s="478"/>
      <c r="PVV31" s="478"/>
      <c r="PVW31" s="478"/>
      <c r="PVX31" s="478"/>
      <c r="PVY31" s="478"/>
      <c r="PVZ31" s="478"/>
      <c r="PWA31" s="478"/>
      <c r="PWB31" s="478"/>
      <c r="PWC31" s="478"/>
      <c r="PWD31" s="478"/>
      <c r="PWE31" s="478"/>
      <c r="PWF31" s="478"/>
      <c r="PWG31" s="478"/>
      <c r="PWH31" s="478"/>
      <c r="PWI31" s="478"/>
      <c r="PWJ31" s="478"/>
      <c r="PWK31" s="478"/>
      <c r="PWL31" s="478"/>
      <c r="PWM31" s="478"/>
      <c r="PWN31" s="478"/>
      <c r="PWO31" s="478"/>
      <c r="PWP31" s="478"/>
      <c r="PWQ31" s="478"/>
      <c r="PWR31" s="478"/>
      <c r="PWS31" s="478"/>
      <c r="PWT31" s="478"/>
      <c r="PWU31" s="478"/>
      <c r="PWV31" s="478"/>
      <c r="PWW31" s="478"/>
      <c r="PWX31" s="478"/>
      <c r="PWY31" s="478"/>
      <c r="PWZ31" s="478"/>
      <c r="PXA31" s="478"/>
      <c r="PXB31" s="478"/>
      <c r="PXC31" s="478"/>
      <c r="PXD31" s="478"/>
      <c r="PXE31" s="478"/>
      <c r="PXF31" s="478"/>
      <c r="PXG31" s="478"/>
      <c r="PXH31" s="478"/>
      <c r="PXI31" s="478"/>
      <c r="PXJ31" s="478"/>
      <c r="PXK31" s="478"/>
      <c r="PXL31" s="478"/>
      <c r="PXM31" s="478"/>
      <c r="PXN31" s="478"/>
      <c r="PXO31" s="478"/>
      <c r="PXP31" s="478"/>
      <c r="PXQ31" s="478"/>
      <c r="PXR31" s="478"/>
      <c r="PXS31" s="478"/>
      <c r="PXT31" s="478"/>
      <c r="PXU31" s="478"/>
      <c r="PXV31" s="478"/>
      <c r="PXW31" s="478"/>
      <c r="PXX31" s="478"/>
      <c r="PXY31" s="478"/>
      <c r="PXZ31" s="478"/>
      <c r="PYA31" s="478"/>
      <c r="PYB31" s="478"/>
      <c r="PYC31" s="478"/>
      <c r="PYD31" s="478"/>
      <c r="PYE31" s="478"/>
      <c r="PYF31" s="478"/>
      <c r="PYG31" s="478"/>
      <c r="PYH31" s="478"/>
      <c r="PYI31" s="478"/>
      <c r="PYJ31" s="478"/>
      <c r="PYK31" s="478"/>
      <c r="PYL31" s="478"/>
      <c r="PYM31" s="478"/>
      <c r="PYN31" s="478"/>
      <c r="PYO31" s="478"/>
      <c r="PYP31" s="478"/>
      <c r="PYQ31" s="478"/>
      <c r="PYR31" s="478"/>
      <c r="PYS31" s="478"/>
      <c r="PYT31" s="478"/>
      <c r="PYU31" s="478"/>
      <c r="PYV31" s="478"/>
      <c r="PYW31" s="478"/>
      <c r="PYX31" s="478"/>
      <c r="PYY31" s="478"/>
      <c r="PYZ31" s="478"/>
      <c r="PZA31" s="478"/>
      <c r="PZB31" s="478"/>
      <c r="PZC31" s="478"/>
      <c r="PZD31" s="478"/>
      <c r="PZE31" s="478"/>
      <c r="PZF31" s="478"/>
      <c r="PZG31" s="478"/>
      <c r="PZH31" s="478"/>
      <c r="PZI31" s="478"/>
      <c r="PZJ31" s="478"/>
      <c r="PZK31" s="478"/>
      <c r="PZL31" s="478"/>
      <c r="PZM31" s="478"/>
      <c r="PZN31" s="478"/>
      <c r="PZO31" s="478"/>
      <c r="PZP31" s="478"/>
      <c r="PZQ31" s="478"/>
      <c r="PZR31" s="478"/>
      <c r="PZS31" s="478"/>
      <c r="PZT31" s="478"/>
      <c r="PZU31" s="478"/>
      <c r="PZV31" s="478"/>
      <c r="PZW31" s="478"/>
      <c r="PZX31" s="478"/>
      <c r="PZY31" s="478"/>
      <c r="PZZ31" s="478"/>
      <c r="QAA31" s="478"/>
      <c r="QAB31" s="478"/>
      <c r="QAC31" s="478"/>
      <c r="QAD31" s="478"/>
      <c r="QAE31" s="478"/>
      <c r="QAF31" s="478"/>
      <c r="QAG31" s="478"/>
      <c r="QAH31" s="478"/>
      <c r="QAI31" s="478"/>
      <c r="QAJ31" s="478"/>
      <c r="QAK31" s="478"/>
      <c r="QAL31" s="478"/>
      <c r="QAM31" s="478"/>
      <c r="QAN31" s="478"/>
      <c r="QAO31" s="478"/>
      <c r="QAP31" s="478"/>
      <c r="QAQ31" s="478"/>
      <c r="QAR31" s="478"/>
      <c r="QAS31" s="478"/>
      <c r="QAT31" s="478"/>
      <c r="QAU31" s="478"/>
      <c r="QAV31" s="478"/>
      <c r="QAW31" s="478"/>
      <c r="QAX31" s="478"/>
      <c r="QAY31" s="478"/>
      <c r="QAZ31" s="478"/>
      <c r="QBA31" s="478"/>
      <c r="QBB31" s="478"/>
      <c r="QBC31" s="478"/>
      <c r="QBD31" s="478"/>
      <c r="QBE31" s="478"/>
      <c r="QBF31" s="478"/>
      <c r="QBG31" s="478"/>
      <c r="QBH31" s="478"/>
      <c r="QBI31" s="478"/>
      <c r="QBJ31" s="478"/>
      <c r="QBK31" s="478"/>
      <c r="QBL31" s="478"/>
      <c r="QBM31" s="478"/>
      <c r="QBN31" s="478"/>
      <c r="QBO31" s="478"/>
      <c r="QBP31" s="478"/>
      <c r="QBQ31" s="478"/>
      <c r="QBR31" s="478"/>
      <c r="QBS31" s="478"/>
      <c r="QBT31" s="478"/>
      <c r="QBU31" s="478"/>
      <c r="QBV31" s="478"/>
      <c r="QBW31" s="478"/>
      <c r="QBX31" s="478"/>
      <c r="QBY31" s="478"/>
      <c r="QBZ31" s="478"/>
      <c r="QCA31" s="478"/>
      <c r="QCB31" s="478"/>
      <c r="QCC31" s="478"/>
      <c r="QCD31" s="478"/>
      <c r="QCE31" s="478"/>
      <c r="QCF31" s="478"/>
      <c r="QCG31" s="478"/>
      <c r="QCH31" s="478"/>
      <c r="QCI31" s="478"/>
      <c r="QCJ31" s="478"/>
      <c r="QCK31" s="478"/>
      <c r="QCL31" s="478"/>
      <c r="QCM31" s="478"/>
      <c r="QCN31" s="478"/>
      <c r="QCO31" s="478"/>
      <c r="QCP31" s="478"/>
      <c r="QCQ31" s="478"/>
      <c r="QCR31" s="478"/>
      <c r="QCS31" s="478"/>
      <c r="QCT31" s="478"/>
      <c r="QCU31" s="478"/>
      <c r="QCV31" s="478"/>
      <c r="QCW31" s="478"/>
      <c r="QCX31" s="478"/>
      <c r="QCY31" s="478"/>
      <c r="QCZ31" s="478"/>
      <c r="QDA31" s="478"/>
      <c r="QDB31" s="478"/>
      <c r="QDC31" s="478"/>
      <c r="QDD31" s="478"/>
      <c r="QDE31" s="478"/>
      <c r="QDF31" s="478"/>
      <c r="QDG31" s="478"/>
      <c r="QDH31" s="478"/>
      <c r="QDI31" s="478"/>
      <c r="QDJ31" s="478"/>
      <c r="QDK31" s="478"/>
      <c r="QDL31" s="478"/>
      <c r="QDM31" s="478"/>
      <c r="QDN31" s="478"/>
      <c r="QDO31" s="478"/>
      <c r="QDP31" s="478"/>
      <c r="QDQ31" s="478"/>
      <c r="QDR31" s="478"/>
      <c r="QDS31" s="478"/>
      <c r="QDT31" s="478"/>
      <c r="QDU31" s="478"/>
      <c r="QDV31" s="478"/>
      <c r="QDW31" s="478"/>
      <c r="QDX31" s="478"/>
      <c r="QDY31" s="478"/>
      <c r="QDZ31" s="478"/>
      <c r="QEA31" s="478"/>
      <c r="QEB31" s="478"/>
      <c r="QEC31" s="478"/>
      <c r="QED31" s="478"/>
      <c r="QEE31" s="478"/>
      <c r="QEF31" s="478"/>
      <c r="QEG31" s="478"/>
      <c r="QEH31" s="478"/>
      <c r="QEI31" s="478"/>
      <c r="QEJ31" s="478"/>
      <c r="QEK31" s="478"/>
      <c r="QEL31" s="478"/>
      <c r="QEM31" s="478"/>
      <c r="QEN31" s="478"/>
      <c r="QEO31" s="478"/>
      <c r="QEP31" s="478"/>
      <c r="QEQ31" s="478"/>
      <c r="QER31" s="478"/>
      <c r="QES31" s="478"/>
      <c r="QET31" s="478"/>
      <c r="QEU31" s="478"/>
      <c r="QEV31" s="478"/>
      <c r="QEW31" s="478"/>
      <c r="QEX31" s="478"/>
      <c r="QEY31" s="478"/>
      <c r="QEZ31" s="478"/>
      <c r="QFA31" s="478"/>
      <c r="QFB31" s="478"/>
      <c r="QFC31" s="478"/>
      <c r="QFD31" s="478"/>
      <c r="QFE31" s="478"/>
      <c r="QFF31" s="478"/>
      <c r="QFG31" s="478"/>
      <c r="QFH31" s="478"/>
      <c r="QFI31" s="478"/>
      <c r="QFJ31" s="478"/>
      <c r="QFK31" s="478"/>
      <c r="QFL31" s="478"/>
      <c r="QFM31" s="478"/>
      <c r="QFN31" s="478"/>
      <c r="QFO31" s="478"/>
      <c r="QFP31" s="478"/>
      <c r="QFQ31" s="478"/>
      <c r="QFR31" s="478"/>
      <c r="QFS31" s="478"/>
      <c r="QFT31" s="478"/>
      <c r="QFU31" s="478"/>
      <c r="QFV31" s="478"/>
      <c r="QFW31" s="478"/>
      <c r="QFX31" s="478"/>
      <c r="QFY31" s="478"/>
      <c r="QFZ31" s="478"/>
      <c r="QGA31" s="478"/>
      <c r="QGB31" s="478"/>
      <c r="QGC31" s="478"/>
      <c r="QGD31" s="478"/>
      <c r="QGE31" s="478"/>
      <c r="QGF31" s="478"/>
      <c r="QGG31" s="478"/>
      <c r="QGH31" s="478"/>
      <c r="QGI31" s="478"/>
      <c r="QGJ31" s="478"/>
      <c r="QGK31" s="478"/>
      <c r="QGL31" s="478"/>
      <c r="QGM31" s="478"/>
      <c r="QGN31" s="478"/>
      <c r="QGO31" s="478"/>
      <c r="QGP31" s="478"/>
      <c r="QGQ31" s="478"/>
      <c r="QGR31" s="478"/>
      <c r="QGS31" s="478"/>
      <c r="QGT31" s="478"/>
      <c r="QGU31" s="478"/>
      <c r="QGV31" s="478"/>
      <c r="QGW31" s="478"/>
      <c r="QGX31" s="478"/>
      <c r="QGY31" s="478"/>
      <c r="QGZ31" s="478"/>
      <c r="QHA31" s="478"/>
      <c r="QHB31" s="478"/>
      <c r="QHC31" s="478"/>
      <c r="QHD31" s="478"/>
      <c r="QHE31" s="478"/>
      <c r="QHF31" s="478"/>
      <c r="QHG31" s="478"/>
      <c r="QHH31" s="478"/>
      <c r="QHI31" s="478"/>
      <c r="QHJ31" s="478"/>
      <c r="QHK31" s="478"/>
      <c r="QHL31" s="478"/>
      <c r="QHM31" s="478"/>
      <c r="QHN31" s="478"/>
      <c r="QHO31" s="478"/>
      <c r="QHP31" s="478"/>
      <c r="QHQ31" s="478"/>
      <c r="QHR31" s="478"/>
      <c r="QHS31" s="478"/>
      <c r="QHT31" s="478"/>
      <c r="QHU31" s="478"/>
      <c r="QHV31" s="478"/>
      <c r="QHW31" s="478"/>
      <c r="QHX31" s="478"/>
      <c r="QHY31" s="478"/>
      <c r="QHZ31" s="478"/>
      <c r="QIA31" s="478"/>
      <c r="QIB31" s="478"/>
      <c r="QIC31" s="478"/>
      <c r="QID31" s="478"/>
      <c r="QIE31" s="478"/>
      <c r="QIF31" s="478"/>
      <c r="QIG31" s="478"/>
      <c r="QIH31" s="478"/>
      <c r="QII31" s="478"/>
      <c r="QIJ31" s="478"/>
      <c r="QIK31" s="478"/>
      <c r="QIL31" s="478"/>
      <c r="QIM31" s="478"/>
      <c r="QIN31" s="478"/>
      <c r="QIO31" s="478"/>
      <c r="QIP31" s="478"/>
      <c r="QIQ31" s="478"/>
      <c r="QIR31" s="478"/>
      <c r="QIS31" s="478"/>
      <c r="QIT31" s="478"/>
      <c r="QIU31" s="478"/>
      <c r="QIV31" s="478"/>
      <c r="QIW31" s="478"/>
      <c r="QIX31" s="478"/>
      <c r="QIY31" s="478"/>
      <c r="QIZ31" s="478"/>
      <c r="QJA31" s="478"/>
      <c r="QJB31" s="478"/>
      <c r="QJC31" s="478"/>
      <c r="QJD31" s="478"/>
      <c r="QJE31" s="478"/>
      <c r="QJF31" s="478"/>
      <c r="QJG31" s="478"/>
      <c r="QJH31" s="478"/>
      <c r="QJI31" s="478"/>
      <c r="QJJ31" s="478"/>
      <c r="QJK31" s="478"/>
      <c r="QJL31" s="478"/>
      <c r="QJM31" s="478"/>
      <c r="QJN31" s="478"/>
      <c r="QJO31" s="478"/>
      <c r="QJP31" s="478"/>
      <c r="QJQ31" s="478"/>
      <c r="QJR31" s="478"/>
      <c r="QJS31" s="478"/>
      <c r="QJT31" s="478"/>
      <c r="QJU31" s="478"/>
      <c r="QJV31" s="478"/>
      <c r="QJW31" s="478"/>
      <c r="QJX31" s="478"/>
      <c r="QJY31" s="478"/>
      <c r="QJZ31" s="478"/>
      <c r="QKA31" s="478"/>
      <c r="QKB31" s="478"/>
      <c r="QKC31" s="478"/>
      <c r="QKD31" s="478"/>
      <c r="QKE31" s="478"/>
      <c r="QKF31" s="478"/>
      <c r="QKG31" s="478"/>
      <c r="QKH31" s="478"/>
      <c r="QKI31" s="478"/>
      <c r="QKJ31" s="478"/>
      <c r="QKK31" s="478"/>
      <c r="QKL31" s="478"/>
      <c r="QKM31" s="478"/>
      <c r="QKN31" s="478"/>
      <c r="QKO31" s="478"/>
      <c r="QKP31" s="478"/>
      <c r="QKQ31" s="478"/>
      <c r="QKR31" s="478"/>
      <c r="QKS31" s="478"/>
      <c r="QKT31" s="478"/>
      <c r="QKU31" s="478"/>
      <c r="QKV31" s="478"/>
      <c r="QKW31" s="478"/>
      <c r="QKX31" s="478"/>
      <c r="QKY31" s="478"/>
      <c r="QKZ31" s="478"/>
      <c r="QLA31" s="478"/>
      <c r="QLB31" s="478"/>
      <c r="QLC31" s="478"/>
      <c r="QLD31" s="478"/>
      <c r="QLE31" s="478"/>
      <c r="QLF31" s="478"/>
      <c r="QLG31" s="478"/>
      <c r="QLH31" s="478"/>
      <c r="QLI31" s="478"/>
      <c r="QLJ31" s="478"/>
      <c r="QLK31" s="478"/>
      <c r="QLL31" s="478"/>
      <c r="QLM31" s="478"/>
      <c r="QLN31" s="478"/>
      <c r="QLO31" s="478"/>
      <c r="QLP31" s="478"/>
      <c r="QLQ31" s="478"/>
      <c r="QLR31" s="478"/>
      <c r="QLS31" s="478"/>
      <c r="QLT31" s="478"/>
      <c r="QLU31" s="478"/>
      <c r="QLV31" s="478"/>
      <c r="QLW31" s="478"/>
      <c r="QLX31" s="478"/>
      <c r="QLY31" s="478"/>
      <c r="QLZ31" s="478"/>
      <c r="QMA31" s="478"/>
      <c r="QMB31" s="478"/>
      <c r="QMC31" s="478"/>
      <c r="QMD31" s="478"/>
      <c r="QME31" s="478"/>
      <c r="QMF31" s="478"/>
      <c r="QMG31" s="478"/>
      <c r="QMH31" s="478"/>
      <c r="QMI31" s="478"/>
      <c r="QMJ31" s="478"/>
      <c r="QMK31" s="478"/>
      <c r="QML31" s="478"/>
      <c r="QMM31" s="478"/>
      <c r="QMN31" s="478"/>
      <c r="QMO31" s="478"/>
      <c r="QMP31" s="478"/>
      <c r="QMQ31" s="478"/>
      <c r="QMR31" s="478"/>
      <c r="QMS31" s="478"/>
      <c r="QMT31" s="478"/>
      <c r="QMU31" s="478"/>
      <c r="QMV31" s="478"/>
      <c r="QMW31" s="478"/>
      <c r="QMX31" s="478"/>
      <c r="QMY31" s="478"/>
      <c r="QMZ31" s="478"/>
      <c r="QNA31" s="478"/>
      <c r="QNB31" s="478"/>
      <c r="QNC31" s="478"/>
      <c r="QND31" s="478"/>
      <c r="QNE31" s="478"/>
      <c r="QNF31" s="478"/>
      <c r="QNG31" s="478"/>
      <c r="QNH31" s="478"/>
      <c r="QNI31" s="478"/>
      <c r="QNJ31" s="478"/>
      <c r="QNK31" s="478"/>
      <c r="QNL31" s="478"/>
      <c r="QNM31" s="478"/>
      <c r="QNN31" s="478"/>
      <c r="QNO31" s="478"/>
      <c r="QNP31" s="478"/>
      <c r="QNQ31" s="478"/>
      <c r="QNR31" s="478"/>
      <c r="QNS31" s="478"/>
      <c r="QNT31" s="478"/>
      <c r="QNU31" s="478"/>
      <c r="QNV31" s="478"/>
      <c r="QNW31" s="478"/>
      <c r="QNX31" s="478"/>
      <c r="QNY31" s="478"/>
      <c r="QNZ31" s="478"/>
      <c r="QOA31" s="478"/>
      <c r="QOB31" s="478"/>
      <c r="QOC31" s="478"/>
      <c r="QOD31" s="478"/>
      <c r="QOE31" s="478"/>
      <c r="QOF31" s="478"/>
      <c r="QOG31" s="478"/>
      <c r="QOH31" s="478"/>
      <c r="QOI31" s="478"/>
      <c r="QOJ31" s="478"/>
      <c r="QOK31" s="478"/>
      <c r="QOL31" s="478"/>
      <c r="QOM31" s="478"/>
      <c r="QON31" s="478"/>
      <c r="QOO31" s="478"/>
      <c r="QOP31" s="478"/>
      <c r="QOQ31" s="478"/>
      <c r="QOR31" s="478"/>
      <c r="QOS31" s="478"/>
      <c r="QOT31" s="478"/>
      <c r="QOU31" s="478"/>
      <c r="QOV31" s="478"/>
      <c r="QOW31" s="478"/>
      <c r="QOX31" s="478"/>
      <c r="QOY31" s="478"/>
      <c r="QOZ31" s="478"/>
      <c r="QPA31" s="478"/>
      <c r="QPB31" s="478"/>
      <c r="QPC31" s="478"/>
      <c r="QPD31" s="478"/>
      <c r="QPE31" s="478"/>
      <c r="QPF31" s="478"/>
      <c r="QPG31" s="478"/>
      <c r="QPH31" s="478"/>
      <c r="QPI31" s="478"/>
      <c r="QPJ31" s="478"/>
      <c r="QPK31" s="478"/>
      <c r="QPL31" s="478"/>
      <c r="QPM31" s="478"/>
      <c r="QPN31" s="478"/>
      <c r="QPO31" s="478"/>
      <c r="QPP31" s="478"/>
      <c r="QPQ31" s="478"/>
      <c r="QPR31" s="478"/>
      <c r="QPS31" s="478"/>
      <c r="QPT31" s="478"/>
      <c r="QPU31" s="478"/>
      <c r="QPV31" s="478"/>
      <c r="QPW31" s="478"/>
      <c r="QPX31" s="478"/>
      <c r="QPY31" s="478"/>
      <c r="QPZ31" s="478"/>
      <c r="QQA31" s="478"/>
      <c r="QQB31" s="478"/>
      <c r="QQC31" s="478"/>
      <c r="QQD31" s="478"/>
      <c r="QQE31" s="478"/>
      <c r="QQF31" s="478"/>
      <c r="QQG31" s="478"/>
      <c r="QQH31" s="478"/>
      <c r="QQI31" s="478"/>
      <c r="QQJ31" s="478"/>
      <c r="QQK31" s="478"/>
      <c r="QQL31" s="478"/>
      <c r="QQM31" s="478"/>
      <c r="QQN31" s="478"/>
      <c r="QQO31" s="478"/>
      <c r="QQP31" s="478"/>
      <c r="QQQ31" s="478"/>
      <c r="QQR31" s="478"/>
      <c r="QQS31" s="478"/>
      <c r="QQT31" s="478"/>
      <c r="QQU31" s="478"/>
      <c r="QQV31" s="478"/>
      <c r="QQW31" s="478"/>
      <c r="QQX31" s="478"/>
      <c r="QQY31" s="478"/>
      <c r="QQZ31" s="478"/>
      <c r="QRA31" s="478"/>
      <c r="QRB31" s="478"/>
      <c r="QRC31" s="478"/>
      <c r="QRD31" s="478"/>
      <c r="QRE31" s="478"/>
      <c r="QRF31" s="478"/>
      <c r="QRG31" s="478"/>
      <c r="QRH31" s="478"/>
      <c r="QRI31" s="478"/>
      <c r="QRJ31" s="478"/>
      <c r="QRK31" s="478"/>
      <c r="QRL31" s="478"/>
      <c r="QRM31" s="478"/>
      <c r="QRN31" s="478"/>
      <c r="QRO31" s="478"/>
      <c r="QRP31" s="478"/>
      <c r="QRQ31" s="478"/>
      <c r="QRR31" s="478"/>
      <c r="QRS31" s="478"/>
      <c r="QRT31" s="478"/>
      <c r="QRU31" s="478"/>
      <c r="QRV31" s="478"/>
      <c r="QRW31" s="478"/>
      <c r="QRX31" s="478"/>
      <c r="QRY31" s="478"/>
      <c r="QRZ31" s="478"/>
      <c r="QSA31" s="478"/>
      <c r="QSB31" s="478"/>
      <c r="QSC31" s="478"/>
      <c r="QSD31" s="478"/>
      <c r="QSE31" s="478"/>
      <c r="QSF31" s="478"/>
      <c r="QSG31" s="478"/>
      <c r="QSH31" s="478"/>
      <c r="QSI31" s="478"/>
      <c r="QSJ31" s="478"/>
      <c r="QSK31" s="478"/>
      <c r="QSL31" s="478"/>
      <c r="QSM31" s="478"/>
      <c r="QSN31" s="478"/>
      <c r="QSO31" s="478"/>
      <c r="QSP31" s="478"/>
      <c r="QSQ31" s="478"/>
      <c r="QSR31" s="478"/>
      <c r="QSS31" s="478"/>
      <c r="QST31" s="478"/>
      <c r="QSU31" s="478"/>
      <c r="QSV31" s="478"/>
      <c r="QSW31" s="478"/>
      <c r="QSX31" s="478"/>
      <c r="QSY31" s="478"/>
      <c r="QSZ31" s="478"/>
      <c r="QTA31" s="478"/>
      <c r="QTB31" s="478"/>
      <c r="QTC31" s="478"/>
      <c r="QTD31" s="478"/>
      <c r="QTE31" s="478"/>
      <c r="QTF31" s="478"/>
      <c r="QTG31" s="478"/>
      <c r="QTH31" s="478"/>
      <c r="QTI31" s="478"/>
      <c r="QTJ31" s="478"/>
      <c r="QTK31" s="478"/>
      <c r="QTL31" s="478"/>
      <c r="QTM31" s="478"/>
      <c r="QTN31" s="478"/>
      <c r="QTO31" s="478"/>
      <c r="QTP31" s="478"/>
      <c r="QTQ31" s="478"/>
      <c r="QTR31" s="478"/>
      <c r="QTS31" s="478"/>
      <c r="QTT31" s="478"/>
      <c r="QTU31" s="478"/>
      <c r="QTV31" s="478"/>
      <c r="QTW31" s="478"/>
      <c r="QTX31" s="478"/>
      <c r="QTY31" s="478"/>
      <c r="QTZ31" s="478"/>
      <c r="QUA31" s="478"/>
      <c r="QUB31" s="478"/>
      <c r="QUC31" s="478"/>
      <c r="QUD31" s="478"/>
      <c r="QUE31" s="478"/>
      <c r="QUF31" s="478"/>
      <c r="QUG31" s="478"/>
      <c r="QUH31" s="478"/>
      <c r="QUI31" s="478"/>
      <c r="QUJ31" s="478"/>
      <c r="QUK31" s="478"/>
      <c r="QUL31" s="478"/>
      <c r="QUM31" s="478"/>
      <c r="QUN31" s="478"/>
      <c r="QUO31" s="478"/>
      <c r="QUP31" s="478"/>
      <c r="QUQ31" s="478"/>
      <c r="QUR31" s="478"/>
      <c r="QUS31" s="478"/>
      <c r="QUT31" s="478"/>
      <c r="QUU31" s="478"/>
      <c r="QUV31" s="478"/>
      <c r="QUW31" s="478"/>
      <c r="QUX31" s="478"/>
      <c r="QUY31" s="478"/>
      <c r="QUZ31" s="478"/>
      <c r="QVA31" s="478"/>
      <c r="QVB31" s="478"/>
      <c r="QVC31" s="478"/>
      <c r="QVD31" s="478"/>
      <c r="QVE31" s="478"/>
      <c r="QVF31" s="478"/>
      <c r="QVG31" s="478"/>
      <c r="QVH31" s="478"/>
      <c r="QVI31" s="478"/>
      <c r="QVJ31" s="478"/>
      <c r="QVK31" s="478"/>
      <c r="QVL31" s="478"/>
      <c r="QVM31" s="478"/>
      <c r="QVN31" s="478"/>
      <c r="QVO31" s="478"/>
      <c r="QVP31" s="478"/>
      <c r="QVQ31" s="478"/>
      <c r="QVR31" s="478"/>
      <c r="QVS31" s="478"/>
      <c r="QVT31" s="478"/>
      <c r="QVU31" s="478"/>
      <c r="QVV31" s="478"/>
      <c r="QVW31" s="478"/>
      <c r="QVX31" s="478"/>
      <c r="QVY31" s="478"/>
      <c r="QVZ31" s="478"/>
      <c r="QWA31" s="478"/>
      <c r="QWB31" s="478"/>
      <c r="QWC31" s="478"/>
      <c r="QWD31" s="478"/>
      <c r="QWE31" s="478"/>
      <c r="QWF31" s="478"/>
      <c r="QWG31" s="478"/>
      <c r="QWH31" s="478"/>
      <c r="QWI31" s="478"/>
      <c r="QWJ31" s="478"/>
      <c r="QWK31" s="478"/>
      <c r="QWL31" s="478"/>
      <c r="QWM31" s="478"/>
      <c r="QWN31" s="478"/>
      <c r="QWO31" s="478"/>
      <c r="QWP31" s="478"/>
      <c r="QWQ31" s="478"/>
      <c r="QWR31" s="478"/>
      <c r="QWS31" s="478"/>
      <c r="QWT31" s="478"/>
      <c r="QWU31" s="478"/>
      <c r="QWV31" s="478"/>
      <c r="QWW31" s="478"/>
      <c r="QWX31" s="478"/>
      <c r="QWY31" s="478"/>
      <c r="QWZ31" s="478"/>
      <c r="QXA31" s="478"/>
      <c r="QXB31" s="478"/>
      <c r="QXC31" s="478"/>
      <c r="QXD31" s="478"/>
      <c r="QXE31" s="478"/>
      <c r="QXF31" s="478"/>
      <c r="QXG31" s="478"/>
      <c r="QXH31" s="478"/>
      <c r="QXI31" s="478"/>
      <c r="QXJ31" s="478"/>
      <c r="QXK31" s="478"/>
      <c r="QXL31" s="478"/>
      <c r="QXM31" s="478"/>
      <c r="QXN31" s="478"/>
      <c r="QXO31" s="478"/>
      <c r="QXP31" s="478"/>
      <c r="QXQ31" s="478"/>
      <c r="QXR31" s="478"/>
      <c r="QXS31" s="478"/>
      <c r="QXT31" s="478"/>
      <c r="QXU31" s="478"/>
      <c r="QXV31" s="478"/>
      <c r="QXW31" s="478"/>
      <c r="QXX31" s="478"/>
      <c r="QXY31" s="478"/>
      <c r="QXZ31" s="478"/>
      <c r="QYA31" s="478"/>
      <c r="QYB31" s="478"/>
      <c r="QYC31" s="478"/>
      <c r="QYD31" s="478"/>
      <c r="QYE31" s="478"/>
      <c r="QYF31" s="478"/>
      <c r="QYG31" s="478"/>
      <c r="QYH31" s="478"/>
      <c r="QYI31" s="478"/>
      <c r="QYJ31" s="478"/>
      <c r="QYK31" s="478"/>
      <c r="QYL31" s="478"/>
      <c r="QYM31" s="478"/>
      <c r="QYN31" s="478"/>
      <c r="QYO31" s="478"/>
      <c r="QYP31" s="478"/>
      <c r="QYQ31" s="478"/>
      <c r="QYR31" s="478"/>
      <c r="QYS31" s="478"/>
      <c r="QYT31" s="478"/>
      <c r="QYU31" s="478"/>
      <c r="QYV31" s="478"/>
      <c r="QYW31" s="478"/>
      <c r="QYX31" s="478"/>
      <c r="QYY31" s="478"/>
      <c r="QYZ31" s="478"/>
      <c r="QZA31" s="478"/>
      <c r="QZB31" s="478"/>
      <c r="QZC31" s="478"/>
      <c r="QZD31" s="478"/>
      <c r="QZE31" s="478"/>
      <c r="QZF31" s="478"/>
      <c r="QZG31" s="478"/>
      <c r="QZH31" s="478"/>
      <c r="QZI31" s="478"/>
      <c r="QZJ31" s="478"/>
      <c r="QZK31" s="478"/>
      <c r="QZL31" s="478"/>
      <c r="QZM31" s="478"/>
      <c r="QZN31" s="478"/>
      <c r="QZO31" s="478"/>
      <c r="QZP31" s="478"/>
      <c r="QZQ31" s="478"/>
      <c r="QZR31" s="478"/>
      <c r="QZS31" s="478"/>
      <c r="QZT31" s="478"/>
      <c r="QZU31" s="478"/>
      <c r="QZV31" s="478"/>
      <c r="QZW31" s="478"/>
      <c r="QZX31" s="478"/>
      <c r="QZY31" s="478"/>
      <c r="QZZ31" s="478"/>
      <c r="RAA31" s="478"/>
      <c r="RAB31" s="478"/>
      <c r="RAC31" s="478"/>
      <c r="RAD31" s="478"/>
      <c r="RAE31" s="478"/>
      <c r="RAF31" s="478"/>
      <c r="RAG31" s="478"/>
      <c r="RAH31" s="478"/>
      <c r="RAI31" s="478"/>
      <c r="RAJ31" s="478"/>
      <c r="RAK31" s="478"/>
      <c r="RAL31" s="478"/>
      <c r="RAM31" s="478"/>
      <c r="RAN31" s="478"/>
      <c r="RAO31" s="478"/>
      <c r="RAP31" s="478"/>
      <c r="RAQ31" s="478"/>
      <c r="RAR31" s="478"/>
      <c r="RAS31" s="478"/>
      <c r="RAT31" s="478"/>
      <c r="RAU31" s="478"/>
      <c r="RAV31" s="478"/>
      <c r="RAW31" s="478"/>
      <c r="RAX31" s="478"/>
      <c r="RAY31" s="478"/>
      <c r="RAZ31" s="478"/>
      <c r="RBA31" s="478"/>
      <c r="RBB31" s="478"/>
      <c r="RBC31" s="478"/>
      <c r="RBD31" s="478"/>
      <c r="RBE31" s="478"/>
      <c r="RBF31" s="478"/>
      <c r="RBG31" s="478"/>
      <c r="RBH31" s="478"/>
      <c r="RBI31" s="478"/>
      <c r="RBJ31" s="478"/>
      <c r="RBK31" s="478"/>
      <c r="RBL31" s="478"/>
      <c r="RBM31" s="478"/>
      <c r="RBN31" s="478"/>
      <c r="RBO31" s="478"/>
      <c r="RBP31" s="478"/>
      <c r="RBQ31" s="478"/>
      <c r="RBR31" s="478"/>
      <c r="RBS31" s="478"/>
      <c r="RBT31" s="478"/>
      <c r="RBU31" s="478"/>
      <c r="RBV31" s="478"/>
      <c r="RBW31" s="478"/>
      <c r="RBX31" s="478"/>
      <c r="RBY31" s="478"/>
      <c r="RBZ31" s="478"/>
      <c r="RCA31" s="478"/>
      <c r="RCB31" s="478"/>
      <c r="RCC31" s="478"/>
      <c r="RCD31" s="478"/>
      <c r="RCE31" s="478"/>
      <c r="RCF31" s="478"/>
      <c r="RCG31" s="478"/>
      <c r="RCH31" s="478"/>
      <c r="RCI31" s="478"/>
      <c r="RCJ31" s="478"/>
      <c r="RCK31" s="478"/>
      <c r="RCL31" s="478"/>
      <c r="RCM31" s="478"/>
      <c r="RCN31" s="478"/>
      <c r="RCO31" s="478"/>
      <c r="RCP31" s="478"/>
      <c r="RCQ31" s="478"/>
      <c r="RCR31" s="478"/>
      <c r="RCS31" s="478"/>
      <c r="RCT31" s="478"/>
      <c r="RCU31" s="478"/>
      <c r="RCV31" s="478"/>
      <c r="RCW31" s="478"/>
      <c r="RCX31" s="478"/>
      <c r="RCY31" s="478"/>
      <c r="RCZ31" s="478"/>
      <c r="RDA31" s="478"/>
      <c r="RDB31" s="478"/>
      <c r="RDC31" s="478"/>
      <c r="RDD31" s="478"/>
      <c r="RDE31" s="478"/>
      <c r="RDF31" s="478"/>
      <c r="RDG31" s="478"/>
      <c r="RDH31" s="478"/>
      <c r="RDI31" s="478"/>
      <c r="RDJ31" s="478"/>
      <c r="RDK31" s="478"/>
      <c r="RDL31" s="478"/>
      <c r="RDM31" s="478"/>
      <c r="RDN31" s="478"/>
      <c r="RDO31" s="478"/>
      <c r="RDP31" s="478"/>
      <c r="RDQ31" s="478"/>
      <c r="RDR31" s="478"/>
      <c r="RDS31" s="478"/>
      <c r="RDT31" s="478"/>
      <c r="RDU31" s="478"/>
      <c r="RDV31" s="478"/>
      <c r="RDW31" s="478"/>
      <c r="RDX31" s="478"/>
      <c r="RDY31" s="478"/>
      <c r="RDZ31" s="478"/>
      <c r="REA31" s="478"/>
      <c r="REB31" s="478"/>
      <c r="REC31" s="478"/>
      <c r="RED31" s="478"/>
      <c r="REE31" s="478"/>
      <c r="REF31" s="478"/>
      <c r="REG31" s="478"/>
      <c r="REH31" s="478"/>
      <c r="REI31" s="478"/>
      <c r="REJ31" s="478"/>
      <c r="REK31" s="478"/>
      <c r="REL31" s="478"/>
      <c r="REM31" s="478"/>
      <c r="REN31" s="478"/>
      <c r="REO31" s="478"/>
      <c r="REP31" s="478"/>
      <c r="REQ31" s="478"/>
      <c r="RER31" s="478"/>
      <c r="RES31" s="478"/>
      <c r="RET31" s="478"/>
      <c r="REU31" s="478"/>
      <c r="REV31" s="478"/>
      <c r="REW31" s="478"/>
      <c r="REX31" s="478"/>
      <c r="REY31" s="478"/>
      <c r="REZ31" s="478"/>
      <c r="RFA31" s="478"/>
      <c r="RFB31" s="478"/>
      <c r="RFC31" s="478"/>
      <c r="RFD31" s="478"/>
      <c r="RFE31" s="478"/>
      <c r="RFF31" s="478"/>
      <c r="RFG31" s="478"/>
      <c r="RFH31" s="478"/>
      <c r="RFI31" s="478"/>
      <c r="RFJ31" s="478"/>
      <c r="RFK31" s="478"/>
      <c r="RFL31" s="478"/>
      <c r="RFM31" s="478"/>
      <c r="RFN31" s="478"/>
      <c r="RFO31" s="478"/>
      <c r="RFP31" s="478"/>
      <c r="RFQ31" s="478"/>
      <c r="RFR31" s="478"/>
      <c r="RFS31" s="478"/>
      <c r="RFT31" s="478"/>
      <c r="RFU31" s="478"/>
      <c r="RFV31" s="478"/>
      <c r="RFW31" s="478"/>
      <c r="RFX31" s="478"/>
      <c r="RFY31" s="478"/>
      <c r="RFZ31" s="478"/>
      <c r="RGA31" s="478"/>
      <c r="RGB31" s="478"/>
      <c r="RGC31" s="478"/>
      <c r="RGD31" s="478"/>
      <c r="RGE31" s="478"/>
      <c r="RGF31" s="478"/>
      <c r="RGG31" s="478"/>
      <c r="RGH31" s="478"/>
      <c r="RGI31" s="478"/>
      <c r="RGJ31" s="478"/>
      <c r="RGK31" s="478"/>
      <c r="RGL31" s="478"/>
      <c r="RGM31" s="478"/>
      <c r="RGN31" s="478"/>
      <c r="RGO31" s="478"/>
      <c r="RGP31" s="478"/>
      <c r="RGQ31" s="478"/>
      <c r="RGR31" s="478"/>
      <c r="RGS31" s="478"/>
      <c r="RGT31" s="478"/>
      <c r="RGU31" s="478"/>
      <c r="RGV31" s="478"/>
      <c r="RGW31" s="478"/>
      <c r="RGX31" s="478"/>
      <c r="RGY31" s="478"/>
      <c r="RGZ31" s="478"/>
      <c r="RHA31" s="478"/>
      <c r="RHB31" s="478"/>
      <c r="RHC31" s="478"/>
      <c r="RHD31" s="478"/>
      <c r="RHE31" s="478"/>
      <c r="RHF31" s="478"/>
      <c r="RHG31" s="478"/>
      <c r="RHH31" s="478"/>
      <c r="RHI31" s="478"/>
      <c r="RHJ31" s="478"/>
      <c r="RHK31" s="478"/>
      <c r="RHL31" s="478"/>
      <c r="RHM31" s="478"/>
      <c r="RHN31" s="478"/>
      <c r="RHO31" s="478"/>
      <c r="RHP31" s="478"/>
      <c r="RHQ31" s="478"/>
      <c r="RHR31" s="478"/>
      <c r="RHS31" s="478"/>
      <c r="RHT31" s="478"/>
      <c r="RHU31" s="478"/>
      <c r="RHV31" s="478"/>
      <c r="RHW31" s="478"/>
      <c r="RHX31" s="478"/>
      <c r="RHY31" s="478"/>
      <c r="RHZ31" s="478"/>
      <c r="RIA31" s="478"/>
      <c r="RIB31" s="478"/>
      <c r="RIC31" s="478"/>
      <c r="RID31" s="478"/>
      <c r="RIE31" s="478"/>
      <c r="RIF31" s="478"/>
      <c r="RIG31" s="478"/>
      <c r="RIH31" s="478"/>
      <c r="RII31" s="478"/>
      <c r="RIJ31" s="478"/>
      <c r="RIK31" s="478"/>
      <c r="RIL31" s="478"/>
      <c r="RIM31" s="478"/>
      <c r="RIN31" s="478"/>
      <c r="RIO31" s="478"/>
      <c r="RIP31" s="478"/>
      <c r="RIQ31" s="478"/>
      <c r="RIR31" s="478"/>
      <c r="RIS31" s="478"/>
      <c r="RIT31" s="478"/>
      <c r="RIU31" s="478"/>
      <c r="RIV31" s="478"/>
      <c r="RIW31" s="478"/>
      <c r="RIX31" s="478"/>
      <c r="RIY31" s="478"/>
      <c r="RIZ31" s="478"/>
      <c r="RJA31" s="478"/>
      <c r="RJB31" s="478"/>
      <c r="RJC31" s="478"/>
      <c r="RJD31" s="478"/>
      <c r="RJE31" s="478"/>
      <c r="RJF31" s="478"/>
      <c r="RJG31" s="478"/>
      <c r="RJH31" s="478"/>
      <c r="RJI31" s="478"/>
      <c r="RJJ31" s="478"/>
      <c r="RJK31" s="478"/>
      <c r="RJL31" s="478"/>
      <c r="RJM31" s="478"/>
      <c r="RJN31" s="478"/>
      <c r="RJO31" s="478"/>
      <c r="RJP31" s="478"/>
      <c r="RJQ31" s="478"/>
      <c r="RJR31" s="478"/>
      <c r="RJS31" s="478"/>
      <c r="RJT31" s="478"/>
      <c r="RJU31" s="478"/>
      <c r="RJV31" s="478"/>
      <c r="RJW31" s="478"/>
      <c r="RJX31" s="478"/>
      <c r="RJY31" s="478"/>
      <c r="RJZ31" s="478"/>
      <c r="RKA31" s="478"/>
      <c r="RKB31" s="478"/>
      <c r="RKC31" s="478"/>
      <c r="RKD31" s="478"/>
      <c r="RKE31" s="478"/>
      <c r="RKF31" s="478"/>
      <c r="RKG31" s="478"/>
      <c r="RKH31" s="478"/>
      <c r="RKI31" s="478"/>
      <c r="RKJ31" s="478"/>
      <c r="RKK31" s="478"/>
      <c r="RKL31" s="478"/>
      <c r="RKM31" s="478"/>
      <c r="RKN31" s="478"/>
      <c r="RKO31" s="478"/>
      <c r="RKP31" s="478"/>
      <c r="RKQ31" s="478"/>
      <c r="RKR31" s="478"/>
      <c r="RKS31" s="478"/>
      <c r="RKT31" s="478"/>
      <c r="RKU31" s="478"/>
      <c r="RKV31" s="478"/>
      <c r="RKW31" s="478"/>
      <c r="RKX31" s="478"/>
      <c r="RKY31" s="478"/>
      <c r="RKZ31" s="478"/>
      <c r="RLA31" s="478"/>
      <c r="RLB31" s="478"/>
      <c r="RLC31" s="478"/>
      <c r="RLD31" s="478"/>
      <c r="RLE31" s="478"/>
      <c r="RLF31" s="478"/>
      <c r="RLG31" s="478"/>
      <c r="RLH31" s="478"/>
      <c r="RLI31" s="478"/>
      <c r="RLJ31" s="478"/>
      <c r="RLK31" s="478"/>
      <c r="RLL31" s="478"/>
      <c r="RLM31" s="478"/>
      <c r="RLN31" s="478"/>
      <c r="RLO31" s="478"/>
      <c r="RLP31" s="478"/>
      <c r="RLQ31" s="478"/>
      <c r="RLR31" s="478"/>
      <c r="RLS31" s="478"/>
      <c r="RLT31" s="478"/>
      <c r="RLU31" s="478"/>
      <c r="RLV31" s="478"/>
      <c r="RLW31" s="478"/>
      <c r="RLX31" s="478"/>
      <c r="RLY31" s="478"/>
      <c r="RLZ31" s="478"/>
      <c r="RMA31" s="478"/>
      <c r="RMB31" s="478"/>
      <c r="RMC31" s="478"/>
      <c r="RMD31" s="478"/>
      <c r="RME31" s="478"/>
      <c r="RMF31" s="478"/>
      <c r="RMG31" s="478"/>
      <c r="RMH31" s="478"/>
      <c r="RMI31" s="478"/>
      <c r="RMJ31" s="478"/>
      <c r="RMK31" s="478"/>
      <c r="RML31" s="478"/>
      <c r="RMM31" s="478"/>
      <c r="RMN31" s="478"/>
      <c r="RMO31" s="478"/>
      <c r="RMP31" s="478"/>
      <c r="RMQ31" s="478"/>
      <c r="RMR31" s="478"/>
      <c r="RMS31" s="478"/>
      <c r="RMT31" s="478"/>
      <c r="RMU31" s="478"/>
      <c r="RMV31" s="478"/>
      <c r="RMW31" s="478"/>
      <c r="RMX31" s="478"/>
      <c r="RMY31" s="478"/>
      <c r="RMZ31" s="478"/>
      <c r="RNA31" s="478"/>
      <c r="RNB31" s="478"/>
      <c r="RNC31" s="478"/>
      <c r="RND31" s="478"/>
      <c r="RNE31" s="478"/>
      <c r="RNF31" s="478"/>
      <c r="RNG31" s="478"/>
      <c r="RNH31" s="478"/>
      <c r="RNI31" s="478"/>
      <c r="RNJ31" s="478"/>
      <c r="RNK31" s="478"/>
      <c r="RNL31" s="478"/>
      <c r="RNM31" s="478"/>
      <c r="RNN31" s="478"/>
      <c r="RNO31" s="478"/>
      <c r="RNP31" s="478"/>
      <c r="RNQ31" s="478"/>
      <c r="RNR31" s="478"/>
      <c r="RNS31" s="478"/>
      <c r="RNT31" s="478"/>
      <c r="RNU31" s="478"/>
      <c r="RNV31" s="478"/>
      <c r="RNW31" s="478"/>
      <c r="RNX31" s="478"/>
      <c r="RNY31" s="478"/>
      <c r="RNZ31" s="478"/>
      <c r="ROA31" s="478"/>
      <c r="ROB31" s="478"/>
      <c r="ROC31" s="478"/>
      <c r="ROD31" s="478"/>
      <c r="ROE31" s="478"/>
      <c r="ROF31" s="478"/>
      <c r="ROG31" s="478"/>
      <c r="ROH31" s="478"/>
      <c r="ROI31" s="478"/>
      <c r="ROJ31" s="478"/>
      <c r="ROK31" s="478"/>
      <c r="ROL31" s="478"/>
      <c r="ROM31" s="478"/>
      <c r="RON31" s="478"/>
      <c r="ROO31" s="478"/>
      <c r="ROP31" s="478"/>
      <c r="ROQ31" s="478"/>
      <c r="ROR31" s="478"/>
      <c r="ROS31" s="478"/>
      <c r="ROT31" s="478"/>
      <c r="ROU31" s="478"/>
      <c r="ROV31" s="478"/>
      <c r="ROW31" s="478"/>
      <c r="ROX31" s="478"/>
      <c r="ROY31" s="478"/>
      <c r="ROZ31" s="478"/>
      <c r="RPA31" s="478"/>
      <c r="RPB31" s="478"/>
      <c r="RPC31" s="478"/>
      <c r="RPD31" s="478"/>
      <c r="RPE31" s="478"/>
      <c r="RPF31" s="478"/>
      <c r="RPG31" s="478"/>
      <c r="RPH31" s="478"/>
      <c r="RPI31" s="478"/>
      <c r="RPJ31" s="478"/>
      <c r="RPK31" s="478"/>
      <c r="RPL31" s="478"/>
      <c r="RPM31" s="478"/>
      <c r="RPN31" s="478"/>
      <c r="RPO31" s="478"/>
      <c r="RPP31" s="478"/>
      <c r="RPQ31" s="478"/>
      <c r="RPR31" s="478"/>
      <c r="RPS31" s="478"/>
      <c r="RPT31" s="478"/>
      <c r="RPU31" s="478"/>
      <c r="RPV31" s="478"/>
      <c r="RPW31" s="478"/>
      <c r="RPX31" s="478"/>
      <c r="RPY31" s="478"/>
      <c r="RPZ31" s="478"/>
      <c r="RQA31" s="478"/>
      <c r="RQB31" s="478"/>
      <c r="RQC31" s="478"/>
      <c r="RQD31" s="478"/>
      <c r="RQE31" s="478"/>
      <c r="RQF31" s="478"/>
      <c r="RQG31" s="478"/>
      <c r="RQH31" s="478"/>
      <c r="RQI31" s="478"/>
      <c r="RQJ31" s="478"/>
      <c r="RQK31" s="478"/>
      <c r="RQL31" s="478"/>
      <c r="RQM31" s="478"/>
      <c r="RQN31" s="478"/>
      <c r="RQO31" s="478"/>
      <c r="RQP31" s="478"/>
      <c r="RQQ31" s="478"/>
      <c r="RQR31" s="478"/>
      <c r="RQS31" s="478"/>
      <c r="RQT31" s="478"/>
      <c r="RQU31" s="478"/>
      <c r="RQV31" s="478"/>
      <c r="RQW31" s="478"/>
      <c r="RQX31" s="478"/>
      <c r="RQY31" s="478"/>
      <c r="RQZ31" s="478"/>
      <c r="RRA31" s="478"/>
      <c r="RRB31" s="478"/>
      <c r="RRC31" s="478"/>
      <c r="RRD31" s="478"/>
      <c r="RRE31" s="478"/>
      <c r="RRF31" s="478"/>
      <c r="RRG31" s="478"/>
      <c r="RRH31" s="478"/>
      <c r="RRI31" s="478"/>
      <c r="RRJ31" s="478"/>
      <c r="RRK31" s="478"/>
      <c r="RRL31" s="478"/>
      <c r="RRM31" s="478"/>
      <c r="RRN31" s="478"/>
      <c r="RRO31" s="478"/>
      <c r="RRP31" s="478"/>
      <c r="RRQ31" s="478"/>
      <c r="RRR31" s="478"/>
      <c r="RRS31" s="478"/>
      <c r="RRT31" s="478"/>
      <c r="RRU31" s="478"/>
      <c r="RRV31" s="478"/>
      <c r="RRW31" s="478"/>
      <c r="RRX31" s="478"/>
      <c r="RRY31" s="478"/>
      <c r="RRZ31" s="478"/>
      <c r="RSA31" s="478"/>
      <c r="RSB31" s="478"/>
      <c r="RSC31" s="478"/>
      <c r="RSD31" s="478"/>
      <c r="RSE31" s="478"/>
      <c r="RSF31" s="478"/>
      <c r="RSG31" s="478"/>
      <c r="RSH31" s="478"/>
      <c r="RSI31" s="478"/>
      <c r="RSJ31" s="478"/>
      <c r="RSK31" s="478"/>
      <c r="RSL31" s="478"/>
      <c r="RSM31" s="478"/>
      <c r="RSN31" s="478"/>
      <c r="RSO31" s="478"/>
      <c r="RSP31" s="478"/>
      <c r="RSQ31" s="478"/>
      <c r="RSR31" s="478"/>
      <c r="RSS31" s="478"/>
      <c r="RST31" s="478"/>
      <c r="RSU31" s="478"/>
      <c r="RSV31" s="478"/>
      <c r="RSW31" s="478"/>
      <c r="RSX31" s="478"/>
      <c r="RSY31" s="478"/>
      <c r="RSZ31" s="478"/>
      <c r="RTA31" s="478"/>
      <c r="RTB31" s="478"/>
      <c r="RTC31" s="478"/>
      <c r="RTD31" s="478"/>
      <c r="RTE31" s="478"/>
      <c r="RTF31" s="478"/>
      <c r="RTG31" s="478"/>
      <c r="RTH31" s="478"/>
      <c r="RTI31" s="478"/>
      <c r="RTJ31" s="478"/>
      <c r="RTK31" s="478"/>
      <c r="RTL31" s="478"/>
      <c r="RTM31" s="478"/>
      <c r="RTN31" s="478"/>
      <c r="RTO31" s="478"/>
      <c r="RTP31" s="478"/>
      <c r="RTQ31" s="478"/>
      <c r="RTR31" s="478"/>
      <c r="RTS31" s="478"/>
      <c r="RTT31" s="478"/>
      <c r="RTU31" s="478"/>
      <c r="RTV31" s="478"/>
      <c r="RTW31" s="478"/>
      <c r="RTX31" s="478"/>
      <c r="RTY31" s="478"/>
      <c r="RTZ31" s="478"/>
      <c r="RUA31" s="478"/>
      <c r="RUB31" s="478"/>
      <c r="RUC31" s="478"/>
      <c r="RUD31" s="478"/>
      <c r="RUE31" s="478"/>
      <c r="RUF31" s="478"/>
      <c r="RUG31" s="478"/>
      <c r="RUH31" s="478"/>
      <c r="RUI31" s="478"/>
      <c r="RUJ31" s="478"/>
      <c r="RUK31" s="478"/>
      <c r="RUL31" s="478"/>
      <c r="RUM31" s="478"/>
      <c r="RUN31" s="478"/>
      <c r="RUO31" s="478"/>
      <c r="RUP31" s="478"/>
      <c r="RUQ31" s="478"/>
      <c r="RUR31" s="478"/>
      <c r="RUS31" s="478"/>
      <c r="RUT31" s="478"/>
      <c r="RUU31" s="478"/>
      <c r="RUV31" s="478"/>
      <c r="RUW31" s="478"/>
      <c r="RUX31" s="478"/>
      <c r="RUY31" s="478"/>
      <c r="RUZ31" s="478"/>
      <c r="RVA31" s="478"/>
      <c r="RVB31" s="478"/>
      <c r="RVC31" s="478"/>
      <c r="RVD31" s="478"/>
      <c r="RVE31" s="478"/>
      <c r="RVF31" s="478"/>
      <c r="RVG31" s="478"/>
      <c r="RVH31" s="478"/>
      <c r="RVI31" s="478"/>
      <c r="RVJ31" s="478"/>
      <c r="RVK31" s="478"/>
      <c r="RVL31" s="478"/>
      <c r="RVM31" s="478"/>
      <c r="RVN31" s="478"/>
      <c r="RVO31" s="478"/>
      <c r="RVP31" s="478"/>
      <c r="RVQ31" s="478"/>
      <c r="RVR31" s="478"/>
      <c r="RVS31" s="478"/>
      <c r="RVT31" s="478"/>
      <c r="RVU31" s="478"/>
      <c r="RVV31" s="478"/>
      <c r="RVW31" s="478"/>
      <c r="RVX31" s="478"/>
      <c r="RVY31" s="478"/>
      <c r="RVZ31" s="478"/>
      <c r="RWA31" s="478"/>
      <c r="RWB31" s="478"/>
      <c r="RWC31" s="478"/>
      <c r="RWD31" s="478"/>
      <c r="RWE31" s="478"/>
      <c r="RWF31" s="478"/>
      <c r="RWG31" s="478"/>
      <c r="RWH31" s="478"/>
      <c r="RWI31" s="478"/>
      <c r="RWJ31" s="478"/>
      <c r="RWK31" s="478"/>
      <c r="RWL31" s="478"/>
      <c r="RWM31" s="478"/>
      <c r="RWN31" s="478"/>
      <c r="RWO31" s="478"/>
      <c r="RWP31" s="478"/>
      <c r="RWQ31" s="478"/>
      <c r="RWR31" s="478"/>
      <c r="RWS31" s="478"/>
      <c r="RWT31" s="478"/>
      <c r="RWU31" s="478"/>
      <c r="RWV31" s="478"/>
      <c r="RWW31" s="478"/>
      <c r="RWX31" s="478"/>
      <c r="RWY31" s="478"/>
      <c r="RWZ31" s="478"/>
      <c r="RXA31" s="478"/>
      <c r="RXB31" s="478"/>
      <c r="RXC31" s="478"/>
      <c r="RXD31" s="478"/>
      <c r="RXE31" s="478"/>
      <c r="RXF31" s="478"/>
      <c r="RXG31" s="478"/>
      <c r="RXH31" s="478"/>
      <c r="RXI31" s="478"/>
      <c r="RXJ31" s="478"/>
      <c r="RXK31" s="478"/>
      <c r="RXL31" s="478"/>
      <c r="RXM31" s="478"/>
      <c r="RXN31" s="478"/>
      <c r="RXO31" s="478"/>
      <c r="RXP31" s="478"/>
      <c r="RXQ31" s="478"/>
      <c r="RXR31" s="478"/>
      <c r="RXS31" s="478"/>
      <c r="RXT31" s="478"/>
      <c r="RXU31" s="478"/>
      <c r="RXV31" s="478"/>
      <c r="RXW31" s="478"/>
      <c r="RXX31" s="478"/>
      <c r="RXY31" s="478"/>
      <c r="RXZ31" s="478"/>
      <c r="RYA31" s="478"/>
      <c r="RYB31" s="478"/>
      <c r="RYC31" s="478"/>
      <c r="RYD31" s="478"/>
      <c r="RYE31" s="478"/>
      <c r="RYF31" s="478"/>
      <c r="RYG31" s="478"/>
      <c r="RYH31" s="478"/>
      <c r="RYI31" s="478"/>
      <c r="RYJ31" s="478"/>
      <c r="RYK31" s="478"/>
      <c r="RYL31" s="478"/>
      <c r="RYM31" s="478"/>
      <c r="RYN31" s="478"/>
      <c r="RYO31" s="478"/>
      <c r="RYP31" s="478"/>
      <c r="RYQ31" s="478"/>
      <c r="RYR31" s="478"/>
      <c r="RYS31" s="478"/>
      <c r="RYT31" s="478"/>
      <c r="RYU31" s="478"/>
      <c r="RYV31" s="478"/>
      <c r="RYW31" s="478"/>
      <c r="RYX31" s="478"/>
      <c r="RYY31" s="478"/>
      <c r="RYZ31" s="478"/>
      <c r="RZA31" s="478"/>
      <c r="RZB31" s="478"/>
      <c r="RZC31" s="478"/>
      <c r="RZD31" s="478"/>
      <c r="RZE31" s="478"/>
      <c r="RZF31" s="478"/>
      <c r="RZG31" s="478"/>
      <c r="RZH31" s="478"/>
      <c r="RZI31" s="478"/>
      <c r="RZJ31" s="478"/>
      <c r="RZK31" s="478"/>
      <c r="RZL31" s="478"/>
      <c r="RZM31" s="478"/>
      <c r="RZN31" s="478"/>
      <c r="RZO31" s="478"/>
      <c r="RZP31" s="478"/>
      <c r="RZQ31" s="478"/>
      <c r="RZR31" s="478"/>
      <c r="RZS31" s="478"/>
      <c r="RZT31" s="478"/>
      <c r="RZU31" s="478"/>
      <c r="RZV31" s="478"/>
      <c r="RZW31" s="478"/>
      <c r="RZX31" s="478"/>
      <c r="RZY31" s="478"/>
      <c r="RZZ31" s="478"/>
      <c r="SAA31" s="478"/>
      <c r="SAB31" s="478"/>
      <c r="SAC31" s="478"/>
      <c r="SAD31" s="478"/>
      <c r="SAE31" s="478"/>
      <c r="SAF31" s="478"/>
      <c r="SAG31" s="478"/>
      <c r="SAH31" s="478"/>
      <c r="SAI31" s="478"/>
      <c r="SAJ31" s="478"/>
      <c r="SAK31" s="478"/>
      <c r="SAL31" s="478"/>
      <c r="SAM31" s="478"/>
      <c r="SAN31" s="478"/>
      <c r="SAO31" s="478"/>
      <c r="SAP31" s="478"/>
      <c r="SAQ31" s="478"/>
      <c r="SAR31" s="478"/>
      <c r="SAS31" s="478"/>
      <c r="SAT31" s="478"/>
      <c r="SAU31" s="478"/>
      <c r="SAV31" s="478"/>
      <c r="SAW31" s="478"/>
      <c r="SAX31" s="478"/>
      <c r="SAY31" s="478"/>
      <c r="SAZ31" s="478"/>
      <c r="SBA31" s="478"/>
      <c r="SBB31" s="478"/>
      <c r="SBC31" s="478"/>
      <c r="SBD31" s="478"/>
      <c r="SBE31" s="478"/>
      <c r="SBF31" s="478"/>
      <c r="SBG31" s="478"/>
      <c r="SBH31" s="478"/>
      <c r="SBI31" s="478"/>
      <c r="SBJ31" s="478"/>
      <c r="SBK31" s="478"/>
      <c r="SBL31" s="478"/>
      <c r="SBM31" s="478"/>
      <c r="SBN31" s="478"/>
      <c r="SBO31" s="478"/>
      <c r="SBP31" s="478"/>
      <c r="SBQ31" s="478"/>
      <c r="SBR31" s="478"/>
      <c r="SBS31" s="478"/>
      <c r="SBT31" s="478"/>
      <c r="SBU31" s="478"/>
      <c r="SBV31" s="478"/>
      <c r="SBW31" s="478"/>
      <c r="SBX31" s="478"/>
      <c r="SBY31" s="478"/>
      <c r="SBZ31" s="478"/>
      <c r="SCA31" s="478"/>
      <c r="SCB31" s="478"/>
      <c r="SCC31" s="478"/>
      <c r="SCD31" s="478"/>
      <c r="SCE31" s="478"/>
      <c r="SCF31" s="478"/>
      <c r="SCG31" s="478"/>
      <c r="SCH31" s="478"/>
      <c r="SCI31" s="478"/>
      <c r="SCJ31" s="478"/>
      <c r="SCK31" s="478"/>
      <c r="SCL31" s="478"/>
      <c r="SCM31" s="478"/>
      <c r="SCN31" s="478"/>
      <c r="SCO31" s="478"/>
      <c r="SCP31" s="478"/>
      <c r="SCQ31" s="478"/>
      <c r="SCR31" s="478"/>
      <c r="SCS31" s="478"/>
      <c r="SCT31" s="478"/>
      <c r="SCU31" s="478"/>
      <c r="SCV31" s="478"/>
      <c r="SCW31" s="478"/>
      <c r="SCX31" s="478"/>
      <c r="SCY31" s="478"/>
      <c r="SCZ31" s="478"/>
      <c r="SDA31" s="478"/>
      <c r="SDB31" s="478"/>
      <c r="SDC31" s="478"/>
      <c r="SDD31" s="478"/>
      <c r="SDE31" s="478"/>
      <c r="SDF31" s="478"/>
      <c r="SDG31" s="478"/>
      <c r="SDH31" s="478"/>
      <c r="SDI31" s="478"/>
      <c r="SDJ31" s="478"/>
      <c r="SDK31" s="478"/>
      <c r="SDL31" s="478"/>
      <c r="SDM31" s="478"/>
      <c r="SDN31" s="478"/>
      <c r="SDO31" s="478"/>
      <c r="SDP31" s="478"/>
      <c r="SDQ31" s="478"/>
      <c r="SDR31" s="478"/>
      <c r="SDS31" s="478"/>
      <c r="SDT31" s="478"/>
      <c r="SDU31" s="478"/>
      <c r="SDV31" s="478"/>
      <c r="SDW31" s="478"/>
      <c r="SDX31" s="478"/>
      <c r="SDY31" s="478"/>
      <c r="SDZ31" s="478"/>
      <c r="SEA31" s="478"/>
      <c r="SEB31" s="478"/>
      <c r="SEC31" s="478"/>
      <c r="SED31" s="478"/>
      <c r="SEE31" s="478"/>
      <c r="SEF31" s="478"/>
      <c r="SEG31" s="478"/>
      <c r="SEH31" s="478"/>
      <c r="SEI31" s="478"/>
      <c r="SEJ31" s="478"/>
      <c r="SEK31" s="478"/>
      <c r="SEL31" s="478"/>
      <c r="SEM31" s="478"/>
      <c r="SEN31" s="478"/>
      <c r="SEO31" s="478"/>
      <c r="SEP31" s="478"/>
      <c r="SEQ31" s="478"/>
      <c r="SER31" s="478"/>
      <c r="SES31" s="478"/>
      <c r="SET31" s="478"/>
      <c r="SEU31" s="478"/>
      <c r="SEV31" s="478"/>
      <c r="SEW31" s="478"/>
      <c r="SEX31" s="478"/>
      <c r="SEY31" s="478"/>
      <c r="SEZ31" s="478"/>
      <c r="SFA31" s="478"/>
      <c r="SFB31" s="478"/>
      <c r="SFC31" s="478"/>
      <c r="SFD31" s="478"/>
      <c r="SFE31" s="478"/>
      <c r="SFF31" s="478"/>
      <c r="SFG31" s="478"/>
      <c r="SFH31" s="478"/>
      <c r="SFI31" s="478"/>
      <c r="SFJ31" s="478"/>
      <c r="SFK31" s="478"/>
      <c r="SFL31" s="478"/>
      <c r="SFM31" s="478"/>
      <c r="SFN31" s="478"/>
      <c r="SFO31" s="478"/>
      <c r="SFP31" s="478"/>
      <c r="SFQ31" s="478"/>
      <c r="SFR31" s="478"/>
      <c r="SFS31" s="478"/>
      <c r="SFT31" s="478"/>
      <c r="SFU31" s="478"/>
      <c r="SFV31" s="478"/>
      <c r="SFW31" s="478"/>
      <c r="SFX31" s="478"/>
      <c r="SFY31" s="478"/>
      <c r="SFZ31" s="478"/>
      <c r="SGA31" s="478"/>
      <c r="SGB31" s="478"/>
      <c r="SGC31" s="478"/>
      <c r="SGD31" s="478"/>
      <c r="SGE31" s="478"/>
      <c r="SGF31" s="478"/>
      <c r="SGG31" s="478"/>
      <c r="SGH31" s="478"/>
      <c r="SGI31" s="478"/>
      <c r="SGJ31" s="478"/>
      <c r="SGK31" s="478"/>
      <c r="SGL31" s="478"/>
      <c r="SGM31" s="478"/>
      <c r="SGN31" s="478"/>
      <c r="SGO31" s="478"/>
      <c r="SGP31" s="478"/>
      <c r="SGQ31" s="478"/>
      <c r="SGR31" s="478"/>
      <c r="SGS31" s="478"/>
      <c r="SGT31" s="478"/>
      <c r="SGU31" s="478"/>
      <c r="SGV31" s="478"/>
      <c r="SGW31" s="478"/>
      <c r="SGX31" s="478"/>
      <c r="SGY31" s="478"/>
      <c r="SGZ31" s="478"/>
      <c r="SHA31" s="478"/>
      <c r="SHB31" s="478"/>
      <c r="SHC31" s="478"/>
      <c r="SHD31" s="478"/>
      <c r="SHE31" s="478"/>
      <c r="SHF31" s="478"/>
      <c r="SHG31" s="478"/>
      <c r="SHH31" s="478"/>
      <c r="SHI31" s="478"/>
      <c r="SHJ31" s="478"/>
      <c r="SHK31" s="478"/>
      <c r="SHL31" s="478"/>
      <c r="SHM31" s="478"/>
      <c r="SHN31" s="478"/>
      <c r="SHO31" s="478"/>
      <c r="SHP31" s="478"/>
      <c r="SHQ31" s="478"/>
      <c r="SHR31" s="478"/>
      <c r="SHS31" s="478"/>
      <c r="SHT31" s="478"/>
      <c r="SHU31" s="478"/>
      <c r="SHV31" s="478"/>
      <c r="SHW31" s="478"/>
      <c r="SHX31" s="478"/>
      <c r="SHY31" s="478"/>
      <c r="SHZ31" s="478"/>
      <c r="SIA31" s="478"/>
      <c r="SIB31" s="478"/>
      <c r="SIC31" s="478"/>
      <c r="SID31" s="478"/>
      <c r="SIE31" s="478"/>
      <c r="SIF31" s="478"/>
      <c r="SIG31" s="478"/>
      <c r="SIH31" s="478"/>
      <c r="SII31" s="478"/>
      <c r="SIJ31" s="478"/>
      <c r="SIK31" s="478"/>
      <c r="SIL31" s="478"/>
      <c r="SIM31" s="478"/>
      <c r="SIN31" s="478"/>
      <c r="SIO31" s="478"/>
      <c r="SIP31" s="478"/>
      <c r="SIQ31" s="478"/>
      <c r="SIR31" s="478"/>
      <c r="SIS31" s="478"/>
      <c r="SIT31" s="478"/>
      <c r="SIU31" s="478"/>
      <c r="SIV31" s="478"/>
      <c r="SIW31" s="478"/>
      <c r="SIX31" s="478"/>
      <c r="SIY31" s="478"/>
      <c r="SIZ31" s="478"/>
      <c r="SJA31" s="478"/>
      <c r="SJB31" s="478"/>
      <c r="SJC31" s="478"/>
      <c r="SJD31" s="478"/>
      <c r="SJE31" s="478"/>
      <c r="SJF31" s="478"/>
      <c r="SJG31" s="478"/>
      <c r="SJH31" s="478"/>
      <c r="SJI31" s="478"/>
      <c r="SJJ31" s="478"/>
      <c r="SJK31" s="478"/>
      <c r="SJL31" s="478"/>
      <c r="SJM31" s="478"/>
      <c r="SJN31" s="478"/>
      <c r="SJO31" s="478"/>
      <c r="SJP31" s="478"/>
      <c r="SJQ31" s="478"/>
      <c r="SJR31" s="478"/>
      <c r="SJS31" s="478"/>
      <c r="SJT31" s="478"/>
      <c r="SJU31" s="478"/>
      <c r="SJV31" s="478"/>
      <c r="SJW31" s="478"/>
      <c r="SJX31" s="478"/>
      <c r="SJY31" s="478"/>
      <c r="SJZ31" s="478"/>
      <c r="SKA31" s="478"/>
      <c r="SKB31" s="478"/>
      <c r="SKC31" s="478"/>
      <c r="SKD31" s="478"/>
      <c r="SKE31" s="478"/>
      <c r="SKF31" s="478"/>
      <c r="SKG31" s="478"/>
      <c r="SKH31" s="478"/>
      <c r="SKI31" s="478"/>
      <c r="SKJ31" s="478"/>
      <c r="SKK31" s="478"/>
      <c r="SKL31" s="478"/>
      <c r="SKM31" s="478"/>
      <c r="SKN31" s="478"/>
      <c r="SKO31" s="478"/>
      <c r="SKP31" s="478"/>
      <c r="SKQ31" s="478"/>
      <c r="SKR31" s="478"/>
      <c r="SKS31" s="478"/>
      <c r="SKT31" s="478"/>
      <c r="SKU31" s="478"/>
      <c r="SKV31" s="478"/>
      <c r="SKW31" s="478"/>
      <c r="SKX31" s="478"/>
      <c r="SKY31" s="478"/>
      <c r="SKZ31" s="478"/>
      <c r="SLA31" s="478"/>
      <c r="SLB31" s="478"/>
      <c r="SLC31" s="478"/>
      <c r="SLD31" s="478"/>
      <c r="SLE31" s="478"/>
      <c r="SLF31" s="478"/>
      <c r="SLG31" s="478"/>
      <c r="SLH31" s="478"/>
      <c r="SLI31" s="478"/>
      <c r="SLJ31" s="478"/>
      <c r="SLK31" s="478"/>
      <c r="SLL31" s="478"/>
      <c r="SLM31" s="478"/>
      <c r="SLN31" s="478"/>
      <c r="SLO31" s="478"/>
      <c r="SLP31" s="478"/>
      <c r="SLQ31" s="478"/>
      <c r="SLR31" s="478"/>
      <c r="SLS31" s="478"/>
      <c r="SLT31" s="478"/>
      <c r="SLU31" s="478"/>
      <c r="SLV31" s="478"/>
      <c r="SLW31" s="478"/>
      <c r="SLX31" s="478"/>
      <c r="SLY31" s="478"/>
      <c r="SLZ31" s="478"/>
      <c r="SMA31" s="478"/>
      <c r="SMB31" s="478"/>
      <c r="SMC31" s="478"/>
      <c r="SMD31" s="478"/>
      <c r="SME31" s="478"/>
      <c r="SMF31" s="478"/>
      <c r="SMG31" s="478"/>
      <c r="SMH31" s="478"/>
      <c r="SMI31" s="478"/>
      <c r="SMJ31" s="478"/>
      <c r="SMK31" s="478"/>
      <c r="SML31" s="478"/>
      <c r="SMM31" s="478"/>
      <c r="SMN31" s="478"/>
      <c r="SMO31" s="478"/>
      <c r="SMP31" s="478"/>
      <c r="SMQ31" s="478"/>
      <c r="SMR31" s="478"/>
      <c r="SMS31" s="478"/>
      <c r="SMT31" s="478"/>
      <c r="SMU31" s="478"/>
      <c r="SMV31" s="478"/>
      <c r="SMW31" s="478"/>
      <c r="SMX31" s="478"/>
      <c r="SMY31" s="478"/>
      <c r="SMZ31" s="478"/>
      <c r="SNA31" s="478"/>
      <c r="SNB31" s="478"/>
      <c r="SNC31" s="478"/>
      <c r="SND31" s="478"/>
      <c r="SNE31" s="478"/>
      <c r="SNF31" s="478"/>
      <c r="SNG31" s="478"/>
      <c r="SNH31" s="478"/>
      <c r="SNI31" s="478"/>
      <c r="SNJ31" s="478"/>
      <c r="SNK31" s="478"/>
      <c r="SNL31" s="478"/>
      <c r="SNM31" s="478"/>
      <c r="SNN31" s="478"/>
      <c r="SNO31" s="478"/>
      <c r="SNP31" s="478"/>
      <c r="SNQ31" s="478"/>
      <c r="SNR31" s="478"/>
      <c r="SNS31" s="478"/>
      <c r="SNT31" s="478"/>
      <c r="SNU31" s="478"/>
      <c r="SNV31" s="478"/>
      <c r="SNW31" s="478"/>
      <c r="SNX31" s="478"/>
      <c r="SNY31" s="478"/>
      <c r="SNZ31" s="478"/>
      <c r="SOA31" s="478"/>
      <c r="SOB31" s="478"/>
      <c r="SOC31" s="478"/>
      <c r="SOD31" s="478"/>
      <c r="SOE31" s="478"/>
      <c r="SOF31" s="478"/>
      <c r="SOG31" s="478"/>
      <c r="SOH31" s="478"/>
      <c r="SOI31" s="478"/>
      <c r="SOJ31" s="478"/>
      <c r="SOK31" s="478"/>
      <c r="SOL31" s="478"/>
      <c r="SOM31" s="478"/>
      <c r="SON31" s="478"/>
      <c r="SOO31" s="478"/>
      <c r="SOP31" s="478"/>
      <c r="SOQ31" s="478"/>
      <c r="SOR31" s="478"/>
      <c r="SOS31" s="478"/>
      <c r="SOT31" s="478"/>
      <c r="SOU31" s="478"/>
      <c r="SOV31" s="478"/>
      <c r="SOW31" s="478"/>
      <c r="SOX31" s="478"/>
      <c r="SOY31" s="478"/>
      <c r="SOZ31" s="478"/>
      <c r="SPA31" s="478"/>
      <c r="SPB31" s="478"/>
      <c r="SPC31" s="478"/>
      <c r="SPD31" s="478"/>
      <c r="SPE31" s="478"/>
      <c r="SPF31" s="478"/>
      <c r="SPG31" s="478"/>
      <c r="SPH31" s="478"/>
      <c r="SPI31" s="478"/>
      <c r="SPJ31" s="478"/>
      <c r="SPK31" s="478"/>
      <c r="SPL31" s="478"/>
      <c r="SPM31" s="478"/>
      <c r="SPN31" s="478"/>
      <c r="SPO31" s="478"/>
      <c r="SPP31" s="478"/>
      <c r="SPQ31" s="478"/>
      <c r="SPR31" s="478"/>
      <c r="SPS31" s="478"/>
      <c r="SPT31" s="478"/>
      <c r="SPU31" s="478"/>
      <c r="SPV31" s="478"/>
      <c r="SPW31" s="478"/>
      <c r="SPX31" s="478"/>
      <c r="SPY31" s="478"/>
      <c r="SPZ31" s="478"/>
      <c r="SQA31" s="478"/>
      <c r="SQB31" s="478"/>
      <c r="SQC31" s="478"/>
      <c r="SQD31" s="478"/>
      <c r="SQE31" s="478"/>
      <c r="SQF31" s="478"/>
      <c r="SQG31" s="478"/>
      <c r="SQH31" s="478"/>
      <c r="SQI31" s="478"/>
      <c r="SQJ31" s="478"/>
      <c r="SQK31" s="478"/>
      <c r="SQL31" s="478"/>
      <c r="SQM31" s="478"/>
      <c r="SQN31" s="478"/>
      <c r="SQO31" s="478"/>
      <c r="SQP31" s="478"/>
      <c r="SQQ31" s="478"/>
      <c r="SQR31" s="478"/>
      <c r="SQS31" s="478"/>
      <c r="SQT31" s="478"/>
      <c r="SQU31" s="478"/>
      <c r="SQV31" s="478"/>
      <c r="SQW31" s="478"/>
      <c r="SQX31" s="478"/>
      <c r="SQY31" s="478"/>
      <c r="SQZ31" s="478"/>
      <c r="SRA31" s="478"/>
      <c r="SRB31" s="478"/>
      <c r="SRC31" s="478"/>
      <c r="SRD31" s="478"/>
      <c r="SRE31" s="478"/>
      <c r="SRF31" s="478"/>
      <c r="SRG31" s="478"/>
      <c r="SRH31" s="478"/>
      <c r="SRI31" s="478"/>
      <c r="SRJ31" s="478"/>
      <c r="SRK31" s="478"/>
      <c r="SRL31" s="478"/>
      <c r="SRM31" s="478"/>
      <c r="SRN31" s="478"/>
      <c r="SRO31" s="478"/>
      <c r="SRP31" s="478"/>
      <c r="SRQ31" s="478"/>
      <c r="SRR31" s="478"/>
      <c r="SRS31" s="478"/>
      <c r="SRT31" s="478"/>
      <c r="SRU31" s="478"/>
      <c r="SRV31" s="478"/>
      <c r="SRW31" s="478"/>
      <c r="SRX31" s="478"/>
      <c r="SRY31" s="478"/>
      <c r="SRZ31" s="478"/>
      <c r="SSA31" s="478"/>
      <c r="SSB31" s="478"/>
      <c r="SSC31" s="478"/>
      <c r="SSD31" s="478"/>
      <c r="SSE31" s="478"/>
      <c r="SSF31" s="478"/>
      <c r="SSG31" s="478"/>
      <c r="SSH31" s="478"/>
      <c r="SSI31" s="478"/>
      <c r="SSJ31" s="478"/>
      <c r="SSK31" s="478"/>
      <c r="SSL31" s="478"/>
      <c r="SSM31" s="478"/>
      <c r="SSN31" s="478"/>
      <c r="SSO31" s="478"/>
      <c r="SSP31" s="478"/>
      <c r="SSQ31" s="478"/>
      <c r="SSR31" s="478"/>
      <c r="SSS31" s="478"/>
      <c r="SST31" s="478"/>
      <c r="SSU31" s="478"/>
      <c r="SSV31" s="478"/>
      <c r="SSW31" s="478"/>
      <c r="SSX31" s="478"/>
      <c r="SSY31" s="478"/>
      <c r="SSZ31" s="478"/>
      <c r="STA31" s="478"/>
      <c r="STB31" s="478"/>
      <c r="STC31" s="478"/>
      <c r="STD31" s="478"/>
      <c r="STE31" s="478"/>
      <c r="STF31" s="478"/>
      <c r="STG31" s="478"/>
      <c r="STH31" s="478"/>
      <c r="STI31" s="478"/>
      <c r="STJ31" s="478"/>
      <c r="STK31" s="478"/>
      <c r="STL31" s="478"/>
      <c r="STM31" s="478"/>
      <c r="STN31" s="478"/>
      <c r="STO31" s="478"/>
      <c r="STP31" s="478"/>
      <c r="STQ31" s="478"/>
      <c r="STR31" s="478"/>
      <c r="STS31" s="478"/>
      <c r="STT31" s="478"/>
      <c r="STU31" s="478"/>
      <c r="STV31" s="478"/>
      <c r="STW31" s="478"/>
      <c r="STX31" s="478"/>
      <c r="STY31" s="478"/>
      <c r="STZ31" s="478"/>
      <c r="SUA31" s="478"/>
      <c r="SUB31" s="478"/>
      <c r="SUC31" s="478"/>
      <c r="SUD31" s="478"/>
      <c r="SUE31" s="478"/>
      <c r="SUF31" s="478"/>
      <c r="SUG31" s="478"/>
      <c r="SUH31" s="478"/>
      <c r="SUI31" s="478"/>
      <c r="SUJ31" s="478"/>
      <c r="SUK31" s="478"/>
      <c r="SUL31" s="478"/>
      <c r="SUM31" s="478"/>
      <c r="SUN31" s="478"/>
      <c r="SUO31" s="478"/>
      <c r="SUP31" s="478"/>
      <c r="SUQ31" s="478"/>
      <c r="SUR31" s="478"/>
      <c r="SUS31" s="478"/>
      <c r="SUT31" s="478"/>
      <c r="SUU31" s="478"/>
      <c r="SUV31" s="478"/>
      <c r="SUW31" s="478"/>
      <c r="SUX31" s="478"/>
      <c r="SUY31" s="478"/>
      <c r="SUZ31" s="478"/>
      <c r="SVA31" s="478"/>
      <c r="SVB31" s="478"/>
      <c r="SVC31" s="478"/>
      <c r="SVD31" s="478"/>
      <c r="SVE31" s="478"/>
      <c r="SVF31" s="478"/>
      <c r="SVG31" s="478"/>
      <c r="SVH31" s="478"/>
      <c r="SVI31" s="478"/>
      <c r="SVJ31" s="478"/>
      <c r="SVK31" s="478"/>
      <c r="SVL31" s="478"/>
      <c r="SVM31" s="478"/>
      <c r="SVN31" s="478"/>
      <c r="SVO31" s="478"/>
      <c r="SVP31" s="478"/>
      <c r="SVQ31" s="478"/>
      <c r="SVR31" s="478"/>
      <c r="SVS31" s="478"/>
      <c r="SVT31" s="478"/>
      <c r="SVU31" s="478"/>
      <c r="SVV31" s="478"/>
      <c r="SVW31" s="478"/>
      <c r="SVX31" s="478"/>
      <c r="SVY31" s="478"/>
      <c r="SVZ31" s="478"/>
      <c r="SWA31" s="478"/>
      <c r="SWB31" s="478"/>
      <c r="SWC31" s="478"/>
      <c r="SWD31" s="478"/>
      <c r="SWE31" s="478"/>
      <c r="SWF31" s="478"/>
      <c r="SWG31" s="478"/>
      <c r="SWH31" s="478"/>
      <c r="SWI31" s="478"/>
      <c r="SWJ31" s="478"/>
      <c r="SWK31" s="478"/>
      <c r="SWL31" s="478"/>
      <c r="SWM31" s="478"/>
      <c r="SWN31" s="478"/>
      <c r="SWO31" s="478"/>
      <c r="SWP31" s="478"/>
      <c r="SWQ31" s="478"/>
      <c r="SWR31" s="478"/>
      <c r="SWS31" s="478"/>
      <c r="SWT31" s="478"/>
      <c r="SWU31" s="478"/>
      <c r="SWV31" s="478"/>
      <c r="SWW31" s="478"/>
      <c r="SWX31" s="478"/>
      <c r="SWY31" s="478"/>
      <c r="SWZ31" s="478"/>
      <c r="SXA31" s="478"/>
      <c r="SXB31" s="478"/>
      <c r="SXC31" s="478"/>
      <c r="SXD31" s="478"/>
      <c r="SXE31" s="478"/>
      <c r="SXF31" s="478"/>
      <c r="SXG31" s="478"/>
      <c r="SXH31" s="478"/>
      <c r="SXI31" s="478"/>
      <c r="SXJ31" s="478"/>
      <c r="SXK31" s="478"/>
      <c r="SXL31" s="478"/>
      <c r="SXM31" s="478"/>
      <c r="SXN31" s="478"/>
      <c r="SXO31" s="478"/>
      <c r="SXP31" s="478"/>
      <c r="SXQ31" s="478"/>
      <c r="SXR31" s="478"/>
      <c r="SXS31" s="478"/>
      <c r="SXT31" s="478"/>
      <c r="SXU31" s="478"/>
      <c r="SXV31" s="478"/>
      <c r="SXW31" s="478"/>
      <c r="SXX31" s="478"/>
      <c r="SXY31" s="478"/>
      <c r="SXZ31" s="478"/>
      <c r="SYA31" s="478"/>
      <c r="SYB31" s="478"/>
      <c r="SYC31" s="478"/>
      <c r="SYD31" s="478"/>
      <c r="SYE31" s="478"/>
      <c r="SYF31" s="478"/>
      <c r="SYG31" s="478"/>
      <c r="SYH31" s="478"/>
      <c r="SYI31" s="478"/>
      <c r="SYJ31" s="478"/>
      <c r="SYK31" s="478"/>
      <c r="SYL31" s="478"/>
      <c r="SYM31" s="478"/>
      <c r="SYN31" s="478"/>
      <c r="SYO31" s="478"/>
      <c r="SYP31" s="478"/>
      <c r="SYQ31" s="478"/>
      <c r="SYR31" s="478"/>
      <c r="SYS31" s="478"/>
      <c r="SYT31" s="478"/>
      <c r="SYU31" s="478"/>
      <c r="SYV31" s="478"/>
      <c r="SYW31" s="478"/>
      <c r="SYX31" s="478"/>
      <c r="SYY31" s="478"/>
      <c r="SYZ31" s="478"/>
      <c r="SZA31" s="478"/>
      <c r="SZB31" s="478"/>
      <c r="SZC31" s="478"/>
      <c r="SZD31" s="478"/>
      <c r="SZE31" s="478"/>
      <c r="SZF31" s="478"/>
      <c r="SZG31" s="478"/>
      <c r="SZH31" s="478"/>
      <c r="SZI31" s="478"/>
      <c r="SZJ31" s="478"/>
      <c r="SZK31" s="478"/>
      <c r="SZL31" s="478"/>
      <c r="SZM31" s="478"/>
      <c r="SZN31" s="478"/>
      <c r="SZO31" s="478"/>
      <c r="SZP31" s="478"/>
      <c r="SZQ31" s="478"/>
      <c r="SZR31" s="478"/>
      <c r="SZS31" s="478"/>
      <c r="SZT31" s="478"/>
      <c r="SZU31" s="478"/>
      <c r="SZV31" s="478"/>
      <c r="SZW31" s="478"/>
      <c r="SZX31" s="478"/>
      <c r="SZY31" s="478"/>
      <c r="SZZ31" s="478"/>
      <c r="TAA31" s="478"/>
      <c r="TAB31" s="478"/>
      <c r="TAC31" s="478"/>
      <c r="TAD31" s="478"/>
      <c r="TAE31" s="478"/>
      <c r="TAF31" s="478"/>
      <c r="TAG31" s="478"/>
      <c r="TAH31" s="478"/>
      <c r="TAI31" s="478"/>
      <c r="TAJ31" s="478"/>
      <c r="TAK31" s="478"/>
      <c r="TAL31" s="478"/>
      <c r="TAM31" s="478"/>
      <c r="TAN31" s="478"/>
      <c r="TAO31" s="478"/>
      <c r="TAP31" s="478"/>
      <c r="TAQ31" s="478"/>
      <c r="TAR31" s="478"/>
      <c r="TAS31" s="478"/>
      <c r="TAT31" s="478"/>
      <c r="TAU31" s="478"/>
      <c r="TAV31" s="478"/>
      <c r="TAW31" s="478"/>
      <c r="TAX31" s="478"/>
      <c r="TAY31" s="478"/>
      <c r="TAZ31" s="478"/>
      <c r="TBA31" s="478"/>
      <c r="TBB31" s="478"/>
      <c r="TBC31" s="478"/>
      <c r="TBD31" s="478"/>
      <c r="TBE31" s="478"/>
      <c r="TBF31" s="478"/>
      <c r="TBG31" s="478"/>
      <c r="TBH31" s="478"/>
      <c r="TBI31" s="478"/>
      <c r="TBJ31" s="478"/>
      <c r="TBK31" s="478"/>
      <c r="TBL31" s="478"/>
      <c r="TBM31" s="478"/>
      <c r="TBN31" s="478"/>
      <c r="TBO31" s="478"/>
      <c r="TBP31" s="478"/>
      <c r="TBQ31" s="478"/>
      <c r="TBR31" s="478"/>
      <c r="TBS31" s="478"/>
      <c r="TBT31" s="478"/>
      <c r="TBU31" s="478"/>
      <c r="TBV31" s="478"/>
      <c r="TBW31" s="478"/>
      <c r="TBX31" s="478"/>
      <c r="TBY31" s="478"/>
      <c r="TBZ31" s="478"/>
      <c r="TCA31" s="478"/>
      <c r="TCB31" s="478"/>
      <c r="TCC31" s="478"/>
      <c r="TCD31" s="478"/>
      <c r="TCE31" s="478"/>
      <c r="TCF31" s="478"/>
      <c r="TCG31" s="478"/>
      <c r="TCH31" s="478"/>
      <c r="TCI31" s="478"/>
      <c r="TCJ31" s="478"/>
      <c r="TCK31" s="478"/>
      <c r="TCL31" s="478"/>
      <c r="TCM31" s="478"/>
      <c r="TCN31" s="478"/>
      <c r="TCO31" s="478"/>
      <c r="TCP31" s="478"/>
      <c r="TCQ31" s="478"/>
      <c r="TCR31" s="478"/>
      <c r="TCS31" s="478"/>
      <c r="TCT31" s="478"/>
      <c r="TCU31" s="478"/>
      <c r="TCV31" s="478"/>
      <c r="TCW31" s="478"/>
      <c r="TCX31" s="478"/>
      <c r="TCY31" s="478"/>
      <c r="TCZ31" s="478"/>
      <c r="TDA31" s="478"/>
      <c r="TDB31" s="478"/>
      <c r="TDC31" s="478"/>
      <c r="TDD31" s="478"/>
      <c r="TDE31" s="478"/>
      <c r="TDF31" s="478"/>
      <c r="TDG31" s="478"/>
      <c r="TDH31" s="478"/>
      <c r="TDI31" s="478"/>
      <c r="TDJ31" s="478"/>
      <c r="TDK31" s="478"/>
      <c r="TDL31" s="478"/>
      <c r="TDM31" s="478"/>
      <c r="TDN31" s="478"/>
      <c r="TDO31" s="478"/>
      <c r="TDP31" s="478"/>
      <c r="TDQ31" s="478"/>
      <c r="TDR31" s="478"/>
      <c r="TDS31" s="478"/>
      <c r="TDT31" s="478"/>
      <c r="TDU31" s="478"/>
      <c r="TDV31" s="478"/>
      <c r="TDW31" s="478"/>
      <c r="TDX31" s="478"/>
      <c r="TDY31" s="478"/>
      <c r="TDZ31" s="478"/>
      <c r="TEA31" s="478"/>
      <c r="TEB31" s="478"/>
      <c r="TEC31" s="478"/>
      <c r="TED31" s="478"/>
      <c r="TEE31" s="478"/>
      <c r="TEF31" s="478"/>
      <c r="TEG31" s="478"/>
      <c r="TEH31" s="478"/>
      <c r="TEI31" s="478"/>
      <c r="TEJ31" s="478"/>
      <c r="TEK31" s="478"/>
      <c r="TEL31" s="478"/>
      <c r="TEM31" s="478"/>
      <c r="TEN31" s="478"/>
      <c r="TEO31" s="478"/>
      <c r="TEP31" s="478"/>
      <c r="TEQ31" s="478"/>
      <c r="TER31" s="478"/>
      <c r="TES31" s="478"/>
      <c r="TET31" s="478"/>
      <c r="TEU31" s="478"/>
      <c r="TEV31" s="478"/>
      <c r="TEW31" s="478"/>
      <c r="TEX31" s="478"/>
      <c r="TEY31" s="478"/>
      <c r="TEZ31" s="478"/>
      <c r="TFA31" s="478"/>
      <c r="TFB31" s="478"/>
      <c r="TFC31" s="478"/>
      <c r="TFD31" s="478"/>
      <c r="TFE31" s="478"/>
      <c r="TFF31" s="478"/>
      <c r="TFG31" s="478"/>
      <c r="TFH31" s="478"/>
      <c r="TFI31" s="478"/>
      <c r="TFJ31" s="478"/>
      <c r="TFK31" s="478"/>
      <c r="TFL31" s="478"/>
      <c r="TFM31" s="478"/>
      <c r="TFN31" s="478"/>
      <c r="TFO31" s="478"/>
      <c r="TFP31" s="478"/>
      <c r="TFQ31" s="478"/>
      <c r="TFR31" s="478"/>
      <c r="TFS31" s="478"/>
      <c r="TFT31" s="478"/>
      <c r="TFU31" s="478"/>
      <c r="TFV31" s="478"/>
      <c r="TFW31" s="478"/>
      <c r="TFX31" s="478"/>
      <c r="TFY31" s="478"/>
      <c r="TFZ31" s="478"/>
      <c r="TGA31" s="478"/>
      <c r="TGB31" s="478"/>
      <c r="TGC31" s="478"/>
      <c r="TGD31" s="478"/>
      <c r="TGE31" s="478"/>
      <c r="TGF31" s="478"/>
      <c r="TGG31" s="478"/>
      <c r="TGH31" s="478"/>
      <c r="TGI31" s="478"/>
      <c r="TGJ31" s="478"/>
      <c r="TGK31" s="478"/>
      <c r="TGL31" s="478"/>
      <c r="TGM31" s="478"/>
      <c r="TGN31" s="478"/>
      <c r="TGO31" s="478"/>
      <c r="TGP31" s="478"/>
      <c r="TGQ31" s="478"/>
      <c r="TGR31" s="478"/>
      <c r="TGS31" s="478"/>
      <c r="TGT31" s="478"/>
      <c r="TGU31" s="478"/>
      <c r="TGV31" s="478"/>
      <c r="TGW31" s="478"/>
      <c r="TGX31" s="478"/>
      <c r="TGY31" s="478"/>
      <c r="TGZ31" s="478"/>
      <c r="THA31" s="478"/>
      <c r="THB31" s="478"/>
      <c r="THC31" s="478"/>
      <c r="THD31" s="478"/>
      <c r="THE31" s="478"/>
      <c r="THF31" s="478"/>
      <c r="THG31" s="478"/>
      <c r="THH31" s="478"/>
      <c r="THI31" s="478"/>
      <c r="THJ31" s="478"/>
      <c r="THK31" s="478"/>
      <c r="THL31" s="478"/>
      <c r="THM31" s="478"/>
      <c r="THN31" s="478"/>
      <c r="THO31" s="478"/>
      <c r="THP31" s="478"/>
      <c r="THQ31" s="478"/>
      <c r="THR31" s="478"/>
      <c r="THS31" s="478"/>
      <c r="THT31" s="478"/>
      <c r="THU31" s="478"/>
      <c r="THV31" s="478"/>
      <c r="THW31" s="478"/>
      <c r="THX31" s="478"/>
      <c r="THY31" s="478"/>
      <c r="THZ31" s="478"/>
      <c r="TIA31" s="478"/>
      <c r="TIB31" s="478"/>
      <c r="TIC31" s="478"/>
      <c r="TID31" s="478"/>
      <c r="TIE31" s="478"/>
      <c r="TIF31" s="478"/>
      <c r="TIG31" s="478"/>
      <c r="TIH31" s="478"/>
      <c r="TII31" s="478"/>
      <c r="TIJ31" s="478"/>
      <c r="TIK31" s="478"/>
      <c r="TIL31" s="478"/>
      <c r="TIM31" s="478"/>
      <c r="TIN31" s="478"/>
      <c r="TIO31" s="478"/>
      <c r="TIP31" s="478"/>
      <c r="TIQ31" s="478"/>
      <c r="TIR31" s="478"/>
      <c r="TIS31" s="478"/>
      <c r="TIT31" s="478"/>
      <c r="TIU31" s="478"/>
      <c r="TIV31" s="478"/>
      <c r="TIW31" s="478"/>
      <c r="TIX31" s="478"/>
      <c r="TIY31" s="478"/>
      <c r="TIZ31" s="478"/>
      <c r="TJA31" s="478"/>
      <c r="TJB31" s="478"/>
      <c r="TJC31" s="478"/>
      <c r="TJD31" s="478"/>
      <c r="TJE31" s="478"/>
      <c r="TJF31" s="478"/>
      <c r="TJG31" s="478"/>
      <c r="TJH31" s="478"/>
      <c r="TJI31" s="478"/>
      <c r="TJJ31" s="478"/>
      <c r="TJK31" s="478"/>
      <c r="TJL31" s="478"/>
      <c r="TJM31" s="478"/>
      <c r="TJN31" s="478"/>
      <c r="TJO31" s="478"/>
      <c r="TJP31" s="478"/>
      <c r="TJQ31" s="478"/>
      <c r="TJR31" s="478"/>
      <c r="TJS31" s="478"/>
      <c r="TJT31" s="478"/>
      <c r="TJU31" s="478"/>
      <c r="TJV31" s="478"/>
      <c r="TJW31" s="478"/>
      <c r="TJX31" s="478"/>
      <c r="TJY31" s="478"/>
      <c r="TJZ31" s="478"/>
      <c r="TKA31" s="478"/>
      <c r="TKB31" s="478"/>
      <c r="TKC31" s="478"/>
      <c r="TKD31" s="478"/>
      <c r="TKE31" s="478"/>
      <c r="TKF31" s="478"/>
      <c r="TKG31" s="478"/>
      <c r="TKH31" s="478"/>
      <c r="TKI31" s="478"/>
      <c r="TKJ31" s="478"/>
      <c r="TKK31" s="478"/>
      <c r="TKL31" s="478"/>
      <c r="TKM31" s="478"/>
      <c r="TKN31" s="478"/>
      <c r="TKO31" s="478"/>
      <c r="TKP31" s="478"/>
      <c r="TKQ31" s="478"/>
      <c r="TKR31" s="478"/>
      <c r="TKS31" s="478"/>
      <c r="TKT31" s="478"/>
      <c r="TKU31" s="478"/>
      <c r="TKV31" s="478"/>
      <c r="TKW31" s="478"/>
      <c r="TKX31" s="478"/>
      <c r="TKY31" s="478"/>
      <c r="TKZ31" s="478"/>
      <c r="TLA31" s="478"/>
      <c r="TLB31" s="478"/>
      <c r="TLC31" s="478"/>
      <c r="TLD31" s="478"/>
      <c r="TLE31" s="478"/>
      <c r="TLF31" s="478"/>
      <c r="TLG31" s="478"/>
      <c r="TLH31" s="478"/>
      <c r="TLI31" s="478"/>
      <c r="TLJ31" s="478"/>
      <c r="TLK31" s="478"/>
      <c r="TLL31" s="478"/>
      <c r="TLM31" s="478"/>
      <c r="TLN31" s="478"/>
      <c r="TLO31" s="478"/>
      <c r="TLP31" s="478"/>
      <c r="TLQ31" s="478"/>
      <c r="TLR31" s="478"/>
      <c r="TLS31" s="478"/>
      <c r="TLT31" s="478"/>
      <c r="TLU31" s="478"/>
      <c r="TLV31" s="478"/>
      <c r="TLW31" s="478"/>
      <c r="TLX31" s="478"/>
      <c r="TLY31" s="478"/>
      <c r="TLZ31" s="478"/>
      <c r="TMA31" s="478"/>
      <c r="TMB31" s="478"/>
      <c r="TMC31" s="478"/>
      <c r="TMD31" s="478"/>
      <c r="TME31" s="478"/>
      <c r="TMF31" s="478"/>
      <c r="TMG31" s="478"/>
      <c r="TMH31" s="478"/>
      <c r="TMI31" s="478"/>
      <c r="TMJ31" s="478"/>
      <c r="TMK31" s="478"/>
      <c r="TML31" s="478"/>
      <c r="TMM31" s="478"/>
      <c r="TMN31" s="478"/>
      <c r="TMO31" s="478"/>
      <c r="TMP31" s="478"/>
      <c r="TMQ31" s="478"/>
      <c r="TMR31" s="478"/>
      <c r="TMS31" s="478"/>
      <c r="TMT31" s="478"/>
      <c r="TMU31" s="478"/>
      <c r="TMV31" s="478"/>
      <c r="TMW31" s="478"/>
      <c r="TMX31" s="478"/>
      <c r="TMY31" s="478"/>
      <c r="TMZ31" s="478"/>
      <c r="TNA31" s="478"/>
      <c r="TNB31" s="478"/>
      <c r="TNC31" s="478"/>
      <c r="TND31" s="478"/>
      <c r="TNE31" s="478"/>
      <c r="TNF31" s="478"/>
      <c r="TNG31" s="478"/>
      <c r="TNH31" s="478"/>
      <c r="TNI31" s="478"/>
      <c r="TNJ31" s="478"/>
      <c r="TNK31" s="478"/>
      <c r="TNL31" s="478"/>
      <c r="TNM31" s="478"/>
      <c r="TNN31" s="478"/>
      <c r="TNO31" s="478"/>
      <c r="TNP31" s="478"/>
      <c r="TNQ31" s="478"/>
      <c r="TNR31" s="478"/>
      <c r="TNS31" s="478"/>
      <c r="TNT31" s="478"/>
      <c r="TNU31" s="478"/>
      <c r="TNV31" s="478"/>
      <c r="TNW31" s="478"/>
      <c r="TNX31" s="478"/>
      <c r="TNY31" s="478"/>
      <c r="TNZ31" s="478"/>
      <c r="TOA31" s="478"/>
      <c r="TOB31" s="478"/>
      <c r="TOC31" s="478"/>
      <c r="TOD31" s="478"/>
      <c r="TOE31" s="478"/>
      <c r="TOF31" s="478"/>
      <c r="TOG31" s="478"/>
      <c r="TOH31" s="478"/>
      <c r="TOI31" s="478"/>
      <c r="TOJ31" s="478"/>
      <c r="TOK31" s="478"/>
      <c r="TOL31" s="478"/>
      <c r="TOM31" s="478"/>
      <c r="TON31" s="478"/>
      <c r="TOO31" s="478"/>
      <c r="TOP31" s="478"/>
      <c r="TOQ31" s="478"/>
      <c r="TOR31" s="478"/>
      <c r="TOS31" s="478"/>
      <c r="TOT31" s="478"/>
      <c r="TOU31" s="478"/>
      <c r="TOV31" s="478"/>
      <c r="TOW31" s="478"/>
      <c r="TOX31" s="478"/>
      <c r="TOY31" s="478"/>
      <c r="TOZ31" s="478"/>
      <c r="TPA31" s="478"/>
      <c r="TPB31" s="478"/>
      <c r="TPC31" s="478"/>
      <c r="TPD31" s="478"/>
      <c r="TPE31" s="478"/>
      <c r="TPF31" s="478"/>
      <c r="TPG31" s="478"/>
      <c r="TPH31" s="478"/>
      <c r="TPI31" s="478"/>
      <c r="TPJ31" s="478"/>
      <c r="TPK31" s="478"/>
      <c r="TPL31" s="478"/>
      <c r="TPM31" s="478"/>
      <c r="TPN31" s="478"/>
      <c r="TPO31" s="478"/>
      <c r="TPP31" s="478"/>
      <c r="TPQ31" s="478"/>
      <c r="TPR31" s="478"/>
      <c r="TPS31" s="478"/>
      <c r="TPT31" s="478"/>
      <c r="TPU31" s="478"/>
      <c r="TPV31" s="478"/>
      <c r="TPW31" s="478"/>
      <c r="TPX31" s="478"/>
      <c r="TPY31" s="478"/>
      <c r="TPZ31" s="478"/>
      <c r="TQA31" s="478"/>
      <c r="TQB31" s="478"/>
      <c r="TQC31" s="478"/>
      <c r="TQD31" s="478"/>
      <c r="TQE31" s="478"/>
      <c r="TQF31" s="478"/>
      <c r="TQG31" s="478"/>
      <c r="TQH31" s="478"/>
      <c r="TQI31" s="478"/>
      <c r="TQJ31" s="478"/>
      <c r="TQK31" s="478"/>
      <c r="TQL31" s="478"/>
      <c r="TQM31" s="478"/>
      <c r="TQN31" s="478"/>
      <c r="TQO31" s="478"/>
      <c r="TQP31" s="478"/>
      <c r="TQQ31" s="478"/>
      <c r="TQR31" s="478"/>
      <c r="TQS31" s="478"/>
      <c r="TQT31" s="478"/>
      <c r="TQU31" s="478"/>
      <c r="TQV31" s="478"/>
      <c r="TQW31" s="478"/>
      <c r="TQX31" s="478"/>
      <c r="TQY31" s="478"/>
      <c r="TQZ31" s="478"/>
      <c r="TRA31" s="478"/>
      <c r="TRB31" s="478"/>
      <c r="TRC31" s="478"/>
      <c r="TRD31" s="478"/>
      <c r="TRE31" s="478"/>
      <c r="TRF31" s="478"/>
      <c r="TRG31" s="478"/>
      <c r="TRH31" s="478"/>
      <c r="TRI31" s="478"/>
      <c r="TRJ31" s="478"/>
      <c r="TRK31" s="478"/>
      <c r="TRL31" s="478"/>
      <c r="TRM31" s="478"/>
      <c r="TRN31" s="478"/>
      <c r="TRO31" s="478"/>
      <c r="TRP31" s="478"/>
      <c r="TRQ31" s="478"/>
      <c r="TRR31" s="478"/>
      <c r="TRS31" s="478"/>
      <c r="TRT31" s="478"/>
      <c r="TRU31" s="478"/>
      <c r="TRV31" s="478"/>
      <c r="TRW31" s="478"/>
      <c r="TRX31" s="478"/>
      <c r="TRY31" s="478"/>
      <c r="TRZ31" s="478"/>
      <c r="TSA31" s="478"/>
      <c r="TSB31" s="478"/>
      <c r="TSC31" s="478"/>
      <c r="TSD31" s="478"/>
      <c r="TSE31" s="478"/>
      <c r="TSF31" s="478"/>
      <c r="TSG31" s="478"/>
      <c r="TSH31" s="478"/>
      <c r="TSI31" s="478"/>
      <c r="TSJ31" s="478"/>
      <c r="TSK31" s="478"/>
      <c r="TSL31" s="478"/>
      <c r="TSM31" s="478"/>
      <c r="TSN31" s="478"/>
      <c r="TSO31" s="478"/>
      <c r="TSP31" s="478"/>
      <c r="TSQ31" s="478"/>
      <c r="TSR31" s="478"/>
      <c r="TSS31" s="478"/>
      <c r="TST31" s="478"/>
      <c r="TSU31" s="478"/>
      <c r="TSV31" s="478"/>
      <c r="TSW31" s="478"/>
      <c r="TSX31" s="478"/>
      <c r="TSY31" s="478"/>
      <c r="TSZ31" s="478"/>
      <c r="TTA31" s="478"/>
      <c r="TTB31" s="478"/>
      <c r="TTC31" s="478"/>
      <c r="TTD31" s="478"/>
      <c r="TTE31" s="478"/>
      <c r="TTF31" s="478"/>
      <c r="TTG31" s="478"/>
      <c r="TTH31" s="478"/>
      <c r="TTI31" s="478"/>
      <c r="TTJ31" s="478"/>
      <c r="TTK31" s="478"/>
      <c r="TTL31" s="478"/>
      <c r="TTM31" s="478"/>
      <c r="TTN31" s="478"/>
      <c r="TTO31" s="478"/>
      <c r="TTP31" s="478"/>
      <c r="TTQ31" s="478"/>
      <c r="TTR31" s="478"/>
      <c r="TTS31" s="478"/>
      <c r="TTT31" s="478"/>
      <c r="TTU31" s="478"/>
      <c r="TTV31" s="478"/>
      <c r="TTW31" s="478"/>
      <c r="TTX31" s="478"/>
      <c r="TTY31" s="478"/>
      <c r="TTZ31" s="478"/>
      <c r="TUA31" s="478"/>
      <c r="TUB31" s="478"/>
      <c r="TUC31" s="478"/>
      <c r="TUD31" s="478"/>
      <c r="TUE31" s="478"/>
      <c r="TUF31" s="478"/>
      <c r="TUG31" s="478"/>
      <c r="TUH31" s="478"/>
      <c r="TUI31" s="478"/>
      <c r="TUJ31" s="478"/>
      <c r="TUK31" s="478"/>
      <c r="TUL31" s="478"/>
      <c r="TUM31" s="478"/>
      <c r="TUN31" s="478"/>
      <c r="TUO31" s="478"/>
      <c r="TUP31" s="478"/>
      <c r="TUQ31" s="478"/>
      <c r="TUR31" s="478"/>
      <c r="TUS31" s="478"/>
      <c r="TUT31" s="478"/>
      <c r="TUU31" s="478"/>
      <c r="TUV31" s="478"/>
      <c r="TUW31" s="478"/>
      <c r="TUX31" s="478"/>
      <c r="TUY31" s="478"/>
      <c r="TUZ31" s="478"/>
      <c r="TVA31" s="478"/>
      <c r="TVB31" s="478"/>
      <c r="TVC31" s="478"/>
      <c r="TVD31" s="478"/>
      <c r="TVE31" s="478"/>
      <c r="TVF31" s="478"/>
      <c r="TVG31" s="478"/>
      <c r="TVH31" s="478"/>
      <c r="TVI31" s="478"/>
      <c r="TVJ31" s="478"/>
      <c r="TVK31" s="478"/>
      <c r="TVL31" s="478"/>
      <c r="TVM31" s="478"/>
      <c r="TVN31" s="478"/>
      <c r="TVO31" s="478"/>
      <c r="TVP31" s="478"/>
      <c r="TVQ31" s="478"/>
      <c r="TVR31" s="478"/>
      <c r="TVS31" s="478"/>
      <c r="TVT31" s="478"/>
      <c r="TVU31" s="478"/>
      <c r="TVV31" s="478"/>
      <c r="TVW31" s="478"/>
      <c r="TVX31" s="478"/>
      <c r="TVY31" s="478"/>
      <c r="TVZ31" s="478"/>
      <c r="TWA31" s="478"/>
      <c r="TWB31" s="478"/>
      <c r="TWC31" s="478"/>
      <c r="TWD31" s="478"/>
      <c r="TWE31" s="478"/>
      <c r="TWF31" s="478"/>
      <c r="TWG31" s="478"/>
      <c r="TWH31" s="478"/>
      <c r="TWI31" s="478"/>
      <c r="TWJ31" s="478"/>
      <c r="TWK31" s="478"/>
      <c r="TWL31" s="478"/>
      <c r="TWM31" s="478"/>
      <c r="TWN31" s="478"/>
      <c r="TWO31" s="478"/>
      <c r="TWP31" s="478"/>
      <c r="TWQ31" s="478"/>
      <c r="TWR31" s="478"/>
      <c r="TWS31" s="478"/>
      <c r="TWT31" s="478"/>
      <c r="TWU31" s="478"/>
      <c r="TWV31" s="478"/>
      <c r="TWW31" s="478"/>
      <c r="TWX31" s="478"/>
      <c r="TWY31" s="478"/>
      <c r="TWZ31" s="478"/>
      <c r="TXA31" s="478"/>
      <c r="TXB31" s="478"/>
      <c r="TXC31" s="478"/>
      <c r="TXD31" s="478"/>
      <c r="TXE31" s="478"/>
      <c r="TXF31" s="478"/>
      <c r="TXG31" s="478"/>
      <c r="TXH31" s="478"/>
      <c r="TXI31" s="478"/>
      <c r="TXJ31" s="478"/>
      <c r="TXK31" s="478"/>
      <c r="TXL31" s="478"/>
      <c r="TXM31" s="478"/>
      <c r="TXN31" s="478"/>
      <c r="TXO31" s="478"/>
      <c r="TXP31" s="478"/>
      <c r="TXQ31" s="478"/>
      <c r="TXR31" s="478"/>
      <c r="TXS31" s="478"/>
      <c r="TXT31" s="478"/>
      <c r="TXU31" s="478"/>
      <c r="TXV31" s="478"/>
      <c r="TXW31" s="478"/>
      <c r="TXX31" s="478"/>
      <c r="TXY31" s="478"/>
      <c r="TXZ31" s="478"/>
      <c r="TYA31" s="478"/>
      <c r="TYB31" s="478"/>
      <c r="TYC31" s="478"/>
      <c r="TYD31" s="478"/>
      <c r="TYE31" s="478"/>
      <c r="TYF31" s="478"/>
      <c r="TYG31" s="478"/>
      <c r="TYH31" s="478"/>
      <c r="TYI31" s="478"/>
      <c r="TYJ31" s="478"/>
      <c r="TYK31" s="478"/>
      <c r="TYL31" s="478"/>
      <c r="TYM31" s="478"/>
      <c r="TYN31" s="478"/>
      <c r="TYO31" s="478"/>
      <c r="TYP31" s="478"/>
      <c r="TYQ31" s="478"/>
      <c r="TYR31" s="478"/>
      <c r="TYS31" s="478"/>
      <c r="TYT31" s="478"/>
      <c r="TYU31" s="478"/>
      <c r="TYV31" s="478"/>
      <c r="TYW31" s="478"/>
      <c r="TYX31" s="478"/>
      <c r="TYY31" s="478"/>
      <c r="TYZ31" s="478"/>
      <c r="TZA31" s="478"/>
      <c r="TZB31" s="478"/>
      <c r="TZC31" s="478"/>
      <c r="TZD31" s="478"/>
      <c r="TZE31" s="478"/>
      <c r="TZF31" s="478"/>
      <c r="TZG31" s="478"/>
      <c r="TZH31" s="478"/>
      <c r="TZI31" s="478"/>
      <c r="TZJ31" s="478"/>
      <c r="TZK31" s="478"/>
      <c r="TZL31" s="478"/>
      <c r="TZM31" s="478"/>
      <c r="TZN31" s="478"/>
      <c r="TZO31" s="478"/>
      <c r="TZP31" s="478"/>
      <c r="TZQ31" s="478"/>
      <c r="TZR31" s="478"/>
      <c r="TZS31" s="478"/>
      <c r="TZT31" s="478"/>
      <c r="TZU31" s="478"/>
      <c r="TZV31" s="478"/>
      <c r="TZW31" s="478"/>
      <c r="TZX31" s="478"/>
      <c r="TZY31" s="478"/>
      <c r="TZZ31" s="478"/>
      <c r="UAA31" s="478"/>
      <c r="UAB31" s="478"/>
      <c r="UAC31" s="478"/>
      <c r="UAD31" s="478"/>
      <c r="UAE31" s="478"/>
      <c r="UAF31" s="478"/>
      <c r="UAG31" s="478"/>
      <c r="UAH31" s="478"/>
      <c r="UAI31" s="478"/>
      <c r="UAJ31" s="478"/>
      <c r="UAK31" s="478"/>
      <c r="UAL31" s="478"/>
      <c r="UAM31" s="478"/>
      <c r="UAN31" s="478"/>
      <c r="UAO31" s="478"/>
      <c r="UAP31" s="478"/>
      <c r="UAQ31" s="478"/>
      <c r="UAR31" s="478"/>
      <c r="UAS31" s="478"/>
      <c r="UAT31" s="478"/>
      <c r="UAU31" s="478"/>
      <c r="UAV31" s="478"/>
      <c r="UAW31" s="478"/>
      <c r="UAX31" s="478"/>
      <c r="UAY31" s="478"/>
      <c r="UAZ31" s="478"/>
      <c r="UBA31" s="478"/>
      <c r="UBB31" s="478"/>
      <c r="UBC31" s="478"/>
      <c r="UBD31" s="478"/>
      <c r="UBE31" s="478"/>
      <c r="UBF31" s="478"/>
      <c r="UBG31" s="478"/>
      <c r="UBH31" s="478"/>
      <c r="UBI31" s="478"/>
      <c r="UBJ31" s="478"/>
      <c r="UBK31" s="478"/>
      <c r="UBL31" s="478"/>
      <c r="UBM31" s="478"/>
      <c r="UBN31" s="478"/>
      <c r="UBO31" s="478"/>
      <c r="UBP31" s="478"/>
      <c r="UBQ31" s="478"/>
      <c r="UBR31" s="478"/>
      <c r="UBS31" s="478"/>
      <c r="UBT31" s="478"/>
      <c r="UBU31" s="478"/>
      <c r="UBV31" s="478"/>
      <c r="UBW31" s="478"/>
      <c r="UBX31" s="478"/>
      <c r="UBY31" s="478"/>
      <c r="UBZ31" s="478"/>
      <c r="UCA31" s="478"/>
      <c r="UCB31" s="478"/>
      <c r="UCC31" s="478"/>
      <c r="UCD31" s="478"/>
      <c r="UCE31" s="478"/>
      <c r="UCF31" s="478"/>
      <c r="UCG31" s="478"/>
      <c r="UCH31" s="478"/>
      <c r="UCI31" s="478"/>
      <c r="UCJ31" s="478"/>
      <c r="UCK31" s="478"/>
      <c r="UCL31" s="478"/>
      <c r="UCM31" s="478"/>
      <c r="UCN31" s="478"/>
      <c r="UCO31" s="478"/>
      <c r="UCP31" s="478"/>
      <c r="UCQ31" s="478"/>
      <c r="UCR31" s="478"/>
      <c r="UCS31" s="478"/>
      <c r="UCT31" s="478"/>
      <c r="UCU31" s="478"/>
      <c r="UCV31" s="478"/>
      <c r="UCW31" s="478"/>
      <c r="UCX31" s="478"/>
      <c r="UCY31" s="478"/>
      <c r="UCZ31" s="478"/>
      <c r="UDA31" s="478"/>
      <c r="UDB31" s="478"/>
      <c r="UDC31" s="478"/>
      <c r="UDD31" s="478"/>
      <c r="UDE31" s="478"/>
      <c r="UDF31" s="478"/>
      <c r="UDG31" s="478"/>
      <c r="UDH31" s="478"/>
      <c r="UDI31" s="478"/>
      <c r="UDJ31" s="478"/>
      <c r="UDK31" s="478"/>
      <c r="UDL31" s="478"/>
      <c r="UDM31" s="478"/>
      <c r="UDN31" s="478"/>
      <c r="UDO31" s="478"/>
      <c r="UDP31" s="478"/>
      <c r="UDQ31" s="478"/>
      <c r="UDR31" s="478"/>
      <c r="UDS31" s="478"/>
      <c r="UDT31" s="478"/>
      <c r="UDU31" s="478"/>
      <c r="UDV31" s="478"/>
      <c r="UDW31" s="478"/>
      <c r="UDX31" s="478"/>
      <c r="UDY31" s="478"/>
      <c r="UDZ31" s="478"/>
      <c r="UEA31" s="478"/>
      <c r="UEB31" s="478"/>
      <c r="UEC31" s="478"/>
      <c r="UED31" s="478"/>
      <c r="UEE31" s="478"/>
      <c r="UEF31" s="478"/>
      <c r="UEG31" s="478"/>
      <c r="UEH31" s="478"/>
      <c r="UEI31" s="478"/>
      <c r="UEJ31" s="478"/>
      <c r="UEK31" s="478"/>
      <c r="UEL31" s="478"/>
      <c r="UEM31" s="478"/>
      <c r="UEN31" s="478"/>
      <c r="UEO31" s="478"/>
      <c r="UEP31" s="478"/>
      <c r="UEQ31" s="478"/>
      <c r="UER31" s="478"/>
      <c r="UES31" s="478"/>
      <c r="UET31" s="478"/>
      <c r="UEU31" s="478"/>
      <c r="UEV31" s="478"/>
      <c r="UEW31" s="478"/>
      <c r="UEX31" s="478"/>
      <c r="UEY31" s="478"/>
      <c r="UEZ31" s="478"/>
      <c r="UFA31" s="478"/>
      <c r="UFB31" s="478"/>
      <c r="UFC31" s="478"/>
      <c r="UFD31" s="478"/>
      <c r="UFE31" s="478"/>
      <c r="UFF31" s="478"/>
      <c r="UFG31" s="478"/>
      <c r="UFH31" s="478"/>
      <c r="UFI31" s="478"/>
      <c r="UFJ31" s="478"/>
      <c r="UFK31" s="478"/>
      <c r="UFL31" s="478"/>
      <c r="UFM31" s="478"/>
      <c r="UFN31" s="478"/>
      <c r="UFO31" s="478"/>
      <c r="UFP31" s="478"/>
      <c r="UFQ31" s="478"/>
      <c r="UFR31" s="478"/>
      <c r="UFS31" s="478"/>
      <c r="UFT31" s="478"/>
      <c r="UFU31" s="478"/>
      <c r="UFV31" s="478"/>
      <c r="UFW31" s="478"/>
      <c r="UFX31" s="478"/>
      <c r="UFY31" s="478"/>
      <c r="UFZ31" s="478"/>
      <c r="UGA31" s="478"/>
      <c r="UGB31" s="478"/>
      <c r="UGC31" s="478"/>
      <c r="UGD31" s="478"/>
      <c r="UGE31" s="478"/>
      <c r="UGF31" s="478"/>
      <c r="UGG31" s="478"/>
      <c r="UGH31" s="478"/>
      <c r="UGI31" s="478"/>
      <c r="UGJ31" s="478"/>
      <c r="UGK31" s="478"/>
      <c r="UGL31" s="478"/>
      <c r="UGM31" s="478"/>
      <c r="UGN31" s="478"/>
      <c r="UGO31" s="478"/>
      <c r="UGP31" s="478"/>
      <c r="UGQ31" s="478"/>
      <c r="UGR31" s="478"/>
      <c r="UGS31" s="478"/>
      <c r="UGT31" s="478"/>
      <c r="UGU31" s="478"/>
      <c r="UGV31" s="478"/>
      <c r="UGW31" s="478"/>
      <c r="UGX31" s="478"/>
      <c r="UGY31" s="478"/>
      <c r="UGZ31" s="478"/>
      <c r="UHA31" s="478"/>
      <c r="UHB31" s="478"/>
      <c r="UHC31" s="478"/>
      <c r="UHD31" s="478"/>
      <c r="UHE31" s="478"/>
      <c r="UHF31" s="478"/>
      <c r="UHG31" s="478"/>
      <c r="UHH31" s="478"/>
      <c r="UHI31" s="478"/>
      <c r="UHJ31" s="478"/>
      <c r="UHK31" s="478"/>
      <c r="UHL31" s="478"/>
      <c r="UHM31" s="478"/>
      <c r="UHN31" s="478"/>
      <c r="UHO31" s="478"/>
      <c r="UHP31" s="478"/>
      <c r="UHQ31" s="478"/>
      <c r="UHR31" s="478"/>
      <c r="UHS31" s="478"/>
      <c r="UHT31" s="478"/>
      <c r="UHU31" s="478"/>
      <c r="UHV31" s="478"/>
      <c r="UHW31" s="478"/>
      <c r="UHX31" s="478"/>
      <c r="UHY31" s="478"/>
      <c r="UHZ31" s="478"/>
      <c r="UIA31" s="478"/>
      <c r="UIB31" s="478"/>
      <c r="UIC31" s="478"/>
      <c r="UID31" s="478"/>
      <c r="UIE31" s="478"/>
      <c r="UIF31" s="478"/>
      <c r="UIG31" s="478"/>
      <c r="UIH31" s="478"/>
      <c r="UII31" s="478"/>
      <c r="UIJ31" s="478"/>
      <c r="UIK31" s="478"/>
      <c r="UIL31" s="478"/>
      <c r="UIM31" s="478"/>
      <c r="UIN31" s="478"/>
      <c r="UIO31" s="478"/>
      <c r="UIP31" s="478"/>
      <c r="UIQ31" s="478"/>
      <c r="UIR31" s="478"/>
      <c r="UIS31" s="478"/>
      <c r="UIT31" s="478"/>
      <c r="UIU31" s="478"/>
      <c r="UIV31" s="478"/>
      <c r="UIW31" s="478"/>
      <c r="UIX31" s="478"/>
      <c r="UIY31" s="478"/>
      <c r="UIZ31" s="478"/>
      <c r="UJA31" s="478"/>
      <c r="UJB31" s="478"/>
      <c r="UJC31" s="478"/>
      <c r="UJD31" s="478"/>
      <c r="UJE31" s="478"/>
      <c r="UJF31" s="478"/>
      <c r="UJG31" s="478"/>
      <c r="UJH31" s="478"/>
      <c r="UJI31" s="478"/>
      <c r="UJJ31" s="478"/>
      <c r="UJK31" s="478"/>
      <c r="UJL31" s="478"/>
      <c r="UJM31" s="478"/>
      <c r="UJN31" s="478"/>
      <c r="UJO31" s="478"/>
      <c r="UJP31" s="478"/>
      <c r="UJQ31" s="478"/>
      <c r="UJR31" s="478"/>
      <c r="UJS31" s="478"/>
      <c r="UJT31" s="478"/>
      <c r="UJU31" s="478"/>
      <c r="UJV31" s="478"/>
      <c r="UJW31" s="478"/>
      <c r="UJX31" s="478"/>
      <c r="UJY31" s="478"/>
      <c r="UJZ31" s="478"/>
      <c r="UKA31" s="478"/>
      <c r="UKB31" s="478"/>
      <c r="UKC31" s="478"/>
      <c r="UKD31" s="478"/>
      <c r="UKE31" s="478"/>
      <c r="UKF31" s="478"/>
      <c r="UKG31" s="478"/>
      <c r="UKH31" s="478"/>
      <c r="UKI31" s="478"/>
      <c r="UKJ31" s="478"/>
      <c r="UKK31" s="478"/>
      <c r="UKL31" s="478"/>
      <c r="UKM31" s="478"/>
      <c r="UKN31" s="478"/>
      <c r="UKO31" s="478"/>
      <c r="UKP31" s="478"/>
      <c r="UKQ31" s="478"/>
      <c r="UKR31" s="478"/>
      <c r="UKS31" s="478"/>
      <c r="UKT31" s="478"/>
      <c r="UKU31" s="478"/>
      <c r="UKV31" s="478"/>
      <c r="UKW31" s="478"/>
      <c r="UKX31" s="478"/>
      <c r="UKY31" s="478"/>
      <c r="UKZ31" s="478"/>
      <c r="ULA31" s="478"/>
      <c r="ULB31" s="478"/>
      <c r="ULC31" s="478"/>
      <c r="ULD31" s="478"/>
      <c r="ULE31" s="478"/>
      <c r="ULF31" s="478"/>
      <c r="ULG31" s="478"/>
      <c r="ULH31" s="478"/>
      <c r="ULI31" s="478"/>
      <c r="ULJ31" s="478"/>
      <c r="ULK31" s="478"/>
      <c r="ULL31" s="478"/>
      <c r="ULM31" s="478"/>
      <c r="ULN31" s="478"/>
      <c r="ULO31" s="478"/>
      <c r="ULP31" s="478"/>
      <c r="ULQ31" s="478"/>
      <c r="ULR31" s="478"/>
      <c r="ULS31" s="478"/>
      <c r="ULT31" s="478"/>
      <c r="ULU31" s="478"/>
      <c r="ULV31" s="478"/>
      <c r="ULW31" s="478"/>
      <c r="ULX31" s="478"/>
      <c r="ULY31" s="478"/>
      <c r="ULZ31" s="478"/>
      <c r="UMA31" s="478"/>
      <c r="UMB31" s="478"/>
      <c r="UMC31" s="478"/>
      <c r="UMD31" s="478"/>
      <c r="UME31" s="478"/>
      <c r="UMF31" s="478"/>
      <c r="UMG31" s="478"/>
      <c r="UMH31" s="478"/>
      <c r="UMI31" s="478"/>
      <c r="UMJ31" s="478"/>
      <c r="UMK31" s="478"/>
      <c r="UML31" s="478"/>
      <c r="UMM31" s="478"/>
      <c r="UMN31" s="478"/>
      <c r="UMO31" s="478"/>
      <c r="UMP31" s="478"/>
      <c r="UMQ31" s="478"/>
      <c r="UMR31" s="478"/>
      <c r="UMS31" s="478"/>
      <c r="UMT31" s="478"/>
      <c r="UMU31" s="478"/>
      <c r="UMV31" s="478"/>
      <c r="UMW31" s="478"/>
      <c r="UMX31" s="478"/>
      <c r="UMY31" s="478"/>
      <c r="UMZ31" s="478"/>
      <c r="UNA31" s="478"/>
      <c r="UNB31" s="478"/>
      <c r="UNC31" s="478"/>
      <c r="UND31" s="478"/>
      <c r="UNE31" s="478"/>
      <c r="UNF31" s="478"/>
      <c r="UNG31" s="478"/>
      <c r="UNH31" s="478"/>
      <c r="UNI31" s="478"/>
      <c r="UNJ31" s="478"/>
      <c r="UNK31" s="478"/>
      <c r="UNL31" s="478"/>
      <c r="UNM31" s="478"/>
      <c r="UNN31" s="478"/>
      <c r="UNO31" s="478"/>
      <c r="UNP31" s="478"/>
      <c r="UNQ31" s="478"/>
      <c r="UNR31" s="478"/>
      <c r="UNS31" s="478"/>
      <c r="UNT31" s="478"/>
      <c r="UNU31" s="478"/>
      <c r="UNV31" s="478"/>
      <c r="UNW31" s="478"/>
      <c r="UNX31" s="478"/>
      <c r="UNY31" s="478"/>
      <c r="UNZ31" s="478"/>
      <c r="UOA31" s="478"/>
      <c r="UOB31" s="478"/>
      <c r="UOC31" s="478"/>
      <c r="UOD31" s="478"/>
      <c r="UOE31" s="478"/>
      <c r="UOF31" s="478"/>
      <c r="UOG31" s="478"/>
      <c r="UOH31" s="478"/>
      <c r="UOI31" s="478"/>
      <c r="UOJ31" s="478"/>
      <c r="UOK31" s="478"/>
      <c r="UOL31" s="478"/>
      <c r="UOM31" s="478"/>
      <c r="UON31" s="478"/>
      <c r="UOO31" s="478"/>
      <c r="UOP31" s="478"/>
      <c r="UOQ31" s="478"/>
      <c r="UOR31" s="478"/>
      <c r="UOS31" s="478"/>
      <c r="UOT31" s="478"/>
      <c r="UOU31" s="478"/>
      <c r="UOV31" s="478"/>
      <c r="UOW31" s="478"/>
      <c r="UOX31" s="478"/>
      <c r="UOY31" s="478"/>
      <c r="UOZ31" s="478"/>
      <c r="UPA31" s="478"/>
      <c r="UPB31" s="478"/>
      <c r="UPC31" s="478"/>
      <c r="UPD31" s="478"/>
      <c r="UPE31" s="478"/>
      <c r="UPF31" s="478"/>
      <c r="UPG31" s="478"/>
      <c r="UPH31" s="478"/>
      <c r="UPI31" s="478"/>
      <c r="UPJ31" s="478"/>
      <c r="UPK31" s="478"/>
      <c r="UPL31" s="478"/>
      <c r="UPM31" s="478"/>
      <c r="UPN31" s="478"/>
      <c r="UPO31" s="478"/>
      <c r="UPP31" s="478"/>
      <c r="UPQ31" s="478"/>
      <c r="UPR31" s="478"/>
      <c r="UPS31" s="478"/>
      <c r="UPT31" s="478"/>
      <c r="UPU31" s="478"/>
      <c r="UPV31" s="478"/>
      <c r="UPW31" s="478"/>
      <c r="UPX31" s="478"/>
      <c r="UPY31" s="478"/>
      <c r="UPZ31" s="478"/>
      <c r="UQA31" s="478"/>
      <c r="UQB31" s="478"/>
      <c r="UQC31" s="478"/>
      <c r="UQD31" s="478"/>
      <c r="UQE31" s="478"/>
      <c r="UQF31" s="478"/>
      <c r="UQG31" s="478"/>
      <c r="UQH31" s="478"/>
      <c r="UQI31" s="478"/>
      <c r="UQJ31" s="478"/>
      <c r="UQK31" s="478"/>
      <c r="UQL31" s="478"/>
      <c r="UQM31" s="478"/>
      <c r="UQN31" s="478"/>
      <c r="UQO31" s="478"/>
      <c r="UQP31" s="478"/>
      <c r="UQQ31" s="478"/>
      <c r="UQR31" s="478"/>
      <c r="UQS31" s="478"/>
      <c r="UQT31" s="478"/>
      <c r="UQU31" s="478"/>
      <c r="UQV31" s="478"/>
      <c r="UQW31" s="478"/>
      <c r="UQX31" s="478"/>
      <c r="UQY31" s="478"/>
      <c r="UQZ31" s="478"/>
      <c r="URA31" s="478"/>
      <c r="URB31" s="478"/>
      <c r="URC31" s="478"/>
      <c r="URD31" s="478"/>
      <c r="URE31" s="478"/>
      <c r="URF31" s="478"/>
      <c r="URG31" s="478"/>
      <c r="URH31" s="478"/>
      <c r="URI31" s="478"/>
      <c r="URJ31" s="478"/>
      <c r="URK31" s="478"/>
      <c r="URL31" s="478"/>
      <c r="URM31" s="478"/>
      <c r="URN31" s="478"/>
      <c r="URO31" s="478"/>
      <c r="URP31" s="478"/>
      <c r="URQ31" s="478"/>
      <c r="URR31" s="478"/>
      <c r="URS31" s="478"/>
      <c r="URT31" s="478"/>
      <c r="URU31" s="478"/>
      <c r="URV31" s="478"/>
      <c r="URW31" s="478"/>
      <c r="URX31" s="478"/>
      <c r="URY31" s="478"/>
      <c r="URZ31" s="478"/>
      <c r="USA31" s="478"/>
      <c r="USB31" s="478"/>
      <c r="USC31" s="478"/>
      <c r="USD31" s="478"/>
      <c r="USE31" s="478"/>
      <c r="USF31" s="478"/>
      <c r="USG31" s="478"/>
      <c r="USH31" s="478"/>
      <c r="USI31" s="478"/>
      <c r="USJ31" s="478"/>
      <c r="USK31" s="478"/>
      <c r="USL31" s="478"/>
      <c r="USM31" s="478"/>
      <c r="USN31" s="478"/>
      <c r="USO31" s="478"/>
      <c r="USP31" s="478"/>
      <c r="USQ31" s="478"/>
      <c r="USR31" s="478"/>
      <c r="USS31" s="478"/>
      <c r="UST31" s="478"/>
      <c r="USU31" s="478"/>
      <c r="USV31" s="478"/>
      <c r="USW31" s="478"/>
      <c r="USX31" s="478"/>
      <c r="USY31" s="478"/>
      <c r="USZ31" s="478"/>
      <c r="UTA31" s="478"/>
      <c r="UTB31" s="478"/>
      <c r="UTC31" s="478"/>
      <c r="UTD31" s="478"/>
      <c r="UTE31" s="478"/>
      <c r="UTF31" s="478"/>
      <c r="UTG31" s="478"/>
      <c r="UTH31" s="478"/>
      <c r="UTI31" s="478"/>
      <c r="UTJ31" s="478"/>
      <c r="UTK31" s="478"/>
      <c r="UTL31" s="478"/>
      <c r="UTM31" s="478"/>
      <c r="UTN31" s="478"/>
      <c r="UTO31" s="478"/>
      <c r="UTP31" s="478"/>
      <c r="UTQ31" s="478"/>
      <c r="UTR31" s="478"/>
      <c r="UTS31" s="478"/>
      <c r="UTT31" s="478"/>
      <c r="UTU31" s="478"/>
      <c r="UTV31" s="478"/>
      <c r="UTW31" s="478"/>
      <c r="UTX31" s="478"/>
      <c r="UTY31" s="478"/>
      <c r="UTZ31" s="478"/>
      <c r="UUA31" s="478"/>
      <c r="UUB31" s="478"/>
      <c r="UUC31" s="478"/>
      <c r="UUD31" s="478"/>
      <c r="UUE31" s="478"/>
      <c r="UUF31" s="478"/>
      <c r="UUG31" s="478"/>
      <c r="UUH31" s="478"/>
      <c r="UUI31" s="478"/>
      <c r="UUJ31" s="478"/>
      <c r="UUK31" s="478"/>
      <c r="UUL31" s="478"/>
      <c r="UUM31" s="478"/>
      <c r="UUN31" s="478"/>
      <c r="UUO31" s="478"/>
      <c r="UUP31" s="478"/>
      <c r="UUQ31" s="478"/>
      <c r="UUR31" s="478"/>
      <c r="UUS31" s="478"/>
      <c r="UUT31" s="478"/>
      <c r="UUU31" s="478"/>
      <c r="UUV31" s="478"/>
      <c r="UUW31" s="478"/>
      <c r="UUX31" s="478"/>
      <c r="UUY31" s="478"/>
      <c r="UUZ31" s="478"/>
      <c r="UVA31" s="478"/>
      <c r="UVB31" s="478"/>
      <c r="UVC31" s="478"/>
      <c r="UVD31" s="478"/>
      <c r="UVE31" s="478"/>
      <c r="UVF31" s="478"/>
      <c r="UVG31" s="478"/>
      <c r="UVH31" s="478"/>
      <c r="UVI31" s="478"/>
      <c r="UVJ31" s="478"/>
      <c r="UVK31" s="478"/>
      <c r="UVL31" s="478"/>
      <c r="UVM31" s="478"/>
      <c r="UVN31" s="478"/>
      <c r="UVO31" s="478"/>
      <c r="UVP31" s="478"/>
      <c r="UVQ31" s="478"/>
      <c r="UVR31" s="478"/>
      <c r="UVS31" s="478"/>
      <c r="UVT31" s="478"/>
      <c r="UVU31" s="478"/>
      <c r="UVV31" s="478"/>
      <c r="UVW31" s="478"/>
      <c r="UVX31" s="478"/>
      <c r="UVY31" s="478"/>
      <c r="UVZ31" s="478"/>
      <c r="UWA31" s="478"/>
      <c r="UWB31" s="478"/>
      <c r="UWC31" s="478"/>
      <c r="UWD31" s="478"/>
      <c r="UWE31" s="478"/>
      <c r="UWF31" s="478"/>
      <c r="UWG31" s="478"/>
      <c r="UWH31" s="478"/>
      <c r="UWI31" s="478"/>
      <c r="UWJ31" s="478"/>
      <c r="UWK31" s="478"/>
      <c r="UWL31" s="478"/>
      <c r="UWM31" s="478"/>
      <c r="UWN31" s="478"/>
      <c r="UWO31" s="478"/>
      <c r="UWP31" s="478"/>
      <c r="UWQ31" s="478"/>
      <c r="UWR31" s="478"/>
      <c r="UWS31" s="478"/>
      <c r="UWT31" s="478"/>
      <c r="UWU31" s="478"/>
      <c r="UWV31" s="478"/>
      <c r="UWW31" s="478"/>
      <c r="UWX31" s="478"/>
      <c r="UWY31" s="478"/>
      <c r="UWZ31" s="478"/>
      <c r="UXA31" s="478"/>
      <c r="UXB31" s="478"/>
      <c r="UXC31" s="478"/>
      <c r="UXD31" s="478"/>
      <c r="UXE31" s="478"/>
      <c r="UXF31" s="478"/>
      <c r="UXG31" s="478"/>
      <c r="UXH31" s="478"/>
      <c r="UXI31" s="478"/>
      <c r="UXJ31" s="478"/>
      <c r="UXK31" s="478"/>
      <c r="UXL31" s="478"/>
      <c r="UXM31" s="478"/>
      <c r="UXN31" s="478"/>
      <c r="UXO31" s="478"/>
      <c r="UXP31" s="478"/>
      <c r="UXQ31" s="478"/>
      <c r="UXR31" s="478"/>
      <c r="UXS31" s="478"/>
      <c r="UXT31" s="478"/>
      <c r="UXU31" s="478"/>
      <c r="UXV31" s="478"/>
      <c r="UXW31" s="478"/>
      <c r="UXX31" s="478"/>
      <c r="UXY31" s="478"/>
      <c r="UXZ31" s="478"/>
      <c r="UYA31" s="478"/>
      <c r="UYB31" s="478"/>
      <c r="UYC31" s="478"/>
      <c r="UYD31" s="478"/>
      <c r="UYE31" s="478"/>
      <c r="UYF31" s="478"/>
      <c r="UYG31" s="478"/>
      <c r="UYH31" s="478"/>
      <c r="UYI31" s="478"/>
      <c r="UYJ31" s="478"/>
      <c r="UYK31" s="478"/>
      <c r="UYL31" s="478"/>
      <c r="UYM31" s="478"/>
      <c r="UYN31" s="478"/>
      <c r="UYO31" s="478"/>
      <c r="UYP31" s="478"/>
      <c r="UYQ31" s="478"/>
      <c r="UYR31" s="478"/>
      <c r="UYS31" s="478"/>
      <c r="UYT31" s="478"/>
      <c r="UYU31" s="478"/>
      <c r="UYV31" s="478"/>
      <c r="UYW31" s="478"/>
      <c r="UYX31" s="478"/>
      <c r="UYY31" s="478"/>
      <c r="UYZ31" s="478"/>
      <c r="UZA31" s="478"/>
      <c r="UZB31" s="478"/>
      <c r="UZC31" s="478"/>
      <c r="UZD31" s="478"/>
      <c r="UZE31" s="478"/>
      <c r="UZF31" s="478"/>
      <c r="UZG31" s="478"/>
      <c r="UZH31" s="478"/>
      <c r="UZI31" s="478"/>
      <c r="UZJ31" s="478"/>
      <c r="UZK31" s="478"/>
      <c r="UZL31" s="478"/>
      <c r="UZM31" s="478"/>
      <c r="UZN31" s="478"/>
      <c r="UZO31" s="478"/>
      <c r="UZP31" s="478"/>
      <c r="UZQ31" s="478"/>
      <c r="UZR31" s="478"/>
      <c r="UZS31" s="478"/>
      <c r="UZT31" s="478"/>
      <c r="UZU31" s="478"/>
      <c r="UZV31" s="478"/>
      <c r="UZW31" s="478"/>
      <c r="UZX31" s="478"/>
      <c r="UZY31" s="478"/>
      <c r="UZZ31" s="478"/>
      <c r="VAA31" s="478"/>
      <c r="VAB31" s="478"/>
      <c r="VAC31" s="478"/>
      <c r="VAD31" s="478"/>
      <c r="VAE31" s="478"/>
      <c r="VAF31" s="478"/>
      <c r="VAG31" s="478"/>
      <c r="VAH31" s="478"/>
      <c r="VAI31" s="478"/>
      <c r="VAJ31" s="478"/>
      <c r="VAK31" s="478"/>
      <c r="VAL31" s="478"/>
      <c r="VAM31" s="478"/>
      <c r="VAN31" s="478"/>
      <c r="VAO31" s="478"/>
      <c r="VAP31" s="478"/>
      <c r="VAQ31" s="478"/>
      <c r="VAR31" s="478"/>
      <c r="VAS31" s="478"/>
      <c r="VAT31" s="478"/>
      <c r="VAU31" s="478"/>
      <c r="VAV31" s="478"/>
      <c r="VAW31" s="478"/>
      <c r="VAX31" s="478"/>
      <c r="VAY31" s="478"/>
      <c r="VAZ31" s="478"/>
      <c r="VBA31" s="478"/>
      <c r="VBB31" s="478"/>
      <c r="VBC31" s="478"/>
      <c r="VBD31" s="478"/>
      <c r="VBE31" s="478"/>
      <c r="VBF31" s="478"/>
      <c r="VBG31" s="478"/>
      <c r="VBH31" s="478"/>
      <c r="VBI31" s="478"/>
      <c r="VBJ31" s="478"/>
      <c r="VBK31" s="478"/>
      <c r="VBL31" s="478"/>
      <c r="VBM31" s="478"/>
      <c r="VBN31" s="478"/>
      <c r="VBO31" s="478"/>
      <c r="VBP31" s="478"/>
      <c r="VBQ31" s="478"/>
      <c r="VBR31" s="478"/>
      <c r="VBS31" s="478"/>
      <c r="VBT31" s="478"/>
      <c r="VBU31" s="478"/>
      <c r="VBV31" s="478"/>
      <c r="VBW31" s="478"/>
      <c r="VBX31" s="478"/>
      <c r="VBY31" s="478"/>
      <c r="VBZ31" s="478"/>
      <c r="VCA31" s="478"/>
      <c r="VCB31" s="478"/>
      <c r="VCC31" s="478"/>
      <c r="VCD31" s="478"/>
      <c r="VCE31" s="478"/>
      <c r="VCF31" s="478"/>
      <c r="VCG31" s="478"/>
      <c r="VCH31" s="478"/>
      <c r="VCI31" s="478"/>
      <c r="VCJ31" s="478"/>
      <c r="VCK31" s="478"/>
      <c r="VCL31" s="478"/>
      <c r="VCM31" s="478"/>
      <c r="VCN31" s="478"/>
      <c r="VCO31" s="478"/>
      <c r="VCP31" s="478"/>
      <c r="VCQ31" s="478"/>
      <c r="VCR31" s="478"/>
      <c r="VCS31" s="478"/>
      <c r="VCT31" s="478"/>
      <c r="VCU31" s="478"/>
      <c r="VCV31" s="478"/>
      <c r="VCW31" s="478"/>
      <c r="VCX31" s="478"/>
      <c r="VCY31" s="478"/>
      <c r="VCZ31" s="478"/>
      <c r="VDA31" s="478"/>
      <c r="VDB31" s="478"/>
      <c r="VDC31" s="478"/>
      <c r="VDD31" s="478"/>
      <c r="VDE31" s="478"/>
      <c r="VDF31" s="478"/>
      <c r="VDG31" s="478"/>
      <c r="VDH31" s="478"/>
      <c r="VDI31" s="478"/>
      <c r="VDJ31" s="478"/>
      <c r="VDK31" s="478"/>
      <c r="VDL31" s="478"/>
      <c r="VDM31" s="478"/>
      <c r="VDN31" s="478"/>
      <c r="VDO31" s="478"/>
      <c r="VDP31" s="478"/>
      <c r="VDQ31" s="478"/>
      <c r="VDR31" s="478"/>
      <c r="VDS31" s="478"/>
      <c r="VDT31" s="478"/>
      <c r="VDU31" s="478"/>
      <c r="VDV31" s="478"/>
      <c r="VDW31" s="478"/>
      <c r="VDX31" s="478"/>
      <c r="VDY31" s="478"/>
      <c r="VDZ31" s="478"/>
      <c r="VEA31" s="478"/>
      <c r="VEB31" s="478"/>
      <c r="VEC31" s="478"/>
      <c r="VED31" s="478"/>
      <c r="VEE31" s="478"/>
      <c r="VEF31" s="478"/>
      <c r="VEG31" s="478"/>
      <c r="VEH31" s="478"/>
      <c r="VEI31" s="478"/>
      <c r="VEJ31" s="478"/>
      <c r="VEK31" s="478"/>
      <c r="VEL31" s="478"/>
      <c r="VEM31" s="478"/>
      <c r="VEN31" s="478"/>
      <c r="VEO31" s="478"/>
      <c r="VEP31" s="478"/>
      <c r="VEQ31" s="478"/>
      <c r="VER31" s="478"/>
      <c r="VES31" s="478"/>
      <c r="VET31" s="478"/>
      <c r="VEU31" s="478"/>
      <c r="VEV31" s="478"/>
      <c r="VEW31" s="478"/>
      <c r="VEX31" s="478"/>
      <c r="VEY31" s="478"/>
      <c r="VEZ31" s="478"/>
      <c r="VFA31" s="478"/>
      <c r="VFB31" s="478"/>
      <c r="VFC31" s="478"/>
      <c r="VFD31" s="478"/>
      <c r="VFE31" s="478"/>
      <c r="VFF31" s="478"/>
      <c r="VFG31" s="478"/>
      <c r="VFH31" s="478"/>
      <c r="VFI31" s="478"/>
      <c r="VFJ31" s="478"/>
      <c r="VFK31" s="478"/>
      <c r="VFL31" s="478"/>
      <c r="VFM31" s="478"/>
      <c r="VFN31" s="478"/>
      <c r="VFO31" s="478"/>
      <c r="VFP31" s="478"/>
      <c r="VFQ31" s="478"/>
      <c r="VFR31" s="478"/>
      <c r="VFS31" s="478"/>
      <c r="VFT31" s="478"/>
      <c r="VFU31" s="478"/>
      <c r="VFV31" s="478"/>
      <c r="VFW31" s="478"/>
      <c r="VFX31" s="478"/>
      <c r="VFY31" s="478"/>
      <c r="VFZ31" s="478"/>
      <c r="VGA31" s="478"/>
      <c r="VGB31" s="478"/>
      <c r="VGC31" s="478"/>
      <c r="VGD31" s="478"/>
      <c r="VGE31" s="478"/>
      <c r="VGF31" s="478"/>
      <c r="VGG31" s="478"/>
      <c r="VGH31" s="478"/>
      <c r="VGI31" s="478"/>
      <c r="VGJ31" s="478"/>
      <c r="VGK31" s="478"/>
      <c r="VGL31" s="478"/>
      <c r="VGM31" s="478"/>
      <c r="VGN31" s="478"/>
      <c r="VGO31" s="478"/>
      <c r="VGP31" s="478"/>
      <c r="VGQ31" s="478"/>
      <c r="VGR31" s="478"/>
      <c r="VGS31" s="478"/>
      <c r="VGT31" s="478"/>
      <c r="VGU31" s="478"/>
      <c r="VGV31" s="478"/>
      <c r="VGW31" s="478"/>
      <c r="VGX31" s="478"/>
      <c r="VGY31" s="478"/>
      <c r="VGZ31" s="478"/>
      <c r="VHA31" s="478"/>
      <c r="VHB31" s="478"/>
      <c r="VHC31" s="478"/>
      <c r="VHD31" s="478"/>
      <c r="VHE31" s="478"/>
      <c r="VHF31" s="478"/>
      <c r="VHG31" s="478"/>
      <c r="VHH31" s="478"/>
      <c r="VHI31" s="478"/>
      <c r="VHJ31" s="478"/>
      <c r="VHK31" s="478"/>
      <c r="VHL31" s="478"/>
      <c r="VHM31" s="478"/>
      <c r="VHN31" s="478"/>
      <c r="VHO31" s="478"/>
      <c r="VHP31" s="478"/>
      <c r="VHQ31" s="478"/>
      <c r="VHR31" s="478"/>
      <c r="VHS31" s="478"/>
      <c r="VHT31" s="478"/>
      <c r="VHU31" s="478"/>
      <c r="VHV31" s="478"/>
      <c r="VHW31" s="478"/>
      <c r="VHX31" s="478"/>
      <c r="VHY31" s="478"/>
      <c r="VHZ31" s="478"/>
      <c r="VIA31" s="478"/>
      <c r="VIB31" s="478"/>
      <c r="VIC31" s="478"/>
      <c r="VID31" s="478"/>
      <c r="VIE31" s="478"/>
      <c r="VIF31" s="478"/>
      <c r="VIG31" s="478"/>
      <c r="VIH31" s="478"/>
      <c r="VII31" s="478"/>
      <c r="VIJ31" s="478"/>
      <c r="VIK31" s="478"/>
      <c r="VIL31" s="478"/>
      <c r="VIM31" s="478"/>
      <c r="VIN31" s="478"/>
      <c r="VIO31" s="478"/>
      <c r="VIP31" s="478"/>
      <c r="VIQ31" s="478"/>
      <c r="VIR31" s="478"/>
      <c r="VIS31" s="478"/>
      <c r="VIT31" s="478"/>
      <c r="VIU31" s="478"/>
      <c r="VIV31" s="478"/>
      <c r="VIW31" s="478"/>
      <c r="VIX31" s="478"/>
      <c r="VIY31" s="478"/>
      <c r="VIZ31" s="478"/>
      <c r="VJA31" s="478"/>
      <c r="VJB31" s="478"/>
      <c r="VJC31" s="478"/>
      <c r="VJD31" s="478"/>
      <c r="VJE31" s="478"/>
      <c r="VJF31" s="478"/>
      <c r="VJG31" s="478"/>
      <c r="VJH31" s="478"/>
      <c r="VJI31" s="478"/>
      <c r="VJJ31" s="478"/>
      <c r="VJK31" s="478"/>
      <c r="VJL31" s="478"/>
      <c r="VJM31" s="478"/>
      <c r="VJN31" s="478"/>
      <c r="VJO31" s="478"/>
      <c r="VJP31" s="478"/>
      <c r="VJQ31" s="478"/>
      <c r="VJR31" s="478"/>
      <c r="VJS31" s="478"/>
      <c r="VJT31" s="478"/>
      <c r="VJU31" s="478"/>
      <c r="VJV31" s="478"/>
      <c r="VJW31" s="478"/>
      <c r="VJX31" s="478"/>
      <c r="VJY31" s="478"/>
      <c r="VJZ31" s="478"/>
      <c r="VKA31" s="478"/>
      <c r="VKB31" s="478"/>
      <c r="VKC31" s="478"/>
      <c r="VKD31" s="478"/>
      <c r="VKE31" s="478"/>
      <c r="VKF31" s="478"/>
      <c r="VKG31" s="478"/>
      <c r="VKH31" s="478"/>
      <c r="VKI31" s="478"/>
      <c r="VKJ31" s="478"/>
      <c r="VKK31" s="478"/>
      <c r="VKL31" s="478"/>
      <c r="VKM31" s="478"/>
      <c r="VKN31" s="478"/>
      <c r="VKO31" s="478"/>
      <c r="VKP31" s="478"/>
      <c r="VKQ31" s="478"/>
      <c r="VKR31" s="478"/>
      <c r="VKS31" s="478"/>
      <c r="VKT31" s="478"/>
      <c r="VKU31" s="478"/>
      <c r="VKV31" s="478"/>
      <c r="VKW31" s="478"/>
      <c r="VKX31" s="478"/>
      <c r="VKY31" s="478"/>
      <c r="VKZ31" s="478"/>
      <c r="VLA31" s="478"/>
      <c r="VLB31" s="478"/>
      <c r="VLC31" s="478"/>
      <c r="VLD31" s="478"/>
      <c r="VLE31" s="478"/>
      <c r="VLF31" s="478"/>
      <c r="VLG31" s="478"/>
      <c r="VLH31" s="478"/>
      <c r="VLI31" s="478"/>
      <c r="VLJ31" s="478"/>
      <c r="VLK31" s="478"/>
      <c r="VLL31" s="478"/>
      <c r="VLM31" s="478"/>
      <c r="VLN31" s="478"/>
      <c r="VLO31" s="478"/>
      <c r="VLP31" s="478"/>
      <c r="VLQ31" s="478"/>
      <c r="VLR31" s="478"/>
      <c r="VLS31" s="478"/>
      <c r="VLT31" s="478"/>
      <c r="VLU31" s="478"/>
      <c r="VLV31" s="478"/>
      <c r="VLW31" s="478"/>
      <c r="VLX31" s="478"/>
      <c r="VLY31" s="478"/>
      <c r="VLZ31" s="478"/>
      <c r="VMA31" s="478"/>
      <c r="VMB31" s="478"/>
      <c r="VMC31" s="478"/>
      <c r="VMD31" s="478"/>
      <c r="VME31" s="478"/>
      <c r="VMF31" s="478"/>
      <c r="VMG31" s="478"/>
      <c r="VMH31" s="478"/>
      <c r="VMI31" s="478"/>
      <c r="VMJ31" s="478"/>
      <c r="VMK31" s="478"/>
      <c r="VML31" s="478"/>
      <c r="VMM31" s="478"/>
      <c r="VMN31" s="478"/>
      <c r="VMO31" s="478"/>
      <c r="VMP31" s="478"/>
      <c r="VMQ31" s="478"/>
      <c r="VMR31" s="478"/>
      <c r="VMS31" s="478"/>
      <c r="VMT31" s="478"/>
      <c r="VMU31" s="478"/>
      <c r="VMV31" s="478"/>
      <c r="VMW31" s="478"/>
      <c r="VMX31" s="478"/>
      <c r="VMY31" s="478"/>
      <c r="VMZ31" s="478"/>
      <c r="VNA31" s="478"/>
      <c r="VNB31" s="478"/>
      <c r="VNC31" s="478"/>
      <c r="VND31" s="478"/>
      <c r="VNE31" s="478"/>
      <c r="VNF31" s="478"/>
      <c r="VNG31" s="478"/>
      <c r="VNH31" s="478"/>
      <c r="VNI31" s="478"/>
      <c r="VNJ31" s="478"/>
      <c r="VNK31" s="478"/>
      <c r="VNL31" s="478"/>
      <c r="VNM31" s="478"/>
      <c r="VNN31" s="478"/>
      <c r="VNO31" s="478"/>
      <c r="VNP31" s="478"/>
      <c r="VNQ31" s="478"/>
      <c r="VNR31" s="478"/>
      <c r="VNS31" s="478"/>
      <c r="VNT31" s="478"/>
      <c r="VNU31" s="478"/>
      <c r="VNV31" s="478"/>
      <c r="VNW31" s="478"/>
      <c r="VNX31" s="478"/>
      <c r="VNY31" s="478"/>
      <c r="VNZ31" s="478"/>
      <c r="VOA31" s="478"/>
      <c r="VOB31" s="478"/>
      <c r="VOC31" s="478"/>
      <c r="VOD31" s="478"/>
      <c r="VOE31" s="478"/>
      <c r="VOF31" s="478"/>
      <c r="VOG31" s="478"/>
      <c r="VOH31" s="478"/>
      <c r="VOI31" s="478"/>
      <c r="VOJ31" s="478"/>
      <c r="VOK31" s="478"/>
      <c r="VOL31" s="478"/>
      <c r="VOM31" s="478"/>
      <c r="VON31" s="478"/>
      <c r="VOO31" s="478"/>
      <c r="VOP31" s="478"/>
      <c r="VOQ31" s="478"/>
      <c r="VOR31" s="478"/>
      <c r="VOS31" s="478"/>
      <c r="VOT31" s="478"/>
      <c r="VOU31" s="478"/>
      <c r="VOV31" s="478"/>
      <c r="VOW31" s="478"/>
      <c r="VOX31" s="478"/>
      <c r="VOY31" s="478"/>
      <c r="VOZ31" s="478"/>
      <c r="VPA31" s="478"/>
      <c r="VPB31" s="478"/>
      <c r="VPC31" s="478"/>
      <c r="VPD31" s="478"/>
      <c r="VPE31" s="478"/>
      <c r="VPF31" s="478"/>
      <c r="VPG31" s="478"/>
      <c r="VPH31" s="478"/>
      <c r="VPI31" s="478"/>
      <c r="VPJ31" s="478"/>
      <c r="VPK31" s="478"/>
      <c r="VPL31" s="478"/>
      <c r="VPM31" s="478"/>
      <c r="VPN31" s="478"/>
      <c r="VPO31" s="478"/>
      <c r="VPP31" s="478"/>
      <c r="VPQ31" s="478"/>
      <c r="VPR31" s="478"/>
      <c r="VPS31" s="478"/>
      <c r="VPT31" s="478"/>
      <c r="VPU31" s="478"/>
      <c r="VPV31" s="478"/>
      <c r="VPW31" s="478"/>
      <c r="VPX31" s="478"/>
      <c r="VPY31" s="478"/>
      <c r="VPZ31" s="478"/>
      <c r="VQA31" s="478"/>
      <c r="VQB31" s="478"/>
      <c r="VQC31" s="478"/>
      <c r="VQD31" s="478"/>
      <c r="VQE31" s="478"/>
      <c r="VQF31" s="478"/>
      <c r="VQG31" s="478"/>
      <c r="VQH31" s="478"/>
      <c r="VQI31" s="478"/>
      <c r="VQJ31" s="478"/>
      <c r="VQK31" s="478"/>
      <c r="VQL31" s="478"/>
      <c r="VQM31" s="478"/>
      <c r="VQN31" s="478"/>
      <c r="VQO31" s="478"/>
      <c r="VQP31" s="478"/>
      <c r="VQQ31" s="478"/>
      <c r="VQR31" s="478"/>
      <c r="VQS31" s="478"/>
      <c r="VQT31" s="478"/>
      <c r="VQU31" s="478"/>
      <c r="VQV31" s="478"/>
      <c r="VQW31" s="478"/>
      <c r="VQX31" s="478"/>
      <c r="VQY31" s="478"/>
      <c r="VQZ31" s="478"/>
      <c r="VRA31" s="478"/>
      <c r="VRB31" s="478"/>
      <c r="VRC31" s="478"/>
      <c r="VRD31" s="478"/>
      <c r="VRE31" s="478"/>
      <c r="VRF31" s="478"/>
      <c r="VRG31" s="478"/>
      <c r="VRH31" s="478"/>
      <c r="VRI31" s="478"/>
      <c r="VRJ31" s="478"/>
      <c r="VRK31" s="478"/>
      <c r="VRL31" s="478"/>
      <c r="VRM31" s="478"/>
      <c r="VRN31" s="478"/>
      <c r="VRO31" s="478"/>
      <c r="VRP31" s="478"/>
      <c r="VRQ31" s="478"/>
      <c r="VRR31" s="478"/>
      <c r="VRS31" s="478"/>
      <c r="VRT31" s="478"/>
      <c r="VRU31" s="478"/>
      <c r="VRV31" s="478"/>
      <c r="VRW31" s="478"/>
      <c r="VRX31" s="478"/>
      <c r="VRY31" s="478"/>
      <c r="VRZ31" s="478"/>
      <c r="VSA31" s="478"/>
      <c r="VSB31" s="478"/>
      <c r="VSC31" s="478"/>
      <c r="VSD31" s="478"/>
      <c r="VSE31" s="478"/>
      <c r="VSF31" s="478"/>
      <c r="VSG31" s="478"/>
      <c r="VSH31" s="478"/>
      <c r="VSI31" s="478"/>
      <c r="VSJ31" s="478"/>
      <c r="VSK31" s="478"/>
      <c r="VSL31" s="478"/>
      <c r="VSM31" s="478"/>
      <c r="VSN31" s="478"/>
      <c r="VSO31" s="478"/>
      <c r="VSP31" s="478"/>
      <c r="VSQ31" s="478"/>
      <c r="VSR31" s="478"/>
      <c r="VSS31" s="478"/>
      <c r="VST31" s="478"/>
      <c r="VSU31" s="478"/>
      <c r="VSV31" s="478"/>
      <c r="VSW31" s="478"/>
      <c r="VSX31" s="478"/>
      <c r="VSY31" s="478"/>
      <c r="VSZ31" s="478"/>
      <c r="VTA31" s="478"/>
      <c r="VTB31" s="478"/>
      <c r="VTC31" s="478"/>
      <c r="VTD31" s="478"/>
      <c r="VTE31" s="478"/>
      <c r="VTF31" s="478"/>
      <c r="VTG31" s="478"/>
      <c r="VTH31" s="478"/>
      <c r="VTI31" s="478"/>
      <c r="VTJ31" s="478"/>
      <c r="VTK31" s="478"/>
      <c r="VTL31" s="478"/>
      <c r="VTM31" s="478"/>
      <c r="VTN31" s="478"/>
      <c r="VTO31" s="478"/>
      <c r="VTP31" s="478"/>
      <c r="VTQ31" s="478"/>
      <c r="VTR31" s="478"/>
      <c r="VTS31" s="478"/>
      <c r="VTT31" s="478"/>
      <c r="VTU31" s="478"/>
      <c r="VTV31" s="478"/>
      <c r="VTW31" s="478"/>
      <c r="VTX31" s="478"/>
      <c r="VTY31" s="478"/>
      <c r="VTZ31" s="478"/>
      <c r="VUA31" s="478"/>
      <c r="VUB31" s="478"/>
      <c r="VUC31" s="478"/>
      <c r="VUD31" s="478"/>
      <c r="VUE31" s="478"/>
      <c r="VUF31" s="478"/>
      <c r="VUG31" s="478"/>
      <c r="VUH31" s="478"/>
      <c r="VUI31" s="478"/>
      <c r="VUJ31" s="478"/>
      <c r="VUK31" s="478"/>
      <c r="VUL31" s="478"/>
      <c r="VUM31" s="478"/>
      <c r="VUN31" s="478"/>
      <c r="VUO31" s="478"/>
      <c r="VUP31" s="478"/>
      <c r="VUQ31" s="478"/>
      <c r="VUR31" s="478"/>
      <c r="VUS31" s="478"/>
      <c r="VUT31" s="478"/>
      <c r="VUU31" s="478"/>
      <c r="VUV31" s="478"/>
      <c r="VUW31" s="478"/>
      <c r="VUX31" s="478"/>
      <c r="VUY31" s="478"/>
      <c r="VUZ31" s="478"/>
      <c r="VVA31" s="478"/>
      <c r="VVB31" s="478"/>
      <c r="VVC31" s="478"/>
      <c r="VVD31" s="478"/>
      <c r="VVE31" s="478"/>
      <c r="VVF31" s="478"/>
      <c r="VVG31" s="478"/>
      <c r="VVH31" s="478"/>
      <c r="VVI31" s="478"/>
      <c r="VVJ31" s="478"/>
      <c r="VVK31" s="478"/>
      <c r="VVL31" s="478"/>
      <c r="VVM31" s="478"/>
      <c r="VVN31" s="478"/>
      <c r="VVO31" s="478"/>
      <c r="VVP31" s="478"/>
      <c r="VVQ31" s="478"/>
      <c r="VVR31" s="478"/>
      <c r="VVS31" s="478"/>
      <c r="VVT31" s="478"/>
      <c r="VVU31" s="478"/>
      <c r="VVV31" s="478"/>
      <c r="VVW31" s="478"/>
      <c r="VVX31" s="478"/>
      <c r="VVY31" s="478"/>
      <c r="VVZ31" s="478"/>
      <c r="VWA31" s="478"/>
      <c r="VWB31" s="478"/>
      <c r="VWC31" s="478"/>
      <c r="VWD31" s="478"/>
      <c r="VWE31" s="478"/>
      <c r="VWF31" s="478"/>
      <c r="VWG31" s="478"/>
      <c r="VWH31" s="478"/>
      <c r="VWI31" s="478"/>
      <c r="VWJ31" s="478"/>
      <c r="VWK31" s="478"/>
      <c r="VWL31" s="478"/>
      <c r="VWM31" s="478"/>
      <c r="VWN31" s="478"/>
      <c r="VWO31" s="478"/>
      <c r="VWP31" s="478"/>
      <c r="VWQ31" s="478"/>
      <c r="VWR31" s="478"/>
      <c r="VWS31" s="478"/>
      <c r="VWT31" s="478"/>
      <c r="VWU31" s="478"/>
      <c r="VWV31" s="478"/>
      <c r="VWW31" s="478"/>
      <c r="VWX31" s="478"/>
      <c r="VWY31" s="478"/>
      <c r="VWZ31" s="478"/>
      <c r="VXA31" s="478"/>
      <c r="VXB31" s="478"/>
      <c r="VXC31" s="478"/>
      <c r="VXD31" s="478"/>
      <c r="VXE31" s="478"/>
      <c r="VXF31" s="478"/>
      <c r="VXG31" s="478"/>
      <c r="VXH31" s="478"/>
      <c r="VXI31" s="478"/>
      <c r="VXJ31" s="478"/>
      <c r="VXK31" s="478"/>
      <c r="VXL31" s="478"/>
      <c r="VXM31" s="478"/>
      <c r="VXN31" s="478"/>
      <c r="VXO31" s="478"/>
      <c r="VXP31" s="478"/>
      <c r="VXQ31" s="478"/>
      <c r="VXR31" s="478"/>
      <c r="VXS31" s="478"/>
      <c r="VXT31" s="478"/>
      <c r="VXU31" s="478"/>
      <c r="VXV31" s="478"/>
      <c r="VXW31" s="478"/>
      <c r="VXX31" s="478"/>
      <c r="VXY31" s="478"/>
      <c r="VXZ31" s="478"/>
      <c r="VYA31" s="478"/>
      <c r="VYB31" s="478"/>
      <c r="VYC31" s="478"/>
      <c r="VYD31" s="478"/>
      <c r="VYE31" s="478"/>
      <c r="VYF31" s="478"/>
      <c r="VYG31" s="478"/>
      <c r="VYH31" s="478"/>
      <c r="VYI31" s="478"/>
      <c r="VYJ31" s="478"/>
      <c r="VYK31" s="478"/>
      <c r="VYL31" s="478"/>
      <c r="VYM31" s="478"/>
      <c r="VYN31" s="478"/>
      <c r="VYO31" s="478"/>
      <c r="VYP31" s="478"/>
      <c r="VYQ31" s="478"/>
      <c r="VYR31" s="478"/>
      <c r="VYS31" s="478"/>
      <c r="VYT31" s="478"/>
      <c r="VYU31" s="478"/>
      <c r="VYV31" s="478"/>
      <c r="VYW31" s="478"/>
      <c r="VYX31" s="478"/>
      <c r="VYY31" s="478"/>
      <c r="VYZ31" s="478"/>
      <c r="VZA31" s="478"/>
      <c r="VZB31" s="478"/>
      <c r="VZC31" s="478"/>
      <c r="VZD31" s="478"/>
      <c r="VZE31" s="478"/>
      <c r="VZF31" s="478"/>
      <c r="VZG31" s="478"/>
      <c r="VZH31" s="478"/>
      <c r="VZI31" s="478"/>
      <c r="VZJ31" s="478"/>
      <c r="VZK31" s="478"/>
      <c r="VZL31" s="478"/>
      <c r="VZM31" s="478"/>
      <c r="VZN31" s="478"/>
      <c r="VZO31" s="478"/>
      <c r="VZP31" s="478"/>
      <c r="VZQ31" s="478"/>
      <c r="VZR31" s="478"/>
      <c r="VZS31" s="478"/>
      <c r="VZT31" s="478"/>
      <c r="VZU31" s="478"/>
      <c r="VZV31" s="478"/>
      <c r="VZW31" s="478"/>
      <c r="VZX31" s="478"/>
      <c r="VZY31" s="478"/>
      <c r="VZZ31" s="478"/>
      <c r="WAA31" s="478"/>
      <c r="WAB31" s="478"/>
      <c r="WAC31" s="478"/>
      <c r="WAD31" s="478"/>
      <c r="WAE31" s="478"/>
      <c r="WAF31" s="478"/>
      <c r="WAG31" s="478"/>
      <c r="WAH31" s="478"/>
      <c r="WAI31" s="478"/>
      <c r="WAJ31" s="478"/>
      <c r="WAK31" s="478"/>
      <c r="WAL31" s="478"/>
      <c r="WAM31" s="478"/>
      <c r="WAN31" s="478"/>
      <c r="WAO31" s="478"/>
      <c r="WAP31" s="478"/>
      <c r="WAQ31" s="478"/>
      <c r="WAR31" s="478"/>
      <c r="WAS31" s="478"/>
      <c r="WAT31" s="478"/>
      <c r="WAU31" s="478"/>
      <c r="WAV31" s="478"/>
      <c r="WAW31" s="478"/>
      <c r="WAX31" s="478"/>
      <c r="WAY31" s="478"/>
      <c r="WAZ31" s="478"/>
      <c r="WBA31" s="478"/>
      <c r="WBB31" s="478"/>
      <c r="WBC31" s="478"/>
      <c r="WBD31" s="478"/>
      <c r="WBE31" s="478"/>
      <c r="WBF31" s="478"/>
      <c r="WBG31" s="478"/>
      <c r="WBH31" s="478"/>
      <c r="WBI31" s="478"/>
      <c r="WBJ31" s="478"/>
      <c r="WBK31" s="478"/>
      <c r="WBL31" s="478"/>
      <c r="WBM31" s="478"/>
      <c r="WBN31" s="478"/>
      <c r="WBO31" s="478"/>
      <c r="WBP31" s="478"/>
      <c r="WBQ31" s="478"/>
      <c r="WBR31" s="478"/>
      <c r="WBS31" s="478"/>
      <c r="WBT31" s="478"/>
      <c r="WBU31" s="478"/>
      <c r="WBV31" s="478"/>
      <c r="WBW31" s="478"/>
      <c r="WBX31" s="478"/>
      <c r="WBY31" s="478"/>
      <c r="WBZ31" s="478"/>
      <c r="WCA31" s="478"/>
      <c r="WCB31" s="478"/>
      <c r="WCC31" s="478"/>
      <c r="WCD31" s="478"/>
      <c r="WCE31" s="478"/>
      <c r="WCF31" s="478"/>
      <c r="WCG31" s="478"/>
      <c r="WCH31" s="478"/>
      <c r="WCI31" s="478"/>
      <c r="WCJ31" s="478"/>
      <c r="WCK31" s="478"/>
      <c r="WCL31" s="478"/>
      <c r="WCM31" s="478"/>
      <c r="WCN31" s="478"/>
      <c r="WCO31" s="478"/>
      <c r="WCP31" s="478"/>
      <c r="WCQ31" s="478"/>
      <c r="WCR31" s="478"/>
      <c r="WCS31" s="478"/>
      <c r="WCT31" s="478"/>
      <c r="WCU31" s="478"/>
      <c r="WCV31" s="478"/>
      <c r="WCW31" s="478"/>
      <c r="WCX31" s="478"/>
      <c r="WCY31" s="478"/>
      <c r="WCZ31" s="478"/>
      <c r="WDA31" s="478"/>
      <c r="WDB31" s="478"/>
      <c r="WDC31" s="478"/>
      <c r="WDD31" s="478"/>
      <c r="WDE31" s="478"/>
      <c r="WDF31" s="478"/>
      <c r="WDG31" s="478"/>
      <c r="WDH31" s="478"/>
      <c r="WDI31" s="478"/>
      <c r="WDJ31" s="478"/>
      <c r="WDK31" s="478"/>
      <c r="WDL31" s="478"/>
      <c r="WDM31" s="478"/>
      <c r="WDN31" s="478"/>
      <c r="WDO31" s="478"/>
      <c r="WDP31" s="478"/>
      <c r="WDQ31" s="478"/>
      <c r="WDR31" s="478"/>
      <c r="WDS31" s="478"/>
      <c r="WDT31" s="478"/>
      <c r="WDU31" s="478"/>
      <c r="WDV31" s="478"/>
      <c r="WDW31" s="478"/>
      <c r="WDX31" s="478"/>
      <c r="WDY31" s="478"/>
      <c r="WDZ31" s="478"/>
      <c r="WEA31" s="478"/>
      <c r="WEB31" s="478"/>
      <c r="WEC31" s="478"/>
      <c r="WED31" s="478"/>
      <c r="WEE31" s="478"/>
      <c r="WEF31" s="478"/>
      <c r="WEG31" s="478"/>
      <c r="WEH31" s="478"/>
      <c r="WEI31" s="478"/>
      <c r="WEJ31" s="478"/>
      <c r="WEK31" s="478"/>
      <c r="WEL31" s="478"/>
      <c r="WEM31" s="478"/>
      <c r="WEN31" s="478"/>
      <c r="WEO31" s="478"/>
      <c r="WEP31" s="478"/>
      <c r="WEQ31" s="478"/>
      <c r="WER31" s="478"/>
      <c r="WES31" s="478"/>
      <c r="WET31" s="478"/>
      <c r="WEU31" s="478"/>
      <c r="WEV31" s="478"/>
      <c r="WEW31" s="478"/>
      <c r="WEX31" s="478"/>
      <c r="WEY31" s="478"/>
      <c r="WEZ31" s="478"/>
      <c r="WFA31" s="478"/>
      <c r="WFB31" s="478"/>
      <c r="WFC31" s="478"/>
      <c r="WFD31" s="478"/>
      <c r="WFE31" s="478"/>
      <c r="WFF31" s="478"/>
      <c r="WFG31" s="478"/>
      <c r="WFH31" s="478"/>
      <c r="WFI31" s="478"/>
      <c r="WFJ31" s="478"/>
      <c r="WFK31" s="478"/>
      <c r="WFL31" s="478"/>
      <c r="WFM31" s="478"/>
      <c r="WFN31" s="478"/>
      <c r="WFO31" s="478"/>
      <c r="WFP31" s="478"/>
      <c r="WFQ31" s="478"/>
      <c r="WFR31" s="478"/>
      <c r="WFS31" s="478"/>
      <c r="WFT31" s="478"/>
      <c r="WFU31" s="478"/>
      <c r="WFV31" s="478"/>
      <c r="WFW31" s="478"/>
      <c r="WFX31" s="478"/>
      <c r="WFY31" s="478"/>
      <c r="WFZ31" s="478"/>
      <c r="WGA31" s="478"/>
      <c r="WGB31" s="478"/>
      <c r="WGC31" s="478"/>
      <c r="WGD31" s="478"/>
      <c r="WGE31" s="478"/>
      <c r="WGF31" s="478"/>
      <c r="WGG31" s="478"/>
      <c r="WGH31" s="478"/>
      <c r="WGI31" s="478"/>
      <c r="WGJ31" s="478"/>
      <c r="WGK31" s="478"/>
      <c r="WGL31" s="478"/>
      <c r="WGM31" s="478"/>
      <c r="WGN31" s="478"/>
      <c r="WGO31" s="478"/>
      <c r="WGP31" s="478"/>
      <c r="WGQ31" s="478"/>
      <c r="WGR31" s="478"/>
      <c r="WGS31" s="478"/>
      <c r="WGT31" s="478"/>
      <c r="WGU31" s="478"/>
      <c r="WGV31" s="478"/>
      <c r="WGW31" s="478"/>
      <c r="WGX31" s="478"/>
      <c r="WGY31" s="478"/>
      <c r="WGZ31" s="478"/>
      <c r="WHA31" s="478"/>
      <c r="WHB31" s="478"/>
      <c r="WHC31" s="478"/>
      <c r="WHD31" s="478"/>
      <c r="WHE31" s="478"/>
      <c r="WHF31" s="478"/>
      <c r="WHG31" s="478"/>
      <c r="WHH31" s="478"/>
      <c r="WHI31" s="478"/>
      <c r="WHJ31" s="478"/>
      <c r="WHK31" s="478"/>
      <c r="WHL31" s="478"/>
      <c r="WHM31" s="478"/>
      <c r="WHN31" s="478"/>
      <c r="WHO31" s="478"/>
      <c r="WHP31" s="478"/>
      <c r="WHQ31" s="478"/>
      <c r="WHR31" s="478"/>
      <c r="WHS31" s="478"/>
      <c r="WHT31" s="478"/>
      <c r="WHU31" s="478"/>
      <c r="WHV31" s="478"/>
      <c r="WHW31" s="478"/>
      <c r="WHX31" s="478"/>
      <c r="WHY31" s="478"/>
      <c r="WHZ31" s="478"/>
      <c r="WIA31" s="478"/>
      <c r="WIB31" s="478"/>
      <c r="WIC31" s="478"/>
      <c r="WID31" s="478"/>
      <c r="WIE31" s="478"/>
      <c r="WIF31" s="478"/>
      <c r="WIG31" s="478"/>
      <c r="WIH31" s="478"/>
      <c r="WII31" s="478"/>
      <c r="WIJ31" s="478"/>
      <c r="WIK31" s="478"/>
      <c r="WIL31" s="478"/>
      <c r="WIM31" s="478"/>
      <c r="WIN31" s="478"/>
      <c r="WIO31" s="478"/>
      <c r="WIP31" s="478"/>
      <c r="WIQ31" s="478"/>
      <c r="WIR31" s="478"/>
      <c r="WIS31" s="478"/>
      <c r="WIT31" s="478"/>
      <c r="WIU31" s="478"/>
      <c r="WIV31" s="478"/>
      <c r="WIW31" s="478"/>
      <c r="WIX31" s="478"/>
      <c r="WIY31" s="478"/>
      <c r="WIZ31" s="478"/>
      <c r="WJA31" s="478"/>
      <c r="WJB31" s="478"/>
      <c r="WJC31" s="478"/>
      <c r="WJD31" s="478"/>
      <c r="WJE31" s="478"/>
      <c r="WJF31" s="478"/>
      <c r="WJG31" s="478"/>
      <c r="WJH31" s="478"/>
      <c r="WJI31" s="478"/>
      <c r="WJJ31" s="478"/>
      <c r="WJK31" s="478"/>
      <c r="WJL31" s="478"/>
      <c r="WJM31" s="478"/>
      <c r="WJN31" s="478"/>
      <c r="WJO31" s="478"/>
      <c r="WJP31" s="478"/>
      <c r="WJQ31" s="478"/>
      <c r="WJR31" s="478"/>
      <c r="WJS31" s="478"/>
      <c r="WJT31" s="478"/>
      <c r="WJU31" s="478"/>
      <c r="WJV31" s="478"/>
      <c r="WJW31" s="478"/>
      <c r="WJX31" s="478"/>
      <c r="WJY31" s="478"/>
      <c r="WJZ31" s="478"/>
      <c r="WKA31" s="478"/>
      <c r="WKB31" s="478"/>
      <c r="WKC31" s="478"/>
      <c r="WKD31" s="478"/>
      <c r="WKE31" s="478"/>
      <c r="WKF31" s="478"/>
      <c r="WKG31" s="478"/>
      <c r="WKH31" s="478"/>
      <c r="WKI31" s="478"/>
      <c r="WKJ31" s="478"/>
      <c r="WKK31" s="478"/>
      <c r="WKL31" s="478"/>
      <c r="WKM31" s="478"/>
      <c r="WKN31" s="478"/>
      <c r="WKO31" s="478"/>
      <c r="WKP31" s="478"/>
      <c r="WKQ31" s="478"/>
      <c r="WKR31" s="478"/>
      <c r="WKS31" s="478"/>
      <c r="WKT31" s="478"/>
      <c r="WKU31" s="478"/>
      <c r="WKV31" s="478"/>
      <c r="WKW31" s="478"/>
      <c r="WKX31" s="478"/>
      <c r="WKY31" s="478"/>
      <c r="WKZ31" s="478"/>
      <c r="WLA31" s="478"/>
      <c r="WLB31" s="478"/>
      <c r="WLC31" s="478"/>
      <c r="WLD31" s="478"/>
      <c r="WLE31" s="478"/>
      <c r="WLF31" s="478"/>
      <c r="WLG31" s="478"/>
      <c r="WLH31" s="478"/>
      <c r="WLI31" s="478"/>
      <c r="WLJ31" s="478"/>
      <c r="WLK31" s="478"/>
      <c r="WLL31" s="478"/>
      <c r="WLM31" s="478"/>
      <c r="WLN31" s="478"/>
      <c r="WLO31" s="478"/>
      <c r="WLP31" s="478"/>
      <c r="WLQ31" s="478"/>
      <c r="WLR31" s="478"/>
      <c r="WLS31" s="478"/>
      <c r="WLT31" s="478"/>
      <c r="WLU31" s="478"/>
      <c r="WLV31" s="478"/>
      <c r="WLW31" s="478"/>
      <c r="WLX31" s="478"/>
      <c r="WLY31" s="478"/>
      <c r="WLZ31" s="478"/>
      <c r="WMA31" s="478"/>
      <c r="WMB31" s="478"/>
      <c r="WMC31" s="478"/>
      <c r="WMD31" s="478"/>
      <c r="WME31" s="478"/>
      <c r="WMF31" s="478"/>
      <c r="WMG31" s="478"/>
      <c r="WMH31" s="478"/>
      <c r="WMI31" s="478"/>
      <c r="WMJ31" s="478"/>
      <c r="WMK31" s="478"/>
      <c r="WML31" s="478"/>
      <c r="WMM31" s="478"/>
      <c r="WMN31" s="478"/>
      <c r="WMO31" s="478"/>
      <c r="WMP31" s="478"/>
      <c r="WMQ31" s="478"/>
      <c r="WMR31" s="478"/>
      <c r="WMS31" s="478"/>
      <c r="WMT31" s="478"/>
      <c r="WMU31" s="478"/>
      <c r="WMV31" s="478"/>
      <c r="WMW31" s="478"/>
      <c r="WMX31" s="478"/>
      <c r="WMY31" s="478"/>
      <c r="WMZ31" s="478"/>
      <c r="WNA31" s="478"/>
      <c r="WNB31" s="478"/>
      <c r="WNC31" s="478"/>
      <c r="WND31" s="478"/>
      <c r="WNE31" s="478"/>
      <c r="WNF31" s="478"/>
      <c r="WNG31" s="478"/>
      <c r="WNH31" s="478"/>
      <c r="WNI31" s="478"/>
      <c r="WNJ31" s="478"/>
      <c r="WNK31" s="478"/>
      <c r="WNL31" s="478"/>
      <c r="WNM31" s="478"/>
      <c r="WNN31" s="478"/>
      <c r="WNO31" s="478"/>
      <c r="WNP31" s="478"/>
      <c r="WNQ31" s="478"/>
      <c r="WNR31" s="478"/>
      <c r="WNS31" s="478"/>
      <c r="WNT31" s="478"/>
      <c r="WNU31" s="478"/>
      <c r="WNV31" s="478"/>
      <c r="WNW31" s="478"/>
      <c r="WNX31" s="478"/>
      <c r="WNY31" s="478"/>
      <c r="WNZ31" s="478"/>
      <c r="WOA31" s="478"/>
      <c r="WOB31" s="478"/>
      <c r="WOC31" s="478"/>
      <c r="WOD31" s="478"/>
      <c r="WOE31" s="478"/>
      <c r="WOF31" s="478"/>
      <c r="WOG31" s="478"/>
      <c r="WOH31" s="478"/>
      <c r="WOI31" s="478"/>
      <c r="WOJ31" s="478"/>
      <c r="WOK31" s="478"/>
      <c r="WOL31" s="478"/>
      <c r="WOM31" s="478"/>
      <c r="WON31" s="478"/>
      <c r="WOO31" s="478"/>
      <c r="WOP31" s="478"/>
      <c r="WOQ31" s="478"/>
      <c r="WOR31" s="478"/>
      <c r="WOS31" s="478"/>
      <c r="WOT31" s="478"/>
      <c r="WOU31" s="478"/>
      <c r="WOV31" s="478"/>
      <c r="WOW31" s="478"/>
      <c r="WOX31" s="478"/>
      <c r="WOY31" s="478"/>
      <c r="WOZ31" s="478"/>
      <c r="WPA31" s="478"/>
      <c r="WPB31" s="478"/>
      <c r="WPC31" s="478"/>
      <c r="WPD31" s="478"/>
      <c r="WPE31" s="478"/>
      <c r="WPF31" s="478"/>
      <c r="WPG31" s="478"/>
      <c r="WPH31" s="478"/>
      <c r="WPI31" s="478"/>
      <c r="WPJ31" s="478"/>
      <c r="WPK31" s="478"/>
      <c r="WPL31" s="478"/>
      <c r="WPM31" s="478"/>
      <c r="WPN31" s="478"/>
      <c r="WPO31" s="478"/>
      <c r="WPP31" s="478"/>
      <c r="WPQ31" s="478"/>
      <c r="WPR31" s="478"/>
      <c r="WPS31" s="478"/>
      <c r="WPT31" s="478"/>
      <c r="WPU31" s="478"/>
      <c r="WPV31" s="478"/>
      <c r="WPW31" s="478"/>
      <c r="WPX31" s="478"/>
      <c r="WPY31" s="478"/>
      <c r="WPZ31" s="478"/>
      <c r="WQA31" s="478"/>
      <c r="WQB31" s="478"/>
      <c r="WQC31" s="478"/>
      <c r="WQD31" s="478"/>
      <c r="WQE31" s="478"/>
      <c r="WQF31" s="478"/>
      <c r="WQG31" s="478"/>
      <c r="WQH31" s="478"/>
      <c r="WQI31" s="478"/>
      <c r="WQJ31" s="478"/>
      <c r="WQK31" s="478"/>
      <c r="WQL31" s="478"/>
      <c r="WQM31" s="478"/>
      <c r="WQN31" s="478"/>
      <c r="WQO31" s="478"/>
      <c r="WQP31" s="478"/>
      <c r="WQQ31" s="478"/>
      <c r="WQR31" s="478"/>
      <c r="WQS31" s="478"/>
      <c r="WQT31" s="478"/>
      <c r="WQU31" s="478"/>
      <c r="WQV31" s="478"/>
      <c r="WQW31" s="478"/>
      <c r="WQX31" s="478"/>
      <c r="WQY31" s="478"/>
      <c r="WQZ31" s="478"/>
      <c r="WRA31" s="478"/>
      <c r="WRB31" s="478"/>
      <c r="WRC31" s="478"/>
      <c r="WRD31" s="478"/>
      <c r="WRE31" s="478"/>
      <c r="WRF31" s="478"/>
      <c r="WRG31" s="478"/>
      <c r="WRH31" s="478"/>
      <c r="WRI31" s="478"/>
      <c r="WRJ31" s="478"/>
      <c r="WRK31" s="478"/>
      <c r="WRL31" s="478"/>
      <c r="WRM31" s="478"/>
      <c r="WRN31" s="478"/>
      <c r="WRO31" s="478"/>
      <c r="WRP31" s="478"/>
      <c r="WRQ31" s="478"/>
      <c r="WRR31" s="478"/>
      <c r="WRS31" s="478"/>
      <c r="WRT31" s="478"/>
      <c r="WRU31" s="478"/>
      <c r="WRV31" s="478"/>
      <c r="WRW31" s="478"/>
      <c r="WRX31" s="478"/>
      <c r="WRY31" s="478"/>
      <c r="WRZ31" s="478"/>
      <c r="WSA31" s="478"/>
      <c r="WSB31" s="478"/>
      <c r="WSC31" s="478"/>
      <c r="WSD31" s="478"/>
      <c r="WSE31" s="478"/>
      <c r="WSF31" s="478"/>
      <c r="WSG31" s="478"/>
      <c r="WSH31" s="478"/>
      <c r="WSI31" s="478"/>
      <c r="WSJ31" s="478"/>
      <c r="WSK31" s="478"/>
      <c r="WSL31" s="478"/>
      <c r="WSM31" s="478"/>
      <c r="WSN31" s="478"/>
      <c r="WSO31" s="478"/>
      <c r="WSP31" s="478"/>
      <c r="WSQ31" s="478"/>
      <c r="WSR31" s="478"/>
      <c r="WSS31" s="478"/>
      <c r="WST31" s="478"/>
      <c r="WSU31" s="478"/>
      <c r="WSV31" s="478"/>
      <c r="WSW31" s="478"/>
      <c r="WSX31" s="478"/>
      <c r="WSY31" s="478"/>
      <c r="WSZ31" s="478"/>
      <c r="WTA31" s="478"/>
      <c r="WTB31" s="478"/>
      <c r="WTC31" s="478"/>
      <c r="WTD31" s="478"/>
      <c r="WTE31" s="478"/>
      <c r="WTF31" s="478"/>
      <c r="WTG31" s="478"/>
      <c r="WTH31" s="478"/>
      <c r="WTI31" s="478"/>
      <c r="WTJ31" s="478"/>
      <c r="WTK31" s="478"/>
      <c r="WTL31" s="478"/>
      <c r="WTM31" s="478"/>
      <c r="WTN31" s="478"/>
      <c r="WTO31" s="478"/>
      <c r="WTP31" s="478"/>
      <c r="WTQ31" s="478"/>
      <c r="WTR31" s="478"/>
      <c r="WTS31" s="478"/>
      <c r="WTT31" s="478"/>
      <c r="WTU31" s="478"/>
      <c r="WTV31" s="478"/>
      <c r="WTW31" s="478"/>
      <c r="WTX31" s="478"/>
      <c r="WTY31" s="478"/>
      <c r="WTZ31" s="478"/>
      <c r="WUA31" s="478"/>
      <c r="WUB31" s="478"/>
      <c r="WUC31" s="478"/>
      <c r="WUD31" s="478"/>
      <c r="WUE31" s="478"/>
      <c r="WUF31" s="478"/>
      <c r="WUG31" s="478"/>
      <c r="WUH31" s="478"/>
      <c r="WUI31" s="478"/>
      <c r="WUJ31" s="478"/>
      <c r="WUK31" s="478"/>
      <c r="WUL31" s="478"/>
      <c r="WUM31" s="478"/>
      <c r="WUN31" s="478"/>
      <c r="WUO31" s="478"/>
      <c r="WUP31" s="478"/>
      <c r="WUQ31" s="478"/>
      <c r="WUR31" s="478"/>
      <c r="WUS31" s="478"/>
      <c r="WUT31" s="478"/>
      <c r="WUU31" s="478"/>
      <c r="WUV31" s="478"/>
      <c r="WUW31" s="478"/>
      <c r="WUX31" s="478"/>
      <c r="WUY31" s="478"/>
      <c r="WUZ31" s="478"/>
      <c r="WVA31" s="478"/>
      <c r="WVB31" s="478"/>
      <c r="WVC31" s="478"/>
      <c r="WVD31" s="478"/>
      <c r="WVE31" s="478"/>
      <c r="WVF31" s="478"/>
      <c r="WVG31" s="478"/>
      <c r="WVH31" s="478"/>
      <c r="WVI31" s="478"/>
      <c r="WVJ31" s="478"/>
      <c r="WVK31" s="478"/>
      <c r="WVL31" s="478"/>
      <c r="WVM31" s="478"/>
      <c r="WVN31" s="478"/>
      <c r="WVO31" s="478"/>
      <c r="WVP31" s="478"/>
      <c r="WVQ31" s="478"/>
      <c r="WVR31" s="478"/>
      <c r="WVS31" s="478"/>
      <c r="WVT31" s="478"/>
      <c r="WVU31" s="478"/>
      <c r="WVV31" s="478"/>
      <c r="WVW31" s="478"/>
      <c r="WVX31" s="478"/>
      <c r="WVY31" s="478"/>
      <c r="WVZ31" s="478"/>
      <c r="WWA31" s="478"/>
      <c r="WWB31" s="478"/>
      <c r="WWC31" s="478"/>
      <c r="WWD31" s="478"/>
      <c r="WWE31" s="478"/>
      <c r="WWF31" s="478"/>
      <c r="WWG31" s="478"/>
      <c r="WWH31" s="478"/>
      <c r="WWI31" s="478"/>
      <c r="WWJ31" s="478"/>
      <c r="WWK31" s="478"/>
      <c r="WWL31" s="478"/>
      <c r="WWM31" s="478"/>
      <c r="WWN31" s="478"/>
      <c r="WWO31" s="478"/>
      <c r="WWP31" s="478"/>
      <c r="WWQ31" s="478"/>
      <c r="WWR31" s="478"/>
      <c r="WWS31" s="478"/>
      <c r="WWT31" s="478"/>
      <c r="WWU31" s="478"/>
      <c r="WWV31" s="478"/>
      <c r="WWW31" s="478"/>
      <c r="WWX31" s="478"/>
      <c r="WWY31" s="478"/>
      <c r="WWZ31" s="478"/>
      <c r="WXA31" s="478"/>
      <c r="WXB31" s="478"/>
      <c r="WXC31" s="478"/>
      <c r="WXD31" s="478"/>
      <c r="WXE31" s="478"/>
      <c r="WXF31" s="478"/>
      <c r="WXG31" s="478"/>
      <c r="WXH31" s="478"/>
      <c r="WXI31" s="478"/>
      <c r="WXJ31" s="478"/>
      <c r="WXK31" s="478"/>
      <c r="WXL31" s="478"/>
      <c r="WXM31" s="478"/>
      <c r="WXN31" s="478"/>
      <c r="WXO31" s="478"/>
      <c r="WXP31" s="478"/>
      <c r="WXQ31" s="478"/>
      <c r="WXR31" s="478"/>
      <c r="WXS31" s="478"/>
      <c r="WXT31" s="478"/>
      <c r="WXU31" s="478"/>
      <c r="WXV31" s="478"/>
      <c r="WXW31" s="478"/>
      <c r="WXX31" s="478"/>
      <c r="WXY31" s="478"/>
      <c r="WXZ31" s="478"/>
      <c r="WYA31" s="478"/>
      <c r="WYB31" s="478"/>
      <c r="WYC31" s="478"/>
      <c r="WYD31" s="478"/>
      <c r="WYE31" s="478"/>
      <c r="WYF31" s="478"/>
      <c r="WYG31" s="478"/>
      <c r="WYH31" s="478"/>
      <c r="WYI31" s="478"/>
      <c r="WYJ31" s="478"/>
      <c r="WYK31" s="478"/>
      <c r="WYL31" s="478"/>
      <c r="WYM31" s="478"/>
      <c r="WYN31" s="478"/>
      <c r="WYO31" s="478"/>
      <c r="WYP31" s="478"/>
      <c r="WYQ31" s="478"/>
      <c r="WYR31" s="478"/>
      <c r="WYS31" s="478"/>
      <c r="WYT31" s="478"/>
      <c r="WYU31" s="478"/>
      <c r="WYV31" s="478"/>
      <c r="WYW31" s="478"/>
      <c r="WYX31" s="478"/>
      <c r="WYY31" s="478"/>
      <c r="WYZ31" s="478"/>
      <c r="WZA31" s="478"/>
      <c r="WZB31" s="478"/>
      <c r="WZC31" s="478"/>
      <c r="WZD31" s="478"/>
      <c r="WZE31" s="478"/>
      <c r="WZF31" s="478"/>
      <c r="WZG31" s="478"/>
      <c r="WZH31" s="478"/>
      <c r="WZI31" s="478"/>
      <c r="WZJ31" s="478"/>
      <c r="WZK31" s="478"/>
      <c r="WZL31" s="478"/>
      <c r="WZM31" s="478"/>
      <c r="WZN31" s="478"/>
      <c r="WZO31" s="478"/>
      <c r="WZP31" s="478"/>
      <c r="WZQ31" s="478"/>
      <c r="WZR31" s="478"/>
      <c r="WZS31" s="478"/>
      <c r="WZT31" s="478"/>
      <c r="WZU31" s="478"/>
      <c r="WZV31" s="478"/>
      <c r="WZW31" s="478"/>
      <c r="WZX31" s="478"/>
      <c r="WZY31" s="478"/>
      <c r="WZZ31" s="478"/>
      <c r="XAA31" s="478"/>
      <c r="XAB31" s="478"/>
      <c r="XAC31" s="478"/>
      <c r="XAD31" s="478"/>
      <c r="XAE31" s="478"/>
      <c r="XAF31" s="478"/>
      <c r="XAG31" s="478"/>
      <c r="XAH31" s="478"/>
      <c r="XAI31" s="478"/>
      <c r="XAJ31" s="478"/>
      <c r="XAK31" s="478"/>
      <c r="XAL31" s="478"/>
      <c r="XAM31" s="478"/>
      <c r="XAN31" s="478"/>
      <c r="XAO31" s="478"/>
      <c r="XAP31" s="478"/>
      <c r="XAQ31" s="478"/>
      <c r="XAR31" s="478"/>
      <c r="XAS31" s="478"/>
      <c r="XAT31" s="478"/>
      <c r="XAU31" s="478"/>
      <c r="XAV31" s="478"/>
      <c r="XAW31" s="478"/>
      <c r="XAX31" s="478"/>
      <c r="XAY31" s="478"/>
      <c r="XAZ31" s="478"/>
      <c r="XBA31" s="478"/>
      <c r="XBB31" s="478"/>
      <c r="XBC31" s="478"/>
      <c r="XBD31" s="478"/>
      <c r="XBE31" s="478"/>
      <c r="XBF31" s="478"/>
      <c r="XBG31" s="478"/>
      <c r="XBH31" s="478"/>
      <c r="XBI31" s="478"/>
      <c r="XBJ31" s="478"/>
      <c r="XBK31" s="478"/>
      <c r="XBL31" s="478"/>
      <c r="XBM31" s="478"/>
      <c r="XBN31" s="478"/>
      <c r="XBO31" s="478"/>
      <c r="XBP31" s="478"/>
      <c r="XBQ31" s="478"/>
      <c r="XBR31" s="478"/>
      <c r="XBS31" s="478"/>
      <c r="XBT31" s="478"/>
      <c r="XBU31" s="478"/>
      <c r="XBV31" s="478"/>
      <c r="XBW31" s="478"/>
      <c r="XBX31" s="478"/>
      <c r="XBY31" s="478"/>
      <c r="XBZ31" s="478"/>
      <c r="XCA31" s="478"/>
      <c r="XCB31" s="478"/>
      <c r="XCC31" s="478"/>
      <c r="XCD31" s="478"/>
      <c r="XCE31" s="478"/>
      <c r="XCF31" s="478"/>
      <c r="XCG31" s="478"/>
      <c r="XCH31" s="478"/>
      <c r="XCI31" s="478"/>
      <c r="XCJ31" s="478"/>
      <c r="XCK31" s="478"/>
      <c r="XCL31" s="478"/>
      <c r="XCM31" s="478"/>
      <c r="XCN31" s="478"/>
      <c r="XCO31" s="478"/>
      <c r="XCP31" s="478"/>
      <c r="XCQ31" s="478"/>
      <c r="XCR31" s="478"/>
      <c r="XCS31" s="478"/>
      <c r="XCT31" s="478"/>
      <c r="XCU31" s="478"/>
      <c r="XCV31" s="478"/>
      <c r="XCW31" s="478"/>
      <c r="XCX31" s="478"/>
      <c r="XCY31" s="478"/>
      <c r="XCZ31" s="478"/>
      <c r="XDA31" s="478"/>
      <c r="XDB31" s="478"/>
      <c r="XDC31" s="478"/>
      <c r="XDD31" s="478"/>
      <c r="XDE31" s="478"/>
      <c r="XDF31" s="478"/>
      <c r="XDG31" s="478"/>
      <c r="XDH31" s="478"/>
      <c r="XDI31" s="478"/>
      <c r="XDJ31" s="478"/>
      <c r="XDK31" s="478"/>
      <c r="XDL31" s="478"/>
      <c r="XDM31" s="478"/>
      <c r="XDN31" s="478"/>
      <c r="XDO31" s="478"/>
      <c r="XDP31" s="478"/>
      <c r="XDQ31" s="478"/>
      <c r="XDR31" s="478"/>
      <c r="XDS31" s="478"/>
      <c r="XDT31" s="478"/>
      <c r="XDU31" s="478"/>
      <c r="XDV31" s="478"/>
      <c r="XDW31" s="478"/>
      <c r="XDX31" s="478"/>
      <c r="XDY31" s="478"/>
      <c r="XDZ31" s="478"/>
      <c r="XEA31" s="478"/>
      <c r="XEB31" s="478"/>
      <c r="XEC31" s="478"/>
      <c r="XED31" s="478"/>
      <c r="XEE31" s="478"/>
      <c r="XEF31" s="478"/>
      <c r="XEG31" s="478"/>
      <c r="XEH31" s="478"/>
      <c r="XEI31" s="478"/>
      <c r="XEJ31" s="478"/>
      <c r="XEK31" s="478"/>
      <c r="XEL31" s="478"/>
      <c r="XEM31" s="478"/>
      <c r="XEN31" s="478"/>
      <c r="XEO31" s="478"/>
      <c r="XEP31" s="478"/>
      <c r="XEQ31" s="478"/>
      <c r="XER31" s="478"/>
      <c r="XES31" s="478"/>
      <c r="XET31" s="478"/>
      <c r="XEU31" s="478"/>
      <c r="XEV31" s="478"/>
      <c r="XEW31" s="478"/>
      <c r="XEX31" s="478"/>
      <c r="XEY31" s="478"/>
      <c r="XEZ31" s="478"/>
      <c r="XFA31" s="478"/>
      <c r="XFB31" s="478"/>
      <c r="XFC31" s="478"/>
    </row>
    <row r="32" customHeight="1" spans="1:16383">
      <c r="A32" s="367">
        <v>28</v>
      </c>
      <c r="B32" s="368" t="s">
        <v>43</v>
      </c>
      <c r="C32" s="369">
        <v>191.7791</v>
      </c>
      <c r="D32" s="369">
        <v>211.7791</v>
      </c>
      <c r="E32" s="369">
        <v>20</v>
      </c>
      <c r="F32" s="369">
        <v>20</v>
      </c>
      <c r="G32" s="369">
        <v>3.348</v>
      </c>
      <c r="H32" s="369">
        <v>3.348</v>
      </c>
      <c r="I32" s="369">
        <v>-0.40882</v>
      </c>
      <c r="J32" s="369">
        <v>-1.19881</v>
      </c>
      <c r="K32" s="369">
        <v>1.45011</v>
      </c>
      <c r="L32" s="369">
        <v>0.95011</v>
      </c>
      <c r="M32" s="405">
        <v>1.75</v>
      </c>
      <c r="N32" s="405">
        <v>1.75</v>
      </c>
      <c r="O32" s="406">
        <v>0</v>
      </c>
      <c r="P32" s="369">
        <v>0.69122</v>
      </c>
      <c r="Q32" s="369">
        <v>-0.09878</v>
      </c>
      <c r="R32" s="434">
        <v>0.45</v>
      </c>
      <c r="S32" s="434">
        <v>0.45</v>
      </c>
      <c r="T32" s="406">
        <v>0</v>
      </c>
      <c r="U32" s="435">
        <v>3.1</v>
      </c>
      <c r="V32" s="446">
        <v>8</v>
      </c>
      <c r="W32" s="437">
        <v>9.09</v>
      </c>
      <c r="X32" s="447"/>
      <c r="Y32" s="447"/>
      <c r="AA32"/>
      <c r="AB32"/>
      <c r="AD32"/>
      <c r="AE32"/>
      <c r="AF32"/>
      <c r="AG32" s="470"/>
      <c r="AH32"/>
      <c r="XFC32" s="342"/>
    </row>
    <row r="33" customHeight="1" spans="1:16383">
      <c r="A33" s="367">
        <v>29</v>
      </c>
      <c r="B33" s="368" t="s">
        <v>44</v>
      </c>
      <c r="C33" s="369">
        <v>211.8091</v>
      </c>
      <c r="D33" s="369">
        <v>231.8091</v>
      </c>
      <c r="E33" s="369">
        <v>20</v>
      </c>
      <c r="F33" s="369">
        <v>20</v>
      </c>
      <c r="G33" s="369">
        <v>3.348</v>
      </c>
      <c r="H33" s="369">
        <v>3.348</v>
      </c>
      <c r="I33" s="369">
        <v>-1.19999</v>
      </c>
      <c r="J33" s="369">
        <v>-1.98997</v>
      </c>
      <c r="K33" s="369">
        <v>0.94936</v>
      </c>
      <c r="L33" s="369">
        <v>0.44936</v>
      </c>
      <c r="M33" s="405">
        <v>1.75</v>
      </c>
      <c r="N33" s="405">
        <v>1.75</v>
      </c>
      <c r="O33" s="406">
        <v>0</v>
      </c>
      <c r="P33" s="369">
        <v>-0.09997</v>
      </c>
      <c r="Q33" s="369">
        <v>-0.88997</v>
      </c>
      <c r="R33" s="434">
        <v>0.45</v>
      </c>
      <c r="S33" s="434">
        <v>0.45</v>
      </c>
      <c r="T33" s="406">
        <v>0</v>
      </c>
      <c r="U33" s="435">
        <v>3.1</v>
      </c>
      <c r="V33" s="446">
        <v>9.09</v>
      </c>
      <c r="W33" s="437">
        <v>8</v>
      </c>
      <c r="X33" s="447"/>
      <c r="Y33" s="447"/>
      <c r="AA33"/>
      <c r="AB33"/>
      <c r="AD33"/>
      <c r="AE33"/>
      <c r="AF33"/>
      <c r="AG33" s="470"/>
      <c r="AH33"/>
      <c r="XFC33" s="342"/>
    </row>
    <row r="34" customHeight="1" spans="1:16383">
      <c r="A34" s="367">
        <v>30</v>
      </c>
      <c r="B34" s="368" t="s">
        <v>45</v>
      </c>
      <c r="C34" s="369">
        <v>231.8391</v>
      </c>
      <c r="D34" s="369">
        <v>251.8391</v>
      </c>
      <c r="E34" s="369">
        <v>20</v>
      </c>
      <c r="F34" s="369">
        <v>20</v>
      </c>
      <c r="G34" s="369">
        <v>3.348</v>
      </c>
      <c r="H34" s="369">
        <v>3.348</v>
      </c>
      <c r="I34" s="369">
        <v>-1.99116</v>
      </c>
      <c r="J34" s="369">
        <v>-2.78114</v>
      </c>
      <c r="K34" s="369">
        <v>0.44861</v>
      </c>
      <c r="L34" s="369">
        <v>-0.05139</v>
      </c>
      <c r="M34" s="405">
        <v>1.75</v>
      </c>
      <c r="N34" s="405">
        <v>1.75</v>
      </c>
      <c r="O34" s="406">
        <v>0</v>
      </c>
      <c r="P34" s="369">
        <v>-0.89115</v>
      </c>
      <c r="Q34" s="369">
        <v>-1.61791</v>
      </c>
      <c r="R34" s="434">
        <v>0.45</v>
      </c>
      <c r="S34" s="434">
        <v>0.45</v>
      </c>
      <c r="T34" s="406">
        <v>0</v>
      </c>
      <c r="U34" s="435">
        <v>3.1</v>
      </c>
      <c r="V34" s="446">
        <v>8</v>
      </c>
      <c r="W34" s="437">
        <v>8</v>
      </c>
      <c r="X34" s="447"/>
      <c r="Y34" s="447"/>
      <c r="AA34"/>
      <c r="AB34"/>
      <c r="AD34"/>
      <c r="AE34"/>
      <c r="AF34"/>
      <c r="AG34" s="470"/>
      <c r="AH34"/>
      <c r="XFC34" s="342"/>
    </row>
    <row r="35" customHeight="1" spans="1:16383">
      <c r="A35" s="367">
        <v>31</v>
      </c>
      <c r="B35" s="368" t="s">
        <v>46</v>
      </c>
      <c r="C35" s="369">
        <v>251.8691</v>
      </c>
      <c r="D35" s="369">
        <v>271.8691</v>
      </c>
      <c r="E35" s="369">
        <v>20</v>
      </c>
      <c r="F35" s="369">
        <v>20</v>
      </c>
      <c r="G35" s="369">
        <v>3.348</v>
      </c>
      <c r="H35" s="369">
        <v>3.348</v>
      </c>
      <c r="I35" s="369">
        <v>-2.78233</v>
      </c>
      <c r="J35" s="369">
        <v>-3.34525</v>
      </c>
      <c r="K35" s="369">
        <v>-0.05214</v>
      </c>
      <c r="L35" s="369">
        <v>-0.55214</v>
      </c>
      <c r="M35" s="405">
        <v>1.75</v>
      </c>
      <c r="N35" s="405">
        <v>1.75</v>
      </c>
      <c r="O35" s="406">
        <v>0</v>
      </c>
      <c r="P35" s="369">
        <v>-1.61884</v>
      </c>
      <c r="Q35" s="369">
        <v>-2.12974</v>
      </c>
      <c r="R35" s="434">
        <v>0.45</v>
      </c>
      <c r="S35" s="434">
        <v>0.45</v>
      </c>
      <c r="T35" s="406">
        <v>0</v>
      </c>
      <c r="U35" s="435">
        <v>3.1</v>
      </c>
      <c r="V35" s="446">
        <v>8</v>
      </c>
      <c r="W35" s="437">
        <v>14.06</v>
      </c>
      <c r="X35" s="447"/>
      <c r="Y35" s="447"/>
      <c r="AA35"/>
      <c r="AB35"/>
      <c r="AD35"/>
      <c r="AE35"/>
      <c r="AF35"/>
      <c r="AG35" s="470"/>
      <c r="AH35"/>
      <c r="XFC35" s="342"/>
    </row>
    <row r="36" customHeight="1" spans="1:16383">
      <c r="A36" s="375">
        <v>32</v>
      </c>
      <c r="B36" s="376"/>
      <c r="C36" s="377"/>
      <c r="D36" s="377"/>
      <c r="E36" s="377"/>
      <c r="F36" s="377"/>
      <c r="G36" s="377"/>
      <c r="H36" s="377"/>
      <c r="I36" s="377"/>
      <c r="J36" s="377"/>
      <c r="K36" s="377"/>
      <c r="L36" s="377"/>
      <c r="M36" s="411"/>
      <c r="N36" s="411"/>
      <c r="O36" s="412"/>
      <c r="P36" s="377"/>
      <c r="Q36" s="377"/>
      <c r="R36" s="450"/>
      <c r="S36" s="450"/>
      <c r="T36" s="450"/>
      <c r="U36" s="451"/>
      <c r="V36" s="377"/>
      <c r="W36" s="452"/>
      <c r="X36" s="453"/>
      <c r="Y36" s="349"/>
      <c r="Z36" s="473"/>
      <c r="AA36"/>
      <c r="AB36"/>
      <c r="AD36"/>
      <c r="AE36"/>
      <c r="AF36"/>
      <c r="AG36" s="470"/>
      <c r="AH36"/>
      <c r="XFC36" s="342"/>
    </row>
    <row r="37" customHeight="1" spans="24:25">
      <c r="X37" s="342">
        <f>SUM(X5:X36)</f>
        <v>0</v>
      </c>
      <c r="Y37" s="470"/>
    </row>
    <row r="38" ht="24.95" customHeight="1" spans="2:10">
      <c r="B38" s="356" t="s">
        <v>47</v>
      </c>
      <c r="C38" s="356"/>
      <c r="D38" s="356"/>
      <c r="E38" s="356"/>
      <c r="F38" s="356"/>
      <c r="G38" s="356"/>
      <c r="H38" s="356"/>
      <c r="I38" s="356"/>
      <c r="J38" s="356"/>
    </row>
    <row r="39" s="345" customFormat="1" ht="32.1" customHeight="1" spans="1:29">
      <c r="A39" s="357" t="s">
        <v>2</v>
      </c>
      <c r="B39" s="378" t="s">
        <v>48</v>
      </c>
      <c r="C39" s="378"/>
      <c r="D39" s="359" t="s">
        <v>49</v>
      </c>
      <c r="E39" s="359" t="s">
        <v>5</v>
      </c>
      <c r="F39" s="359"/>
      <c r="G39" s="359" t="s">
        <v>6</v>
      </c>
      <c r="H39" s="359"/>
      <c r="I39" s="359" t="s">
        <v>50</v>
      </c>
      <c r="J39" s="359"/>
      <c r="K39" s="378" t="s">
        <v>51</v>
      </c>
      <c r="L39" s="378" t="s">
        <v>52</v>
      </c>
      <c r="M39" s="378" t="s">
        <v>53</v>
      </c>
      <c r="N39" s="378"/>
      <c r="O39" s="413" t="s">
        <v>7</v>
      </c>
      <c r="P39" s="413"/>
      <c r="Q39" s="413"/>
      <c r="R39" s="413"/>
      <c r="S39" s="413"/>
      <c r="T39" s="413"/>
      <c r="U39" s="413" t="s">
        <v>8</v>
      </c>
      <c r="V39" s="413"/>
      <c r="W39" s="413"/>
      <c r="X39" s="454"/>
      <c r="AB39" s="349"/>
      <c r="AC39" s="349"/>
    </row>
    <row r="40" s="345" customFormat="1" ht="32.1" customHeight="1" spans="1:29">
      <c r="A40" s="362"/>
      <c r="B40" s="379"/>
      <c r="C40" s="379"/>
      <c r="D40" s="364"/>
      <c r="E40" s="364"/>
      <c r="F40" s="364"/>
      <c r="G40" s="364"/>
      <c r="H40" s="364"/>
      <c r="I40" s="364"/>
      <c r="J40" s="364"/>
      <c r="K40" s="379"/>
      <c r="L40" s="379"/>
      <c r="M40" s="379"/>
      <c r="N40" s="379"/>
      <c r="O40" s="403" t="s">
        <v>54</v>
      </c>
      <c r="P40" s="403"/>
      <c r="Q40" s="403" t="s">
        <v>12</v>
      </c>
      <c r="R40" s="403"/>
      <c r="S40" s="403" t="s">
        <v>13</v>
      </c>
      <c r="T40" s="403" t="s">
        <v>55</v>
      </c>
      <c r="U40" s="403"/>
      <c r="V40" s="403" t="s">
        <v>15</v>
      </c>
      <c r="W40" s="403"/>
      <c r="X40" s="455" t="s">
        <v>13</v>
      </c>
      <c r="AB40" s="349"/>
      <c r="AC40" s="349"/>
    </row>
    <row r="41" s="346" customFormat="1" customHeight="1" spans="1:16382">
      <c r="A41" s="380" t="str">
        <f>B5</f>
        <v>ZU1-1</v>
      </c>
      <c r="B41" s="381">
        <f>C5</f>
        <v>109.94</v>
      </c>
      <c r="C41" s="381">
        <f>D5</f>
        <v>129.94</v>
      </c>
      <c r="D41" s="382">
        <f>ABS(C41-B41)</f>
        <v>20</v>
      </c>
      <c r="E41" s="383">
        <f>G5</f>
        <v>3.61863</v>
      </c>
      <c r="F41" s="383">
        <f>H5</f>
        <v>3.348</v>
      </c>
      <c r="G41" s="383">
        <f>I5</f>
        <v>1.82747</v>
      </c>
      <c r="H41" s="383">
        <f>J5</f>
        <v>1.23285</v>
      </c>
      <c r="I41" s="383">
        <f>E41-G41</f>
        <v>1.79116</v>
      </c>
      <c r="J41" s="414">
        <f>F41-H41</f>
        <v>2.11515</v>
      </c>
      <c r="K41" s="415">
        <f>L41+0.1</f>
        <v>0.4</v>
      </c>
      <c r="L41" s="415">
        <f>LOOKUP(MAX(J41,I41),{0,3,4,5,6.5,7.5,9,10},{0.3,0.4,0.5,0.6,0.7,0.8,0.9})</f>
        <v>0.3</v>
      </c>
      <c r="M41" s="415">
        <f>V5+L41*2</f>
        <v>13.1</v>
      </c>
      <c r="N41" s="415">
        <f>W5+L41*2</f>
        <v>13.1</v>
      </c>
      <c r="O41" s="416">
        <f>K5-I5+0.2</f>
        <v>1.8</v>
      </c>
      <c r="P41" s="417">
        <f>L5-J5+0.2</f>
        <v>1.95486</v>
      </c>
      <c r="Q41" s="417">
        <f>M5</f>
        <v>1.75</v>
      </c>
      <c r="R41" s="382">
        <f>N5</f>
        <v>1.75</v>
      </c>
      <c r="S41" s="456">
        <f>O5</f>
        <v>0</v>
      </c>
      <c r="T41" s="457">
        <f>P5-I5+1</f>
        <v>2.6</v>
      </c>
      <c r="U41" s="416">
        <f>Q5-J5+1</f>
        <v>2.75022</v>
      </c>
      <c r="V41" s="416">
        <f>R5</f>
        <v>0.45</v>
      </c>
      <c r="W41" s="457">
        <f>S5</f>
        <v>0.45</v>
      </c>
      <c r="X41" s="458">
        <f>T5</f>
        <v>0</v>
      </c>
      <c r="Y41" s="447">
        <f>(O41+P41)/2*Q41*S41</f>
        <v>0</v>
      </c>
      <c r="Z41" s="447">
        <f>(T41+U41)/2*V41*X41</f>
        <v>0</v>
      </c>
      <c r="AA41" s="478"/>
      <c r="AB41" s="479"/>
      <c r="AC41" s="479"/>
      <c r="AD41" s="478"/>
      <c r="AE41" s="478"/>
      <c r="AF41" s="478"/>
      <c r="AG41" s="478"/>
      <c r="AH41" s="478"/>
      <c r="AI41" s="478"/>
      <c r="AJ41" s="478"/>
      <c r="AK41" s="478"/>
      <c r="AL41" s="478"/>
      <c r="AM41" s="478"/>
      <c r="AN41" s="478"/>
      <c r="AO41" s="478"/>
      <c r="AP41" s="478"/>
      <c r="AQ41" s="478"/>
      <c r="AR41" s="478"/>
      <c r="AS41" s="478"/>
      <c r="AT41" s="478"/>
      <c r="AU41" s="478"/>
      <c r="AV41" s="478"/>
      <c r="AW41" s="478"/>
      <c r="AX41" s="478"/>
      <c r="AY41" s="478"/>
      <c r="AZ41" s="478"/>
      <c r="BA41" s="478"/>
      <c r="BB41" s="478"/>
      <c r="BC41" s="478"/>
      <c r="BD41" s="478"/>
      <c r="BE41" s="478"/>
      <c r="BF41" s="478"/>
      <c r="BG41" s="478"/>
      <c r="BH41" s="478"/>
      <c r="BI41" s="478"/>
      <c r="BJ41" s="478"/>
      <c r="BK41" s="478"/>
      <c r="BL41" s="478"/>
      <c r="BM41" s="478"/>
      <c r="BN41" s="478"/>
      <c r="BO41" s="478"/>
      <c r="BP41" s="478"/>
      <c r="BQ41" s="478"/>
      <c r="BR41" s="478"/>
      <c r="BS41" s="478"/>
      <c r="BT41" s="478"/>
      <c r="BU41" s="478"/>
      <c r="BV41" s="478"/>
      <c r="BW41" s="478"/>
      <c r="BX41" s="478"/>
      <c r="BY41" s="478"/>
      <c r="BZ41" s="478"/>
      <c r="CA41" s="478"/>
      <c r="CB41" s="478"/>
      <c r="CC41" s="478"/>
      <c r="CD41" s="478"/>
      <c r="CE41" s="478"/>
      <c r="CF41" s="478"/>
      <c r="CG41" s="478"/>
      <c r="CH41" s="478"/>
      <c r="CI41" s="478"/>
      <c r="CJ41" s="478"/>
      <c r="CK41" s="478"/>
      <c r="CL41" s="478"/>
      <c r="CM41" s="478"/>
      <c r="CN41" s="478"/>
      <c r="CO41" s="478"/>
      <c r="CP41" s="478"/>
      <c r="CQ41" s="478"/>
      <c r="CR41" s="478"/>
      <c r="CS41" s="478"/>
      <c r="CT41" s="478"/>
      <c r="CU41" s="478"/>
      <c r="CV41" s="478"/>
      <c r="CW41" s="478"/>
      <c r="CX41" s="478"/>
      <c r="CY41" s="478"/>
      <c r="CZ41" s="478"/>
      <c r="DA41" s="478"/>
      <c r="DB41" s="478"/>
      <c r="DC41" s="478"/>
      <c r="DD41" s="478"/>
      <c r="DE41" s="478"/>
      <c r="DF41" s="478"/>
      <c r="DG41" s="478"/>
      <c r="DH41" s="478"/>
      <c r="DI41" s="478"/>
      <c r="DJ41" s="478"/>
      <c r="DK41" s="478"/>
      <c r="DL41" s="478"/>
      <c r="DM41" s="478"/>
      <c r="DN41" s="478"/>
      <c r="DO41" s="478"/>
      <c r="DP41" s="478"/>
      <c r="DQ41" s="478"/>
      <c r="DR41" s="478"/>
      <c r="DS41" s="478"/>
      <c r="DT41" s="478"/>
      <c r="DU41" s="478"/>
      <c r="DV41" s="478"/>
      <c r="DW41" s="478"/>
      <c r="DX41" s="478"/>
      <c r="DY41" s="478"/>
      <c r="DZ41" s="478"/>
      <c r="EA41" s="478"/>
      <c r="EB41" s="478"/>
      <c r="EC41" s="478"/>
      <c r="ED41" s="478"/>
      <c r="EE41" s="478"/>
      <c r="EF41" s="478"/>
      <c r="EG41" s="478"/>
      <c r="EH41" s="478"/>
      <c r="EI41" s="478"/>
      <c r="EJ41" s="478"/>
      <c r="EK41" s="478"/>
      <c r="EL41" s="478"/>
      <c r="EM41" s="478"/>
      <c r="EN41" s="478"/>
      <c r="EO41" s="478"/>
      <c r="EP41" s="478"/>
      <c r="EQ41" s="478"/>
      <c r="ER41" s="478"/>
      <c r="ES41" s="478"/>
      <c r="ET41" s="478"/>
      <c r="EU41" s="478"/>
      <c r="EV41" s="478"/>
      <c r="EW41" s="478"/>
      <c r="EX41" s="478"/>
      <c r="EY41" s="478"/>
      <c r="EZ41" s="478"/>
      <c r="FA41" s="478"/>
      <c r="FB41" s="478"/>
      <c r="FC41" s="478"/>
      <c r="FD41" s="478"/>
      <c r="FE41" s="478"/>
      <c r="FF41" s="478"/>
      <c r="FG41" s="478"/>
      <c r="FH41" s="478"/>
      <c r="FI41" s="478"/>
      <c r="FJ41" s="478"/>
      <c r="FK41" s="478"/>
      <c r="FL41" s="478"/>
      <c r="FM41" s="478"/>
      <c r="FN41" s="478"/>
      <c r="FO41" s="478"/>
      <c r="FP41" s="478"/>
      <c r="FQ41" s="478"/>
      <c r="FR41" s="478"/>
      <c r="FS41" s="478"/>
      <c r="FT41" s="478"/>
      <c r="FU41" s="478"/>
      <c r="FV41" s="478"/>
      <c r="FW41" s="478"/>
      <c r="FX41" s="478"/>
      <c r="FY41" s="478"/>
      <c r="FZ41" s="478"/>
      <c r="GA41" s="478"/>
      <c r="GB41" s="478"/>
      <c r="GC41" s="478"/>
      <c r="GD41" s="478"/>
      <c r="GE41" s="478"/>
      <c r="GF41" s="478"/>
      <c r="GG41" s="478"/>
      <c r="GH41" s="478"/>
      <c r="GI41" s="478"/>
      <c r="GJ41" s="478"/>
      <c r="GK41" s="478"/>
      <c r="GL41" s="478"/>
      <c r="GM41" s="478"/>
      <c r="GN41" s="478"/>
      <c r="GO41" s="478"/>
      <c r="GP41" s="478"/>
      <c r="GQ41" s="478"/>
      <c r="GR41" s="478"/>
      <c r="GS41" s="478"/>
      <c r="GT41" s="478"/>
      <c r="GU41" s="478"/>
      <c r="GV41" s="478"/>
      <c r="GW41" s="478"/>
      <c r="GX41" s="478"/>
      <c r="GY41" s="478"/>
      <c r="GZ41" s="478"/>
      <c r="HA41" s="478"/>
      <c r="HB41" s="478"/>
      <c r="HC41" s="478"/>
      <c r="HD41" s="478"/>
      <c r="HE41" s="478"/>
      <c r="HF41" s="478"/>
      <c r="HG41" s="478"/>
      <c r="HH41" s="478"/>
      <c r="HI41" s="478"/>
      <c r="HJ41" s="478"/>
      <c r="HK41" s="478"/>
      <c r="HL41" s="478"/>
      <c r="HM41" s="478"/>
      <c r="HN41" s="478"/>
      <c r="HO41" s="478"/>
      <c r="HP41" s="478"/>
      <c r="HQ41" s="478"/>
      <c r="HR41" s="478"/>
      <c r="HS41" s="478"/>
      <c r="HT41" s="478"/>
      <c r="HU41" s="478"/>
      <c r="HV41" s="478"/>
      <c r="HW41" s="478"/>
      <c r="HX41" s="478"/>
      <c r="HY41" s="478"/>
      <c r="HZ41" s="478"/>
      <c r="IA41" s="478"/>
      <c r="IB41" s="478"/>
      <c r="IC41" s="478"/>
      <c r="ID41" s="478"/>
      <c r="IE41" s="478"/>
      <c r="IF41" s="478"/>
      <c r="IG41" s="478"/>
      <c r="IH41" s="478"/>
      <c r="II41" s="478"/>
      <c r="IJ41" s="478"/>
      <c r="IK41" s="478"/>
      <c r="IL41" s="478"/>
      <c r="IM41" s="478"/>
      <c r="IN41" s="478"/>
      <c r="IO41" s="478"/>
      <c r="IP41" s="478"/>
      <c r="IQ41" s="478"/>
      <c r="IR41" s="478"/>
      <c r="IS41" s="478"/>
      <c r="IT41" s="478"/>
      <c r="IU41" s="478"/>
      <c r="IV41" s="478"/>
      <c r="IW41" s="478"/>
      <c r="IX41" s="478"/>
      <c r="IY41" s="478"/>
      <c r="IZ41" s="478"/>
      <c r="JA41" s="478"/>
      <c r="JB41" s="478"/>
      <c r="JC41" s="478"/>
      <c r="JD41" s="478"/>
      <c r="JE41" s="478"/>
      <c r="JF41" s="478"/>
      <c r="JG41" s="478"/>
      <c r="JH41" s="478"/>
      <c r="JI41" s="478"/>
      <c r="JJ41" s="478"/>
      <c r="JK41" s="478"/>
      <c r="JL41" s="478"/>
      <c r="JM41" s="478"/>
      <c r="JN41" s="478"/>
      <c r="JO41" s="478"/>
      <c r="JP41" s="478"/>
      <c r="JQ41" s="478"/>
      <c r="JR41" s="478"/>
      <c r="JS41" s="478"/>
      <c r="JT41" s="478"/>
      <c r="JU41" s="478"/>
      <c r="JV41" s="478"/>
      <c r="JW41" s="478"/>
      <c r="JX41" s="478"/>
      <c r="JY41" s="478"/>
      <c r="JZ41" s="478"/>
      <c r="KA41" s="478"/>
      <c r="KB41" s="478"/>
      <c r="KC41" s="478"/>
      <c r="KD41" s="478"/>
      <c r="KE41" s="478"/>
      <c r="KF41" s="478"/>
      <c r="KG41" s="478"/>
      <c r="KH41" s="478"/>
      <c r="KI41" s="478"/>
      <c r="KJ41" s="478"/>
      <c r="KK41" s="478"/>
      <c r="KL41" s="478"/>
      <c r="KM41" s="478"/>
      <c r="KN41" s="478"/>
      <c r="KO41" s="478"/>
      <c r="KP41" s="478"/>
      <c r="KQ41" s="478"/>
      <c r="KR41" s="478"/>
      <c r="KS41" s="478"/>
      <c r="KT41" s="478"/>
      <c r="KU41" s="478"/>
      <c r="KV41" s="478"/>
      <c r="KW41" s="478"/>
      <c r="KX41" s="478"/>
      <c r="KY41" s="478"/>
      <c r="KZ41" s="478"/>
      <c r="LA41" s="478"/>
      <c r="LB41" s="478"/>
      <c r="LC41" s="478"/>
      <c r="LD41" s="478"/>
      <c r="LE41" s="478"/>
      <c r="LF41" s="478"/>
      <c r="LG41" s="478"/>
      <c r="LH41" s="478"/>
      <c r="LI41" s="478"/>
      <c r="LJ41" s="478"/>
      <c r="LK41" s="478"/>
      <c r="LL41" s="478"/>
      <c r="LM41" s="478"/>
      <c r="LN41" s="478"/>
      <c r="LO41" s="478"/>
      <c r="LP41" s="478"/>
      <c r="LQ41" s="478"/>
      <c r="LR41" s="478"/>
      <c r="LS41" s="478"/>
      <c r="LT41" s="478"/>
      <c r="LU41" s="478"/>
      <c r="LV41" s="478"/>
      <c r="LW41" s="478"/>
      <c r="LX41" s="478"/>
      <c r="LY41" s="478"/>
      <c r="LZ41" s="478"/>
      <c r="MA41" s="478"/>
      <c r="MB41" s="478"/>
      <c r="MC41" s="478"/>
      <c r="MD41" s="478"/>
      <c r="ME41" s="478"/>
      <c r="MF41" s="478"/>
      <c r="MG41" s="478"/>
      <c r="MH41" s="478"/>
      <c r="MI41" s="478"/>
      <c r="MJ41" s="478"/>
      <c r="MK41" s="478"/>
      <c r="ML41" s="478"/>
      <c r="MM41" s="478"/>
      <c r="MN41" s="478"/>
      <c r="MO41" s="478"/>
      <c r="MP41" s="478"/>
      <c r="MQ41" s="478"/>
      <c r="MR41" s="478"/>
      <c r="MS41" s="478"/>
      <c r="MT41" s="478"/>
      <c r="MU41" s="478"/>
      <c r="MV41" s="478"/>
      <c r="MW41" s="478"/>
      <c r="MX41" s="478"/>
      <c r="MY41" s="478"/>
      <c r="MZ41" s="478"/>
      <c r="NA41" s="478"/>
      <c r="NB41" s="478"/>
      <c r="NC41" s="478"/>
      <c r="ND41" s="478"/>
      <c r="NE41" s="478"/>
      <c r="NF41" s="478"/>
      <c r="NG41" s="478"/>
      <c r="NH41" s="478"/>
      <c r="NI41" s="478"/>
      <c r="NJ41" s="478"/>
      <c r="NK41" s="478"/>
      <c r="NL41" s="478"/>
      <c r="NM41" s="478"/>
      <c r="NN41" s="478"/>
      <c r="NO41" s="478"/>
      <c r="NP41" s="478"/>
      <c r="NQ41" s="478"/>
      <c r="NR41" s="478"/>
      <c r="NS41" s="478"/>
      <c r="NT41" s="478"/>
      <c r="NU41" s="478"/>
      <c r="NV41" s="478"/>
      <c r="NW41" s="478"/>
      <c r="NX41" s="478"/>
      <c r="NY41" s="478"/>
      <c r="NZ41" s="478"/>
      <c r="OA41" s="478"/>
      <c r="OB41" s="478"/>
      <c r="OC41" s="478"/>
      <c r="OD41" s="478"/>
      <c r="OE41" s="478"/>
      <c r="OF41" s="478"/>
      <c r="OG41" s="478"/>
      <c r="OH41" s="478"/>
      <c r="OI41" s="478"/>
      <c r="OJ41" s="478"/>
      <c r="OK41" s="478"/>
      <c r="OL41" s="478"/>
      <c r="OM41" s="478"/>
      <c r="ON41" s="478"/>
      <c r="OO41" s="478"/>
      <c r="OP41" s="478"/>
      <c r="OQ41" s="478"/>
      <c r="OR41" s="478"/>
      <c r="OS41" s="478"/>
      <c r="OT41" s="478"/>
      <c r="OU41" s="478"/>
      <c r="OV41" s="478"/>
      <c r="OW41" s="478"/>
      <c r="OX41" s="478"/>
      <c r="OY41" s="478"/>
      <c r="OZ41" s="478"/>
      <c r="PA41" s="478"/>
      <c r="PB41" s="478"/>
      <c r="PC41" s="478"/>
      <c r="PD41" s="478"/>
      <c r="PE41" s="478"/>
      <c r="PF41" s="478"/>
      <c r="PG41" s="478"/>
      <c r="PH41" s="478"/>
      <c r="PI41" s="478"/>
      <c r="PJ41" s="478"/>
      <c r="PK41" s="478"/>
      <c r="PL41" s="478"/>
      <c r="PM41" s="478"/>
      <c r="PN41" s="478"/>
      <c r="PO41" s="478"/>
      <c r="PP41" s="478"/>
      <c r="PQ41" s="478"/>
      <c r="PR41" s="478"/>
      <c r="PS41" s="478"/>
      <c r="PT41" s="478"/>
      <c r="PU41" s="478"/>
      <c r="PV41" s="478"/>
      <c r="PW41" s="478"/>
      <c r="PX41" s="478"/>
      <c r="PY41" s="478"/>
      <c r="PZ41" s="478"/>
      <c r="QA41" s="478"/>
      <c r="QB41" s="478"/>
      <c r="QC41" s="478"/>
      <c r="QD41" s="478"/>
      <c r="QE41" s="478"/>
      <c r="QF41" s="478"/>
      <c r="QG41" s="478"/>
      <c r="QH41" s="478"/>
      <c r="QI41" s="478"/>
      <c r="QJ41" s="478"/>
      <c r="QK41" s="478"/>
      <c r="QL41" s="478"/>
      <c r="QM41" s="478"/>
      <c r="QN41" s="478"/>
      <c r="QO41" s="478"/>
      <c r="QP41" s="478"/>
      <c r="QQ41" s="478"/>
      <c r="QR41" s="478"/>
      <c r="QS41" s="478"/>
      <c r="QT41" s="478"/>
      <c r="QU41" s="478"/>
      <c r="QV41" s="478"/>
      <c r="QW41" s="478"/>
      <c r="QX41" s="478"/>
      <c r="QY41" s="478"/>
      <c r="QZ41" s="478"/>
      <c r="RA41" s="478"/>
      <c r="RB41" s="478"/>
      <c r="RC41" s="478"/>
      <c r="RD41" s="478"/>
      <c r="RE41" s="478"/>
      <c r="RF41" s="478"/>
      <c r="RG41" s="478"/>
      <c r="RH41" s="478"/>
      <c r="RI41" s="478"/>
      <c r="RJ41" s="478"/>
      <c r="RK41" s="478"/>
      <c r="RL41" s="478"/>
      <c r="RM41" s="478"/>
      <c r="RN41" s="478"/>
      <c r="RO41" s="478"/>
      <c r="RP41" s="478"/>
      <c r="RQ41" s="478"/>
      <c r="RR41" s="478"/>
      <c r="RS41" s="478"/>
      <c r="RT41" s="478"/>
      <c r="RU41" s="478"/>
      <c r="RV41" s="478"/>
      <c r="RW41" s="478"/>
      <c r="RX41" s="478"/>
      <c r="RY41" s="478"/>
      <c r="RZ41" s="478"/>
      <c r="SA41" s="478"/>
      <c r="SB41" s="478"/>
      <c r="SC41" s="478"/>
      <c r="SD41" s="478"/>
      <c r="SE41" s="478"/>
      <c r="SF41" s="478"/>
      <c r="SG41" s="478"/>
      <c r="SH41" s="478"/>
      <c r="SI41" s="478"/>
      <c r="SJ41" s="478"/>
      <c r="SK41" s="478"/>
      <c r="SL41" s="478"/>
      <c r="SM41" s="478"/>
      <c r="SN41" s="478"/>
      <c r="SO41" s="478"/>
      <c r="SP41" s="478"/>
      <c r="SQ41" s="478"/>
      <c r="SR41" s="478"/>
      <c r="SS41" s="478"/>
      <c r="ST41" s="478"/>
      <c r="SU41" s="478"/>
      <c r="SV41" s="478"/>
      <c r="SW41" s="478"/>
      <c r="SX41" s="478"/>
      <c r="SY41" s="478"/>
      <c r="SZ41" s="478"/>
      <c r="TA41" s="478"/>
      <c r="TB41" s="478"/>
      <c r="TC41" s="478"/>
      <c r="TD41" s="478"/>
      <c r="TE41" s="478"/>
      <c r="TF41" s="478"/>
      <c r="TG41" s="478"/>
      <c r="TH41" s="478"/>
      <c r="TI41" s="478"/>
      <c r="TJ41" s="478"/>
      <c r="TK41" s="478"/>
      <c r="TL41" s="478"/>
      <c r="TM41" s="478"/>
      <c r="TN41" s="478"/>
      <c r="TO41" s="478"/>
      <c r="TP41" s="478"/>
      <c r="TQ41" s="478"/>
      <c r="TR41" s="478"/>
      <c r="TS41" s="478"/>
      <c r="TT41" s="478"/>
      <c r="TU41" s="478"/>
      <c r="TV41" s="478"/>
      <c r="TW41" s="478"/>
      <c r="TX41" s="478"/>
      <c r="TY41" s="478"/>
      <c r="TZ41" s="478"/>
      <c r="UA41" s="478"/>
      <c r="UB41" s="478"/>
      <c r="UC41" s="478"/>
      <c r="UD41" s="478"/>
      <c r="UE41" s="478"/>
      <c r="UF41" s="478"/>
      <c r="UG41" s="478"/>
      <c r="UH41" s="478"/>
      <c r="UI41" s="478"/>
      <c r="UJ41" s="478"/>
      <c r="UK41" s="478"/>
      <c r="UL41" s="478"/>
      <c r="UM41" s="478"/>
      <c r="UN41" s="478"/>
      <c r="UO41" s="478"/>
      <c r="UP41" s="478"/>
      <c r="UQ41" s="478"/>
      <c r="UR41" s="478"/>
      <c r="US41" s="478"/>
      <c r="UT41" s="478"/>
      <c r="UU41" s="478"/>
      <c r="UV41" s="478"/>
      <c r="UW41" s="478"/>
      <c r="UX41" s="478"/>
      <c r="UY41" s="478"/>
      <c r="UZ41" s="478"/>
      <c r="VA41" s="478"/>
      <c r="VB41" s="478"/>
      <c r="VC41" s="478"/>
      <c r="VD41" s="478"/>
      <c r="VE41" s="478"/>
      <c r="VF41" s="478"/>
      <c r="VG41" s="478"/>
      <c r="VH41" s="478"/>
      <c r="VI41" s="478"/>
      <c r="VJ41" s="478"/>
      <c r="VK41" s="478"/>
      <c r="VL41" s="478"/>
      <c r="VM41" s="478"/>
      <c r="VN41" s="478"/>
      <c r="VO41" s="478"/>
      <c r="VP41" s="478"/>
      <c r="VQ41" s="478"/>
      <c r="VR41" s="478"/>
      <c r="VS41" s="478"/>
      <c r="VT41" s="478"/>
      <c r="VU41" s="478"/>
      <c r="VV41" s="478"/>
      <c r="VW41" s="478"/>
      <c r="VX41" s="478"/>
      <c r="VY41" s="478"/>
      <c r="VZ41" s="478"/>
      <c r="WA41" s="478"/>
      <c r="WB41" s="478"/>
      <c r="WC41" s="478"/>
      <c r="WD41" s="478"/>
      <c r="WE41" s="478"/>
      <c r="WF41" s="478"/>
      <c r="WG41" s="478"/>
      <c r="WH41" s="478"/>
      <c r="WI41" s="478"/>
      <c r="WJ41" s="478"/>
      <c r="WK41" s="478"/>
      <c r="WL41" s="478"/>
      <c r="WM41" s="478"/>
      <c r="WN41" s="478"/>
      <c r="WO41" s="478"/>
      <c r="WP41" s="478"/>
      <c r="WQ41" s="478"/>
      <c r="WR41" s="478"/>
      <c r="WS41" s="478"/>
      <c r="WT41" s="478"/>
      <c r="WU41" s="478"/>
      <c r="WV41" s="478"/>
      <c r="WW41" s="478"/>
      <c r="WX41" s="478"/>
      <c r="WY41" s="478"/>
      <c r="WZ41" s="478"/>
      <c r="XA41" s="478"/>
      <c r="XB41" s="478"/>
      <c r="XC41" s="478"/>
      <c r="XD41" s="478"/>
      <c r="XE41" s="478"/>
      <c r="XF41" s="478"/>
      <c r="XG41" s="478"/>
      <c r="XH41" s="478"/>
      <c r="XI41" s="478"/>
      <c r="XJ41" s="478"/>
      <c r="XK41" s="478"/>
      <c r="XL41" s="478"/>
      <c r="XM41" s="478"/>
      <c r="XN41" s="478"/>
      <c r="XO41" s="478"/>
      <c r="XP41" s="478"/>
      <c r="XQ41" s="478"/>
      <c r="XR41" s="478"/>
      <c r="XS41" s="478"/>
      <c r="XT41" s="478"/>
      <c r="XU41" s="478"/>
      <c r="XV41" s="478"/>
      <c r="XW41" s="478"/>
      <c r="XX41" s="478"/>
      <c r="XY41" s="478"/>
      <c r="XZ41" s="478"/>
      <c r="YA41" s="478"/>
      <c r="YB41" s="478"/>
      <c r="YC41" s="478"/>
      <c r="YD41" s="478"/>
      <c r="YE41" s="478"/>
      <c r="YF41" s="478"/>
      <c r="YG41" s="478"/>
      <c r="YH41" s="478"/>
      <c r="YI41" s="478"/>
      <c r="YJ41" s="478"/>
      <c r="YK41" s="478"/>
      <c r="YL41" s="478"/>
      <c r="YM41" s="478"/>
      <c r="YN41" s="478"/>
      <c r="YO41" s="478"/>
      <c r="YP41" s="478"/>
      <c r="YQ41" s="478"/>
      <c r="YR41" s="478"/>
      <c r="YS41" s="478"/>
      <c r="YT41" s="478"/>
      <c r="YU41" s="478"/>
      <c r="YV41" s="478"/>
      <c r="YW41" s="478"/>
      <c r="YX41" s="478"/>
      <c r="YY41" s="478"/>
      <c r="YZ41" s="478"/>
      <c r="ZA41" s="478"/>
      <c r="ZB41" s="478"/>
      <c r="ZC41" s="478"/>
      <c r="ZD41" s="478"/>
      <c r="ZE41" s="478"/>
      <c r="ZF41" s="478"/>
      <c r="ZG41" s="478"/>
      <c r="ZH41" s="478"/>
      <c r="ZI41" s="478"/>
      <c r="ZJ41" s="478"/>
      <c r="ZK41" s="478"/>
      <c r="ZL41" s="478"/>
      <c r="ZM41" s="478"/>
      <c r="ZN41" s="478"/>
      <c r="ZO41" s="478"/>
      <c r="ZP41" s="478"/>
      <c r="ZQ41" s="478"/>
      <c r="ZR41" s="478"/>
      <c r="ZS41" s="478"/>
      <c r="ZT41" s="478"/>
      <c r="ZU41" s="478"/>
      <c r="ZV41" s="478"/>
      <c r="ZW41" s="478"/>
      <c r="ZX41" s="478"/>
      <c r="ZY41" s="478"/>
      <c r="ZZ41" s="478"/>
      <c r="AAA41" s="478"/>
      <c r="AAB41" s="478"/>
      <c r="AAC41" s="478"/>
      <c r="AAD41" s="478"/>
      <c r="AAE41" s="478"/>
      <c r="AAF41" s="478"/>
      <c r="AAG41" s="478"/>
      <c r="AAH41" s="478"/>
      <c r="AAI41" s="478"/>
      <c r="AAJ41" s="478"/>
      <c r="AAK41" s="478"/>
      <c r="AAL41" s="478"/>
      <c r="AAM41" s="478"/>
      <c r="AAN41" s="478"/>
      <c r="AAO41" s="478"/>
      <c r="AAP41" s="478"/>
      <c r="AAQ41" s="478"/>
      <c r="AAR41" s="478"/>
      <c r="AAS41" s="478"/>
      <c r="AAT41" s="478"/>
      <c r="AAU41" s="478"/>
      <c r="AAV41" s="478"/>
      <c r="AAW41" s="478"/>
      <c r="AAX41" s="478"/>
      <c r="AAY41" s="478"/>
      <c r="AAZ41" s="478"/>
      <c r="ABA41" s="478"/>
      <c r="ABB41" s="478"/>
      <c r="ABC41" s="478"/>
      <c r="ABD41" s="478"/>
      <c r="ABE41" s="478"/>
      <c r="ABF41" s="478"/>
      <c r="ABG41" s="478"/>
      <c r="ABH41" s="478"/>
      <c r="ABI41" s="478"/>
      <c r="ABJ41" s="478"/>
      <c r="ABK41" s="478"/>
      <c r="ABL41" s="478"/>
      <c r="ABM41" s="478"/>
      <c r="ABN41" s="478"/>
      <c r="ABO41" s="478"/>
      <c r="ABP41" s="478"/>
      <c r="ABQ41" s="478"/>
      <c r="ABR41" s="478"/>
      <c r="ABS41" s="478"/>
      <c r="ABT41" s="478"/>
      <c r="ABU41" s="478"/>
      <c r="ABV41" s="478"/>
      <c r="ABW41" s="478"/>
      <c r="ABX41" s="478"/>
      <c r="ABY41" s="478"/>
      <c r="ABZ41" s="478"/>
      <c r="ACA41" s="478"/>
      <c r="ACB41" s="478"/>
      <c r="ACC41" s="478"/>
      <c r="ACD41" s="478"/>
      <c r="ACE41" s="478"/>
      <c r="ACF41" s="478"/>
      <c r="ACG41" s="478"/>
      <c r="ACH41" s="478"/>
      <c r="ACI41" s="478"/>
      <c r="ACJ41" s="478"/>
      <c r="ACK41" s="478"/>
      <c r="ACL41" s="478"/>
      <c r="ACM41" s="478"/>
      <c r="ACN41" s="478"/>
      <c r="ACO41" s="478"/>
      <c r="ACP41" s="478"/>
      <c r="ACQ41" s="478"/>
      <c r="ACR41" s="478"/>
      <c r="ACS41" s="478"/>
      <c r="ACT41" s="478"/>
      <c r="ACU41" s="478"/>
      <c r="ACV41" s="478"/>
      <c r="ACW41" s="478"/>
      <c r="ACX41" s="478"/>
      <c r="ACY41" s="478"/>
      <c r="ACZ41" s="478"/>
      <c r="ADA41" s="478"/>
      <c r="ADB41" s="478"/>
      <c r="ADC41" s="478"/>
      <c r="ADD41" s="478"/>
      <c r="ADE41" s="478"/>
      <c r="ADF41" s="478"/>
      <c r="ADG41" s="478"/>
      <c r="ADH41" s="478"/>
      <c r="ADI41" s="478"/>
      <c r="ADJ41" s="478"/>
      <c r="ADK41" s="478"/>
      <c r="ADL41" s="478"/>
      <c r="ADM41" s="478"/>
      <c r="ADN41" s="478"/>
      <c r="ADO41" s="478"/>
      <c r="ADP41" s="478"/>
      <c r="ADQ41" s="478"/>
      <c r="ADR41" s="478"/>
      <c r="ADS41" s="478"/>
      <c r="ADT41" s="478"/>
      <c r="ADU41" s="478"/>
      <c r="ADV41" s="478"/>
      <c r="ADW41" s="478"/>
      <c r="ADX41" s="478"/>
      <c r="ADY41" s="478"/>
      <c r="ADZ41" s="478"/>
      <c r="AEA41" s="478"/>
      <c r="AEB41" s="478"/>
      <c r="AEC41" s="478"/>
      <c r="AED41" s="478"/>
      <c r="AEE41" s="478"/>
      <c r="AEF41" s="478"/>
      <c r="AEG41" s="478"/>
      <c r="AEH41" s="478"/>
      <c r="AEI41" s="478"/>
      <c r="AEJ41" s="478"/>
      <c r="AEK41" s="478"/>
      <c r="AEL41" s="478"/>
      <c r="AEM41" s="478"/>
      <c r="AEN41" s="478"/>
      <c r="AEO41" s="478"/>
      <c r="AEP41" s="478"/>
      <c r="AEQ41" s="478"/>
      <c r="AER41" s="478"/>
      <c r="AES41" s="478"/>
      <c r="AET41" s="478"/>
      <c r="AEU41" s="478"/>
      <c r="AEV41" s="478"/>
      <c r="AEW41" s="478"/>
      <c r="AEX41" s="478"/>
      <c r="AEY41" s="478"/>
      <c r="AEZ41" s="478"/>
      <c r="AFA41" s="478"/>
      <c r="AFB41" s="478"/>
      <c r="AFC41" s="478"/>
      <c r="AFD41" s="478"/>
      <c r="AFE41" s="478"/>
      <c r="AFF41" s="478"/>
      <c r="AFG41" s="478"/>
      <c r="AFH41" s="478"/>
      <c r="AFI41" s="478"/>
      <c r="AFJ41" s="478"/>
      <c r="AFK41" s="478"/>
      <c r="AFL41" s="478"/>
      <c r="AFM41" s="478"/>
      <c r="AFN41" s="478"/>
      <c r="AFO41" s="478"/>
      <c r="AFP41" s="478"/>
      <c r="AFQ41" s="478"/>
      <c r="AFR41" s="478"/>
      <c r="AFS41" s="478"/>
      <c r="AFT41" s="478"/>
      <c r="AFU41" s="478"/>
      <c r="AFV41" s="478"/>
      <c r="AFW41" s="478"/>
      <c r="AFX41" s="478"/>
      <c r="AFY41" s="478"/>
      <c r="AFZ41" s="478"/>
      <c r="AGA41" s="478"/>
      <c r="AGB41" s="478"/>
      <c r="AGC41" s="478"/>
      <c r="AGD41" s="478"/>
      <c r="AGE41" s="478"/>
      <c r="AGF41" s="478"/>
      <c r="AGG41" s="478"/>
      <c r="AGH41" s="478"/>
      <c r="AGI41" s="478"/>
      <c r="AGJ41" s="478"/>
      <c r="AGK41" s="478"/>
      <c r="AGL41" s="478"/>
      <c r="AGM41" s="478"/>
      <c r="AGN41" s="478"/>
      <c r="AGO41" s="478"/>
      <c r="AGP41" s="478"/>
      <c r="AGQ41" s="478"/>
      <c r="AGR41" s="478"/>
      <c r="AGS41" s="478"/>
      <c r="AGT41" s="478"/>
      <c r="AGU41" s="478"/>
      <c r="AGV41" s="478"/>
      <c r="AGW41" s="478"/>
      <c r="AGX41" s="478"/>
      <c r="AGY41" s="478"/>
      <c r="AGZ41" s="478"/>
      <c r="AHA41" s="478"/>
      <c r="AHB41" s="478"/>
      <c r="AHC41" s="478"/>
      <c r="AHD41" s="478"/>
      <c r="AHE41" s="478"/>
      <c r="AHF41" s="478"/>
      <c r="AHG41" s="478"/>
      <c r="AHH41" s="478"/>
      <c r="AHI41" s="478"/>
      <c r="AHJ41" s="478"/>
      <c r="AHK41" s="478"/>
      <c r="AHL41" s="478"/>
      <c r="AHM41" s="478"/>
      <c r="AHN41" s="478"/>
      <c r="AHO41" s="478"/>
      <c r="AHP41" s="478"/>
      <c r="AHQ41" s="478"/>
      <c r="AHR41" s="478"/>
      <c r="AHS41" s="478"/>
      <c r="AHT41" s="478"/>
      <c r="AHU41" s="478"/>
      <c r="AHV41" s="478"/>
      <c r="AHW41" s="478"/>
      <c r="AHX41" s="478"/>
      <c r="AHY41" s="478"/>
      <c r="AHZ41" s="478"/>
      <c r="AIA41" s="478"/>
      <c r="AIB41" s="478"/>
      <c r="AIC41" s="478"/>
      <c r="AID41" s="478"/>
      <c r="AIE41" s="478"/>
      <c r="AIF41" s="478"/>
      <c r="AIG41" s="478"/>
      <c r="AIH41" s="478"/>
      <c r="AII41" s="478"/>
      <c r="AIJ41" s="478"/>
      <c r="AIK41" s="478"/>
      <c r="AIL41" s="478"/>
      <c r="AIM41" s="478"/>
      <c r="AIN41" s="478"/>
      <c r="AIO41" s="478"/>
      <c r="AIP41" s="478"/>
      <c r="AIQ41" s="478"/>
      <c r="AIR41" s="478"/>
      <c r="AIS41" s="478"/>
      <c r="AIT41" s="478"/>
      <c r="AIU41" s="478"/>
      <c r="AIV41" s="478"/>
      <c r="AIW41" s="478"/>
      <c r="AIX41" s="478"/>
      <c r="AIY41" s="478"/>
      <c r="AIZ41" s="478"/>
      <c r="AJA41" s="478"/>
      <c r="AJB41" s="478"/>
      <c r="AJC41" s="478"/>
      <c r="AJD41" s="478"/>
      <c r="AJE41" s="478"/>
      <c r="AJF41" s="478"/>
      <c r="AJG41" s="478"/>
      <c r="AJH41" s="478"/>
      <c r="AJI41" s="478"/>
      <c r="AJJ41" s="478"/>
      <c r="AJK41" s="478"/>
      <c r="AJL41" s="478"/>
      <c r="AJM41" s="478"/>
      <c r="AJN41" s="478"/>
      <c r="AJO41" s="478"/>
      <c r="AJP41" s="478"/>
      <c r="AJQ41" s="478"/>
      <c r="AJR41" s="478"/>
      <c r="AJS41" s="478"/>
      <c r="AJT41" s="478"/>
      <c r="AJU41" s="478"/>
      <c r="AJV41" s="478"/>
      <c r="AJW41" s="478"/>
      <c r="AJX41" s="478"/>
      <c r="AJY41" s="478"/>
      <c r="AJZ41" s="478"/>
      <c r="AKA41" s="478"/>
      <c r="AKB41" s="478"/>
      <c r="AKC41" s="478"/>
      <c r="AKD41" s="478"/>
      <c r="AKE41" s="478"/>
      <c r="AKF41" s="478"/>
      <c r="AKG41" s="478"/>
      <c r="AKH41" s="478"/>
      <c r="AKI41" s="478"/>
      <c r="AKJ41" s="478"/>
      <c r="AKK41" s="478"/>
      <c r="AKL41" s="478"/>
      <c r="AKM41" s="478"/>
      <c r="AKN41" s="478"/>
      <c r="AKO41" s="478"/>
      <c r="AKP41" s="478"/>
      <c r="AKQ41" s="478"/>
      <c r="AKR41" s="478"/>
      <c r="AKS41" s="478"/>
      <c r="AKT41" s="478"/>
      <c r="AKU41" s="478"/>
      <c r="AKV41" s="478"/>
      <c r="AKW41" s="478"/>
      <c r="AKX41" s="478"/>
      <c r="AKY41" s="478"/>
      <c r="AKZ41" s="478"/>
      <c r="ALA41" s="478"/>
      <c r="ALB41" s="478"/>
      <c r="ALC41" s="478"/>
      <c r="ALD41" s="478"/>
      <c r="ALE41" s="478"/>
      <c r="ALF41" s="478"/>
      <c r="ALG41" s="478"/>
      <c r="ALH41" s="478"/>
      <c r="ALI41" s="478"/>
      <c r="ALJ41" s="478"/>
      <c r="ALK41" s="478"/>
      <c r="ALL41" s="478"/>
      <c r="ALM41" s="478"/>
      <c r="ALN41" s="478"/>
      <c r="ALO41" s="478"/>
      <c r="ALP41" s="478"/>
      <c r="ALQ41" s="478"/>
      <c r="ALR41" s="478"/>
      <c r="ALS41" s="478"/>
      <c r="ALT41" s="478"/>
      <c r="ALU41" s="478"/>
      <c r="ALV41" s="478"/>
      <c r="ALW41" s="478"/>
      <c r="ALX41" s="478"/>
      <c r="ALY41" s="478"/>
      <c r="ALZ41" s="478"/>
      <c r="AMA41" s="478"/>
      <c r="AMB41" s="478"/>
      <c r="AMC41" s="478"/>
      <c r="AMD41" s="478"/>
      <c r="AME41" s="478"/>
      <c r="AMF41" s="478"/>
      <c r="AMG41" s="478"/>
      <c r="AMH41" s="478"/>
      <c r="AMI41" s="478"/>
      <c r="AMJ41" s="478"/>
      <c r="AMK41" s="478"/>
      <c r="AML41" s="478"/>
      <c r="AMM41" s="478"/>
      <c r="AMN41" s="478"/>
      <c r="AMO41" s="478"/>
      <c r="AMP41" s="478"/>
      <c r="AMQ41" s="478"/>
      <c r="AMR41" s="478"/>
      <c r="AMS41" s="478"/>
      <c r="AMT41" s="478"/>
      <c r="AMU41" s="478"/>
      <c r="AMV41" s="478"/>
      <c r="AMW41" s="478"/>
      <c r="AMX41" s="478"/>
      <c r="AMY41" s="478"/>
      <c r="AMZ41" s="478"/>
      <c r="ANA41" s="478"/>
      <c r="ANB41" s="478"/>
      <c r="ANC41" s="478"/>
      <c r="AND41" s="478"/>
      <c r="ANE41" s="478"/>
      <c r="ANF41" s="478"/>
      <c r="ANG41" s="478"/>
      <c r="ANH41" s="478"/>
      <c r="ANI41" s="478"/>
      <c r="ANJ41" s="478"/>
      <c r="ANK41" s="478"/>
      <c r="ANL41" s="478"/>
      <c r="ANM41" s="478"/>
      <c r="ANN41" s="478"/>
      <c r="ANO41" s="478"/>
      <c r="ANP41" s="478"/>
      <c r="ANQ41" s="478"/>
      <c r="ANR41" s="478"/>
      <c r="ANS41" s="478"/>
      <c r="ANT41" s="478"/>
      <c r="ANU41" s="478"/>
      <c r="ANV41" s="478"/>
      <c r="ANW41" s="478"/>
      <c r="ANX41" s="478"/>
      <c r="ANY41" s="478"/>
      <c r="ANZ41" s="478"/>
      <c r="AOA41" s="478"/>
      <c r="AOB41" s="478"/>
      <c r="AOC41" s="478"/>
      <c r="AOD41" s="478"/>
      <c r="AOE41" s="478"/>
      <c r="AOF41" s="478"/>
      <c r="AOG41" s="478"/>
      <c r="AOH41" s="478"/>
      <c r="AOI41" s="478"/>
      <c r="AOJ41" s="478"/>
      <c r="AOK41" s="478"/>
      <c r="AOL41" s="478"/>
      <c r="AOM41" s="478"/>
      <c r="AON41" s="478"/>
      <c r="AOO41" s="478"/>
      <c r="AOP41" s="478"/>
      <c r="AOQ41" s="478"/>
      <c r="AOR41" s="478"/>
      <c r="AOS41" s="478"/>
      <c r="AOT41" s="478"/>
      <c r="AOU41" s="478"/>
      <c r="AOV41" s="478"/>
      <c r="AOW41" s="478"/>
      <c r="AOX41" s="478"/>
      <c r="AOY41" s="478"/>
      <c r="AOZ41" s="478"/>
      <c r="APA41" s="478"/>
      <c r="APB41" s="478"/>
      <c r="APC41" s="478"/>
      <c r="APD41" s="478"/>
      <c r="APE41" s="478"/>
      <c r="APF41" s="478"/>
      <c r="APG41" s="478"/>
      <c r="APH41" s="478"/>
      <c r="API41" s="478"/>
      <c r="APJ41" s="478"/>
      <c r="APK41" s="478"/>
      <c r="APL41" s="478"/>
      <c r="APM41" s="478"/>
      <c r="APN41" s="478"/>
      <c r="APO41" s="478"/>
      <c r="APP41" s="478"/>
      <c r="APQ41" s="478"/>
      <c r="APR41" s="478"/>
      <c r="APS41" s="478"/>
      <c r="APT41" s="478"/>
      <c r="APU41" s="478"/>
      <c r="APV41" s="478"/>
      <c r="APW41" s="478"/>
      <c r="APX41" s="478"/>
      <c r="APY41" s="478"/>
      <c r="APZ41" s="478"/>
      <c r="AQA41" s="478"/>
      <c r="AQB41" s="478"/>
      <c r="AQC41" s="478"/>
      <c r="AQD41" s="478"/>
      <c r="AQE41" s="478"/>
      <c r="AQF41" s="478"/>
      <c r="AQG41" s="478"/>
      <c r="AQH41" s="478"/>
      <c r="AQI41" s="478"/>
      <c r="AQJ41" s="478"/>
      <c r="AQK41" s="478"/>
      <c r="AQL41" s="478"/>
      <c r="AQM41" s="478"/>
      <c r="AQN41" s="478"/>
      <c r="AQO41" s="478"/>
      <c r="AQP41" s="478"/>
      <c r="AQQ41" s="478"/>
      <c r="AQR41" s="478"/>
      <c r="AQS41" s="478"/>
      <c r="AQT41" s="478"/>
      <c r="AQU41" s="478"/>
      <c r="AQV41" s="478"/>
      <c r="AQW41" s="478"/>
      <c r="AQX41" s="478"/>
      <c r="AQY41" s="478"/>
      <c r="AQZ41" s="478"/>
      <c r="ARA41" s="478"/>
      <c r="ARB41" s="478"/>
      <c r="ARC41" s="478"/>
      <c r="ARD41" s="478"/>
      <c r="ARE41" s="478"/>
      <c r="ARF41" s="478"/>
      <c r="ARG41" s="478"/>
      <c r="ARH41" s="478"/>
      <c r="ARI41" s="478"/>
      <c r="ARJ41" s="478"/>
      <c r="ARK41" s="478"/>
      <c r="ARL41" s="478"/>
      <c r="ARM41" s="478"/>
      <c r="ARN41" s="478"/>
      <c r="ARO41" s="478"/>
      <c r="ARP41" s="478"/>
      <c r="ARQ41" s="478"/>
      <c r="ARR41" s="478"/>
      <c r="ARS41" s="478"/>
      <c r="ART41" s="478"/>
      <c r="ARU41" s="478"/>
      <c r="ARV41" s="478"/>
      <c r="ARW41" s="478"/>
      <c r="ARX41" s="478"/>
      <c r="ARY41" s="478"/>
      <c r="ARZ41" s="478"/>
      <c r="ASA41" s="478"/>
      <c r="ASB41" s="478"/>
      <c r="ASC41" s="478"/>
      <c r="ASD41" s="478"/>
      <c r="ASE41" s="478"/>
      <c r="ASF41" s="478"/>
      <c r="ASG41" s="478"/>
      <c r="ASH41" s="478"/>
      <c r="ASI41" s="478"/>
      <c r="ASJ41" s="478"/>
      <c r="ASK41" s="478"/>
      <c r="ASL41" s="478"/>
      <c r="ASM41" s="478"/>
      <c r="ASN41" s="478"/>
      <c r="ASO41" s="478"/>
      <c r="ASP41" s="478"/>
      <c r="ASQ41" s="478"/>
      <c r="ASR41" s="478"/>
      <c r="ASS41" s="478"/>
      <c r="AST41" s="478"/>
      <c r="ASU41" s="478"/>
      <c r="ASV41" s="478"/>
      <c r="ASW41" s="478"/>
      <c r="ASX41" s="478"/>
      <c r="ASY41" s="478"/>
      <c r="ASZ41" s="478"/>
      <c r="ATA41" s="478"/>
      <c r="ATB41" s="478"/>
      <c r="ATC41" s="478"/>
      <c r="ATD41" s="478"/>
      <c r="ATE41" s="478"/>
      <c r="ATF41" s="478"/>
      <c r="ATG41" s="478"/>
      <c r="ATH41" s="478"/>
      <c r="ATI41" s="478"/>
      <c r="ATJ41" s="478"/>
      <c r="ATK41" s="478"/>
      <c r="ATL41" s="478"/>
      <c r="ATM41" s="478"/>
      <c r="ATN41" s="478"/>
      <c r="ATO41" s="478"/>
      <c r="ATP41" s="478"/>
      <c r="ATQ41" s="478"/>
      <c r="ATR41" s="478"/>
      <c r="ATS41" s="478"/>
      <c r="ATT41" s="478"/>
      <c r="ATU41" s="478"/>
      <c r="ATV41" s="478"/>
      <c r="ATW41" s="478"/>
      <c r="ATX41" s="478"/>
      <c r="ATY41" s="478"/>
      <c r="ATZ41" s="478"/>
      <c r="AUA41" s="478"/>
      <c r="AUB41" s="478"/>
      <c r="AUC41" s="478"/>
      <c r="AUD41" s="478"/>
      <c r="AUE41" s="478"/>
      <c r="AUF41" s="478"/>
      <c r="AUG41" s="478"/>
      <c r="AUH41" s="478"/>
      <c r="AUI41" s="478"/>
      <c r="AUJ41" s="478"/>
      <c r="AUK41" s="478"/>
      <c r="AUL41" s="478"/>
      <c r="AUM41" s="478"/>
      <c r="AUN41" s="478"/>
      <c r="AUO41" s="478"/>
      <c r="AUP41" s="478"/>
      <c r="AUQ41" s="478"/>
      <c r="AUR41" s="478"/>
      <c r="AUS41" s="478"/>
      <c r="AUT41" s="478"/>
      <c r="AUU41" s="478"/>
      <c r="AUV41" s="478"/>
      <c r="AUW41" s="478"/>
      <c r="AUX41" s="478"/>
      <c r="AUY41" s="478"/>
      <c r="AUZ41" s="478"/>
      <c r="AVA41" s="478"/>
      <c r="AVB41" s="478"/>
      <c r="AVC41" s="478"/>
      <c r="AVD41" s="478"/>
      <c r="AVE41" s="478"/>
      <c r="AVF41" s="478"/>
      <c r="AVG41" s="478"/>
      <c r="AVH41" s="478"/>
      <c r="AVI41" s="478"/>
      <c r="AVJ41" s="478"/>
      <c r="AVK41" s="478"/>
      <c r="AVL41" s="478"/>
      <c r="AVM41" s="478"/>
      <c r="AVN41" s="478"/>
      <c r="AVO41" s="478"/>
      <c r="AVP41" s="478"/>
      <c r="AVQ41" s="478"/>
      <c r="AVR41" s="478"/>
      <c r="AVS41" s="478"/>
      <c r="AVT41" s="478"/>
      <c r="AVU41" s="478"/>
      <c r="AVV41" s="478"/>
      <c r="AVW41" s="478"/>
      <c r="AVX41" s="478"/>
      <c r="AVY41" s="478"/>
      <c r="AVZ41" s="478"/>
      <c r="AWA41" s="478"/>
      <c r="AWB41" s="478"/>
      <c r="AWC41" s="478"/>
      <c r="AWD41" s="478"/>
      <c r="AWE41" s="478"/>
      <c r="AWF41" s="478"/>
      <c r="AWG41" s="478"/>
      <c r="AWH41" s="478"/>
      <c r="AWI41" s="478"/>
      <c r="AWJ41" s="478"/>
      <c r="AWK41" s="478"/>
      <c r="AWL41" s="478"/>
      <c r="AWM41" s="478"/>
      <c r="AWN41" s="478"/>
      <c r="AWO41" s="478"/>
      <c r="AWP41" s="478"/>
      <c r="AWQ41" s="478"/>
      <c r="AWR41" s="478"/>
      <c r="AWS41" s="478"/>
      <c r="AWT41" s="478"/>
      <c r="AWU41" s="478"/>
      <c r="AWV41" s="478"/>
      <c r="AWW41" s="478"/>
      <c r="AWX41" s="478"/>
      <c r="AWY41" s="478"/>
      <c r="AWZ41" s="478"/>
      <c r="AXA41" s="478"/>
      <c r="AXB41" s="478"/>
      <c r="AXC41" s="478"/>
      <c r="AXD41" s="478"/>
      <c r="AXE41" s="478"/>
      <c r="AXF41" s="478"/>
      <c r="AXG41" s="478"/>
      <c r="AXH41" s="478"/>
      <c r="AXI41" s="478"/>
      <c r="AXJ41" s="478"/>
      <c r="AXK41" s="478"/>
      <c r="AXL41" s="478"/>
      <c r="AXM41" s="478"/>
      <c r="AXN41" s="478"/>
      <c r="AXO41" s="478"/>
      <c r="AXP41" s="478"/>
      <c r="AXQ41" s="478"/>
      <c r="AXR41" s="478"/>
      <c r="AXS41" s="478"/>
      <c r="AXT41" s="478"/>
      <c r="AXU41" s="478"/>
      <c r="AXV41" s="478"/>
      <c r="AXW41" s="478"/>
      <c r="AXX41" s="478"/>
      <c r="AXY41" s="478"/>
      <c r="AXZ41" s="478"/>
      <c r="AYA41" s="478"/>
      <c r="AYB41" s="478"/>
      <c r="AYC41" s="478"/>
      <c r="AYD41" s="478"/>
      <c r="AYE41" s="478"/>
      <c r="AYF41" s="478"/>
      <c r="AYG41" s="478"/>
      <c r="AYH41" s="478"/>
      <c r="AYI41" s="478"/>
      <c r="AYJ41" s="478"/>
      <c r="AYK41" s="478"/>
      <c r="AYL41" s="478"/>
      <c r="AYM41" s="478"/>
      <c r="AYN41" s="478"/>
      <c r="AYO41" s="478"/>
      <c r="AYP41" s="478"/>
      <c r="AYQ41" s="478"/>
      <c r="AYR41" s="478"/>
      <c r="AYS41" s="478"/>
      <c r="AYT41" s="478"/>
      <c r="AYU41" s="478"/>
      <c r="AYV41" s="478"/>
      <c r="AYW41" s="478"/>
      <c r="AYX41" s="478"/>
      <c r="AYY41" s="478"/>
      <c r="AYZ41" s="478"/>
      <c r="AZA41" s="478"/>
      <c r="AZB41" s="478"/>
      <c r="AZC41" s="478"/>
      <c r="AZD41" s="478"/>
      <c r="AZE41" s="478"/>
      <c r="AZF41" s="478"/>
      <c r="AZG41" s="478"/>
      <c r="AZH41" s="478"/>
      <c r="AZI41" s="478"/>
      <c r="AZJ41" s="478"/>
      <c r="AZK41" s="478"/>
      <c r="AZL41" s="478"/>
      <c r="AZM41" s="478"/>
      <c r="AZN41" s="478"/>
      <c r="AZO41" s="478"/>
      <c r="AZP41" s="478"/>
      <c r="AZQ41" s="478"/>
      <c r="AZR41" s="478"/>
      <c r="AZS41" s="478"/>
      <c r="AZT41" s="478"/>
      <c r="AZU41" s="478"/>
      <c r="AZV41" s="478"/>
      <c r="AZW41" s="478"/>
      <c r="AZX41" s="478"/>
      <c r="AZY41" s="478"/>
      <c r="AZZ41" s="478"/>
      <c r="BAA41" s="478"/>
      <c r="BAB41" s="478"/>
      <c r="BAC41" s="478"/>
      <c r="BAD41" s="478"/>
      <c r="BAE41" s="478"/>
      <c r="BAF41" s="478"/>
      <c r="BAG41" s="478"/>
      <c r="BAH41" s="478"/>
      <c r="BAI41" s="478"/>
      <c r="BAJ41" s="478"/>
      <c r="BAK41" s="478"/>
      <c r="BAL41" s="478"/>
      <c r="BAM41" s="478"/>
      <c r="BAN41" s="478"/>
      <c r="BAO41" s="478"/>
      <c r="BAP41" s="478"/>
      <c r="BAQ41" s="478"/>
      <c r="BAR41" s="478"/>
      <c r="BAS41" s="478"/>
      <c r="BAT41" s="478"/>
      <c r="BAU41" s="478"/>
      <c r="BAV41" s="478"/>
      <c r="BAW41" s="478"/>
      <c r="BAX41" s="478"/>
      <c r="BAY41" s="478"/>
      <c r="BAZ41" s="478"/>
      <c r="BBA41" s="478"/>
      <c r="BBB41" s="478"/>
      <c r="BBC41" s="478"/>
      <c r="BBD41" s="478"/>
      <c r="BBE41" s="478"/>
      <c r="BBF41" s="478"/>
      <c r="BBG41" s="478"/>
      <c r="BBH41" s="478"/>
      <c r="BBI41" s="478"/>
      <c r="BBJ41" s="478"/>
      <c r="BBK41" s="478"/>
      <c r="BBL41" s="478"/>
      <c r="BBM41" s="478"/>
      <c r="BBN41" s="478"/>
      <c r="BBO41" s="478"/>
      <c r="BBP41" s="478"/>
      <c r="BBQ41" s="478"/>
      <c r="BBR41" s="478"/>
      <c r="BBS41" s="478"/>
      <c r="BBT41" s="478"/>
      <c r="BBU41" s="478"/>
      <c r="BBV41" s="478"/>
      <c r="BBW41" s="478"/>
      <c r="BBX41" s="478"/>
      <c r="BBY41" s="478"/>
      <c r="BBZ41" s="478"/>
      <c r="BCA41" s="478"/>
      <c r="BCB41" s="478"/>
      <c r="BCC41" s="478"/>
      <c r="BCD41" s="478"/>
      <c r="BCE41" s="478"/>
      <c r="BCF41" s="478"/>
      <c r="BCG41" s="478"/>
      <c r="BCH41" s="478"/>
      <c r="BCI41" s="478"/>
      <c r="BCJ41" s="478"/>
      <c r="BCK41" s="478"/>
      <c r="BCL41" s="478"/>
      <c r="BCM41" s="478"/>
      <c r="BCN41" s="478"/>
      <c r="BCO41" s="478"/>
      <c r="BCP41" s="478"/>
      <c r="BCQ41" s="478"/>
      <c r="BCR41" s="478"/>
      <c r="BCS41" s="478"/>
      <c r="BCT41" s="478"/>
      <c r="BCU41" s="478"/>
      <c r="BCV41" s="478"/>
      <c r="BCW41" s="478"/>
      <c r="BCX41" s="478"/>
      <c r="BCY41" s="478"/>
      <c r="BCZ41" s="478"/>
      <c r="BDA41" s="478"/>
      <c r="BDB41" s="478"/>
      <c r="BDC41" s="478"/>
      <c r="BDD41" s="478"/>
      <c r="BDE41" s="478"/>
      <c r="BDF41" s="478"/>
      <c r="BDG41" s="478"/>
      <c r="BDH41" s="478"/>
      <c r="BDI41" s="478"/>
      <c r="BDJ41" s="478"/>
      <c r="BDK41" s="478"/>
      <c r="BDL41" s="478"/>
      <c r="BDM41" s="478"/>
      <c r="BDN41" s="478"/>
      <c r="BDO41" s="478"/>
      <c r="BDP41" s="478"/>
      <c r="BDQ41" s="478"/>
      <c r="BDR41" s="478"/>
      <c r="BDS41" s="478"/>
      <c r="BDT41" s="478"/>
      <c r="BDU41" s="478"/>
      <c r="BDV41" s="478"/>
      <c r="BDW41" s="478"/>
      <c r="BDX41" s="478"/>
      <c r="BDY41" s="478"/>
      <c r="BDZ41" s="478"/>
      <c r="BEA41" s="478"/>
      <c r="BEB41" s="478"/>
      <c r="BEC41" s="478"/>
      <c r="BED41" s="478"/>
      <c r="BEE41" s="478"/>
      <c r="BEF41" s="478"/>
      <c r="BEG41" s="478"/>
      <c r="BEH41" s="478"/>
      <c r="BEI41" s="478"/>
      <c r="BEJ41" s="478"/>
      <c r="BEK41" s="478"/>
      <c r="BEL41" s="478"/>
      <c r="BEM41" s="478"/>
      <c r="BEN41" s="478"/>
      <c r="BEO41" s="478"/>
      <c r="BEP41" s="478"/>
      <c r="BEQ41" s="478"/>
      <c r="BER41" s="478"/>
      <c r="BES41" s="478"/>
      <c r="BET41" s="478"/>
      <c r="BEU41" s="478"/>
      <c r="BEV41" s="478"/>
      <c r="BEW41" s="478"/>
      <c r="BEX41" s="478"/>
      <c r="BEY41" s="478"/>
      <c r="BEZ41" s="478"/>
      <c r="BFA41" s="478"/>
      <c r="BFB41" s="478"/>
      <c r="BFC41" s="478"/>
      <c r="BFD41" s="478"/>
      <c r="BFE41" s="478"/>
      <c r="BFF41" s="478"/>
      <c r="BFG41" s="478"/>
      <c r="BFH41" s="478"/>
      <c r="BFI41" s="478"/>
      <c r="BFJ41" s="478"/>
      <c r="BFK41" s="478"/>
      <c r="BFL41" s="478"/>
      <c r="BFM41" s="478"/>
      <c r="BFN41" s="478"/>
      <c r="BFO41" s="478"/>
      <c r="BFP41" s="478"/>
      <c r="BFQ41" s="478"/>
      <c r="BFR41" s="478"/>
      <c r="BFS41" s="478"/>
      <c r="BFT41" s="478"/>
      <c r="BFU41" s="478"/>
      <c r="BFV41" s="478"/>
      <c r="BFW41" s="478"/>
      <c r="BFX41" s="478"/>
      <c r="BFY41" s="478"/>
      <c r="BFZ41" s="478"/>
      <c r="BGA41" s="478"/>
      <c r="BGB41" s="478"/>
      <c r="BGC41" s="478"/>
      <c r="BGD41" s="478"/>
      <c r="BGE41" s="478"/>
      <c r="BGF41" s="478"/>
      <c r="BGG41" s="478"/>
      <c r="BGH41" s="478"/>
      <c r="BGI41" s="478"/>
      <c r="BGJ41" s="478"/>
      <c r="BGK41" s="478"/>
      <c r="BGL41" s="478"/>
      <c r="BGM41" s="478"/>
      <c r="BGN41" s="478"/>
      <c r="BGO41" s="478"/>
      <c r="BGP41" s="478"/>
      <c r="BGQ41" s="478"/>
      <c r="BGR41" s="478"/>
      <c r="BGS41" s="478"/>
      <c r="BGT41" s="478"/>
      <c r="BGU41" s="478"/>
      <c r="BGV41" s="478"/>
      <c r="BGW41" s="478"/>
      <c r="BGX41" s="478"/>
      <c r="BGY41" s="478"/>
      <c r="BGZ41" s="478"/>
      <c r="BHA41" s="478"/>
      <c r="BHB41" s="478"/>
      <c r="BHC41" s="478"/>
      <c r="BHD41" s="478"/>
      <c r="BHE41" s="478"/>
      <c r="BHF41" s="478"/>
      <c r="BHG41" s="478"/>
      <c r="BHH41" s="478"/>
      <c r="BHI41" s="478"/>
      <c r="BHJ41" s="478"/>
      <c r="BHK41" s="478"/>
      <c r="BHL41" s="478"/>
      <c r="BHM41" s="478"/>
      <c r="BHN41" s="478"/>
      <c r="BHO41" s="478"/>
      <c r="BHP41" s="478"/>
      <c r="BHQ41" s="478"/>
      <c r="BHR41" s="478"/>
      <c r="BHS41" s="478"/>
      <c r="BHT41" s="478"/>
      <c r="BHU41" s="478"/>
      <c r="BHV41" s="478"/>
      <c r="BHW41" s="478"/>
      <c r="BHX41" s="478"/>
      <c r="BHY41" s="478"/>
      <c r="BHZ41" s="478"/>
      <c r="BIA41" s="478"/>
      <c r="BIB41" s="478"/>
      <c r="BIC41" s="478"/>
      <c r="BID41" s="478"/>
      <c r="BIE41" s="478"/>
      <c r="BIF41" s="478"/>
      <c r="BIG41" s="478"/>
      <c r="BIH41" s="478"/>
      <c r="BII41" s="478"/>
      <c r="BIJ41" s="478"/>
      <c r="BIK41" s="478"/>
      <c r="BIL41" s="478"/>
      <c r="BIM41" s="478"/>
      <c r="BIN41" s="478"/>
      <c r="BIO41" s="478"/>
      <c r="BIP41" s="478"/>
      <c r="BIQ41" s="478"/>
      <c r="BIR41" s="478"/>
      <c r="BIS41" s="478"/>
      <c r="BIT41" s="478"/>
      <c r="BIU41" s="478"/>
      <c r="BIV41" s="478"/>
      <c r="BIW41" s="478"/>
      <c r="BIX41" s="478"/>
      <c r="BIY41" s="478"/>
      <c r="BIZ41" s="478"/>
      <c r="BJA41" s="478"/>
      <c r="BJB41" s="478"/>
      <c r="BJC41" s="478"/>
      <c r="BJD41" s="478"/>
      <c r="BJE41" s="478"/>
      <c r="BJF41" s="478"/>
      <c r="BJG41" s="478"/>
      <c r="BJH41" s="478"/>
      <c r="BJI41" s="478"/>
      <c r="BJJ41" s="478"/>
      <c r="BJK41" s="478"/>
      <c r="BJL41" s="478"/>
      <c r="BJM41" s="478"/>
      <c r="BJN41" s="478"/>
      <c r="BJO41" s="478"/>
      <c r="BJP41" s="478"/>
      <c r="BJQ41" s="478"/>
      <c r="BJR41" s="478"/>
      <c r="BJS41" s="478"/>
      <c r="BJT41" s="478"/>
      <c r="BJU41" s="478"/>
      <c r="BJV41" s="478"/>
      <c r="BJW41" s="478"/>
      <c r="BJX41" s="478"/>
      <c r="BJY41" s="478"/>
      <c r="BJZ41" s="478"/>
      <c r="BKA41" s="478"/>
      <c r="BKB41" s="478"/>
      <c r="BKC41" s="478"/>
      <c r="BKD41" s="478"/>
      <c r="BKE41" s="478"/>
      <c r="BKF41" s="478"/>
      <c r="BKG41" s="478"/>
      <c r="BKH41" s="478"/>
      <c r="BKI41" s="478"/>
      <c r="BKJ41" s="478"/>
      <c r="BKK41" s="478"/>
      <c r="BKL41" s="478"/>
      <c r="BKM41" s="478"/>
      <c r="BKN41" s="478"/>
      <c r="BKO41" s="478"/>
      <c r="BKP41" s="478"/>
      <c r="BKQ41" s="478"/>
      <c r="BKR41" s="478"/>
      <c r="BKS41" s="478"/>
      <c r="BKT41" s="478"/>
      <c r="BKU41" s="478"/>
      <c r="BKV41" s="478"/>
      <c r="BKW41" s="478"/>
      <c r="BKX41" s="478"/>
      <c r="BKY41" s="478"/>
      <c r="BKZ41" s="478"/>
      <c r="BLA41" s="478"/>
      <c r="BLB41" s="478"/>
      <c r="BLC41" s="478"/>
      <c r="BLD41" s="478"/>
      <c r="BLE41" s="478"/>
      <c r="BLF41" s="478"/>
      <c r="BLG41" s="478"/>
      <c r="BLH41" s="478"/>
      <c r="BLI41" s="478"/>
      <c r="BLJ41" s="478"/>
      <c r="BLK41" s="478"/>
      <c r="BLL41" s="478"/>
      <c r="BLM41" s="478"/>
      <c r="BLN41" s="478"/>
      <c r="BLO41" s="478"/>
      <c r="BLP41" s="478"/>
      <c r="BLQ41" s="478"/>
      <c r="BLR41" s="478"/>
      <c r="BLS41" s="478"/>
      <c r="BLT41" s="478"/>
      <c r="BLU41" s="478"/>
      <c r="BLV41" s="478"/>
      <c r="BLW41" s="478"/>
      <c r="BLX41" s="478"/>
      <c r="BLY41" s="478"/>
      <c r="BLZ41" s="478"/>
      <c r="BMA41" s="478"/>
      <c r="BMB41" s="478"/>
      <c r="BMC41" s="478"/>
      <c r="BMD41" s="478"/>
      <c r="BME41" s="478"/>
      <c r="BMF41" s="478"/>
      <c r="BMG41" s="478"/>
      <c r="BMH41" s="478"/>
      <c r="BMI41" s="478"/>
      <c r="BMJ41" s="478"/>
      <c r="BMK41" s="478"/>
      <c r="BML41" s="478"/>
      <c r="BMM41" s="478"/>
      <c r="BMN41" s="478"/>
      <c r="BMO41" s="478"/>
      <c r="BMP41" s="478"/>
      <c r="BMQ41" s="478"/>
      <c r="BMR41" s="478"/>
      <c r="BMS41" s="478"/>
      <c r="BMT41" s="478"/>
      <c r="BMU41" s="478"/>
      <c r="BMV41" s="478"/>
      <c r="BMW41" s="478"/>
      <c r="BMX41" s="478"/>
      <c r="BMY41" s="478"/>
      <c r="BMZ41" s="478"/>
      <c r="BNA41" s="478"/>
      <c r="BNB41" s="478"/>
      <c r="BNC41" s="478"/>
      <c r="BND41" s="478"/>
      <c r="BNE41" s="478"/>
      <c r="BNF41" s="478"/>
      <c r="BNG41" s="478"/>
      <c r="BNH41" s="478"/>
      <c r="BNI41" s="478"/>
      <c r="BNJ41" s="478"/>
      <c r="BNK41" s="478"/>
      <c r="BNL41" s="478"/>
      <c r="BNM41" s="478"/>
      <c r="BNN41" s="478"/>
      <c r="BNO41" s="478"/>
      <c r="BNP41" s="478"/>
      <c r="BNQ41" s="478"/>
      <c r="BNR41" s="478"/>
      <c r="BNS41" s="478"/>
      <c r="BNT41" s="478"/>
      <c r="BNU41" s="478"/>
      <c r="BNV41" s="478"/>
      <c r="BNW41" s="478"/>
      <c r="BNX41" s="478"/>
      <c r="BNY41" s="478"/>
      <c r="BNZ41" s="478"/>
      <c r="BOA41" s="478"/>
      <c r="BOB41" s="478"/>
      <c r="BOC41" s="478"/>
      <c r="BOD41" s="478"/>
      <c r="BOE41" s="478"/>
      <c r="BOF41" s="478"/>
      <c r="BOG41" s="478"/>
      <c r="BOH41" s="478"/>
      <c r="BOI41" s="478"/>
      <c r="BOJ41" s="478"/>
      <c r="BOK41" s="478"/>
      <c r="BOL41" s="478"/>
      <c r="BOM41" s="478"/>
      <c r="BON41" s="478"/>
      <c r="BOO41" s="478"/>
      <c r="BOP41" s="478"/>
      <c r="BOQ41" s="478"/>
      <c r="BOR41" s="478"/>
      <c r="BOS41" s="478"/>
      <c r="BOT41" s="478"/>
      <c r="BOU41" s="478"/>
      <c r="BOV41" s="478"/>
      <c r="BOW41" s="478"/>
      <c r="BOX41" s="478"/>
      <c r="BOY41" s="478"/>
      <c r="BOZ41" s="478"/>
      <c r="BPA41" s="478"/>
      <c r="BPB41" s="478"/>
      <c r="BPC41" s="478"/>
      <c r="BPD41" s="478"/>
      <c r="BPE41" s="478"/>
      <c r="BPF41" s="478"/>
      <c r="BPG41" s="478"/>
      <c r="BPH41" s="478"/>
      <c r="BPI41" s="478"/>
      <c r="BPJ41" s="478"/>
      <c r="BPK41" s="478"/>
      <c r="BPL41" s="478"/>
      <c r="BPM41" s="478"/>
      <c r="BPN41" s="478"/>
      <c r="BPO41" s="478"/>
      <c r="BPP41" s="478"/>
      <c r="BPQ41" s="478"/>
      <c r="BPR41" s="478"/>
      <c r="BPS41" s="478"/>
      <c r="BPT41" s="478"/>
      <c r="BPU41" s="478"/>
      <c r="BPV41" s="478"/>
      <c r="BPW41" s="478"/>
      <c r="BPX41" s="478"/>
      <c r="BPY41" s="478"/>
      <c r="BPZ41" s="478"/>
      <c r="BQA41" s="478"/>
      <c r="BQB41" s="478"/>
      <c r="BQC41" s="478"/>
      <c r="BQD41" s="478"/>
      <c r="BQE41" s="478"/>
      <c r="BQF41" s="478"/>
      <c r="BQG41" s="478"/>
      <c r="BQH41" s="478"/>
      <c r="BQI41" s="478"/>
      <c r="BQJ41" s="478"/>
      <c r="BQK41" s="478"/>
      <c r="BQL41" s="478"/>
      <c r="BQM41" s="478"/>
      <c r="BQN41" s="478"/>
      <c r="BQO41" s="478"/>
      <c r="BQP41" s="478"/>
      <c r="BQQ41" s="478"/>
      <c r="BQR41" s="478"/>
      <c r="BQS41" s="478"/>
      <c r="BQT41" s="478"/>
      <c r="BQU41" s="478"/>
      <c r="BQV41" s="478"/>
      <c r="BQW41" s="478"/>
      <c r="BQX41" s="478"/>
      <c r="BQY41" s="478"/>
      <c r="BQZ41" s="478"/>
      <c r="BRA41" s="478"/>
      <c r="BRB41" s="478"/>
      <c r="BRC41" s="478"/>
      <c r="BRD41" s="478"/>
      <c r="BRE41" s="478"/>
      <c r="BRF41" s="478"/>
      <c r="BRG41" s="478"/>
      <c r="BRH41" s="478"/>
      <c r="BRI41" s="478"/>
      <c r="BRJ41" s="478"/>
      <c r="BRK41" s="478"/>
      <c r="BRL41" s="478"/>
      <c r="BRM41" s="478"/>
      <c r="BRN41" s="478"/>
      <c r="BRO41" s="478"/>
      <c r="BRP41" s="478"/>
      <c r="BRQ41" s="478"/>
      <c r="BRR41" s="478"/>
      <c r="BRS41" s="478"/>
      <c r="BRT41" s="478"/>
      <c r="BRU41" s="478"/>
      <c r="BRV41" s="478"/>
      <c r="BRW41" s="478"/>
      <c r="BRX41" s="478"/>
      <c r="BRY41" s="478"/>
      <c r="BRZ41" s="478"/>
      <c r="BSA41" s="478"/>
      <c r="BSB41" s="478"/>
      <c r="BSC41" s="478"/>
      <c r="BSD41" s="478"/>
      <c r="BSE41" s="478"/>
      <c r="BSF41" s="478"/>
      <c r="BSG41" s="478"/>
      <c r="BSH41" s="478"/>
      <c r="BSI41" s="478"/>
      <c r="BSJ41" s="478"/>
      <c r="BSK41" s="478"/>
      <c r="BSL41" s="478"/>
      <c r="BSM41" s="478"/>
      <c r="BSN41" s="478"/>
      <c r="BSO41" s="478"/>
      <c r="BSP41" s="478"/>
      <c r="BSQ41" s="478"/>
      <c r="BSR41" s="478"/>
      <c r="BSS41" s="478"/>
      <c r="BST41" s="478"/>
      <c r="BSU41" s="478"/>
      <c r="BSV41" s="478"/>
      <c r="BSW41" s="478"/>
      <c r="BSX41" s="478"/>
      <c r="BSY41" s="478"/>
      <c r="BSZ41" s="478"/>
      <c r="BTA41" s="478"/>
      <c r="BTB41" s="478"/>
      <c r="BTC41" s="478"/>
      <c r="BTD41" s="478"/>
      <c r="BTE41" s="478"/>
      <c r="BTF41" s="478"/>
      <c r="BTG41" s="478"/>
      <c r="BTH41" s="478"/>
      <c r="BTI41" s="478"/>
      <c r="BTJ41" s="478"/>
      <c r="BTK41" s="478"/>
      <c r="BTL41" s="478"/>
      <c r="BTM41" s="478"/>
      <c r="BTN41" s="478"/>
      <c r="BTO41" s="478"/>
      <c r="BTP41" s="478"/>
      <c r="BTQ41" s="478"/>
      <c r="BTR41" s="478"/>
      <c r="BTS41" s="478"/>
      <c r="BTT41" s="478"/>
      <c r="BTU41" s="478"/>
      <c r="BTV41" s="478"/>
      <c r="BTW41" s="478"/>
      <c r="BTX41" s="478"/>
      <c r="BTY41" s="478"/>
      <c r="BTZ41" s="478"/>
      <c r="BUA41" s="478"/>
      <c r="BUB41" s="478"/>
      <c r="BUC41" s="478"/>
      <c r="BUD41" s="478"/>
      <c r="BUE41" s="478"/>
      <c r="BUF41" s="478"/>
      <c r="BUG41" s="478"/>
      <c r="BUH41" s="478"/>
      <c r="BUI41" s="478"/>
      <c r="BUJ41" s="478"/>
      <c r="BUK41" s="478"/>
      <c r="BUL41" s="478"/>
      <c r="BUM41" s="478"/>
      <c r="BUN41" s="478"/>
      <c r="BUO41" s="478"/>
      <c r="BUP41" s="478"/>
      <c r="BUQ41" s="478"/>
      <c r="BUR41" s="478"/>
      <c r="BUS41" s="478"/>
      <c r="BUT41" s="478"/>
      <c r="BUU41" s="478"/>
      <c r="BUV41" s="478"/>
      <c r="BUW41" s="478"/>
      <c r="BUX41" s="478"/>
      <c r="BUY41" s="478"/>
      <c r="BUZ41" s="478"/>
      <c r="BVA41" s="478"/>
      <c r="BVB41" s="478"/>
      <c r="BVC41" s="478"/>
      <c r="BVD41" s="478"/>
      <c r="BVE41" s="478"/>
      <c r="BVF41" s="478"/>
      <c r="BVG41" s="478"/>
      <c r="BVH41" s="478"/>
      <c r="BVI41" s="478"/>
      <c r="BVJ41" s="478"/>
      <c r="BVK41" s="478"/>
      <c r="BVL41" s="478"/>
      <c r="BVM41" s="478"/>
      <c r="BVN41" s="478"/>
      <c r="BVO41" s="478"/>
      <c r="BVP41" s="478"/>
      <c r="BVQ41" s="478"/>
      <c r="BVR41" s="478"/>
      <c r="BVS41" s="478"/>
      <c r="BVT41" s="478"/>
      <c r="BVU41" s="478"/>
      <c r="BVV41" s="478"/>
      <c r="BVW41" s="478"/>
      <c r="BVX41" s="478"/>
      <c r="BVY41" s="478"/>
      <c r="BVZ41" s="478"/>
      <c r="BWA41" s="478"/>
      <c r="BWB41" s="478"/>
      <c r="BWC41" s="478"/>
      <c r="BWD41" s="478"/>
      <c r="BWE41" s="478"/>
      <c r="BWF41" s="478"/>
      <c r="BWG41" s="478"/>
      <c r="BWH41" s="478"/>
      <c r="BWI41" s="478"/>
      <c r="BWJ41" s="478"/>
      <c r="BWK41" s="478"/>
      <c r="BWL41" s="478"/>
      <c r="BWM41" s="478"/>
      <c r="BWN41" s="478"/>
      <c r="BWO41" s="478"/>
      <c r="BWP41" s="478"/>
      <c r="BWQ41" s="478"/>
      <c r="BWR41" s="478"/>
      <c r="BWS41" s="478"/>
      <c r="BWT41" s="478"/>
      <c r="BWU41" s="478"/>
      <c r="BWV41" s="478"/>
      <c r="BWW41" s="478"/>
      <c r="BWX41" s="478"/>
      <c r="BWY41" s="478"/>
      <c r="BWZ41" s="478"/>
      <c r="BXA41" s="478"/>
      <c r="BXB41" s="478"/>
      <c r="BXC41" s="478"/>
      <c r="BXD41" s="478"/>
      <c r="BXE41" s="478"/>
      <c r="BXF41" s="478"/>
      <c r="BXG41" s="478"/>
      <c r="BXH41" s="478"/>
      <c r="BXI41" s="478"/>
      <c r="BXJ41" s="478"/>
      <c r="BXK41" s="478"/>
      <c r="BXL41" s="478"/>
      <c r="BXM41" s="478"/>
      <c r="BXN41" s="478"/>
      <c r="BXO41" s="478"/>
      <c r="BXP41" s="478"/>
      <c r="BXQ41" s="478"/>
      <c r="BXR41" s="478"/>
      <c r="BXS41" s="478"/>
      <c r="BXT41" s="478"/>
      <c r="BXU41" s="478"/>
      <c r="BXV41" s="478"/>
      <c r="BXW41" s="478"/>
      <c r="BXX41" s="478"/>
      <c r="BXY41" s="478"/>
      <c r="BXZ41" s="478"/>
      <c r="BYA41" s="478"/>
      <c r="BYB41" s="478"/>
      <c r="BYC41" s="478"/>
      <c r="BYD41" s="478"/>
      <c r="BYE41" s="478"/>
      <c r="BYF41" s="478"/>
      <c r="BYG41" s="478"/>
      <c r="BYH41" s="478"/>
      <c r="BYI41" s="478"/>
      <c r="BYJ41" s="478"/>
      <c r="BYK41" s="478"/>
      <c r="BYL41" s="478"/>
      <c r="BYM41" s="478"/>
      <c r="BYN41" s="478"/>
      <c r="BYO41" s="478"/>
      <c r="BYP41" s="478"/>
      <c r="BYQ41" s="478"/>
      <c r="BYR41" s="478"/>
      <c r="BYS41" s="478"/>
      <c r="BYT41" s="478"/>
      <c r="BYU41" s="478"/>
      <c r="BYV41" s="478"/>
      <c r="BYW41" s="478"/>
      <c r="BYX41" s="478"/>
      <c r="BYY41" s="478"/>
      <c r="BYZ41" s="478"/>
      <c r="BZA41" s="478"/>
      <c r="BZB41" s="478"/>
      <c r="BZC41" s="478"/>
      <c r="BZD41" s="478"/>
      <c r="BZE41" s="478"/>
      <c r="BZF41" s="478"/>
      <c r="BZG41" s="478"/>
      <c r="BZH41" s="478"/>
      <c r="BZI41" s="478"/>
      <c r="BZJ41" s="478"/>
      <c r="BZK41" s="478"/>
      <c r="BZL41" s="478"/>
      <c r="BZM41" s="478"/>
      <c r="BZN41" s="478"/>
      <c r="BZO41" s="478"/>
      <c r="BZP41" s="478"/>
      <c r="BZQ41" s="478"/>
      <c r="BZR41" s="478"/>
      <c r="BZS41" s="478"/>
      <c r="BZT41" s="478"/>
      <c r="BZU41" s="478"/>
      <c r="BZV41" s="478"/>
      <c r="BZW41" s="478"/>
      <c r="BZX41" s="478"/>
      <c r="BZY41" s="478"/>
      <c r="BZZ41" s="478"/>
      <c r="CAA41" s="478"/>
      <c r="CAB41" s="478"/>
      <c r="CAC41" s="478"/>
      <c r="CAD41" s="478"/>
      <c r="CAE41" s="478"/>
      <c r="CAF41" s="478"/>
      <c r="CAG41" s="478"/>
      <c r="CAH41" s="478"/>
      <c r="CAI41" s="478"/>
      <c r="CAJ41" s="478"/>
      <c r="CAK41" s="478"/>
      <c r="CAL41" s="478"/>
      <c r="CAM41" s="478"/>
      <c r="CAN41" s="478"/>
      <c r="CAO41" s="478"/>
      <c r="CAP41" s="478"/>
      <c r="CAQ41" s="478"/>
      <c r="CAR41" s="478"/>
      <c r="CAS41" s="478"/>
      <c r="CAT41" s="478"/>
      <c r="CAU41" s="478"/>
      <c r="CAV41" s="478"/>
      <c r="CAW41" s="478"/>
      <c r="CAX41" s="478"/>
      <c r="CAY41" s="478"/>
      <c r="CAZ41" s="478"/>
      <c r="CBA41" s="478"/>
      <c r="CBB41" s="478"/>
      <c r="CBC41" s="478"/>
      <c r="CBD41" s="478"/>
      <c r="CBE41" s="478"/>
      <c r="CBF41" s="478"/>
      <c r="CBG41" s="478"/>
      <c r="CBH41" s="478"/>
      <c r="CBI41" s="478"/>
      <c r="CBJ41" s="478"/>
      <c r="CBK41" s="478"/>
      <c r="CBL41" s="478"/>
      <c r="CBM41" s="478"/>
      <c r="CBN41" s="478"/>
      <c r="CBO41" s="478"/>
      <c r="CBP41" s="478"/>
      <c r="CBQ41" s="478"/>
      <c r="CBR41" s="478"/>
      <c r="CBS41" s="478"/>
      <c r="CBT41" s="478"/>
      <c r="CBU41" s="478"/>
      <c r="CBV41" s="478"/>
      <c r="CBW41" s="478"/>
      <c r="CBX41" s="478"/>
      <c r="CBY41" s="478"/>
      <c r="CBZ41" s="478"/>
      <c r="CCA41" s="478"/>
      <c r="CCB41" s="478"/>
      <c r="CCC41" s="478"/>
      <c r="CCD41" s="478"/>
      <c r="CCE41" s="478"/>
      <c r="CCF41" s="478"/>
      <c r="CCG41" s="478"/>
      <c r="CCH41" s="478"/>
      <c r="CCI41" s="478"/>
      <c r="CCJ41" s="478"/>
      <c r="CCK41" s="478"/>
      <c r="CCL41" s="478"/>
      <c r="CCM41" s="478"/>
      <c r="CCN41" s="478"/>
      <c r="CCO41" s="478"/>
      <c r="CCP41" s="478"/>
      <c r="CCQ41" s="478"/>
      <c r="CCR41" s="478"/>
      <c r="CCS41" s="478"/>
      <c r="CCT41" s="478"/>
      <c r="CCU41" s="478"/>
      <c r="CCV41" s="478"/>
      <c r="CCW41" s="478"/>
      <c r="CCX41" s="478"/>
      <c r="CCY41" s="478"/>
      <c r="CCZ41" s="478"/>
      <c r="CDA41" s="478"/>
      <c r="CDB41" s="478"/>
      <c r="CDC41" s="478"/>
      <c r="CDD41" s="478"/>
      <c r="CDE41" s="478"/>
      <c r="CDF41" s="478"/>
      <c r="CDG41" s="478"/>
      <c r="CDH41" s="478"/>
      <c r="CDI41" s="478"/>
      <c r="CDJ41" s="478"/>
      <c r="CDK41" s="478"/>
      <c r="CDL41" s="478"/>
      <c r="CDM41" s="478"/>
      <c r="CDN41" s="478"/>
      <c r="CDO41" s="478"/>
      <c r="CDP41" s="478"/>
      <c r="CDQ41" s="478"/>
      <c r="CDR41" s="478"/>
      <c r="CDS41" s="478"/>
      <c r="CDT41" s="478"/>
      <c r="CDU41" s="478"/>
      <c r="CDV41" s="478"/>
      <c r="CDW41" s="478"/>
      <c r="CDX41" s="478"/>
      <c r="CDY41" s="478"/>
      <c r="CDZ41" s="478"/>
      <c r="CEA41" s="478"/>
      <c r="CEB41" s="478"/>
      <c r="CEC41" s="478"/>
      <c r="CED41" s="478"/>
      <c r="CEE41" s="478"/>
      <c r="CEF41" s="478"/>
      <c r="CEG41" s="478"/>
      <c r="CEH41" s="478"/>
      <c r="CEI41" s="478"/>
      <c r="CEJ41" s="478"/>
      <c r="CEK41" s="478"/>
      <c r="CEL41" s="478"/>
      <c r="CEM41" s="478"/>
      <c r="CEN41" s="478"/>
      <c r="CEO41" s="478"/>
      <c r="CEP41" s="478"/>
      <c r="CEQ41" s="478"/>
      <c r="CER41" s="478"/>
      <c r="CES41" s="478"/>
      <c r="CET41" s="478"/>
      <c r="CEU41" s="478"/>
      <c r="CEV41" s="478"/>
      <c r="CEW41" s="478"/>
      <c r="CEX41" s="478"/>
      <c r="CEY41" s="478"/>
      <c r="CEZ41" s="478"/>
      <c r="CFA41" s="478"/>
      <c r="CFB41" s="478"/>
      <c r="CFC41" s="478"/>
      <c r="CFD41" s="478"/>
      <c r="CFE41" s="478"/>
      <c r="CFF41" s="478"/>
      <c r="CFG41" s="478"/>
      <c r="CFH41" s="478"/>
      <c r="CFI41" s="478"/>
      <c r="CFJ41" s="478"/>
      <c r="CFK41" s="478"/>
      <c r="CFL41" s="478"/>
      <c r="CFM41" s="478"/>
      <c r="CFN41" s="478"/>
      <c r="CFO41" s="478"/>
      <c r="CFP41" s="478"/>
      <c r="CFQ41" s="478"/>
      <c r="CFR41" s="478"/>
      <c r="CFS41" s="478"/>
      <c r="CFT41" s="478"/>
      <c r="CFU41" s="478"/>
      <c r="CFV41" s="478"/>
      <c r="CFW41" s="478"/>
      <c r="CFX41" s="478"/>
      <c r="CFY41" s="478"/>
      <c r="CFZ41" s="478"/>
      <c r="CGA41" s="478"/>
      <c r="CGB41" s="478"/>
      <c r="CGC41" s="478"/>
      <c r="CGD41" s="478"/>
      <c r="CGE41" s="478"/>
      <c r="CGF41" s="478"/>
      <c r="CGG41" s="478"/>
      <c r="CGH41" s="478"/>
      <c r="CGI41" s="478"/>
      <c r="CGJ41" s="478"/>
      <c r="CGK41" s="478"/>
      <c r="CGL41" s="478"/>
      <c r="CGM41" s="478"/>
      <c r="CGN41" s="478"/>
      <c r="CGO41" s="478"/>
      <c r="CGP41" s="478"/>
      <c r="CGQ41" s="478"/>
      <c r="CGR41" s="478"/>
      <c r="CGS41" s="478"/>
      <c r="CGT41" s="478"/>
      <c r="CGU41" s="478"/>
      <c r="CGV41" s="478"/>
      <c r="CGW41" s="478"/>
      <c r="CGX41" s="478"/>
      <c r="CGY41" s="478"/>
      <c r="CGZ41" s="478"/>
      <c r="CHA41" s="478"/>
      <c r="CHB41" s="478"/>
      <c r="CHC41" s="478"/>
      <c r="CHD41" s="478"/>
      <c r="CHE41" s="478"/>
      <c r="CHF41" s="478"/>
      <c r="CHG41" s="478"/>
      <c r="CHH41" s="478"/>
      <c r="CHI41" s="478"/>
      <c r="CHJ41" s="478"/>
      <c r="CHK41" s="478"/>
      <c r="CHL41" s="478"/>
      <c r="CHM41" s="478"/>
      <c r="CHN41" s="478"/>
      <c r="CHO41" s="478"/>
      <c r="CHP41" s="478"/>
      <c r="CHQ41" s="478"/>
      <c r="CHR41" s="478"/>
      <c r="CHS41" s="478"/>
      <c r="CHT41" s="478"/>
      <c r="CHU41" s="478"/>
      <c r="CHV41" s="478"/>
      <c r="CHW41" s="478"/>
      <c r="CHX41" s="478"/>
      <c r="CHY41" s="478"/>
      <c r="CHZ41" s="478"/>
      <c r="CIA41" s="478"/>
      <c r="CIB41" s="478"/>
      <c r="CIC41" s="478"/>
      <c r="CID41" s="478"/>
      <c r="CIE41" s="478"/>
      <c r="CIF41" s="478"/>
      <c r="CIG41" s="478"/>
      <c r="CIH41" s="478"/>
      <c r="CII41" s="478"/>
      <c r="CIJ41" s="478"/>
      <c r="CIK41" s="478"/>
      <c r="CIL41" s="478"/>
      <c r="CIM41" s="478"/>
      <c r="CIN41" s="478"/>
      <c r="CIO41" s="478"/>
      <c r="CIP41" s="478"/>
      <c r="CIQ41" s="478"/>
      <c r="CIR41" s="478"/>
      <c r="CIS41" s="478"/>
      <c r="CIT41" s="478"/>
      <c r="CIU41" s="478"/>
      <c r="CIV41" s="478"/>
      <c r="CIW41" s="478"/>
      <c r="CIX41" s="478"/>
      <c r="CIY41" s="478"/>
      <c r="CIZ41" s="478"/>
      <c r="CJA41" s="478"/>
      <c r="CJB41" s="478"/>
      <c r="CJC41" s="478"/>
      <c r="CJD41" s="478"/>
      <c r="CJE41" s="478"/>
      <c r="CJF41" s="478"/>
      <c r="CJG41" s="478"/>
      <c r="CJH41" s="478"/>
      <c r="CJI41" s="478"/>
      <c r="CJJ41" s="478"/>
      <c r="CJK41" s="478"/>
      <c r="CJL41" s="478"/>
      <c r="CJM41" s="478"/>
      <c r="CJN41" s="478"/>
      <c r="CJO41" s="478"/>
      <c r="CJP41" s="478"/>
      <c r="CJQ41" s="478"/>
      <c r="CJR41" s="478"/>
      <c r="CJS41" s="478"/>
      <c r="CJT41" s="478"/>
      <c r="CJU41" s="478"/>
      <c r="CJV41" s="478"/>
      <c r="CJW41" s="478"/>
      <c r="CJX41" s="478"/>
      <c r="CJY41" s="478"/>
      <c r="CJZ41" s="478"/>
      <c r="CKA41" s="478"/>
      <c r="CKB41" s="478"/>
      <c r="CKC41" s="478"/>
      <c r="CKD41" s="478"/>
      <c r="CKE41" s="478"/>
      <c r="CKF41" s="478"/>
      <c r="CKG41" s="478"/>
      <c r="CKH41" s="478"/>
      <c r="CKI41" s="478"/>
      <c r="CKJ41" s="478"/>
      <c r="CKK41" s="478"/>
      <c r="CKL41" s="478"/>
      <c r="CKM41" s="478"/>
      <c r="CKN41" s="478"/>
      <c r="CKO41" s="478"/>
      <c r="CKP41" s="478"/>
      <c r="CKQ41" s="478"/>
      <c r="CKR41" s="478"/>
      <c r="CKS41" s="478"/>
      <c r="CKT41" s="478"/>
      <c r="CKU41" s="478"/>
      <c r="CKV41" s="478"/>
      <c r="CKW41" s="478"/>
      <c r="CKX41" s="478"/>
      <c r="CKY41" s="478"/>
      <c r="CKZ41" s="478"/>
      <c r="CLA41" s="478"/>
      <c r="CLB41" s="478"/>
      <c r="CLC41" s="478"/>
      <c r="CLD41" s="478"/>
      <c r="CLE41" s="478"/>
      <c r="CLF41" s="478"/>
      <c r="CLG41" s="478"/>
      <c r="CLH41" s="478"/>
      <c r="CLI41" s="478"/>
      <c r="CLJ41" s="478"/>
      <c r="CLK41" s="478"/>
      <c r="CLL41" s="478"/>
      <c r="CLM41" s="478"/>
      <c r="CLN41" s="478"/>
      <c r="CLO41" s="478"/>
      <c r="CLP41" s="478"/>
      <c r="CLQ41" s="478"/>
      <c r="CLR41" s="478"/>
      <c r="CLS41" s="478"/>
      <c r="CLT41" s="478"/>
      <c r="CLU41" s="478"/>
      <c r="CLV41" s="478"/>
      <c r="CLW41" s="478"/>
      <c r="CLX41" s="478"/>
      <c r="CLY41" s="478"/>
      <c r="CLZ41" s="478"/>
      <c r="CMA41" s="478"/>
      <c r="CMB41" s="478"/>
      <c r="CMC41" s="478"/>
      <c r="CMD41" s="478"/>
      <c r="CME41" s="478"/>
      <c r="CMF41" s="478"/>
      <c r="CMG41" s="478"/>
      <c r="CMH41" s="478"/>
      <c r="CMI41" s="478"/>
      <c r="CMJ41" s="478"/>
      <c r="CMK41" s="478"/>
      <c r="CML41" s="478"/>
      <c r="CMM41" s="478"/>
      <c r="CMN41" s="478"/>
      <c r="CMO41" s="478"/>
      <c r="CMP41" s="478"/>
      <c r="CMQ41" s="478"/>
      <c r="CMR41" s="478"/>
      <c r="CMS41" s="478"/>
      <c r="CMT41" s="478"/>
      <c r="CMU41" s="478"/>
      <c r="CMV41" s="478"/>
      <c r="CMW41" s="478"/>
      <c r="CMX41" s="478"/>
      <c r="CMY41" s="478"/>
      <c r="CMZ41" s="478"/>
      <c r="CNA41" s="478"/>
      <c r="CNB41" s="478"/>
      <c r="CNC41" s="478"/>
      <c r="CND41" s="478"/>
      <c r="CNE41" s="478"/>
      <c r="CNF41" s="478"/>
      <c r="CNG41" s="478"/>
      <c r="CNH41" s="478"/>
      <c r="CNI41" s="478"/>
      <c r="CNJ41" s="478"/>
      <c r="CNK41" s="478"/>
      <c r="CNL41" s="478"/>
      <c r="CNM41" s="478"/>
      <c r="CNN41" s="478"/>
      <c r="CNO41" s="478"/>
      <c r="CNP41" s="478"/>
      <c r="CNQ41" s="478"/>
      <c r="CNR41" s="478"/>
      <c r="CNS41" s="478"/>
      <c r="CNT41" s="478"/>
      <c r="CNU41" s="478"/>
      <c r="CNV41" s="478"/>
      <c r="CNW41" s="478"/>
      <c r="CNX41" s="478"/>
      <c r="CNY41" s="478"/>
      <c r="CNZ41" s="478"/>
      <c r="COA41" s="478"/>
      <c r="COB41" s="478"/>
      <c r="COC41" s="478"/>
      <c r="COD41" s="478"/>
      <c r="COE41" s="478"/>
      <c r="COF41" s="478"/>
      <c r="COG41" s="478"/>
      <c r="COH41" s="478"/>
      <c r="COI41" s="478"/>
      <c r="COJ41" s="478"/>
      <c r="COK41" s="478"/>
      <c r="COL41" s="478"/>
      <c r="COM41" s="478"/>
      <c r="CON41" s="478"/>
      <c r="COO41" s="478"/>
      <c r="COP41" s="478"/>
      <c r="COQ41" s="478"/>
      <c r="COR41" s="478"/>
      <c r="COS41" s="478"/>
      <c r="COT41" s="478"/>
      <c r="COU41" s="478"/>
      <c r="COV41" s="478"/>
      <c r="COW41" s="478"/>
      <c r="COX41" s="478"/>
      <c r="COY41" s="478"/>
      <c r="COZ41" s="478"/>
      <c r="CPA41" s="478"/>
      <c r="CPB41" s="478"/>
      <c r="CPC41" s="478"/>
      <c r="CPD41" s="478"/>
      <c r="CPE41" s="478"/>
      <c r="CPF41" s="478"/>
      <c r="CPG41" s="478"/>
      <c r="CPH41" s="478"/>
      <c r="CPI41" s="478"/>
      <c r="CPJ41" s="478"/>
      <c r="CPK41" s="478"/>
      <c r="CPL41" s="478"/>
      <c r="CPM41" s="478"/>
      <c r="CPN41" s="478"/>
      <c r="CPO41" s="478"/>
      <c r="CPP41" s="478"/>
      <c r="CPQ41" s="478"/>
      <c r="CPR41" s="478"/>
      <c r="CPS41" s="478"/>
      <c r="CPT41" s="478"/>
      <c r="CPU41" s="478"/>
      <c r="CPV41" s="478"/>
      <c r="CPW41" s="478"/>
      <c r="CPX41" s="478"/>
      <c r="CPY41" s="478"/>
      <c r="CPZ41" s="478"/>
      <c r="CQA41" s="478"/>
      <c r="CQB41" s="478"/>
      <c r="CQC41" s="478"/>
      <c r="CQD41" s="478"/>
      <c r="CQE41" s="478"/>
      <c r="CQF41" s="478"/>
      <c r="CQG41" s="478"/>
      <c r="CQH41" s="478"/>
      <c r="CQI41" s="478"/>
      <c r="CQJ41" s="478"/>
      <c r="CQK41" s="478"/>
      <c r="CQL41" s="478"/>
      <c r="CQM41" s="478"/>
      <c r="CQN41" s="478"/>
      <c r="CQO41" s="478"/>
      <c r="CQP41" s="478"/>
      <c r="CQQ41" s="478"/>
      <c r="CQR41" s="478"/>
      <c r="CQS41" s="478"/>
      <c r="CQT41" s="478"/>
      <c r="CQU41" s="478"/>
      <c r="CQV41" s="478"/>
      <c r="CQW41" s="478"/>
      <c r="CQX41" s="478"/>
      <c r="CQY41" s="478"/>
      <c r="CQZ41" s="478"/>
      <c r="CRA41" s="478"/>
      <c r="CRB41" s="478"/>
      <c r="CRC41" s="478"/>
      <c r="CRD41" s="478"/>
      <c r="CRE41" s="478"/>
      <c r="CRF41" s="478"/>
      <c r="CRG41" s="478"/>
      <c r="CRH41" s="478"/>
      <c r="CRI41" s="478"/>
      <c r="CRJ41" s="478"/>
      <c r="CRK41" s="478"/>
      <c r="CRL41" s="478"/>
      <c r="CRM41" s="478"/>
      <c r="CRN41" s="478"/>
      <c r="CRO41" s="478"/>
      <c r="CRP41" s="478"/>
      <c r="CRQ41" s="478"/>
      <c r="CRR41" s="478"/>
      <c r="CRS41" s="478"/>
      <c r="CRT41" s="478"/>
      <c r="CRU41" s="478"/>
      <c r="CRV41" s="478"/>
      <c r="CRW41" s="478"/>
      <c r="CRX41" s="478"/>
      <c r="CRY41" s="478"/>
      <c r="CRZ41" s="478"/>
      <c r="CSA41" s="478"/>
      <c r="CSB41" s="478"/>
      <c r="CSC41" s="478"/>
      <c r="CSD41" s="478"/>
      <c r="CSE41" s="478"/>
      <c r="CSF41" s="478"/>
      <c r="CSG41" s="478"/>
      <c r="CSH41" s="478"/>
      <c r="CSI41" s="478"/>
      <c r="CSJ41" s="478"/>
      <c r="CSK41" s="478"/>
      <c r="CSL41" s="478"/>
      <c r="CSM41" s="478"/>
      <c r="CSN41" s="478"/>
      <c r="CSO41" s="478"/>
      <c r="CSP41" s="478"/>
      <c r="CSQ41" s="478"/>
      <c r="CSR41" s="478"/>
      <c r="CSS41" s="478"/>
      <c r="CST41" s="478"/>
      <c r="CSU41" s="478"/>
      <c r="CSV41" s="478"/>
      <c r="CSW41" s="478"/>
      <c r="CSX41" s="478"/>
      <c r="CSY41" s="478"/>
      <c r="CSZ41" s="478"/>
      <c r="CTA41" s="478"/>
      <c r="CTB41" s="478"/>
      <c r="CTC41" s="478"/>
      <c r="CTD41" s="478"/>
      <c r="CTE41" s="478"/>
      <c r="CTF41" s="478"/>
      <c r="CTG41" s="478"/>
      <c r="CTH41" s="478"/>
      <c r="CTI41" s="478"/>
      <c r="CTJ41" s="478"/>
      <c r="CTK41" s="478"/>
      <c r="CTL41" s="478"/>
      <c r="CTM41" s="478"/>
      <c r="CTN41" s="478"/>
      <c r="CTO41" s="478"/>
      <c r="CTP41" s="478"/>
      <c r="CTQ41" s="478"/>
      <c r="CTR41" s="478"/>
      <c r="CTS41" s="478"/>
      <c r="CTT41" s="478"/>
      <c r="CTU41" s="478"/>
      <c r="CTV41" s="478"/>
      <c r="CTW41" s="478"/>
      <c r="CTX41" s="478"/>
      <c r="CTY41" s="478"/>
      <c r="CTZ41" s="478"/>
      <c r="CUA41" s="478"/>
      <c r="CUB41" s="478"/>
      <c r="CUC41" s="478"/>
      <c r="CUD41" s="478"/>
      <c r="CUE41" s="478"/>
      <c r="CUF41" s="478"/>
      <c r="CUG41" s="478"/>
      <c r="CUH41" s="478"/>
      <c r="CUI41" s="478"/>
      <c r="CUJ41" s="478"/>
      <c r="CUK41" s="478"/>
      <c r="CUL41" s="478"/>
      <c r="CUM41" s="478"/>
      <c r="CUN41" s="478"/>
      <c r="CUO41" s="478"/>
      <c r="CUP41" s="478"/>
      <c r="CUQ41" s="478"/>
      <c r="CUR41" s="478"/>
      <c r="CUS41" s="478"/>
      <c r="CUT41" s="478"/>
      <c r="CUU41" s="478"/>
      <c r="CUV41" s="478"/>
      <c r="CUW41" s="478"/>
      <c r="CUX41" s="478"/>
      <c r="CUY41" s="478"/>
      <c r="CUZ41" s="478"/>
      <c r="CVA41" s="478"/>
      <c r="CVB41" s="478"/>
      <c r="CVC41" s="478"/>
      <c r="CVD41" s="478"/>
      <c r="CVE41" s="478"/>
      <c r="CVF41" s="478"/>
      <c r="CVG41" s="478"/>
      <c r="CVH41" s="478"/>
      <c r="CVI41" s="478"/>
      <c r="CVJ41" s="478"/>
      <c r="CVK41" s="478"/>
      <c r="CVL41" s="478"/>
      <c r="CVM41" s="478"/>
      <c r="CVN41" s="478"/>
      <c r="CVO41" s="478"/>
      <c r="CVP41" s="478"/>
      <c r="CVQ41" s="478"/>
      <c r="CVR41" s="478"/>
      <c r="CVS41" s="478"/>
      <c r="CVT41" s="478"/>
      <c r="CVU41" s="478"/>
      <c r="CVV41" s="478"/>
      <c r="CVW41" s="478"/>
      <c r="CVX41" s="478"/>
      <c r="CVY41" s="478"/>
      <c r="CVZ41" s="478"/>
      <c r="CWA41" s="478"/>
      <c r="CWB41" s="478"/>
      <c r="CWC41" s="478"/>
      <c r="CWD41" s="478"/>
      <c r="CWE41" s="478"/>
      <c r="CWF41" s="478"/>
      <c r="CWG41" s="478"/>
      <c r="CWH41" s="478"/>
      <c r="CWI41" s="478"/>
      <c r="CWJ41" s="478"/>
      <c r="CWK41" s="478"/>
      <c r="CWL41" s="478"/>
      <c r="CWM41" s="478"/>
      <c r="CWN41" s="478"/>
      <c r="CWO41" s="478"/>
      <c r="CWP41" s="478"/>
      <c r="CWQ41" s="478"/>
      <c r="CWR41" s="478"/>
      <c r="CWS41" s="478"/>
      <c r="CWT41" s="478"/>
      <c r="CWU41" s="478"/>
      <c r="CWV41" s="478"/>
      <c r="CWW41" s="478"/>
      <c r="CWX41" s="478"/>
      <c r="CWY41" s="478"/>
      <c r="CWZ41" s="478"/>
      <c r="CXA41" s="478"/>
      <c r="CXB41" s="478"/>
      <c r="CXC41" s="478"/>
      <c r="CXD41" s="478"/>
      <c r="CXE41" s="478"/>
      <c r="CXF41" s="478"/>
      <c r="CXG41" s="478"/>
      <c r="CXH41" s="478"/>
      <c r="CXI41" s="478"/>
      <c r="CXJ41" s="478"/>
      <c r="CXK41" s="478"/>
      <c r="CXL41" s="478"/>
      <c r="CXM41" s="478"/>
      <c r="CXN41" s="478"/>
      <c r="CXO41" s="478"/>
      <c r="CXP41" s="478"/>
      <c r="CXQ41" s="478"/>
      <c r="CXR41" s="478"/>
      <c r="CXS41" s="478"/>
      <c r="CXT41" s="478"/>
      <c r="CXU41" s="478"/>
      <c r="CXV41" s="478"/>
      <c r="CXW41" s="478"/>
      <c r="CXX41" s="478"/>
      <c r="CXY41" s="478"/>
      <c r="CXZ41" s="478"/>
      <c r="CYA41" s="478"/>
      <c r="CYB41" s="478"/>
      <c r="CYC41" s="478"/>
      <c r="CYD41" s="478"/>
      <c r="CYE41" s="478"/>
      <c r="CYF41" s="478"/>
      <c r="CYG41" s="478"/>
      <c r="CYH41" s="478"/>
      <c r="CYI41" s="478"/>
      <c r="CYJ41" s="478"/>
      <c r="CYK41" s="478"/>
      <c r="CYL41" s="478"/>
      <c r="CYM41" s="478"/>
      <c r="CYN41" s="478"/>
      <c r="CYO41" s="478"/>
      <c r="CYP41" s="478"/>
      <c r="CYQ41" s="478"/>
      <c r="CYR41" s="478"/>
      <c r="CYS41" s="478"/>
      <c r="CYT41" s="478"/>
      <c r="CYU41" s="478"/>
      <c r="CYV41" s="478"/>
      <c r="CYW41" s="478"/>
      <c r="CYX41" s="478"/>
      <c r="CYY41" s="478"/>
      <c r="CYZ41" s="478"/>
      <c r="CZA41" s="478"/>
      <c r="CZB41" s="478"/>
      <c r="CZC41" s="478"/>
      <c r="CZD41" s="478"/>
      <c r="CZE41" s="478"/>
      <c r="CZF41" s="478"/>
      <c r="CZG41" s="478"/>
      <c r="CZH41" s="478"/>
      <c r="CZI41" s="478"/>
      <c r="CZJ41" s="478"/>
      <c r="CZK41" s="478"/>
      <c r="CZL41" s="478"/>
      <c r="CZM41" s="478"/>
      <c r="CZN41" s="478"/>
      <c r="CZO41" s="478"/>
      <c r="CZP41" s="478"/>
      <c r="CZQ41" s="478"/>
      <c r="CZR41" s="478"/>
      <c r="CZS41" s="478"/>
      <c r="CZT41" s="478"/>
      <c r="CZU41" s="478"/>
      <c r="CZV41" s="478"/>
      <c r="CZW41" s="478"/>
      <c r="CZX41" s="478"/>
      <c r="CZY41" s="478"/>
      <c r="CZZ41" s="478"/>
      <c r="DAA41" s="478"/>
      <c r="DAB41" s="478"/>
      <c r="DAC41" s="478"/>
      <c r="DAD41" s="478"/>
      <c r="DAE41" s="478"/>
      <c r="DAF41" s="478"/>
      <c r="DAG41" s="478"/>
      <c r="DAH41" s="478"/>
      <c r="DAI41" s="478"/>
      <c r="DAJ41" s="478"/>
      <c r="DAK41" s="478"/>
      <c r="DAL41" s="478"/>
      <c r="DAM41" s="478"/>
      <c r="DAN41" s="478"/>
      <c r="DAO41" s="478"/>
      <c r="DAP41" s="478"/>
      <c r="DAQ41" s="478"/>
      <c r="DAR41" s="478"/>
      <c r="DAS41" s="478"/>
      <c r="DAT41" s="478"/>
      <c r="DAU41" s="478"/>
      <c r="DAV41" s="478"/>
      <c r="DAW41" s="478"/>
      <c r="DAX41" s="478"/>
      <c r="DAY41" s="478"/>
      <c r="DAZ41" s="478"/>
      <c r="DBA41" s="478"/>
      <c r="DBB41" s="478"/>
      <c r="DBC41" s="478"/>
      <c r="DBD41" s="478"/>
      <c r="DBE41" s="478"/>
      <c r="DBF41" s="478"/>
      <c r="DBG41" s="478"/>
      <c r="DBH41" s="478"/>
      <c r="DBI41" s="478"/>
      <c r="DBJ41" s="478"/>
      <c r="DBK41" s="478"/>
      <c r="DBL41" s="478"/>
      <c r="DBM41" s="478"/>
      <c r="DBN41" s="478"/>
      <c r="DBO41" s="478"/>
      <c r="DBP41" s="478"/>
      <c r="DBQ41" s="478"/>
      <c r="DBR41" s="478"/>
      <c r="DBS41" s="478"/>
      <c r="DBT41" s="478"/>
      <c r="DBU41" s="478"/>
      <c r="DBV41" s="478"/>
      <c r="DBW41" s="478"/>
      <c r="DBX41" s="478"/>
      <c r="DBY41" s="478"/>
      <c r="DBZ41" s="478"/>
      <c r="DCA41" s="478"/>
      <c r="DCB41" s="478"/>
      <c r="DCC41" s="478"/>
      <c r="DCD41" s="478"/>
      <c r="DCE41" s="478"/>
      <c r="DCF41" s="478"/>
      <c r="DCG41" s="478"/>
      <c r="DCH41" s="478"/>
      <c r="DCI41" s="478"/>
      <c r="DCJ41" s="478"/>
      <c r="DCK41" s="478"/>
      <c r="DCL41" s="478"/>
      <c r="DCM41" s="478"/>
      <c r="DCN41" s="478"/>
      <c r="DCO41" s="478"/>
      <c r="DCP41" s="478"/>
      <c r="DCQ41" s="478"/>
      <c r="DCR41" s="478"/>
      <c r="DCS41" s="478"/>
      <c r="DCT41" s="478"/>
      <c r="DCU41" s="478"/>
      <c r="DCV41" s="478"/>
      <c r="DCW41" s="478"/>
      <c r="DCX41" s="478"/>
      <c r="DCY41" s="478"/>
      <c r="DCZ41" s="478"/>
      <c r="DDA41" s="478"/>
      <c r="DDB41" s="478"/>
      <c r="DDC41" s="478"/>
      <c r="DDD41" s="478"/>
      <c r="DDE41" s="478"/>
      <c r="DDF41" s="478"/>
      <c r="DDG41" s="478"/>
      <c r="DDH41" s="478"/>
      <c r="DDI41" s="478"/>
      <c r="DDJ41" s="478"/>
      <c r="DDK41" s="478"/>
      <c r="DDL41" s="478"/>
      <c r="DDM41" s="478"/>
      <c r="DDN41" s="478"/>
      <c r="DDO41" s="478"/>
      <c r="DDP41" s="478"/>
      <c r="DDQ41" s="478"/>
      <c r="DDR41" s="478"/>
      <c r="DDS41" s="478"/>
      <c r="DDT41" s="478"/>
      <c r="DDU41" s="478"/>
      <c r="DDV41" s="478"/>
      <c r="DDW41" s="478"/>
      <c r="DDX41" s="478"/>
      <c r="DDY41" s="478"/>
      <c r="DDZ41" s="478"/>
      <c r="DEA41" s="478"/>
      <c r="DEB41" s="478"/>
      <c r="DEC41" s="478"/>
      <c r="DED41" s="478"/>
      <c r="DEE41" s="478"/>
      <c r="DEF41" s="478"/>
      <c r="DEG41" s="478"/>
      <c r="DEH41" s="478"/>
      <c r="DEI41" s="478"/>
      <c r="DEJ41" s="478"/>
      <c r="DEK41" s="478"/>
      <c r="DEL41" s="478"/>
      <c r="DEM41" s="478"/>
      <c r="DEN41" s="478"/>
      <c r="DEO41" s="478"/>
      <c r="DEP41" s="478"/>
      <c r="DEQ41" s="478"/>
      <c r="DER41" s="478"/>
      <c r="DES41" s="478"/>
      <c r="DET41" s="478"/>
      <c r="DEU41" s="478"/>
      <c r="DEV41" s="478"/>
      <c r="DEW41" s="478"/>
      <c r="DEX41" s="478"/>
      <c r="DEY41" s="478"/>
      <c r="DEZ41" s="478"/>
      <c r="DFA41" s="478"/>
      <c r="DFB41" s="478"/>
      <c r="DFC41" s="478"/>
      <c r="DFD41" s="478"/>
      <c r="DFE41" s="478"/>
      <c r="DFF41" s="478"/>
      <c r="DFG41" s="478"/>
      <c r="DFH41" s="478"/>
      <c r="DFI41" s="478"/>
      <c r="DFJ41" s="478"/>
      <c r="DFK41" s="478"/>
      <c r="DFL41" s="478"/>
      <c r="DFM41" s="478"/>
      <c r="DFN41" s="478"/>
      <c r="DFO41" s="478"/>
      <c r="DFP41" s="478"/>
      <c r="DFQ41" s="478"/>
      <c r="DFR41" s="478"/>
      <c r="DFS41" s="478"/>
      <c r="DFT41" s="478"/>
      <c r="DFU41" s="478"/>
      <c r="DFV41" s="478"/>
      <c r="DFW41" s="478"/>
      <c r="DFX41" s="478"/>
      <c r="DFY41" s="478"/>
      <c r="DFZ41" s="478"/>
      <c r="DGA41" s="478"/>
      <c r="DGB41" s="478"/>
      <c r="DGC41" s="478"/>
      <c r="DGD41" s="478"/>
      <c r="DGE41" s="478"/>
      <c r="DGF41" s="478"/>
      <c r="DGG41" s="478"/>
      <c r="DGH41" s="478"/>
      <c r="DGI41" s="478"/>
      <c r="DGJ41" s="478"/>
      <c r="DGK41" s="478"/>
      <c r="DGL41" s="478"/>
      <c r="DGM41" s="478"/>
      <c r="DGN41" s="478"/>
      <c r="DGO41" s="478"/>
      <c r="DGP41" s="478"/>
      <c r="DGQ41" s="478"/>
      <c r="DGR41" s="478"/>
      <c r="DGS41" s="478"/>
      <c r="DGT41" s="478"/>
      <c r="DGU41" s="478"/>
      <c r="DGV41" s="478"/>
      <c r="DGW41" s="478"/>
      <c r="DGX41" s="478"/>
      <c r="DGY41" s="478"/>
      <c r="DGZ41" s="478"/>
      <c r="DHA41" s="478"/>
      <c r="DHB41" s="478"/>
      <c r="DHC41" s="478"/>
      <c r="DHD41" s="478"/>
      <c r="DHE41" s="478"/>
      <c r="DHF41" s="478"/>
      <c r="DHG41" s="478"/>
      <c r="DHH41" s="478"/>
      <c r="DHI41" s="478"/>
      <c r="DHJ41" s="478"/>
      <c r="DHK41" s="478"/>
      <c r="DHL41" s="478"/>
      <c r="DHM41" s="478"/>
      <c r="DHN41" s="478"/>
      <c r="DHO41" s="478"/>
      <c r="DHP41" s="478"/>
      <c r="DHQ41" s="478"/>
      <c r="DHR41" s="478"/>
      <c r="DHS41" s="478"/>
      <c r="DHT41" s="478"/>
      <c r="DHU41" s="478"/>
      <c r="DHV41" s="478"/>
      <c r="DHW41" s="478"/>
      <c r="DHX41" s="478"/>
      <c r="DHY41" s="478"/>
      <c r="DHZ41" s="478"/>
      <c r="DIA41" s="478"/>
      <c r="DIB41" s="478"/>
      <c r="DIC41" s="478"/>
      <c r="DID41" s="478"/>
      <c r="DIE41" s="478"/>
      <c r="DIF41" s="478"/>
      <c r="DIG41" s="478"/>
      <c r="DIH41" s="478"/>
      <c r="DII41" s="478"/>
      <c r="DIJ41" s="478"/>
      <c r="DIK41" s="478"/>
      <c r="DIL41" s="478"/>
      <c r="DIM41" s="478"/>
      <c r="DIN41" s="478"/>
      <c r="DIO41" s="478"/>
      <c r="DIP41" s="478"/>
      <c r="DIQ41" s="478"/>
      <c r="DIR41" s="478"/>
      <c r="DIS41" s="478"/>
      <c r="DIT41" s="478"/>
      <c r="DIU41" s="478"/>
      <c r="DIV41" s="478"/>
      <c r="DIW41" s="478"/>
      <c r="DIX41" s="478"/>
      <c r="DIY41" s="478"/>
      <c r="DIZ41" s="478"/>
      <c r="DJA41" s="478"/>
      <c r="DJB41" s="478"/>
      <c r="DJC41" s="478"/>
      <c r="DJD41" s="478"/>
      <c r="DJE41" s="478"/>
      <c r="DJF41" s="478"/>
      <c r="DJG41" s="478"/>
      <c r="DJH41" s="478"/>
      <c r="DJI41" s="478"/>
      <c r="DJJ41" s="478"/>
      <c r="DJK41" s="478"/>
      <c r="DJL41" s="478"/>
      <c r="DJM41" s="478"/>
      <c r="DJN41" s="478"/>
      <c r="DJO41" s="478"/>
      <c r="DJP41" s="478"/>
      <c r="DJQ41" s="478"/>
      <c r="DJR41" s="478"/>
      <c r="DJS41" s="478"/>
      <c r="DJT41" s="478"/>
      <c r="DJU41" s="478"/>
      <c r="DJV41" s="478"/>
      <c r="DJW41" s="478"/>
      <c r="DJX41" s="478"/>
      <c r="DJY41" s="478"/>
      <c r="DJZ41" s="478"/>
      <c r="DKA41" s="478"/>
      <c r="DKB41" s="478"/>
      <c r="DKC41" s="478"/>
      <c r="DKD41" s="478"/>
      <c r="DKE41" s="478"/>
      <c r="DKF41" s="478"/>
      <c r="DKG41" s="478"/>
      <c r="DKH41" s="478"/>
      <c r="DKI41" s="478"/>
      <c r="DKJ41" s="478"/>
      <c r="DKK41" s="478"/>
      <c r="DKL41" s="478"/>
      <c r="DKM41" s="478"/>
      <c r="DKN41" s="478"/>
      <c r="DKO41" s="478"/>
      <c r="DKP41" s="478"/>
      <c r="DKQ41" s="478"/>
      <c r="DKR41" s="478"/>
      <c r="DKS41" s="478"/>
      <c r="DKT41" s="478"/>
      <c r="DKU41" s="478"/>
      <c r="DKV41" s="478"/>
      <c r="DKW41" s="478"/>
      <c r="DKX41" s="478"/>
      <c r="DKY41" s="478"/>
      <c r="DKZ41" s="478"/>
      <c r="DLA41" s="478"/>
      <c r="DLB41" s="478"/>
      <c r="DLC41" s="478"/>
      <c r="DLD41" s="478"/>
      <c r="DLE41" s="478"/>
      <c r="DLF41" s="478"/>
      <c r="DLG41" s="478"/>
      <c r="DLH41" s="478"/>
      <c r="DLI41" s="478"/>
      <c r="DLJ41" s="478"/>
      <c r="DLK41" s="478"/>
      <c r="DLL41" s="478"/>
      <c r="DLM41" s="478"/>
      <c r="DLN41" s="478"/>
      <c r="DLO41" s="478"/>
      <c r="DLP41" s="478"/>
      <c r="DLQ41" s="478"/>
      <c r="DLR41" s="478"/>
      <c r="DLS41" s="478"/>
      <c r="DLT41" s="478"/>
      <c r="DLU41" s="478"/>
      <c r="DLV41" s="478"/>
      <c r="DLW41" s="478"/>
      <c r="DLX41" s="478"/>
      <c r="DLY41" s="478"/>
      <c r="DLZ41" s="478"/>
      <c r="DMA41" s="478"/>
      <c r="DMB41" s="478"/>
      <c r="DMC41" s="478"/>
      <c r="DMD41" s="478"/>
      <c r="DME41" s="478"/>
      <c r="DMF41" s="478"/>
      <c r="DMG41" s="478"/>
      <c r="DMH41" s="478"/>
      <c r="DMI41" s="478"/>
      <c r="DMJ41" s="478"/>
      <c r="DMK41" s="478"/>
      <c r="DML41" s="478"/>
      <c r="DMM41" s="478"/>
      <c r="DMN41" s="478"/>
      <c r="DMO41" s="478"/>
      <c r="DMP41" s="478"/>
      <c r="DMQ41" s="478"/>
      <c r="DMR41" s="478"/>
      <c r="DMS41" s="478"/>
      <c r="DMT41" s="478"/>
      <c r="DMU41" s="478"/>
      <c r="DMV41" s="478"/>
      <c r="DMW41" s="478"/>
      <c r="DMX41" s="478"/>
      <c r="DMY41" s="478"/>
      <c r="DMZ41" s="478"/>
      <c r="DNA41" s="478"/>
      <c r="DNB41" s="478"/>
      <c r="DNC41" s="478"/>
      <c r="DND41" s="478"/>
      <c r="DNE41" s="478"/>
      <c r="DNF41" s="478"/>
      <c r="DNG41" s="478"/>
      <c r="DNH41" s="478"/>
      <c r="DNI41" s="478"/>
      <c r="DNJ41" s="478"/>
      <c r="DNK41" s="478"/>
      <c r="DNL41" s="478"/>
      <c r="DNM41" s="478"/>
      <c r="DNN41" s="478"/>
      <c r="DNO41" s="478"/>
      <c r="DNP41" s="478"/>
      <c r="DNQ41" s="478"/>
      <c r="DNR41" s="478"/>
      <c r="DNS41" s="478"/>
      <c r="DNT41" s="478"/>
      <c r="DNU41" s="478"/>
      <c r="DNV41" s="478"/>
      <c r="DNW41" s="478"/>
      <c r="DNX41" s="478"/>
      <c r="DNY41" s="478"/>
      <c r="DNZ41" s="478"/>
      <c r="DOA41" s="478"/>
      <c r="DOB41" s="478"/>
      <c r="DOC41" s="478"/>
      <c r="DOD41" s="478"/>
      <c r="DOE41" s="478"/>
      <c r="DOF41" s="478"/>
      <c r="DOG41" s="478"/>
      <c r="DOH41" s="478"/>
      <c r="DOI41" s="478"/>
      <c r="DOJ41" s="478"/>
      <c r="DOK41" s="478"/>
      <c r="DOL41" s="478"/>
      <c r="DOM41" s="478"/>
      <c r="DON41" s="478"/>
      <c r="DOO41" s="478"/>
      <c r="DOP41" s="478"/>
      <c r="DOQ41" s="478"/>
      <c r="DOR41" s="478"/>
      <c r="DOS41" s="478"/>
      <c r="DOT41" s="478"/>
      <c r="DOU41" s="478"/>
      <c r="DOV41" s="478"/>
      <c r="DOW41" s="478"/>
      <c r="DOX41" s="478"/>
      <c r="DOY41" s="478"/>
      <c r="DOZ41" s="478"/>
      <c r="DPA41" s="478"/>
      <c r="DPB41" s="478"/>
      <c r="DPC41" s="478"/>
      <c r="DPD41" s="478"/>
      <c r="DPE41" s="478"/>
      <c r="DPF41" s="478"/>
      <c r="DPG41" s="478"/>
      <c r="DPH41" s="478"/>
      <c r="DPI41" s="478"/>
      <c r="DPJ41" s="478"/>
      <c r="DPK41" s="478"/>
      <c r="DPL41" s="478"/>
      <c r="DPM41" s="478"/>
      <c r="DPN41" s="478"/>
      <c r="DPO41" s="478"/>
      <c r="DPP41" s="478"/>
      <c r="DPQ41" s="478"/>
      <c r="DPR41" s="478"/>
      <c r="DPS41" s="478"/>
      <c r="DPT41" s="478"/>
      <c r="DPU41" s="478"/>
      <c r="DPV41" s="478"/>
      <c r="DPW41" s="478"/>
      <c r="DPX41" s="478"/>
      <c r="DPY41" s="478"/>
      <c r="DPZ41" s="478"/>
      <c r="DQA41" s="478"/>
      <c r="DQB41" s="478"/>
      <c r="DQC41" s="478"/>
      <c r="DQD41" s="478"/>
      <c r="DQE41" s="478"/>
      <c r="DQF41" s="478"/>
      <c r="DQG41" s="478"/>
      <c r="DQH41" s="478"/>
      <c r="DQI41" s="478"/>
      <c r="DQJ41" s="478"/>
      <c r="DQK41" s="478"/>
      <c r="DQL41" s="478"/>
      <c r="DQM41" s="478"/>
      <c r="DQN41" s="478"/>
      <c r="DQO41" s="478"/>
      <c r="DQP41" s="478"/>
      <c r="DQQ41" s="478"/>
      <c r="DQR41" s="478"/>
      <c r="DQS41" s="478"/>
      <c r="DQT41" s="478"/>
      <c r="DQU41" s="478"/>
      <c r="DQV41" s="478"/>
      <c r="DQW41" s="478"/>
      <c r="DQX41" s="478"/>
      <c r="DQY41" s="478"/>
      <c r="DQZ41" s="478"/>
      <c r="DRA41" s="478"/>
      <c r="DRB41" s="478"/>
      <c r="DRC41" s="478"/>
      <c r="DRD41" s="478"/>
      <c r="DRE41" s="478"/>
      <c r="DRF41" s="478"/>
      <c r="DRG41" s="478"/>
      <c r="DRH41" s="478"/>
      <c r="DRI41" s="478"/>
      <c r="DRJ41" s="478"/>
      <c r="DRK41" s="478"/>
      <c r="DRL41" s="478"/>
      <c r="DRM41" s="478"/>
      <c r="DRN41" s="478"/>
      <c r="DRO41" s="478"/>
      <c r="DRP41" s="478"/>
      <c r="DRQ41" s="478"/>
      <c r="DRR41" s="478"/>
      <c r="DRS41" s="478"/>
      <c r="DRT41" s="478"/>
      <c r="DRU41" s="478"/>
      <c r="DRV41" s="478"/>
      <c r="DRW41" s="478"/>
      <c r="DRX41" s="478"/>
      <c r="DRY41" s="478"/>
      <c r="DRZ41" s="478"/>
      <c r="DSA41" s="478"/>
      <c r="DSB41" s="478"/>
      <c r="DSC41" s="478"/>
      <c r="DSD41" s="478"/>
      <c r="DSE41" s="478"/>
      <c r="DSF41" s="478"/>
      <c r="DSG41" s="478"/>
      <c r="DSH41" s="478"/>
      <c r="DSI41" s="478"/>
      <c r="DSJ41" s="478"/>
      <c r="DSK41" s="478"/>
      <c r="DSL41" s="478"/>
      <c r="DSM41" s="478"/>
      <c r="DSN41" s="478"/>
      <c r="DSO41" s="478"/>
      <c r="DSP41" s="478"/>
      <c r="DSQ41" s="478"/>
      <c r="DSR41" s="478"/>
      <c r="DSS41" s="478"/>
      <c r="DST41" s="478"/>
      <c r="DSU41" s="478"/>
      <c r="DSV41" s="478"/>
      <c r="DSW41" s="478"/>
      <c r="DSX41" s="478"/>
      <c r="DSY41" s="478"/>
      <c r="DSZ41" s="478"/>
      <c r="DTA41" s="478"/>
      <c r="DTB41" s="478"/>
      <c r="DTC41" s="478"/>
      <c r="DTD41" s="478"/>
      <c r="DTE41" s="478"/>
      <c r="DTF41" s="478"/>
      <c r="DTG41" s="478"/>
      <c r="DTH41" s="478"/>
      <c r="DTI41" s="478"/>
      <c r="DTJ41" s="478"/>
      <c r="DTK41" s="478"/>
      <c r="DTL41" s="478"/>
      <c r="DTM41" s="478"/>
      <c r="DTN41" s="478"/>
      <c r="DTO41" s="478"/>
      <c r="DTP41" s="478"/>
      <c r="DTQ41" s="478"/>
      <c r="DTR41" s="478"/>
      <c r="DTS41" s="478"/>
      <c r="DTT41" s="478"/>
      <c r="DTU41" s="478"/>
      <c r="DTV41" s="478"/>
      <c r="DTW41" s="478"/>
      <c r="DTX41" s="478"/>
      <c r="DTY41" s="478"/>
      <c r="DTZ41" s="478"/>
      <c r="DUA41" s="478"/>
      <c r="DUB41" s="478"/>
      <c r="DUC41" s="478"/>
      <c r="DUD41" s="478"/>
      <c r="DUE41" s="478"/>
      <c r="DUF41" s="478"/>
      <c r="DUG41" s="478"/>
      <c r="DUH41" s="478"/>
      <c r="DUI41" s="478"/>
      <c r="DUJ41" s="478"/>
      <c r="DUK41" s="478"/>
      <c r="DUL41" s="478"/>
      <c r="DUM41" s="478"/>
      <c r="DUN41" s="478"/>
      <c r="DUO41" s="478"/>
      <c r="DUP41" s="478"/>
      <c r="DUQ41" s="478"/>
      <c r="DUR41" s="478"/>
      <c r="DUS41" s="478"/>
      <c r="DUT41" s="478"/>
      <c r="DUU41" s="478"/>
      <c r="DUV41" s="478"/>
      <c r="DUW41" s="478"/>
      <c r="DUX41" s="478"/>
      <c r="DUY41" s="478"/>
      <c r="DUZ41" s="478"/>
      <c r="DVA41" s="478"/>
      <c r="DVB41" s="478"/>
      <c r="DVC41" s="478"/>
      <c r="DVD41" s="478"/>
      <c r="DVE41" s="478"/>
      <c r="DVF41" s="478"/>
      <c r="DVG41" s="478"/>
      <c r="DVH41" s="478"/>
      <c r="DVI41" s="478"/>
      <c r="DVJ41" s="478"/>
      <c r="DVK41" s="478"/>
      <c r="DVL41" s="478"/>
      <c r="DVM41" s="478"/>
      <c r="DVN41" s="478"/>
      <c r="DVO41" s="478"/>
      <c r="DVP41" s="478"/>
      <c r="DVQ41" s="478"/>
      <c r="DVR41" s="478"/>
      <c r="DVS41" s="478"/>
      <c r="DVT41" s="478"/>
      <c r="DVU41" s="478"/>
      <c r="DVV41" s="478"/>
      <c r="DVW41" s="478"/>
      <c r="DVX41" s="478"/>
      <c r="DVY41" s="478"/>
      <c r="DVZ41" s="478"/>
      <c r="DWA41" s="478"/>
      <c r="DWB41" s="478"/>
      <c r="DWC41" s="478"/>
      <c r="DWD41" s="478"/>
      <c r="DWE41" s="478"/>
      <c r="DWF41" s="478"/>
      <c r="DWG41" s="478"/>
      <c r="DWH41" s="478"/>
      <c r="DWI41" s="478"/>
      <c r="DWJ41" s="478"/>
      <c r="DWK41" s="478"/>
      <c r="DWL41" s="478"/>
      <c r="DWM41" s="478"/>
      <c r="DWN41" s="478"/>
      <c r="DWO41" s="478"/>
      <c r="DWP41" s="478"/>
      <c r="DWQ41" s="478"/>
      <c r="DWR41" s="478"/>
      <c r="DWS41" s="478"/>
      <c r="DWT41" s="478"/>
      <c r="DWU41" s="478"/>
      <c r="DWV41" s="478"/>
      <c r="DWW41" s="478"/>
      <c r="DWX41" s="478"/>
      <c r="DWY41" s="478"/>
      <c r="DWZ41" s="478"/>
      <c r="DXA41" s="478"/>
      <c r="DXB41" s="478"/>
      <c r="DXC41" s="478"/>
      <c r="DXD41" s="478"/>
      <c r="DXE41" s="478"/>
      <c r="DXF41" s="478"/>
      <c r="DXG41" s="478"/>
      <c r="DXH41" s="478"/>
      <c r="DXI41" s="478"/>
      <c r="DXJ41" s="478"/>
      <c r="DXK41" s="478"/>
      <c r="DXL41" s="478"/>
      <c r="DXM41" s="478"/>
      <c r="DXN41" s="478"/>
      <c r="DXO41" s="478"/>
      <c r="DXP41" s="478"/>
      <c r="DXQ41" s="478"/>
      <c r="DXR41" s="478"/>
      <c r="DXS41" s="478"/>
      <c r="DXT41" s="478"/>
      <c r="DXU41" s="478"/>
      <c r="DXV41" s="478"/>
      <c r="DXW41" s="478"/>
      <c r="DXX41" s="478"/>
      <c r="DXY41" s="478"/>
      <c r="DXZ41" s="478"/>
      <c r="DYA41" s="478"/>
      <c r="DYB41" s="478"/>
      <c r="DYC41" s="478"/>
      <c r="DYD41" s="478"/>
      <c r="DYE41" s="478"/>
      <c r="DYF41" s="478"/>
      <c r="DYG41" s="478"/>
      <c r="DYH41" s="478"/>
      <c r="DYI41" s="478"/>
      <c r="DYJ41" s="478"/>
      <c r="DYK41" s="478"/>
      <c r="DYL41" s="478"/>
      <c r="DYM41" s="478"/>
      <c r="DYN41" s="478"/>
      <c r="DYO41" s="478"/>
      <c r="DYP41" s="478"/>
      <c r="DYQ41" s="478"/>
      <c r="DYR41" s="478"/>
      <c r="DYS41" s="478"/>
      <c r="DYT41" s="478"/>
      <c r="DYU41" s="478"/>
      <c r="DYV41" s="478"/>
      <c r="DYW41" s="478"/>
      <c r="DYX41" s="478"/>
      <c r="DYY41" s="478"/>
      <c r="DYZ41" s="478"/>
      <c r="DZA41" s="478"/>
      <c r="DZB41" s="478"/>
      <c r="DZC41" s="478"/>
      <c r="DZD41" s="478"/>
      <c r="DZE41" s="478"/>
      <c r="DZF41" s="478"/>
      <c r="DZG41" s="478"/>
      <c r="DZH41" s="478"/>
      <c r="DZI41" s="478"/>
      <c r="DZJ41" s="478"/>
      <c r="DZK41" s="478"/>
      <c r="DZL41" s="478"/>
      <c r="DZM41" s="478"/>
      <c r="DZN41" s="478"/>
      <c r="DZO41" s="478"/>
      <c r="DZP41" s="478"/>
      <c r="DZQ41" s="478"/>
      <c r="DZR41" s="478"/>
      <c r="DZS41" s="478"/>
      <c r="DZT41" s="478"/>
      <c r="DZU41" s="478"/>
      <c r="DZV41" s="478"/>
      <c r="DZW41" s="478"/>
      <c r="DZX41" s="478"/>
      <c r="DZY41" s="478"/>
      <c r="DZZ41" s="478"/>
      <c r="EAA41" s="478"/>
      <c r="EAB41" s="478"/>
      <c r="EAC41" s="478"/>
      <c r="EAD41" s="478"/>
      <c r="EAE41" s="478"/>
      <c r="EAF41" s="478"/>
      <c r="EAG41" s="478"/>
      <c r="EAH41" s="478"/>
      <c r="EAI41" s="478"/>
      <c r="EAJ41" s="478"/>
      <c r="EAK41" s="478"/>
      <c r="EAL41" s="478"/>
      <c r="EAM41" s="478"/>
      <c r="EAN41" s="478"/>
      <c r="EAO41" s="478"/>
      <c r="EAP41" s="478"/>
      <c r="EAQ41" s="478"/>
      <c r="EAR41" s="478"/>
      <c r="EAS41" s="478"/>
      <c r="EAT41" s="478"/>
      <c r="EAU41" s="478"/>
      <c r="EAV41" s="478"/>
      <c r="EAW41" s="478"/>
      <c r="EAX41" s="478"/>
      <c r="EAY41" s="478"/>
      <c r="EAZ41" s="478"/>
      <c r="EBA41" s="478"/>
      <c r="EBB41" s="478"/>
      <c r="EBC41" s="478"/>
      <c r="EBD41" s="478"/>
      <c r="EBE41" s="478"/>
      <c r="EBF41" s="478"/>
      <c r="EBG41" s="478"/>
      <c r="EBH41" s="478"/>
      <c r="EBI41" s="478"/>
      <c r="EBJ41" s="478"/>
      <c r="EBK41" s="478"/>
      <c r="EBL41" s="478"/>
      <c r="EBM41" s="478"/>
      <c r="EBN41" s="478"/>
      <c r="EBO41" s="478"/>
      <c r="EBP41" s="478"/>
      <c r="EBQ41" s="478"/>
      <c r="EBR41" s="478"/>
      <c r="EBS41" s="478"/>
      <c r="EBT41" s="478"/>
      <c r="EBU41" s="478"/>
      <c r="EBV41" s="478"/>
      <c r="EBW41" s="478"/>
      <c r="EBX41" s="478"/>
      <c r="EBY41" s="478"/>
      <c r="EBZ41" s="478"/>
      <c r="ECA41" s="478"/>
      <c r="ECB41" s="478"/>
      <c r="ECC41" s="478"/>
      <c r="ECD41" s="478"/>
      <c r="ECE41" s="478"/>
      <c r="ECF41" s="478"/>
      <c r="ECG41" s="478"/>
      <c r="ECH41" s="478"/>
      <c r="ECI41" s="478"/>
      <c r="ECJ41" s="478"/>
      <c r="ECK41" s="478"/>
      <c r="ECL41" s="478"/>
      <c r="ECM41" s="478"/>
      <c r="ECN41" s="478"/>
      <c r="ECO41" s="478"/>
      <c r="ECP41" s="478"/>
      <c r="ECQ41" s="478"/>
      <c r="ECR41" s="478"/>
      <c r="ECS41" s="478"/>
      <c r="ECT41" s="478"/>
      <c r="ECU41" s="478"/>
      <c r="ECV41" s="478"/>
      <c r="ECW41" s="478"/>
      <c r="ECX41" s="478"/>
      <c r="ECY41" s="478"/>
      <c r="ECZ41" s="478"/>
      <c r="EDA41" s="478"/>
      <c r="EDB41" s="478"/>
      <c r="EDC41" s="478"/>
      <c r="EDD41" s="478"/>
      <c r="EDE41" s="478"/>
      <c r="EDF41" s="478"/>
      <c r="EDG41" s="478"/>
      <c r="EDH41" s="478"/>
      <c r="EDI41" s="478"/>
      <c r="EDJ41" s="478"/>
      <c r="EDK41" s="478"/>
      <c r="EDL41" s="478"/>
      <c r="EDM41" s="478"/>
      <c r="EDN41" s="478"/>
      <c r="EDO41" s="478"/>
      <c r="EDP41" s="478"/>
      <c r="EDQ41" s="478"/>
      <c r="EDR41" s="478"/>
      <c r="EDS41" s="478"/>
      <c r="EDT41" s="478"/>
      <c r="EDU41" s="478"/>
      <c r="EDV41" s="478"/>
      <c r="EDW41" s="478"/>
      <c r="EDX41" s="478"/>
      <c r="EDY41" s="478"/>
      <c r="EDZ41" s="478"/>
      <c r="EEA41" s="478"/>
      <c r="EEB41" s="478"/>
      <c r="EEC41" s="478"/>
      <c r="EED41" s="478"/>
      <c r="EEE41" s="478"/>
      <c r="EEF41" s="478"/>
      <c r="EEG41" s="478"/>
      <c r="EEH41" s="478"/>
      <c r="EEI41" s="478"/>
      <c r="EEJ41" s="478"/>
      <c r="EEK41" s="478"/>
      <c r="EEL41" s="478"/>
      <c r="EEM41" s="478"/>
      <c r="EEN41" s="478"/>
      <c r="EEO41" s="478"/>
      <c r="EEP41" s="478"/>
      <c r="EEQ41" s="478"/>
      <c r="EER41" s="478"/>
      <c r="EES41" s="478"/>
      <c r="EET41" s="478"/>
      <c r="EEU41" s="478"/>
      <c r="EEV41" s="478"/>
      <c r="EEW41" s="478"/>
      <c r="EEX41" s="478"/>
      <c r="EEY41" s="478"/>
      <c r="EEZ41" s="478"/>
      <c r="EFA41" s="478"/>
      <c r="EFB41" s="478"/>
      <c r="EFC41" s="478"/>
      <c r="EFD41" s="478"/>
      <c r="EFE41" s="478"/>
      <c r="EFF41" s="478"/>
      <c r="EFG41" s="478"/>
      <c r="EFH41" s="478"/>
      <c r="EFI41" s="478"/>
      <c r="EFJ41" s="478"/>
      <c r="EFK41" s="478"/>
      <c r="EFL41" s="478"/>
      <c r="EFM41" s="478"/>
      <c r="EFN41" s="478"/>
      <c r="EFO41" s="478"/>
      <c r="EFP41" s="478"/>
      <c r="EFQ41" s="478"/>
      <c r="EFR41" s="478"/>
      <c r="EFS41" s="478"/>
      <c r="EFT41" s="478"/>
      <c r="EFU41" s="478"/>
      <c r="EFV41" s="478"/>
      <c r="EFW41" s="478"/>
      <c r="EFX41" s="478"/>
      <c r="EFY41" s="478"/>
      <c r="EFZ41" s="478"/>
      <c r="EGA41" s="478"/>
      <c r="EGB41" s="478"/>
      <c r="EGC41" s="478"/>
      <c r="EGD41" s="478"/>
      <c r="EGE41" s="478"/>
      <c r="EGF41" s="478"/>
      <c r="EGG41" s="478"/>
      <c r="EGH41" s="478"/>
      <c r="EGI41" s="478"/>
      <c r="EGJ41" s="478"/>
      <c r="EGK41" s="478"/>
      <c r="EGL41" s="478"/>
      <c r="EGM41" s="478"/>
      <c r="EGN41" s="478"/>
      <c r="EGO41" s="478"/>
      <c r="EGP41" s="478"/>
      <c r="EGQ41" s="478"/>
      <c r="EGR41" s="478"/>
      <c r="EGS41" s="478"/>
      <c r="EGT41" s="478"/>
      <c r="EGU41" s="478"/>
      <c r="EGV41" s="478"/>
      <c r="EGW41" s="478"/>
      <c r="EGX41" s="478"/>
      <c r="EGY41" s="478"/>
      <c r="EGZ41" s="478"/>
      <c r="EHA41" s="478"/>
      <c r="EHB41" s="478"/>
      <c r="EHC41" s="478"/>
      <c r="EHD41" s="478"/>
      <c r="EHE41" s="478"/>
      <c r="EHF41" s="478"/>
      <c r="EHG41" s="478"/>
      <c r="EHH41" s="478"/>
      <c r="EHI41" s="478"/>
      <c r="EHJ41" s="478"/>
      <c r="EHK41" s="478"/>
      <c r="EHL41" s="478"/>
      <c r="EHM41" s="478"/>
      <c r="EHN41" s="478"/>
      <c r="EHO41" s="478"/>
      <c r="EHP41" s="478"/>
      <c r="EHQ41" s="478"/>
      <c r="EHR41" s="478"/>
      <c r="EHS41" s="478"/>
      <c r="EHT41" s="478"/>
      <c r="EHU41" s="478"/>
      <c r="EHV41" s="478"/>
      <c r="EHW41" s="478"/>
      <c r="EHX41" s="478"/>
      <c r="EHY41" s="478"/>
      <c r="EHZ41" s="478"/>
      <c r="EIA41" s="478"/>
      <c r="EIB41" s="478"/>
      <c r="EIC41" s="478"/>
      <c r="EID41" s="478"/>
      <c r="EIE41" s="478"/>
      <c r="EIF41" s="478"/>
      <c r="EIG41" s="478"/>
      <c r="EIH41" s="478"/>
      <c r="EII41" s="478"/>
      <c r="EIJ41" s="478"/>
      <c r="EIK41" s="478"/>
      <c r="EIL41" s="478"/>
      <c r="EIM41" s="478"/>
      <c r="EIN41" s="478"/>
      <c r="EIO41" s="478"/>
      <c r="EIP41" s="478"/>
      <c r="EIQ41" s="478"/>
      <c r="EIR41" s="478"/>
      <c r="EIS41" s="478"/>
      <c r="EIT41" s="478"/>
      <c r="EIU41" s="478"/>
      <c r="EIV41" s="478"/>
      <c r="EIW41" s="478"/>
      <c r="EIX41" s="478"/>
      <c r="EIY41" s="478"/>
      <c r="EIZ41" s="478"/>
      <c r="EJA41" s="478"/>
      <c r="EJB41" s="478"/>
      <c r="EJC41" s="478"/>
      <c r="EJD41" s="478"/>
      <c r="EJE41" s="478"/>
      <c r="EJF41" s="478"/>
      <c r="EJG41" s="478"/>
      <c r="EJH41" s="478"/>
      <c r="EJI41" s="478"/>
      <c r="EJJ41" s="478"/>
      <c r="EJK41" s="478"/>
      <c r="EJL41" s="478"/>
      <c r="EJM41" s="478"/>
      <c r="EJN41" s="478"/>
      <c r="EJO41" s="478"/>
      <c r="EJP41" s="478"/>
      <c r="EJQ41" s="478"/>
      <c r="EJR41" s="478"/>
      <c r="EJS41" s="478"/>
      <c r="EJT41" s="478"/>
      <c r="EJU41" s="478"/>
      <c r="EJV41" s="478"/>
      <c r="EJW41" s="478"/>
      <c r="EJX41" s="478"/>
      <c r="EJY41" s="478"/>
      <c r="EJZ41" s="478"/>
      <c r="EKA41" s="478"/>
      <c r="EKB41" s="478"/>
      <c r="EKC41" s="478"/>
      <c r="EKD41" s="478"/>
      <c r="EKE41" s="478"/>
      <c r="EKF41" s="478"/>
      <c r="EKG41" s="478"/>
      <c r="EKH41" s="478"/>
      <c r="EKI41" s="478"/>
      <c r="EKJ41" s="478"/>
      <c r="EKK41" s="478"/>
      <c r="EKL41" s="478"/>
      <c r="EKM41" s="478"/>
      <c r="EKN41" s="478"/>
      <c r="EKO41" s="478"/>
      <c r="EKP41" s="478"/>
      <c r="EKQ41" s="478"/>
      <c r="EKR41" s="478"/>
      <c r="EKS41" s="478"/>
      <c r="EKT41" s="478"/>
      <c r="EKU41" s="478"/>
      <c r="EKV41" s="478"/>
      <c r="EKW41" s="478"/>
      <c r="EKX41" s="478"/>
      <c r="EKY41" s="478"/>
      <c r="EKZ41" s="478"/>
      <c r="ELA41" s="478"/>
      <c r="ELB41" s="478"/>
      <c r="ELC41" s="478"/>
      <c r="ELD41" s="478"/>
      <c r="ELE41" s="478"/>
      <c r="ELF41" s="478"/>
      <c r="ELG41" s="478"/>
      <c r="ELH41" s="478"/>
      <c r="ELI41" s="478"/>
      <c r="ELJ41" s="478"/>
      <c r="ELK41" s="478"/>
      <c r="ELL41" s="478"/>
      <c r="ELM41" s="478"/>
      <c r="ELN41" s="478"/>
      <c r="ELO41" s="478"/>
      <c r="ELP41" s="478"/>
      <c r="ELQ41" s="478"/>
      <c r="ELR41" s="478"/>
      <c r="ELS41" s="478"/>
      <c r="ELT41" s="478"/>
      <c r="ELU41" s="478"/>
      <c r="ELV41" s="478"/>
      <c r="ELW41" s="478"/>
      <c r="ELX41" s="478"/>
      <c r="ELY41" s="478"/>
      <c r="ELZ41" s="478"/>
      <c r="EMA41" s="478"/>
      <c r="EMB41" s="478"/>
      <c r="EMC41" s="478"/>
      <c r="EMD41" s="478"/>
      <c r="EME41" s="478"/>
      <c r="EMF41" s="478"/>
      <c r="EMG41" s="478"/>
      <c r="EMH41" s="478"/>
      <c r="EMI41" s="478"/>
      <c r="EMJ41" s="478"/>
      <c r="EMK41" s="478"/>
      <c r="EML41" s="478"/>
      <c r="EMM41" s="478"/>
      <c r="EMN41" s="478"/>
      <c r="EMO41" s="478"/>
      <c r="EMP41" s="478"/>
      <c r="EMQ41" s="478"/>
      <c r="EMR41" s="478"/>
      <c r="EMS41" s="478"/>
      <c r="EMT41" s="478"/>
      <c r="EMU41" s="478"/>
      <c r="EMV41" s="478"/>
      <c r="EMW41" s="478"/>
      <c r="EMX41" s="478"/>
      <c r="EMY41" s="478"/>
      <c r="EMZ41" s="478"/>
      <c r="ENA41" s="478"/>
      <c r="ENB41" s="478"/>
      <c r="ENC41" s="478"/>
      <c r="END41" s="478"/>
      <c r="ENE41" s="478"/>
      <c r="ENF41" s="478"/>
      <c r="ENG41" s="478"/>
      <c r="ENH41" s="478"/>
      <c r="ENI41" s="478"/>
      <c r="ENJ41" s="478"/>
      <c r="ENK41" s="478"/>
      <c r="ENL41" s="478"/>
      <c r="ENM41" s="478"/>
      <c r="ENN41" s="478"/>
      <c r="ENO41" s="478"/>
      <c r="ENP41" s="478"/>
      <c r="ENQ41" s="478"/>
      <c r="ENR41" s="478"/>
      <c r="ENS41" s="478"/>
      <c r="ENT41" s="478"/>
      <c r="ENU41" s="478"/>
      <c r="ENV41" s="478"/>
      <c r="ENW41" s="478"/>
      <c r="ENX41" s="478"/>
      <c r="ENY41" s="478"/>
      <c r="ENZ41" s="478"/>
      <c r="EOA41" s="478"/>
      <c r="EOB41" s="478"/>
      <c r="EOC41" s="478"/>
      <c r="EOD41" s="478"/>
      <c r="EOE41" s="478"/>
      <c r="EOF41" s="478"/>
      <c r="EOG41" s="478"/>
      <c r="EOH41" s="478"/>
      <c r="EOI41" s="478"/>
      <c r="EOJ41" s="478"/>
      <c r="EOK41" s="478"/>
      <c r="EOL41" s="478"/>
      <c r="EOM41" s="478"/>
      <c r="EON41" s="478"/>
      <c r="EOO41" s="478"/>
      <c r="EOP41" s="478"/>
      <c r="EOQ41" s="478"/>
      <c r="EOR41" s="478"/>
      <c r="EOS41" s="478"/>
      <c r="EOT41" s="478"/>
      <c r="EOU41" s="478"/>
      <c r="EOV41" s="478"/>
      <c r="EOW41" s="478"/>
      <c r="EOX41" s="478"/>
      <c r="EOY41" s="478"/>
      <c r="EOZ41" s="478"/>
      <c r="EPA41" s="478"/>
      <c r="EPB41" s="478"/>
      <c r="EPC41" s="478"/>
      <c r="EPD41" s="478"/>
      <c r="EPE41" s="478"/>
      <c r="EPF41" s="478"/>
      <c r="EPG41" s="478"/>
      <c r="EPH41" s="478"/>
      <c r="EPI41" s="478"/>
      <c r="EPJ41" s="478"/>
      <c r="EPK41" s="478"/>
      <c r="EPL41" s="478"/>
      <c r="EPM41" s="478"/>
      <c r="EPN41" s="478"/>
      <c r="EPO41" s="478"/>
      <c r="EPP41" s="478"/>
      <c r="EPQ41" s="478"/>
      <c r="EPR41" s="478"/>
      <c r="EPS41" s="478"/>
      <c r="EPT41" s="478"/>
      <c r="EPU41" s="478"/>
      <c r="EPV41" s="478"/>
      <c r="EPW41" s="478"/>
      <c r="EPX41" s="478"/>
      <c r="EPY41" s="478"/>
      <c r="EPZ41" s="478"/>
      <c r="EQA41" s="478"/>
      <c r="EQB41" s="478"/>
      <c r="EQC41" s="478"/>
      <c r="EQD41" s="478"/>
      <c r="EQE41" s="478"/>
      <c r="EQF41" s="478"/>
      <c r="EQG41" s="478"/>
      <c r="EQH41" s="478"/>
      <c r="EQI41" s="478"/>
      <c r="EQJ41" s="478"/>
      <c r="EQK41" s="478"/>
      <c r="EQL41" s="478"/>
      <c r="EQM41" s="478"/>
      <c r="EQN41" s="478"/>
      <c r="EQO41" s="478"/>
      <c r="EQP41" s="478"/>
      <c r="EQQ41" s="478"/>
      <c r="EQR41" s="478"/>
      <c r="EQS41" s="478"/>
      <c r="EQT41" s="478"/>
      <c r="EQU41" s="478"/>
      <c r="EQV41" s="478"/>
      <c r="EQW41" s="478"/>
      <c r="EQX41" s="478"/>
      <c r="EQY41" s="478"/>
      <c r="EQZ41" s="478"/>
      <c r="ERA41" s="478"/>
      <c r="ERB41" s="478"/>
      <c r="ERC41" s="478"/>
      <c r="ERD41" s="478"/>
      <c r="ERE41" s="478"/>
      <c r="ERF41" s="478"/>
      <c r="ERG41" s="478"/>
      <c r="ERH41" s="478"/>
      <c r="ERI41" s="478"/>
      <c r="ERJ41" s="478"/>
      <c r="ERK41" s="478"/>
      <c r="ERL41" s="478"/>
      <c r="ERM41" s="478"/>
      <c r="ERN41" s="478"/>
      <c r="ERO41" s="478"/>
      <c r="ERP41" s="478"/>
      <c r="ERQ41" s="478"/>
      <c r="ERR41" s="478"/>
      <c r="ERS41" s="478"/>
      <c r="ERT41" s="478"/>
      <c r="ERU41" s="478"/>
      <c r="ERV41" s="478"/>
      <c r="ERW41" s="478"/>
      <c r="ERX41" s="478"/>
      <c r="ERY41" s="478"/>
      <c r="ERZ41" s="478"/>
      <c r="ESA41" s="478"/>
      <c r="ESB41" s="478"/>
      <c r="ESC41" s="478"/>
      <c r="ESD41" s="478"/>
      <c r="ESE41" s="478"/>
      <c r="ESF41" s="478"/>
      <c r="ESG41" s="478"/>
      <c r="ESH41" s="478"/>
      <c r="ESI41" s="478"/>
      <c r="ESJ41" s="478"/>
      <c r="ESK41" s="478"/>
      <c r="ESL41" s="478"/>
      <c r="ESM41" s="478"/>
      <c r="ESN41" s="478"/>
      <c r="ESO41" s="478"/>
      <c r="ESP41" s="478"/>
      <c r="ESQ41" s="478"/>
      <c r="ESR41" s="478"/>
      <c r="ESS41" s="478"/>
      <c r="EST41" s="478"/>
      <c r="ESU41" s="478"/>
      <c r="ESV41" s="478"/>
      <c r="ESW41" s="478"/>
      <c r="ESX41" s="478"/>
      <c r="ESY41" s="478"/>
      <c r="ESZ41" s="478"/>
      <c r="ETA41" s="478"/>
      <c r="ETB41" s="478"/>
      <c r="ETC41" s="478"/>
      <c r="ETD41" s="478"/>
      <c r="ETE41" s="478"/>
      <c r="ETF41" s="478"/>
      <c r="ETG41" s="478"/>
      <c r="ETH41" s="478"/>
      <c r="ETI41" s="478"/>
      <c r="ETJ41" s="478"/>
      <c r="ETK41" s="478"/>
      <c r="ETL41" s="478"/>
      <c r="ETM41" s="478"/>
      <c r="ETN41" s="478"/>
      <c r="ETO41" s="478"/>
      <c r="ETP41" s="478"/>
      <c r="ETQ41" s="478"/>
      <c r="ETR41" s="478"/>
      <c r="ETS41" s="478"/>
      <c r="ETT41" s="478"/>
      <c r="ETU41" s="478"/>
      <c r="ETV41" s="478"/>
      <c r="ETW41" s="478"/>
      <c r="ETX41" s="478"/>
      <c r="ETY41" s="478"/>
      <c r="ETZ41" s="478"/>
      <c r="EUA41" s="478"/>
      <c r="EUB41" s="478"/>
      <c r="EUC41" s="478"/>
      <c r="EUD41" s="478"/>
      <c r="EUE41" s="478"/>
      <c r="EUF41" s="478"/>
      <c r="EUG41" s="478"/>
      <c r="EUH41" s="478"/>
      <c r="EUI41" s="478"/>
      <c r="EUJ41" s="478"/>
      <c r="EUK41" s="478"/>
      <c r="EUL41" s="478"/>
      <c r="EUM41" s="478"/>
      <c r="EUN41" s="478"/>
      <c r="EUO41" s="478"/>
      <c r="EUP41" s="478"/>
      <c r="EUQ41" s="478"/>
      <c r="EUR41" s="478"/>
      <c r="EUS41" s="478"/>
      <c r="EUT41" s="478"/>
      <c r="EUU41" s="478"/>
      <c r="EUV41" s="478"/>
      <c r="EUW41" s="478"/>
      <c r="EUX41" s="478"/>
      <c r="EUY41" s="478"/>
      <c r="EUZ41" s="478"/>
      <c r="EVA41" s="478"/>
      <c r="EVB41" s="478"/>
      <c r="EVC41" s="478"/>
      <c r="EVD41" s="478"/>
      <c r="EVE41" s="478"/>
      <c r="EVF41" s="478"/>
      <c r="EVG41" s="478"/>
      <c r="EVH41" s="478"/>
      <c r="EVI41" s="478"/>
      <c r="EVJ41" s="478"/>
      <c r="EVK41" s="478"/>
      <c r="EVL41" s="478"/>
      <c r="EVM41" s="478"/>
      <c r="EVN41" s="478"/>
      <c r="EVO41" s="478"/>
      <c r="EVP41" s="478"/>
      <c r="EVQ41" s="478"/>
      <c r="EVR41" s="478"/>
      <c r="EVS41" s="478"/>
      <c r="EVT41" s="478"/>
      <c r="EVU41" s="478"/>
      <c r="EVV41" s="478"/>
      <c r="EVW41" s="478"/>
      <c r="EVX41" s="478"/>
      <c r="EVY41" s="478"/>
      <c r="EVZ41" s="478"/>
      <c r="EWA41" s="478"/>
      <c r="EWB41" s="478"/>
      <c r="EWC41" s="478"/>
      <c r="EWD41" s="478"/>
      <c r="EWE41" s="478"/>
      <c r="EWF41" s="478"/>
      <c r="EWG41" s="478"/>
      <c r="EWH41" s="478"/>
      <c r="EWI41" s="478"/>
      <c r="EWJ41" s="478"/>
      <c r="EWK41" s="478"/>
      <c r="EWL41" s="478"/>
      <c r="EWM41" s="478"/>
      <c r="EWN41" s="478"/>
      <c r="EWO41" s="478"/>
      <c r="EWP41" s="478"/>
      <c r="EWQ41" s="478"/>
      <c r="EWR41" s="478"/>
      <c r="EWS41" s="478"/>
      <c r="EWT41" s="478"/>
      <c r="EWU41" s="478"/>
      <c r="EWV41" s="478"/>
      <c r="EWW41" s="478"/>
      <c r="EWX41" s="478"/>
      <c r="EWY41" s="478"/>
      <c r="EWZ41" s="478"/>
      <c r="EXA41" s="478"/>
      <c r="EXB41" s="478"/>
      <c r="EXC41" s="478"/>
      <c r="EXD41" s="478"/>
      <c r="EXE41" s="478"/>
      <c r="EXF41" s="478"/>
      <c r="EXG41" s="478"/>
      <c r="EXH41" s="478"/>
      <c r="EXI41" s="478"/>
      <c r="EXJ41" s="478"/>
      <c r="EXK41" s="478"/>
      <c r="EXL41" s="478"/>
      <c r="EXM41" s="478"/>
      <c r="EXN41" s="478"/>
      <c r="EXO41" s="478"/>
      <c r="EXP41" s="478"/>
      <c r="EXQ41" s="478"/>
      <c r="EXR41" s="478"/>
      <c r="EXS41" s="478"/>
      <c r="EXT41" s="478"/>
      <c r="EXU41" s="478"/>
      <c r="EXV41" s="478"/>
      <c r="EXW41" s="478"/>
      <c r="EXX41" s="478"/>
      <c r="EXY41" s="478"/>
      <c r="EXZ41" s="478"/>
      <c r="EYA41" s="478"/>
      <c r="EYB41" s="478"/>
      <c r="EYC41" s="478"/>
      <c r="EYD41" s="478"/>
      <c r="EYE41" s="478"/>
      <c r="EYF41" s="478"/>
      <c r="EYG41" s="478"/>
      <c r="EYH41" s="478"/>
      <c r="EYI41" s="478"/>
      <c r="EYJ41" s="478"/>
      <c r="EYK41" s="478"/>
      <c r="EYL41" s="478"/>
      <c r="EYM41" s="478"/>
      <c r="EYN41" s="478"/>
      <c r="EYO41" s="478"/>
      <c r="EYP41" s="478"/>
      <c r="EYQ41" s="478"/>
      <c r="EYR41" s="478"/>
      <c r="EYS41" s="478"/>
      <c r="EYT41" s="478"/>
      <c r="EYU41" s="478"/>
      <c r="EYV41" s="478"/>
      <c r="EYW41" s="478"/>
      <c r="EYX41" s="478"/>
      <c r="EYY41" s="478"/>
      <c r="EYZ41" s="478"/>
      <c r="EZA41" s="478"/>
      <c r="EZB41" s="478"/>
      <c r="EZC41" s="478"/>
      <c r="EZD41" s="478"/>
      <c r="EZE41" s="478"/>
      <c r="EZF41" s="478"/>
      <c r="EZG41" s="478"/>
      <c r="EZH41" s="478"/>
      <c r="EZI41" s="478"/>
      <c r="EZJ41" s="478"/>
      <c r="EZK41" s="478"/>
      <c r="EZL41" s="478"/>
      <c r="EZM41" s="478"/>
      <c r="EZN41" s="478"/>
      <c r="EZO41" s="478"/>
      <c r="EZP41" s="478"/>
      <c r="EZQ41" s="478"/>
      <c r="EZR41" s="478"/>
      <c r="EZS41" s="478"/>
      <c r="EZT41" s="478"/>
      <c r="EZU41" s="478"/>
      <c r="EZV41" s="478"/>
      <c r="EZW41" s="478"/>
      <c r="EZX41" s="478"/>
      <c r="EZY41" s="478"/>
      <c r="EZZ41" s="478"/>
      <c r="FAA41" s="478"/>
      <c r="FAB41" s="478"/>
      <c r="FAC41" s="478"/>
      <c r="FAD41" s="478"/>
      <c r="FAE41" s="478"/>
      <c r="FAF41" s="478"/>
      <c r="FAG41" s="478"/>
      <c r="FAH41" s="478"/>
      <c r="FAI41" s="478"/>
      <c r="FAJ41" s="478"/>
      <c r="FAK41" s="478"/>
      <c r="FAL41" s="478"/>
      <c r="FAM41" s="478"/>
      <c r="FAN41" s="478"/>
      <c r="FAO41" s="478"/>
      <c r="FAP41" s="478"/>
      <c r="FAQ41" s="478"/>
      <c r="FAR41" s="478"/>
      <c r="FAS41" s="478"/>
      <c r="FAT41" s="478"/>
      <c r="FAU41" s="478"/>
      <c r="FAV41" s="478"/>
      <c r="FAW41" s="478"/>
      <c r="FAX41" s="478"/>
      <c r="FAY41" s="478"/>
      <c r="FAZ41" s="478"/>
      <c r="FBA41" s="478"/>
      <c r="FBB41" s="478"/>
      <c r="FBC41" s="478"/>
      <c r="FBD41" s="478"/>
      <c r="FBE41" s="478"/>
      <c r="FBF41" s="478"/>
      <c r="FBG41" s="478"/>
      <c r="FBH41" s="478"/>
      <c r="FBI41" s="478"/>
      <c r="FBJ41" s="478"/>
      <c r="FBK41" s="478"/>
      <c r="FBL41" s="478"/>
      <c r="FBM41" s="478"/>
      <c r="FBN41" s="478"/>
      <c r="FBO41" s="478"/>
      <c r="FBP41" s="478"/>
      <c r="FBQ41" s="478"/>
      <c r="FBR41" s="478"/>
      <c r="FBS41" s="478"/>
      <c r="FBT41" s="478"/>
      <c r="FBU41" s="478"/>
      <c r="FBV41" s="478"/>
      <c r="FBW41" s="478"/>
      <c r="FBX41" s="478"/>
      <c r="FBY41" s="478"/>
      <c r="FBZ41" s="478"/>
      <c r="FCA41" s="478"/>
      <c r="FCB41" s="478"/>
      <c r="FCC41" s="478"/>
      <c r="FCD41" s="478"/>
      <c r="FCE41" s="478"/>
      <c r="FCF41" s="478"/>
      <c r="FCG41" s="478"/>
      <c r="FCH41" s="478"/>
      <c r="FCI41" s="478"/>
      <c r="FCJ41" s="478"/>
      <c r="FCK41" s="478"/>
      <c r="FCL41" s="478"/>
      <c r="FCM41" s="478"/>
      <c r="FCN41" s="478"/>
      <c r="FCO41" s="478"/>
      <c r="FCP41" s="478"/>
      <c r="FCQ41" s="478"/>
      <c r="FCR41" s="478"/>
      <c r="FCS41" s="478"/>
      <c r="FCT41" s="478"/>
      <c r="FCU41" s="478"/>
      <c r="FCV41" s="478"/>
      <c r="FCW41" s="478"/>
      <c r="FCX41" s="478"/>
      <c r="FCY41" s="478"/>
      <c r="FCZ41" s="478"/>
      <c r="FDA41" s="478"/>
      <c r="FDB41" s="478"/>
      <c r="FDC41" s="478"/>
      <c r="FDD41" s="478"/>
      <c r="FDE41" s="478"/>
      <c r="FDF41" s="478"/>
      <c r="FDG41" s="478"/>
      <c r="FDH41" s="478"/>
      <c r="FDI41" s="478"/>
      <c r="FDJ41" s="478"/>
      <c r="FDK41" s="478"/>
      <c r="FDL41" s="478"/>
      <c r="FDM41" s="478"/>
      <c r="FDN41" s="478"/>
      <c r="FDO41" s="478"/>
      <c r="FDP41" s="478"/>
      <c r="FDQ41" s="478"/>
      <c r="FDR41" s="478"/>
      <c r="FDS41" s="478"/>
      <c r="FDT41" s="478"/>
      <c r="FDU41" s="478"/>
      <c r="FDV41" s="478"/>
      <c r="FDW41" s="478"/>
      <c r="FDX41" s="478"/>
      <c r="FDY41" s="478"/>
      <c r="FDZ41" s="478"/>
      <c r="FEA41" s="478"/>
      <c r="FEB41" s="478"/>
      <c r="FEC41" s="478"/>
      <c r="FED41" s="478"/>
      <c r="FEE41" s="478"/>
      <c r="FEF41" s="478"/>
      <c r="FEG41" s="478"/>
      <c r="FEH41" s="478"/>
      <c r="FEI41" s="478"/>
      <c r="FEJ41" s="478"/>
      <c r="FEK41" s="478"/>
      <c r="FEL41" s="478"/>
      <c r="FEM41" s="478"/>
      <c r="FEN41" s="478"/>
      <c r="FEO41" s="478"/>
      <c r="FEP41" s="478"/>
      <c r="FEQ41" s="478"/>
      <c r="FER41" s="478"/>
      <c r="FES41" s="478"/>
      <c r="FET41" s="478"/>
      <c r="FEU41" s="478"/>
      <c r="FEV41" s="478"/>
      <c r="FEW41" s="478"/>
      <c r="FEX41" s="478"/>
      <c r="FEY41" s="478"/>
      <c r="FEZ41" s="478"/>
      <c r="FFA41" s="478"/>
      <c r="FFB41" s="478"/>
      <c r="FFC41" s="478"/>
      <c r="FFD41" s="478"/>
      <c r="FFE41" s="478"/>
      <c r="FFF41" s="478"/>
      <c r="FFG41" s="478"/>
      <c r="FFH41" s="478"/>
      <c r="FFI41" s="478"/>
      <c r="FFJ41" s="478"/>
      <c r="FFK41" s="478"/>
      <c r="FFL41" s="478"/>
      <c r="FFM41" s="478"/>
      <c r="FFN41" s="478"/>
      <c r="FFO41" s="478"/>
      <c r="FFP41" s="478"/>
      <c r="FFQ41" s="478"/>
      <c r="FFR41" s="478"/>
      <c r="FFS41" s="478"/>
      <c r="FFT41" s="478"/>
      <c r="FFU41" s="478"/>
      <c r="FFV41" s="478"/>
      <c r="FFW41" s="478"/>
      <c r="FFX41" s="478"/>
      <c r="FFY41" s="478"/>
      <c r="FFZ41" s="478"/>
      <c r="FGA41" s="478"/>
      <c r="FGB41" s="478"/>
      <c r="FGC41" s="478"/>
      <c r="FGD41" s="478"/>
      <c r="FGE41" s="478"/>
      <c r="FGF41" s="478"/>
      <c r="FGG41" s="478"/>
      <c r="FGH41" s="478"/>
      <c r="FGI41" s="478"/>
      <c r="FGJ41" s="478"/>
      <c r="FGK41" s="478"/>
      <c r="FGL41" s="478"/>
      <c r="FGM41" s="478"/>
      <c r="FGN41" s="478"/>
      <c r="FGO41" s="478"/>
      <c r="FGP41" s="478"/>
      <c r="FGQ41" s="478"/>
      <c r="FGR41" s="478"/>
      <c r="FGS41" s="478"/>
      <c r="FGT41" s="478"/>
      <c r="FGU41" s="478"/>
      <c r="FGV41" s="478"/>
      <c r="FGW41" s="478"/>
      <c r="FGX41" s="478"/>
      <c r="FGY41" s="478"/>
      <c r="FGZ41" s="478"/>
      <c r="FHA41" s="478"/>
      <c r="FHB41" s="478"/>
      <c r="FHC41" s="478"/>
      <c r="FHD41" s="478"/>
      <c r="FHE41" s="478"/>
      <c r="FHF41" s="478"/>
      <c r="FHG41" s="478"/>
      <c r="FHH41" s="478"/>
      <c r="FHI41" s="478"/>
      <c r="FHJ41" s="478"/>
      <c r="FHK41" s="478"/>
      <c r="FHL41" s="478"/>
      <c r="FHM41" s="478"/>
      <c r="FHN41" s="478"/>
      <c r="FHO41" s="478"/>
      <c r="FHP41" s="478"/>
      <c r="FHQ41" s="478"/>
      <c r="FHR41" s="478"/>
      <c r="FHS41" s="478"/>
      <c r="FHT41" s="478"/>
      <c r="FHU41" s="478"/>
      <c r="FHV41" s="478"/>
      <c r="FHW41" s="478"/>
      <c r="FHX41" s="478"/>
      <c r="FHY41" s="478"/>
      <c r="FHZ41" s="478"/>
      <c r="FIA41" s="478"/>
      <c r="FIB41" s="478"/>
      <c r="FIC41" s="478"/>
      <c r="FID41" s="478"/>
      <c r="FIE41" s="478"/>
      <c r="FIF41" s="478"/>
      <c r="FIG41" s="478"/>
      <c r="FIH41" s="478"/>
      <c r="FII41" s="478"/>
      <c r="FIJ41" s="478"/>
      <c r="FIK41" s="478"/>
      <c r="FIL41" s="478"/>
      <c r="FIM41" s="478"/>
      <c r="FIN41" s="478"/>
      <c r="FIO41" s="478"/>
      <c r="FIP41" s="478"/>
      <c r="FIQ41" s="478"/>
      <c r="FIR41" s="478"/>
      <c r="FIS41" s="478"/>
      <c r="FIT41" s="478"/>
      <c r="FIU41" s="478"/>
      <c r="FIV41" s="478"/>
      <c r="FIW41" s="478"/>
      <c r="FIX41" s="478"/>
      <c r="FIY41" s="478"/>
      <c r="FIZ41" s="478"/>
      <c r="FJA41" s="478"/>
      <c r="FJB41" s="478"/>
      <c r="FJC41" s="478"/>
      <c r="FJD41" s="478"/>
      <c r="FJE41" s="478"/>
      <c r="FJF41" s="478"/>
      <c r="FJG41" s="478"/>
      <c r="FJH41" s="478"/>
      <c r="FJI41" s="478"/>
      <c r="FJJ41" s="478"/>
      <c r="FJK41" s="478"/>
      <c r="FJL41" s="478"/>
      <c r="FJM41" s="478"/>
      <c r="FJN41" s="478"/>
      <c r="FJO41" s="478"/>
      <c r="FJP41" s="478"/>
      <c r="FJQ41" s="478"/>
      <c r="FJR41" s="478"/>
      <c r="FJS41" s="478"/>
      <c r="FJT41" s="478"/>
      <c r="FJU41" s="478"/>
      <c r="FJV41" s="478"/>
      <c r="FJW41" s="478"/>
      <c r="FJX41" s="478"/>
      <c r="FJY41" s="478"/>
      <c r="FJZ41" s="478"/>
      <c r="FKA41" s="478"/>
      <c r="FKB41" s="478"/>
      <c r="FKC41" s="478"/>
      <c r="FKD41" s="478"/>
      <c r="FKE41" s="478"/>
      <c r="FKF41" s="478"/>
      <c r="FKG41" s="478"/>
      <c r="FKH41" s="478"/>
      <c r="FKI41" s="478"/>
      <c r="FKJ41" s="478"/>
      <c r="FKK41" s="478"/>
      <c r="FKL41" s="478"/>
      <c r="FKM41" s="478"/>
      <c r="FKN41" s="478"/>
      <c r="FKO41" s="478"/>
      <c r="FKP41" s="478"/>
      <c r="FKQ41" s="478"/>
      <c r="FKR41" s="478"/>
      <c r="FKS41" s="478"/>
      <c r="FKT41" s="478"/>
      <c r="FKU41" s="478"/>
      <c r="FKV41" s="478"/>
      <c r="FKW41" s="478"/>
      <c r="FKX41" s="478"/>
      <c r="FKY41" s="478"/>
      <c r="FKZ41" s="478"/>
      <c r="FLA41" s="478"/>
      <c r="FLB41" s="478"/>
      <c r="FLC41" s="478"/>
      <c r="FLD41" s="478"/>
      <c r="FLE41" s="478"/>
      <c r="FLF41" s="478"/>
      <c r="FLG41" s="478"/>
      <c r="FLH41" s="478"/>
      <c r="FLI41" s="478"/>
      <c r="FLJ41" s="478"/>
      <c r="FLK41" s="478"/>
      <c r="FLL41" s="478"/>
      <c r="FLM41" s="478"/>
      <c r="FLN41" s="478"/>
      <c r="FLO41" s="478"/>
      <c r="FLP41" s="478"/>
      <c r="FLQ41" s="478"/>
      <c r="FLR41" s="478"/>
      <c r="FLS41" s="478"/>
      <c r="FLT41" s="478"/>
      <c r="FLU41" s="478"/>
      <c r="FLV41" s="478"/>
      <c r="FLW41" s="478"/>
      <c r="FLX41" s="478"/>
      <c r="FLY41" s="478"/>
      <c r="FLZ41" s="478"/>
      <c r="FMA41" s="478"/>
      <c r="FMB41" s="478"/>
      <c r="FMC41" s="478"/>
      <c r="FMD41" s="478"/>
      <c r="FME41" s="478"/>
      <c r="FMF41" s="478"/>
      <c r="FMG41" s="478"/>
      <c r="FMH41" s="478"/>
      <c r="FMI41" s="478"/>
      <c r="FMJ41" s="478"/>
      <c r="FMK41" s="478"/>
      <c r="FML41" s="478"/>
      <c r="FMM41" s="478"/>
      <c r="FMN41" s="478"/>
      <c r="FMO41" s="478"/>
      <c r="FMP41" s="478"/>
      <c r="FMQ41" s="478"/>
      <c r="FMR41" s="478"/>
      <c r="FMS41" s="478"/>
      <c r="FMT41" s="478"/>
      <c r="FMU41" s="478"/>
      <c r="FMV41" s="478"/>
      <c r="FMW41" s="478"/>
      <c r="FMX41" s="478"/>
      <c r="FMY41" s="478"/>
      <c r="FMZ41" s="478"/>
      <c r="FNA41" s="478"/>
      <c r="FNB41" s="478"/>
      <c r="FNC41" s="478"/>
      <c r="FND41" s="478"/>
      <c r="FNE41" s="478"/>
      <c r="FNF41" s="478"/>
      <c r="FNG41" s="478"/>
      <c r="FNH41" s="478"/>
      <c r="FNI41" s="478"/>
      <c r="FNJ41" s="478"/>
      <c r="FNK41" s="478"/>
      <c r="FNL41" s="478"/>
      <c r="FNM41" s="478"/>
      <c r="FNN41" s="478"/>
      <c r="FNO41" s="478"/>
      <c r="FNP41" s="478"/>
      <c r="FNQ41" s="478"/>
      <c r="FNR41" s="478"/>
      <c r="FNS41" s="478"/>
      <c r="FNT41" s="478"/>
      <c r="FNU41" s="478"/>
      <c r="FNV41" s="478"/>
      <c r="FNW41" s="478"/>
      <c r="FNX41" s="478"/>
      <c r="FNY41" s="478"/>
      <c r="FNZ41" s="478"/>
      <c r="FOA41" s="478"/>
      <c r="FOB41" s="478"/>
      <c r="FOC41" s="478"/>
      <c r="FOD41" s="478"/>
      <c r="FOE41" s="478"/>
      <c r="FOF41" s="478"/>
      <c r="FOG41" s="478"/>
      <c r="FOH41" s="478"/>
      <c r="FOI41" s="478"/>
      <c r="FOJ41" s="478"/>
      <c r="FOK41" s="478"/>
      <c r="FOL41" s="478"/>
      <c r="FOM41" s="478"/>
      <c r="FON41" s="478"/>
      <c r="FOO41" s="478"/>
      <c r="FOP41" s="478"/>
      <c r="FOQ41" s="478"/>
      <c r="FOR41" s="478"/>
      <c r="FOS41" s="478"/>
      <c r="FOT41" s="478"/>
      <c r="FOU41" s="478"/>
      <c r="FOV41" s="478"/>
      <c r="FOW41" s="478"/>
      <c r="FOX41" s="478"/>
      <c r="FOY41" s="478"/>
      <c r="FOZ41" s="478"/>
      <c r="FPA41" s="478"/>
      <c r="FPB41" s="478"/>
      <c r="FPC41" s="478"/>
      <c r="FPD41" s="478"/>
      <c r="FPE41" s="478"/>
      <c r="FPF41" s="478"/>
      <c r="FPG41" s="478"/>
      <c r="FPH41" s="478"/>
      <c r="FPI41" s="478"/>
      <c r="FPJ41" s="478"/>
      <c r="FPK41" s="478"/>
      <c r="FPL41" s="478"/>
      <c r="FPM41" s="478"/>
      <c r="FPN41" s="478"/>
      <c r="FPO41" s="478"/>
      <c r="FPP41" s="478"/>
      <c r="FPQ41" s="478"/>
      <c r="FPR41" s="478"/>
      <c r="FPS41" s="478"/>
      <c r="FPT41" s="478"/>
      <c r="FPU41" s="478"/>
      <c r="FPV41" s="478"/>
      <c r="FPW41" s="478"/>
      <c r="FPX41" s="478"/>
      <c r="FPY41" s="478"/>
      <c r="FPZ41" s="478"/>
      <c r="FQA41" s="478"/>
      <c r="FQB41" s="478"/>
      <c r="FQC41" s="478"/>
      <c r="FQD41" s="478"/>
      <c r="FQE41" s="478"/>
      <c r="FQF41" s="478"/>
      <c r="FQG41" s="478"/>
      <c r="FQH41" s="478"/>
      <c r="FQI41" s="478"/>
      <c r="FQJ41" s="478"/>
      <c r="FQK41" s="478"/>
      <c r="FQL41" s="478"/>
      <c r="FQM41" s="478"/>
      <c r="FQN41" s="478"/>
      <c r="FQO41" s="478"/>
      <c r="FQP41" s="478"/>
      <c r="FQQ41" s="478"/>
      <c r="FQR41" s="478"/>
      <c r="FQS41" s="478"/>
      <c r="FQT41" s="478"/>
      <c r="FQU41" s="478"/>
      <c r="FQV41" s="478"/>
      <c r="FQW41" s="478"/>
      <c r="FQX41" s="478"/>
      <c r="FQY41" s="478"/>
      <c r="FQZ41" s="478"/>
      <c r="FRA41" s="478"/>
      <c r="FRB41" s="478"/>
      <c r="FRC41" s="478"/>
      <c r="FRD41" s="478"/>
      <c r="FRE41" s="478"/>
      <c r="FRF41" s="478"/>
      <c r="FRG41" s="478"/>
      <c r="FRH41" s="478"/>
      <c r="FRI41" s="478"/>
      <c r="FRJ41" s="478"/>
      <c r="FRK41" s="478"/>
      <c r="FRL41" s="478"/>
      <c r="FRM41" s="478"/>
      <c r="FRN41" s="478"/>
      <c r="FRO41" s="478"/>
      <c r="FRP41" s="478"/>
      <c r="FRQ41" s="478"/>
      <c r="FRR41" s="478"/>
      <c r="FRS41" s="478"/>
      <c r="FRT41" s="478"/>
      <c r="FRU41" s="478"/>
      <c r="FRV41" s="478"/>
      <c r="FRW41" s="478"/>
      <c r="FRX41" s="478"/>
      <c r="FRY41" s="478"/>
      <c r="FRZ41" s="478"/>
      <c r="FSA41" s="478"/>
      <c r="FSB41" s="478"/>
      <c r="FSC41" s="478"/>
      <c r="FSD41" s="478"/>
      <c r="FSE41" s="478"/>
      <c r="FSF41" s="478"/>
      <c r="FSG41" s="478"/>
      <c r="FSH41" s="478"/>
      <c r="FSI41" s="478"/>
      <c r="FSJ41" s="478"/>
      <c r="FSK41" s="478"/>
      <c r="FSL41" s="478"/>
      <c r="FSM41" s="478"/>
      <c r="FSN41" s="478"/>
      <c r="FSO41" s="478"/>
      <c r="FSP41" s="478"/>
      <c r="FSQ41" s="478"/>
      <c r="FSR41" s="478"/>
      <c r="FSS41" s="478"/>
      <c r="FST41" s="478"/>
      <c r="FSU41" s="478"/>
      <c r="FSV41" s="478"/>
      <c r="FSW41" s="478"/>
      <c r="FSX41" s="478"/>
      <c r="FSY41" s="478"/>
      <c r="FSZ41" s="478"/>
      <c r="FTA41" s="478"/>
      <c r="FTB41" s="478"/>
      <c r="FTC41" s="478"/>
      <c r="FTD41" s="478"/>
      <c r="FTE41" s="478"/>
      <c r="FTF41" s="478"/>
      <c r="FTG41" s="478"/>
      <c r="FTH41" s="478"/>
      <c r="FTI41" s="478"/>
      <c r="FTJ41" s="478"/>
      <c r="FTK41" s="478"/>
      <c r="FTL41" s="478"/>
      <c r="FTM41" s="478"/>
      <c r="FTN41" s="478"/>
      <c r="FTO41" s="478"/>
      <c r="FTP41" s="478"/>
      <c r="FTQ41" s="478"/>
      <c r="FTR41" s="478"/>
      <c r="FTS41" s="478"/>
      <c r="FTT41" s="478"/>
      <c r="FTU41" s="478"/>
      <c r="FTV41" s="478"/>
      <c r="FTW41" s="478"/>
      <c r="FTX41" s="478"/>
      <c r="FTY41" s="478"/>
      <c r="FTZ41" s="478"/>
      <c r="FUA41" s="478"/>
      <c r="FUB41" s="478"/>
      <c r="FUC41" s="478"/>
      <c r="FUD41" s="478"/>
      <c r="FUE41" s="478"/>
      <c r="FUF41" s="478"/>
      <c r="FUG41" s="478"/>
      <c r="FUH41" s="478"/>
      <c r="FUI41" s="478"/>
      <c r="FUJ41" s="478"/>
      <c r="FUK41" s="478"/>
      <c r="FUL41" s="478"/>
      <c r="FUM41" s="478"/>
      <c r="FUN41" s="478"/>
      <c r="FUO41" s="478"/>
      <c r="FUP41" s="478"/>
      <c r="FUQ41" s="478"/>
      <c r="FUR41" s="478"/>
      <c r="FUS41" s="478"/>
      <c r="FUT41" s="478"/>
      <c r="FUU41" s="478"/>
      <c r="FUV41" s="478"/>
      <c r="FUW41" s="478"/>
      <c r="FUX41" s="478"/>
      <c r="FUY41" s="478"/>
      <c r="FUZ41" s="478"/>
      <c r="FVA41" s="478"/>
      <c r="FVB41" s="478"/>
      <c r="FVC41" s="478"/>
      <c r="FVD41" s="478"/>
      <c r="FVE41" s="478"/>
      <c r="FVF41" s="478"/>
      <c r="FVG41" s="478"/>
      <c r="FVH41" s="478"/>
      <c r="FVI41" s="478"/>
      <c r="FVJ41" s="478"/>
      <c r="FVK41" s="478"/>
      <c r="FVL41" s="478"/>
      <c r="FVM41" s="478"/>
      <c r="FVN41" s="478"/>
      <c r="FVO41" s="478"/>
      <c r="FVP41" s="478"/>
      <c r="FVQ41" s="478"/>
      <c r="FVR41" s="478"/>
      <c r="FVS41" s="478"/>
      <c r="FVT41" s="478"/>
      <c r="FVU41" s="478"/>
      <c r="FVV41" s="478"/>
      <c r="FVW41" s="478"/>
      <c r="FVX41" s="478"/>
      <c r="FVY41" s="478"/>
      <c r="FVZ41" s="478"/>
      <c r="FWA41" s="478"/>
      <c r="FWB41" s="478"/>
      <c r="FWC41" s="478"/>
      <c r="FWD41" s="478"/>
      <c r="FWE41" s="478"/>
      <c r="FWF41" s="478"/>
      <c r="FWG41" s="478"/>
      <c r="FWH41" s="478"/>
      <c r="FWI41" s="478"/>
      <c r="FWJ41" s="478"/>
      <c r="FWK41" s="478"/>
      <c r="FWL41" s="478"/>
      <c r="FWM41" s="478"/>
      <c r="FWN41" s="478"/>
      <c r="FWO41" s="478"/>
      <c r="FWP41" s="478"/>
      <c r="FWQ41" s="478"/>
      <c r="FWR41" s="478"/>
      <c r="FWS41" s="478"/>
      <c r="FWT41" s="478"/>
      <c r="FWU41" s="478"/>
      <c r="FWV41" s="478"/>
      <c r="FWW41" s="478"/>
      <c r="FWX41" s="478"/>
      <c r="FWY41" s="478"/>
      <c r="FWZ41" s="478"/>
      <c r="FXA41" s="478"/>
      <c r="FXB41" s="478"/>
      <c r="FXC41" s="478"/>
      <c r="FXD41" s="478"/>
      <c r="FXE41" s="478"/>
      <c r="FXF41" s="478"/>
      <c r="FXG41" s="478"/>
      <c r="FXH41" s="478"/>
      <c r="FXI41" s="478"/>
      <c r="FXJ41" s="478"/>
      <c r="FXK41" s="478"/>
      <c r="FXL41" s="478"/>
      <c r="FXM41" s="478"/>
      <c r="FXN41" s="478"/>
      <c r="FXO41" s="478"/>
      <c r="FXP41" s="478"/>
      <c r="FXQ41" s="478"/>
      <c r="FXR41" s="478"/>
      <c r="FXS41" s="478"/>
      <c r="FXT41" s="478"/>
      <c r="FXU41" s="478"/>
      <c r="FXV41" s="478"/>
      <c r="FXW41" s="478"/>
      <c r="FXX41" s="478"/>
      <c r="FXY41" s="478"/>
      <c r="FXZ41" s="478"/>
      <c r="FYA41" s="478"/>
      <c r="FYB41" s="478"/>
      <c r="FYC41" s="478"/>
      <c r="FYD41" s="478"/>
      <c r="FYE41" s="478"/>
      <c r="FYF41" s="478"/>
      <c r="FYG41" s="478"/>
      <c r="FYH41" s="478"/>
      <c r="FYI41" s="478"/>
      <c r="FYJ41" s="478"/>
      <c r="FYK41" s="478"/>
      <c r="FYL41" s="478"/>
      <c r="FYM41" s="478"/>
      <c r="FYN41" s="478"/>
      <c r="FYO41" s="478"/>
      <c r="FYP41" s="478"/>
      <c r="FYQ41" s="478"/>
      <c r="FYR41" s="478"/>
      <c r="FYS41" s="478"/>
      <c r="FYT41" s="478"/>
      <c r="FYU41" s="478"/>
      <c r="FYV41" s="478"/>
      <c r="FYW41" s="478"/>
      <c r="FYX41" s="478"/>
      <c r="FYY41" s="478"/>
      <c r="FYZ41" s="478"/>
      <c r="FZA41" s="478"/>
      <c r="FZB41" s="478"/>
      <c r="FZC41" s="478"/>
      <c r="FZD41" s="478"/>
      <c r="FZE41" s="478"/>
      <c r="FZF41" s="478"/>
      <c r="FZG41" s="478"/>
      <c r="FZH41" s="478"/>
      <c r="FZI41" s="478"/>
      <c r="FZJ41" s="478"/>
      <c r="FZK41" s="478"/>
      <c r="FZL41" s="478"/>
      <c r="FZM41" s="478"/>
      <c r="FZN41" s="478"/>
      <c r="FZO41" s="478"/>
      <c r="FZP41" s="478"/>
      <c r="FZQ41" s="478"/>
      <c r="FZR41" s="478"/>
      <c r="FZS41" s="478"/>
      <c r="FZT41" s="478"/>
      <c r="FZU41" s="478"/>
      <c r="FZV41" s="478"/>
      <c r="FZW41" s="478"/>
      <c r="FZX41" s="478"/>
      <c r="FZY41" s="478"/>
      <c r="FZZ41" s="478"/>
      <c r="GAA41" s="478"/>
      <c r="GAB41" s="478"/>
      <c r="GAC41" s="478"/>
      <c r="GAD41" s="478"/>
      <c r="GAE41" s="478"/>
      <c r="GAF41" s="478"/>
      <c r="GAG41" s="478"/>
      <c r="GAH41" s="478"/>
      <c r="GAI41" s="478"/>
      <c r="GAJ41" s="478"/>
      <c r="GAK41" s="478"/>
      <c r="GAL41" s="478"/>
      <c r="GAM41" s="478"/>
      <c r="GAN41" s="478"/>
      <c r="GAO41" s="478"/>
      <c r="GAP41" s="478"/>
      <c r="GAQ41" s="478"/>
      <c r="GAR41" s="478"/>
      <c r="GAS41" s="478"/>
      <c r="GAT41" s="478"/>
      <c r="GAU41" s="478"/>
      <c r="GAV41" s="478"/>
      <c r="GAW41" s="478"/>
      <c r="GAX41" s="478"/>
      <c r="GAY41" s="478"/>
      <c r="GAZ41" s="478"/>
      <c r="GBA41" s="478"/>
      <c r="GBB41" s="478"/>
      <c r="GBC41" s="478"/>
      <c r="GBD41" s="478"/>
      <c r="GBE41" s="478"/>
      <c r="GBF41" s="478"/>
      <c r="GBG41" s="478"/>
      <c r="GBH41" s="478"/>
      <c r="GBI41" s="478"/>
      <c r="GBJ41" s="478"/>
      <c r="GBK41" s="478"/>
      <c r="GBL41" s="478"/>
      <c r="GBM41" s="478"/>
      <c r="GBN41" s="478"/>
      <c r="GBO41" s="478"/>
      <c r="GBP41" s="478"/>
      <c r="GBQ41" s="478"/>
      <c r="GBR41" s="478"/>
      <c r="GBS41" s="478"/>
      <c r="GBT41" s="478"/>
      <c r="GBU41" s="478"/>
      <c r="GBV41" s="478"/>
      <c r="GBW41" s="478"/>
      <c r="GBX41" s="478"/>
      <c r="GBY41" s="478"/>
      <c r="GBZ41" s="478"/>
      <c r="GCA41" s="478"/>
      <c r="GCB41" s="478"/>
      <c r="GCC41" s="478"/>
      <c r="GCD41" s="478"/>
      <c r="GCE41" s="478"/>
      <c r="GCF41" s="478"/>
      <c r="GCG41" s="478"/>
      <c r="GCH41" s="478"/>
      <c r="GCI41" s="478"/>
      <c r="GCJ41" s="478"/>
      <c r="GCK41" s="478"/>
      <c r="GCL41" s="478"/>
      <c r="GCM41" s="478"/>
      <c r="GCN41" s="478"/>
      <c r="GCO41" s="478"/>
      <c r="GCP41" s="478"/>
      <c r="GCQ41" s="478"/>
      <c r="GCR41" s="478"/>
      <c r="GCS41" s="478"/>
      <c r="GCT41" s="478"/>
      <c r="GCU41" s="478"/>
      <c r="GCV41" s="478"/>
      <c r="GCW41" s="478"/>
      <c r="GCX41" s="478"/>
      <c r="GCY41" s="478"/>
      <c r="GCZ41" s="478"/>
      <c r="GDA41" s="478"/>
      <c r="GDB41" s="478"/>
      <c r="GDC41" s="478"/>
      <c r="GDD41" s="478"/>
      <c r="GDE41" s="478"/>
      <c r="GDF41" s="478"/>
      <c r="GDG41" s="478"/>
      <c r="GDH41" s="478"/>
      <c r="GDI41" s="478"/>
      <c r="GDJ41" s="478"/>
      <c r="GDK41" s="478"/>
      <c r="GDL41" s="478"/>
      <c r="GDM41" s="478"/>
      <c r="GDN41" s="478"/>
      <c r="GDO41" s="478"/>
      <c r="GDP41" s="478"/>
      <c r="GDQ41" s="478"/>
      <c r="GDR41" s="478"/>
      <c r="GDS41" s="478"/>
      <c r="GDT41" s="478"/>
      <c r="GDU41" s="478"/>
      <c r="GDV41" s="478"/>
      <c r="GDW41" s="478"/>
      <c r="GDX41" s="478"/>
      <c r="GDY41" s="478"/>
      <c r="GDZ41" s="478"/>
      <c r="GEA41" s="478"/>
      <c r="GEB41" s="478"/>
      <c r="GEC41" s="478"/>
      <c r="GED41" s="478"/>
      <c r="GEE41" s="478"/>
      <c r="GEF41" s="478"/>
      <c r="GEG41" s="478"/>
      <c r="GEH41" s="478"/>
      <c r="GEI41" s="478"/>
      <c r="GEJ41" s="478"/>
      <c r="GEK41" s="478"/>
      <c r="GEL41" s="478"/>
      <c r="GEM41" s="478"/>
      <c r="GEN41" s="478"/>
      <c r="GEO41" s="478"/>
      <c r="GEP41" s="478"/>
      <c r="GEQ41" s="478"/>
      <c r="GER41" s="478"/>
      <c r="GES41" s="478"/>
      <c r="GET41" s="478"/>
      <c r="GEU41" s="478"/>
      <c r="GEV41" s="478"/>
      <c r="GEW41" s="478"/>
      <c r="GEX41" s="478"/>
      <c r="GEY41" s="478"/>
      <c r="GEZ41" s="478"/>
      <c r="GFA41" s="478"/>
      <c r="GFB41" s="478"/>
      <c r="GFC41" s="478"/>
      <c r="GFD41" s="478"/>
      <c r="GFE41" s="478"/>
      <c r="GFF41" s="478"/>
      <c r="GFG41" s="478"/>
      <c r="GFH41" s="478"/>
      <c r="GFI41" s="478"/>
      <c r="GFJ41" s="478"/>
      <c r="GFK41" s="478"/>
      <c r="GFL41" s="478"/>
      <c r="GFM41" s="478"/>
      <c r="GFN41" s="478"/>
      <c r="GFO41" s="478"/>
      <c r="GFP41" s="478"/>
      <c r="GFQ41" s="478"/>
      <c r="GFR41" s="478"/>
      <c r="GFS41" s="478"/>
      <c r="GFT41" s="478"/>
      <c r="GFU41" s="478"/>
      <c r="GFV41" s="478"/>
      <c r="GFW41" s="478"/>
      <c r="GFX41" s="478"/>
      <c r="GFY41" s="478"/>
      <c r="GFZ41" s="478"/>
      <c r="GGA41" s="478"/>
      <c r="GGB41" s="478"/>
      <c r="GGC41" s="478"/>
      <c r="GGD41" s="478"/>
      <c r="GGE41" s="478"/>
      <c r="GGF41" s="478"/>
      <c r="GGG41" s="478"/>
      <c r="GGH41" s="478"/>
      <c r="GGI41" s="478"/>
      <c r="GGJ41" s="478"/>
      <c r="GGK41" s="478"/>
      <c r="GGL41" s="478"/>
      <c r="GGM41" s="478"/>
      <c r="GGN41" s="478"/>
      <c r="GGO41" s="478"/>
      <c r="GGP41" s="478"/>
      <c r="GGQ41" s="478"/>
      <c r="GGR41" s="478"/>
      <c r="GGS41" s="478"/>
      <c r="GGT41" s="478"/>
      <c r="GGU41" s="478"/>
      <c r="GGV41" s="478"/>
      <c r="GGW41" s="478"/>
      <c r="GGX41" s="478"/>
      <c r="GGY41" s="478"/>
      <c r="GGZ41" s="478"/>
      <c r="GHA41" s="478"/>
      <c r="GHB41" s="478"/>
      <c r="GHC41" s="478"/>
      <c r="GHD41" s="478"/>
      <c r="GHE41" s="478"/>
      <c r="GHF41" s="478"/>
      <c r="GHG41" s="478"/>
      <c r="GHH41" s="478"/>
      <c r="GHI41" s="478"/>
      <c r="GHJ41" s="478"/>
      <c r="GHK41" s="478"/>
      <c r="GHL41" s="478"/>
      <c r="GHM41" s="478"/>
      <c r="GHN41" s="478"/>
      <c r="GHO41" s="478"/>
      <c r="GHP41" s="478"/>
      <c r="GHQ41" s="478"/>
      <c r="GHR41" s="478"/>
      <c r="GHS41" s="478"/>
      <c r="GHT41" s="478"/>
      <c r="GHU41" s="478"/>
      <c r="GHV41" s="478"/>
      <c r="GHW41" s="478"/>
      <c r="GHX41" s="478"/>
      <c r="GHY41" s="478"/>
      <c r="GHZ41" s="478"/>
      <c r="GIA41" s="478"/>
      <c r="GIB41" s="478"/>
      <c r="GIC41" s="478"/>
      <c r="GID41" s="478"/>
      <c r="GIE41" s="478"/>
      <c r="GIF41" s="478"/>
      <c r="GIG41" s="478"/>
      <c r="GIH41" s="478"/>
      <c r="GII41" s="478"/>
      <c r="GIJ41" s="478"/>
      <c r="GIK41" s="478"/>
      <c r="GIL41" s="478"/>
      <c r="GIM41" s="478"/>
      <c r="GIN41" s="478"/>
      <c r="GIO41" s="478"/>
      <c r="GIP41" s="478"/>
      <c r="GIQ41" s="478"/>
      <c r="GIR41" s="478"/>
      <c r="GIS41" s="478"/>
      <c r="GIT41" s="478"/>
      <c r="GIU41" s="478"/>
      <c r="GIV41" s="478"/>
      <c r="GIW41" s="478"/>
      <c r="GIX41" s="478"/>
      <c r="GIY41" s="478"/>
      <c r="GIZ41" s="478"/>
      <c r="GJA41" s="478"/>
      <c r="GJB41" s="478"/>
      <c r="GJC41" s="478"/>
      <c r="GJD41" s="478"/>
      <c r="GJE41" s="478"/>
      <c r="GJF41" s="478"/>
      <c r="GJG41" s="478"/>
      <c r="GJH41" s="478"/>
      <c r="GJI41" s="478"/>
      <c r="GJJ41" s="478"/>
      <c r="GJK41" s="478"/>
      <c r="GJL41" s="478"/>
      <c r="GJM41" s="478"/>
      <c r="GJN41" s="478"/>
      <c r="GJO41" s="478"/>
      <c r="GJP41" s="478"/>
      <c r="GJQ41" s="478"/>
      <c r="GJR41" s="478"/>
      <c r="GJS41" s="478"/>
      <c r="GJT41" s="478"/>
      <c r="GJU41" s="478"/>
      <c r="GJV41" s="478"/>
      <c r="GJW41" s="478"/>
      <c r="GJX41" s="478"/>
      <c r="GJY41" s="478"/>
      <c r="GJZ41" s="478"/>
      <c r="GKA41" s="478"/>
      <c r="GKB41" s="478"/>
      <c r="GKC41" s="478"/>
      <c r="GKD41" s="478"/>
      <c r="GKE41" s="478"/>
      <c r="GKF41" s="478"/>
      <c r="GKG41" s="478"/>
      <c r="GKH41" s="478"/>
      <c r="GKI41" s="478"/>
      <c r="GKJ41" s="478"/>
      <c r="GKK41" s="478"/>
      <c r="GKL41" s="478"/>
      <c r="GKM41" s="478"/>
      <c r="GKN41" s="478"/>
      <c r="GKO41" s="478"/>
      <c r="GKP41" s="478"/>
      <c r="GKQ41" s="478"/>
      <c r="GKR41" s="478"/>
      <c r="GKS41" s="478"/>
      <c r="GKT41" s="478"/>
      <c r="GKU41" s="478"/>
      <c r="GKV41" s="478"/>
      <c r="GKW41" s="478"/>
      <c r="GKX41" s="478"/>
      <c r="GKY41" s="478"/>
      <c r="GKZ41" s="478"/>
      <c r="GLA41" s="478"/>
      <c r="GLB41" s="478"/>
      <c r="GLC41" s="478"/>
      <c r="GLD41" s="478"/>
      <c r="GLE41" s="478"/>
      <c r="GLF41" s="478"/>
      <c r="GLG41" s="478"/>
      <c r="GLH41" s="478"/>
      <c r="GLI41" s="478"/>
      <c r="GLJ41" s="478"/>
      <c r="GLK41" s="478"/>
      <c r="GLL41" s="478"/>
      <c r="GLM41" s="478"/>
      <c r="GLN41" s="478"/>
      <c r="GLO41" s="478"/>
      <c r="GLP41" s="478"/>
      <c r="GLQ41" s="478"/>
      <c r="GLR41" s="478"/>
      <c r="GLS41" s="478"/>
      <c r="GLT41" s="478"/>
      <c r="GLU41" s="478"/>
      <c r="GLV41" s="478"/>
      <c r="GLW41" s="478"/>
      <c r="GLX41" s="478"/>
      <c r="GLY41" s="478"/>
      <c r="GLZ41" s="478"/>
      <c r="GMA41" s="478"/>
      <c r="GMB41" s="478"/>
      <c r="GMC41" s="478"/>
      <c r="GMD41" s="478"/>
      <c r="GME41" s="478"/>
      <c r="GMF41" s="478"/>
      <c r="GMG41" s="478"/>
      <c r="GMH41" s="478"/>
      <c r="GMI41" s="478"/>
      <c r="GMJ41" s="478"/>
      <c r="GMK41" s="478"/>
      <c r="GML41" s="478"/>
      <c r="GMM41" s="478"/>
      <c r="GMN41" s="478"/>
      <c r="GMO41" s="478"/>
      <c r="GMP41" s="478"/>
      <c r="GMQ41" s="478"/>
      <c r="GMR41" s="478"/>
      <c r="GMS41" s="478"/>
      <c r="GMT41" s="478"/>
      <c r="GMU41" s="478"/>
      <c r="GMV41" s="478"/>
      <c r="GMW41" s="478"/>
      <c r="GMX41" s="478"/>
      <c r="GMY41" s="478"/>
      <c r="GMZ41" s="478"/>
      <c r="GNA41" s="478"/>
      <c r="GNB41" s="478"/>
      <c r="GNC41" s="478"/>
      <c r="GND41" s="478"/>
      <c r="GNE41" s="478"/>
      <c r="GNF41" s="478"/>
      <c r="GNG41" s="478"/>
      <c r="GNH41" s="478"/>
      <c r="GNI41" s="478"/>
      <c r="GNJ41" s="478"/>
      <c r="GNK41" s="478"/>
      <c r="GNL41" s="478"/>
      <c r="GNM41" s="478"/>
      <c r="GNN41" s="478"/>
      <c r="GNO41" s="478"/>
      <c r="GNP41" s="478"/>
      <c r="GNQ41" s="478"/>
      <c r="GNR41" s="478"/>
      <c r="GNS41" s="478"/>
      <c r="GNT41" s="478"/>
      <c r="GNU41" s="478"/>
      <c r="GNV41" s="478"/>
      <c r="GNW41" s="478"/>
      <c r="GNX41" s="478"/>
      <c r="GNY41" s="478"/>
      <c r="GNZ41" s="478"/>
      <c r="GOA41" s="478"/>
      <c r="GOB41" s="478"/>
      <c r="GOC41" s="478"/>
      <c r="GOD41" s="478"/>
      <c r="GOE41" s="478"/>
      <c r="GOF41" s="478"/>
      <c r="GOG41" s="478"/>
      <c r="GOH41" s="478"/>
      <c r="GOI41" s="478"/>
      <c r="GOJ41" s="478"/>
      <c r="GOK41" s="478"/>
      <c r="GOL41" s="478"/>
      <c r="GOM41" s="478"/>
      <c r="GON41" s="478"/>
      <c r="GOO41" s="478"/>
      <c r="GOP41" s="478"/>
      <c r="GOQ41" s="478"/>
      <c r="GOR41" s="478"/>
      <c r="GOS41" s="478"/>
      <c r="GOT41" s="478"/>
      <c r="GOU41" s="478"/>
      <c r="GOV41" s="478"/>
      <c r="GOW41" s="478"/>
      <c r="GOX41" s="478"/>
      <c r="GOY41" s="478"/>
      <c r="GOZ41" s="478"/>
      <c r="GPA41" s="478"/>
      <c r="GPB41" s="478"/>
      <c r="GPC41" s="478"/>
      <c r="GPD41" s="478"/>
      <c r="GPE41" s="478"/>
      <c r="GPF41" s="478"/>
      <c r="GPG41" s="478"/>
      <c r="GPH41" s="478"/>
      <c r="GPI41" s="478"/>
      <c r="GPJ41" s="478"/>
      <c r="GPK41" s="478"/>
      <c r="GPL41" s="478"/>
      <c r="GPM41" s="478"/>
      <c r="GPN41" s="478"/>
      <c r="GPO41" s="478"/>
      <c r="GPP41" s="478"/>
      <c r="GPQ41" s="478"/>
      <c r="GPR41" s="478"/>
      <c r="GPS41" s="478"/>
      <c r="GPT41" s="478"/>
      <c r="GPU41" s="478"/>
      <c r="GPV41" s="478"/>
      <c r="GPW41" s="478"/>
      <c r="GPX41" s="478"/>
      <c r="GPY41" s="478"/>
      <c r="GPZ41" s="478"/>
      <c r="GQA41" s="478"/>
      <c r="GQB41" s="478"/>
      <c r="GQC41" s="478"/>
      <c r="GQD41" s="478"/>
      <c r="GQE41" s="478"/>
      <c r="GQF41" s="478"/>
      <c r="GQG41" s="478"/>
      <c r="GQH41" s="478"/>
      <c r="GQI41" s="478"/>
      <c r="GQJ41" s="478"/>
      <c r="GQK41" s="478"/>
      <c r="GQL41" s="478"/>
      <c r="GQM41" s="478"/>
      <c r="GQN41" s="478"/>
      <c r="GQO41" s="478"/>
      <c r="GQP41" s="478"/>
      <c r="GQQ41" s="478"/>
      <c r="GQR41" s="478"/>
      <c r="GQS41" s="478"/>
      <c r="GQT41" s="478"/>
      <c r="GQU41" s="478"/>
      <c r="GQV41" s="478"/>
      <c r="GQW41" s="478"/>
      <c r="GQX41" s="478"/>
      <c r="GQY41" s="478"/>
      <c r="GQZ41" s="478"/>
      <c r="GRA41" s="478"/>
      <c r="GRB41" s="478"/>
      <c r="GRC41" s="478"/>
      <c r="GRD41" s="478"/>
      <c r="GRE41" s="478"/>
      <c r="GRF41" s="478"/>
      <c r="GRG41" s="478"/>
      <c r="GRH41" s="478"/>
      <c r="GRI41" s="478"/>
      <c r="GRJ41" s="478"/>
      <c r="GRK41" s="478"/>
      <c r="GRL41" s="478"/>
      <c r="GRM41" s="478"/>
      <c r="GRN41" s="478"/>
      <c r="GRO41" s="478"/>
      <c r="GRP41" s="478"/>
      <c r="GRQ41" s="478"/>
      <c r="GRR41" s="478"/>
      <c r="GRS41" s="478"/>
      <c r="GRT41" s="478"/>
      <c r="GRU41" s="478"/>
      <c r="GRV41" s="478"/>
      <c r="GRW41" s="478"/>
      <c r="GRX41" s="478"/>
      <c r="GRY41" s="478"/>
      <c r="GRZ41" s="478"/>
      <c r="GSA41" s="478"/>
      <c r="GSB41" s="478"/>
      <c r="GSC41" s="478"/>
      <c r="GSD41" s="478"/>
      <c r="GSE41" s="478"/>
      <c r="GSF41" s="478"/>
      <c r="GSG41" s="478"/>
      <c r="GSH41" s="478"/>
      <c r="GSI41" s="478"/>
      <c r="GSJ41" s="478"/>
      <c r="GSK41" s="478"/>
      <c r="GSL41" s="478"/>
      <c r="GSM41" s="478"/>
      <c r="GSN41" s="478"/>
      <c r="GSO41" s="478"/>
      <c r="GSP41" s="478"/>
      <c r="GSQ41" s="478"/>
      <c r="GSR41" s="478"/>
      <c r="GSS41" s="478"/>
      <c r="GST41" s="478"/>
      <c r="GSU41" s="478"/>
      <c r="GSV41" s="478"/>
      <c r="GSW41" s="478"/>
      <c r="GSX41" s="478"/>
      <c r="GSY41" s="478"/>
      <c r="GSZ41" s="478"/>
      <c r="GTA41" s="478"/>
      <c r="GTB41" s="478"/>
      <c r="GTC41" s="478"/>
      <c r="GTD41" s="478"/>
      <c r="GTE41" s="478"/>
      <c r="GTF41" s="478"/>
      <c r="GTG41" s="478"/>
      <c r="GTH41" s="478"/>
      <c r="GTI41" s="478"/>
      <c r="GTJ41" s="478"/>
      <c r="GTK41" s="478"/>
      <c r="GTL41" s="478"/>
      <c r="GTM41" s="478"/>
      <c r="GTN41" s="478"/>
      <c r="GTO41" s="478"/>
      <c r="GTP41" s="478"/>
      <c r="GTQ41" s="478"/>
      <c r="GTR41" s="478"/>
      <c r="GTS41" s="478"/>
      <c r="GTT41" s="478"/>
      <c r="GTU41" s="478"/>
      <c r="GTV41" s="478"/>
      <c r="GTW41" s="478"/>
      <c r="GTX41" s="478"/>
      <c r="GTY41" s="478"/>
      <c r="GTZ41" s="478"/>
      <c r="GUA41" s="478"/>
      <c r="GUB41" s="478"/>
      <c r="GUC41" s="478"/>
      <c r="GUD41" s="478"/>
      <c r="GUE41" s="478"/>
      <c r="GUF41" s="478"/>
      <c r="GUG41" s="478"/>
      <c r="GUH41" s="478"/>
      <c r="GUI41" s="478"/>
      <c r="GUJ41" s="478"/>
      <c r="GUK41" s="478"/>
      <c r="GUL41" s="478"/>
      <c r="GUM41" s="478"/>
      <c r="GUN41" s="478"/>
      <c r="GUO41" s="478"/>
      <c r="GUP41" s="478"/>
      <c r="GUQ41" s="478"/>
      <c r="GUR41" s="478"/>
      <c r="GUS41" s="478"/>
      <c r="GUT41" s="478"/>
      <c r="GUU41" s="478"/>
      <c r="GUV41" s="478"/>
      <c r="GUW41" s="478"/>
      <c r="GUX41" s="478"/>
      <c r="GUY41" s="478"/>
      <c r="GUZ41" s="478"/>
      <c r="GVA41" s="478"/>
      <c r="GVB41" s="478"/>
      <c r="GVC41" s="478"/>
      <c r="GVD41" s="478"/>
      <c r="GVE41" s="478"/>
      <c r="GVF41" s="478"/>
      <c r="GVG41" s="478"/>
      <c r="GVH41" s="478"/>
      <c r="GVI41" s="478"/>
      <c r="GVJ41" s="478"/>
      <c r="GVK41" s="478"/>
      <c r="GVL41" s="478"/>
      <c r="GVM41" s="478"/>
      <c r="GVN41" s="478"/>
      <c r="GVO41" s="478"/>
      <c r="GVP41" s="478"/>
      <c r="GVQ41" s="478"/>
      <c r="GVR41" s="478"/>
      <c r="GVS41" s="478"/>
      <c r="GVT41" s="478"/>
      <c r="GVU41" s="478"/>
      <c r="GVV41" s="478"/>
      <c r="GVW41" s="478"/>
      <c r="GVX41" s="478"/>
      <c r="GVY41" s="478"/>
      <c r="GVZ41" s="478"/>
      <c r="GWA41" s="478"/>
      <c r="GWB41" s="478"/>
      <c r="GWC41" s="478"/>
      <c r="GWD41" s="478"/>
      <c r="GWE41" s="478"/>
      <c r="GWF41" s="478"/>
      <c r="GWG41" s="478"/>
      <c r="GWH41" s="478"/>
      <c r="GWI41" s="478"/>
      <c r="GWJ41" s="478"/>
      <c r="GWK41" s="478"/>
      <c r="GWL41" s="478"/>
      <c r="GWM41" s="478"/>
      <c r="GWN41" s="478"/>
      <c r="GWO41" s="478"/>
      <c r="GWP41" s="478"/>
      <c r="GWQ41" s="478"/>
      <c r="GWR41" s="478"/>
      <c r="GWS41" s="478"/>
      <c r="GWT41" s="478"/>
      <c r="GWU41" s="478"/>
      <c r="GWV41" s="478"/>
      <c r="GWW41" s="478"/>
      <c r="GWX41" s="478"/>
      <c r="GWY41" s="478"/>
      <c r="GWZ41" s="478"/>
      <c r="GXA41" s="478"/>
      <c r="GXB41" s="478"/>
      <c r="GXC41" s="478"/>
      <c r="GXD41" s="478"/>
      <c r="GXE41" s="478"/>
      <c r="GXF41" s="478"/>
      <c r="GXG41" s="478"/>
      <c r="GXH41" s="478"/>
      <c r="GXI41" s="478"/>
      <c r="GXJ41" s="478"/>
      <c r="GXK41" s="478"/>
      <c r="GXL41" s="478"/>
      <c r="GXM41" s="478"/>
      <c r="GXN41" s="478"/>
      <c r="GXO41" s="478"/>
      <c r="GXP41" s="478"/>
      <c r="GXQ41" s="478"/>
      <c r="GXR41" s="478"/>
      <c r="GXS41" s="478"/>
      <c r="GXT41" s="478"/>
      <c r="GXU41" s="478"/>
      <c r="GXV41" s="478"/>
      <c r="GXW41" s="478"/>
      <c r="GXX41" s="478"/>
      <c r="GXY41" s="478"/>
      <c r="GXZ41" s="478"/>
      <c r="GYA41" s="478"/>
      <c r="GYB41" s="478"/>
      <c r="GYC41" s="478"/>
      <c r="GYD41" s="478"/>
      <c r="GYE41" s="478"/>
      <c r="GYF41" s="478"/>
      <c r="GYG41" s="478"/>
      <c r="GYH41" s="478"/>
      <c r="GYI41" s="478"/>
      <c r="GYJ41" s="478"/>
      <c r="GYK41" s="478"/>
      <c r="GYL41" s="478"/>
      <c r="GYM41" s="478"/>
      <c r="GYN41" s="478"/>
      <c r="GYO41" s="478"/>
      <c r="GYP41" s="478"/>
      <c r="GYQ41" s="478"/>
      <c r="GYR41" s="478"/>
      <c r="GYS41" s="478"/>
      <c r="GYT41" s="478"/>
      <c r="GYU41" s="478"/>
      <c r="GYV41" s="478"/>
      <c r="GYW41" s="478"/>
      <c r="GYX41" s="478"/>
      <c r="GYY41" s="478"/>
      <c r="GYZ41" s="478"/>
      <c r="GZA41" s="478"/>
      <c r="GZB41" s="478"/>
      <c r="GZC41" s="478"/>
      <c r="GZD41" s="478"/>
      <c r="GZE41" s="478"/>
      <c r="GZF41" s="478"/>
      <c r="GZG41" s="478"/>
      <c r="GZH41" s="478"/>
      <c r="GZI41" s="478"/>
      <c r="GZJ41" s="478"/>
      <c r="GZK41" s="478"/>
      <c r="GZL41" s="478"/>
      <c r="GZM41" s="478"/>
      <c r="GZN41" s="478"/>
      <c r="GZO41" s="478"/>
      <c r="GZP41" s="478"/>
      <c r="GZQ41" s="478"/>
      <c r="GZR41" s="478"/>
      <c r="GZS41" s="478"/>
      <c r="GZT41" s="478"/>
      <c r="GZU41" s="478"/>
      <c r="GZV41" s="478"/>
      <c r="GZW41" s="478"/>
      <c r="GZX41" s="478"/>
      <c r="GZY41" s="478"/>
      <c r="GZZ41" s="478"/>
      <c r="HAA41" s="478"/>
      <c r="HAB41" s="478"/>
      <c r="HAC41" s="478"/>
      <c r="HAD41" s="478"/>
      <c r="HAE41" s="478"/>
      <c r="HAF41" s="478"/>
      <c r="HAG41" s="478"/>
      <c r="HAH41" s="478"/>
      <c r="HAI41" s="478"/>
      <c r="HAJ41" s="478"/>
      <c r="HAK41" s="478"/>
      <c r="HAL41" s="478"/>
      <c r="HAM41" s="478"/>
      <c r="HAN41" s="478"/>
      <c r="HAO41" s="478"/>
      <c r="HAP41" s="478"/>
      <c r="HAQ41" s="478"/>
      <c r="HAR41" s="478"/>
      <c r="HAS41" s="478"/>
      <c r="HAT41" s="478"/>
      <c r="HAU41" s="478"/>
      <c r="HAV41" s="478"/>
      <c r="HAW41" s="478"/>
      <c r="HAX41" s="478"/>
      <c r="HAY41" s="478"/>
      <c r="HAZ41" s="478"/>
      <c r="HBA41" s="478"/>
      <c r="HBB41" s="478"/>
      <c r="HBC41" s="478"/>
      <c r="HBD41" s="478"/>
      <c r="HBE41" s="478"/>
      <c r="HBF41" s="478"/>
      <c r="HBG41" s="478"/>
      <c r="HBH41" s="478"/>
      <c r="HBI41" s="478"/>
      <c r="HBJ41" s="478"/>
      <c r="HBK41" s="478"/>
      <c r="HBL41" s="478"/>
      <c r="HBM41" s="478"/>
      <c r="HBN41" s="478"/>
      <c r="HBO41" s="478"/>
      <c r="HBP41" s="478"/>
      <c r="HBQ41" s="478"/>
      <c r="HBR41" s="478"/>
      <c r="HBS41" s="478"/>
      <c r="HBT41" s="478"/>
      <c r="HBU41" s="478"/>
      <c r="HBV41" s="478"/>
      <c r="HBW41" s="478"/>
      <c r="HBX41" s="478"/>
      <c r="HBY41" s="478"/>
      <c r="HBZ41" s="478"/>
      <c r="HCA41" s="478"/>
      <c r="HCB41" s="478"/>
      <c r="HCC41" s="478"/>
      <c r="HCD41" s="478"/>
      <c r="HCE41" s="478"/>
      <c r="HCF41" s="478"/>
      <c r="HCG41" s="478"/>
      <c r="HCH41" s="478"/>
      <c r="HCI41" s="478"/>
      <c r="HCJ41" s="478"/>
      <c r="HCK41" s="478"/>
      <c r="HCL41" s="478"/>
      <c r="HCM41" s="478"/>
      <c r="HCN41" s="478"/>
      <c r="HCO41" s="478"/>
      <c r="HCP41" s="478"/>
      <c r="HCQ41" s="478"/>
      <c r="HCR41" s="478"/>
      <c r="HCS41" s="478"/>
      <c r="HCT41" s="478"/>
      <c r="HCU41" s="478"/>
      <c r="HCV41" s="478"/>
      <c r="HCW41" s="478"/>
      <c r="HCX41" s="478"/>
      <c r="HCY41" s="478"/>
      <c r="HCZ41" s="478"/>
      <c r="HDA41" s="478"/>
      <c r="HDB41" s="478"/>
      <c r="HDC41" s="478"/>
      <c r="HDD41" s="478"/>
      <c r="HDE41" s="478"/>
      <c r="HDF41" s="478"/>
      <c r="HDG41" s="478"/>
      <c r="HDH41" s="478"/>
      <c r="HDI41" s="478"/>
      <c r="HDJ41" s="478"/>
      <c r="HDK41" s="478"/>
      <c r="HDL41" s="478"/>
      <c r="HDM41" s="478"/>
      <c r="HDN41" s="478"/>
      <c r="HDO41" s="478"/>
      <c r="HDP41" s="478"/>
      <c r="HDQ41" s="478"/>
      <c r="HDR41" s="478"/>
      <c r="HDS41" s="478"/>
      <c r="HDT41" s="478"/>
      <c r="HDU41" s="478"/>
      <c r="HDV41" s="478"/>
      <c r="HDW41" s="478"/>
      <c r="HDX41" s="478"/>
      <c r="HDY41" s="478"/>
      <c r="HDZ41" s="478"/>
      <c r="HEA41" s="478"/>
      <c r="HEB41" s="478"/>
      <c r="HEC41" s="478"/>
      <c r="HED41" s="478"/>
      <c r="HEE41" s="478"/>
      <c r="HEF41" s="478"/>
      <c r="HEG41" s="478"/>
      <c r="HEH41" s="478"/>
      <c r="HEI41" s="478"/>
      <c r="HEJ41" s="478"/>
      <c r="HEK41" s="478"/>
      <c r="HEL41" s="478"/>
      <c r="HEM41" s="478"/>
      <c r="HEN41" s="478"/>
      <c r="HEO41" s="478"/>
      <c r="HEP41" s="478"/>
      <c r="HEQ41" s="478"/>
      <c r="HER41" s="478"/>
      <c r="HES41" s="478"/>
      <c r="HET41" s="478"/>
      <c r="HEU41" s="478"/>
      <c r="HEV41" s="478"/>
      <c r="HEW41" s="478"/>
      <c r="HEX41" s="478"/>
      <c r="HEY41" s="478"/>
      <c r="HEZ41" s="478"/>
      <c r="HFA41" s="478"/>
      <c r="HFB41" s="478"/>
      <c r="HFC41" s="478"/>
      <c r="HFD41" s="478"/>
      <c r="HFE41" s="478"/>
      <c r="HFF41" s="478"/>
      <c r="HFG41" s="478"/>
      <c r="HFH41" s="478"/>
      <c r="HFI41" s="478"/>
      <c r="HFJ41" s="478"/>
      <c r="HFK41" s="478"/>
      <c r="HFL41" s="478"/>
      <c r="HFM41" s="478"/>
      <c r="HFN41" s="478"/>
      <c r="HFO41" s="478"/>
      <c r="HFP41" s="478"/>
      <c r="HFQ41" s="478"/>
      <c r="HFR41" s="478"/>
      <c r="HFS41" s="478"/>
      <c r="HFT41" s="478"/>
      <c r="HFU41" s="478"/>
      <c r="HFV41" s="478"/>
      <c r="HFW41" s="478"/>
      <c r="HFX41" s="478"/>
      <c r="HFY41" s="478"/>
      <c r="HFZ41" s="478"/>
      <c r="HGA41" s="478"/>
      <c r="HGB41" s="478"/>
      <c r="HGC41" s="478"/>
      <c r="HGD41" s="478"/>
      <c r="HGE41" s="478"/>
      <c r="HGF41" s="478"/>
      <c r="HGG41" s="478"/>
      <c r="HGH41" s="478"/>
      <c r="HGI41" s="478"/>
      <c r="HGJ41" s="478"/>
      <c r="HGK41" s="478"/>
      <c r="HGL41" s="478"/>
      <c r="HGM41" s="478"/>
      <c r="HGN41" s="478"/>
      <c r="HGO41" s="478"/>
      <c r="HGP41" s="478"/>
      <c r="HGQ41" s="478"/>
      <c r="HGR41" s="478"/>
      <c r="HGS41" s="478"/>
      <c r="HGT41" s="478"/>
      <c r="HGU41" s="478"/>
      <c r="HGV41" s="478"/>
      <c r="HGW41" s="478"/>
      <c r="HGX41" s="478"/>
      <c r="HGY41" s="478"/>
      <c r="HGZ41" s="478"/>
      <c r="HHA41" s="478"/>
      <c r="HHB41" s="478"/>
      <c r="HHC41" s="478"/>
      <c r="HHD41" s="478"/>
      <c r="HHE41" s="478"/>
      <c r="HHF41" s="478"/>
      <c r="HHG41" s="478"/>
      <c r="HHH41" s="478"/>
      <c r="HHI41" s="478"/>
      <c r="HHJ41" s="478"/>
      <c r="HHK41" s="478"/>
      <c r="HHL41" s="478"/>
      <c r="HHM41" s="478"/>
      <c r="HHN41" s="478"/>
      <c r="HHO41" s="478"/>
      <c r="HHP41" s="478"/>
      <c r="HHQ41" s="478"/>
      <c r="HHR41" s="478"/>
      <c r="HHS41" s="478"/>
      <c r="HHT41" s="478"/>
      <c r="HHU41" s="478"/>
      <c r="HHV41" s="478"/>
      <c r="HHW41" s="478"/>
      <c r="HHX41" s="478"/>
      <c r="HHY41" s="478"/>
      <c r="HHZ41" s="478"/>
      <c r="HIA41" s="478"/>
      <c r="HIB41" s="478"/>
      <c r="HIC41" s="478"/>
      <c r="HID41" s="478"/>
      <c r="HIE41" s="478"/>
      <c r="HIF41" s="478"/>
      <c r="HIG41" s="478"/>
      <c r="HIH41" s="478"/>
      <c r="HII41" s="478"/>
      <c r="HIJ41" s="478"/>
      <c r="HIK41" s="478"/>
      <c r="HIL41" s="478"/>
      <c r="HIM41" s="478"/>
      <c r="HIN41" s="478"/>
      <c r="HIO41" s="478"/>
      <c r="HIP41" s="478"/>
      <c r="HIQ41" s="478"/>
      <c r="HIR41" s="478"/>
      <c r="HIS41" s="478"/>
      <c r="HIT41" s="478"/>
      <c r="HIU41" s="478"/>
      <c r="HIV41" s="478"/>
      <c r="HIW41" s="478"/>
      <c r="HIX41" s="478"/>
      <c r="HIY41" s="478"/>
      <c r="HIZ41" s="478"/>
      <c r="HJA41" s="478"/>
      <c r="HJB41" s="478"/>
      <c r="HJC41" s="478"/>
      <c r="HJD41" s="478"/>
      <c r="HJE41" s="478"/>
      <c r="HJF41" s="478"/>
      <c r="HJG41" s="478"/>
      <c r="HJH41" s="478"/>
      <c r="HJI41" s="478"/>
      <c r="HJJ41" s="478"/>
      <c r="HJK41" s="478"/>
      <c r="HJL41" s="478"/>
      <c r="HJM41" s="478"/>
      <c r="HJN41" s="478"/>
      <c r="HJO41" s="478"/>
      <c r="HJP41" s="478"/>
      <c r="HJQ41" s="478"/>
      <c r="HJR41" s="478"/>
      <c r="HJS41" s="478"/>
      <c r="HJT41" s="478"/>
      <c r="HJU41" s="478"/>
      <c r="HJV41" s="478"/>
      <c r="HJW41" s="478"/>
      <c r="HJX41" s="478"/>
      <c r="HJY41" s="478"/>
      <c r="HJZ41" s="478"/>
      <c r="HKA41" s="478"/>
      <c r="HKB41" s="478"/>
      <c r="HKC41" s="478"/>
      <c r="HKD41" s="478"/>
      <c r="HKE41" s="478"/>
      <c r="HKF41" s="478"/>
      <c r="HKG41" s="478"/>
      <c r="HKH41" s="478"/>
      <c r="HKI41" s="478"/>
      <c r="HKJ41" s="478"/>
      <c r="HKK41" s="478"/>
      <c r="HKL41" s="478"/>
      <c r="HKM41" s="478"/>
      <c r="HKN41" s="478"/>
      <c r="HKO41" s="478"/>
      <c r="HKP41" s="478"/>
      <c r="HKQ41" s="478"/>
      <c r="HKR41" s="478"/>
      <c r="HKS41" s="478"/>
      <c r="HKT41" s="478"/>
      <c r="HKU41" s="478"/>
      <c r="HKV41" s="478"/>
      <c r="HKW41" s="478"/>
      <c r="HKX41" s="478"/>
      <c r="HKY41" s="478"/>
      <c r="HKZ41" s="478"/>
      <c r="HLA41" s="478"/>
      <c r="HLB41" s="478"/>
      <c r="HLC41" s="478"/>
      <c r="HLD41" s="478"/>
      <c r="HLE41" s="478"/>
      <c r="HLF41" s="478"/>
      <c r="HLG41" s="478"/>
      <c r="HLH41" s="478"/>
      <c r="HLI41" s="478"/>
      <c r="HLJ41" s="478"/>
      <c r="HLK41" s="478"/>
      <c r="HLL41" s="478"/>
      <c r="HLM41" s="478"/>
      <c r="HLN41" s="478"/>
      <c r="HLO41" s="478"/>
      <c r="HLP41" s="478"/>
      <c r="HLQ41" s="478"/>
      <c r="HLR41" s="478"/>
      <c r="HLS41" s="478"/>
      <c r="HLT41" s="478"/>
      <c r="HLU41" s="478"/>
      <c r="HLV41" s="478"/>
      <c r="HLW41" s="478"/>
      <c r="HLX41" s="478"/>
      <c r="HLY41" s="478"/>
      <c r="HLZ41" s="478"/>
      <c r="HMA41" s="478"/>
      <c r="HMB41" s="478"/>
      <c r="HMC41" s="478"/>
      <c r="HMD41" s="478"/>
      <c r="HME41" s="478"/>
      <c r="HMF41" s="478"/>
      <c r="HMG41" s="478"/>
      <c r="HMH41" s="478"/>
      <c r="HMI41" s="478"/>
      <c r="HMJ41" s="478"/>
      <c r="HMK41" s="478"/>
      <c r="HML41" s="478"/>
      <c r="HMM41" s="478"/>
      <c r="HMN41" s="478"/>
      <c r="HMO41" s="478"/>
      <c r="HMP41" s="478"/>
      <c r="HMQ41" s="478"/>
      <c r="HMR41" s="478"/>
      <c r="HMS41" s="478"/>
      <c r="HMT41" s="478"/>
      <c r="HMU41" s="478"/>
      <c r="HMV41" s="478"/>
      <c r="HMW41" s="478"/>
      <c r="HMX41" s="478"/>
      <c r="HMY41" s="478"/>
      <c r="HMZ41" s="478"/>
      <c r="HNA41" s="478"/>
      <c r="HNB41" s="478"/>
      <c r="HNC41" s="478"/>
      <c r="HND41" s="478"/>
      <c r="HNE41" s="478"/>
      <c r="HNF41" s="478"/>
      <c r="HNG41" s="478"/>
      <c r="HNH41" s="478"/>
      <c r="HNI41" s="478"/>
      <c r="HNJ41" s="478"/>
      <c r="HNK41" s="478"/>
      <c r="HNL41" s="478"/>
      <c r="HNM41" s="478"/>
      <c r="HNN41" s="478"/>
      <c r="HNO41" s="478"/>
      <c r="HNP41" s="478"/>
      <c r="HNQ41" s="478"/>
      <c r="HNR41" s="478"/>
      <c r="HNS41" s="478"/>
      <c r="HNT41" s="478"/>
      <c r="HNU41" s="478"/>
      <c r="HNV41" s="478"/>
      <c r="HNW41" s="478"/>
      <c r="HNX41" s="478"/>
      <c r="HNY41" s="478"/>
      <c r="HNZ41" s="478"/>
      <c r="HOA41" s="478"/>
      <c r="HOB41" s="478"/>
      <c r="HOC41" s="478"/>
      <c r="HOD41" s="478"/>
      <c r="HOE41" s="478"/>
      <c r="HOF41" s="478"/>
      <c r="HOG41" s="478"/>
      <c r="HOH41" s="478"/>
      <c r="HOI41" s="478"/>
      <c r="HOJ41" s="478"/>
      <c r="HOK41" s="478"/>
      <c r="HOL41" s="478"/>
      <c r="HOM41" s="478"/>
      <c r="HON41" s="478"/>
      <c r="HOO41" s="478"/>
      <c r="HOP41" s="478"/>
      <c r="HOQ41" s="478"/>
      <c r="HOR41" s="478"/>
      <c r="HOS41" s="478"/>
      <c r="HOT41" s="478"/>
      <c r="HOU41" s="478"/>
      <c r="HOV41" s="478"/>
      <c r="HOW41" s="478"/>
      <c r="HOX41" s="478"/>
      <c r="HOY41" s="478"/>
      <c r="HOZ41" s="478"/>
      <c r="HPA41" s="478"/>
      <c r="HPB41" s="478"/>
      <c r="HPC41" s="478"/>
      <c r="HPD41" s="478"/>
      <c r="HPE41" s="478"/>
      <c r="HPF41" s="478"/>
      <c r="HPG41" s="478"/>
      <c r="HPH41" s="478"/>
      <c r="HPI41" s="478"/>
      <c r="HPJ41" s="478"/>
      <c r="HPK41" s="478"/>
      <c r="HPL41" s="478"/>
      <c r="HPM41" s="478"/>
      <c r="HPN41" s="478"/>
      <c r="HPO41" s="478"/>
      <c r="HPP41" s="478"/>
      <c r="HPQ41" s="478"/>
      <c r="HPR41" s="478"/>
      <c r="HPS41" s="478"/>
      <c r="HPT41" s="478"/>
      <c r="HPU41" s="478"/>
      <c r="HPV41" s="478"/>
      <c r="HPW41" s="478"/>
      <c r="HPX41" s="478"/>
      <c r="HPY41" s="478"/>
      <c r="HPZ41" s="478"/>
      <c r="HQA41" s="478"/>
      <c r="HQB41" s="478"/>
      <c r="HQC41" s="478"/>
      <c r="HQD41" s="478"/>
      <c r="HQE41" s="478"/>
      <c r="HQF41" s="478"/>
      <c r="HQG41" s="478"/>
      <c r="HQH41" s="478"/>
      <c r="HQI41" s="478"/>
      <c r="HQJ41" s="478"/>
      <c r="HQK41" s="478"/>
      <c r="HQL41" s="478"/>
      <c r="HQM41" s="478"/>
      <c r="HQN41" s="478"/>
      <c r="HQO41" s="478"/>
      <c r="HQP41" s="478"/>
      <c r="HQQ41" s="478"/>
      <c r="HQR41" s="478"/>
      <c r="HQS41" s="478"/>
      <c r="HQT41" s="478"/>
      <c r="HQU41" s="478"/>
      <c r="HQV41" s="478"/>
      <c r="HQW41" s="478"/>
      <c r="HQX41" s="478"/>
      <c r="HQY41" s="478"/>
      <c r="HQZ41" s="478"/>
      <c r="HRA41" s="478"/>
      <c r="HRB41" s="478"/>
      <c r="HRC41" s="478"/>
      <c r="HRD41" s="478"/>
      <c r="HRE41" s="478"/>
      <c r="HRF41" s="478"/>
      <c r="HRG41" s="478"/>
      <c r="HRH41" s="478"/>
      <c r="HRI41" s="478"/>
      <c r="HRJ41" s="478"/>
      <c r="HRK41" s="478"/>
      <c r="HRL41" s="478"/>
      <c r="HRM41" s="478"/>
      <c r="HRN41" s="478"/>
      <c r="HRO41" s="478"/>
      <c r="HRP41" s="478"/>
      <c r="HRQ41" s="478"/>
      <c r="HRR41" s="478"/>
      <c r="HRS41" s="478"/>
      <c r="HRT41" s="478"/>
      <c r="HRU41" s="478"/>
      <c r="HRV41" s="478"/>
      <c r="HRW41" s="478"/>
      <c r="HRX41" s="478"/>
      <c r="HRY41" s="478"/>
      <c r="HRZ41" s="478"/>
      <c r="HSA41" s="478"/>
      <c r="HSB41" s="478"/>
      <c r="HSC41" s="478"/>
      <c r="HSD41" s="478"/>
      <c r="HSE41" s="478"/>
      <c r="HSF41" s="478"/>
      <c r="HSG41" s="478"/>
      <c r="HSH41" s="478"/>
      <c r="HSI41" s="478"/>
      <c r="HSJ41" s="478"/>
      <c r="HSK41" s="478"/>
      <c r="HSL41" s="478"/>
      <c r="HSM41" s="478"/>
      <c r="HSN41" s="478"/>
      <c r="HSO41" s="478"/>
      <c r="HSP41" s="478"/>
      <c r="HSQ41" s="478"/>
      <c r="HSR41" s="478"/>
      <c r="HSS41" s="478"/>
      <c r="HST41" s="478"/>
      <c r="HSU41" s="478"/>
      <c r="HSV41" s="478"/>
      <c r="HSW41" s="478"/>
      <c r="HSX41" s="478"/>
      <c r="HSY41" s="478"/>
      <c r="HSZ41" s="478"/>
      <c r="HTA41" s="478"/>
      <c r="HTB41" s="478"/>
      <c r="HTC41" s="478"/>
      <c r="HTD41" s="478"/>
      <c r="HTE41" s="478"/>
      <c r="HTF41" s="478"/>
      <c r="HTG41" s="478"/>
      <c r="HTH41" s="478"/>
      <c r="HTI41" s="478"/>
      <c r="HTJ41" s="478"/>
      <c r="HTK41" s="478"/>
      <c r="HTL41" s="478"/>
      <c r="HTM41" s="478"/>
      <c r="HTN41" s="478"/>
      <c r="HTO41" s="478"/>
      <c r="HTP41" s="478"/>
      <c r="HTQ41" s="478"/>
      <c r="HTR41" s="478"/>
      <c r="HTS41" s="478"/>
      <c r="HTT41" s="478"/>
      <c r="HTU41" s="478"/>
      <c r="HTV41" s="478"/>
      <c r="HTW41" s="478"/>
      <c r="HTX41" s="478"/>
      <c r="HTY41" s="478"/>
      <c r="HTZ41" s="478"/>
      <c r="HUA41" s="478"/>
      <c r="HUB41" s="478"/>
      <c r="HUC41" s="478"/>
      <c r="HUD41" s="478"/>
      <c r="HUE41" s="478"/>
      <c r="HUF41" s="478"/>
      <c r="HUG41" s="478"/>
      <c r="HUH41" s="478"/>
      <c r="HUI41" s="478"/>
      <c r="HUJ41" s="478"/>
      <c r="HUK41" s="478"/>
      <c r="HUL41" s="478"/>
      <c r="HUM41" s="478"/>
      <c r="HUN41" s="478"/>
      <c r="HUO41" s="478"/>
      <c r="HUP41" s="478"/>
      <c r="HUQ41" s="478"/>
      <c r="HUR41" s="478"/>
      <c r="HUS41" s="478"/>
      <c r="HUT41" s="478"/>
      <c r="HUU41" s="478"/>
      <c r="HUV41" s="478"/>
      <c r="HUW41" s="478"/>
      <c r="HUX41" s="478"/>
      <c r="HUY41" s="478"/>
      <c r="HUZ41" s="478"/>
      <c r="HVA41" s="478"/>
      <c r="HVB41" s="478"/>
      <c r="HVC41" s="478"/>
      <c r="HVD41" s="478"/>
      <c r="HVE41" s="478"/>
      <c r="HVF41" s="478"/>
      <c r="HVG41" s="478"/>
      <c r="HVH41" s="478"/>
      <c r="HVI41" s="478"/>
      <c r="HVJ41" s="478"/>
      <c r="HVK41" s="478"/>
      <c r="HVL41" s="478"/>
      <c r="HVM41" s="478"/>
      <c r="HVN41" s="478"/>
      <c r="HVO41" s="478"/>
      <c r="HVP41" s="478"/>
      <c r="HVQ41" s="478"/>
      <c r="HVR41" s="478"/>
      <c r="HVS41" s="478"/>
      <c r="HVT41" s="478"/>
      <c r="HVU41" s="478"/>
      <c r="HVV41" s="478"/>
      <c r="HVW41" s="478"/>
      <c r="HVX41" s="478"/>
      <c r="HVY41" s="478"/>
      <c r="HVZ41" s="478"/>
      <c r="HWA41" s="478"/>
      <c r="HWB41" s="478"/>
      <c r="HWC41" s="478"/>
      <c r="HWD41" s="478"/>
      <c r="HWE41" s="478"/>
      <c r="HWF41" s="478"/>
      <c r="HWG41" s="478"/>
      <c r="HWH41" s="478"/>
      <c r="HWI41" s="478"/>
      <c r="HWJ41" s="478"/>
      <c r="HWK41" s="478"/>
      <c r="HWL41" s="478"/>
      <c r="HWM41" s="478"/>
      <c r="HWN41" s="478"/>
      <c r="HWO41" s="478"/>
      <c r="HWP41" s="478"/>
      <c r="HWQ41" s="478"/>
      <c r="HWR41" s="478"/>
      <c r="HWS41" s="478"/>
      <c r="HWT41" s="478"/>
      <c r="HWU41" s="478"/>
      <c r="HWV41" s="478"/>
      <c r="HWW41" s="478"/>
      <c r="HWX41" s="478"/>
      <c r="HWY41" s="478"/>
      <c r="HWZ41" s="478"/>
      <c r="HXA41" s="478"/>
      <c r="HXB41" s="478"/>
      <c r="HXC41" s="478"/>
      <c r="HXD41" s="478"/>
      <c r="HXE41" s="478"/>
      <c r="HXF41" s="478"/>
      <c r="HXG41" s="478"/>
      <c r="HXH41" s="478"/>
      <c r="HXI41" s="478"/>
      <c r="HXJ41" s="478"/>
      <c r="HXK41" s="478"/>
      <c r="HXL41" s="478"/>
      <c r="HXM41" s="478"/>
      <c r="HXN41" s="478"/>
      <c r="HXO41" s="478"/>
      <c r="HXP41" s="478"/>
      <c r="HXQ41" s="478"/>
      <c r="HXR41" s="478"/>
      <c r="HXS41" s="478"/>
      <c r="HXT41" s="478"/>
      <c r="HXU41" s="478"/>
      <c r="HXV41" s="478"/>
      <c r="HXW41" s="478"/>
      <c r="HXX41" s="478"/>
      <c r="HXY41" s="478"/>
      <c r="HXZ41" s="478"/>
      <c r="HYA41" s="478"/>
      <c r="HYB41" s="478"/>
      <c r="HYC41" s="478"/>
      <c r="HYD41" s="478"/>
      <c r="HYE41" s="478"/>
      <c r="HYF41" s="478"/>
      <c r="HYG41" s="478"/>
      <c r="HYH41" s="478"/>
      <c r="HYI41" s="478"/>
      <c r="HYJ41" s="478"/>
      <c r="HYK41" s="478"/>
      <c r="HYL41" s="478"/>
      <c r="HYM41" s="478"/>
      <c r="HYN41" s="478"/>
      <c r="HYO41" s="478"/>
      <c r="HYP41" s="478"/>
      <c r="HYQ41" s="478"/>
      <c r="HYR41" s="478"/>
      <c r="HYS41" s="478"/>
      <c r="HYT41" s="478"/>
      <c r="HYU41" s="478"/>
      <c r="HYV41" s="478"/>
      <c r="HYW41" s="478"/>
      <c r="HYX41" s="478"/>
      <c r="HYY41" s="478"/>
      <c r="HYZ41" s="478"/>
      <c r="HZA41" s="478"/>
      <c r="HZB41" s="478"/>
      <c r="HZC41" s="478"/>
      <c r="HZD41" s="478"/>
      <c r="HZE41" s="478"/>
      <c r="HZF41" s="478"/>
      <c r="HZG41" s="478"/>
      <c r="HZH41" s="478"/>
      <c r="HZI41" s="478"/>
      <c r="HZJ41" s="478"/>
      <c r="HZK41" s="478"/>
      <c r="HZL41" s="478"/>
      <c r="HZM41" s="478"/>
      <c r="HZN41" s="478"/>
      <c r="HZO41" s="478"/>
      <c r="HZP41" s="478"/>
      <c r="HZQ41" s="478"/>
      <c r="HZR41" s="478"/>
      <c r="HZS41" s="478"/>
      <c r="HZT41" s="478"/>
      <c r="HZU41" s="478"/>
      <c r="HZV41" s="478"/>
      <c r="HZW41" s="478"/>
      <c r="HZX41" s="478"/>
      <c r="HZY41" s="478"/>
      <c r="HZZ41" s="478"/>
      <c r="IAA41" s="478"/>
      <c r="IAB41" s="478"/>
      <c r="IAC41" s="478"/>
      <c r="IAD41" s="478"/>
      <c r="IAE41" s="478"/>
      <c r="IAF41" s="478"/>
      <c r="IAG41" s="478"/>
      <c r="IAH41" s="478"/>
      <c r="IAI41" s="478"/>
      <c r="IAJ41" s="478"/>
      <c r="IAK41" s="478"/>
      <c r="IAL41" s="478"/>
      <c r="IAM41" s="478"/>
      <c r="IAN41" s="478"/>
      <c r="IAO41" s="478"/>
      <c r="IAP41" s="478"/>
      <c r="IAQ41" s="478"/>
      <c r="IAR41" s="478"/>
      <c r="IAS41" s="478"/>
      <c r="IAT41" s="478"/>
      <c r="IAU41" s="478"/>
      <c r="IAV41" s="478"/>
      <c r="IAW41" s="478"/>
      <c r="IAX41" s="478"/>
      <c r="IAY41" s="478"/>
      <c r="IAZ41" s="478"/>
      <c r="IBA41" s="478"/>
      <c r="IBB41" s="478"/>
      <c r="IBC41" s="478"/>
      <c r="IBD41" s="478"/>
      <c r="IBE41" s="478"/>
      <c r="IBF41" s="478"/>
      <c r="IBG41" s="478"/>
      <c r="IBH41" s="478"/>
      <c r="IBI41" s="478"/>
      <c r="IBJ41" s="478"/>
      <c r="IBK41" s="478"/>
      <c r="IBL41" s="478"/>
      <c r="IBM41" s="478"/>
      <c r="IBN41" s="478"/>
      <c r="IBO41" s="478"/>
      <c r="IBP41" s="478"/>
      <c r="IBQ41" s="478"/>
      <c r="IBR41" s="478"/>
      <c r="IBS41" s="478"/>
      <c r="IBT41" s="478"/>
      <c r="IBU41" s="478"/>
      <c r="IBV41" s="478"/>
      <c r="IBW41" s="478"/>
      <c r="IBX41" s="478"/>
      <c r="IBY41" s="478"/>
      <c r="IBZ41" s="478"/>
      <c r="ICA41" s="478"/>
      <c r="ICB41" s="478"/>
      <c r="ICC41" s="478"/>
      <c r="ICD41" s="478"/>
      <c r="ICE41" s="478"/>
      <c r="ICF41" s="478"/>
      <c r="ICG41" s="478"/>
      <c r="ICH41" s="478"/>
      <c r="ICI41" s="478"/>
      <c r="ICJ41" s="478"/>
      <c r="ICK41" s="478"/>
      <c r="ICL41" s="478"/>
      <c r="ICM41" s="478"/>
      <c r="ICN41" s="478"/>
      <c r="ICO41" s="478"/>
      <c r="ICP41" s="478"/>
      <c r="ICQ41" s="478"/>
      <c r="ICR41" s="478"/>
      <c r="ICS41" s="478"/>
      <c r="ICT41" s="478"/>
      <c r="ICU41" s="478"/>
      <c r="ICV41" s="478"/>
      <c r="ICW41" s="478"/>
      <c r="ICX41" s="478"/>
      <c r="ICY41" s="478"/>
      <c r="ICZ41" s="478"/>
      <c r="IDA41" s="478"/>
      <c r="IDB41" s="478"/>
      <c r="IDC41" s="478"/>
      <c r="IDD41" s="478"/>
      <c r="IDE41" s="478"/>
      <c r="IDF41" s="478"/>
      <c r="IDG41" s="478"/>
      <c r="IDH41" s="478"/>
      <c r="IDI41" s="478"/>
      <c r="IDJ41" s="478"/>
      <c r="IDK41" s="478"/>
      <c r="IDL41" s="478"/>
      <c r="IDM41" s="478"/>
      <c r="IDN41" s="478"/>
      <c r="IDO41" s="478"/>
      <c r="IDP41" s="478"/>
      <c r="IDQ41" s="478"/>
      <c r="IDR41" s="478"/>
      <c r="IDS41" s="478"/>
      <c r="IDT41" s="478"/>
      <c r="IDU41" s="478"/>
      <c r="IDV41" s="478"/>
      <c r="IDW41" s="478"/>
      <c r="IDX41" s="478"/>
      <c r="IDY41" s="478"/>
      <c r="IDZ41" s="478"/>
      <c r="IEA41" s="478"/>
      <c r="IEB41" s="478"/>
      <c r="IEC41" s="478"/>
      <c r="IED41" s="478"/>
      <c r="IEE41" s="478"/>
      <c r="IEF41" s="478"/>
      <c r="IEG41" s="478"/>
      <c r="IEH41" s="478"/>
      <c r="IEI41" s="478"/>
      <c r="IEJ41" s="478"/>
      <c r="IEK41" s="478"/>
      <c r="IEL41" s="478"/>
      <c r="IEM41" s="478"/>
      <c r="IEN41" s="478"/>
      <c r="IEO41" s="478"/>
      <c r="IEP41" s="478"/>
      <c r="IEQ41" s="478"/>
      <c r="IER41" s="478"/>
      <c r="IES41" s="478"/>
      <c r="IET41" s="478"/>
      <c r="IEU41" s="478"/>
      <c r="IEV41" s="478"/>
      <c r="IEW41" s="478"/>
      <c r="IEX41" s="478"/>
      <c r="IEY41" s="478"/>
      <c r="IEZ41" s="478"/>
      <c r="IFA41" s="478"/>
      <c r="IFB41" s="478"/>
      <c r="IFC41" s="478"/>
      <c r="IFD41" s="478"/>
      <c r="IFE41" s="478"/>
      <c r="IFF41" s="478"/>
      <c r="IFG41" s="478"/>
      <c r="IFH41" s="478"/>
      <c r="IFI41" s="478"/>
      <c r="IFJ41" s="478"/>
      <c r="IFK41" s="478"/>
      <c r="IFL41" s="478"/>
      <c r="IFM41" s="478"/>
      <c r="IFN41" s="478"/>
      <c r="IFO41" s="478"/>
      <c r="IFP41" s="478"/>
      <c r="IFQ41" s="478"/>
      <c r="IFR41" s="478"/>
      <c r="IFS41" s="478"/>
      <c r="IFT41" s="478"/>
      <c r="IFU41" s="478"/>
      <c r="IFV41" s="478"/>
      <c r="IFW41" s="478"/>
      <c r="IFX41" s="478"/>
      <c r="IFY41" s="478"/>
      <c r="IFZ41" s="478"/>
      <c r="IGA41" s="478"/>
      <c r="IGB41" s="478"/>
      <c r="IGC41" s="478"/>
      <c r="IGD41" s="478"/>
      <c r="IGE41" s="478"/>
      <c r="IGF41" s="478"/>
      <c r="IGG41" s="478"/>
      <c r="IGH41" s="478"/>
      <c r="IGI41" s="478"/>
      <c r="IGJ41" s="478"/>
      <c r="IGK41" s="478"/>
      <c r="IGL41" s="478"/>
      <c r="IGM41" s="478"/>
      <c r="IGN41" s="478"/>
      <c r="IGO41" s="478"/>
      <c r="IGP41" s="478"/>
      <c r="IGQ41" s="478"/>
      <c r="IGR41" s="478"/>
      <c r="IGS41" s="478"/>
      <c r="IGT41" s="478"/>
      <c r="IGU41" s="478"/>
      <c r="IGV41" s="478"/>
      <c r="IGW41" s="478"/>
      <c r="IGX41" s="478"/>
      <c r="IGY41" s="478"/>
      <c r="IGZ41" s="478"/>
      <c r="IHA41" s="478"/>
      <c r="IHB41" s="478"/>
      <c r="IHC41" s="478"/>
      <c r="IHD41" s="478"/>
      <c r="IHE41" s="478"/>
      <c r="IHF41" s="478"/>
      <c r="IHG41" s="478"/>
      <c r="IHH41" s="478"/>
      <c r="IHI41" s="478"/>
      <c r="IHJ41" s="478"/>
      <c r="IHK41" s="478"/>
      <c r="IHL41" s="478"/>
      <c r="IHM41" s="478"/>
      <c r="IHN41" s="478"/>
      <c r="IHO41" s="478"/>
      <c r="IHP41" s="478"/>
      <c r="IHQ41" s="478"/>
      <c r="IHR41" s="478"/>
      <c r="IHS41" s="478"/>
      <c r="IHT41" s="478"/>
      <c r="IHU41" s="478"/>
      <c r="IHV41" s="478"/>
      <c r="IHW41" s="478"/>
      <c r="IHX41" s="478"/>
      <c r="IHY41" s="478"/>
      <c r="IHZ41" s="478"/>
      <c r="IIA41" s="478"/>
      <c r="IIB41" s="478"/>
      <c r="IIC41" s="478"/>
      <c r="IID41" s="478"/>
      <c r="IIE41" s="478"/>
      <c r="IIF41" s="478"/>
      <c r="IIG41" s="478"/>
      <c r="IIH41" s="478"/>
      <c r="III41" s="478"/>
      <c r="IIJ41" s="478"/>
      <c r="IIK41" s="478"/>
      <c r="IIL41" s="478"/>
      <c r="IIM41" s="478"/>
      <c r="IIN41" s="478"/>
      <c r="IIO41" s="478"/>
      <c r="IIP41" s="478"/>
      <c r="IIQ41" s="478"/>
      <c r="IIR41" s="478"/>
      <c r="IIS41" s="478"/>
      <c r="IIT41" s="478"/>
      <c r="IIU41" s="478"/>
      <c r="IIV41" s="478"/>
      <c r="IIW41" s="478"/>
      <c r="IIX41" s="478"/>
      <c r="IIY41" s="478"/>
      <c r="IIZ41" s="478"/>
      <c r="IJA41" s="478"/>
      <c r="IJB41" s="478"/>
      <c r="IJC41" s="478"/>
      <c r="IJD41" s="478"/>
      <c r="IJE41" s="478"/>
      <c r="IJF41" s="478"/>
      <c r="IJG41" s="478"/>
      <c r="IJH41" s="478"/>
      <c r="IJI41" s="478"/>
      <c r="IJJ41" s="478"/>
      <c r="IJK41" s="478"/>
      <c r="IJL41" s="478"/>
      <c r="IJM41" s="478"/>
      <c r="IJN41" s="478"/>
      <c r="IJO41" s="478"/>
      <c r="IJP41" s="478"/>
      <c r="IJQ41" s="478"/>
      <c r="IJR41" s="478"/>
      <c r="IJS41" s="478"/>
      <c r="IJT41" s="478"/>
      <c r="IJU41" s="478"/>
      <c r="IJV41" s="478"/>
      <c r="IJW41" s="478"/>
      <c r="IJX41" s="478"/>
      <c r="IJY41" s="478"/>
      <c r="IJZ41" s="478"/>
      <c r="IKA41" s="478"/>
      <c r="IKB41" s="478"/>
      <c r="IKC41" s="478"/>
      <c r="IKD41" s="478"/>
      <c r="IKE41" s="478"/>
      <c r="IKF41" s="478"/>
      <c r="IKG41" s="478"/>
      <c r="IKH41" s="478"/>
      <c r="IKI41" s="478"/>
      <c r="IKJ41" s="478"/>
      <c r="IKK41" s="478"/>
      <c r="IKL41" s="478"/>
      <c r="IKM41" s="478"/>
      <c r="IKN41" s="478"/>
      <c r="IKO41" s="478"/>
      <c r="IKP41" s="478"/>
      <c r="IKQ41" s="478"/>
      <c r="IKR41" s="478"/>
      <c r="IKS41" s="478"/>
      <c r="IKT41" s="478"/>
      <c r="IKU41" s="478"/>
      <c r="IKV41" s="478"/>
      <c r="IKW41" s="478"/>
      <c r="IKX41" s="478"/>
      <c r="IKY41" s="478"/>
      <c r="IKZ41" s="478"/>
      <c r="ILA41" s="478"/>
      <c r="ILB41" s="478"/>
      <c r="ILC41" s="478"/>
      <c r="ILD41" s="478"/>
      <c r="ILE41" s="478"/>
      <c r="ILF41" s="478"/>
      <c r="ILG41" s="478"/>
      <c r="ILH41" s="478"/>
      <c r="ILI41" s="478"/>
      <c r="ILJ41" s="478"/>
      <c r="ILK41" s="478"/>
      <c r="ILL41" s="478"/>
      <c r="ILM41" s="478"/>
      <c r="ILN41" s="478"/>
      <c r="ILO41" s="478"/>
      <c r="ILP41" s="478"/>
      <c r="ILQ41" s="478"/>
      <c r="ILR41" s="478"/>
      <c r="ILS41" s="478"/>
      <c r="ILT41" s="478"/>
      <c r="ILU41" s="478"/>
      <c r="ILV41" s="478"/>
      <c r="ILW41" s="478"/>
      <c r="ILX41" s="478"/>
      <c r="ILY41" s="478"/>
      <c r="ILZ41" s="478"/>
      <c r="IMA41" s="478"/>
      <c r="IMB41" s="478"/>
      <c r="IMC41" s="478"/>
      <c r="IMD41" s="478"/>
      <c r="IME41" s="478"/>
      <c r="IMF41" s="478"/>
      <c r="IMG41" s="478"/>
      <c r="IMH41" s="478"/>
      <c r="IMI41" s="478"/>
      <c r="IMJ41" s="478"/>
      <c r="IMK41" s="478"/>
      <c r="IML41" s="478"/>
      <c r="IMM41" s="478"/>
      <c r="IMN41" s="478"/>
      <c r="IMO41" s="478"/>
      <c r="IMP41" s="478"/>
      <c r="IMQ41" s="478"/>
      <c r="IMR41" s="478"/>
      <c r="IMS41" s="478"/>
      <c r="IMT41" s="478"/>
      <c r="IMU41" s="478"/>
      <c r="IMV41" s="478"/>
      <c r="IMW41" s="478"/>
      <c r="IMX41" s="478"/>
      <c r="IMY41" s="478"/>
      <c r="IMZ41" s="478"/>
      <c r="INA41" s="478"/>
      <c r="INB41" s="478"/>
      <c r="INC41" s="478"/>
      <c r="IND41" s="478"/>
      <c r="INE41" s="478"/>
      <c r="INF41" s="478"/>
      <c r="ING41" s="478"/>
      <c r="INH41" s="478"/>
      <c r="INI41" s="478"/>
      <c r="INJ41" s="478"/>
      <c r="INK41" s="478"/>
      <c r="INL41" s="478"/>
      <c r="INM41" s="478"/>
      <c r="INN41" s="478"/>
      <c r="INO41" s="478"/>
      <c r="INP41" s="478"/>
      <c r="INQ41" s="478"/>
      <c r="INR41" s="478"/>
      <c r="INS41" s="478"/>
      <c r="INT41" s="478"/>
      <c r="INU41" s="478"/>
      <c r="INV41" s="478"/>
      <c r="INW41" s="478"/>
      <c r="INX41" s="478"/>
      <c r="INY41" s="478"/>
      <c r="INZ41" s="478"/>
      <c r="IOA41" s="478"/>
      <c r="IOB41" s="478"/>
      <c r="IOC41" s="478"/>
      <c r="IOD41" s="478"/>
      <c r="IOE41" s="478"/>
      <c r="IOF41" s="478"/>
      <c r="IOG41" s="478"/>
      <c r="IOH41" s="478"/>
      <c r="IOI41" s="478"/>
      <c r="IOJ41" s="478"/>
      <c r="IOK41" s="478"/>
      <c r="IOL41" s="478"/>
      <c r="IOM41" s="478"/>
      <c r="ION41" s="478"/>
      <c r="IOO41" s="478"/>
      <c r="IOP41" s="478"/>
      <c r="IOQ41" s="478"/>
      <c r="IOR41" s="478"/>
      <c r="IOS41" s="478"/>
      <c r="IOT41" s="478"/>
      <c r="IOU41" s="478"/>
      <c r="IOV41" s="478"/>
      <c r="IOW41" s="478"/>
      <c r="IOX41" s="478"/>
      <c r="IOY41" s="478"/>
      <c r="IOZ41" s="478"/>
      <c r="IPA41" s="478"/>
      <c r="IPB41" s="478"/>
      <c r="IPC41" s="478"/>
      <c r="IPD41" s="478"/>
      <c r="IPE41" s="478"/>
      <c r="IPF41" s="478"/>
      <c r="IPG41" s="478"/>
      <c r="IPH41" s="478"/>
      <c r="IPI41" s="478"/>
      <c r="IPJ41" s="478"/>
      <c r="IPK41" s="478"/>
      <c r="IPL41" s="478"/>
      <c r="IPM41" s="478"/>
      <c r="IPN41" s="478"/>
      <c r="IPO41" s="478"/>
      <c r="IPP41" s="478"/>
      <c r="IPQ41" s="478"/>
      <c r="IPR41" s="478"/>
      <c r="IPS41" s="478"/>
      <c r="IPT41" s="478"/>
      <c r="IPU41" s="478"/>
      <c r="IPV41" s="478"/>
      <c r="IPW41" s="478"/>
      <c r="IPX41" s="478"/>
      <c r="IPY41" s="478"/>
      <c r="IPZ41" s="478"/>
      <c r="IQA41" s="478"/>
      <c r="IQB41" s="478"/>
      <c r="IQC41" s="478"/>
      <c r="IQD41" s="478"/>
      <c r="IQE41" s="478"/>
      <c r="IQF41" s="478"/>
      <c r="IQG41" s="478"/>
      <c r="IQH41" s="478"/>
      <c r="IQI41" s="478"/>
      <c r="IQJ41" s="478"/>
      <c r="IQK41" s="478"/>
      <c r="IQL41" s="478"/>
      <c r="IQM41" s="478"/>
      <c r="IQN41" s="478"/>
      <c r="IQO41" s="478"/>
      <c r="IQP41" s="478"/>
      <c r="IQQ41" s="478"/>
      <c r="IQR41" s="478"/>
      <c r="IQS41" s="478"/>
      <c r="IQT41" s="478"/>
      <c r="IQU41" s="478"/>
      <c r="IQV41" s="478"/>
      <c r="IQW41" s="478"/>
      <c r="IQX41" s="478"/>
      <c r="IQY41" s="478"/>
      <c r="IQZ41" s="478"/>
      <c r="IRA41" s="478"/>
      <c r="IRB41" s="478"/>
      <c r="IRC41" s="478"/>
      <c r="IRD41" s="478"/>
      <c r="IRE41" s="478"/>
      <c r="IRF41" s="478"/>
      <c r="IRG41" s="478"/>
      <c r="IRH41" s="478"/>
      <c r="IRI41" s="478"/>
      <c r="IRJ41" s="478"/>
      <c r="IRK41" s="478"/>
      <c r="IRL41" s="478"/>
      <c r="IRM41" s="478"/>
      <c r="IRN41" s="478"/>
      <c r="IRO41" s="478"/>
      <c r="IRP41" s="478"/>
      <c r="IRQ41" s="478"/>
      <c r="IRR41" s="478"/>
      <c r="IRS41" s="478"/>
      <c r="IRT41" s="478"/>
      <c r="IRU41" s="478"/>
      <c r="IRV41" s="478"/>
      <c r="IRW41" s="478"/>
      <c r="IRX41" s="478"/>
      <c r="IRY41" s="478"/>
      <c r="IRZ41" s="478"/>
      <c r="ISA41" s="478"/>
      <c r="ISB41" s="478"/>
      <c r="ISC41" s="478"/>
      <c r="ISD41" s="478"/>
      <c r="ISE41" s="478"/>
      <c r="ISF41" s="478"/>
      <c r="ISG41" s="478"/>
      <c r="ISH41" s="478"/>
      <c r="ISI41" s="478"/>
      <c r="ISJ41" s="478"/>
      <c r="ISK41" s="478"/>
      <c r="ISL41" s="478"/>
      <c r="ISM41" s="478"/>
      <c r="ISN41" s="478"/>
      <c r="ISO41" s="478"/>
      <c r="ISP41" s="478"/>
      <c r="ISQ41" s="478"/>
      <c r="ISR41" s="478"/>
      <c r="ISS41" s="478"/>
      <c r="IST41" s="478"/>
      <c r="ISU41" s="478"/>
      <c r="ISV41" s="478"/>
      <c r="ISW41" s="478"/>
      <c r="ISX41" s="478"/>
      <c r="ISY41" s="478"/>
      <c r="ISZ41" s="478"/>
      <c r="ITA41" s="478"/>
      <c r="ITB41" s="478"/>
      <c r="ITC41" s="478"/>
      <c r="ITD41" s="478"/>
      <c r="ITE41" s="478"/>
      <c r="ITF41" s="478"/>
      <c r="ITG41" s="478"/>
      <c r="ITH41" s="478"/>
      <c r="ITI41" s="478"/>
      <c r="ITJ41" s="478"/>
      <c r="ITK41" s="478"/>
      <c r="ITL41" s="478"/>
      <c r="ITM41" s="478"/>
      <c r="ITN41" s="478"/>
      <c r="ITO41" s="478"/>
      <c r="ITP41" s="478"/>
      <c r="ITQ41" s="478"/>
      <c r="ITR41" s="478"/>
      <c r="ITS41" s="478"/>
      <c r="ITT41" s="478"/>
      <c r="ITU41" s="478"/>
      <c r="ITV41" s="478"/>
      <c r="ITW41" s="478"/>
      <c r="ITX41" s="478"/>
      <c r="ITY41" s="478"/>
      <c r="ITZ41" s="478"/>
      <c r="IUA41" s="478"/>
      <c r="IUB41" s="478"/>
      <c r="IUC41" s="478"/>
      <c r="IUD41" s="478"/>
      <c r="IUE41" s="478"/>
      <c r="IUF41" s="478"/>
      <c r="IUG41" s="478"/>
      <c r="IUH41" s="478"/>
      <c r="IUI41" s="478"/>
      <c r="IUJ41" s="478"/>
      <c r="IUK41" s="478"/>
      <c r="IUL41" s="478"/>
      <c r="IUM41" s="478"/>
      <c r="IUN41" s="478"/>
      <c r="IUO41" s="478"/>
      <c r="IUP41" s="478"/>
      <c r="IUQ41" s="478"/>
      <c r="IUR41" s="478"/>
      <c r="IUS41" s="478"/>
      <c r="IUT41" s="478"/>
      <c r="IUU41" s="478"/>
      <c r="IUV41" s="478"/>
      <c r="IUW41" s="478"/>
      <c r="IUX41" s="478"/>
      <c r="IUY41" s="478"/>
      <c r="IUZ41" s="478"/>
      <c r="IVA41" s="478"/>
      <c r="IVB41" s="478"/>
      <c r="IVC41" s="478"/>
      <c r="IVD41" s="478"/>
      <c r="IVE41" s="478"/>
      <c r="IVF41" s="478"/>
      <c r="IVG41" s="478"/>
      <c r="IVH41" s="478"/>
      <c r="IVI41" s="478"/>
      <c r="IVJ41" s="478"/>
      <c r="IVK41" s="478"/>
      <c r="IVL41" s="478"/>
      <c r="IVM41" s="478"/>
      <c r="IVN41" s="478"/>
      <c r="IVO41" s="478"/>
      <c r="IVP41" s="478"/>
      <c r="IVQ41" s="478"/>
      <c r="IVR41" s="478"/>
      <c r="IVS41" s="478"/>
      <c r="IVT41" s="478"/>
      <c r="IVU41" s="478"/>
      <c r="IVV41" s="478"/>
      <c r="IVW41" s="478"/>
      <c r="IVX41" s="478"/>
      <c r="IVY41" s="478"/>
      <c r="IVZ41" s="478"/>
      <c r="IWA41" s="478"/>
      <c r="IWB41" s="478"/>
      <c r="IWC41" s="478"/>
      <c r="IWD41" s="478"/>
      <c r="IWE41" s="478"/>
      <c r="IWF41" s="478"/>
      <c r="IWG41" s="478"/>
      <c r="IWH41" s="478"/>
      <c r="IWI41" s="478"/>
      <c r="IWJ41" s="478"/>
      <c r="IWK41" s="478"/>
      <c r="IWL41" s="478"/>
      <c r="IWM41" s="478"/>
      <c r="IWN41" s="478"/>
      <c r="IWO41" s="478"/>
      <c r="IWP41" s="478"/>
      <c r="IWQ41" s="478"/>
      <c r="IWR41" s="478"/>
      <c r="IWS41" s="478"/>
      <c r="IWT41" s="478"/>
      <c r="IWU41" s="478"/>
      <c r="IWV41" s="478"/>
      <c r="IWW41" s="478"/>
      <c r="IWX41" s="478"/>
      <c r="IWY41" s="478"/>
      <c r="IWZ41" s="478"/>
      <c r="IXA41" s="478"/>
      <c r="IXB41" s="478"/>
      <c r="IXC41" s="478"/>
      <c r="IXD41" s="478"/>
      <c r="IXE41" s="478"/>
      <c r="IXF41" s="478"/>
      <c r="IXG41" s="478"/>
      <c r="IXH41" s="478"/>
      <c r="IXI41" s="478"/>
      <c r="IXJ41" s="478"/>
      <c r="IXK41" s="478"/>
      <c r="IXL41" s="478"/>
      <c r="IXM41" s="478"/>
      <c r="IXN41" s="478"/>
      <c r="IXO41" s="478"/>
      <c r="IXP41" s="478"/>
      <c r="IXQ41" s="478"/>
      <c r="IXR41" s="478"/>
      <c r="IXS41" s="478"/>
      <c r="IXT41" s="478"/>
      <c r="IXU41" s="478"/>
      <c r="IXV41" s="478"/>
      <c r="IXW41" s="478"/>
      <c r="IXX41" s="478"/>
      <c r="IXY41" s="478"/>
      <c r="IXZ41" s="478"/>
      <c r="IYA41" s="478"/>
      <c r="IYB41" s="478"/>
      <c r="IYC41" s="478"/>
      <c r="IYD41" s="478"/>
      <c r="IYE41" s="478"/>
      <c r="IYF41" s="478"/>
      <c r="IYG41" s="478"/>
      <c r="IYH41" s="478"/>
      <c r="IYI41" s="478"/>
      <c r="IYJ41" s="478"/>
      <c r="IYK41" s="478"/>
      <c r="IYL41" s="478"/>
      <c r="IYM41" s="478"/>
      <c r="IYN41" s="478"/>
      <c r="IYO41" s="478"/>
      <c r="IYP41" s="478"/>
      <c r="IYQ41" s="478"/>
      <c r="IYR41" s="478"/>
      <c r="IYS41" s="478"/>
      <c r="IYT41" s="478"/>
      <c r="IYU41" s="478"/>
      <c r="IYV41" s="478"/>
      <c r="IYW41" s="478"/>
      <c r="IYX41" s="478"/>
      <c r="IYY41" s="478"/>
      <c r="IYZ41" s="478"/>
      <c r="IZA41" s="478"/>
      <c r="IZB41" s="478"/>
      <c r="IZC41" s="478"/>
      <c r="IZD41" s="478"/>
      <c r="IZE41" s="478"/>
      <c r="IZF41" s="478"/>
      <c r="IZG41" s="478"/>
      <c r="IZH41" s="478"/>
      <c r="IZI41" s="478"/>
      <c r="IZJ41" s="478"/>
      <c r="IZK41" s="478"/>
      <c r="IZL41" s="478"/>
      <c r="IZM41" s="478"/>
      <c r="IZN41" s="478"/>
      <c r="IZO41" s="478"/>
      <c r="IZP41" s="478"/>
      <c r="IZQ41" s="478"/>
      <c r="IZR41" s="478"/>
      <c r="IZS41" s="478"/>
      <c r="IZT41" s="478"/>
      <c r="IZU41" s="478"/>
      <c r="IZV41" s="478"/>
      <c r="IZW41" s="478"/>
      <c r="IZX41" s="478"/>
      <c r="IZY41" s="478"/>
      <c r="IZZ41" s="478"/>
      <c r="JAA41" s="478"/>
      <c r="JAB41" s="478"/>
      <c r="JAC41" s="478"/>
      <c r="JAD41" s="478"/>
      <c r="JAE41" s="478"/>
      <c r="JAF41" s="478"/>
      <c r="JAG41" s="478"/>
      <c r="JAH41" s="478"/>
      <c r="JAI41" s="478"/>
      <c r="JAJ41" s="478"/>
      <c r="JAK41" s="478"/>
      <c r="JAL41" s="478"/>
      <c r="JAM41" s="478"/>
      <c r="JAN41" s="478"/>
      <c r="JAO41" s="478"/>
      <c r="JAP41" s="478"/>
      <c r="JAQ41" s="478"/>
      <c r="JAR41" s="478"/>
      <c r="JAS41" s="478"/>
      <c r="JAT41" s="478"/>
      <c r="JAU41" s="478"/>
      <c r="JAV41" s="478"/>
      <c r="JAW41" s="478"/>
      <c r="JAX41" s="478"/>
      <c r="JAY41" s="478"/>
      <c r="JAZ41" s="478"/>
      <c r="JBA41" s="478"/>
      <c r="JBB41" s="478"/>
      <c r="JBC41" s="478"/>
      <c r="JBD41" s="478"/>
      <c r="JBE41" s="478"/>
      <c r="JBF41" s="478"/>
      <c r="JBG41" s="478"/>
      <c r="JBH41" s="478"/>
      <c r="JBI41" s="478"/>
      <c r="JBJ41" s="478"/>
      <c r="JBK41" s="478"/>
      <c r="JBL41" s="478"/>
      <c r="JBM41" s="478"/>
      <c r="JBN41" s="478"/>
      <c r="JBO41" s="478"/>
      <c r="JBP41" s="478"/>
      <c r="JBQ41" s="478"/>
      <c r="JBR41" s="478"/>
      <c r="JBS41" s="478"/>
      <c r="JBT41" s="478"/>
      <c r="JBU41" s="478"/>
      <c r="JBV41" s="478"/>
      <c r="JBW41" s="478"/>
      <c r="JBX41" s="478"/>
      <c r="JBY41" s="478"/>
      <c r="JBZ41" s="478"/>
      <c r="JCA41" s="478"/>
      <c r="JCB41" s="478"/>
      <c r="JCC41" s="478"/>
      <c r="JCD41" s="478"/>
      <c r="JCE41" s="478"/>
      <c r="JCF41" s="478"/>
      <c r="JCG41" s="478"/>
      <c r="JCH41" s="478"/>
      <c r="JCI41" s="478"/>
      <c r="JCJ41" s="478"/>
      <c r="JCK41" s="478"/>
      <c r="JCL41" s="478"/>
      <c r="JCM41" s="478"/>
      <c r="JCN41" s="478"/>
      <c r="JCO41" s="478"/>
      <c r="JCP41" s="478"/>
      <c r="JCQ41" s="478"/>
      <c r="JCR41" s="478"/>
      <c r="JCS41" s="478"/>
      <c r="JCT41" s="478"/>
      <c r="JCU41" s="478"/>
      <c r="JCV41" s="478"/>
      <c r="JCW41" s="478"/>
      <c r="JCX41" s="478"/>
      <c r="JCY41" s="478"/>
      <c r="JCZ41" s="478"/>
      <c r="JDA41" s="478"/>
      <c r="JDB41" s="478"/>
      <c r="JDC41" s="478"/>
      <c r="JDD41" s="478"/>
      <c r="JDE41" s="478"/>
      <c r="JDF41" s="478"/>
      <c r="JDG41" s="478"/>
      <c r="JDH41" s="478"/>
      <c r="JDI41" s="478"/>
      <c r="JDJ41" s="478"/>
      <c r="JDK41" s="478"/>
      <c r="JDL41" s="478"/>
      <c r="JDM41" s="478"/>
      <c r="JDN41" s="478"/>
      <c r="JDO41" s="478"/>
      <c r="JDP41" s="478"/>
      <c r="JDQ41" s="478"/>
      <c r="JDR41" s="478"/>
      <c r="JDS41" s="478"/>
      <c r="JDT41" s="478"/>
      <c r="JDU41" s="478"/>
      <c r="JDV41" s="478"/>
      <c r="JDW41" s="478"/>
      <c r="JDX41" s="478"/>
      <c r="JDY41" s="478"/>
      <c r="JDZ41" s="478"/>
      <c r="JEA41" s="478"/>
      <c r="JEB41" s="478"/>
      <c r="JEC41" s="478"/>
      <c r="JED41" s="478"/>
      <c r="JEE41" s="478"/>
      <c r="JEF41" s="478"/>
      <c r="JEG41" s="478"/>
      <c r="JEH41" s="478"/>
      <c r="JEI41" s="478"/>
      <c r="JEJ41" s="478"/>
      <c r="JEK41" s="478"/>
      <c r="JEL41" s="478"/>
      <c r="JEM41" s="478"/>
      <c r="JEN41" s="478"/>
      <c r="JEO41" s="478"/>
      <c r="JEP41" s="478"/>
      <c r="JEQ41" s="478"/>
      <c r="JER41" s="478"/>
      <c r="JES41" s="478"/>
      <c r="JET41" s="478"/>
      <c r="JEU41" s="478"/>
      <c r="JEV41" s="478"/>
      <c r="JEW41" s="478"/>
      <c r="JEX41" s="478"/>
      <c r="JEY41" s="478"/>
      <c r="JEZ41" s="478"/>
      <c r="JFA41" s="478"/>
      <c r="JFB41" s="478"/>
      <c r="JFC41" s="478"/>
      <c r="JFD41" s="478"/>
      <c r="JFE41" s="478"/>
      <c r="JFF41" s="478"/>
      <c r="JFG41" s="478"/>
      <c r="JFH41" s="478"/>
      <c r="JFI41" s="478"/>
      <c r="JFJ41" s="478"/>
      <c r="JFK41" s="478"/>
      <c r="JFL41" s="478"/>
      <c r="JFM41" s="478"/>
      <c r="JFN41" s="478"/>
      <c r="JFO41" s="478"/>
      <c r="JFP41" s="478"/>
      <c r="JFQ41" s="478"/>
      <c r="JFR41" s="478"/>
      <c r="JFS41" s="478"/>
      <c r="JFT41" s="478"/>
      <c r="JFU41" s="478"/>
      <c r="JFV41" s="478"/>
      <c r="JFW41" s="478"/>
      <c r="JFX41" s="478"/>
      <c r="JFY41" s="478"/>
      <c r="JFZ41" s="478"/>
      <c r="JGA41" s="478"/>
      <c r="JGB41" s="478"/>
      <c r="JGC41" s="478"/>
      <c r="JGD41" s="478"/>
      <c r="JGE41" s="478"/>
      <c r="JGF41" s="478"/>
      <c r="JGG41" s="478"/>
      <c r="JGH41" s="478"/>
      <c r="JGI41" s="478"/>
      <c r="JGJ41" s="478"/>
      <c r="JGK41" s="478"/>
      <c r="JGL41" s="478"/>
      <c r="JGM41" s="478"/>
      <c r="JGN41" s="478"/>
      <c r="JGO41" s="478"/>
      <c r="JGP41" s="478"/>
      <c r="JGQ41" s="478"/>
      <c r="JGR41" s="478"/>
      <c r="JGS41" s="478"/>
      <c r="JGT41" s="478"/>
      <c r="JGU41" s="478"/>
      <c r="JGV41" s="478"/>
      <c r="JGW41" s="478"/>
      <c r="JGX41" s="478"/>
      <c r="JGY41" s="478"/>
      <c r="JGZ41" s="478"/>
      <c r="JHA41" s="478"/>
      <c r="JHB41" s="478"/>
      <c r="JHC41" s="478"/>
      <c r="JHD41" s="478"/>
      <c r="JHE41" s="478"/>
      <c r="JHF41" s="478"/>
      <c r="JHG41" s="478"/>
      <c r="JHH41" s="478"/>
      <c r="JHI41" s="478"/>
      <c r="JHJ41" s="478"/>
      <c r="JHK41" s="478"/>
      <c r="JHL41" s="478"/>
      <c r="JHM41" s="478"/>
      <c r="JHN41" s="478"/>
      <c r="JHO41" s="478"/>
      <c r="JHP41" s="478"/>
      <c r="JHQ41" s="478"/>
      <c r="JHR41" s="478"/>
      <c r="JHS41" s="478"/>
      <c r="JHT41" s="478"/>
      <c r="JHU41" s="478"/>
      <c r="JHV41" s="478"/>
      <c r="JHW41" s="478"/>
      <c r="JHX41" s="478"/>
      <c r="JHY41" s="478"/>
      <c r="JHZ41" s="478"/>
      <c r="JIA41" s="478"/>
      <c r="JIB41" s="478"/>
      <c r="JIC41" s="478"/>
      <c r="JID41" s="478"/>
      <c r="JIE41" s="478"/>
      <c r="JIF41" s="478"/>
      <c r="JIG41" s="478"/>
      <c r="JIH41" s="478"/>
      <c r="JII41" s="478"/>
      <c r="JIJ41" s="478"/>
      <c r="JIK41" s="478"/>
      <c r="JIL41" s="478"/>
      <c r="JIM41" s="478"/>
      <c r="JIN41" s="478"/>
      <c r="JIO41" s="478"/>
      <c r="JIP41" s="478"/>
      <c r="JIQ41" s="478"/>
      <c r="JIR41" s="478"/>
      <c r="JIS41" s="478"/>
      <c r="JIT41" s="478"/>
      <c r="JIU41" s="478"/>
      <c r="JIV41" s="478"/>
      <c r="JIW41" s="478"/>
      <c r="JIX41" s="478"/>
      <c r="JIY41" s="478"/>
      <c r="JIZ41" s="478"/>
      <c r="JJA41" s="478"/>
      <c r="JJB41" s="478"/>
      <c r="JJC41" s="478"/>
      <c r="JJD41" s="478"/>
      <c r="JJE41" s="478"/>
      <c r="JJF41" s="478"/>
      <c r="JJG41" s="478"/>
      <c r="JJH41" s="478"/>
      <c r="JJI41" s="478"/>
      <c r="JJJ41" s="478"/>
      <c r="JJK41" s="478"/>
      <c r="JJL41" s="478"/>
      <c r="JJM41" s="478"/>
      <c r="JJN41" s="478"/>
      <c r="JJO41" s="478"/>
      <c r="JJP41" s="478"/>
      <c r="JJQ41" s="478"/>
      <c r="JJR41" s="478"/>
      <c r="JJS41" s="478"/>
      <c r="JJT41" s="478"/>
      <c r="JJU41" s="478"/>
      <c r="JJV41" s="478"/>
      <c r="JJW41" s="478"/>
      <c r="JJX41" s="478"/>
      <c r="JJY41" s="478"/>
      <c r="JJZ41" s="478"/>
      <c r="JKA41" s="478"/>
      <c r="JKB41" s="478"/>
      <c r="JKC41" s="478"/>
      <c r="JKD41" s="478"/>
      <c r="JKE41" s="478"/>
      <c r="JKF41" s="478"/>
      <c r="JKG41" s="478"/>
      <c r="JKH41" s="478"/>
      <c r="JKI41" s="478"/>
      <c r="JKJ41" s="478"/>
      <c r="JKK41" s="478"/>
      <c r="JKL41" s="478"/>
      <c r="JKM41" s="478"/>
      <c r="JKN41" s="478"/>
      <c r="JKO41" s="478"/>
      <c r="JKP41" s="478"/>
      <c r="JKQ41" s="478"/>
      <c r="JKR41" s="478"/>
      <c r="JKS41" s="478"/>
      <c r="JKT41" s="478"/>
      <c r="JKU41" s="478"/>
      <c r="JKV41" s="478"/>
      <c r="JKW41" s="478"/>
      <c r="JKX41" s="478"/>
      <c r="JKY41" s="478"/>
      <c r="JKZ41" s="478"/>
      <c r="JLA41" s="478"/>
      <c r="JLB41" s="478"/>
      <c r="JLC41" s="478"/>
      <c r="JLD41" s="478"/>
      <c r="JLE41" s="478"/>
      <c r="JLF41" s="478"/>
      <c r="JLG41" s="478"/>
      <c r="JLH41" s="478"/>
      <c r="JLI41" s="478"/>
      <c r="JLJ41" s="478"/>
      <c r="JLK41" s="478"/>
      <c r="JLL41" s="478"/>
      <c r="JLM41" s="478"/>
      <c r="JLN41" s="478"/>
      <c r="JLO41" s="478"/>
      <c r="JLP41" s="478"/>
      <c r="JLQ41" s="478"/>
      <c r="JLR41" s="478"/>
      <c r="JLS41" s="478"/>
      <c r="JLT41" s="478"/>
      <c r="JLU41" s="478"/>
      <c r="JLV41" s="478"/>
      <c r="JLW41" s="478"/>
      <c r="JLX41" s="478"/>
      <c r="JLY41" s="478"/>
      <c r="JLZ41" s="478"/>
      <c r="JMA41" s="478"/>
      <c r="JMB41" s="478"/>
      <c r="JMC41" s="478"/>
      <c r="JMD41" s="478"/>
      <c r="JME41" s="478"/>
      <c r="JMF41" s="478"/>
      <c r="JMG41" s="478"/>
      <c r="JMH41" s="478"/>
      <c r="JMI41" s="478"/>
      <c r="JMJ41" s="478"/>
      <c r="JMK41" s="478"/>
      <c r="JML41" s="478"/>
      <c r="JMM41" s="478"/>
      <c r="JMN41" s="478"/>
      <c r="JMO41" s="478"/>
      <c r="JMP41" s="478"/>
      <c r="JMQ41" s="478"/>
      <c r="JMR41" s="478"/>
      <c r="JMS41" s="478"/>
      <c r="JMT41" s="478"/>
      <c r="JMU41" s="478"/>
      <c r="JMV41" s="478"/>
      <c r="JMW41" s="478"/>
      <c r="JMX41" s="478"/>
      <c r="JMY41" s="478"/>
      <c r="JMZ41" s="478"/>
      <c r="JNA41" s="478"/>
      <c r="JNB41" s="478"/>
      <c r="JNC41" s="478"/>
      <c r="JND41" s="478"/>
      <c r="JNE41" s="478"/>
      <c r="JNF41" s="478"/>
      <c r="JNG41" s="478"/>
      <c r="JNH41" s="478"/>
      <c r="JNI41" s="478"/>
      <c r="JNJ41" s="478"/>
      <c r="JNK41" s="478"/>
      <c r="JNL41" s="478"/>
      <c r="JNM41" s="478"/>
      <c r="JNN41" s="478"/>
      <c r="JNO41" s="478"/>
      <c r="JNP41" s="478"/>
      <c r="JNQ41" s="478"/>
      <c r="JNR41" s="478"/>
      <c r="JNS41" s="478"/>
      <c r="JNT41" s="478"/>
      <c r="JNU41" s="478"/>
      <c r="JNV41" s="478"/>
      <c r="JNW41" s="478"/>
      <c r="JNX41" s="478"/>
      <c r="JNY41" s="478"/>
      <c r="JNZ41" s="478"/>
      <c r="JOA41" s="478"/>
      <c r="JOB41" s="478"/>
      <c r="JOC41" s="478"/>
      <c r="JOD41" s="478"/>
      <c r="JOE41" s="478"/>
      <c r="JOF41" s="478"/>
      <c r="JOG41" s="478"/>
      <c r="JOH41" s="478"/>
      <c r="JOI41" s="478"/>
      <c r="JOJ41" s="478"/>
      <c r="JOK41" s="478"/>
      <c r="JOL41" s="478"/>
      <c r="JOM41" s="478"/>
      <c r="JON41" s="478"/>
      <c r="JOO41" s="478"/>
      <c r="JOP41" s="478"/>
      <c r="JOQ41" s="478"/>
      <c r="JOR41" s="478"/>
      <c r="JOS41" s="478"/>
      <c r="JOT41" s="478"/>
      <c r="JOU41" s="478"/>
      <c r="JOV41" s="478"/>
      <c r="JOW41" s="478"/>
      <c r="JOX41" s="478"/>
      <c r="JOY41" s="478"/>
      <c r="JOZ41" s="478"/>
      <c r="JPA41" s="478"/>
      <c r="JPB41" s="478"/>
      <c r="JPC41" s="478"/>
      <c r="JPD41" s="478"/>
      <c r="JPE41" s="478"/>
      <c r="JPF41" s="478"/>
      <c r="JPG41" s="478"/>
      <c r="JPH41" s="478"/>
      <c r="JPI41" s="478"/>
      <c r="JPJ41" s="478"/>
      <c r="JPK41" s="478"/>
      <c r="JPL41" s="478"/>
      <c r="JPM41" s="478"/>
      <c r="JPN41" s="478"/>
      <c r="JPO41" s="478"/>
      <c r="JPP41" s="478"/>
      <c r="JPQ41" s="478"/>
      <c r="JPR41" s="478"/>
      <c r="JPS41" s="478"/>
      <c r="JPT41" s="478"/>
      <c r="JPU41" s="478"/>
      <c r="JPV41" s="478"/>
      <c r="JPW41" s="478"/>
      <c r="JPX41" s="478"/>
      <c r="JPY41" s="478"/>
      <c r="JPZ41" s="478"/>
      <c r="JQA41" s="478"/>
      <c r="JQB41" s="478"/>
      <c r="JQC41" s="478"/>
      <c r="JQD41" s="478"/>
      <c r="JQE41" s="478"/>
      <c r="JQF41" s="478"/>
      <c r="JQG41" s="478"/>
      <c r="JQH41" s="478"/>
      <c r="JQI41" s="478"/>
      <c r="JQJ41" s="478"/>
      <c r="JQK41" s="478"/>
      <c r="JQL41" s="478"/>
      <c r="JQM41" s="478"/>
      <c r="JQN41" s="478"/>
      <c r="JQO41" s="478"/>
      <c r="JQP41" s="478"/>
      <c r="JQQ41" s="478"/>
      <c r="JQR41" s="478"/>
      <c r="JQS41" s="478"/>
      <c r="JQT41" s="478"/>
      <c r="JQU41" s="478"/>
      <c r="JQV41" s="478"/>
      <c r="JQW41" s="478"/>
      <c r="JQX41" s="478"/>
      <c r="JQY41" s="478"/>
      <c r="JQZ41" s="478"/>
      <c r="JRA41" s="478"/>
      <c r="JRB41" s="478"/>
      <c r="JRC41" s="478"/>
      <c r="JRD41" s="478"/>
      <c r="JRE41" s="478"/>
      <c r="JRF41" s="478"/>
      <c r="JRG41" s="478"/>
      <c r="JRH41" s="478"/>
      <c r="JRI41" s="478"/>
      <c r="JRJ41" s="478"/>
      <c r="JRK41" s="478"/>
      <c r="JRL41" s="478"/>
      <c r="JRM41" s="478"/>
      <c r="JRN41" s="478"/>
      <c r="JRO41" s="478"/>
      <c r="JRP41" s="478"/>
      <c r="JRQ41" s="478"/>
      <c r="JRR41" s="478"/>
      <c r="JRS41" s="478"/>
      <c r="JRT41" s="478"/>
      <c r="JRU41" s="478"/>
      <c r="JRV41" s="478"/>
      <c r="JRW41" s="478"/>
      <c r="JRX41" s="478"/>
      <c r="JRY41" s="478"/>
      <c r="JRZ41" s="478"/>
      <c r="JSA41" s="478"/>
      <c r="JSB41" s="478"/>
      <c r="JSC41" s="478"/>
      <c r="JSD41" s="478"/>
      <c r="JSE41" s="478"/>
      <c r="JSF41" s="478"/>
      <c r="JSG41" s="478"/>
      <c r="JSH41" s="478"/>
      <c r="JSI41" s="478"/>
      <c r="JSJ41" s="478"/>
      <c r="JSK41" s="478"/>
      <c r="JSL41" s="478"/>
      <c r="JSM41" s="478"/>
      <c r="JSN41" s="478"/>
      <c r="JSO41" s="478"/>
      <c r="JSP41" s="478"/>
      <c r="JSQ41" s="478"/>
      <c r="JSR41" s="478"/>
      <c r="JSS41" s="478"/>
      <c r="JST41" s="478"/>
      <c r="JSU41" s="478"/>
      <c r="JSV41" s="478"/>
      <c r="JSW41" s="478"/>
      <c r="JSX41" s="478"/>
      <c r="JSY41" s="478"/>
      <c r="JSZ41" s="478"/>
      <c r="JTA41" s="478"/>
      <c r="JTB41" s="478"/>
      <c r="JTC41" s="478"/>
      <c r="JTD41" s="478"/>
      <c r="JTE41" s="478"/>
      <c r="JTF41" s="478"/>
      <c r="JTG41" s="478"/>
      <c r="JTH41" s="478"/>
      <c r="JTI41" s="478"/>
      <c r="JTJ41" s="478"/>
      <c r="JTK41" s="478"/>
      <c r="JTL41" s="478"/>
      <c r="JTM41" s="478"/>
      <c r="JTN41" s="478"/>
      <c r="JTO41" s="478"/>
      <c r="JTP41" s="478"/>
      <c r="JTQ41" s="478"/>
      <c r="JTR41" s="478"/>
      <c r="JTS41" s="478"/>
      <c r="JTT41" s="478"/>
      <c r="JTU41" s="478"/>
      <c r="JTV41" s="478"/>
      <c r="JTW41" s="478"/>
      <c r="JTX41" s="478"/>
      <c r="JTY41" s="478"/>
      <c r="JTZ41" s="478"/>
      <c r="JUA41" s="478"/>
      <c r="JUB41" s="478"/>
      <c r="JUC41" s="478"/>
      <c r="JUD41" s="478"/>
      <c r="JUE41" s="478"/>
      <c r="JUF41" s="478"/>
      <c r="JUG41" s="478"/>
      <c r="JUH41" s="478"/>
      <c r="JUI41" s="478"/>
      <c r="JUJ41" s="478"/>
      <c r="JUK41" s="478"/>
      <c r="JUL41" s="478"/>
      <c r="JUM41" s="478"/>
      <c r="JUN41" s="478"/>
      <c r="JUO41" s="478"/>
      <c r="JUP41" s="478"/>
      <c r="JUQ41" s="478"/>
      <c r="JUR41" s="478"/>
      <c r="JUS41" s="478"/>
      <c r="JUT41" s="478"/>
      <c r="JUU41" s="478"/>
      <c r="JUV41" s="478"/>
      <c r="JUW41" s="478"/>
      <c r="JUX41" s="478"/>
      <c r="JUY41" s="478"/>
      <c r="JUZ41" s="478"/>
      <c r="JVA41" s="478"/>
      <c r="JVB41" s="478"/>
      <c r="JVC41" s="478"/>
      <c r="JVD41" s="478"/>
      <c r="JVE41" s="478"/>
      <c r="JVF41" s="478"/>
      <c r="JVG41" s="478"/>
      <c r="JVH41" s="478"/>
      <c r="JVI41" s="478"/>
      <c r="JVJ41" s="478"/>
      <c r="JVK41" s="478"/>
      <c r="JVL41" s="478"/>
      <c r="JVM41" s="478"/>
      <c r="JVN41" s="478"/>
      <c r="JVO41" s="478"/>
      <c r="JVP41" s="478"/>
      <c r="JVQ41" s="478"/>
      <c r="JVR41" s="478"/>
      <c r="JVS41" s="478"/>
      <c r="JVT41" s="478"/>
      <c r="JVU41" s="478"/>
      <c r="JVV41" s="478"/>
      <c r="JVW41" s="478"/>
      <c r="JVX41" s="478"/>
      <c r="JVY41" s="478"/>
      <c r="JVZ41" s="478"/>
      <c r="JWA41" s="478"/>
      <c r="JWB41" s="478"/>
      <c r="JWC41" s="478"/>
      <c r="JWD41" s="478"/>
      <c r="JWE41" s="478"/>
      <c r="JWF41" s="478"/>
      <c r="JWG41" s="478"/>
      <c r="JWH41" s="478"/>
      <c r="JWI41" s="478"/>
      <c r="JWJ41" s="478"/>
      <c r="JWK41" s="478"/>
      <c r="JWL41" s="478"/>
      <c r="JWM41" s="478"/>
      <c r="JWN41" s="478"/>
      <c r="JWO41" s="478"/>
      <c r="JWP41" s="478"/>
      <c r="JWQ41" s="478"/>
      <c r="JWR41" s="478"/>
      <c r="JWS41" s="478"/>
      <c r="JWT41" s="478"/>
      <c r="JWU41" s="478"/>
      <c r="JWV41" s="478"/>
      <c r="JWW41" s="478"/>
      <c r="JWX41" s="478"/>
      <c r="JWY41" s="478"/>
      <c r="JWZ41" s="478"/>
      <c r="JXA41" s="478"/>
      <c r="JXB41" s="478"/>
      <c r="JXC41" s="478"/>
      <c r="JXD41" s="478"/>
      <c r="JXE41" s="478"/>
      <c r="JXF41" s="478"/>
      <c r="JXG41" s="478"/>
      <c r="JXH41" s="478"/>
      <c r="JXI41" s="478"/>
      <c r="JXJ41" s="478"/>
      <c r="JXK41" s="478"/>
      <c r="JXL41" s="478"/>
      <c r="JXM41" s="478"/>
      <c r="JXN41" s="478"/>
      <c r="JXO41" s="478"/>
      <c r="JXP41" s="478"/>
      <c r="JXQ41" s="478"/>
      <c r="JXR41" s="478"/>
      <c r="JXS41" s="478"/>
      <c r="JXT41" s="478"/>
      <c r="JXU41" s="478"/>
      <c r="JXV41" s="478"/>
      <c r="JXW41" s="478"/>
      <c r="JXX41" s="478"/>
      <c r="JXY41" s="478"/>
      <c r="JXZ41" s="478"/>
      <c r="JYA41" s="478"/>
      <c r="JYB41" s="478"/>
      <c r="JYC41" s="478"/>
      <c r="JYD41" s="478"/>
      <c r="JYE41" s="478"/>
      <c r="JYF41" s="478"/>
      <c r="JYG41" s="478"/>
      <c r="JYH41" s="478"/>
      <c r="JYI41" s="478"/>
      <c r="JYJ41" s="478"/>
      <c r="JYK41" s="478"/>
      <c r="JYL41" s="478"/>
      <c r="JYM41" s="478"/>
      <c r="JYN41" s="478"/>
      <c r="JYO41" s="478"/>
      <c r="JYP41" s="478"/>
      <c r="JYQ41" s="478"/>
      <c r="JYR41" s="478"/>
      <c r="JYS41" s="478"/>
      <c r="JYT41" s="478"/>
      <c r="JYU41" s="478"/>
      <c r="JYV41" s="478"/>
      <c r="JYW41" s="478"/>
      <c r="JYX41" s="478"/>
      <c r="JYY41" s="478"/>
      <c r="JYZ41" s="478"/>
      <c r="JZA41" s="478"/>
      <c r="JZB41" s="478"/>
      <c r="JZC41" s="478"/>
      <c r="JZD41" s="478"/>
      <c r="JZE41" s="478"/>
      <c r="JZF41" s="478"/>
      <c r="JZG41" s="478"/>
      <c r="JZH41" s="478"/>
      <c r="JZI41" s="478"/>
      <c r="JZJ41" s="478"/>
      <c r="JZK41" s="478"/>
      <c r="JZL41" s="478"/>
      <c r="JZM41" s="478"/>
      <c r="JZN41" s="478"/>
      <c r="JZO41" s="478"/>
      <c r="JZP41" s="478"/>
      <c r="JZQ41" s="478"/>
      <c r="JZR41" s="478"/>
      <c r="JZS41" s="478"/>
      <c r="JZT41" s="478"/>
      <c r="JZU41" s="478"/>
      <c r="JZV41" s="478"/>
      <c r="JZW41" s="478"/>
      <c r="JZX41" s="478"/>
      <c r="JZY41" s="478"/>
      <c r="JZZ41" s="478"/>
      <c r="KAA41" s="478"/>
      <c r="KAB41" s="478"/>
      <c r="KAC41" s="478"/>
      <c r="KAD41" s="478"/>
      <c r="KAE41" s="478"/>
      <c r="KAF41" s="478"/>
      <c r="KAG41" s="478"/>
      <c r="KAH41" s="478"/>
      <c r="KAI41" s="478"/>
      <c r="KAJ41" s="478"/>
      <c r="KAK41" s="478"/>
      <c r="KAL41" s="478"/>
      <c r="KAM41" s="478"/>
      <c r="KAN41" s="478"/>
      <c r="KAO41" s="478"/>
      <c r="KAP41" s="478"/>
      <c r="KAQ41" s="478"/>
      <c r="KAR41" s="478"/>
      <c r="KAS41" s="478"/>
      <c r="KAT41" s="478"/>
      <c r="KAU41" s="478"/>
      <c r="KAV41" s="478"/>
      <c r="KAW41" s="478"/>
      <c r="KAX41" s="478"/>
      <c r="KAY41" s="478"/>
      <c r="KAZ41" s="478"/>
      <c r="KBA41" s="478"/>
      <c r="KBB41" s="478"/>
      <c r="KBC41" s="478"/>
      <c r="KBD41" s="478"/>
      <c r="KBE41" s="478"/>
      <c r="KBF41" s="478"/>
      <c r="KBG41" s="478"/>
      <c r="KBH41" s="478"/>
      <c r="KBI41" s="478"/>
      <c r="KBJ41" s="478"/>
      <c r="KBK41" s="478"/>
      <c r="KBL41" s="478"/>
      <c r="KBM41" s="478"/>
      <c r="KBN41" s="478"/>
      <c r="KBO41" s="478"/>
      <c r="KBP41" s="478"/>
      <c r="KBQ41" s="478"/>
      <c r="KBR41" s="478"/>
      <c r="KBS41" s="478"/>
      <c r="KBT41" s="478"/>
      <c r="KBU41" s="478"/>
      <c r="KBV41" s="478"/>
      <c r="KBW41" s="478"/>
      <c r="KBX41" s="478"/>
      <c r="KBY41" s="478"/>
      <c r="KBZ41" s="478"/>
      <c r="KCA41" s="478"/>
      <c r="KCB41" s="478"/>
      <c r="KCC41" s="478"/>
      <c r="KCD41" s="478"/>
      <c r="KCE41" s="478"/>
      <c r="KCF41" s="478"/>
      <c r="KCG41" s="478"/>
      <c r="KCH41" s="478"/>
      <c r="KCI41" s="478"/>
      <c r="KCJ41" s="478"/>
      <c r="KCK41" s="478"/>
      <c r="KCL41" s="478"/>
      <c r="KCM41" s="478"/>
      <c r="KCN41" s="478"/>
      <c r="KCO41" s="478"/>
      <c r="KCP41" s="478"/>
      <c r="KCQ41" s="478"/>
      <c r="KCR41" s="478"/>
      <c r="KCS41" s="478"/>
      <c r="KCT41" s="478"/>
      <c r="KCU41" s="478"/>
      <c r="KCV41" s="478"/>
      <c r="KCW41" s="478"/>
      <c r="KCX41" s="478"/>
      <c r="KCY41" s="478"/>
      <c r="KCZ41" s="478"/>
      <c r="KDA41" s="478"/>
      <c r="KDB41" s="478"/>
      <c r="KDC41" s="478"/>
      <c r="KDD41" s="478"/>
      <c r="KDE41" s="478"/>
      <c r="KDF41" s="478"/>
      <c r="KDG41" s="478"/>
      <c r="KDH41" s="478"/>
      <c r="KDI41" s="478"/>
      <c r="KDJ41" s="478"/>
      <c r="KDK41" s="478"/>
      <c r="KDL41" s="478"/>
      <c r="KDM41" s="478"/>
      <c r="KDN41" s="478"/>
      <c r="KDO41" s="478"/>
      <c r="KDP41" s="478"/>
      <c r="KDQ41" s="478"/>
      <c r="KDR41" s="478"/>
      <c r="KDS41" s="478"/>
      <c r="KDT41" s="478"/>
      <c r="KDU41" s="478"/>
      <c r="KDV41" s="478"/>
      <c r="KDW41" s="478"/>
      <c r="KDX41" s="478"/>
      <c r="KDY41" s="478"/>
      <c r="KDZ41" s="478"/>
      <c r="KEA41" s="478"/>
      <c r="KEB41" s="478"/>
      <c r="KEC41" s="478"/>
      <c r="KED41" s="478"/>
      <c r="KEE41" s="478"/>
      <c r="KEF41" s="478"/>
      <c r="KEG41" s="478"/>
      <c r="KEH41" s="478"/>
      <c r="KEI41" s="478"/>
      <c r="KEJ41" s="478"/>
      <c r="KEK41" s="478"/>
      <c r="KEL41" s="478"/>
      <c r="KEM41" s="478"/>
      <c r="KEN41" s="478"/>
      <c r="KEO41" s="478"/>
      <c r="KEP41" s="478"/>
      <c r="KEQ41" s="478"/>
      <c r="KER41" s="478"/>
      <c r="KES41" s="478"/>
      <c r="KET41" s="478"/>
      <c r="KEU41" s="478"/>
      <c r="KEV41" s="478"/>
      <c r="KEW41" s="478"/>
      <c r="KEX41" s="478"/>
      <c r="KEY41" s="478"/>
      <c r="KEZ41" s="478"/>
      <c r="KFA41" s="478"/>
      <c r="KFB41" s="478"/>
      <c r="KFC41" s="478"/>
      <c r="KFD41" s="478"/>
      <c r="KFE41" s="478"/>
      <c r="KFF41" s="478"/>
      <c r="KFG41" s="478"/>
      <c r="KFH41" s="478"/>
      <c r="KFI41" s="478"/>
      <c r="KFJ41" s="478"/>
      <c r="KFK41" s="478"/>
      <c r="KFL41" s="478"/>
      <c r="KFM41" s="478"/>
      <c r="KFN41" s="478"/>
      <c r="KFO41" s="478"/>
      <c r="KFP41" s="478"/>
      <c r="KFQ41" s="478"/>
      <c r="KFR41" s="478"/>
      <c r="KFS41" s="478"/>
      <c r="KFT41" s="478"/>
      <c r="KFU41" s="478"/>
      <c r="KFV41" s="478"/>
      <c r="KFW41" s="478"/>
      <c r="KFX41" s="478"/>
      <c r="KFY41" s="478"/>
      <c r="KFZ41" s="478"/>
      <c r="KGA41" s="478"/>
      <c r="KGB41" s="478"/>
      <c r="KGC41" s="478"/>
      <c r="KGD41" s="478"/>
      <c r="KGE41" s="478"/>
      <c r="KGF41" s="478"/>
      <c r="KGG41" s="478"/>
      <c r="KGH41" s="478"/>
      <c r="KGI41" s="478"/>
      <c r="KGJ41" s="478"/>
      <c r="KGK41" s="478"/>
      <c r="KGL41" s="478"/>
      <c r="KGM41" s="478"/>
      <c r="KGN41" s="478"/>
      <c r="KGO41" s="478"/>
      <c r="KGP41" s="478"/>
      <c r="KGQ41" s="478"/>
      <c r="KGR41" s="478"/>
      <c r="KGS41" s="478"/>
      <c r="KGT41" s="478"/>
      <c r="KGU41" s="478"/>
      <c r="KGV41" s="478"/>
      <c r="KGW41" s="478"/>
      <c r="KGX41" s="478"/>
      <c r="KGY41" s="478"/>
      <c r="KGZ41" s="478"/>
      <c r="KHA41" s="478"/>
      <c r="KHB41" s="478"/>
      <c r="KHC41" s="478"/>
      <c r="KHD41" s="478"/>
      <c r="KHE41" s="478"/>
      <c r="KHF41" s="478"/>
      <c r="KHG41" s="478"/>
      <c r="KHH41" s="478"/>
      <c r="KHI41" s="478"/>
      <c r="KHJ41" s="478"/>
      <c r="KHK41" s="478"/>
      <c r="KHL41" s="478"/>
      <c r="KHM41" s="478"/>
      <c r="KHN41" s="478"/>
      <c r="KHO41" s="478"/>
      <c r="KHP41" s="478"/>
      <c r="KHQ41" s="478"/>
      <c r="KHR41" s="478"/>
      <c r="KHS41" s="478"/>
      <c r="KHT41" s="478"/>
      <c r="KHU41" s="478"/>
      <c r="KHV41" s="478"/>
      <c r="KHW41" s="478"/>
      <c r="KHX41" s="478"/>
      <c r="KHY41" s="478"/>
      <c r="KHZ41" s="478"/>
      <c r="KIA41" s="478"/>
      <c r="KIB41" s="478"/>
      <c r="KIC41" s="478"/>
      <c r="KID41" s="478"/>
      <c r="KIE41" s="478"/>
      <c r="KIF41" s="478"/>
      <c r="KIG41" s="478"/>
      <c r="KIH41" s="478"/>
      <c r="KII41" s="478"/>
      <c r="KIJ41" s="478"/>
      <c r="KIK41" s="478"/>
      <c r="KIL41" s="478"/>
      <c r="KIM41" s="478"/>
      <c r="KIN41" s="478"/>
      <c r="KIO41" s="478"/>
      <c r="KIP41" s="478"/>
      <c r="KIQ41" s="478"/>
      <c r="KIR41" s="478"/>
      <c r="KIS41" s="478"/>
      <c r="KIT41" s="478"/>
      <c r="KIU41" s="478"/>
      <c r="KIV41" s="478"/>
      <c r="KIW41" s="478"/>
      <c r="KIX41" s="478"/>
      <c r="KIY41" s="478"/>
      <c r="KIZ41" s="478"/>
      <c r="KJA41" s="478"/>
      <c r="KJB41" s="478"/>
      <c r="KJC41" s="478"/>
      <c r="KJD41" s="478"/>
      <c r="KJE41" s="478"/>
      <c r="KJF41" s="478"/>
      <c r="KJG41" s="478"/>
      <c r="KJH41" s="478"/>
      <c r="KJI41" s="478"/>
      <c r="KJJ41" s="478"/>
      <c r="KJK41" s="478"/>
      <c r="KJL41" s="478"/>
      <c r="KJM41" s="478"/>
      <c r="KJN41" s="478"/>
      <c r="KJO41" s="478"/>
      <c r="KJP41" s="478"/>
      <c r="KJQ41" s="478"/>
      <c r="KJR41" s="478"/>
      <c r="KJS41" s="478"/>
      <c r="KJT41" s="478"/>
      <c r="KJU41" s="478"/>
      <c r="KJV41" s="478"/>
      <c r="KJW41" s="478"/>
      <c r="KJX41" s="478"/>
      <c r="KJY41" s="478"/>
      <c r="KJZ41" s="478"/>
      <c r="KKA41" s="478"/>
      <c r="KKB41" s="478"/>
      <c r="KKC41" s="478"/>
      <c r="KKD41" s="478"/>
      <c r="KKE41" s="478"/>
      <c r="KKF41" s="478"/>
      <c r="KKG41" s="478"/>
      <c r="KKH41" s="478"/>
      <c r="KKI41" s="478"/>
      <c r="KKJ41" s="478"/>
      <c r="KKK41" s="478"/>
      <c r="KKL41" s="478"/>
      <c r="KKM41" s="478"/>
      <c r="KKN41" s="478"/>
      <c r="KKO41" s="478"/>
      <c r="KKP41" s="478"/>
      <c r="KKQ41" s="478"/>
      <c r="KKR41" s="478"/>
      <c r="KKS41" s="478"/>
      <c r="KKT41" s="478"/>
      <c r="KKU41" s="478"/>
      <c r="KKV41" s="478"/>
      <c r="KKW41" s="478"/>
      <c r="KKX41" s="478"/>
      <c r="KKY41" s="478"/>
      <c r="KKZ41" s="478"/>
      <c r="KLA41" s="478"/>
      <c r="KLB41" s="478"/>
      <c r="KLC41" s="478"/>
      <c r="KLD41" s="478"/>
      <c r="KLE41" s="478"/>
      <c r="KLF41" s="478"/>
      <c r="KLG41" s="478"/>
      <c r="KLH41" s="478"/>
      <c r="KLI41" s="478"/>
      <c r="KLJ41" s="478"/>
      <c r="KLK41" s="478"/>
      <c r="KLL41" s="478"/>
      <c r="KLM41" s="478"/>
      <c r="KLN41" s="478"/>
      <c r="KLO41" s="478"/>
      <c r="KLP41" s="478"/>
      <c r="KLQ41" s="478"/>
      <c r="KLR41" s="478"/>
      <c r="KLS41" s="478"/>
      <c r="KLT41" s="478"/>
      <c r="KLU41" s="478"/>
      <c r="KLV41" s="478"/>
      <c r="KLW41" s="478"/>
      <c r="KLX41" s="478"/>
      <c r="KLY41" s="478"/>
      <c r="KLZ41" s="478"/>
      <c r="KMA41" s="478"/>
      <c r="KMB41" s="478"/>
      <c r="KMC41" s="478"/>
      <c r="KMD41" s="478"/>
      <c r="KME41" s="478"/>
      <c r="KMF41" s="478"/>
      <c r="KMG41" s="478"/>
      <c r="KMH41" s="478"/>
      <c r="KMI41" s="478"/>
      <c r="KMJ41" s="478"/>
      <c r="KMK41" s="478"/>
      <c r="KML41" s="478"/>
      <c r="KMM41" s="478"/>
      <c r="KMN41" s="478"/>
      <c r="KMO41" s="478"/>
      <c r="KMP41" s="478"/>
      <c r="KMQ41" s="478"/>
      <c r="KMR41" s="478"/>
      <c r="KMS41" s="478"/>
      <c r="KMT41" s="478"/>
      <c r="KMU41" s="478"/>
      <c r="KMV41" s="478"/>
      <c r="KMW41" s="478"/>
      <c r="KMX41" s="478"/>
      <c r="KMY41" s="478"/>
      <c r="KMZ41" s="478"/>
      <c r="KNA41" s="478"/>
      <c r="KNB41" s="478"/>
      <c r="KNC41" s="478"/>
      <c r="KND41" s="478"/>
      <c r="KNE41" s="478"/>
      <c r="KNF41" s="478"/>
      <c r="KNG41" s="478"/>
      <c r="KNH41" s="478"/>
      <c r="KNI41" s="478"/>
      <c r="KNJ41" s="478"/>
      <c r="KNK41" s="478"/>
      <c r="KNL41" s="478"/>
      <c r="KNM41" s="478"/>
      <c r="KNN41" s="478"/>
      <c r="KNO41" s="478"/>
      <c r="KNP41" s="478"/>
      <c r="KNQ41" s="478"/>
      <c r="KNR41" s="478"/>
      <c r="KNS41" s="478"/>
      <c r="KNT41" s="478"/>
      <c r="KNU41" s="478"/>
      <c r="KNV41" s="478"/>
      <c r="KNW41" s="478"/>
      <c r="KNX41" s="478"/>
      <c r="KNY41" s="478"/>
      <c r="KNZ41" s="478"/>
      <c r="KOA41" s="478"/>
      <c r="KOB41" s="478"/>
      <c r="KOC41" s="478"/>
      <c r="KOD41" s="478"/>
      <c r="KOE41" s="478"/>
      <c r="KOF41" s="478"/>
      <c r="KOG41" s="478"/>
      <c r="KOH41" s="478"/>
      <c r="KOI41" s="478"/>
      <c r="KOJ41" s="478"/>
      <c r="KOK41" s="478"/>
      <c r="KOL41" s="478"/>
      <c r="KOM41" s="478"/>
      <c r="KON41" s="478"/>
      <c r="KOO41" s="478"/>
      <c r="KOP41" s="478"/>
      <c r="KOQ41" s="478"/>
      <c r="KOR41" s="478"/>
      <c r="KOS41" s="478"/>
      <c r="KOT41" s="478"/>
      <c r="KOU41" s="478"/>
      <c r="KOV41" s="478"/>
      <c r="KOW41" s="478"/>
      <c r="KOX41" s="478"/>
      <c r="KOY41" s="478"/>
      <c r="KOZ41" s="478"/>
      <c r="KPA41" s="478"/>
      <c r="KPB41" s="478"/>
      <c r="KPC41" s="478"/>
      <c r="KPD41" s="478"/>
      <c r="KPE41" s="478"/>
      <c r="KPF41" s="478"/>
      <c r="KPG41" s="478"/>
      <c r="KPH41" s="478"/>
      <c r="KPI41" s="478"/>
      <c r="KPJ41" s="478"/>
      <c r="KPK41" s="478"/>
      <c r="KPL41" s="478"/>
      <c r="KPM41" s="478"/>
      <c r="KPN41" s="478"/>
      <c r="KPO41" s="478"/>
      <c r="KPP41" s="478"/>
      <c r="KPQ41" s="478"/>
      <c r="KPR41" s="478"/>
      <c r="KPS41" s="478"/>
      <c r="KPT41" s="478"/>
      <c r="KPU41" s="478"/>
      <c r="KPV41" s="478"/>
      <c r="KPW41" s="478"/>
      <c r="KPX41" s="478"/>
      <c r="KPY41" s="478"/>
      <c r="KPZ41" s="478"/>
      <c r="KQA41" s="478"/>
      <c r="KQB41" s="478"/>
      <c r="KQC41" s="478"/>
      <c r="KQD41" s="478"/>
      <c r="KQE41" s="478"/>
      <c r="KQF41" s="478"/>
      <c r="KQG41" s="478"/>
      <c r="KQH41" s="478"/>
      <c r="KQI41" s="478"/>
      <c r="KQJ41" s="478"/>
      <c r="KQK41" s="478"/>
      <c r="KQL41" s="478"/>
      <c r="KQM41" s="478"/>
      <c r="KQN41" s="478"/>
      <c r="KQO41" s="478"/>
      <c r="KQP41" s="478"/>
      <c r="KQQ41" s="478"/>
      <c r="KQR41" s="478"/>
      <c r="KQS41" s="478"/>
      <c r="KQT41" s="478"/>
      <c r="KQU41" s="478"/>
      <c r="KQV41" s="478"/>
      <c r="KQW41" s="478"/>
      <c r="KQX41" s="478"/>
      <c r="KQY41" s="478"/>
      <c r="KQZ41" s="478"/>
      <c r="KRA41" s="478"/>
      <c r="KRB41" s="478"/>
      <c r="KRC41" s="478"/>
      <c r="KRD41" s="478"/>
      <c r="KRE41" s="478"/>
      <c r="KRF41" s="478"/>
      <c r="KRG41" s="478"/>
      <c r="KRH41" s="478"/>
      <c r="KRI41" s="478"/>
      <c r="KRJ41" s="478"/>
      <c r="KRK41" s="478"/>
      <c r="KRL41" s="478"/>
      <c r="KRM41" s="478"/>
      <c r="KRN41" s="478"/>
      <c r="KRO41" s="478"/>
      <c r="KRP41" s="478"/>
      <c r="KRQ41" s="478"/>
      <c r="KRR41" s="478"/>
      <c r="KRS41" s="478"/>
      <c r="KRT41" s="478"/>
      <c r="KRU41" s="478"/>
      <c r="KRV41" s="478"/>
      <c r="KRW41" s="478"/>
      <c r="KRX41" s="478"/>
      <c r="KRY41" s="478"/>
      <c r="KRZ41" s="478"/>
      <c r="KSA41" s="478"/>
      <c r="KSB41" s="478"/>
      <c r="KSC41" s="478"/>
      <c r="KSD41" s="478"/>
      <c r="KSE41" s="478"/>
      <c r="KSF41" s="478"/>
      <c r="KSG41" s="478"/>
      <c r="KSH41" s="478"/>
      <c r="KSI41" s="478"/>
      <c r="KSJ41" s="478"/>
      <c r="KSK41" s="478"/>
      <c r="KSL41" s="478"/>
      <c r="KSM41" s="478"/>
      <c r="KSN41" s="478"/>
      <c r="KSO41" s="478"/>
      <c r="KSP41" s="478"/>
      <c r="KSQ41" s="478"/>
      <c r="KSR41" s="478"/>
      <c r="KSS41" s="478"/>
      <c r="KST41" s="478"/>
      <c r="KSU41" s="478"/>
      <c r="KSV41" s="478"/>
      <c r="KSW41" s="478"/>
      <c r="KSX41" s="478"/>
      <c r="KSY41" s="478"/>
      <c r="KSZ41" s="478"/>
      <c r="KTA41" s="478"/>
      <c r="KTB41" s="478"/>
      <c r="KTC41" s="478"/>
      <c r="KTD41" s="478"/>
      <c r="KTE41" s="478"/>
      <c r="KTF41" s="478"/>
      <c r="KTG41" s="478"/>
      <c r="KTH41" s="478"/>
      <c r="KTI41" s="478"/>
      <c r="KTJ41" s="478"/>
      <c r="KTK41" s="478"/>
      <c r="KTL41" s="478"/>
      <c r="KTM41" s="478"/>
      <c r="KTN41" s="478"/>
      <c r="KTO41" s="478"/>
      <c r="KTP41" s="478"/>
      <c r="KTQ41" s="478"/>
      <c r="KTR41" s="478"/>
      <c r="KTS41" s="478"/>
      <c r="KTT41" s="478"/>
      <c r="KTU41" s="478"/>
      <c r="KTV41" s="478"/>
      <c r="KTW41" s="478"/>
      <c r="KTX41" s="478"/>
      <c r="KTY41" s="478"/>
      <c r="KTZ41" s="478"/>
      <c r="KUA41" s="478"/>
      <c r="KUB41" s="478"/>
      <c r="KUC41" s="478"/>
      <c r="KUD41" s="478"/>
      <c r="KUE41" s="478"/>
      <c r="KUF41" s="478"/>
      <c r="KUG41" s="478"/>
      <c r="KUH41" s="478"/>
      <c r="KUI41" s="478"/>
      <c r="KUJ41" s="478"/>
      <c r="KUK41" s="478"/>
      <c r="KUL41" s="478"/>
      <c r="KUM41" s="478"/>
      <c r="KUN41" s="478"/>
      <c r="KUO41" s="478"/>
      <c r="KUP41" s="478"/>
      <c r="KUQ41" s="478"/>
      <c r="KUR41" s="478"/>
      <c r="KUS41" s="478"/>
      <c r="KUT41" s="478"/>
      <c r="KUU41" s="478"/>
      <c r="KUV41" s="478"/>
      <c r="KUW41" s="478"/>
      <c r="KUX41" s="478"/>
      <c r="KUY41" s="478"/>
      <c r="KUZ41" s="478"/>
      <c r="KVA41" s="478"/>
      <c r="KVB41" s="478"/>
      <c r="KVC41" s="478"/>
      <c r="KVD41" s="478"/>
      <c r="KVE41" s="478"/>
      <c r="KVF41" s="478"/>
      <c r="KVG41" s="478"/>
      <c r="KVH41" s="478"/>
      <c r="KVI41" s="478"/>
      <c r="KVJ41" s="478"/>
      <c r="KVK41" s="478"/>
      <c r="KVL41" s="478"/>
      <c r="KVM41" s="478"/>
      <c r="KVN41" s="478"/>
      <c r="KVO41" s="478"/>
      <c r="KVP41" s="478"/>
      <c r="KVQ41" s="478"/>
      <c r="KVR41" s="478"/>
      <c r="KVS41" s="478"/>
      <c r="KVT41" s="478"/>
      <c r="KVU41" s="478"/>
      <c r="KVV41" s="478"/>
      <c r="KVW41" s="478"/>
      <c r="KVX41" s="478"/>
      <c r="KVY41" s="478"/>
      <c r="KVZ41" s="478"/>
      <c r="KWA41" s="478"/>
      <c r="KWB41" s="478"/>
      <c r="KWC41" s="478"/>
      <c r="KWD41" s="478"/>
      <c r="KWE41" s="478"/>
      <c r="KWF41" s="478"/>
      <c r="KWG41" s="478"/>
      <c r="KWH41" s="478"/>
      <c r="KWI41" s="478"/>
      <c r="KWJ41" s="478"/>
      <c r="KWK41" s="478"/>
      <c r="KWL41" s="478"/>
      <c r="KWM41" s="478"/>
      <c r="KWN41" s="478"/>
      <c r="KWO41" s="478"/>
      <c r="KWP41" s="478"/>
      <c r="KWQ41" s="478"/>
      <c r="KWR41" s="478"/>
      <c r="KWS41" s="478"/>
      <c r="KWT41" s="478"/>
      <c r="KWU41" s="478"/>
      <c r="KWV41" s="478"/>
      <c r="KWW41" s="478"/>
      <c r="KWX41" s="478"/>
      <c r="KWY41" s="478"/>
      <c r="KWZ41" s="478"/>
      <c r="KXA41" s="478"/>
      <c r="KXB41" s="478"/>
      <c r="KXC41" s="478"/>
      <c r="KXD41" s="478"/>
      <c r="KXE41" s="478"/>
      <c r="KXF41" s="478"/>
      <c r="KXG41" s="478"/>
      <c r="KXH41" s="478"/>
      <c r="KXI41" s="478"/>
      <c r="KXJ41" s="478"/>
      <c r="KXK41" s="478"/>
      <c r="KXL41" s="478"/>
      <c r="KXM41" s="478"/>
      <c r="KXN41" s="478"/>
      <c r="KXO41" s="478"/>
      <c r="KXP41" s="478"/>
      <c r="KXQ41" s="478"/>
      <c r="KXR41" s="478"/>
      <c r="KXS41" s="478"/>
      <c r="KXT41" s="478"/>
      <c r="KXU41" s="478"/>
      <c r="KXV41" s="478"/>
      <c r="KXW41" s="478"/>
      <c r="KXX41" s="478"/>
      <c r="KXY41" s="478"/>
      <c r="KXZ41" s="478"/>
      <c r="KYA41" s="478"/>
      <c r="KYB41" s="478"/>
      <c r="KYC41" s="478"/>
      <c r="KYD41" s="478"/>
      <c r="KYE41" s="478"/>
      <c r="KYF41" s="478"/>
      <c r="KYG41" s="478"/>
      <c r="KYH41" s="478"/>
      <c r="KYI41" s="478"/>
      <c r="KYJ41" s="478"/>
      <c r="KYK41" s="478"/>
      <c r="KYL41" s="478"/>
      <c r="KYM41" s="478"/>
      <c r="KYN41" s="478"/>
      <c r="KYO41" s="478"/>
      <c r="KYP41" s="478"/>
      <c r="KYQ41" s="478"/>
      <c r="KYR41" s="478"/>
      <c r="KYS41" s="478"/>
      <c r="KYT41" s="478"/>
      <c r="KYU41" s="478"/>
      <c r="KYV41" s="478"/>
      <c r="KYW41" s="478"/>
      <c r="KYX41" s="478"/>
      <c r="KYY41" s="478"/>
      <c r="KYZ41" s="478"/>
      <c r="KZA41" s="478"/>
      <c r="KZB41" s="478"/>
      <c r="KZC41" s="478"/>
      <c r="KZD41" s="478"/>
      <c r="KZE41" s="478"/>
      <c r="KZF41" s="478"/>
      <c r="KZG41" s="478"/>
      <c r="KZH41" s="478"/>
      <c r="KZI41" s="478"/>
      <c r="KZJ41" s="478"/>
      <c r="KZK41" s="478"/>
      <c r="KZL41" s="478"/>
      <c r="KZM41" s="478"/>
      <c r="KZN41" s="478"/>
      <c r="KZO41" s="478"/>
      <c r="KZP41" s="478"/>
      <c r="KZQ41" s="478"/>
      <c r="KZR41" s="478"/>
      <c r="KZS41" s="478"/>
      <c r="KZT41" s="478"/>
      <c r="KZU41" s="478"/>
      <c r="KZV41" s="478"/>
      <c r="KZW41" s="478"/>
      <c r="KZX41" s="478"/>
      <c r="KZY41" s="478"/>
      <c r="KZZ41" s="478"/>
      <c r="LAA41" s="478"/>
      <c r="LAB41" s="478"/>
      <c r="LAC41" s="478"/>
      <c r="LAD41" s="478"/>
      <c r="LAE41" s="478"/>
      <c r="LAF41" s="478"/>
      <c r="LAG41" s="478"/>
      <c r="LAH41" s="478"/>
      <c r="LAI41" s="478"/>
      <c r="LAJ41" s="478"/>
      <c r="LAK41" s="478"/>
      <c r="LAL41" s="478"/>
      <c r="LAM41" s="478"/>
      <c r="LAN41" s="478"/>
      <c r="LAO41" s="478"/>
      <c r="LAP41" s="478"/>
      <c r="LAQ41" s="478"/>
      <c r="LAR41" s="478"/>
      <c r="LAS41" s="478"/>
      <c r="LAT41" s="478"/>
      <c r="LAU41" s="478"/>
      <c r="LAV41" s="478"/>
      <c r="LAW41" s="478"/>
      <c r="LAX41" s="478"/>
      <c r="LAY41" s="478"/>
      <c r="LAZ41" s="478"/>
      <c r="LBA41" s="478"/>
      <c r="LBB41" s="478"/>
      <c r="LBC41" s="478"/>
      <c r="LBD41" s="478"/>
      <c r="LBE41" s="478"/>
      <c r="LBF41" s="478"/>
      <c r="LBG41" s="478"/>
      <c r="LBH41" s="478"/>
      <c r="LBI41" s="478"/>
      <c r="LBJ41" s="478"/>
      <c r="LBK41" s="478"/>
      <c r="LBL41" s="478"/>
      <c r="LBM41" s="478"/>
      <c r="LBN41" s="478"/>
      <c r="LBO41" s="478"/>
      <c r="LBP41" s="478"/>
      <c r="LBQ41" s="478"/>
      <c r="LBR41" s="478"/>
      <c r="LBS41" s="478"/>
      <c r="LBT41" s="478"/>
      <c r="LBU41" s="478"/>
      <c r="LBV41" s="478"/>
      <c r="LBW41" s="478"/>
      <c r="LBX41" s="478"/>
      <c r="LBY41" s="478"/>
      <c r="LBZ41" s="478"/>
      <c r="LCA41" s="478"/>
      <c r="LCB41" s="478"/>
      <c r="LCC41" s="478"/>
      <c r="LCD41" s="478"/>
      <c r="LCE41" s="478"/>
      <c r="LCF41" s="478"/>
      <c r="LCG41" s="478"/>
      <c r="LCH41" s="478"/>
      <c r="LCI41" s="478"/>
      <c r="LCJ41" s="478"/>
      <c r="LCK41" s="478"/>
      <c r="LCL41" s="478"/>
      <c r="LCM41" s="478"/>
      <c r="LCN41" s="478"/>
      <c r="LCO41" s="478"/>
      <c r="LCP41" s="478"/>
      <c r="LCQ41" s="478"/>
      <c r="LCR41" s="478"/>
      <c r="LCS41" s="478"/>
      <c r="LCT41" s="478"/>
      <c r="LCU41" s="478"/>
      <c r="LCV41" s="478"/>
      <c r="LCW41" s="478"/>
      <c r="LCX41" s="478"/>
      <c r="LCY41" s="478"/>
      <c r="LCZ41" s="478"/>
      <c r="LDA41" s="478"/>
      <c r="LDB41" s="478"/>
      <c r="LDC41" s="478"/>
      <c r="LDD41" s="478"/>
      <c r="LDE41" s="478"/>
      <c r="LDF41" s="478"/>
      <c r="LDG41" s="478"/>
      <c r="LDH41" s="478"/>
      <c r="LDI41" s="478"/>
      <c r="LDJ41" s="478"/>
      <c r="LDK41" s="478"/>
      <c r="LDL41" s="478"/>
      <c r="LDM41" s="478"/>
      <c r="LDN41" s="478"/>
      <c r="LDO41" s="478"/>
      <c r="LDP41" s="478"/>
      <c r="LDQ41" s="478"/>
      <c r="LDR41" s="478"/>
      <c r="LDS41" s="478"/>
      <c r="LDT41" s="478"/>
      <c r="LDU41" s="478"/>
      <c r="LDV41" s="478"/>
      <c r="LDW41" s="478"/>
      <c r="LDX41" s="478"/>
      <c r="LDY41" s="478"/>
      <c r="LDZ41" s="478"/>
      <c r="LEA41" s="478"/>
      <c r="LEB41" s="478"/>
      <c r="LEC41" s="478"/>
      <c r="LED41" s="478"/>
      <c r="LEE41" s="478"/>
      <c r="LEF41" s="478"/>
      <c r="LEG41" s="478"/>
      <c r="LEH41" s="478"/>
      <c r="LEI41" s="478"/>
      <c r="LEJ41" s="478"/>
      <c r="LEK41" s="478"/>
      <c r="LEL41" s="478"/>
      <c r="LEM41" s="478"/>
      <c r="LEN41" s="478"/>
      <c r="LEO41" s="478"/>
      <c r="LEP41" s="478"/>
      <c r="LEQ41" s="478"/>
      <c r="LER41" s="478"/>
      <c r="LES41" s="478"/>
      <c r="LET41" s="478"/>
      <c r="LEU41" s="478"/>
      <c r="LEV41" s="478"/>
      <c r="LEW41" s="478"/>
      <c r="LEX41" s="478"/>
      <c r="LEY41" s="478"/>
      <c r="LEZ41" s="478"/>
      <c r="LFA41" s="478"/>
      <c r="LFB41" s="478"/>
      <c r="LFC41" s="478"/>
      <c r="LFD41" s="478"/>
      <c r="LFE41" s="478"/>
      <c r="LFF41" s="478"/>
      <c r="LFG41" s="478"/>
      <c r="LFH41" s="478"/>
      <c r="LFI41" s="478"/>
      <c r="LFJ41" s="478"/>
      <c r="LFK41" s="478"/>
      <c r="LFL41" s="478"/>
      <c r="LFM41" s="478"/>
      <c r="LFN41" s="478"/>
      <c r="LFO41" s="478"/>
      <c r="LFP41" s="478"/>
      <c r="LFQ41" s="478"/>
      <c r="LFR41" s="478"/>
      <c r="LFS41" s="478"/>
      <c r="LFT41" s="478"/>
      <c r="LFU41" s="478"/>
      <c r="LFV41" s="478"/>
      <c r="LFW41" s="478"/>
      <c r="LFX41" s="478"/>
      <c r="LFY41" s="478"/>
      <c r="LFZ41" s="478"/>
      <c r="LGA41" s="478"/>
      <c r="LGB41" s="478"/>
      <c r="LGC41" s="478"/>
      <c r="LGD41" s="478"/>
      <c r="LGE41" s="478"/>
      <c r="LGF41" s="478"/>
      <c r="LGG41" s="478"/>
      <c r="LGH41" s="478"/>
      <c r="LGI41" s="478"/>
      <c r="LGJ41" s="478"/>
      <c r="LGK41" s="478"/>
      <c r="LGL41" s="478"/>
      <c r="LGM41" s="478"/>
      <c r="LGN41" s="478"/>
      <c r="LGO41" s="478"/>
      <c r="LGP41" s="478"/>
      <c r="LGQ41" s="478"/>
      <c r="LGR41" s="478"/>
      <c r="LGS41" s="478"/>
      <c r="LGT41" s="478"/>
      <c r="LGU41" s="478"/>
      <c r="LGV41" s="478"/>
      <c r="LGW41" s="478"/>
      <c r="LGX41" s="478"/>
      <c r="LGY41" s="478"/>
      <c r="LGZ41" s="478"/>
      <c r="LHA41" s="478"/>
      <c r="LHB41" s="478"/>
      <c r="LHC41" s="478"/>
      <c r="LHD41" s="478"/>
      <c r="LHE41" s="478"/>
      <c r="LHF41" s="478"/>
      <c r="LHG41" s="478"/>
      <c r="LHH41" s="478"/>
      <c r="LHI41" s="478"/>
      <c r="LHJ41" s="478"/>
      <c r="LHK41" s="478"/>
      <c r="LHL41" s="478"/>
      <c r="LHM41" s="478"/>
      <c r="LHN41" s="478"/>
      <c r="LHO41" s="478"/>
      <c r="LHP41" s="478"/>
      <c r="LHQ41" s="478"/>
      <c r="LHR41" s="478"/>
      <c r="LHS41" s="478"/>
      <c r="LHT41" s="478"/>
      <c r="LHU41" s="478"/>
      <c r="LHV41" s="478"/>
      <c r="LHW41" s="478"/>
      <c r="LHX41" s="478"/>
      <c r="LHY41" s="478"/>
      <c r="LHZ41" s="478"/>
      <c r="LIA41" s="478"/>
      <c r="LIB41" s="478"/>
      <c r="LIC41" s="478"/>
      <c r="LID41" s="478"/>
      <c r="LIE41" s="478"/>
      <c r="LIF41" s="478"/>
      <c r="LIG41" s="478"/>
      <c r="LIH41" s="478"/>
      <c r="LII41" s="478"/>
      <c r="LIJ41" s="478"/>
      <c r="LIK41" s="478"/>
      <c r="LIL41" s="478"/>
      <c r="LIM41" s="478"/>
      <c r="LIN41" s="478"/>
      <c r="LIO41" s="478"/>
      <c r="LIP41" s="478"/>
      <c r="LIQ41" s="478"/>
      <c r="LIR41" s="478"/>
      <c r="LIS41" s="478"/>
      <c r="LIT41" s="478"/>
      <c r="LIU41" s="478"/>
      <c r="LIV41" s="478"/>
      <c r="LIW41" s="478"/>
      <c r="LIX41" s="478"/>
      <c r="LIY41" s="478"/>
      <c r="LIZ41" s="478"/>
      <c r="LJA41" s="478"/>
      <c r="LJB41" s="478"/>
      <c r="LJC41" s="478"/>
      <c r="LJD41" s="478"/>
      <c r="LJE41" s="478"/>
      <c r="LJF41" s="478"/>
      <c r="LJG41" s="478"/>
      <c r="LJH41" s="478"/>
      <c r="LJI41" s="478"/>
      <c r="LJJ41" s="478"/>
      <c r="LJK41" s="478"/>
      <c r="LJL41" s="478"/>
      <c r="LJM41" s="478"/>
      <c r="LJN41" s="478"/>
      <c r="LJO41" s="478"/>
      <c r="LJP41" s="478"/>
      <c r="LJQ41" s="478"/>
      <c r="LJR41" s="478"/>
      <c r="LJS41" s="478"/>
      <c r="LJT41" s="478"/>
      <c r="LJU41" s="478"/>
      <c r="LJV41" s="478"/>
      <c r="LJW41" s="478"/>
      <c r="LJX41" s="478"/>
      <c r="LJY41" s="478"/>
      <c r="LJZ41" s="478"/>
      <c r="LKA41" s="478"/>
      <c r="LKB41" s="478"/>
      <c r="LKC41" s="478"/>
      <c r="LKD41" s="478"/>
      <c r="LKE41" s="478"/>
      <c r="LKF41" s="478"/>
      <c r="LKG41" s="478"/>
      <c r="LKH41" s="478"/>
      <c r="LKI41" s="478"/>
      <c r="LKJ41" s="478"/>
      <c r="LKK41" s="478"/>
      <c r="LKL41" s="478"/>
      <c r="LKM41" s="478"/>
      <c r="LKN41" s="478"/>
      <c r="LKO41" s="478"/>
      <c r="LKP41" s="478"/>
      <c r="LKQ41" s="478"/>
      <c r="LKR41" s="478"/>
      <c r="LKS41" s="478"/>
      <c r="LKT41" s="478"/>
      <c r="LKU41" s="478"/>
      <c r="LKV41" s="478"/>
      <c r="LKW41" s="478"/>
      <c r="LKX41" s="478"/>
      <c r="LKY41" s="478"/>
      <c r="LKZ41" s="478"/>
      <c r="LLA41" s="478"/>
      <c r="LLB41" s="478"/>
      <c r="LLC41" s="478"/>
      <c r="LLD41" s="478"/>
      <c r="LLE41" s="478"/>
      <c r="LLF41" s="478"/>
      <c r="LLG41" s="478"/>
      <c r="LLH41" s="478"/>
      <c r="LLI41" s="478"/>
      <c r="LLJ41" s="478"/>
      <c r="LLK41" s="478"/>
      <c r="LLL41" s="478"/>
      <c r="LLM41" s="478"/>
      <c r="LLN41" s="478"/>
      <c r="LLO41" s="478"/>
      <c r="LLP41" s="478"/>
      <c r="LLQ41" s="478"/>
      <c r="LLR41" s="478"/>
      <c r="LLS41" s="478"/>
      <c r="LLT41" s="478"/>
      <c r="LLU41" s="478"/>
      <c r="LLV41" s="478"/>
      <c r="LLW41" s="478"/>
      <c r="LLX41" s="478"/>
      <c r="LLY41" s="478"/>
      <c r="LLZ41" s="478"/>
      <c r="LMA41" s="478"/>
      <c r="LMB41" s="478"/>
      <c r="LMC41" s="478"/>
      <c r="LMD41" s="478"/>
      <c r="LME41" s="478"/>
      <c r="LMF41" s="478"/>
      <c r="LMG41" s="478"/>
      <c r="LMH41" s="478"/>
      <c r="LMI41" s="478"/>
      <c r="LMJ41" s="478"/>
      <c r="LMK41" s="478"/>
      <c r="LML41" s="478"/>
      <c r="LMM41" s="478"/>
      <c r="LMN41" s="478"/>
      <c r="LMO41" s="478"/>
      <c r="LMP41" s="478"/>
      <c r="LMQ41" s="478"/>
      <c r="LMR41" s="478"/>
      <c r="LMS41" s="478"/>
      <c r="LMT41" s="478"/>
      <c r="LMU41" s="478"/>
      <c r="LMV41" s="478"/>
      <c r="LMW41" s="478"/>
      <c r="LMX41" s="478"/>
      <c r="LMY41" s="478"/>
      <c r="LMZ41" s="478"/>
      <c r="LNA41" s="478"/>
      <c r="LNB41" s="478"/>
      <c r="LNC41" s="478"/>
      <c r="LND41" s="478"/>
      <c r="LNE41" s="478"/>
      <c r="LNF41" s="478"/>
      <c r="LNG41" s="478"/>
      <c r="LNH41" s="478"/>
      <c r="LNI41" s="478"/>
      <c r="LNJ41" s="478"/>
      <c r="LNK41" s="478"/>
      <c r="LNL41" s="478"/>
      <c r="LNM41" s="478"/>
      <c r="LNN41" s="478"/>
      <c r="LNO41" s="478"/>
      <c r="LNP41" s="478"/>
      <c r="LNQ41" s="478"/>
      <c r="LNR41" s="478"/>
      <c r="LNS41" s="478"/>
      <c r="LNT41" s="478"/>
      <c r="LNU41" s="478"/>
      <c r="LNV41" s="478"/>
      <c r="LNW41" s="478"/>
      <c r="LNX41" s="478"/>
      <c r="LNY41" s="478"/>
      <c r="LNZ41" s="478"/>
      <c r="LOA41" s="478"/>
      <c r="LOB41" s="478"/>
      <c r="LOC41" s="478"/>
      <c r="LOD41" s="478"/>
      <c r="LOE41" s="478"/>
      <c r="LOF41" s="478"/>
      <c r="LOG41" s="478"/>
      <c r="LOH41" s="478"/>
      <c r="LOI41" s="478"/>
      <c r="LOJ41" s="478"/>
      <c r="LOK41" s="478"/>
      <c r="LOL41" s="478"/>
      <c r="LOM41" s="478"/>
      <c r="LON41" s="478"/>
      <c r="LOO41" s="478"/>
      <c r="LOP41" s="478"/>
      <c r="LOQ41" s="478"/>
      <c r="LOR41" s="478"/>
      <c r="LOS41" s="478"/>
      <c r="LOT41" s="478"/>
      <c r="LOU41" s="478"/>
      <c r="LOV41" s="478"/>
      <c r="LOW41" s="478"/>
      <c r="LOX41" s="478"/>
      <c r="LOY41" s="478"/>
      <c r="LOZ41" s="478"/>
      <c r="LPA41" s="478"/>
      <c r="LPB41" s="478"/>
      <c r="LPC41" s="478"/>
      <c r="LPD41" s="478"/>
      <c r="LPE41" s="478"/>
      <c r="LPF41" s="478"/>
      <c r="LPG41" s="478"/>
      <c r="LPH41" s="478"/>
      <c r="LPI41" s="478"/>
      <c r="LPJ41" s="478"/>
      <c r="LPK41" s="478"/>
      <c r="LPL41" s="478"/>
      <c r="LPM41" s="478"/>
      <c r="LPN41" s="478"/>
      <c r="LPO41" s="478"/>
      <c r="LPP41" s="478"/>
      <c r="LPQ41" s="478"/>
      <c r="LPR41" s="478"/>
      <c r="LPS41" s="478"/>
      <c r="LPT41" s="478"/>
      <c r="LPU41" s="478"/>
      <c r="LPV41" s="478"/>
      <c r="LPW41" s="478"/>
      <c r="LPX41" s="478"/>
      <c r="LPY41" s="478"/>
      <c r="LPZ41" s="478"/>
      <c r="LQA41" s="478"/>
      <c r="LQB41" s="478"/>
      <c r="LQC41" s="478"/>
      <c r="LQD41" s="478"/>
      <c r="LQE41" s="478"/>
      <c r="LQF41" s="478"/>
      <c r="LQG41" s="478"/>
      <c r="LQH41" s="478"/>
      <c r="LQI41" s="478"/>
      <c r="LQJ41" s="478"/>
      <c r="LQK41" s="478"/>
      <c r="LQL41" s="478"/>
      <c r="LQM41" s="478"/>
      <c r="LQN41" s="478"/>
      <c r="LQO41" s="478"/>
      <c r="LQP41" s="478"/>
      <c r="LQQ41" s="478"/>
      <c r="LQR41" s="478"/>
      <c r="LQS41" s="478"/>
      <c r="LQT41" s="478"/>
      <c r="LQU41" s="478"/>
      <c r="LQV41" s="478"/>
      <c r="LQW41" s="478"/>
      <c r="LQX41" s="478"/>
      <c r="LQY41" s="478"/>
      <c r="LQZ41" s="478"/>
      <c r="LRA41" s="478"/>
      <c r="LRB41" s="478"/>
      <c r="LRC41" s="478"/>
      <c r="LRD41" s="478"/>
      <c r="LRE41" s="478"/>
      <c r="LRF41" s="478"/>
      <c r="LRG41" s="478"/>
      <c r="LRH41" s="478"/>
      <c r="LRI41" s="478"/>
      <c r="LRJ41" s="478"/>
      <c r="LRK41" s="478"/>
      <c r="LRL41" s="478"/>
      <c r="LRM41" s="478"/>
      <c r="LRN41" s="478"/>
      <c r="LRO41" s="478"/>
      <c r="LRP41" s="478"/>
      <c r="LRQ41" s="478"/>
      <c r="LRR41" s="478"/>
      <c r="LRS41" s="478"/>
      <c r="LRT41" s="478"/>
      <c r="LRU41" s="478"/>
      <c r="LRV41" s="478"/>
      <c r="LRW41" s="478"/>
      <c r="LRX41" s="478"/>
      <c r="LRY41" s="478"/>
      <c r="LRZ41" s="478"/>
      <c r="LSA41" s="478"/>
      <c r="LSB41" s="478"/>
      <c r="LSC41" s="478"/>
      <c r="LSD41" s="478"/>
      <c r="LSE41" s="478"/>
      <c r="LSF41" s="478"/>
      <c r="LSG41" s="478"/>
      <c r="LSH41" s="478"/>
      <c r="LSI41" s="478"/>
      <c r="LSJ41" s="478"/>
      <c r="LSK41" s="478"/>
      <c r="LSL41" s="478"/>
      <c r="LSM41" s="478"/>
      <c r="LSN41" s="478"/>
      <c r="LSO41" s="478"/>
      <c r="LSP41" s="478"/>
      <c r="LSQ41" s="478"/>
      <c r="LSR41" s="478"/>
      <c r="LSS41" s="478"/>
      <c r="LST41" s="478"/>
      <c r="LSU41" s="478"/>
      <c r="LSV41" s="478"/>
      <c r="LSW41" s="478"/>
      <c r="LSX41" s="478"/>
      <c r="LSY41" s="478"/>
      <c r="LSZ41" s="478"/>
      <c r="LTA41" s="478"/>
      <c r="LTB41" s="478"/>
      <c r="LTC41" s="478"/>
      <c r="LTD41" s="478"/>
      <c r="LTE41" s="478"/>
      <c r="LTF41" s="478"/>
      <c r="LTG41" s="478"/>
      <c r="LTH41" s="478"/>
      <c r="LTI41" s="478"/>
      <c r="LTJ41" s="478"/>
      <c r="LTK41" s="478"/>
      <c r="LTL41" s="478"/>
      <c r="LTM41" s="478"/>
      <c r="LTN41" s="478"/>
      <c r="LTO41" s="478"/>
      <c r="LTP41" s="478"/>
      <c r="LTQ41" s="478"/>
      <c r="LTR41" s="478"/>
      <c r="LTS41" s="478"/>
      <c r="LTT41" s="478"/>
      <c r="LTU41" s="478"/>
      <c r="LTV41" s="478"/>
      <c r="LTW41" s="478"/>
      <c r="LTX41" s="478"/>
      <c r="LTY41" s="478"/>
      <c r="LTZ41" s="478"/>
      <c r="LUA41" s="478"/>
      <c r="LUB41" s="478"/>
      <c r="LUC41" s="478"/>
      <c r="LUD41" s="478"/>
      <c r="LUE41" s="478"/>
      <c r="LUF41" s="478"/>
      <c r="LUG41" s="478"/>
      <c r="LUH41" s="478"/>
      <c r="LUI41" s="478"/>
      <c r="LUJ41" s="478"/>
      <c r="LUK41" s="478"/>
      <c r="LUL41" s="478"/>
      <c r="LUM41" s="478"/>
      <c r="LUN41" s="478"/>
      <c r="LUO41" s="478"/>
      <c r="LUP41" s="478"/>
      <c r="LUQ41" s="478"/>
      <c r="LUR41" s="478"/>
      <c r="LUS41" s="478"/>
      <c r="LUT41" s="478"/>
      <c r="LUU41" s="478"/>
      <c r="LUV41" s="478"/>
      <c r="LUW41" s="478"/>
      <c r="LUX41" s="478"/>
      <c r="LUY41" s="478"/>
      <c r="LUZ41" s="478"/>
      <c r="LVA41" s="478"/>
      <c r="LVB41" s="478"/>
      <c r="LVC41" s="478"/>
      <c r="LVD41" s="478"/>
      <c r="LVE41" s="478"/>
      <c r="LVF41" s="478"/>
      <c r="LVG41" s="478"/>
      <c r="LVH41" s="478"/>
      <c r="LVI41" s="478"/>
      <c r="LVJ41" s="478"/>
      <c r="LVK41" s="478"/>
      <c r="LVL41" s="478"/>
      <c r="LVM41" s="478"/>
      <c r="LVN41" s="478"/>
      <c r="LVO41" s="478"/>
      <c r="LVP41" s="478"/>
      <c r="LVQ41" s="478"/>
      <c r="LVR41" s="478"/>
      <c r="LVS41" s="478"/>
      <c r="LVT41" s="478"/>
      <c r="LVU41" s="478"/>
      <c r="LVV41" s="478"/>
      <c r="LVW41" s="478"/>
      <c r="LVX41" s="478"/>
      <c r="LVY41" s="478"/>
      <c r="LVZ41" s="478"/>
      <c r="LWA41" s="478"/>
      <c r="LWB41" s="478"/>
      <c r="LWC41" s="478"/>
      <c r="LWD41" s="478"/>
      <c r="LWE41" s="478"/>
      <c r="LWF41" s="478"/>
      <c r="LWG41" s="478"/>
      <c r="LWH41" s="478"/>
      <c r="LWI41" s="478"/>
      <c r="LWJ41" s="478"/>
      <c r="LWK41" s="478"/>
      <c r="LWL41" s="478"/>
      <c r="LWM41" s="478"/>
      <c r="LWN41" s="478"/>
      <c r="LWO41" s="478"/>
      <c r="LWP41" s="478"/>
      <c r="LWQ41" s="478"/>
      <c r="LWR41" s="478"/>
      <c r="LWS41" s="478"/>
      <c r="LWT41" s="478"/>
      <c r="LWU41" s="478"/>
      <c r="LWV41" s="478"/>
      <c r="LWW41" s="478"/>
      <c r="LWX41" s="478"/>
      <c r="LWY41" s="478"/>
      <c r="LWZ41" s="478"/>
      <c r="LXA41" s="478"/>
      <c r="LXB41" s="478"/>
      <c r="LXC41" s="478"/>
      <c r="LXD41" s="478"/>
      <c r="LXE41" s="478"/>
      <c r="LXF41" s="478"/>
      <c r="LXG41" s="478"/>
      <c r="LXH41" s="478"/>
      <c r="LXI41" s="478"/>
      <c r="LXJ41" s="478"/>
      <c r="LXK41" s="478"/>
      <c r="LXL41" s="478"/>
      <c r="LXM41" s="478"/>
      <c r="LXN41" s="478"/>
      <c r="LXO41" s="478"/>
      <c r="LXP41" s="478"/>
      <c r="LXQ41" s="478"/>
      <c r="LXR41" s="478"/>
      <c r="LXS41" s="478"/>
      <c r="LXT41" s="478"/>
      <c r="LXU41" s="478"/>
      <c r="LXV41" s="478"/>
      <c r="LXW41" s="478"/>
      <c r="LXX41" s="478"/>
      <c r="LXY41" s="478"/>
      <c r="LXZ41" s="478"/>
      <c r="LYA41" s="478"/>
      <c r="LYB41" s="478"/>
      <c r="LYC41" s="478"/>
      <c r="LYD41" s="478"/>
      <c r="LYE41" s="478"/>
      <c r="LYF41" s="478"/>
      <c r="LYG41" s="478"/>
      <c r="LYH41" s="478"/>
      <c r="LYI41" s="478"/>
      <c r="LYJ41" s="478"/>
      <c r="LYK41" s="478"/>
      <c r="LYL41" s="478"/>
      <c r="LYM41" s="478"/>
      <c r="LYN41" s="478"/>
      <c r="LYO41" s="478"/>
      <c r="LYP41" s="478"/>
      <c r="LYQ41" s="478"/>
      <c r="LYR41" s="478"/>
      <c r="LYS41" s="478"/>
      <c r="LYT41" s="478"/>
      <c r="LYU41" s="478"/>
      <c r="LYV41" s="478"/>
      <c r="LYW41" s="478"/>
      <c r="LYX41" s="478"/>
      <c r="LYY41" s="478"/>
      <c r="LYZ41" s="478"/>
      <c r="LZA41" s="478"/>
      <c r="LZB41" s="478"/>
      <c r="LZC41" s="478"/>
      <c r="LZD41" s="478"/>
      <c r="LZE41" s="478"/>
      <c r="LZF41" s="478"/>
      <c r="LZG41" s="478"/>
      <c r="LZH41" s="478"/>
      <c r="LZI41" s="478"/>
      <c r="LZJ41" s="478"/>
      <c r="LZK41" s="478"/>
      <c r="LZL41" s="478"/>
      <c r="LZM41" s="478"/>
      <c r="LZN41" s="478"/>
      <c r="LZO41" s="478"/>
      <c r="LZP41" s="478"/>
      <c r="LZQ41" s="478"/>
      <c r="LZR41" s="478"/>
      <c r="LZS41" s="478"/>
      <c r="LZT41" s="478"/>
      <c r="LZU41" s="478"/>
      <c r="LZV41" s="478"/>
      <c r="LZW41" s="478"/>
      <c r="LZX41" s="478"/>
      <c r="LZY41" s="478"/>
      <c r="LZZ41" s="478"/>
      <c r="MAA41" s="478"/>
      <c r="MAB41" s="478"/>
      <c r="MAC41" s="478"/>
      <c r="MAD41" s="478"/>
      <c r="MAE41" s="478"/>
      <c r="MAF41" s="478"/>
      <c r="MAG41" s="478"/>
      <c r="MAH41" s="478"/>
      <c r="MAI41" s="478"/>
      <c r="MAJ41" s="478"/>
      <c r="MAK41" s="478"/>
      <c r="MAL41" s="478"/>
      <c r="MAM41" s="478"/>
      <c r="MAN41" s="478"/>
      <c r="MAO41" s="478"/>
      <c r="MAP41" s="478"/>
      <c r="MAQ41" s="478"/>
      <c r="MAR41" s="478"/>
      <c r="MAS41" s="478"/>
      <c r="MAT41" s="478"/>
      <c r="MAU41" s="478"/>
      <c r="MAV41" s="478"/>
      <c r="MAW41" s="478"/>
      <c r="MAX41" s="478"/>
      <c r="MAY41" s="478"/>
      <c r="MAZ41" s="478"/>
      <c r="MBA41" s="478"/>
      <c r="MBB41" s="478"/>
      <c r="MBC41" s="478"/>
      <c r="MBD41" s="478"/>
      <c r="MBE41" s="478"/>
      <c r="MBF41" s="478"/>
      <c r="MBG41" s="478"/>
      <c r="MBH41" s="478"/>
      <c r="MBI41" s="478"/>
      <c r="MBJ41" s="478"/>
      <c r="MBK41" s="478"/>
      <c r="MBL41" s="478"/>
      <c r="MBM41" s="478"/>
      <c r="MBN41" s="478"/>
      <c r="MBO41" s="478"/>
      <c r="MBP41" s="478"/>
      <c r="MBQ41" s="478"/>
      <c r="MBR41" s="478"/>
      <c r="MBS41" s="478"/>
      <c r="MBT41" s="478"/>
      <c r="MBU41" s="478"/>
      <c r="MBV41" s="478"/>
      <c r="MBW41" s="478"/>
      <c r="MBX41" s="478"/>
      <c r="MBY41" s="478"/>
      <c r="MBZ41" s="478"/>
      <c r="MCA41" s="478"/>
      <c r="MCB41" s="478"/>
      <c r="MCC41" s="478"/>
      <c r="MCD41" s="478"/>
      <c r="MCE41" s="478"/>
      <c r="MCF41" s="478"/>
      <c r="MCG41" s="478"/>
      <c r="MCH41" s="478"/>
      <c r="MCI41" s="478"/>
      <c r="MCJ41" s="478"/>
      <c r="MCK41" s="478"/>
      <c r="MCL41" s="478"/>
      <c r="MCM41" s="478"/>
      <c r="MCN41" s="478"/>
      <c r="MCO41" s="478"/>
      <c r="MCP41" s="478"/>
      <c r="MCQ41" s="478"/>
      <c r="MCR41" s="478"/>
      <c r="MCS41" s="478"/>
      <c r="MCT41" s="478"/>
      <c r="MCU41" s="478"/>
      <c r="MCV41" s="478"/>
      <c r="MCW41" s="478"/>
      <c r="MCX41" s="478"/>
      <c r="MCY41" s="478"/>
      <c r="MCZ41" s="478"/>
      <c r="MDA41" s="478"/>
      <c r="MDB41" s="478"/>
      <c r="MDC41" s="478"/>
      <c r="MDD41" s="478"/>
      <c r="MDE41" s="478"/>
      <c r="MDF41" s="478"/>
      <c r="MDG41" s="478"/>
      <c r="MDH41" s="478"/>
      <c r="MDI41" s="478"/>
      <c r="MDJ41" s="478"/>
      <c r="MDK41" s="478"/>
      <c r="MDL41" s="478"/>
      <c r="MDM41" s="478"/>
      <c r="MDN41" s="478"/>
      <c r="MDO41" s="478"/>
      <c r="MDP41" s="478"/>
      <c r="MDQ41" s="478"/>
      <c r="MDR41" s="478"/>
      <c r="MDS41" s="478"/>
      <c r="MDT41" s="478"/>
      <c r="MDU41" s="478"/>
      <c r="MDV41" s="478"/>
      <c r="MDW41" s="478"/>
      <c r="MDX41" s="478"/>
      <c r="MDY41" s="478"/>
      <c r="MDZ41" s="478"/>
      <c r="MEA41" s="478"/>
      <c r="MEB41" s="478"/>
      <c r="MEC41" s="478"/>
      <c r="MED41" s="478"/>
      <c r="MEE41" s="478"/>
      <c r="MEF41" s="478"/>
      <c r="MEG41" s="478"/>
      <c r="MEH41" s="478"/>
      <c r="MEI41" s="478"/>
      <c r="MEJ41" s="478"/>
      <c r="MEK41" s="478"/>
      <c r="MEL41" s="478"/>
      <c r="MEM41" s="478"/>
      <c r="MEN41" s="478"/>
      <c r="MEO41" s="478"/>
      <c r="MEP41" s="478"/>
      <c r="MEQ41" s="478"/>
      <c r="MER41" s="478"/>
      <c r="MES41" s="478"/>
      <c r="MET41" s="478"/>
      <c r="MEU41" s="478"/>
      <c r="MEV41" s="478"/>
      <c r="MEW41" s="478"/>
      <c r="MEX41" s="478"/>
      <c r="MEY41" s="478"/>
      <c r="MEZ41" s="478"/>
      <c r="MFA41" s="478"/>
      <c r="MFB41" s="478"/>
      <c r="MFC41" s="478"/>
      <c r="MFD41" s="478"/>
      <c r="MFE41" s="478"/>
      <c r="MFF41" s="478"/>
      <c r="MFG41" s="478"/>
      <c r="MFH41" s="478"/>
      <c r="MFI41" s="478"/>
      <c r="MFJ41" s="478"/>
      <c r="MFK41" s="478"/>
      <c r="MFL41" s="478"/>
      <c r="MFM41" s="478"/>
      <c r="MFN41" s="478"/>
      <c r="MFO41" s="478"/>
      <c r="MFP41" s="478"/>
      <c r="MFQ41" s="478"/>
      <c r="MFR41" s="478"/>
      <c r="MFS41" s="478"/>
      <c r="MFT41" s="478"/>
      <c r="MFU41" s="478"/>
      <c r="MFV41" s="478"/>
      <c r="MFW41" s="478"/>
      <c r="MFX41" s="478"/>
      <c r="MFY41" s="478"/>
      <c r="MFZ41" s="478"/>
      <c r="MGA41" s="478"/>
      <c r="MGB41" s="478"/>
      <c r="MGC41" s="478"/>
      <c r="MGD41" s="478"/>
      <c r="MGE41" s="478"/>
      <c r="MGF41" s="478"/>
      <c r="MGG41" s="478"/>
      <c r="MGH41" s="478"/>
      <c r="MGI41" s="478"/>
      <c r="MGJ41" s="478"/>
      <c r="MGK41" s="478"/>
      <c r="MGL41" s="478"/>
      <c r="MGM41" s="478"/>
      <c r="MGN41" s="478"/>
      <c r="MGO41" s="478"/>
      <c r="MGP41" s="478"/>
      <c r="MGQ41" s="478"/>
      <c r="MGR41" s="478"/>
      <c r="MGS41" s="478"/>
      <c r="MGT41" s="478"/>
      <c r="MGU41" s="478"/>
      <c r="MGV41" s="478"/>
      <c r="MGW41" s="478"/>
      <c r="MGX41" s="478"/>
      <c r="MGY41" s="478"/>
      <c r="MGZ41" s="478"/>
      <c r="MHA41" s="478"/>
      <c r="MHB41" s="478"/>
      <c r="MHC41" s="478"/>
      <c r="MHD41" s="478"/>
      <c r="MHE41" s="478"/>
      <c r="MHF41" s="478"/>
      <c r="MHG41" s="478"/>
      <c r="MHH41" s="478"/>
      <c r="MHI41" s="478"/>
      <c r="MHJ41" s="478"/>
      <c r="MHK41" s="478"/>
      <c r="MHL41" s="478"/>
      <c r="MHM41" s="478"/>
      <c r="MHN41" s="478"/>
      <c r="MHO41" s="478"/>
      <c r="MHP41" s="478"/>
      <c r="MHQ41" s="478"/>
      <c r="MHR41" s="478"/>
      <c r="MHS41" s="478"/>
      <c r="MHT41" s="478"/>
      <c r="MHU41" s="478"/>
      <c r="MHV41" s="478"/>
      <c r="MHW41" s="478"/>
      <c r="MHX41" s="478"/>
      <c r="MHY41" s="478"/>
      <c r="MHZ41" s="478"/>
      <c r="MIA41" s="478"/>
      <c r="MIB41" s="478"/>
      <c r="MIC41" s="478"/>
      <c r="MID41" s="478"/>
      <c r="MIE41" s="478"/>
      <c r="MIF41" s="478"/>
      <c r="MIG41" s="478"/>
      <c r="MIH41" s="478"/>
      <c r="MII41" s="478"/>
      <c r="MIJ41" s="478"/>
      <c r="MIK41" s="478"/>
      <c r="MIL41" s="478"/>
      <c r="MIM41" s="478"/>
      <c r="MIN41" s="478"/>
      <c r="MIO41" s="478"/>
      <c r="MIP41" s="478"/>
      <c r="MIQ41" s="478"/>
      <c r="MIR41" s="478"/>
      <c r="MIS41" s="478"/>
      <c r="MIT41" s="478"/>
      <c r="MIU41" s="478"/>
      <c r="MIV41" s="478"/>
      <c r="MIW41" s="478"/>
      <c r="MIX41" s="478"/>
      <c r="MIY41" s="478"/>
      <c r="MIZ41" s="478"/>
      <c r="MJA41" s="478"/>
      <c r="MJB41" s="478"/>
      <c r="MJC41" s="478"/>
      <c r="MJD41" s="478"/>
      <c r="MJE41" s="478"/>
      <c r="MJF41" s="478"/>
      <c r="MJG41" s="478"/>
      <c r="MJH41" s="478"/>
      <c r="MJI41" s="478"/>
      <c r="MJJ41" s="478"/>
      <c r="MJK41" s="478"/>
      <c r="MJL41" s="478"/>
      <c r="MJM41" s="478"/>
      <c r="MJN41" s="478"/>
      <c r="MJO41" s="478"/>
      <c r="MJP41" s="478"/>
      <c r="MJQ41" s="478"/>
      <c r="MJR41" s="478"/>
      <c r="MJS41" s="478"/>
      <c r="MJT41" s="478"/>
      <c r="MJU41" s="478"/>
      <c r="MJV41" s="478"/>
      <c r="MJW41" s="478"/>
      <c r="MJX41" s="478"/>
      <c r="MJY41" s="478"/>
      <c r="MJZ41" s="478"/>
      <c r="MKA41" s="478"/>
      <c r="MKB41" s="478"/>
      <c r="MKC41" s="478"/>
      <c r="MKD41" s="478"/>
      <c r="MKE41" s="478"/>
      <c r="MKF41" s="478"/>
      <c r="MKG41" s="478"/>
      <c r="MKH41" s="478"/>
      <c r="MKI41" s="478"/>
      <c r="MKJ41" s="478"/>
      <c r="MKK41" s="478"/>
      <c r="MKL41" s="478"/>
      <c r="MKM41" s="478"/>
      <c r="MKN41" s="478"/>
      <c r="MKO41" s="478"/>
      <c r="MKP41" s="478"/>
      <c r="MKQ41" s="478"/>
      <c r="MKR41" s="478"/>
      <c r="MKS41" s="478"/>
      <c r="MKT41" s="478"/>
      <c r="MKU41" s="478"/>
      <c r="MKV41" s="478"/>
      <c r="MKW41" s="478"/>
      <c r="MKX41" s="478"/>
      <c r="MKY41" s="478"/>
      <c r="MKZ41" s="478"/>
      <c r="MLA41" s="478"/>
      <c r="MLB41" s="478"/>
      <c r="MLC41" s="478"/>
      <c r="MLD41" s="478"/>
      <c r="MLE41" s="478"/>
      <c r="MLF41" s="478"/>
      <c r="MLG41" s="478"/>
      <c r="MLH41" s="478"/>
      <c r="MLI41" s="478"/>
      <c r="MLJ41" s="478"/>
      <c r="MLK41" s="478"/>
      <c r="MLL41" s="478"/>
      <c r="MLM41" s="478"/>
      <c r="MLN41" s="478"/>
      <c r="MLO41" s="478"/>
      <c r="MLP41" s="478"/>
      <c r="MLQ41" s="478"/>
      <c r="MLR41" s="478"/>
      <c r="MLS41" s="478"/>
      <c r="MLT41" s="478"/>
      <c r="MLU41" s="478"/>
      <c r="MLV41" s="478"/>
      <c r="MLW41" s="478"/>
      <c r="MLX41" s="478"/>
      <c r="MLY41" s="478"/>
      <c r="MLZ41" s="478"/>
      <c r="MMA41" s="478"/>
      <c r="MMB41" s="478"/>
      <c r="MMC41" s="478"/>
      <c r="MMD41" s="478"/>
      <c r="MME41" s="478"/>
      <c r="MMF41" s="478"/>
      <c r="MMG41" s="478"/>
      <c r="MMH41" s="478"/>
      <c r="MMI41" s="478"/>
      <c r="MMJ41" s="478"/>
      <c r="MMK41" s="478"/>
      <c r="MML41" s="478"/>
      <c r="MMM41" s="478"/>
      <c r="MMN41" s="478"/>
      <c r="MMO41" s="478"/>
      <c r="MMP41" s="478"/>
      <c r="MMQ41" s="478"/>
      <c r="MMR41" s="478"/>
      <c r="MMS41" s="478"/>
      <c r="MMT41" s="478"/>
      <c r="MMU41" s="478"/>
      <c r="MMV41" s="478"/>
      <c r="MMW41" s="478"/>
      <c r="MMX41" s="478"/>
      <c r="MMY41" s="478"/>
      <c r="MMZ41" s="478"/>
      <c r="MNA41" s="478"/>
      <c r="MNB41" s="478"/>
      <c r="MNC41" s="478"/>
      <c r="MND41" s="478"/>
      <c r="MNE41" s="478"/>
      <c r="MNF41" s="478"/>
      <c r="MNG41" s="478"/>
      <c r="MNH41" s="478"/>
      <c r="MNI41" s="478"/>
      <c r="MNJ41" s="478"/>
      <c r="MNK41" s="478"/>
      <c r="MNL41" s="478"/>
      <c r="MNM41" s="478"/>
      <c r="MNN41" s="478"/>
      <c r="MNO41" s="478"/>
      <c r="MNP41" s="478"/>
      <c r="MNQ41" s="478"/>
      <c r="MNR41" s="478"/>
      <c r="MNS41" s="478"/>
      <c r="MNT41" s="478"/>
      <c r="MNU41" s="478"/>
      <c r="MNV41" s="478"/>
      <c r="MNW41" s="478"/>
      <c r="MNX41" s="478"/>
      <c r="MNY41" s="478"/>
      <c r="MNZ41" s="478"/>
      <c r="MOA41" s="478"/>
      <c r="MOB41" s="478"/>
      <c r="MOC41" s="478"/>
      <c r="MOD41" s="478"/>
      <c r="MOE41" s="478"/>
      <c r="MOF41" s="478"/>
      <c r="MOG41" s="478"/>
      <c r="MOH41" s="478"/>
      <c r="MOI41" s="478"/>
      <c r="MOJ41" s="478"/>
      <c r="MOK41" s="478"/>
      <c r="MOL41" s="478"/>
      <c r="MOM41" s="478"/>
      <c r="MON41" s="478"/>
      <c r="MOO41" s="478"/>
      <c r="MOP41" s="478"/>
      <c r="MOQ41" s="478"/>
      <c r="MOR41" s="478"/>
      <c r="MOS41" s="478"/>
      <c r="MOT41" s="478"/>
      <c r="MOU41" s="478"/>
      <c r="MOV41" s="478"/>
      <c r="MOW41" s="478"/>
      <c r="MOX41" s="478"/>
      <c r="MOY41" s="478"/>
      <c r="MOZ41" s="478"/>
      <c r="MPA41" s="478"/>
      <c r="MPB41" s="478"/>
      <c r="MPC41" s="478"/>
      <c r="MPD41" s="478"/>
      <c r="MPE41" s="478"/>
      <c r="MPF41" s="478"/>
      <c r="MPG41" s="478"/>
      <c r="MPH41" s="478"/>
      <c r="MPI41" s="478"/>
      <c r="MPJ41" s="478"/>
      <c r="MPK41" s="478"/>
      <c r="MPL41" s="478"/>
      <c r="MPM41" s="478"/>
      <c r="MPN41" s="478"/>
      <c r="MPO41" s="478"/>
      <c r="MPP41" s="478"/>
      <c r="MPQ41" s="478"/>
      <c r="MPR41" s="478"/>
      <c r="MPS41" s="478"/>
      <c r="MPT41" s="478"/>
      <c r="MPU41" s="478"/>
      <c r="MPV41" s="478"/>
      <c r="MPW41" s="478"/>
      <c r="MPX41" s="478"/>
      <c r="MPY41" s="478"/>
      <c r="MPZ41" s="478"/>
      <c r="MQA41" s="478"/>
      <c r="MQB41" s="478"/>
      <c r="MQC41" s="478"/>
      <c r="MQD41" s="478"/>
      <c r="MQE41" s="478"/>
      <c r="MQF41" s="478"/>
      <c r="MQG41" s="478"/>
      <c r="MQH41" s="478"/>
      <c r="MQI41" s="478"/>
      <c r="MQJ41" s="478"/>
      <c r="MQK41" s="478"/>
      <c r="MQL41" s="478"/>
      <c r="MQM41" s="478"/>
      <c r="MQN41" s="478"/>
      <c r="MQO41" s="478"/>
      <c r="MQP41" s="478"/>
      <c r="MQQ41" s="478"/>
      <c r="MQR41" s="478"/>
      <c r="MQS41" s="478"/>
      <c r="MQT41" s="478"/>
      <c r="MQU41" s="478"/>
      <c r="MQV41" s="478"/>
      <c r="MQW41" s="478"/>
      <c r="MQX41" s="478"/>
      <c r="MQY41" s="478"/>
      <c r="MQZ41" s="478"/>
      <c r="MRA41" s="478"/>
      <c r="MRB41" s="478"/>
      <c r="MRC41" s="478"/>
      <c r="MRD41" s="478"/>
      <c r="MRE41" s="478"/>
      <c r="MRF41" s="478"/>
      <c r="MRG41" s="478"/>
      <c r="MRH41" s="478"/>
      <c r="MRI41" s="478"/>
      <c r="MRJ41" s="478"/>
      <c r="MRK41" s="478"/>
      <c r="MRL41" s="478"/>
      <c r="MRM41" s="478"/>
      <c r="MRN41" s="478"/>
      <c r="MRO41" s="478"/>
      <c r="MRP41" s="478"/>
      <c r="MRQ41" s="478"/>
      <c r="MRR41" s="478"/>
      <c r="MRS41" s="478"/>
      <c r="MRT41" s="478"/>
      <c r="MRU41" s="478"/>
      <c r="MRV41" s="478"/>
      <c r="MRW41" s="478"/>
      <c r="MRX41" s="478"/>
      <c r="MRY41" s="478"/>
      <c r="MRZ41" s="478"/>
      <c r="MSA41" s="478"/>
      <c r="MSB41" s="478"/>
      <c r="MSC41" s="478"/>
      <c r="MSD41" s="478"/>
      <c r="MSE41" s="478"/>
      <c r="MSF41" s="478"/>
      <c r="MSG41" s="478"/>
      <c r="MSH41" s="478"/>
      <c r="MSI41" s="478"/>
      <c r="MSJ41" s="478"/>
      <c r="MSK41" s="478"/>
      <c r="MSL41" s="478"/>
      <c r="MSM41" s="478"/>
      <c r="MSN41" s="478"/>
      <c r="MSO41" s="478"/>
      <c r="MSP41" s="478"/>
      <c r="MSQ41" s="478"/>
      <c r="MSR41" s="478"/>
      <c r="MSS41" s="478"/>
      <c r="MST41" s="478"/>
      <c r="MSU41" s="478"/>
      <c r="MSV41" s="478"/>
      <c r="MSW41" s="478"/>
      <c r="MSX41" s="478"/>
      <c r="MSY41" s="478"/>
      <c r="MSZ41" s="478"/>
      <c r="MTA41" s="478"/>
      <c r="MTB41" s="478"/>
      <c r="MTC41" s="478"/>
      <c r="MTD41" s="478"/>
      <c r="MTE41" s="478"/>
      <c r="MTF41" s="478"/>
      <c r="MTG41" s="478"/>
      <c r="MTH41" s="478"/>
      <c r="MTI41" s="478"/>
      <c r="MTJ41" s="478"/>
      <c r="MTK41" s="478"/>
      <c r="MTL41" s="478"/>
      <c r="MTM41" s="478"/>
      <c r="MTN41" s="478"/>
      <c r="MTO41" s="478"/>
      <c r="MTP41" s="478"/>
      <c r="MTQ41" s="478"/>
      <c r="MTR41" s="478"/>
      <c r="MTS41" s="478"/>
      <c r="MTT41" s="478"/>
      <c r="MTU41" s="478"/>
      <c r="MTV41" s="478"/>
      <c r="MTW41" s="478"/>
      <c r="MTX41" s="478"/>
      <c r="MTY41" s="478"/>
      <c r="MTZ41" s="478"/>
      <c r="MUA41" s="478"/>
      <c r="MUB41" s="478"/>
      <c r="MUC41" s="478"/>
      <c r="MUD41" s="478"/>
      <c r="MUE41" s="478"/>
      <c r="MUF41" s="478"/>
      <c r="MUG41" s="478"/>
      <c r="MUH41" s="478"/>
      <c r="MUI41" s="478"/>
      <c r="MUJ41" s="478"/>
      <c r="MUK41" s="478"/>
      <c r="MUL41" s="478"/>
      <c r="MUM41" s="478"/>
      <c r="MUN41" s="478"/>
      <c r="MUO41" s="478"/>
      <c r="MUP41" s="478"/>
      <c r="MUQ41" s="478"/>
      <c r="MUR41" s="478"/>
      <c r="MUS41" s="478"/>
      <c r="MUT41" s="478"/>
      <c r="MUU41" s="478"/>
      <c r="MUV41" s="478"/>
      <c r="MUW41" s="478"/>
      <c r="MUX41" s="478"/>
      <c r="MUY41" s="478"/>
      <c r="MUZ41" s="478"/>
      <c r="MVA41" s="478"/>
      <c r="MVB41" s="478"/>
      <c r="MVC41" s="478"/>
      <c r="MVD41" s="478"/>
      <c r="MVE41" s="478"/>
      <c r="MVF41" s="478"/>
      <c r="MVG41" s="478"/>
      <c r="MVH41" s="478"/>
      <c r="MVI41" s="478"/>
      <c r="MVJ41" s="478"/>
      <c r="MVK41" s="478"/>
      <c r="MVL41" s="478"/>
      <c r="MVM41" s="478"/>
      <c r="MVN41" s="478"/>
      <c r="MVO41" s="478"/>
      <c r="MVP41" s="478"/>
      <c r="MVQ41" s="478"/>
      <c r="MVR41" s="478"/>
      <c r="MVS41" s="478"/>
      <c r="MVT41" s="478"/>
      <c r="MVU41" s="478"/>
      <c r="MVV41" s="478"/>
      <c r="MVW41" s="478"/>
      <c r="MVX41" s="478"/>
      <c r="MVY41" s="478"/>
      <c r="MVZ41" s="478"/>
      <c r="MWA41" s="478"/>
      <c r="MWB41" s="478"/>
      <c r="MWC41" s="478"/>
      <c r="MWD41" s="478"/>
      <c r="MWE41" s="478"/>
      <c r="MWF41" s="478"/>
      <c r="MWG41" s="478"/>
      <c r="MWH41" s="478"/>
      <c r="MWI41" s="478"/>
      <c r="MWJ41" s="478"/>
      <c r="MWK41" s="478"/>
      <c r="MWL41" s="478"/>
      <c r="MWM41" s="478"/>
      <c r="MWN41" s="478"/>
      <c r="MWO41" s="478"/>
      <c r="MWP41" s="478"/>
      <c r="MWQ41" s="478"/>
      <c r="MWR41" s="478"/>
      <c r="MWS41" s="478"/>
      <c r="MWT41" s="478"/>
      <c r="MWU41" s="478"/>
      <c r="MWV41" s="478"/>
      <c r="MWW41" s="478"/>
      <c r="MWX41" s="478"/>
      <c r="MWY41" s="478"/>
      <c r="MWZ41" s="478"/>
      <c r="MXA41" s="478"/>
      <c r="MXB41" s="478"/>
      <c r="MXC41" s="478"/>
      <c r="MXD41" s="478"/>
      <c r="MXE41" s="478"/>
      <c r="MXF41" s="478"/>
      <c r="MXG41" s="478"/>
      <c r="MXH41" s="478"/>
      <c r="MXI41" s="478"/>
      <c r="MXJ41" s="478"/>
      <c r="MXK41" s="478"/>
      <c r="MXL41" s="478"/>
      <c r="MXM41" s="478"/>
      <c r="MXN41" s="478"/>
      <c r="MXO41" s="478"/>
      <c r="MXP41" s="478"/>
      <c r="MXQ41" s="478"/>
      <c r="MXR41" s="478"/>
      <c r="MXS41" s="478"/>
      <c r="MXT41" s="478"/>
      <c r="MXU41" s="478"/>
      <c r="MXV41" s="478"/>
      <c r="MXW41" s="478"/>
      <c r="MXX41" s="478"/>
      <c r="MXY41" s="478"/>
      <c r="MXZ41" s="478"/>
      <c r="MYA41" s="478"/>
      <c r="MYB41" s="478"/>
      <c r="MYC41" s="478"/>
      <c r="MYD41" s="478"/>
      <c r="MYE41" s="478"/>
      <c r="MYF41" s="478"/>
      <c r="MYG41" s="478"/>
      <c r="MYH41" s="478"/>
      <c r="MYI41" s="478"/>
      <c r="MYJ41" s="478"/>
      <c r="MYK41" s="478"/>
      <c r="MYL41" s="478"/>
      <c r="MYM41" s="478"/>
      <c r="MYN41" s="478"/>
      <c r="MYO41" s="478"/>
      <c r="MYP41" s="478"/>
      <c r="MYQ41" s="478"/>
      <c r="MYR41" s="478"/>
      <c r="MYS41" s="478"/>
      <c r="MYT41" s="478"/>
      <c r="MYU41" s="478"/>
      <c r="MYV41" s="478"/>
      <c r="MYW41" s="478"/>
      <c r="MYX41" s="478"/>
      <c r="MYY41" s="478"/>
      <c r="MYZ41" s="478"/>
      <c r="MZA41" s="478"/>
      <c r="MZB41" s="478"/>
      <c r="MZC41" s="478"/>
      <c r="MZD41" s="478"/>
      <c r="MZE41" s="478"/>
      <c r="MZF41" s="478"/>
      <c r="MZG41" s="478"/>
      <c r="MZH41" s="478"/>
      <c r="MZI41" s="478"/>
      <c r="MZJ41" s="478"/>
      <c r="MZK41" s="478"/>
      <c r="MZL41" s="478"/>
      <c r="MZM41" s="478"/>
      <c r="MZN41" s="478"/>
      <c r="MZO41" s="478"/>
      <c r="MZP41" s="478"/>
      <c r="MZQ41" s="478"/>
      <c r="MZR41" s="478"/>
      <c r="MZS41" s="478"/>
      <c r="MZT41" s="478"/>
      <c r="MZU41" s="478"/>
      <c r="MZV41" s="478"/>
      <c r="MZW41" s="478"/>
      <c r="MZX41" s="478"/>
      <c r="MZY41" s="478"/>
      <c r="MZZ41" s="478"/>
      <c r="NAA41" s="478"/>
      <c r="NAB41" s="478"/>
      <c r="NAC41" s="478"/>
      <c r="NAD41" s="478"/>
      <c r="NAE41" s="478"/>
      <c r="NAF41" s="478"/>
      <c r="NAG41" s="478"/>
      <c r="NAH41" s="478"/>
      <c r="NAI41" s="478"/>
      <c r="NAJ41" s="478"/>
      <c r="NAK41" s="478"/>
      <c r="NAL41" s="478"/>
      <c r="NAM41" s="478"/>
      <c r="NAN41" s="478"/>
      <c r="NAO41" s="478"/>
      <c r="NAP41" s="478"/>
      <c r="NAQ41" s="478"/>
      <c r="NAR41" s="478"/>
      <c r="NAS41" s="478"/>
      <c r="NAT41" s="478"/>
      <c r="NAU41" s="478"/>
      <c r="NAV41" s="478"/>
      <c r="NAW41" s="478"/>
      <c r="NAX41" s="478"/>
      <c r="NAY41" s="478"/>
      <c r="NAZ41" s="478"/>
      <c r="NBA41" s="478"/>
      <c r="NBB41" s="478"/>
      <c r="NBC41" s="478"/>
      <c r="NBD41" s="478"/>
      <c r="NBE41" s="478"/>
      <c r="NBF41" s="478"/>
      <c r="NBG41" s="478"/>
      <c r="NBH41" s="478"/>
      <c r="NBI41" s="478"/>
      <c r="NBJ41" s="478"/>
      <c r="NBK41" s="478"/>
      <c r="NBL41" s="478"/>
      <c r="NBM41" s="478"/>
      <c r="NBN41" s="478"/>
      <c r="NBO41" s="478"/>
      <c r="NBP41" s="478"/>
      <c r="NBQ41" s="478"/>
      <c r="NBR41" s="478"/>
      <c r="NBS41" s="478"/>
      <c r="NBT41" s="478"/>
      <c r="NBU41" s="478"/>
      <c r="NBV41" s="478"/>
      <c r="NBW41" s="478"/>
      <c r="NBX41" s="478"/>
      <c r="NBY41" s="478"/>
      <c r="NBZ41" s="478"/>
      <c r="NCA41" s="478"/>
      <c r="NCB41" s="478"/>
      <c r="NCC41" s="478"/>
      <c r="NCD41" s="478"/>
      <c r="NCE41" s="478"/>
      <c r="NCF41" s="478"/>
      <c r="NCG41" s="478"/>
      <c r="NCH41" s="478"/>
      <c r="NCI41" s="478"/>
      <c r="NCJ41" s="478"/>
      <c r="NCK41" s="478"/>
      <c r="NCL41" s="478"/>
      <c r="NCM41" s="478"/>
      <c r="NCN41" s="478"/>
      <c r="NCO41" s="478"/>
      <c r="NCP41" s="478"/>
      <c r="NCQ41" s="478"/>
      <c r="NCR41" s="478"/>
      <c r="NCS41" s="478"/>
      <c r="NCT41" s="478"/>
      <c r="NCU41" s="478"/>
      <c r="NCV41" s="478"/>
      <c r="NCW41" s="478"/>
      <c r="NCX41" s="478"/>
      <c r="NCY41" s="478"/>
      <c r="NCZ41" s="478"/>
      <c r="NDA41" s="478"/>
      <c r="NDB41" s="478"/>
      <c r="NDC41" s="478"/>
      <c r="NDD41" s="478"/>
      <c r="NDE41" s="478"/>
      <c r="NDF41" s="478"/>
      <c r="NDG41" s="478"/>
      <c r="NDH41" s="478"/>
      <c r="NDI41" s="478"/>
      <c r="NDJ41" s="478"/>
      <c r="NDK41" s="478"/>
      <c r="NDL41" s="478"/>
      <c r="NDM41" s="478"/>
      <c r="NDN41" s="478"/>
      <c r="NDO41" s="478"/>
      <c r="NDP41" s="478"/>
      <c r="NDQ41" s="478"/>
      <c r="NDR41" s="478"/>
      <c r="NDS41" s="478"/>
      <c r="NDT41" s="478"/>
      <c r="NDU41" s="478"/>
      <c r="NDV41" s="478"/>
      <c r="NDW41" s="478"/>
      <c r="NDX41" s="478"/>
      <c r="NDY41" s="478"/>
      <c r="NDZ41" s="478"/>
      <c r="NEA41" s="478"/>
      <c r="NEB41" s="478"/>
      <c r="NEC41" s="478"/>
      <c r="NED41" s="478"/>
      <c r="NEE41" s="478"/>
      <c r="NEF41" s="478"/>
      <c r="NEG41" s="478"/>
      <c r="NEH41" s="478"/>
      <c r="NEI41" s="478"/>
      <c r="NEJ41" s="478"/>
      <c r="NEK41" s="478"/>
      <c r="NEL41" s="478"/>
      <c r="NEM41" s="478"/>
      <c r="NEN41" s="478"/>
      <c r="NEO41" s="478"/>
      <c r="NEP41" s="478"/>
      <c r="NEQ41" s="478"/>
      <c r="NER41" s="478"/>
      <c r="NES41" s="478"/>
      <c r="NET41" s="478"/>
      <c r="NEU41" s="478"/>
      <c r="NEV41" s="478"/>
      <c r="NEW41" s="478"/>
      <c r="NEX41" s="478"/>
      <c r="NEY41" s="478"/>
      <c r="NEZ41" s="478"/>
      <c r="NFA41" s="478"/>
      <c r="NFB41" s="478"/>
      <c r="NFC41" s="478"/>
      <c r="NFD41" s="478"/>
      <c r="NFE41" s="478"/>
      <c r="NFF41" s="478"/>
      <c r="NFG41" s="478"/>
      <c r="NFH41" s="478"/>
      <c r="NFI41" s="478"/>
      <c r="NFJ41" s="478"/>
      <c r="NFK41" s="478"/>
      <c r="NFL41" s="478"/>
      <c r="NFM41" s="478"/>
      <c r="NFN41" s="478"/>
      <c r="NFO41" s="478"/>
      <c r="NFP41" s="478"/>
      <c r="NFQ41" s="478"/>
      <c r="NFR41" s="478"/>
      <c r="NFS41" s="478"/>
      <c r="NFT41" s="478"/>
      <c r="NFU41" s="478"/>
      <c r="NFV41" s="478"/>
      <c r="NFW41" s="478"/>
      <c r="NFX41" s="478"/>
      <c r="NFY41" s="478"/>
      <c r="NFZ41" s="478"/>
      <c r="NGA41" s="478"/>
      <c r="NGB41" s="478"/>
      <c r="NGC41" s="478"/>
      <c r="NGD41" s="478"/>
      <c r="NGE41" s="478"/>
      <c r="NGF41" s="478"/>
      <c r="NGG41" s="478"/>
      <c r="NGH41" s="478"/>
      <c r="NGI41" s="478"/>
      <c r="NGJ41" s="478"/>
      <c r="NGK41" s="478"/>
      <c r="NGL41" s="478"/>
      <c r="NGM41" s="478"/>
      <c r="NGN41" s="478"/>
      <c r="NGO41" s="478"/>
      <c r="NGP41" s="478"/>
      <c r="NGQ41" s="478"/>
      <c r="NGR41" s="478"/>
      <c r="NGS41" s="478"/>
      <c r="NGT41" s="478"/>
      <c r="NGU41" s="478"/>
      <c r="NGV41" s="478"/>
      <c r="NGW41" s="478"/>
      <c r="NGX41" s="478"/>
      <c r="NGY41" s="478"/>
      <c r="NGZ41" s="478"/>
      <c r="NHA41" s="478"/>
      <c r="NHB41" s="478"/>
      <c r="NHC41" s="478"/>
      <c r="NHD41" s="478"/>
      <c r="NHE41" s="478"/>
      <c r="NHF41" s="478"/>
      <c r="NHG41" s="478"/>
      <c r="NHH41" s="478"/>
      <c r="NHI41" s="478"/>
      <c r="NHJ41" s="478"/>
      <c r="NHK41" s="478"/>
      <c r="NHL41" s="478"/>
      <c r="NHM41" s="478"/>
      <c r="NHN41" s="478"/>
      <c r="NHO41" s="478"/>
      <c r="NHP41" s="478"/>
      <c r="NHQ41" s="478"/>
      <c r="NHR41" s="478"/>
      <c r="NHS41" s="478"/>
      <c r="NHT41" s="478"/>
      <c r="NHU41" s="478"/>
      <c r="NHV41" s="478"/>
      <c r="NHW41" s="478"/>
      <c r="NHX41" s="478"/>
      <c r="NHY41" s="478"/>
      <c r="NHZ41" s="478"/>
      <c r="NIA41" s="478"/>
      <c r="NIB41" s="478"/>
      <c r="NIC41" s="478"/>
      <c r="NID41" s="478"/>
      <c r="NIE41" s="478"/>
      <c r="NIF41" s="478"/>
      <c r="NIG41" s="478"/>
      <c r="NIH41" s="478"/>
      <c r="NII41" s="478"/>
      <c r="NIJ41" s="478"/>
      <c r="NIK41" s="478"/>
      <c r="NIL41" s="478"/>
      <c r="NIM41" s="478"/>
      <c r="NIN41" s="478"/>
      <c r="NIO41" s="478"/>
      <c r="NIP41" s="478"/>
      <c r="NIQ41" s="478"/>
      <c r="NIR41" s="478"/>
      <c r="NIS41" s="478"/>
      <c r="NIT41" s="478"/>
      <c r="NIU41" s="478"/>
      <c r="NIV41" s="478"/>
      <c r="NIW41" s="478"/>
      <c r="NIX41" s="478"/>
      <c r="NIY41" s="478"/>
      <c r="NIZ41" s="478"/>
      <c r="NJA41" s="478"/>
      <c r="NJB41" s="478"/>
      <c r="NJC41" s="478"/>
      <c r="NJD41" s="478"/>
      <c r="NJE41" s="478"/>
      <c r="NJF41" s="478"/>
      <c r="NJG41" s="478"/>
      <c r="NJH41" s="478"/>
      <c r="NJI41" s="478"/>
      <c r="NJJ41" s="478"/>
      <c r="NJK41" s="478"/>
      <c r="NJL41" s="478"/>
      <c r="NJM41" s="478"/>
      <c r="NJN41" s="478"/>
      <c r="NJO41" s="478"/>
      <c r="NJP41" s="478"/>
      <c r="NJQ41" s="478"/>
      <c r="NJR41" s="478"/>
      <c r="NJS41" s="478"/>
      <c r="NJT41" s="478"/>
      <c r="NJU41" s="478"/>
      <c r="NJV41" s="478"/>
      <c r="NJW41" s="478"/>
      <c r="NJX41" s="478"/>
      <c r="NJY41" s="478"/>
      <c r="NJZ41" s="478"/>
      <c r="NKA41" s="478"/>
      <c r="NKB41" s="478"/>
      <c r="NKC41" s="478"/>
      <c r="NKD41" s="478"/>
      <c r="NKE41" s="478"/>
      <c r="NKF41" s="478"/>
      <c r="NKG41" s="478"/>
      <c r="NKH41" s="478"/>
      <c r="NKI41" s="478"/>
      <c r="NKJ41" s="478"/>
      <c r="NKK41" s="478"/>
      <c r="NKL41" s="478"/>
      <c r="NKM41" s="478"/>
      <c r="NKN41" s="478"/>
      <c r="NKO41" s="478"/>
      <c r="NKP41" s="478"/>
      <c r="NKQ41" s="478"/>
      <c r="NKR41" s="478"/>
      <c r="NKS41" s="478"/>
      <c r="NKT41" s="478"/>
      <c r="NKU41" s="478"/>
      <c r="NKV41" s="478"/>
      <c r="NKW41" s="478"/>
      <c r="NKX41" s="478"/>
      <c r="NKY41" s="478"/>
      <c r="NKZ41" s="478"/>
      <c r="NLA41" s="478"/>
      <c r="NLB41" s="478"/>
      <c r="NLC41" s="478"/>
      <c r="NLD41" s="478"/>
      <c r="NLE41" s="478"/>
      <c r="NLF41" s="478"/>
      <c r="NLG41" s="478"/>
      <c r="NLH41" s="478"/>
      <c r="NLI41" s="478"/>
      <c r="NLJ41" s="478"/>
      <c r="NLK41" s="478"/>
      <c r="NLL41" s="478"/>
      <c r="NLM41" s="478"/>
      <c r="NLN41" s="478"/>
      <c r="NLO41" s="478"/>
      <c r="NLP41" s="478"/>
      <c r="NLQ41" s="478"/>
      <c r="NLR41" s="478"/>
      <c r="NLS41" s="478"/>
      <c r="NLT41" s="478"/>
      <c r="NLU41" s="478"/>
      <c r="NLV41" s="478"/>
      <c r="NLW41" s="478"/>
      <c r="NLX41" s="478"/>
      <c r="NLY41" s="478"/>
      <c r="NLZ41" s="478"/>
      <c r="NMA41" s="478"/>
      <c r="NMB41" s="478"/>
      <c r="NMC41" s="478"/>
      <c r="NMD41" s="478"/>
      <c r="NME41" s="478"/>
      <c r="NMF41" s="478"/>
      <c r="NMG41" s="478"/>
      <c r="NMH41" s="478"/>
      <c r="NMI41" s="478"/>
      <c r="NMJ41" s="478"/>
      <c r="NMK41" s="478"/>
      <c r="NML41" s="478"/>
      <c r="NMM41" s="478"/>
      <c r="NMN41" s="478"/>
      <c r="NMO41" s="478"/>
      <c r="NMP41" s="478"/>
      <c r="NMQ41" s="478"/>
      <c r="NMR41" s="478"/>
      <c r="NMS41" s="478"/>
      <c r="NMT41" s="478"/>
      <c r="NMU41" s="478"/>
      <c r="NMV41" s="478"/>
      <c r="NMW41" s="478"/>
      <c r="NMX41" s="478"/>
      <c r="NMY41" s="478"/>
      <c r="NMZ41" s="478"/>
      <c r="NNA41" s="478"/>
      <c r="NNB41" s="478"/>
      <c r="NNC41" s="478"/>
      <c r="NND41" s="478"/>
      <c r="NNE41" s="478"/>
      <c r="NNF41" s="478"/>
      <c r="NNG41" s="478"/>
      <c r="NNH41" s="478"/>
      <c r="NNI41" s="478"/>
      <c r="NNJ41" s="478"/>
      <c r="NNK41" s="478"/>
      <c r="NNL41" s="478"/>
      <c r="NNM41" s="478"/>
      <c r="NNN41" s="478"/>
      <c r="NNO41" s="478"/>
      <c r="NNP41" s="478"/>
      <c r="NNQ41" s="478"/>
      <c r="NNR41" s="478"/>
      <c r="NNS41" s="478"/>
      <c r="NNT41" s="478"/>
      <c r="NNU41" s="478"/>
      <c r="NNV41" s="478"/>
      <c r="NNW41" s="478"/>
      <c r="NNX41" s="478"/>
      <c r="NNY41" s="478"/>
      <c r="NNZ41" s="478"/>
      <c r="NOA41" s="478"/>
      <c r="NOB41" s="478"/>
      <c r="NOC41" s="478"/>
      <c r="NOD41" s="478"/>
      <c r="NOE41" s="478"/>
      <c r="NOF41" s="478"/>
      <c r="NOG41" s="478"/>
      <c r="NOH41" s="478"/>
      <c r="NOI41" s="478"/>
      <c r="NOJ41" s="478"/>
      <c r="NOK41" s="478"/>
      <c r="NOL41" s="478"/>
      <c r="NOM41" s="478"/>
      <c r="NON41" s="478"/>
      <c r="NOO41" s="478"/>
      <c r="NOP41" s="478"/>
      <c r="NOQ41" s="478"/>
      <c r="NOR41" s="478"/>
      <c r="NOS41" s="478"/>
      <c r="NOT41" s="478"/>
      <c r="NOU41" s="478"/>
      <c r="NOV41" s="478"/>
      <c r="NOW41" s="478"/>
      <c r="NOX41" s="478"/>
      <c r="NOY41" s="478"/>
      <c r="NOZ41" s="478"/>
      <c r="NPA41" s="478"/>
      <c r="NPB41" s="478"/>
      <c r="NPC41" s="478"/>
      <c r="NPD41" s="478"/>
      <c r="NPE41" s="478"/>
      <c r="NPF41" s="478"/>
      <c r="NPG41" s="478"/>
      <c r="NPH41" s="478"/>
      <c r="NPI41" s="478"/>
      <c r="NPJ41" s="478"/>
      <c r="NPK41" s="478"/>
      <c r="NPL41" s="478"/>
      <c r="NPM41" s="478"/>
      <c r="NPN41" s="478"/>
      <c r="NPO41" s="478"/>
      <c r="NPP41" s="478"/>
      <c r="NPQ41" s="478"/>
      <c r="NPR41" s="478"/>
      <c r="NPS41" s="478"/>
      <c r="NPT41" s="478"/>
      <c r="NPU41" s="478"/>
      <c r="NPV41" s="478"/>
      <c r="NPW41" s="478"/>
      <c r="NPX41" s="478"/>
      <c r="NPY41" s="478"/>
      <c r="NPZ41" s="478"/>
      <c r="NQA41" s="478"/>
      <c r="NQB41" s="478"/>
      <c r="NQC41" s="478"/>
      <c r="NQD41" s="478"/>
      <c r="NQE41" s="478"/>
      <c r="NQF41" s="478"/>
      <c r="NQG41" s="478"/>
      <c r="NQH41" s="478"/>
      <c r="NQI41" s="478"/>
      <c r="NQJ41" s="478"/>
      <c r="NQK41" s="478"/>
      <c r="NQL41" s="478"/>
      <c r="NQM41" s="478"/>
      <c r="NQN41" s="478"/>
      <c r="NQO41" s="478"/>
      <c r="NQP41" s="478"/>
      <c r="NQQ41" s="478"/>
      <c r="NQR41" s="478"/>
      <c r="NQS41" s="478"/>
      <c r="NQT41" s="478"/>
      <c r="NQU41" s="478"/>
      <c r="NQV41" s="478"/>
      <c r="NQW41" s="478"/>
      <c r="NQX41" s="478"/>
      <c r="NQY41" s="478"/>
      <c r="NQZ41" s="478"/>
      <c r="NRA41" s="478"/>
      <c r="NRB41" s="478"/>
      <c r="NRC41" s="478"/>
      <c r="NRD41" s="478"/>
      <c r="NRE41" s="478"/>
      <c r="NRF41" s="478"/>
      <c r="NRG41" s="478"/>
      <c r="NRH41" s="478"/>
      <c r="NRI41" s="478"/>
      <c r="NRJ41" s="478"/>
      <c r="NRK41" s="478"/>
      <c r="NRL41" s="478"/>
      <c r="NRM41" s="478"/>
      <c r="NRN41" s="478"/>
      <c r="NRO41" s="478"/>
      <c r="NRP41" s="478"/>
      <c r="NRQ41" s="478"/>
      <c r="NRR41" s="478"/>
      <c r="NRS41" s="478"/>
      <c r="NRT41" s="478"/>
      <c r="NRU41" s="478"/>
      <c r="NRV41" s="478"/>
      <c r="NRW41" s="478"/>
      <c r="NRX41" s="478"/>
      <c r="NRY41" s="478"/>
      <c r="NRZ41" s="478"/>
      <c r="NSA41" s="478"/>
      <c r="NSB41" s="478"/>
      <c r="NSC41" s="478"/>
      <c r="NSD41" s="478"/>
      <c r="NSE41" s="478"/>
      <c r="NSF41" s="478"/>
      <c r="NSG41" s="478"/>
      <c r="NSH41" s="478"/>
      <c r="NSI41" s="478"/>
      <c r="NSJ41" s="478"/>
      <c r="NSK41" s="478"/>
      <c r="NSL41" s="478"/>
      <c r="NSM41" s="478"/>
      <c r="NSN41" s="478"/>
      <c r="NSO41" s="478"/>
      <c r="NSP41" s="478"/>
      <c r="NSQ41" s="478"/>
      <c r="NSR41" s="478"/>
      <c r="NSS41" s="478"/>
      <c r="NST41" s="478"/>
      <c r="NSU41" s="478"/>
      <c r="NSV41" s="478"/>
      <c r="NSW41" s="478"/>
      <c r="NSX41" s="478"/>
      <c r="NSY41" s="478"/>
      <c r="NSZ41" s="478"/>
      <c r="NTA41" s="478"/>
      <c r="NTB41" s="478"/>
      <c r="NTC41" s="478"/>
      <c r="NTD41" s="478"/>
      <c r="NTE41" s="478"/>
      <c r="NTF41" s="478"/>
      <c r="NTG41" s="478"/>
      <c r="NTH41" s="478"/>
      <c r="NTI41" s="478"/>
      <c r="NTJ41" s="478"/>
      <c r="NTK41" s="478"/>
      <c r="NTL41" s="478"/>
      <c r="NTM41" s="478"/>
      <c r="NTN41" s="478"/>
      <c r="NTO41" s="478"/>
      <c r="NTP41" s="478"/>
      <c r="NTQ41" s="478"/>
      <c r="NTR41" s="478"/>
      <c r="NTS41" s="478"/>
      <c r="NTT41" s="478"/>
      <c r="NTU41" s="478"/>
      <c r="NTV41" s="478"/>
      <c r="NTW41" s="478"/>
      <c r="NTX41" s="478"/>
      <c r="NTY41" s="478"/>
      <c r="NTZ41" s="478"/>
      <c r="NUA41" s="478"/>
      <c r="NUB41" s="478"/>
      <c r="NUC41" s="478"/>
      <c r="NUD41" s="478"/>
      <c r="NUE41" s="478"/>
      <c r="NUF41" s="478"/>
      <c r="NUG41" s="478"/>
      <c r="NUH41" s="478"/>
      <c r="NUI41" s="478"/>
      <c r="NUJ41" s="478"/>
      <c r="NUK41" s="478"/>
      <c r="NUL41" s="478"/>
      <c r="NUM41" s="478"/>
      <c r="NUN41" s="478"/>
      <c r="NUO41" s="478"/>
      <c r="NUP41" s="478"/>
      <c r="NUQ41" s="478"/>
      <c r="NUR41" s="478"/>
      <c r="NUS41" s="478"/>
      <c r="NUT41" s="478"/>
      <c r="NUU41" s="478"/>
      <c r="NUV41" s="478"/>
      <c r="NUW41" s="478"/>
      <c r="NUX41" s="478"/>
      <c r="NUY41" s="478"/>
      <c r="NUZ41" s="478"/>
      <c r="NVA41" s="478"/>
      <c r="NVB41" s="478"/>
      <c r="NVC41" s="478"/>
      <c r="NVD41" s="478"/>
      <c r="NVE41" s="478"/>
      <c r="NVF41" s="478"/>
      <c r="NVG41" s="478"/>
      <c r="NVH41" s="478"/>
      <c r="NVI41" s="478"/>
      <c r="NVJ41" s="478"/>
      <c r="NVK41" s="478"/>
      <c r="NVL41" s="478"/>
      <c r="NVM41" s="478"/>
      <c r="NVN41" s="478"/>
      <c r="NVO41" s="478"/>
      <c r="NVP41" s="478"/>
      <c r="NVQ41" s="478"/>
      <c r="NVR41" s="478"/>
      <c r="NVS41" s="478"/>
      <c r="NVT41" s="478"/>
      <c r="NVU41" s="478"/>
      <c r="NVV41" s="478"/>
      <c r="NVW41" s="478"/>
      <c r="NVX41" s="478"/>
      <c r="NVY41" s="478"/>
      <c r="NVZ41" s="478"/>
      <c r="NWA41" s="478"/>
      <c r="NWB41" s="478"/>
      <c r="NWC41" s="478"/>
      <c r="NWD41" s="478"/>
      <c r="NWE41" s="478"/>
      <c r="NWF41" s="478"/>
      <c r="NWG41" s="478"/>
      <c r="NWH41" s="478"/>
      <c r="NWI41" s="478"/>
      <c r="NWJ41" s="478"/>
      <c r="NWK41" s="478"/>
      <c r="NWL41" s="478"/>
      <c r="NWM41" s="478"/>
      <c r="NWN41" s="478"/>
      <c r="NWO41" s="478"/>
      <c r="NWP41" s="478"/>
      <c r="NWQ41" s="478"/>
      <c r="NWR41" s="478"/>
      <c r="NWS41" s="478"/>
      <c r="NWT41" s="478"/>
      <c r="NWU41" s="478"/>
      <c r="NWV41" s="478"/>
      <c r="NWW41" s="478"/>
      <c r="NWX41" s="478"/>
      <c r="NWY41" s="478"/>
      <c r="NWZ41" s="478"/>
      <c r="NXA41" s="478"/>
      <c r="NXB41" s="478"/>
      <c r="NXC41" s="478"/>
      <c r="NXD41" s="478"/>
      <c r="NXE41" s="478"/>
      <c r="NXF41" s="478"/>
      <c r="NXG41" s="478"/>
      <c r="NXH41" s="478"/>
      <c r="NXI41" s="478"/>
      <c r="NXJ41" s="478"/>
      <c r="NXK41" s="478"/>
      <c r="NXL41" s="478"/>
      <c r="NXM41" s="478"/>
      <c r="NXN41" s="478"/>
      <c r="NXO41" s="478"/>
      <c r="NXP41" s="478"/>
      <c r="NXQ41" s="478"/>
      <c r="NXR41" s="478"/>
      <c r="NXS41" s="478"/>
      <c r="NXT41" s="478"/>
      <c r="NXU41" s="478"/>
      <c r="NXV41" s="478"/>
      <c r="NXW41" s="478"/>
      <c r="NXX41" s="478"/>
      <c r="NXY41" s="478"/>
      <c r="NXZ41" s="478"/>
      <c r="NYA41" s="478"/>
      <c r="NYB41" s="478"/>
      <c r="NYC41" s="478"/>
      <c r="NYD41" s="478"/>
      <c r="NYE41" s="478"/>
      <c r="NYF41" s="478"/>
      <c r="NYG41" s="478"/>
      <c r="NYH41" s="478"/>
      <c r="NYI41" s="478"/>
      <c r="NYJ41" s="478"/>
      <c r="NYK41" s="478"/>
      <c r="NYL41" s="478"/>
      <c r="NYM41" s="478"/>
      <c r="NYN41" s="478"/>
      <c r="NYO41" s="478"/>
      <c r="NYP41" s="478"/>
      <c r="NYQ41" s="478"/>
      <c r="NYR41" s="478"/>
      <c r="NYS41" s="478"/>
      <c r="NYT41" s="478"/>
      <c r="NYU41" s="478"/>
      <c r="NYV41" s="478"/>
      <c r="NYW41" s="478"/>
      <c r="NYX41" s="478"/>
      <c r="NYY41" s="478"/>
      <c r="NYZ41" s="478"/>
      <c r="NZA41" s="478"/>
      <c r="NZB41" s="478"/>
      <c r="NZC41" s="478"/>
      <c r="NZD41" s="478"/>
      <c r="NZE41" s="478"/>
      <c r="NZF41" s="478"/>
      <c r="NZG41" s="478"/>
      <c r="NZH41" s="478"/>
      <c r="NZI41" s="478"/>
      <c r="NZJ41" s="478"/>
      <c r="NZK41" s="478"/>
      <c r="NZL41" s="478"/>
      <c r="NZM41" s="478"/>
      <c r="NZN41" s="478"/>
      <c r="NZO41" s="478"/>
      <c r="NZP41" s="478"/>
      <c r="NZQ41" s="478"/>
      <c r="NZR41" s="478"/>
      <c r="NZS41" s="478"/>
      <c r="NZT41" s="478"/>
      <c r="NZU41" s="478"/>
      <c r="NZV41" s="478"/>
      <c r="NZW41" s="478"/>
      <c r="NZX41" s="478"/>
      <c r="NZY41" s="478"/>
      <c r="NZZ41" s="478"/>
      <c r="OAA41" s="478"/>
      <c r="OAB41" s="478"/>
      <c r="OAC41" s="478"/>
      <c r="OAD41" s="478"/>
      <c r="OAE41" s="478"/>
      <c r="OAF41" s="478"/>
      <c r="OAG41" s="478"/>
      <c r="OAH41" s="478"/>
      <c r="OAI41" s="478"/>
      <c r="OAJ41" s="478"/>
      <c r="OAK41" s="478"/>
      <c r="OAL41" s="478"/>
      <c r="OAM41" s="478"/>
      <c r="OAN41" s="478"/>
      <c r="OAO41" s="478"/>
      <c r="OAP41" s="478"/>
      <c r="OAQ41" s="478"/>
      <c r="OAR41" s="478"/>
      <c r="OAS41" s="478"/>
      <c r="OAT41" s="478"/>
      <c r="OAU41" s="478"/>
      <c r="OAV41" s="478"/>
      <c r="OAW41" s="478"/>
      <c r="OAX41" s="478"/>
      <c r="OAY41" s="478"/>
      <c r="OAZ41" s="478"/>
      <c r="OBA41" s="478"/>
      <c r="OBB41" s="478"/>
      <c r="OBC41" s="478"/>
      <c r="OBD41" s="478"/>
      <c r="OBE41" s="478"/>
      <c r="OBF41" s="478"/>
      <c r="OBG41" s="478"/>
      <c r="OBH41" s="478"/>
      <c r="OBI41" s="478"/>
      <c r="OBJ41" s="478"/>
      <c r="OBK41" s="478"/>
      <c r="OBL41" s="478"/>
      <c r="OBM41" s="478"/>
      <c r="OBN41" s="478"/>
      <c r="OBO41" s="478"/>
      <c r="OBP41" s="478"/>
      <c r="OBQ41" s="478"/>
      <c r="OBR41" s="478"/>
      <c r="OBS41" s="478"/>
      <c r="OBT41" s="478"/>
      <c r="OBU41" s="478"/>
      <c r="OBV41" s="478"/>
      <c r="OBW41" s="478"/>
      <c r="OBX41" s="478"/>
      <c r="OBY41" s="478"/>
      <c r="OBZ41" s="478"/>
      <c r="OCA41" s="478"/>
      <c r="OCB41" s="478"/>
      <c r="OCC41" s="478"/>
      <c r="OCD41" s="478"/>
      <c r="OCE41" s="478"/>
      <c r="OCF41" s="478"/>
      <c r="OCG41" s="478"/>
      <c r="OCH41" s="478"/>
      <c r="OCI41" s="478"/>
      <c r="OCJ41" s="478"/>
      <c r="OCK41" s="478"/>
      <c r="OCL41" s="478"/>
      <c r="OCM41" s="478"/>
      <c r="OCN41" s="478"/>
      <c r="OCO41" s="478"/>
      <c r="OCP41" s="478"/>
      <c r="OCQ41" s="478"/>
      <c r="OCR41" s="478"/>
      <c r="OCS41" s="478"/>
      <c r="OCT41" s="478"/>
      <c r="OCU41" s="478"/>
      <c r="OCV41" s="478"/>
      <c r="OCW41" s="478"/>
      <c r="OCX41" s="478"/>
      <c r="OCY41" s="478"/>
      <c r="OCZ41" s="478"/>
      <c r="ODA41" s="478"/>
      <c r="ODB41" s="478"/>
      <c r="ODC41" s="478"/>
      <c r="ODD41" s="478"/>
      <c r="ODE41" s="478"/>
      <c r="ODF41" s="478"/>
      <c r="ODG41" s="478"/>
      <c r="ODH41" s="478"/>
      <c r="ODI41" s="478"/>
      <c r="ODJ41" s="478"/>
      <c r="ODK41" s="478"/>
      <c r="ODL41" s="478"/>
      <c r="ODM41" s="478"/>
      <c r="ODN41" s="478"/>
      <c r="ODO41" s="478"/>
      <c r="ODP41" s="478"/>
      <c r="ODQ41" s="478"/>
      <c r="ODR41" s="478"/>
      <c r="ODS41" s="478"/>
      <c r="ODT41" s="478"/>
      <c r="ODU41" s="478"/>
      <c r="ODV41" s="478"/>
      <c r="ODW41" s="478"/>
      <c r="ODX41" s="478"/>
      <c r="ODY41" s="478"/>
      <c r="ODZ41" s="478"/>
      <c r="OEA41" s="478"/>
      <c r="OEB41" s="478"/>
      <c r="OEC41" s="478"/>
      <c r="OED41" s="478"/>
      <c r="OEE41" s="478"/>
      <c r="OEF41" s="478"/>
      <c r="OEG41" s="478"/>
      <c r="OEH41" s="478"/>
      <c r="OEI41" s="478"/>
      <c r="OEJ41" s="478"/>
      <c r="OEK41" s="478"/>
      <c r="OEL41" s="478"/>
      <c r="OEM41" s="478"/>
      <c r="OEN41" s="478"/>
      <c r="OEO41" s="478"/>
      <c r="OEP41" s="478"/>
      <c r="OEQ41" s="478"/>
      <c r="OER41" s="478"/>
      <c r="OES41" s="478"/>
      <c r="OET41" s="478"/>
      <c r="OEU41" s="478"/>
      <c r="OEV41" s="478"/>
      <c r="OEW41" s="478"/>
      <c r="OEX41" s="478"/>
      <c r="OEY41" s="478"/>
      <c r="OEZ41" s="478"/>
      <c r="OFA41" s="478"/>
      <c r="OFB41" s="478"/>
      <c r="OFC41" s="478"/>
      <c r="OFD41" s="478"/>
      <c r="OFE41" s="478"/>
      <c r="OFF41" s="478"/>
      <c r="OFG41" s="478"/>
      <c r="OFH41" s="478"/>
      <c r="OFI41" s="478"/>
      <c r="OFJ41" s="478"/>
      <c r="OFK41" s="478"/>
      <c r="OFL41" s="478"/>
      <c r="OFM41" s="478"/>
      <c r="OFN41" s="478"/>
      <c r="OFO41" s="478"/>
      <c r="OFP41" s="478"/>
      <c r="OFQ41" s="478"/>
      <c r="OFR41" s="478"/>
      <c r="OFS41" s="478"/>
      <c r="OFT41" s="478"/>
      <c r="OFU41" s="478"/>
      <c r="OFV41" s="478"/>
      <c r="OFW41" s="478"/>
      <c r="OFX41" s="478"/>
      <c r="OFY41" s="478"/>
      <c r="OFZ41" s="478"/>
      <c r="OGA41" s="478"/>
      <c r="OGB41" s="478"/>
      <c r="OGC41" s="478"/>
      <c r="OGD41" s="478"/>
      <c r="OGE41" s="478"/>
      <c r="OGF41" s="478"/>
      <c r="OGG41" s="478"/>
      <c r="OGH41" s="478"/>
      <c r="OGI41" s="478"/>
      <c r="OGJ41" s="478"/>
      <c r="OGK41" s="478"/>
      <c r="OGL41" s="478"/>
      <c r="OGM41" s="478"/>
      <c r="OGN41" s="478"/>
      <c r="OGO41" s="478"/>
      <c r="OGP41" s="478"/>
      <c r="OGQ41" s="478"/>
      <c r="OGR41" s="478"/>
      <c r="OGS41" s="478"/>
      <c r="OGT41" s="478"/>
      <c r="OGU41" s="478"/>
      <c r="OGV41" s="478"/>
      <c r="OGW41" s="478"/>
      <c r="OGX41" s="478"/>
      <c r="OGY41" s="478"/>
      <c r="OGZ41" s="478"/>
      <c r="OHA41" s="478"/>
      <c r="OHB41" s="478"/>
      <c r="OHC41" s="478"/>
      <c r="OHD41" s="478"/>
      <c r="OHE41" s="478"/>
      <c r="OHF41" s="478"/>
      <c r="OHG41" s="478"/>
      <c r="OHH41" s="478"/>
      <c r="OHI41" s="478"/>
      <c r="OHJ41" s="478"/>
      <c r="OHK41" s="478"/>
      <c r="OHL41" s="478"/>
      <c r="OHM41" s="478"/>
      <c r="OHN41" s="478"/>
      <c r="OHO41" s="478"/>
      <c r="OHP41" s="478"/>
      <c r="OHQ41" s="478"/>
      <c r="OHR41" s="478"/>
      <c r="OHS41" s="478"/>
      <c r="OHT41" s="478"/>
      <c r="OHU41" s="478"/>
      <c r="OHV41" s="478"/>
      <c r="OHW41" s="478"/>
      <c r="OHX41" s="478"/>
      <c r="OHY41" s="478"/>
      <c r="OHZ41" s="478"/>
      <c r="OIA41" s="478"/>
      <c r="OIB41" s="478"/>
      <c r="OIC41" s="478"/>
      <c r="OID41" s="478"/>
      <c r="OIE41" s="478"/>
      <c r="OIF41" s="478"/>
      <c r="OIG41" s="478"/>
      <c r="OIH41" s="478"/>
      <c r="OII41" s="478"/>
      <c r="OIJ41" s="478"/>
      <c r="OIK41" s="478"/>
      <c r="OIL41" s="478"/>
      <c r="OIM41" s="478"/>
      <c r="OIN41" s="478"/>
      <c r="OIO41" s="478"/>
      <c r="OIP41" s="478"/>
      <c r="OIQ41" s="478"/>
      <c r="OIR41" s="478"/>
      <c r="OIS41" s="478"/>
      <c r="OIT41" s="478"/>
      <c r="OIU41" s="478"/>
      <c r="OIV41" s="478"/>
      <c r="OIW41" s="478"/>
      <c r="OIX41" s="478"/>
      <c r="OIY41" s="478"/>
      <c r="OIZ41" s="478"/>
      <c r="OJA41" s="478"/>
      <c r="OJB41" s="478"/>
      <c r="OJC41" s="478"/>
      <c r="OJD41" s="478"/>
      <c r="OJE41" s="478"/>
      <c r="OJF41" s="478"/>
      <c r="OJG41" s="478"/>
      <c r="OJH41" s="478"/>
      <c r="OJI41" s="478"/>
      <c r="OJJ41" s="478"/>
      <c r="OJK41" s="478"/>
      <c r="OJL41" s="478"/>
      <c r="OJM41" s="478"/>
      <c r="OJN41" s="478"/>
      <c r="OJO41" s="478"/>
      <c r="OJP41" s="478"/>
      <c r="OJQ41" s="478"/>
      <c r="OJR41" s="478"/>
      <c r="OJS41" s="478"/>
      <c r="OJT41" s="478"/>
      <c r="OJU41" s="478"/>
      <c r="OJV41" s="478"/>
      <c r="OJW41" s="478"/>
      <c r="OJX41" s="478"/>
      <c r="OJY41" s="478"/>
      <c r="OJZ41" s="478"/>
      <c r="OKA41" s="478"/>
      <c r="OKB41" s="478"/>
      <c r="OKC41" s="478"/>
      <c r="OKD41" s="478"/>
      <c r="OKE41" s="478"/>
      <c r="OKF41" s="478"/>
      <c r="OKG41" s="478"/>
      <c r="OKH41" s="478"/>
      <c r="OKI41" s="478"/>
      <c r="OKJ41" s="478"/>
      <c r="OKK41" s="478"/>
      <c r="OKL41" s="478"/>
      <c r="OKM41" s="478"/>
      <c r="OKN41" s="478"/>
      <c r="OKO41" s="478"/>
      <c r="OKP41" s="478"/>
      <c r="OKQ41" s="478"/>
      <c r="OKR41" s="478"/>
      <c r="OKS41" s="478"/>
      <c r="OKT41" s="478"/>
      <c r="OKU41" s="478"/>
      <c r="OKV41" s="478"/>
      <c r="OKW41" s="478"/>
      <c r="OKX41" s="478"/>
      <c r="OKY41" s="478"/>
      <c r="OKZ41" s="478"/>
      <c r="OLA41" s="478"/>
      <c r="OLB41" s="478"/>
      <c r="OLC41" s="478"/>
      <c r="OLD41" s="478"/>
      <c r="OLE41" s="478"/>
      <c r="OLF41" s="478"/>
      <c r="OLG41" s="478"/>
      <c r="OLH41" s="478"/>
      <c r="OLI41" s="478"/>
      <c r="OLJ41" s="478"/>
      <c r="OLK41" s="478"/>
      <c r="OLL41" s="478"/>
      <c r="OLM41" s="478"/>
      <c r="OLN41" s="478"/>
      <c r="OLO41" s="478"/>
      <c r="OLP41" s="478"/>
      <c r="OLQ41" s="478"/>
      <c r="OLR41" s="478"/>
      <c r="OLS41" s="478"/>
      <c r="OLT41" s="478"/>
      <c r="OLU41" s="478"/>
      <c r="OLV41" s="478"/>
      <c r="OLW41" s="478"/>
      <c r="OLX41" s="478"/>
      <c r="OLY41" s="478"/>
      <c r="OLZ41" s="478"/>
      <c r="OMA41" s="478"/>
      <c r="OMB41" s="478"/>
      <c r="OMC41" s="478"/>
      <c r="OMD41" s="478"/>
      <c r="OME41" s="478"/>
      <c r="OMF41" s="478"/>
      <c r="OMG41" s="478"/>
      <c r="OMH41" s="478"/>
      <c r="OMI41" s="478"/>
      <c r="OMJ41" s="478"/>
      <c r="OMK41" s="478"/>
      <c r="OML41" s="478"/>
      <c r="OMM41" s="478"/>
      <c r="OMN41" s="478"/>
      <c r="OMO41" s="478"/>
      <c r="OMP41" s="478"/>
      <c r="OMQ41" s="478"/>
      <c r="OMR41" s="478"/>
      <c r="OMS41" s="478"/>
      <c r="OMT41" s="478"/>
      <c r="OMU41" s="478"/>
      <c r="OMV41" s="478"/>
      <c r="OMW41" s="478"/>
      <c r="OMX41" s="478"/>
      <c r="OMY41" s="478"/>
      <c r="OMZ41" s="478"/>
      <c r="ONA41" s="478"/>
      <c r="ONB41" s="478"/>
      <c r="ONC41" s="478"/>
      <c r="OND41" s="478"/>
      <c r="ONE41" s="478"/>
      <c r="ONF41" s="478"/>
      <c r="ONG41" s="478"/>
      <c r="ONH41" s="478"/>
      <c r="ONI41" s="478"/>
      <c r="ONJ41" s="478"/>
      <c r="ONK41" s="478"/>
      <c r="ONL41" s="478"/>
      <c r="ONM41" s="478"/>
      <c r="ONN41" s="478"/>
      <c r="ONO41" s="478"/>
      <c r="ONP41" s="478"/>
      <c r="ONQ41" s="478"/>
      <c r="ONR41" s="478"/>
      <c r="ONS41" s="478"/>
      <c r="ONT41" s="478"/>
      <c r="ONU41" s="478"/>
      <c r="ONV41" s="478"/>
      <c r="ONW41" s="478"/>
      <c r="ONX41" s="478"/>
      <c r="ONY41" s="478"/>
      <c r="ONZ41" s="478"/>
      <c r="OOA41" s="478"/>
      <c r="OOB41" s="478"/>
      <c r="OOC41" s="478"/>
      <c r="OOD41" s="478"/>
      <c r="OOE41" s="478"/>
      <c r="OOF41" s="478"/>
      <c r="OOG41" s="478"/>
      <c r="OOH41" s="478"/>
      <c r="OOI41" s="478"/>
      <c r="OOJ41" s="478"/>
      <c r="OOK41" s="478"/>
      <c r="OOL41" s="478"/>
      <c r="OOM41" s="478"/>
      <c r="OON41" s="478"/>
      <c r="OOO41" s="478"/>
      <c r="OOP41" s="478"/>
      <c r="OOQ41" s="478"/>
      <c r="OOR41" s="478"/>
      <c r="OOS41" s="478"/>
      <c r="OOT41" s="478"/>
      <c r="OOU41" s="478"/>
      <c r="OOV41" s="478"/>
      <c r="OOW41" s="478"/>
      <c r="OOX41" s="478"/>
      <c r="OOY41" s="478"/>
      <c r="OOZ41" s="478"/>
      <c r="OPA41" s="478"/>
      <c r="OPB41" s="478"/>
      <c r="OPC41" s="478"/>
      <c r="OPD41" s="478"/>
      <c r="OPE41" s="478"/>
      <c r="OPF41" s="478"/>
      <c r="OPG41" s="478"/>
      <c r="OPH41" s="478"/>
      <c r="OPI41" s="478"/>
      <c r="OPJ41" s="478"/>
      <c r="OPK41" s="478"/>
      <c r="OPL41" s="478"/>
      <c r="OPM41" s="478"/>
      <c r="OPN41" s="478"/>
      <c r="OPO41" s="478"/>
      <c r="OPP41" s="478"/>
      <c r="OPQ41" s="478"/>
      <c r="OPR41" s="478"/>
      <c r="OPS41" s="478"/>
      <c r="OPT41" s="478"/>
      <c r="OPU41" s="478"/>
      <c r="OPV41" s="478"/>
      <c r="OPW41" s="478"/>
      <c r="OPX41" s="478"/>
      <c r="OPY41" s="478"/>
      <c r="OPZ41" s="478"/>
      <c r="OQA41" s="478"/>
      <c r="OQB41" s="478"/>
      <c r="OQC41" s="478"/>
      <c r="OQD41" s="478"/>
      <c r="OQE41" s="478"/>
      <c r="OQF41" s="478"/>
      <c r="OQG41" s="478"/>
      <c r="OQH41" s="478"/>
      <c r="OQI41" s="478"/>
      <c r="OQJ41" s="478"/>
      <c r="OQK41" s="478"/>
      <c r="OQL41" s="478"/>
      <c r="OQM41" s="478"/>
      <c r="OQN41" s="478"/>
      <c r="OQO41" s="478"/>
      <c r="OQP41" s="478"/>
      <c r="OQQ41" s="478"/>
      <c r="OQR41" s="478"/>
      <c r="OQS41" s="478"/>
      <c r="OQT41" s="478"/>
      <c r="OQU41" s="478"/>
      <c r="OQV41" s="478"/>
      <c r="OQW41" s="478"/>
      <c r="OQX41" s="478"/>
      <c r="OQY41" s="478"/>
      <c r="OQZ41" s="478"/>
      <c r="ORA41" s="478"/>
      <c r="ORB41" s="478"/>
      <c r="ORC41" s="478"/>
      <c r="ORD41" s="478"/>
      <c r="ORE41" s="478"/>
      <c r="ORF41" s="478"/>
      <c r="ORG41" s="478"/>
      <c r="ORH41" s="478"/>
      <c r="ORI41" s="478"/>
      <c r="ORJ41" s="478"/>
      <c r="ORK41" s="478"/>
      <c r="ORL41" s="478"/>
      <c r="ORM41" s="478"/>
      <c r="ORN41" s="478"/>
      <c r="ORO41" s="478"/>
      <c r="ORP41" s="478"/>
      <c r="ORQ41" s="478"/>
      <c r="ORR41" s="478"/>
      <c r="ORS41" s="478"/>
      <c r="ORT41" s="478"/>
      <c r="ORU41" s="478"/>
      <c r="ORV41" s="478"/>
      <c r="ORW41" s="478"/>
      <c r="ORX41" s="478"/>
      <c r="ORY41" s="478"/>
      <c r="ORZ41" s="478"/>
      <c r="OSA41" s="478"/>
      <c r="OSB41" s="478"/>
      <c r="OSC41" s="478"/>
      <c r="OSD41" s="478"/>
      <c r="OSE41" s="478"/>
      <c r="OSF41" s="478"/>
      <c r="OSG41" s="478"/>
      <c r="OSH41" s="478"/>
      <c r="OSI41" s="478"/>
      <c r="OSJ41" s="478"/>
      <c r="OSK41" s="478"/>
      <c r="OSL41" s="478"/>
      <c r="OSM41" s="478"/>
      <c r="OSN41" s="478"/>
      <c r="OSO41" s="478"/>
      <c r="OSP41" s="478"/>
      <c r="OSQ41" s="478"/>
      <c r="OSR41" s="478"/>
      <c r="OSS41" s="478"/>
      <c r="OST41" s="478"/>
      <c r="OSU41" s="478"/>
      <c r="OSV41" s="478"/>
      <c r="OSW41" s="478"/>
      <c r="OSX41" s="478"/>
      <c r="OSY41" s="478"/>
      <c r="OSZ41" s="478"/>
      <c r="OTA41" s="478"/>
      <c r="OTB41" s="478"/>
      <c r="OTC41" s="478"/>
      <c r="OTD41" s="478"/>
      <c r="OTE41" s="478"/>
      <c r="OTF41" s="478"/>
      <c r="OTG41" s="478"/>
      <c r="OTH41" s="478"/>
      <c r="OTI41" s="478"/>
      <c r="OTJ41" s="478"/>
      <c r="OTK41" s="478"/>
      <c r="OTL41" s="478"/>
      <c r="OTM41" s="478"/>
      <c r="OTN41" s="478"/>
      <c r="OTO41" s="478"/>
      <c r="OTP41" s="478"/>
      <c r="OTQ41" s="478"/>
      <c r="OTR41" s="478"/>
      <c r="OTS41" s="478"/>
      <c r="OTT41" s="478"/>
      <c r="OTU41" s="478"/>
      <c r="OTV41" s="478"/>
      <c r="OTW41" s="478"/>
      <c r="OTX41" s="478"/>
      <c r="OTY41" s="478"/>
      <c r="OTZ41" s="478"/>
      <c r="OUA41" s="478"/>
      <c r="OUB41" s="478"/>
      <c r="OUC41" s="478"/>
      <c r="OUD41" s="478"/>
      <c r="OUE41" s="478"/>
      <c r="OUF41" s="478"/>
      <c r="OUG41" s="478"/>
      <c r="OUH41" s="478"/>
      <c r="OUI41" s="478"/>
      <c r="OUJ41" s="478"/>
      <c r="OUK41" s="478"/>
      <c r="OUL41" s="478"/>
      <c r="OUM41" s="478"/>
      <c r="OUN41" s="478"/>
      <c r="OUO41" s="478"/>
      <c r="OUP41" s="478"/>
      <c r="OUQ41" s="478"/>
      <c r="OUR41" s="478"/>
      <c r="OUS41" s="478"/>
      <c r="OUT41" s="478"/>
      <c r="OUU41" s="478"/>
      <c r="OUV41" s="478"/>
      <c r="OUW41" s="478"/>
      <c r="OUX41" s="478"/>
      <c r="OUY41" s="478"/>
      <c r="OUZ41" s="478"/>
      <c r="OVA41" s="478"/>
      <c r="OVB41" s="478"/>
      <c r="OVC41" s="478"/>
      <c r="OVD41" s="478"/>
      <c r="OVE41" s="478"/>
      <c r="OVF41" s="478"/>
      <c r="OVG41" s="478"/>
      <c r="OVH41" s="478"/>
      <c r="OVI41" s="478"/>
      <c r="OVJ41" s="478"/>
      <c r="OVK41" s="478"/>
      <c r="OVL41" s="478"/>
      <c r="OVM41" s="478"/>
      <c r="OVN41" s="478"/>
      <c r="OVO41" s="478"/>
      <c r="OVP41" s="478"/>
      <c r="OVQ41" s="478"/>
      <c r="OVR41" s="478"/>
      <c r="OVS41" s="478"/>
      <c r="OVT41" s="478"/>
      <c r="OVU41" s="478"/>
      <c r="OVV41" s="478"/>
      <c r="OVW41" s="478"/>
      <c r="OVX41" s="478"/>
      <c r="OVY41" s="478"/>
      <c r="OVZ41" s="478"/>
      <c r="OWA41" s="478"/>
      <c r="OWB41" s="478"/>
      <c r="OWC41" s="478"/>
      <c r="OWD41" s="478"/>
      <c r="OWE41" s="478"/>
      <c r="OWF41" s="478"/>
      <c r="OWG41" s="478"/>
      <c r="OWH41" s="478"/>
      <c r="OWI41" s="478"/>
      <c r="OWJ41" s="478"/>
      <c r="OWK41" s="478"/>
      <c r="OWL41" s="478"/>
      <c r="OWM41" s="478"/>
      <c r="OWN41" s="478"/>
      <c r="OWO41" s="478"/>
      <c r="OWP41" s="478"/>
      <c r="OWQ41" s="478"/>
      <c r="OWR41" s="478"/>
      <c r="OWS41" s="478"/>
      <c r="OWT41" s="478"/>
      <c r="OWU41" s="478"/>
      <c r="OWV41" s="478"/>
      <c r="OWW41" s="478"/>
      <c r="OWX41" s="478"/>
      <c r="OWY41" s="478"/>
      <c r="OWZ41" s="478"/>
      <c r="OXA41" s="478"/>
      <c r="OXB41" s="478"/>
      <c r="OXC41" s="478"/>
      <c r="OXD41" s="478"/>
      <c r="OXE41" s="478"/>
      <c r="OXF41" s="478"/>
      <c r="OXG41" s="478"/>
      <c r="OXH41" s="478"/>
      <c r="OXI41" s="478"/>
      <c r="OXJ41" s="478"/>
      <c r="OXK41" s="478"/>
      <c r="OXL41" s="478"/>
      <c r="OXM41" s="478"/>
      <c r="OXN41" s="478"/>
      <c r="OXO41" s="478"/>
      <c r="OXP41" s="478"/>
      <c r="OXQ41" s="478"/>
      <c r="OXR41" s="478"/>
      <c r="OXS41" s="478"/>
      <c r="OXT41" s="478"/>
      <c r="OXU41" s="478"/>
      <c r="OXV41" s="478"/>
      <c r="OXW41" s="478"/>
      <c r="OXX41" s="478"/>
      <c r="OXY41" s="478"/>
      <c r="OXZ41" s="478"/>
      <c r="OYA41" s="478"/>
      <c r="OYB41" s="478"/>
      <c r="OYC41" s="478"/>
      <c r="OYD41" s="478"/>
      <c r="OYE41" s="478"/>
      <c r="OYF41" s="478"/>
      <c r="OYG41" s="478"/>
      <c r="OYH41" s="478"/>
      <c r="OYI41" s="478"/>
      <c r="OYJ41" s="478"/>
      <c r="OYK41" s="478"/>
      <c r="OYL41" s="478"/>
      <c r="OYM41" s="478"/>
      <c r="OYN41" s="478"/>
      <c r="OYO41" s="478"/>
      <c r="OYP41" s="478"/>
      <c r="OYQ41" s="478"/>
      <c r="OYR41" s="478"/>
      <c r="OYS41" s="478"/>
      <c r="OYT41" s="478"/>
      <c r="OYU41" s="478"/>
      <c r="OYV41" s="478"/>
      <c r="OYW41" s="478"/>
      <c r="OYX41" s="478"/>
      <c r="OYY41" s="478"/>
      <c r="OYZ41" s="478"/>
      <c r="OZA41" s="478"/>
      <c r="OZB41" s="478"/>
      <c r="OZC41" s="478"/>
      <c r="OZD41" s="478"/>
      <c r="OZE41" s="478"/>
      <c r="OZF41" s="478"/>
      <c r="OZG41" s="478"/>
      <c r="OZH41" s="478"/>
      <c r="OZI41" s="478"/>
      <c r="OZJ41" s="478"/>
      <c r="OZK41" s="478"/>
      <c r="OZL41" s="478"/>
      <c r="OZM41" s="478"/>
      <c r="OZN41" s="478"/>
      <c r="OZO41" s="478"/>
      <c r="OZP41" s="478"/>
      <c r="OZQ41" s="478"/>
      <c r="OZR41" s="478"/>
      <c r="OZS41" s="478"/>
      <c r="OZT41" s="478"/>
      <c r="OZU41" s="478"/>
      <c r="OZV41" s="478"/>
      <c r="OZW41" s="478"/>
      <c r="OZX41" s="478"/>
      <c r="OZY41" s="478"/>
      <c r="OZZ41" s="478"/>
      <c r="PAA41" s="478"/>
      <c r="PAB41" s="478"/>
      <c r="PAC41" s="478"/>
      <c r="PAD41" s="478"/>
      <c r="PAE41" s="478"/>
      <c r="PAF41" s="478"/>
      <c r="PAG41" s="478"/>
      <c r="PAH41" s="478"/>
      <c r="PAI41" s="478"/>
      <c r="PAJ41" s="478"/>
      <c r="PAK41" s="478"/>
      <c r="PAL41" s="478"/>
      <c r="PAM41" s="478"/>
      <c r="PAN41" s="478"/>
      <c r="PAO41" s="478"/>
      <c r="PAP41" s="478"/>
      <c r="PAQ41" s="478"/>
      <c r="PAR41" s="478"/>
      <c r="PAS41" s="478"/>
      <c r="PAT41" s="478"/>
      <c r="PAU41" s="478"/>
      <c r="PAV41" s="478"/>
      <c r="PAW41" s="478"/>
      <c r="PAX41" s="478"/>
      <c r="PAY41" s="478"/>
      <c r="PAZ41" s="478"/>
      <c r="PBA41" s="478"/>
      <c r="PBB41" s="478"/>
      <c r="PBC41" s="478"/>
      <c r="PBD41" s="478"/>
      <c r="PBE41" s="478"/>
      <c r="PBF41" s="478"/>
      <c r="PBG41" s="478"/>
      <c r="PBH41" s="478"/>
      <c r="PBI41" s="478"/>
      <c r="PBJ41" s="478"/>
      <c r="PBK41" s="478"/>
      <c r="PBL41" s="478"/>
      <c r="PBM41" s="478"/>
      <c r="PBN41" s="478"/>
      <c r="PBO41" s="478"/>
      <c r="PBP41" s="478"/>
      <c r="PBQ41" s="478"/>
      <c r="PBR41" s="478"/>
      <c r="PBS41" s="478"/>
      <c r="PBT41" s="478"/>
      <c r="PBU41" s="478"/>
      <c r="PBV41" s="478"/>
      <c r="PBW41" s="478"/>
      <c r="PBX41" s="478"/>
      <c r="PBY41" s="478"/>
      <c r="PBZ41" s="478"/>
      <c r="PCA41" s="478"/>
      <c r="PCB41" s="478"/>
      <c r="PCC41" s="478"/>
      <c r="PCD41" s="478"/>
      <c r="PCE41" s="478"/>
      <c r="PCF41" s="478"/>
      <c r="PCG41" s="478"/>
      <c r="PCH41" s="478"/>
      <c r="PCI41" s="478"/>
      <c r="PCJ41" s="478"/>
      <c r="PCK41" s="478"/>
      <c r="PCL41" s="478"/>
      <c r="PCM41" s="478"/>
      <c r="PCN41" s="478"/>
      <c r="PCO41" s="478"/>
      <c r="PCP41" s="478"/>
      <c r="PCQ41" s="478"/>
      <c r="PCR41" s="478"/>
      <c r="PCS41" s="478"/>
      <c r="PCT41" s="478"/>
      <c r="PCU41" s="478"/>
      <c r="PCV41" s="478"/>
      <c r="PCW41" s="478"/>
      <c r="PCX41" s="478"/>
      <c r="PCY41" s="478"/>
      <c r="PCZ41" s="478"/>
      <c r="PDA41" s="478"/>
      <c r="PDB41" s="478"/>
      <c r="PDC41" s="478"/>
      <c r="PDD41" s="478"/>
      <c r="PDE41" s="478"/>
      <c r="PDF41" s="478"/>
      <c r="PDG41" s="478"/>
      <c r="PDH41" s="478"/>
      <c r="PDI41" s="478"/>
      <c r="PDJ41" s="478"/>
      <c r="PDK41" s="478"/>
      <c r="PDL41" s="478"/>
      <c r="PDM41" s="478"/>
      <c r="PDN41" s="478"/>
      <c r="PDO41" s="478"/>
      <c r="PDP41" s="478"/>
      <c r="PDQ41" s="478"/>
      <c r="PDR41" s="478"/>
      <c r="PDS41" s="478"/>
      <c r="PDT41" s="478"/>
      <c r="PDU41" s="478"/>
      <c r="PDV41" s="478"/>
      <c r="PDW41" s="478"/>
      <c r="PDX41" s="478"/>
      <c r="PDY41" s="478"/>
      <c r="PDZ41" s="478"/>
      <c r="PEA41" s="478"/>
      <c r="PEB41" s="478"/>
      <c r="PEC41" s="478"/>
      <c r="PED41" s="478"/>
      <c r="PEE41" s="478"/>
      <c r="PEF41" s="478"/>
      <c r="PEG41" s="478"/>
      <c r="PEH41" s="478"/>
      <c r="PEI41" s="478"/>
      <c r="PEJ41" s="478"/>
      <c r="PEK41" s="478"/>
      <c r="PEL41" s="478"/>
      <c r="PEM41" s="478"/>
      <c r="PEN41" s="478"/>
      <c r="PEO41" s="478"/>
      <c r="PEP41" s="478"/>
      <c r="PEQ41" s="478"/>
      <c r="PER41" s="478"/>
      <c r="PES41" s="478"/>
      <c r="PET41" s="478"/>
      <c r="PEU41" s="478"/>
      <c r="PEV41" s="478"/>
      <c r="PEW41" s="478"/>
      <c r="PEX41" s="478"/>
      <c r="PEY41" s="478"/>
      <c r="PEZ41" s="478"/>
      <c r="PFA41" s="478"/>
      <c r="PFB41" s="478"/>
      <c r="PFC41" s="478"/>
      <c r="PFD41" s="478"/>
      <c r="PFE41" s="478"/>
      <c r="PFF41" s="478"/>
      <c r="PFG41" s="478"/>
      <c r="PFH41" s="478"/>
      <c r="PFI41" s="478"/>
      <c r="PFJ41" s="478"/>
      <c r="PFK41" s="478"/>
      <c r="PFL41" s="478"/>
      <c r="PFM41" s="478"/>
      <c r="PFN41" s="478"/>
      <c r="PFO41" s="478"/>
      <c r="PFP41" s="478"/>
      <c r="PFQ41" s="478"/>
      <c r="PFR41" s="478"/>
      <c r="PFS41" s="478"/>
      <c r="PFT41" s="478"/>
      <c r="PFU41" s="478"/>
      <c r="PFV41" s="478"/>
      <c r="PFW41" s="478"/>
      <c r="PFX41" s="478"/>
      <c r="PFY41" s="478"/>
      <c r="PFZ41" s="478"/>
      <c r="PGA41" s="478"/>
      <c r="PGB41" s="478"/>
      <c r="PGC41" s="478"/>
      <c r="PGD41" s="478"/>
      <c r="PGE41" s="478"/>
      <c r="PGF41" s="478"/>
      <c r="PGG41" s="478"/>
      <c r="PGH41" s="478"/>
      <c r="PGI41" s="478"/>
      <c r="PGJ41" s="478"/>
      <c r="PGK41" s="478"/>
      <c r="PGL41" s="478"/>
      <c r="PGM41" s="478"/>
      <c r="PGN41" s="478"/>
      <c r="PGO41" s="478"/>
      <c r="PGP41" s="478"/>
      <c r="PGQ41" s="478"/>
      <c r="PGR41" s="478"/>
      <c r="PGS41" s="478"/>
      <c r="PGT41" s="478"/>
      <c r="PGU41" s="478"/>
      <c r="PGV41" s="478"/>
      <c r="PGW41" s="478"/>
      <c r="PGX41" s="478"/>
      <c r="PGY41" s="478"/>
      <c r="PGZ41" s="478"/>
      <c r="PHA41" s="478"/>
      <c r="PHB41" s="478"/>
      <c r="PHC41" s="478"/>
      <c r="PHD41" s="478"/>
      <c r="PHE41" s="478"/>
      <c r="PHF41" s="478"/>
      <c r="PHG41" s="478"/>
      <c r="PHH41" s="478"/>
      <c r="PHI41" s="478"/>
      <c r="PHJ41" s="478"/>
      <c r="PHK41" s="478"/>
      <c r="PHL41" s="478"/>
      <c r="PHM41" s="478"/>
      <c r="PHN41" s="478"/>
      <c r="PHO41" s="478"/>
      <c r="PHP41" s="478"/>
      <c r="PHQ41" s="478"/>
      <c r="PHR41" s="478"/>
      <c r="PHS41" s="478"/>
      <c r="PHT41" s="478"/>
      <c r="PHU41" s="478"/>
      <c r="PHV41" s="478"/>
      <c r="PHW41" s="478"/>
      <c r="PHX41" s="478"/>
      <c r="PHY41" s="478"/>
      <c r="PHZ41" s="478"/>
      <c r="PIA41" s="478"/>
      <c r="PIB41" s="478"/>
      <c r="PIC41" s="478"/>
      <c r="PID41" s="478"/>
      <c r="PIE41" s="478"/>
      <c r="PIF41" s="478"/>
      <c r="PIG41" s="478"/>
      <c r="PIH41" s="478"/>
      <c r="PII41" s="478"/>
      <c r="PIJ41" s="478"/>
      <c r="PIK41" s="478"/>
      <c r="PIL41" s="478"/>
      <c r="PIM41" s="478"/>
      <c r="PIN41" s="478"/>
      <c r="PIO41" s="478"/>
      <c r="PIP41" s="478"/>
      <c r="PIQ41" s="478"/>
      <c r="PIR41" s="478"/>
      <c r="PIS41" s="478"/>
      <c r="PIT41" s="478"/>
      <c r="PIU41" s="478"/>
      <c r="PIV41" s="478"/>
      <c r="PIW41" s="478"/>
      <c r="PIX41" s="478"/>
      <c r="PIY41" s="478"/>
      <c r="PIZ41" s="478"/>
      <c r="PJA41" s="478"/>
      <c r="PJB41" s="478"/>
      <c r="PJC41" s="478"/>
      <c r="PJD41" s="478"/>
      <c r="PJE41" s="478"/>
      <c r="PJF41" s="478"/>
      <c r="PJG41" s="478"/>
      <c r="PJH41" s="478"/>
      <c r="PJI41" s="478"/>
      <c r="PJJ41" s="478"/>
      <c r="PJK41" s="478"/>
      <c r="PJL41" s="478"/>
      <c r="PJM41" s="478"/>
      <c r="PJN41" s="478"/>
      <c r="PJO41" s="478"/>
      <c r="PJP41" s="478"/>
      <c r="PJQ41" s="478"/>
      <c r="PJR41" s="478"/>
      <c r="PJS41" s="478"/>
      <c r="PJT41" s="478"/>
      <c r="PJU41" s="478"/>
      <c r="PJV41" s="478"/>
      <c r="PJW41" s="478"/>
      <c r="PJX41" s="478"/>
      <c r="PJY41" s="478"/>
      <c r="PJZ41" s="478"/>
      <c r="PKA41" s="478"/>
      <c r="PKB41" s="478"/>
      <c r="PKC41" s="478"/>
      <c r="PKD41" s="478"/>
      <c r="PKE41" s="478"/>
      <c r="PKF41" s="478"/>
      <c r="PKG41" s="478"/>
      <c r="PKH41" s="478"/>
      <c r="PKI41" s="478"/>
      <c r="PKJ41" s="478"/>
      <c r="PKK41" s="478"/>
      <c r="PKL41" s="478"/>
      <c r="PKM41" s="478"/>
      <c r="PKN41" s="478"/>
      <c r="PKO41" s="478"/>
      <c r="PKP41" s="478"/>
      <c r="PKQ41" s="478"/>
      <c r="PKR41" s="478"/>
      <c r="PKS41" s="478"/>
      <c r="PKT41" s="478"/>
      <c r="PKU41" s="478"/>
      <c r="PKV41" s="478"/>
      <c r="PKW41" s="478"/>
      <c r="PKX41" s="478"/>
      <c r="PKY41" s="478"/>
      <c r="PKZ41" s="478"/>
      <c r="PLA41" s="478"/>
      <c r="PLB41" s="478"/>
      <c r="PLC41" s="478"/>
      <c r="PLD41" s="478"/>
      <c r="PLE41" s="478"/>
      <c r="PLF41" s="478"/>
      <c r="PLG41" s="478"/>
      <c r="PLH41" s="478"/>
      <c r="PLI41" s="478"/>
      <c r="PLJ41" s="478"/>
      <c r="PLK41" s="478"/>
      <c r="PLL41" s="478"/>
      <c r="PLM41" s="478"/>
      <c r="PLN41" s="478"/>
      <c r="PLO41" s="478"/>
      <c r="PLP41" s="478"/>
      <c r="PLQ41" s="478"/>
      <c r="PLR41" s="478"/>
      <c r="PLS41" s="478"/>
      <c r="PLT41" s="478"/>
      <c r="PLU41" s="478"/>
      <c r="PLV41" s="478"/>
      <c r="PLW41" s="478"/>
      <c r="PLX41" s="478"/>
      <c r="PLY41" s="478"/>
      <c r="PLZ41" s="478"/>
      <c r="PMA41" s="478"/>
      <c r="PMB41" s="478"/>
      <c r="PMC41" s="478"/>
      <c r="PMD41" s="478"/>
      <c r="PME41" s="478"/>
      <c r="PMF41" s="478"/>
      <c r="PMG41" s="478"/>
      <c r="PMH41" s="478"/>
      <c r="PMI41" s="478"/>
      <c r="PMJ41" s="478"/>
      <c r="PMK41" s="478"/>
      <c r="PML41" s="478"/>
      <c r="PMM41" s="478"/>
      <c r="PMN41" s="478"/>
      <c r="PMO41" s="478"/>
      <c r="PMP41" s="478"/>
      <c r="PMQ41" s="478"/>
      <c r="PMR41" s="478"/>
      <c r="PMS41" s="478"/>
      <c r="PMT41" s="478"/>
      <c r="PMU41" s="478"/>
      <c r="PMV41" s="478"/>
      <c r="PMW41" s="478"/>
      <c r="PMX41" s="478"/>
      <c r="PMY41" s="478"/>
      <c r="PMZ41" s="478"/>
      <c r="PNA41" s="478"/>
      <c r="PNB41" s="478"/>
      <c r="PNC41" s="478"/>
      <c r="PND41" s="478"/>
      <c r="PNE41" s="478"/>
      <c r="PNF41" s="478"/>
      <c r="PNG41" s="478"/>
      <c r="PNH41" s="478"/>
      <c r="PNI41" s="478"/>
      <c r="PNJ41" s="478"/>
      <c r="PNK41" s="478"/>
      <c r="PNL41" s="478"/>
      <c r="PNM41" s="478"/>
      <c r="PNN41" s="478"/>
      <c r="PNO41" s="478"/>
      <c r="PNP41" s="478"/>
      <c r="PNQ41" s="478"/>
      <c r="PNR41" s="478"/>
      <c r="PNS41" s="478"/>
      <c r="PNT41" s="478"/>
      <c r="PNU41" s="478"/>
      <c r="PNV41" s="478"/>
      <c r="PNW41" s="478"/>
      <c r="PNX41" s="478"/>
      <c r="PNY41" s="478"/>
      <c r="PNZ41" s="478"/>
      <c r="POA41" s="478"/>
      <c r="POB41" s="478"/>
      <c r="POC41" s="478"/>
      <c r="POD41" s="478"/>
      <c r="POE41" s="478"/>
      <c r="POF41" s="478"/>
      <c r="POG41" s="478"/>
      <c r="POH41" s="478"/>
      <c r="POI41" s="478"/>
      <c r="POJ41" s="478"/>
      <c r="POK41" s="478"/>
      <c r="POL41" s="478"/>
      <c r="POM41" s="478"/>
      <c r="PON41" s="478"/>
      <c r="POO41" s="478"/>
      <c r="POP41" s="478"/>
      <c r="POQ41" s="478"/>
      <c r="POR41" s="478"/>
      <c r="POS41" s="478"/>
      <c r="POT41" s="478"/>
      <c r="POU41" s="478"/>
      <c r="POV41" s="478"/>
      <c r="POW41" s="478"/>
      <c r="POX41" s="478"/>
      <c r="POY41" s="478"/>
      <c r="POZ41" s="478"/>
      <c r="PPA41" s="478"/>
      <c r="PPB41" s="478"/>
      <c r="PPC41" s="478"/>
      <c r="PPD41" s="478"/>
      <c r="PPE41" s="478"/>
      <c r="PPF41" s="478"/>
      <c r="PPG41" s="478"/>
      <c r="PPH41" s="478"/>
      <c r="PPI41" s="478"/>
      <c r="PPJ41" s="478"/>
      <c r="PPK41" s="478"/>
      <c r="PPL41" s="478"/>
      <c r="PPM41" s="478"/>
      <c r="PPN41" s="478"/>
      <c r="PPO41" s="478"/>
      <c r="PPP41" s="478"/>
      <c r="PPQ41" s="478"/>
      <c r="PPR41" s="478"/>
      <c r="PPS41" s="478"/>
      <c r="PPT41" s="478"/>
      <c r="PPU41" s="478"/>
      <c r="PPV41" s="478"/>
      <c r="PPW41" s="478"/>
      <c r="PPX41" s="478"/>
      <c r="PPY41" s="478"/>
      <c r="PPZ41" s="478"/>
      <c r="PQA41" s="478"/>
      <c r="PQB41" s="478"/>
      <c r="PQC41" s="478"/>
      <c r="PQD41" s="478"/>
      <c r="PQE41" s="478"/>
      <c r="PQF41" s="478"/>
      <c r="PQG41" s="478"/>
      <c r="PQH41" s="478"/>
      <c r="PQI41" s="478"/>
      <c r="PQJ41" s="478"/>
      <c r="PQK41" s="478"/>
      <c r="PQL41" s="478"/>
      <c r="PQM41" s="478"/>
      <c r="PQN41" s="478"/>
      <c r="PQO41" s="478"/>
      <c r="PQP41" s="478"/>
      <c r="PQQ41" s="478"/>
      <c r="PQR41" s="478"/>
      <c r="PQS41" s="478"/>
      <c r="PQT41" s="478"/>
      <c r="PQU41" s="478"/>
      <c r="PQV41" s="478"/>
      <c r="PQW41" s="478"/>
      <c r="PQX41" s="478"/>
      <c r="PQY41" s="478"/>
      <c r="PQZ41" s="478"/>
      <c r="PRA41" s="478"/>
      <c r="PRB41" s="478"/>
      <c r="PRC41" s="478"/>
      <c r="PRD41" s="478"/>
      <c r="PRE41" s="478"/>
      <c r="PRF41" s="478"/>
      <c r="PRG41" s="478"/>
      <c r="PRH41" s="478"/>
      <c r="PRI41" s="478"/>
      <c r="PRJ41" s="478"/>
      <c r="PRK41" s="478"/>
      <c r="PRL41" s="478"/>
      <c r="PRM41" s="478"/>
      <c r="PRN41" s="478"/>
      <c r="PRO41" s="478"/>
      <c r="PRP41" s="478"/>
      <c r="PRQ41" s="478"/>
      <c r="PRR41" s="478"/>
      <c r="PRS41" s="478"/>
      <c r="PRT41" s="478"/>
      <c r="PRU41" s="478"/>
      <c r="PRV41" s="478"/>
      <c r="PRW41" s="478"/>
      <c r="PRX41" s="478"/>
      <c r="PRY41" s="478"/>
      <c r="PRZ41" s="478"/>
      <c r="PSA41" s="478"/>
      <c r="PSB41" s="478"/>
      <c r="PSC41" s="478"/>
      <c r="PSD41" s="478"/>
      <c r="PSE41" s="478"/>
      <c r="PSF41" s="478"/>
      <c r="PSG41" s="478"/>
      <c r="PSH41" s="478"/>
      <c r="PSI41" s="478"/>
      <c r="PSJ41" s="478"/>
      <c r="PSK41" s="478"/>
      <c r="PSL41" s="478"/>
      <c r="PSM41" s="478"/>
      <c r="PSN41" s="478"/>
      <c r="PSO41" s="478"/>
      <c r="PSP41" s="478"/>
      <c r="PSQ41" s="478"/>
      <c r="PSR41" s="478"/>
      <c r="PSS41" s="478"/>
      <c r="PST41" s="478"/>
      <c r="PSU41" s="478"/>
      <c r="PSV41" s="478"/>
      <c r="PSW41" s="478"/>
      <c r="PSX41" s="478"/>
      <c r="PSY41" s="478"/>
      <c r="PSZ41" s="478"/>
      <c r="PTA41" s="478"/>
      <c r="PTB41" s="478"/>
      <c r="PTC41" s="478"/>
      <c r="PTD41" s="478"/>
      <c r="PTE41" s="478"/>
      <c r="PTF41" s="478"/>
      <c r="PTG41" s="478"/>
      <c r="PTH41" s="478"/>
      <c r="PTI41" s="478"/>
      <c r="PTJ41" s="478"/>
      <c r="PTK41" s="478"/>
      <c r="PTL41" s="478"/>
      <c r="PTM41" s="478"/>
      <c r="PTN41" s="478"/>
      <c r="PTO41" s="478"/>
      <c r="PTP41" s="478"/>
      <c r="PTQ41" s="478"/>
      <c r="PTR41" s="478"/>
      <c r="PTS41" s="478"/>
      <c r="PTT41" s="478"/>
      <c r="PTU41" s="478"/>
      <c r="PTV41" s="478"/>
      <c r="PTW41" s="478"/>
      <c r="PTX41" s="478"/>
      <c r="PTY41" s="478"/>
      <c r="PTZ41" s="478"/>
      <c r="PUA41" s="478"/>
      <c r="PUB41" s="478"/>
      <c r="PUC41" s="478"/>
      <c r="PUD41" s="478"/>
      <c r="PUE41" s="478"/>
      <c r="PUF41" s="478"/>
      <c r="PUG41" s="478"/>
      <c r="PUH41" s="478"/>
      <c r="PUI41" s="478"/>
      <c r="PUJ41" s="478"/>
      <c r="PUK41" s="478"/>
      <c r="PUL41" s="478"/>
      <c r="PUM41" s="478"/>
      <c r="PUN41" s="478"/>
      <c r="PUO41" s="478"/>
      <c r="PUP41" s="478"/>
      <c r="PUQ41" s="478"/>
      <c r="PUR41" s="478"/>
      <c r="PUS41" s="478"/>
      <c r="PUT41" s="478"/>
      <c r="PUU41" s="478"/>
      <c r="PUV41" s="478"/>
      <c r="PUW41" s="478"/>
      <c r="PUX41" s="478"/>
      <c r="PUY41" s="478"/>
      <c r="PUZ41" s="478"/>
      <c r="PVA41" s="478"/>
      <c r="PVB41" s="478"/>
      <c r="PVC41" s="478"/>
      <c r="PVD41" s="478"/>
      <c r="PVE41" s="478"/>
      <c r="PVF41" s="478"/>
      <c r="PVG41" s="478"/>
      <c r="PVH41" s="478"/>
      <c r="PVI41" s="478"/>
      <c r="PVJ41" s="478"/>
      <c r="PVK41" s="478"/>
      <c r="PVL41" s="478"/>
      <c r="PVM41" s="478"/>
      <c r="PVN41" s="478"/>
      <c r="PVO41" s="478"/>
      <c r="PVP41" s="478"/>
      <c r="PVQ41" s="478"/>
      <c r="PVR41" s="478"/>
      <c r="PVS41" s="478"/>
      <c r="PVT41" s="478"/>
      <c r="PVU41" s="478"/>
      <c r="PVV41" s="478"/>
      <c r="PVW41" s="478"/>
      <c r="PVX41" s="478"/>
      <c r="PVY41" s="478"/>
      <c r="PVZ41" s="478"/>
      <c r="PWA41" s="478"/>
      <c r="PWB41" s="478"/>
      <c r="PWC41" s="478"/>
      <c r="PWD41" s="478"/>
      <c r="PWE41" s="478"/>
      <c r="PWF41" s="478"/>
      <c r="PWG41" s="478"/>
      <c r="PWH41" s="478"/>
      <c r="PWI41" s="478"/>
      <c r="PWJ41" s="478"/>
      <c r="PWK41" s="478"/>
      <c r="PWL41" s="478"/>
      <c r="PWM41" s="478"/>
      <c r="PWN41" s="478"/>
      <c r="PWO41" s="478"/>
      <c r="PWP41" s="478"/>
      <c r="PWQ41" s="478"/>
      <c r="PWR41" s="478"/>
      <c r="PWS41" s="478"/>
      <c r="PWT41" s="478"/>
      <c r="PWU41" s="478"/>
      <c r="PWV41" s="478"/>
      <c r="PWW41" s="478"/>
      <c r="PWX41" s="478"/>
      <c r="PWY41" s="478"/>
      <c r="PWZ41" s="478"/>
      <c r="PXA41" s="478"/>
      <c r="PXB41" s="478"/>
      <c r="PXC41" s="478"/>
      <c r="PXD41" s="478"/>
      <c r="PXE41" s="478"/>
      <c r="PXF41" s="478"/>
      <c r="PXG41" s="478"/>
      <c r="PXH41" s="478"/>
      <c r="PXI41" s="478"/>
      <c r="PXJ41" s="478"/>
      <c r="PXK41" s="478"/>
      <c r="PXL41" s="478"/>
      <c r="PXM41" s="478"/>
      <c r="PXN41" s="478"/>
      <c r="PXO41" s="478"/>
      <c r="PXP41" s="478"/>
      <c r="PXQ41" s="478"/>
      <c r="PXR41" s="478"/>
      <c r="PXS41" s="478"/>
      <c r="PXT41" s="478"/>
      <c r="PXU41" s="478"/>
      <c r="PXV41" s="478"/>
      <c r="PXW41" s="478"/>
      <c r="PXX41" s="478"/>
      <c r="PXY41" s="478"/>
      <c r="PXZ41" s="478"/>
      <c r="PYA41" s="478"/>
      <c r="PYB41" s="478"/>
      <c r="PYC41" s="478"/>
      <c r="PYD41" s="478"/>
      <c r="PYE41" s="478"/>
      <c r="PYF41" s="478"/>
      <c r="PYG41" s="478"/>
      <c r="PYH41" s="478"/>
      <c r="PYI41" s="478"/>
      <c r="PYJ41" s="478"/>
      <c r="PYK41" s="478"/>
      <c r="PYL41" s="478"/>
      <c r="PYM41" s="478"/>
      <c r="PYN41" s="478"/>
      <c r="PYO41" s="478"/>
      <c r="PYP41" s="478"/>
      <c r="PYQ41" s="478"/>
      <c r="PYR41" s="478"/>
      <c r="PYS41" s="478"/>
      <c r="PYT41" s="478"/>
      <c r="PYU41" s="478"/>
      <c r="PYV41" s="478"/>
      <c r="PYW41" s="478"/>
      <c r="PYX41" s="478"/>
      <c r="PYY41" s="478"/>
      <c r="PYZ41" s="478"/>
      <c r="PZA41" s="478"/>
      <c r="PZB41" s="478"/>
      <c r="PZC41" s="478"/>
      <c r="PZD41" s="478"/>
      <c r="PZE41" s="478"/>
      <c r="PZF41" s="478"/>
      <c r="PZG41" s="478"/>
      <c r="PZH41" s="478"/>
      <c r="PZI41" s="478"/>
      <c r="PZJ41" s="478"/>
      <c r="PZK41" s="478"/>
      <c r="PZL41" s="478"/>
      <c r="PZM41" s="478"/>
      <c r="PZN41" s="478"/>
      <c r="PZO41" s="478"/>
      <c r="PZP41" s="478"/>
      <c r="PZQ41" s="478"/>
      <c r="PZR41" s="478"/>
      <c r="PZS41" s="478"/>
      <c r="PZT41" s="478"/>
      <c r="PZU41" s="478"/>
      <c r="PZV41" s="478"/>
      <c r="PZW41" s="478"/>
      <c r="PZX41" s="478"/>
      <c r="PZY41" s="478"/>
      <c r="PZZ41" s="478"/>
      <c r="QAA41" s="478"/>
      <c r="QAB41" s="478"/>
      <c r="QAC41" s="478"/>
      <c r="QAD41" s="478"/>
      <c r="QAE41" s="478"/>
      <c r="QAF41" s="478"/>
      <c r="QAG41" s="478"/>
      <c r="QAH41" s="478"/>
      <c r="QAI41" s="478"/>
      <c r="QAJ41" s="478"/>
      <c r="QAK41" s="478"/>
      <c r="QAL41" s="478"/>
      <c r="QAM41" s="478"/>
      <c r="QAN41" s="478"/>
      <c r="QAO41" s="478"/>
      <c r="QAP41" s="478"/>
      <c r="QAQ41" s="478"/>
      <c r="QAR41" s="478"/>
      <c r="QAS41" s="478"/>
      <c r="QAT41" s="478"/>
      <c r="QAU41" s="478"/>
      <c r="QAV41" s="478"/>
      <c r="QAW41" s="478"/>
      <c r="QAX41" s="478"/>
      <c r="QAY41" s="478"/>
      <c r="QAZ41" s="478"/>
      <c r="QBA41" s="478"/>
      <c r="QBB41" s="478"/>
      <c r="QBC41" s="478"/>
      <c r="QBD41" s="478"/>
      <c r="QBE41" s="478"/>
      <c r="QBF41" s="478"/>
      <c r="QBG41" s="478"/>
      <c r="QBH41" s="478"/>
      <c r="QBI41" s="478"/>
      <c r="QBJ41" s="478"/>
      <c r="QBK41" s="478"/>
      <c r="QBL41" s="478"/>
      <c r="QBM41" s="478"/>
      <c r="QBN41" s="478"/>
      <c r="QBO41" s="478"/>
      <c r="QBP41" s="478"/>
      <c r="QBQ41" s="478"/>
      <c r="QBR41" s="478"/>
      <c r="QBS41" s="478"/>
      <c r="QBT41" s="478"/>
      <c r="QBU41" s="478"/>
      <c r="QBV41" s="478"/>
      <c r="QBW41" s="478"/>
      <c r="QBX41" s="478"/>
      <c r="QBY41" s="478"/>
      <c r="QBZ41" s="478"/>
      <c r="QCA41" s="478"/>
      <c r="QCB41" s="478"/>
      <c r="QCC41" s="478"/>
      <c r="QCD41" s="478"/>
      <c r="QCE41" s="478"/>
      <c r="QCF41" s="478"/>
      <c r="QCG41" s="478"/>
      <c r="QCH41" s="478"/>
      <c r="QCI41" s="478"/>
      <c r="QCJ41" s="478"/>
      <c r="QCK41" s="478"/>
      <c r="QCL41" s="478"/>
      <c r="QCM41" s="478"/>
      <c r="QCN41" s="478"/>
      <c r="QCO41" s="478"/>
      <c r="QCP41" s="478"/>
      <c r="QCQ41" s="478"/>
      <c r="QCR41" s="478"/>
      <c r="QCS41" s="478"/>
      <c r="QCT41" s="478"/>
      <c r="QCU41" s="478"/>
      <c r="QCV41" s="478"/>
      <c r="QCW41" s="478"/>
      <c r="QCX41" s="478"/>
      <c r="QCY41" s="478"/>
      <c r="QCZ41" s="478"/>
      <c r="QDA41" s="478"/>
      <c r="QDB41" s="478"/>
      <c r="QDC41" s="478"/>
      <c r="QDD41" s="478"/>
      <c r="QDE41" s="478"/>
      <c r="QDF41" s="478"/>
      <c r="QDG41" s="478"/>
      <c r="QDH41" s="478"/>
      <c r="QDI41" s="478"/>
      <c r="QDJ41" s="478"/>
      <c r="QDK41" s="478"/>
      <c r="QDL41" s="478"/>
      <c r="QDM41" s="478"/>
      <c r="QDN41" s="478"/>
      <c r="QDO41" s="478"/>
      <c r="QDP41" s="478"/>
      <c r="QDQ41" s="478"/>
      <c r="QDR41" s="478"/>
      <c r="QDS41" s="478"/>
      <c r="QDT41" s="478"/>
      <c r="QDU41" s="478"/>
      <c r="QDV41" s="478"/>
      <c r="QDW41" s="478"/>
      <c r="QDX41" s="478"/>
      <c r="QDY41" s="478"/>
      <c r="QDZ41" s="478"/>
      <c r="QEA41" s="478"/>
      <c r="QEB41" s="478"/>
      <c r="QEC41" s="478"/>
      <c r="QED41" s="478"/>
      <c r="QEE41" s="478"/>
      <c r="QEF41" s="478"/>
      <c r="QEG41" s="478"/>
      <c r="QEH41" s="478"/>
      <c r="QEI41" s="478"/>
      <c r="QEJ41" s="478"/>
      <c r="QEK41" s="478"/>
      <c r="QEL41" s="478"/>
      <c r="QEM41" s="478"/>
      <c r="QEN41" s="478"/>
      <c r="QEO41" s="478"/>
      <c r="QEP41" s="478"/>
      <c r="QEQ41" s="478"/>
      <c r="QER41" s="478"/>
      <c r="QES41" s="478"/>
      <c r="QET41" s="478"/>
      <c r="QEU41" s="478"/>
      <c r="QEV41" s="478"/>
      <c r="QEW41" s="478"/>
      <c r="QEX41" s="478"/>
      <c r="QEY41" s="478"/>
      <c r="QEZ41" s="478"/>
      <c r="QFA41" s="478"/>
      <c r="QFB41" s="478"/>
      <c r="QFC41" s="478"/>
      <c r="QFD41" s="478"/>
      <c r="QFE41" s="478"/>
      <c r="QFF41" s="478"/>
      <c r="QFG41" s="478"/>
      <c r="QFH41" s="478"/>
      <c r="QFI41" s="478"/>
      <c r="QFJ41" s="478"/>
      <c r="QFK41" s="478"/>
      <c r="QFL41" s="478"/>
      <c r="QFM41" s="478"/>
      <c r="QFN41" s="478"/>
      <c r="QFO41" s="478"/>
      <c r="QFP41" s="478"/>
      <c r="QFQ41" s="478"/>
      <c r="QFR41" s="478"/>
      <c r="QFS41" s="478"/>
      <c r="QFT41" s="478"/>
      <c r="QFU41" s="478"/>
      <c r="QFV41" s="478"/>
      <c r="QFW41" s="478"/>
      <c r="QFX41" s="478"/>
      <c r="QFY41" s="478"/>
      <c r="QFZ41" s="478"/>
      <c r="QGA41" s="478"/>
      <c r="QGB41" s="478"/>
      <c r="QGC41" s="478"/>
      <c r="QGD41" s="478"/>
      <c r="QGE41" s="478"/>
      <c r="QGF41" s="478"/>
      <c r="QGG41" s="478"/>
      <c r="QGH41" s="478"/>
      <c r="QGI41" s="478"/>
      <c r="QGJ41" s="478"/>
      <c r="QGK41" s="478"/>
      <c r="QGL41" s="478"/>
      <c r="QGM41" s="478"/>
      <c r="QGN41" s="478"/>
      <c r="QGO41" s="478"/>
      <c r="QGP41" s="478"/>
      <c r="QGQ41" s="478"/>
      <c r="QGR41" s="478"/>
      <c r="QGS41" s="478"/>
      <c r="QGT41" s="478"/>
      <c r="QGU41" s="478"/>
      <c r="QGV41" s="478"/>
      <c r="QGW41" s="478"/>
      <c r="QGX41" s="478"/>
      <c r="QGY41" s="478"/>
      <c r="QGZ41" s="478"/>
      <c r="QHA41" s="478"/>
      <c r="QHB41" s="478"/>
      <c r="QHC41" s="478"/>
      <c r="QHD41" s="478"/>
      <c r="QHE41" s="478"/>
      <c r="QHF41" s="478"/>
      <c r="QHG41" s="478"/>
      <c r="QHH41" s="478"/>
      <c r="QHI41" s="478"/>
      <c r="QHJ41" s="478"/>
      <c r="QHK41" s="478"/>
      <c r="QHL41" s="478"/>
      <c r="QHM41" s="478"/>
      <c r="QHN41" s="478"/>
      <c r="QHO41" s="478"/>
      <c r="QHP41" s="478"/>
      <c r="QHQ41" s="478"/>
      <c r="QHR41" s="478"/>
      <c r="QHS41" s="478"/>
      <c r="QHT41" s="478"/>
      <c r="QHU41" s="478"/>
      <c r="QHV41" s="478"/>
      <c r="QHW41" s="478"/>
      <c r="QHX41" s="478"/>
      <c r="QHY41" s="478"/>
      <c r="QHZ41" s="478"/>
      <c r="QIA41" s="478"/>
      <c r="QIB41" s="478"/>
      <c r="QIC41" s="478"/>
      <c r="QID41" s="478"/>
      <c r="QIE41" s="478"/>
      <c r="QIF41" s="478"/>
      <c r="QIG41" s="478"/>
      <c r="QIH41" s="478"/>
      <c r="QII41" s="478"/>
      <c r="QIJ41" s="478"/>
      <c r="QIK41" s="478"/>
      <c r="QIL41" s="478"/>
      <c r="QIM41" s="478"/>
      <c r="QIN41" s="478"/>
      <c r="QIO41" s="478"/>
      <c r="QIP41" s="478"/>
      <c r="QIQ41" s="478"/>
      <c r="QIR41" s="478"/>
      <c r="QIS41" s="478"/>
      <c r="QIT41" s="478"/>
      <c r="QIU41" s="478"/>
      <c r="QIV41" s="478"/>
      <c r="QIW41" s="478"/>
      <c r="QIX41" s="478"/>
      <c r="QIY41" s="478"/>
      <c r="QIZ41" s="478"/>
      <c r="QJA41" s="478"/>
      <c r="QJB41" s="478"/>
      <c r="QJC41" s="478"/>
      <c r="QJD41" s="478"/>
      <c r="QJE41" s="478"/>
      <c r="QJF41" s="478"/>
      <c r="QJG41" s="478"/>
      <c r="QJH41" s="478"/>
      <c r="QJI41" s="478"/>
      <c r="QJJ41" s="478"/>
      <c r="QJK41" s="478"/>
      <c r="QJL41" s="478"/>
      <c r="QJM41" s="478"/>
      <c r="QJN41" s="478"/>
      <c r="QJO41" s="478"/>
      <c r="QJP41" s="478"/>
      <c r="QJQ41" s="478"/>
      <c r="QJR41" s="478"/>
      <c r="QJS41" s="478"/>
      <c r="QJT41" s="478"/>
      <c r="QJU41" s="478"/>
      <c r="QJV41" s="478"/>
      <c r="QJW41" s="478"/>
      <c r="QJX41" s="478"/>
      <c r="QJY41" s="478"/>
      <c r="QJZ41" s="478"/>
      <c r="QKA41" s="478"/>
      <c r="QKB41" s="478"/>
      <c r="QKC41" s="478"/>
      <c r="QKD41" s="478"/>
      <c r="QKE41" s="478"/>
      <c r="QKF41" s="478"/>
      <c r="QKG41" s="478"/>
      <c r="QKH41" s="478"/>
      <c r="QKI41" s="478"/>
      <c r="QKJ41" s="478"/>
      <c r="QKK41" s="478"/>
      <c r="QKL41" s="478"/>
      <c r="QKM41" s="478"/>
      <c r="QKN41" s="478"/>
      <c r="QKO41" s="478"/>
      <c r="QKP41" s="478"/>
      <c r="QKQ41" s="478"/>
      <c r="QKR41" s="478"/>
      <c r="QKS41" s="478"/>
      <c r="QKT41" s="478"/>
      <c r="QKU41" s="478"/>
      <c r="QKV41" s="478"/>
      <c r="QKW41" s="478"/>
      <c r="QKX41" s="478"/>
      <c r="QKY41" s="478"/>
      <c r="QKZ41" s="478"/>
      <c r="QLA41" s="478"/>
      <c r="QLB41" s="478"/>
      <c r="QLC41" s="478"/>
      <c r="QLD41" s="478"/>
      <c r="QLE41" s="478"/>
      <c r="QLF41" s="478"/>
      <c r="QLG41" s="478"/>
      <c r="QLH41" s="478"/>
      <c r="QLI41" s="478"/>
      <c r="QLJ41" s="478"/>
      <c r="QLK41" s="478"/>
      <c r="QLL41" s="478"/>
      <c r="QLM41" s="478"/>
      <c r="QLN41" s="478"/>
      <c r="QLO41" s="478"/>
      <c r="QLP41" s="478"/>
      <c r="QLQ41" s="478"/>
      <c r="QLR41" s="478"/>
      <c r="QLS41" s="478"/>
      <c r="QLT41" s="478"/>
      <c r="QLU41" s="478"/>
      <c r="QLV41" s="478"/>
      <c r="QLW41" s="478"/>
      <c r="QLX41" s="478"/>
      <c r="QLY41" s="478"/>
      <c r="QLZ41" s="478"/>
      <c r="QMA41" s="478"/>
      <c r="QMB41" s="478"/>
      <c r="QMC41" s="478"/>
      <c r="QMD41" s="478"/>
      <c r="QME41" s="478"/>
      <c r="QMF41" s="478"/>
      <c r="QMG41" s="478"/>
      <c r="QMH41" s="478"/>
      <c r="QMI41" s="478"/>
      <c r="QMJ41" s="478"/>
      <c r="QMK41" s="478"/>
      <c r="QML41" s="478"/>
      <c r="QMM41" s="478"/>
      <c r="QMN41" s="478"/>
      <c r="QMO41" s="478"/>
      <c r="QMP41" s="478"/>
      <c r="QMQ41" s="478"/>
      <c r="QMR41" s="478"/>
      <c r="QMS41" s="478"/>
      <c r="QMT41" s="478"/>
      <c r="QMU41" s="478"/>
      <c r="QMV41" s="478"/>
      <c r="QMW41" s="478"/>
      <c r="QMX41" s="478"/>
      <c r="QMY41" s="478"/>
      <c r="QMZ41" s="478"/>
      <c r="QNA41" s="478"/>
      <c r="QNB41" s="478"/>
      <c r="QNC41" s="478"/>
      <c r="QND41" s="478"/>
      <c r="QNE41" s="478"/>
      <c r="QNF41" s="478"/>
      <c r="QNG41" s="478"/>
      <c r="QNH41" s="478"/>
      <c r="QNI41" s="478"/>
      <c r="QNJ41" s="478"/>
      <c r="QNK41" s="478"/>
      <c r="QNL41" s="478"/>
      <c r="QNM41" s="478"/>
      <c r="QNN41" s="478"/>
      <c r="QNO41" s="478"/>
      <c r="QNP41" s="478"/>
      <c r="QNQ41" s="478"/>
      <c r="QNR41" s="478"/>
      <c r="QNS41" s="478"/>
      <c r="QNT41" s="478"/>
      <c r="QNU41" s="478"/>
      <c r="QNV41" s="478"/>
      <c r="QNW41" s="478"/>
      <c r="QNX41" s="478"/>
      <c r="QNY41" s="478"/>
      <c r="QNZ41" s="478"/>
      <c r="QOA41" s="478"/>
      <c r="QOB41" s="478"/>
      <c r="QOC41" s="478"/>
      <c r="QOD41" s="478"/>
      <c r="QOE41" s="478"/>
      <c r="QOF41" s="478"/>
      <c r="QOG41" s="478"/>
      <c r="QOH41" s="478"/>
      <c r="QOI41" s="478"/>
      <c r="QOJ41" s="478"/>
      <c r="QOK41" s="478"/>
      <c r="QOL41" s="478"/>
      <c r="QOM41" s="478"/>
      <c r="QON41" s="478"/>
      <c r="QOO41" s="478"/>
      <c r="QOP41" s="478"/>
      <c r="QOQ41" s="478"/>
      <c r="QOR41" s="478"/>
      <c r="QOS41" s="478"/>
      <c r="QOT41" s="478"/>
      <c r="QOU41" s="478"/>
      <c r="QOV41" s="478"/>
      <c r="QOW41" s="478"/>
      <c r="QOX41" s="478"/>
      <c r="QOY41" s="478"/>
      <c r="QOZ41" s="478"/>
      <c r="QPA41" s="478"/>
      <c r="QPB41" s="478"/>
      <c r="QPC41" s="478"/>
      <c r="QPD41" s="478"/>
      <c r="QPE41" s="478"/>
      <c r="QPF41" s="478"/>
      <c r="QPG41" s="478"/>
      <c r="QPH41" s="478"/>
      <c r="QPI41" s="478"/>
      <c r="QPJ41" s="478"/>
      <c r="QPK41" s="478"/>
      <c r="QPL41" s="478"/>
      <c r="QPM41" s="478"/>
      <c r="QPN41" s="478"/>
      <c r="QPO41" s="478"/>
      <c r="QPP41" s="478"/>
      <c r="QPQ41" s="478"/>
      <c r="QPR41" s="478"/>
      <c r="QPS41" s="478"/>
      <c r="QPT41" s="478"/>
      <c r="QPU41" s="478"/>
      <c r="QPV41" s="478"/>
      <c r="QPW41" s="478"/>
      <c r="QPX41" s="478"/>
      <c r="QPY41" s="478"/>
      <c r="QPZ41" s="478"/>
      <c r="QQA41" s="478"/>
      <c r="QQB41" s="478"/>
      <c r="QQC41" s="478"/>
      <c r="QQD41" s="478"/>
      <c r="QQE41" s="478"/>
      <c r="QQF41" s="478"/>
      <c r="QQG41" s="478"/>
      <c r="QQH41" s="478"/>
      <c r="QQI41" s="478"/>
      <c r="QQJ41" s="478"/>
      <c r="QQK41" s="478"/>
      <c r="QQL41" s="478"/>
      <c r="QQM41" s="478"/>
      <c r="QQN41" s="478"/>
      <c r="QQO41" s="478"/>
      <c r="QQP41" s="478"/>
      <c r="QQQ41" s="478"/>
      <c r="QQR41" s="478"/>
      <c r="QQS41" s="478"/>
      <c r="QQT41" s="478"/>
      <c r="QQU41" s="478"/>
      <c r="QQV41" s="478"/>
      <c r="QQW41" s="478"/>
      <c r="QQX41" s="478"/>
      <c r="QQY41" s="478"/>
      <c r="QQZ41" s="478"/>
      <c r="QRA41" s="478"/>
      <c r="QRB41" s="478"/>
      <c r="QRC41" s="478"/>
      <c r="QRD41" s="478"/>
      <c r="QRE41" s="478"/>
      <c r="QRF41" s="478"/>
      <c r="QRG41" s="478"/>
      <c r="QRH41" s="478"/>
      <c r="QRI41" s="478"/>
      <c r="QRJ41" s="478"/>
      <c r="QRK41" s="478"/>
      <c r="QRL41" s="478"/>
      <c r="QRM41" s="478"/>
      <c r="QRN41" s="478"/>
      <c r="QRO41" s="478"/>
      <c r="QRP41" s="478"/>
      <c r="QRQ41" s="478"/>
      <c r="QRR41" s="478"/>
      <c r="QRS41" s="478"/>
      <c r="QRT41" s="478"/>
      <c r="QRU41" s="478"/>
      <c r="QRV41" s="478"/>
      <c r="QRW41" s="478"/>
      <c r="QRX41" s="478"/>
      <c r="QRY41" s="478"/>
      <c r="QRZ41" s="478"/>
      <c r="QSA41" s="478"/>
      <c r="QSB41" s="478"/>
      <c r="QSC41" s="478"/>
      <c r="QSD41" s="478"/>
      <c r="QSE41" s="478"/>
      <c r="QSF41" s="478"/>
      <c r="QSG41" s="478"/>
      <c r="QSH41" s="478"/>
      <c r="QSI41" s="478"/>
      <c r="QSJ41" s="478"/>
      <c r="QSK41" s="478"/>
      <c r="QSL41" s="478"/>
      <c r="QSM41" s="478"/>
      <c r="QSN41" s="478"/>
      <c r="QSO41" s="478"/>
      <c r="QSP41" s="478"/>
      <c r="QSQ41" s="478"/>
      <c r="QSR41" s="478"/>
      <c r="QSS41" s="478"/>
      <c r="QST41" s="478"/>
      <c r="QSU41" s="478"/>
      <c r="QSV41" s="478"/>
      <c r="QSW41" s="478"/>
      <c r="QSX41" s="478"/>
      <c r="QSY41" s="478"/>
      <c r="QSZ41" s="478"/>
      <c r="QTA41" s="478"/>
      <c r="QTB41" s="478"/>
      <c r="QTC41" s="478"/>
      <c r="QTD41" s="478"/>
      <c r="QTE41" s="478"/>
      <c r="QTF41" s="478"/>
      <c r="QTG41" s="478"/>
      <c r="QTH41" s="478"/>
      <c r="QTI41" s="478"/>
      <c r="QTJ41" s="478"/>
      <c r="QTK41" s="478"/>
      <c r="QTL41" s="478"/>
      <c r="QTM41" s="478"/>
      <c r="QTN41" s="478"/>
      <c r="QTO41" s="478"/>
      <c r="QTP41" s="478"/>
      <c r="QTQ41" s="478"/>
      <c r="QTR41" s="478"/>
      <c r="QTS41" s="478"/>
      <c r="QTT41" s="478"/>
      <c r="QTU41" s="478"/>
      <c r="QTV41" s="478"/>
      <c r="QTW41" s="478"/>
      <c r="QTX41" s="478"/>
      <c r="QTY41" s="478"/>
      <c r="QTZ41" s="478"/>
      <c r="QUA41" s="478"/>
      <c r="QUB41" s="478"/>
      <c r="QUC41" s="478"/>
      <c r="QUD41" s="478"/>
      <c r="QUE41" s="478"/>
      <c r="QUF41" s="478"/>
      <c r="QUG41" s="478"/>
      <c r="QUH41" s="478"/>
      <c r="QUI41" s="478"/>
      <c r="QUJ41" s="478"/>
      <c r="QUK41" s="478"/>
      <c r="QUL41" s="478"/>
      <c r="QUM41" s="478"/>
      <c r="QUN41" s="478"/>
      <c r="QUO41" s="478"/>
      <c r="QUP41" s="478"/>
      <c r="QUQ41" s="478"/>
      <c r="QUR41" s="478"/>
      <c r="QUS41" s="478"/>
      <c r="QUT41" s="478"/>
      <c r="QUU41" s="478"/>
      <c r="QUV41" s="478"/>
      <c r="QUW41" s="478"/>
      <c r="QUX41" s="478"/>
      <c r="QUY41" s="478"/>
      <c r="QUZ41" s="478"/>
      <c r="QVA41" s="478"/>
      <c r="QVB41" s="478"/>
      <c r="QVC41" s="478"/>
      <c r="QVD41" s="478"/>
      <c r="QVE41" s="478"/>
      <c r="QVF41" s="478"/>
      <c r="QVG41" s="478"/>
      <c r="QVH41" s="478"/>
      <c r="QVI41" s="478"/>
      <c r="QVJ41" s="478"/>
      <c r="QVK41" s="478"/>
      <c r="QVL41" s="478"/>
      <c r="QVM41" s="478"/>
      <c r="QVN41" s="478"/>
      <c r="QVO41" s="478"/>
      <c r="QVP41" s="478"/>
      <c r="QVQ41" s="478"/>
      <c r="QVR41" s="478"/>
      <c r="QVS41" s="478"/>
      <c r="QVT41" s="478"/>
      <c r="QVU41" s="478"/>
      <c r="QVV41" s="478"/>
      <c r="QVW41" s="478"/>
      <c r="QVX41" s="478"/>
      <c r="QVY41" s="478"/>
      <c r="QVZ41" s="478"/>
      <c r="QWA41" s="478"/>
      <c r="QWB41" s="478"/>
      <c r="QWC41" s="478"/>
      <c r="QWD41" s="478"/>
      <c r="QWE41" s="478"/>
      <c r="QWF41" s="478"/>
      <c r="QWG41" s="478"/>
      <c r="QWH41" s="478"/>
      <c r="QWI41" s="478"/>
      <c r="QWJ41" s="478"/>
      <c r="QWK41" s="478"/>
      <c r="QWL41" s="478"/>
      <c r="QWM41" s="478"/>
      <c r="QWN41" s="478"/>
      <c r="QWO41" s="478"/>
      <c r="QWP41" s="478"/>
      <c r="QWQ41" s="478"/>
      <c r="QWR41" s="478"/>
      <c r="QWS41" s="478"/>
      <c r="QWT41" s="478"/>
      <c r="QWU41" s="478"/>
      <c r="QWV41" s="478"/>
      <c r="QWW41" s="478"/>
      <c r="QWX41" s="478"/>
      <c r="QWY41" s="478"/>
      <c r="QWZ41" s="478"/>
      <c r="QXA41" s="478"/>
      <c r="QXB41" s="478"/>
      <c r="QXC41" s="478"/>
      <c r="QXD41" s="478"/>
      <c r="QXE41" s="478"/>
      <c r="QXF41" s="478"/>
      <c r="QXG41" s="478"/>
      <c r="QXH41" s="478"/>
      <c r="QXI41" s="478"/>
      <c r="QXJ41" s="478"/>
      <c r="QXK41" s="478"/>
      <c r="QXL41" s="478"/>
      <c r="QXM41" s="478"/>
      <c r="QXN41" s="478"/>
      <c r="QXO41" s="478"/>
      <c r="QXP41" s="478"/>
      <c r="QXQ41" s="478"/>
      <c r="QXR41" s="478"/>
      <c r="QXS41" s="478"/>
      <c r="QXT41" s="478"/>
      <c r="QXU41" s="478"/>
      <c r="QXV41" s="478"/>
      <c r="QXW41" s="478"/>
      <c r="QXX41" s="478"/>
      <c r="QXY41" s="478"/>
      <c r="QXZ41" s="478"/>
      <c r="QYA41" s="478"/>
      <c r="QYB41" s="478"/>
      <c r="QYC41" s="478"/>
      <c r="QYD41" s="478"/>
      <c r="QYE41" s="478"/>
      <c r="QYF41" s="478"/>
      <c r="QYG41" s="478"/>
      <c r="QYH41" s="478"/>
      <c r="QYI41" s="478"/>
      <c r="QYJ41" s="478"/>
      <c r="QYK41" s="478"/>
      <c r="QYL41" s="478"/>
      <c r="QYM41" s="478"/>
      <c r="QYN41" s="478"/>
      <c r="QYO41" s="478"/>
      <c r="QYP41" s="478"/>
      <c r="QYQ41" s="478"/>
      <c r="QYR41" s="478"/>
      <c r="QYS41" s="478"/>
      <c r="QYT41" s="478"/>
      <c r="QYU41" s="478"/>
      <c r="QYV41" s="478"/>
      <c r="QYW41" s="478"/>
      <c r="QYX41" s="478"/>
      <c r="QYY41" s="478"/>
      <c r="QYZ41" s="478"/>
      <c r="QZA41" s="478"/>
      <c r="QZB41" s="478"/>
      <c r="QZC41" s="478"/>
      <c r="QZD41" s="478"/>
      <c r="QZE41" s="478"/>
      <c r="QZF41" s="478"/>
      <c r="QZG41" s="478"/>
      <c r="QZH41" s="478"/>
      <c r="QZI41" s="478"/>
      <c r="QZJ41" s="478"/>
      <c r="QZK41" s="478"/>
      <c r="QZL41" s="478"/>
      <c r="QZM41" s="478"/>
      <c r="QZN41" s="478"/>
      <c r="QZO41" s="478"/>
      <c r="QZP41" s="478"/>
      <c r="QZQ41" s="478"/>
      <c r="QZR41" s="478"/>
      <c r="QZS41" s="478"/>
      <c r="QZT41" s="478"/>
      <c r="QZU41" s="478"/>
      <c r="QZV41" s="478"/>
      <c r="QZW41" s="478"/>
      <c r="QZX41" s="478"/>
      <c r="QZY41" s="478"/>
      <c r="QZZ41" s="478"/>
      <c r="RAA41" s="478"/>
      <c r="RAB41" s="478"/>
      <c r="RAC41" s="478"/>
      <c r="RAD41" s="478"/>
      <c r="RAE41" s="478"/>
      <c r="RAF41" s="478"/>
      <c r="RAG41" s="478"/>
      <c r="RAH41" s="478"/>
      <c r="RAI41" s="478"/>
      <c r="RAJ41" s="478"/>
      <c r="RAK41" s="478"/>
      <c r="RAL41" s="478"/>
      <c r="RAM41" s="478"/>
      <c r="RAN41" s="478"/>
      <c r="RAO41" s="478"/>
      <c r="RAP41" s="478"/>
      <c r="RAQ41" s="478"/>
      <c r="RAR41" s="478"/>
      <c r="RAS41" s="478"/>
      <c r="RAT41" s="478"/>
      <c r="RAU41" s="478"/>
      <c r="RAV41" s="478"/>
      <c r="RAW41" s="478"/>
      <c r="RAX41" s="478"/>
      <c r="RAY41" s="478"/>
      <c r="RAZ41" s="478"/>
      <c r="RBA41" s="478"/>
      <c r="RBB41" s="478"/>
      <c r="RBC41" s="478"/>
      <c r="RBD41" s="478"/>
      <c r="RBE41" s="478"/>
      <c r="RBF41" s="478"/>
      <c r="RBG41" s="478"/>
      <c r="RBH41" s="478"/>
      <c r="RBI41" s="478"/>
      <c r="RBJ41" s="478"/>
      <c r="RBK41" s="478"/>
      <c r="RBL41" s="478"/>
      <c r="RBM41" s="478"/>
      <c r="RBN41" s="478"/>
      <c r="RBO41" s="478"/>
      <c r="RBP41" s="478"/>
      <c r="RBQ41" s="478"/>
      <c r="RBR41" s="478"/>
      <c r="RBS41" s="478"/>
      <c r="RBT41" s="478"/>
      <c r="RBU41" s="478"/>
      <c r="RBV41" s="478"/>
      <c r="RBW41" s="478"/>
      <c r="RBX41" s="478"/>
      <c r="RBY41" s="478"/>
      <c r="RBZ41" s="478"/>
      <c r="RCA41" s="478"/>
      <c r="RCB41" s="478"/>
      <c r="RCC41" s="478"/>
      <c r="RCD41" s="478"/>
      <c r="RCE41" s="478"/>
      <c r="RCF41" s="478"/>
      <c r="RCG41" s="478"/>
      <c r="RCH41" s="478"/>
      <c r="RCI41" s="478"/>
      <c r="RCJ41" s="478"/>
      <c r="RCK41" s="478"/>
      <c r="RCL41" s="478"/>
      <c r="RCM41" s="478"/>
      <c r="RCN41" s="478"/>
      <c r="RCO41" s="478"/>
      <c r="RCP41" s="478"/>
      <c r="RCQ41" s="478"/>
      <c r="RCR41" s="478"/>
      <c r="RCS41" s="478"/>
      <c r="RCT41" s="478"/>
      <c r="RCU41" s="478"/>
      <c r="RCV41" s="478"/>
      <c r="RCW41" s="478"/>
      <c r="RCX41" s="478"/>
      <c r="RCY41" s="478"/>
      <c r="RCZ41" s="478"/>
      <c r="RDA41" s="478"/>
      <c r="RDB41" s="478"/>
      <c r="RDC41" s="478"/>
      <c r="RDD41" s="478"/>
      <c r="RDE41" s="478"/>
      <c r="RDF41" s="478"/>
      <c r="RDG41" s="478"/>
      <c r="RDH41" s="478"/>
      <c r="RDI41" s="478"/>
      <c r="RDJ41" s="478"/>
      <c r="RDK41" s="478"/>
      <c r="RDL41" s="478"/>
      <c r="RDM41" s="478"/>
      <c r="RDN41" s="478"/>
      <c r="RDO41" s="478"/>
      <c r="RDP41" s="478"/>
      <c r="RDQ41" s="478"/>
      <c r="RDR41" s="478"/>
      <c r="RDS41" s="478"/>
      <c r="RDT41" s="478"/>
      <c r="RDU41" s="478"/>
      <c r="RDV41" s="478"/>
      <c r="RDW41" s="478"/>
      <c r="RDX41" s="478"/>
      <c r="RDY41" s="478"/>
      <c r="RDZ41" s="478"/>
      <c r="REA41" s="478"/>
      <c r="REB41" s="478"/>
      <c r="REC41" s="478"/>
      <c r="RED41" s="478"/>
      <c r="REE41" s="478"/>
      <c r="REF41" s="478"/>
      <c r="REG41" s="478"/>
      <c r="REH41" s="478"/>
      <c r="REI41" s="478"/>
      <c r="REJ41" s="478"/>
      <c r="REK41" s="478"/>
      <c r="REL41" s="478"/>
      <c r="REM41" s="478"/>
      <c r="REN41" s="478"/>
      <c r="REO41" s="478"/>
      <c r="REP41" s="478"/>
      <c r="REQ41" s="478"/>
      <c r="RER41" s="478"/>
      <c r="RES41" s="478"/>
      <c r="RET41" s="478"/>
      <c r="REU41" s="478"/>
      <c r="REV41" s="478"/>
      <c r="REW41" s="478"/>
      <c r="REX41" s="478"/>
      <c r="REY41" s="478"/>
      <c r="REZ41" s="478"/>
      <c r="RFA41" s="478"/>
      <c r="RFB41" s="478"/>
      <c r="RFC41" s="478"/>
      <c r="RFD41" s="478"/>
      <c r="RFE41" s="478"/>
      <c r="RFF41" s="478"/>
      <c r="RFG41" s="478"/>
      <c r="RFH41" s="478"/>
      <c r="RFI41" s="478"/>
      <c r="RFJ41" s="478"/>
      <c r="RFK41" s="478"/>
      <c r="RFL41" s="478"/>
      <c r="RFM41" s="478"/>
      <c r="RFN41" s="478"/>
      <c r="RFO41" s="478"/>
      <c r="RFP41" s="478"/>
      <c r="RFQ41" s="478"/>
      <c r="RFR41" s="478"/>
      <c r="RFS41" s="478"/>
      <c r="RFT41" s="478"/>
      <c r="RFU41" s="478"/>
      <c r="RFV41" s="478"/>
      <c r="RFW41" s="478"/>
      <c r="RFX41" s="478"/>
      <c r="RFY41" s="478"/>
      <c r="RFZ41" s="478"/>
      <c r="RGA41" s="478"/>
      <c r="RGB41" s="478"/>
      <c r="RGC41" s="478"/>
      <c r="RGD41" s="478"/>
      <c r="RGE41" s="478"/>
      <c r="RGF41" s="478"/>
      <c r="RGG41" s="478"/>
      <c r="RGH41" s="478"/>
      <c r="RGI41" s="478"/>
      <c r="RGJ41" s="478"/>
      <c r="RGK41" s="478"/>
      <c r="RGL41" s="478"/>
      <c r="RGM41" s="478"/>
      <c r="RGN41" s="478"/>
      <c r="RGO41" s="478"/>
      <c r="RGP41" s="478"/>
      <c r="RGQ41" s="478"/>
      <c r="RGR41" s="478"/>
      <c r="RGS41" s="478"/>
      <c r="RGT41" s="478"/>
      <c r="RGU41" s="478"/>
      <c r="RGV41" s="478"/>
      <c r="RGW41" s="478"/>
      <c r="RGX41" s="478"/>
      <c r="RGY41" s="478"/>
      <c r="RGZ41" s="478"/>
      <c r="RHA41" s="478"/>
      <c r="RHB41" s="478"/>
      <c r="RHC41" s="478"/>
      <c r="RHD41" s="478"/>
      <c r="RHE41" s="478"/>
      <c r="RHF41" s="478"/>
      <c r="RHG41" s="478"/>
      <c r="RHH41" s="478"/>
      <c r="RHI41" s="478"/>
      <c r="RHJ41" s="478"/>
      <c r="RHK41" s="478"/>
      <c r="RHL41" s="478"/>
      <c r="RHM41" s="478"/>
      <c r="RHN41" s="478"/>
      <c r="RHO41" s="478"/>
      <c r="RHP41" s="478"/>
      <c r="RHQ41" s="478"/>
      <c r="RHR41" s="478"/>
      <c r="RHS41" s="478"/>
      <c r="RHT41" s="478"/>
      <c r="RHU41" s="478"/>
      <c r="RHV41" s="478"/>
      <c r="RHW41" s="478"/>
      <c r="RHX41" s="478"/>
      <c r="RHY41" s="478"/>
      <c r="RHZ41" s="478"/>
      <c r="RIA41" s="478"/>
      <c r="RIB41" s="478"/>
      <c r="RIC41" s="478"/>
      <c r="RID41" s="478"/>
      <c r="RIE41" s="478"/>
      <c r="RIF41" s="478"/>
      <c r="RIG41" s="478"/>
      <c r="RIH41" s="478"/>
      <c r="RII41" s="478"/>
      <c r="RIJ41" s="478"/>
      <c r="RIK41" s="478"/>
      <c r="RIL41" s="478"/>
      <c r="RIM41" s="478"/>
      <c r="RIN41" s="478"/>
      <c r="RIO41" s="478"/>
      <c r="RIP41" s="478"/>
      <c r="RIQ41" s="478"/>
      <c r="RIR41" s="478"/>
      <c r="RIS41" s="478"/>
      <c r="RIT41" s="478"/>
      <c r="RIU41" s="478"/>
      <c r="RIV41" s="478"/>
      <c r="RIW41" s="478"/>
      <c r="RIX41" s="478"/>
      <c r="RIY41" s="478"/>
      <c r="RIZ41" s="478"/>
      <c r="RJA41" s="478"/>
      <c r="RJB41" s="478"/>
      <c r="RJC41" s="478"/>
      <c r="RJD41" s="478"/>
      <c r="RJE41" s="478"/>
      <c r="RJF41" s="478"/>
      <c r="RJG41" s="478"/>
      <c r="RJH41" s="478"/>
      <c r="RJI41" s="478"/>
      <c r="RJJ41" s="478"/>
      <c r="RJK41" s="478"/>
      <c r="RJL41" s="478"/>
      <c r="RJM41" s="478"/>
      <c r="RJN41" s="478"/>
      <c r="RJO41" s="478"/>
      <c r="RJP41" s="478"/>
      <c r="RJQ41" s="478"/>
      <c r="RJR41" s="478"/>
      <c r="RJS41" s="478"/>
      <c r="RJT41" s="478"/>
      <c r="RJU41" s="478"/>
      <c r="RJV41" s="478"/>
      <c r="RJW41" s="478"/>
      <c r="RJX41" s="478"/>
      <c r="RJY41" s="478"/>
      <c r="RJZ41" s="478"/>
      <c r="RKA41" s="478"/>
      <c r="RKB41" s="478"/>
      <c r="RKC41" s="478"/>
      <c r="RKD41" s="478"/>
      <c r="RKE41" s="478"/>
      <c r="RKF41" s="478"/>
      <c r="RKG41" s="478"/>
      <c r="RKH41" s="478"/>
      <c r="RKI41" s="478"/>
      <c r="RKJ41" s="478"/>
      <c r="RKK41" s="478"/>
      <c r="RKL41" s="478"/>
      <c r="RKM41" s="478"/>
      <c r="RKN41" s="478"/>
      <c r="RKO41" s="478"/>
      <c r="RKP41" s="478"/>
      <c r="RKQ41" s="478"/>
      <c r="RKR41" s="478"/>
      <c r="RKS41" s="478"/>
      <c r="RKT41" s="478"/>
      <c r="RKU41" s="478"/>
      <c r="RKV41" s="478"/>
      <c r="RKW41" s="478"/>
      <c r="RKX41" s="478"/>
      <c r="RKY41" s="478"/>
      <c r="RKZ41" s="478"/>
      <c r="RLA41" s="478"/>
      <c r="RLB41" s="478"/>
      <c r="RLC41" s="478"/>
      <c r="RLD41" s="478"/>
      <c r="RLE41" s="478"/>
      <c r="RLF41" s="478"/>
      <c r="RLG41" s="478"/>
      <c r="RLH41" s="478"/>
      <c r="RLI41" s="478"/>
      <c r="RLJ41" s="478"/>
      <c r="RLK41" s="478"/>
      <c r="RLL41" s="478"/>
      <c r="RLM41" s="478"/>
      <c r="RLN41" s="478"/>
      <c r="RLO41" s="478"/>
      <c r="RLP41" s="478"/>
      <c r="RLQ41" s="478"/>
      <c r="RLR41" s="478"/>
      <c r="RLS41" s="478"/>
      <c r="RLT41" s="478"/>
      <c r="RLU41" s="478"/>
      <c r="RLV41" s="478"/>
      <c r="RLW41" s="478"/>
      <c r="RLX41" s="478"/>
      <c r="RLY41" s="478"/>
      <c r="RLZ41" s="478"/>
      <c r="RMA41" s="478"/>
      <c r="RMB41" s="478"/>
      <c r="RMC41" s="478"/>
      <c r="RMD41" s="478"/>
      <c r="RME41" s="478"/>
      <c r="RMF41" s="478"/>
      <c r="RMG41" s="478"/>
      <c r="RMH41" s="478"/>
      <c r="RMI41" s="478"/>
      <c r="RMJ41" s="478"/>
      <c r="RMK41" s="478"/>
      <c r="RML41" s="478"/>
      <c r="RMM41" s="478"/>
      <c r="RMN41" s="478"/>
      <c r="RMO41" s="478"/>
      <c r="RMP41" s="478"/>
      <c r="RMQ41" s="478"/>
      <c r="RMR41" s="478"/>
      <c r="RMS41" s="478"/>
      <c r="RMT41" s="478"/>
      <c r="RMU41" s="478"/>
      <c r="RMV41" s="478"/>
      <c r="RMW41" s="478"/>
      <c r="RMX41" s="478"/>
      <c r="RMY41" s="478"/>
      <c r="RMZ41" s="478"/>
      <c r="RNA41" s="478"/>
      <c r="RNB41" s="478"/>
      <c r="RNC41" s="478"/>
      <c r="RND41" s="478"/>
      <c r="RNE41" s="478"/>
      <c r="RNF41" s="478"/>
      <c r="RNG41" s="478"/>
      <c r="RNH41" s="478"/>
      <c r="RNI41" s="478"/>
      <c r="RNJ41" s="478"/>
      <c r="RNK41" s="478"/>
      <c r="RNL41" s="478"/>
      <c r="RNM41" s="478"/>
      <c r="RNN41" s="478"/>
      <c r="RNO41" s="478"/>
      <c r="RNP41" s="478"/>
      <c r="RNQ41" s="478"/>
      <c r="RNR41" s="478"/>
      <c r="RNS41" s="478"/>
      <c r="RNT41" s="478"/>
      <c r="RNU41" s="478"/>
      <c r="RNV41" s="478"/>
      <c r="RNW41" s="478"/>
      <c r="RNX41" s="478"/>
      <c r="RNY41" s="478"/>
      <c r="RNZ41" s="478"/>
      <c r="ROA41" s="478"/>
      <c r="ROB41" s="478"/>
      <c r="ROC41" s="478"/>
      <c r="ROD41" s="478"/>
      <c r="ROE41" s="478"/>
      <c r="ROF41" s="478"/>
      <c r="ROG41" s="478"/>
      <c r="ROH41" s="478"/>
      <c r="ROI41" s="478"/>
      <c r="ROJ41" s="478"/>
      <c r="ROK41" s="478"/>
      <c r="ROL41" s="478"/>
      <c r="ROM41" s="478"/>
      <c r="RON41" s="478"/>
      <c r="ROO41" s="478"/>
      <c r="ROP41" s="478"/>
      <c r="ROQ41" s="478"/>
      <c r="ROR41" s="478"/>
      <c r="ROS41" s="478"/>
      <c r="ROT41" s="478"/>
      <c r="ROU41" s="478"/>
      <c r="ROV41" s="478"/>
      <c r="ROW41" s="478"/>
      <c r="ROX41" s="478"/>
      <c r="ROY41" s="478"/>
      <c r="ROZ41" s="478"/>
      <c r="RPA41" s="478"/>
      <c r="RPB41" s="478"/>
      <c r="RPC41" s="478"/>
      <c r="RPD41" s="478"/>
      <c r="RPE41" s="478"/>
      <c r="RPF41" s="478"/>
      <c r="RPG41" s="478"/>
      <c r="RPH41" s="478"/>
      <c r="RPI41" s="478"/>
      <c r="RPJ41" s="478"/>
      <c r="RPK41" s="478"/>
      <c r="RPL41" s="478"/>
      <c r="RPM41" s="478"/>
      <c r="RPN41" s="478"/>
      <c r="RPO41" s="478"/>
      <c r="RPP41" s="478"/>
      <c r="RPQ41" s="478"/>
      <c r="RPR41" s="478"/>
      <c r="RPS41" s="478"/>
      <c r="RPT41" s="478"/>
      <c r="RPU41" s="478"/>
      <c r="RPV41" s="478"/>
      <c r="RPW41" s="478"/>
      <c r="RPX41" s="478"/>
      <c r="RPY41" s="478"/>
      <c r="RPZ41" s="478"/>
      <c r="RQA41" s="478"/>
      <c r="RQB41" s="478"/>
      <c r="RQC41" s="478"/>
      <c r="RQD41" s="478"/>
      <c r="RQE41" s="478"/>
      <c r="RQF41" s="478"/>
      <c r="RQG41" s="478"/>
      <c r="RQH41" s="478"/>
      <c r="RQI41" s="478"/>
      <c r="RQJ41" s="478"/>
      <c r="RQK41" s="478"/>
      <c r="RQL41" s="478"/>
      <c r="RQM41" s="478"/>
      <c r="RQN41" s="478"/>
      <c r="RQO41" s="478"/>
      <c r="RQP41" s="478"/>
      <c r="RQQ41" s="478"/>
      <c r="RQR41" s="478"/>
      <c r="RQS41" s="478"/>
      <c r="RQT41" s="478"/>
      <c r="RQU41" s="478"/>
      <c r="RQV41" s="478"/>
      <c r="RQW41" s="478"/>
      <c r="RQX41" s="478"/>
      <c r="RQY41" s="478"/>
      <c r="RQZ41" s="478"/>
      <c r="RRA41" s="478"/>
      <c r="RRB41" s="478"/>
      <c r="RRC41" s="478"/>
      <c r="RRD41" s="478"/>
      <c r="RRE41" s="478"/>
      <c r="RRF41" s="478"/>
      <c r="RRG41" s="478"/>
      <c r="RRH41" s="478"/>
      <c r="RRI41" s="478"/>
      <c r="RRJ41" s="478"/>
      <c r="RRK41" s="478"/>
      <c r="RRL41" s="478"/>
      <c r="RRM41" s="478"/>
      <c r="RRN41" s="478"/>
      <c r="RRO41" s="478"/>
      <c r="RRP41" s="478"/>
      <c r="RRQ41" s="478"/>
      <c r="RRR41" s="478"/>
      <c r="RRS41" s="478"/>
      <c r="RRT41" s="478"/>
      <c r="RRU41" s="478"/>
      <c r="RRV41" s="478"/>
      <c r="RRW41" s="478"/>
      <c r="RRX41" s="478"/>
      <c r="RRY41" s="478"/>
      <c r="RRZ41" s="478"/>
      <c r="RSA41" s="478"/>
      <c r="RSB41" s="478"/>
      <c r="RSC41" s="478"/>
      <c r="RSD41" s="478"/>
      <c r="RSE41" s="478"/>
      <c r="RSF41" s="478"/>
      <c r="RSG41" s="478"/>
      <c r="RSH41" s="478"/>
      <c r="RSI41" s="478"/>
      <c r="RSJ41" s="478"/>
      <c r="RSK41" s="478"/>
      <c r="RSL41" s="478"/>
      <c r="RSM41" s="478"/>
      <c r="RSN41" s="478"/>
      <c r="RSO41" s="478"/>
      <c r="RSP41" s="478"/>
      <c r="RSQ41" s="478"/>
      <c r="RSR41" s="478"/>
      <c r="RSS41" s="478"/>
      <c r="RST41" s="478"/>
      <c r="RSU41" s="478"/>
      <c r="RSV41" s="478"/>
      <c r="RSW41" s="478"/>
      <c r="RSX41" s="478"/>
      <c r="RSY41" s="478"/>
      <c r="RSZ41" s="478"/>
      <c r="RTA41" s="478"/>
      <c r="RTB41" s="478"/>
      <c r="RTC41" s="478"/>
      <c r="RTD41" s="478"/>
      <c r="RTE41" s="478"/>
      <c r="RTF41" s="478"/>
      <c r="RTG41" s="478"/>
      <c r="RTH41" s="478"/>
      <c r="RTI41" s="478"/>
      <c r="RTJ41" s="478"/>
      <c r="RTK41" s="478"/>
      <c r="RTL41" s="478"/>
      <c r="RTM41" s="478"/>
      <c r="RTN41" s="478"/>
      <c r="RTO41" s="478"/>
      <c r="RTP41" s="478"/>
      <c r="RTQ41" s="478"/>
      <c r="RTR41" s="478"/>
      <c r="RTS41" s="478"/>
      <c r="RTT41" s="478"/>
      <c r="RTU41" s="478"/>
      <c r="RTV41" s="478"/>
      <c r="RTW41" s="478"/>
      <c r="RTX41" s="478"/>
      <c r="RTY41" s="478"/>
      <c r="RTZ41" s="478"/>
      <c r="RUA41" s="478"/>
      <c r="RUB41" s="478"/>
      <c r="RUC41" s="478"/>
      <c r="RUD41" s="478"/>
      <c r="RUE41" s="478"/>
      <c r="RUF41" s="478"/>
      <c r="RUG41" s="478"/>
      <c r="RUH41" s="478"/>
      <c r="RUI41" s="478"/>
      <c r="RUJ41" s="478"/>
      <c r="RUK41" s="478"/>
      <c r="RUL41" s="478"/>
      <c r="RUM41" s="478"/>
      <c r="RUN41" s="478"/>
      <c r="RUO41" s="478"/>
      <c r="RUP41" s="478"/>
      <c r="RUQ41" s="478"/>
      <c r="RUR41" s="478"/>
      <c r="RUS41" s="478"/>
      <c r="RUT41" s="478"/>
      <c r="RUU41" s="478"/>
      <c r="RUV41" s="478"/>
      <c r="RUW41" s="478"/>
      <c r="RUX41" s="478"/>
      <c r="RUY41" s="478"/>
      <c r="RUZ41" s="478"/>
      <c r="RVA41" s="478"/>
      <c r="RVB41" s="478"/>
      <c r="RVC41" s="478"/>
      <c r="RVD41" s="478"/>
      <c r="RVE41" s="478"/>
      <c r="RVF41" s="478"/>
      <c r="RVG41" s="478"/>
      <c r="RVH41" s="478"/>
      <c r="RVI41" s="478"/>
      <c r="RVJ41" s="478"/>
      <c r="RVK41" s="478"/>
      <c r="RVL41" s="478"/>
      <c r="RVM41" s="478"/>
      <c r="RVN41" s="478"/>
      <c r="RVO41" s="478"/>
      <c r="RVP41" s="478"/>
      <c r="RVQ41" s="478"/>
      <c r="RVR41" s="478"/>
      <c r="RVS41" s="478"/>
      <c r="RVT41" s="478"/>
      <c r="RVU41" s="478"/>
      <c r="RVV41" s="478"/>
      <c r="RVW41" s="478"/>
      <c r="RVX41" s="478"/>
      <c r="RVY41" s="478"/>
      <c r="RVZ41" s="478"/>
      <c r="RWA41" s="478"/>
      <c r="RWB41" s="478"/>
      <c r="RWC41" s="478"/>
      <c r="RWD41" s="478"/>
      <c r="RWE41" s="478"/>
      <c r="RWF41" s="478"/>
      <c r="RWG41" s="478"/>
      <c r="RWH41" s="478"/>
      <c r="RWI41" s="478"/>
      <c r="RWJ41" s="478"/>
      <c r="RWK41" s="478"/>
      <c r="RWL41" s="478"/>
      <c r="RWM41" s="478"/>
      <c r="RWN41" s="478"/>
      <c r="RWO41" s="478"/>
      <c r="RWP41" s="478"/>
      <c r="RWQ41" s="478"/>
      <c r="RWR41" s="478"/>
      <c r="RWS41" s="478"/>
      <c r="RWT41" s="478"/>
      <c r="RWU41" s="478"/>
      <c r="RWV41" s="478"/>
      <c r="RWW41" s="478"/>
      <c r="RWX41" s="478"/>
      <c r="RWY41" s="478"/>
      <c r="RWZ41" s="478"/>
      <c r="RXA41" s="478"/>
      <c r="RXB41" s="478"/>
      <c r="RXC41" s="478"/>
      <c r="RXD41" s="478"/>
      <c r="RXE41" s="478"/>
      <c r="RXF41" s="478"/>
      <c r="RXG41" s="478"/>
      <c r="RXH41" s="478"/>
      <c r="RXI41" s="478"/>
      <c r="RXJ41" s="478"/>
      <c r="RXK41" s="478"/>
      <c r="RXL41" s="478"/>
      <c r="RXM41" s="478"/>
      <c r="RXN41" s="478"/>
      <c r="RXO41" s="478"/>
      <c r="RXP41" s="478"/>
      <c r="RXQ41" s="478"/>
      <c r="RXR41" s="478"/>
      <c r="RXS41" s="478"/>
      <c r="RXT41" s="478"/>
      <c r="RXU41" s="478"/>
      <c r="RXV41" s="478"/>
      <c r="RXW41" s="478"/>
      <c r="RXX41" s="478"/>
      <c r="RXY41" s="478"/>
      <c r="RXZ41" s="478"/>
      <c r="RYA41" s="478"/>
      <c r="RYB41" s="478"/>
      <c r="RYC41" s="478"/>
      <c r="RYD41" s="478"/>
      <c r="RYE41" s="478"/>
      <c r="RYF41" s="478"/>
      <c r="RYG41" s="478"/>
      <c r="RYH41" s="478"/>
      <c r="RYI41" s="478"/>
      <c r="RYJ41" s="478"/>
      <c r="RYK41" s="478"/>
      <c r="RYL41" s="478"/>
      <c r="RYM41" s="478"/>
      <c r="RYN41" s="478"/>
      <c r="RYO41" s="478"/>
      <c r="RYP41" s="478"/>
      <c r="RYQ41" s="478"/>
      <c r="RYR41" s="478"/>
      <c r="RYS41" s="478"/>
      <c r="RYT41" s="478"/>
      <c r="RYU41" s="478"/>
      <c r="RYV41" s="478"/>
      <c r="RYW41" s="478"/>
      <c r="RYX41" s="478"/>
      <c r="RYY41" s="478"/>
      <c r="RYZ41" s="478"/>
      <c r="RZA41" s="478"/>
      <c r="RZB41" s="478"/>
      <c r="RZC41" s="478"/>
      <c r="RZD41" s="478"/>
      <c r="RZE41" s="478"/>
      <c r="RZF41" s="478"/>
      <c r="RZG41" s="478"/>
      <c r="RZH41" s="478"/>
      <c r="RZI41" s="478"/>
      <c r="RZJ41" s="478"/>
      <c r="RZK41" s="478"/>
      <c r="RZL41" s="478"/>
      <c r="RZM41" s="478"/>
      <c r="RZN41" s="478"/>
      <c r="RZO41" s="478"/>
      <c r="RZP41" s="478"/>
      <c r="RZQ41" s="478"/>
      <c r="RZR41" s="478"/>
      <c r="RZS41" s="478"/>
      <c r="RZT41" s="478"/>
      <c r="RZU41" s="478"/>
      <c r="RZV41" s="478"/>
      <c r="RZW41" s="478"/>
      <c r="RZX41" s="478"/>
      <c r="RZY41" s="478"/>
      <c r="RZZ41" s="478"/>
      <c r="SAA41" s="478"/>
      <c r="SAB41" s="478"/>
      <c r="SAC41" s="478"/>
      <c r="SAD41" s="478"/>
      <c r="SAE41" s="478"/>
      <c r="SAF41" s="478"/>
      <c r="SAG41" s="478"/>
      <c r="SAH41" s="478"/>
      <c r="SAI41" s="478"/>
      <c r="SAJ41" s="478"/>
      <c r="SAK41" s="478"/>
      <c r="SAL41" s="478"/>
      <c r="SAM41" s="478"/>
      <c r="SAN41" s="478"/>
      <c r="SAO41" s="478"/>
      <c r="SAP41" s="478"/>
      <c r="SAQ41" s="478"/>
      <c r="SAR41" s="478"/>
      <c r="SAS41" s="478"/>
      <c r="SAT41" s="478"/>
      <c r="SAU41" s="478"/>
      <c r="SAV41" s="478"/>
      <c r="SAW41" s="478"/>
      <c r="SAX41" s="478"/>
      <c r="SAY41" s="478"/>
      <c r="SAZ41" s="478"/>
      <c r="SBA41" s="478"/>
      <c r="SBB41" s="478"/>
      <c r="SBC41" s="478"/>
      <c r="SBD41" s="478"/>
      <c r="SBE41" s="478"/>
      <c r="SBF41" s="478"/>
      <c r="SBG41" s="478"/>
      <c r="SBH41" s="478"/>
      <c r="SBI41" s="478"/>
      <c r="SBJ41" s="478"/>
      <c r="SBK41" s="478"/>
      <c r="SBL41" s="478"/>
      <c r="SBM41" s="478"/>
      <c r="SBN41" s="478"/>
      <c r="SBO41" s="478"/>
      <c r="SBP41" s="478"/>
      <c r="SBQ41" s="478"/>
      <c r="SBR41" s="478"/>
      <c r="SBS41" s="478"/>
      <c r="SBT41" s="478"/>
      <c r="SBU41" s="478"/>
      <c r="SBV41" s="478"/>
      <c r="SBW41" s="478"/>
      <c r="SBX41" s="478"/>
      <c r="SBY41" s="478"/>
      <c r="SBZ41" s="478"/>
      <c r="SCA41" s="478"/>
      <c r="SCB41" s="478"/>
      <c r="SCC41" s="478"/>
      <c r="SCD41" s="478"/>
      <c r="SCE41" s="478"/>
      <c r="SCF41" s="478"/>
      <c r="SCG41" s="478"/>
      <c r="SCH41" s="478"/>
      <c r="SCI41" s="478"/>
      <c r="SCJ41" s="478"/>
      <c r="SCK41" s="478"/>
      <c r="SCL41" s="478"/>
      <c r="SCM41" s="478"/>
      <c r="SCN41" s="478"/>
      <c r="SCO41" s="478"/>
      <c r="SCP41" s="478"/>
      <c r="SCQ41" s="478"/>
      <c r="SCR41" s="478"/>
      <c r="SCS41" s="478"/>
      <c r="SCT41" s="478"/>
      <c r="SCU41" s="478"/>
      <c r="SCV41" s="478"/>
      <c r="SCW41" s="478"/>
      <c r="SCX41" s="478"/>
      <c r="SCY41" s="478"/>
      <c r="SCZ41" s="478"/>
      <c r="SDA41" s="478"/>
      <c r="SDB41" s="478"/>
      <c r="SDC41" s="478"/>
      <c r="SDD41" s="478"/>
      <c r="SDE41" s="478"/>
      <c r="SDF41" s="478"/>
      <c r="SDG41" s="478"/>
      <c r="SDH41" s="478"/>
      <c r="SDI41" s="478"/>
      <c r="SDJ41" s="478"/>
      <c r="SDK41" s="478"/>
      <c r="SDL41" s="478"/>
      <c r="SDM41" s="478"/>
      <c r="SDN41" s="478"/>
      <c r="SDO41" s="478"/>
      <c r="SDP41" s="478"/>
      <c r="SDQ41" s="478"/>
      <c r="SDR41" s="478"/>
      <c r="SDS41" s="478"/>
      <c r="SDT41" s="478"/>
      <c r="SDU41" s="478"/>
      <c r="SDV41" s="478"/>
      <c r="SDW41" s="478"/>
      <c r="SDX41" s="478"/>
      <c r="SDY41" s="478"/>
      <c r="SDZ41" s="478"/>
      <c r="SEA41" s="478"/>
      <c r="SEB41" s="478"/>
      <c r="SEC41" s="478"/>
      <c r="SED41" s="478"/>
      <c r="SEE41" s="478"/>
      <c r="SEF41" s="478"/>
      <c r="SEG41" s="478"/>
      <c r="SEH41" s="478"/>
      <c r="SEI41" s="478"/>
      <c r="SEJ41" s="478"/>
      <c r="SEK41" s="478"/>
      <c r="SEL41" s="478"/>
      <c r="SEM41" s="478"/>
      <c r="SEN41" s="478"/>
      <c r="SEO41" s="478"/>
      <c r="SEP41" s="478"/>
      <c r="SEQ41" s="478"/>
      <c r="SER41" s="478"/>
      <c r="SES41" s="478"/>
      <c r="SET41" s="478"/>
      <c r="SEU41" s="478"/>
      <c r="SEV41" s="478"/>
      <c r="SEW41" s="478"/>
      <c r="SEX41" s="478"/>
      <c r="SEY41" s="478"/>
      <c r="SEZ41" s="478"/>
      <c r="SFA41" s="478"/>
      <c r="SFB41" s="478"/>
      <c r="SFC41" s="478"/>
      <c r="SFD41" s="478"/>
      <c r="SFE41" s="478"/>
      <c r="SFF41" s="478"/>
      <c r="SFG41" s="478"/>
      <c r="SFH41" s="478"/>
      <c r="SFI41" s="478"/>
      <c r="SFJ41" s="478"/>
      <c r="SFK41" s="478"/>
      <c r="SFL41" s="478"/>
      <c r="SFM41" s="478"/>
      <c r="SFN41" s="478"/>
      <c r="SFO41" s="478"/>
      <c r="SFP41" s="478"/>
      <c r="SFQ41" s="478"/>
      <c r="SFR41" s="478"/>
      <c r="SFS41" s="478"/>
      <c r="SFT41" s="478"/>
      <c r="SFU41" s="478"/>
      <c r="SFV41" s="478"/>
      <c r="SFW41" s="478"/>
      <c r="SFX41" s="478"/>
      <c r="SFY41" s="478"/>
      <c r="SFZ41" s="478"/>
      <c r="SGA41" s="478"/>
      <c r="SGB41" s="478"/>
      <c r="SGC41" s="478"/>
      <c r="SGD41" s="478"/>
      <c r="SGE41" s="478"/>
      <c r="SGF41" s="478"/>
      <c r="SGG41" s="478"/>
      <c r="SGH41" s="478"/>
      <c r="SGI41" s="478"/>
      <c r="SGJ41" s="478"/>
      <c r="SGK41" s="478"/>
      <c r="SGL41" s="478"/>
      <c r="SGM41" s="478"/>
      <c r="SGN41" s="478"/>
      <c r="SGO41" s="478"/>
      <c r="SGP41" s="478"/>
      <c r="SGQ41" s="478"/>
      <c r="SGR41" s="478"/>
      <c r="SGS41" s="478"/>
      <c r="SGT41" s="478"/>
      <c r="SGU41" s="478"/>
      <c r="SGV41" s="478"/>
      <c r="SGW41" s="478"/>
      <c r="SGX41" s="478"/>
      <c r="SGY41" s="478"/>
      <c r="SGZ41" s="478"/>
      <c r="SHA41" s="478"/>
      <c r="SHB41" s="478"/>
      <c r="SHC41" s="478"/>
      <c r="SHD41" s="478"/>
      <c r="SHE41" s="478"/>
      <c r="SHF41" s="478"/>
      <c r="SHG41" s="478"/>
      <c r="SHH41" s="478"/>
      <c r="SHI41" s="478"/>
      <c r="SHJ41" s="478"/>
      <c r="SHK41" s="478"/>
      <c r="SHL41" s="478"/>
      <c r="SHM41" s="478"/>
      <c r="SHN41" s="478"/>
      <c r="SHO41" s="478"/>
      <c r="SHP41" s="478"/>
      <c r="SHQ41" s="478"/>
      <c r="SHR41" s="478"/>
      <c r="SHS41" s="478"/>
      <c r="SHT41" s="478"/>
      <c r="SHU41" s="478"/>
      <c r="SHV41" s="478"/>
      <c r="SHW41" s="478"/>
      <c r="SHX41" s="478"/>
      <c r="SHY41" s="478"/>
      <c r="SHZ41" s="478"/>
      <c r="SIA41" s="478"/>
      <c r="SIB41" s="478"/>
      <c r="SIC41" s="478"/>
      <c r="SID41" s="478"/>
      <c r="SIE41" s="478"/>
      <c r="SIF41" s="478"/>
      <c r="SIG41" s="478"/>
      <c r="SIH41" s="478"/>
      <c r="SII41" s="478"/>
      <c r="SIJ41" s="478"/>
      <c r="SIK41" s="478"/>
      <c r="SIL41" s="478"/>
      <c r="SIM41" s="478"/>
      <c r="SIN41" s="478"/>
      <c r="SIO41" s="478"/>
      <c r="SIP41" s="478"/>
      <c r="SIQ41" s="478"/>
      <c r="SIR41" s="478"/>
      <c r="SIS41" s="478"/>
      <c r="SIT41" s="478"/>
      <c r="SIU41" s="478"/>
      <c r="SIV41" s="478"/>
      <c r="SIW41" s="478"/>
      <c r="SIX41" s="478"/>
      <c r="SIY41" s="478"/>
      <c r="SIZ41" s="478"/>
      <c r="SJA41" s="478"/>
      <c r="SJB41" s="478"/>
      <c r="SJC41" s="478"/>
      <c r="SJD41" s="478"/>
      <c r="SJE41" s="478"/>
      <c r="SJF41" s="478"/>
      <c r="SJG41" s="478"/>
      <c r="SJH41" s="478"/>
      <c r="SJI41" s="478"/>
      <c r="SJJ41" s="478"/>
      <c r="SJK41" s="478"/>
      <c r="SJL41" s="478"/>
      <c r="SJM41" s="478"/>
      <c r="SJN41" s="478"/>
      <c r="SJO41" s="478"/>
      <c r="SJP41" s="478"/>
      <c r="SJQ41" s="478"/>
      <c r="SJR41" s="478"/>
      <c r="SJS41" s="478"/>
      <c r="SJT41" s="478"/>
      <c r="SJU41" s="478"/>
      <c r="SJV41" s="478"/>
      <c r="SJW41" s="478"/>
      <c r="SJX41" s="478"/>
      <c r="SJY41" s="478"/>
      <c r="SJZ41" s="478"/>
      <c r="SKA41" s="478"/>
      <c r="SKB41" s="478"/>
      <c r="SKC41" s="478"/>
      <c r="SKD41" s="478"/>
      <c r="SKE41" s="478"/>
      <c r="SKF41" s="478"/>
      <c r="SKG41" s="478"/>
      <c r="SKH41" s="478"/>
      <c r="SKI41" s="478"/>
      <c r="SKJ41" s="478"/>
      <c r="SKK41" s="478"/>
      <c r="SKL41" s="478"/>
      <c r="SKM41" s="478"/>
      <c r="SKN41" s="478"/>
      <c r="SKO41" s="478"/>
      <c r="SKP41" s="478"/>
      <c r="SKQ41" s="478"/>
      <c r="SKR41" s="478"/>
      <c r="SKS41" s="478"/>
      <c r="SKT41" s="478"/>
      <c r="SKU41" s="478"/>
      <c r="SKV41" s="478"/>
      <c r="SKW41" s="478"/>
      <c r="SKX41" s="478"/>
      <c r="SKY41" s="478"/>
      <c r="SKZ41" s="478"/>
      <c r="SLA41" s="478"/>
      <c r="SLB41" s="478"/>
      <c r="SLC41" s="478"/>
      <c r="SLD41" s="478"/>
      <c r="SLE41" s="478"/>
      <c r="SLF41" s="478"/>
      <c r="SLG41" s="478"/>
      <c r="SLH41" s="478"/>
      <c r="SLI41" s="478"/>
      <c r="SLJ41" s="478"/>
      <c r="SLK41" s="478"/>
      <c r="SLL41" s="478"/>
      <c r="SLM41" s="478"/>
      <c r="SLN41" s="478"/>
      <c r="SLO41" s="478"/>
      <c r="SLP41" s="478"/>
      <c r="SLQ41" s="478"/>
      <c r="SLR41" s="478"/>
      <c r="SLS41" s="478"/>
      <c r="SLT41" s="478"/>
      <c r="SLU41" s="478"/>
      <c r="SLV41" s="478"/>
      <c r="SLW41" s="478"/>
      <c r="SLX41" s="478"/>
      <c r="SLY41" s="478"/>
      <c r="SLZ41" s="478"/>
      <c r="SMA41" s="478"/>
      <c r="SMB41" s="478"/>
      <c r="SMC41" s="478"/>
      <c r="SMD41" s="478"/>
      <c r="SME41" s="478"/>
      <c r="SMF41" s="478"/>
      <c r="SMG41" s="478"/>
      <c r="SMH41" s="478"/>
      <c r="SMI41" s="478"/>
      <c r="SMJ41" s="478"/>
      <c r="SMK41" s="478"/>
      <c r="SML41" s="478"/>
      <c r="SMM41" s="478"/>
      <c r="SMN41" s="478"/>
      <c r="SMO41" s="478"/>
      <c r="SMP41" s="478"/>
      <c r="SMQ41" s="478"/>
      <c r="SMR41" s="478"/>
      <c r="SMS41" s="478"/>
      <c r="SMT41" s="478"/>
      <c r="SMU41" s="478"/>
      <c r="SMV41" s="478"/>
      <c r="SMW41" s="478"/>
      <c r="SMX41" s="478"/>
      <c r="SMY41" s="478"/>
      <c r="SMZ41" s="478"/>
      <c r="SNA41" s="478"/>
      <c r="SNB41" s="478"/>
      <c r="SNC41" s="478"/>
      <c r="SND41" s="478"/>
      <c r="SNE41" s="478"/>
      <c r="SNF41" s="478"/>
      <c r="SNG41" s="478"/>
      <c r="SNH41" s="478"/>
      <c r="SNI41" s="478"/>
      <c r="SNJ41" s="478"/>
      <c r="SNK41" s="478"/>
      <c r="SNL41" s="478"/>
      <c r="SNM41" s="478"/>
      <c r="SNN41" s="478"/>
      <c r="SNO41" s="478"/>
      <c r="SNP41" s="478"/>
      <c r="SNQ41" s="478"/>
      <c r="SNR41" s="478"/>
      <c r="SNS41" s="478"/>
      <c r="SNT41" s="478"/>
      <c r="SNU41" s="478"/>
      <c r="SNV41" s="478"/>
      <c r="SNW41" s="478"/>
      <c r="SNX41" s="478"/>
      <c r="SNY41" s="478"/>
      <c r="SNZ41" s="478"/>
      <c r="SOA41" s="478"/>
      <c r="SOB41" s="478"/>
      <c r="SOC41" s="478"/>
      <c r="SOD41" s="478"/>
      <c r="SOE41" s="478"/>
      <c r="SOF41" s="478"/>
      <c r="SOG41" s="478"/>
      <c r="SOH41" s="478"/>
      <c r="SOI41" s="478"/>
      <c r="SOJ41" s="478"/>
      <c r="SOK41" s="478"/>
      <c r="SOL41" s="478"/>
      <c r="SOM41" s="478"/>
      <c r="SON41" s="478"/>
      <c r="SOO41" s="478"/>
      <c r="SOP41" s="478"/>
      <c r="SOQ41" s="478"/>
      <c r="SOR41" s="478"/>
      <c r="SOS41" s="478"/>
      <c r="SOT41" s="478"/>
      <c r="SOU41" s="478"/>
      <c r="SOV41" s="478"/>
      <c r="SOW41" s="478"/>
      <c r="SOX41" s="478"/>
      <c r="SOY41" s="478"/>
      <c r="SOZ41" s="478"/>
      <c r="SPA41" s="478"/>
      <c r="SPB41" s="478"/>
      <c r="SPC41" s="478"/>
      <c r="SPD41" s="478"/>
      <c r="SPE41" s="478"/>
      <c r="SPF41" s="478"/>
      <c r="SPG41" s="478"/>
      <c r="SPH41" s="478"/>
      <c r="SPI41" s="478"/>
      <c r="SPJ41" s="478"/>
      <c r="SPK41" s="478"/>
      <c r="SPL41" s="478"/>
      <c r="SPM41" s="478"/>
      <c r="SPN41" s="478"/>
      <c r="SPO41" s="478"/>
      <c r="SPP41" s="478"/>
      <c r="SPQ41" s="478"/>
      <c r="SPR41" s="478"/>
      <c r="SPS41" s="478"/>
      <c r="SPT41" s="478"/>
      <c r="SPU41" s="478"/>
      <c r="SPV41" s="478"/>
      <c r="SPW41" s="478"/>
      <c r="SPX41" s="478"/>
      <c r="SPY41" s="478"/>
      <c r="SPZ41" s="478"/>
      <c r="SQA41" s="478"/>
      <c r="SQB41" s="478"/>
      <c r="SQC41" s="478"/>
      <c r="SQD41" s="478"/>
      <c r="SQE41" s="478"/>
      <c r="SQF41" s="478"/>
      <c r="SQG41" s="478"/>
      <c r="SQH41" s="478"/>
      <c r="SQI41" s="478"/>
      <c r="SQJ41" s="478"/>
      <c r="SQK41" s="478"/>
      <c r="SQL41" s="478"/>
      <c r="SQM41" s="478"/>
      <c r="SQN41" s="478"/>
      <c r="SQO41" s="478"/>
      <c r="SQP41" s="478"/>
      <c r="SQQ41" s="478"/>
      <c r="SQR41" s="478"/>
      <c r="SQS41" s="478"/>
      <c r="SQT41" s="478"/>
      <c r="SQU41" s="478"/>
      <c r="SQV41" s="478"/>
      <c r="SQW41" s="478"/>
      <c r="SQX41" s="478"/>
      <c r="SQY41" s="478"/>
      <c r="SQZ41" s="478"/>
      <c r="SRA41" s="478"/>
      <c r="SRB41" s="478"/>
      <c r="SRC41" s="478"/>
      <c r="SRD41" s="478"/>
      <c r="SRE41" s="478"/>
      <c r="SRF41" s="478"/>
      <c r="SRG41" s="478"/>
      <c r="SRH41" s="478"/>
      <c r="SRI41" s="478"/>
      <c r="SRJ41" s="478"/>
      <c r="SRK41" s="478"/>
      <c r="SRL41" s="478"/>
      <c r="SRM41" s="478"/>
      <c r="SRN41" s="478"/>
      <c r="SRO41" s="478"/>
      <c r="SRP41" s="478"/>
      <c r="SRQ41" s="478"/>
      <c r="SRR41" s="478"/>
      <c r="SRS41" s="478"/>
      <c r="SRT41" s="478"/>
      <c r="SRU41" s="478"/>
      <c r="SRV41" s="478"/>
      <c r="SRW41" s="478"/>
      <c r="SRX41" s="478"/>
      <c r="SRY41" s="478"/>
      <c r="SRZ41" s="478"/>
      <c r="SSA41" s="478"/>
      <c r="SSB41" s="478"/>
      <c r="SSC41" s="478"/>
      <c r="SSD41" s="478"/>
      <c r="SSE41" s="478"/>
      <c r="SSF41" s="478"/>
      <c r="SSG41" s="478"/>
      <c r="SSH41" s="478"/>
      <c r="SSI41" s="478"/>
      <c r="SSJ41" s="478"/>
      <c r="SSK41" s="478"/>
      <c r="SSL41" s="478"/>
      <c r="SSM41" s="478"/>
      <c r="SSN41" s="478"/>
      <c r="SSO41" s="478"/>
      <c r="SSP41" s="478"/>
      <c r="SSQ41" s="478"/>
      <c r="SSR41" s="478"/>
      <c r="SSS41" s="478"/>
      <c r="SST41" s="478"/>
      <c r="SSU41" s="478"/>
      <c r="SSV41" s="478"/>
      <c r="SSW41" s="478"/>
      <c r="SSX41" s="478"/>
      <c r="SSY41" s="478"/>
      <c r="SSZ41" s="478"/>
      <c r="STA41" s="478"/>
      <c r="STB41" s="478"/>
      <c r="STC41" s="478"/>
      <c r="STD41" s="478"/>
      <c r="STE41" s="478"/>
      <c r="STF41" s="478"/>
      <c r="STG41" s="478"/>
      <c r="STH41" s="478"/>
      <c r="STI41" s="478"/>
      <c r="STJ41" s="478"/>
      <c r="STK41" s="478"/>
      <c r="STL41" s="478"/>
      <c r="STM41" s="478"/>
      <c r="STN41" s="478"/>
      <c r="STO41" s="478"/>
      <c r="STP41" s="478"/>
      <c r="STQ41" s="478"/>
      <c r="STR41" s="478"/>
      <c r="STS41" s="478"/>
      <c r="STT41" s="478"/>
      <c r="STU41" s="478"/>
      <c r="STV41" s="478"/>
      <c r="STW41" s="478"/>
      <c r="STX41" s="478"/>
      <c r="STY41" s="478"/>
      <c r="STZ41" s="478"/>
      <c r="SUA41" s="478"/>
      <c r="SUB41" s="478"/>
      <c r="SUC41" s="478"/>
      <c r="SUD41" s="478"/>
      <c r="SUE41" s="478"/>
      <c r="SUF41" s="478"/>
      <c r="SUG41" s="478"/>
      <c r="SUH41" s="478"/>
      <c r="SUI41" s="478"/>
      <c r="SUJ41" s="478"/>
      <c r="SUK41" s="478"/>
      <c r="SUL41" s="478"/>
      <c r="SUM41" s="478"/>
      <c r="SUN41" s="478"/>
      <c r="SUO41" s="478"/>
      <c r="SUP41" s="478"/>
      <c r="SUQ41" s="478"/>
      <c r="SUR41" s="478"/>
      <c r="SUS41" s="478"/>
      <c r="SUT41" s="478"/>
      <c r="SUU41" s="478"/>
      <c r="SUV41" s="478"/>
      <c r="SUW41" s="478"/>
      <c r="SUX41" s="478"/>
      <c r="SUY41" s="478"/>
      <c r="SUZ41" s="478"/>
      <c r="SVA41" s="478"/>
      <c r="SVB41" s="478"/>
      <c r="SVC41" s="478"/>
      <c r="SVD41" s="478"/>
      <c r="SVE41" s="478"/>
      <c r="SVF41" s="478"/>
      <c r="SVG41" s="478"/>
      <c r="SVH41" s="478"/>
      <c r="SVI41" s="478"/>
      <c r="SVJ41" s="478"/>
      <c r="SVK41" s="478"/>
      <c r="SVL41" s="478"/>
      <c r="SVM41" s="478"/>
      <c r="SVN41" s="478"/>
      <c r="SVO41" s="478"/>
      <c r="SVP41" s="478"/>
      <c r="SVQ41" s="478"/>
      <c r="SVR41" s="478"/>
      <c r="SVS41" s="478"/>
      <c r="SVT41" s="478"/>
      <c r="SVU41" s="478"/>
      <c r="SVV41" s="478"/>
      <c r="SVW41" s="478"/>
      <c r="SVX41" s="478"/>
      <c r="SVY41" s="478"/>
      <c r="SVZ41" s="478"/>
      <c r="SWA41" s="478"/>
      <c r="SWB41" s="478"/>
      <c r="SWC41" s="478"/>
      <c r="SWD41" s="478"/>
      <c r="SWE41" s="478"/>
      <c r="SWF41" s="478"/>
      <c r="SWG41" s="478"/>
      <c r="SWH41" s="478"/>
      <c r="SWI41" s="478"/>
      <c r="SWJ41" s="478"/>
      <c r="SWK41" s="478"/>
      <c r="SWL41" s="478"/>
      <c r="SWM41" s="478"/>
      <c r="SWN41" s="478"/>
      <c r="SWO41" s="478"/>
      <c r="SWP41" s="478"/>
      <c r="SWQ41" s="478"/>
      <c r="SWR41" s="478"/>
      <c r="SWS41" s="478"/>
      <c r="SWT41" s="478"/>
      <c r="SWU41" s="478"/>
      <c r="SWV41" s="478"/>
      <c r="SWW41" s="478"/>
      <c r="SWX41" s="478"/>
      <c r="SWY41" s="478"/>
      <c r="SWZ41" s="478"/>
      <c r="SXA41" s="478"/>
      <c r="SXB41" s="478"/>
      <c r="SXC41" s="478"/>
      <c r="SXD41" s="478"/>
      <c r="SXE41" s="478"/>
      <c r="SXF41" s="478"/>
      <c r="SXG41" s="478"/>
      <c r="SXH41" s="478"/>
      <c r="SXI41" s="478"/>
      <c r="SXJ41" s="478"/>
      <c r="SXK41" s="478"/>
      <c r="SXL41" s="478"/>
      <c r="SXM41" s="478"/>
      <c r="SXN41" s="478"/>
      <c r="SXO41" s="478"/>
      <c r="SXP41" s="478"/>
      <c r="SXQ41" s="478"/>
      <c r="SXR41" s="478"/>
      <c r="SXS41" s="478"/>
      <c r="SXT41" s="478"/>
      <c r="SXU41" s="478"/>
      <c r="SXV41" s="478"/>
      <c r="SXW41" s="478"/>
      <c r="SXX41" s="478"/>
      <c r="SXY41" s="478"/>
      <c r="SXZ41" s="478"/>
      <c r="SYA41" s="478"/>
      <c r="SYB41" s="478"/>
      <c r="SYC41" s="478"/>
      <c r="SYD41" s="478"/>
      <c r="SYE41" s="478"/>
      <c r="SYF41" s="478"/>
      <c r="SYG41" s="478"/>
      <c r="SYH41" s="478"/>
      <c r="SYI41" s="478"/>
      <c r="SYJ41" s="478"/>
      <c r="SYK41" s="478"/>
      <c r="SYL41" s="478"/>
      <c r="SYM41" s="478"/>
      <c r="SYN41" s="478"/>
      <c r="SYO41" s="478"/>
      <c r="SYP41" s="478"/>
      <c r="SYQ41" s="478"/>
      <c r="SYR41" s="478"/>
      <c r="SYS41" s="478"/>
      <c r="SYT41" s="478"/>
      <c r="SYU41" s="478"/>
      <c r="SYV41" s="478"/>
      <c r="SYW41" s="478"/>
      <c r="SYX41" s="478"/>
      <c r="SYY41" s="478"/>
      <c r="SYZ41" s="478"/>
      <c r="SZA41" s="478"/>
      <c r="SZB41" s="478"/>
      <c r="SZC41" s="478"/>
      <c r="SZD41" s="478"/>
      <c r="SZE41" s="478"/>
      <c r="SZF41" s="478"/>
      <c r="SZG41" s="478"/>
      <c r="SZH41" s="478"/>
      <c r="SZI41" s="478"/>
      <c r="SZJ41" s="478"/>
      <c r="SZK41" s="478"/>
      <c r="SZL41" s="478"/>
      <c r="SZM41" s="478"/>
      <c r="SZN41" s="478"/>
      <c r="SZO41" s="478"/>
      <c r="SZP41" s="478"/>
      <c r="SZQ41" s="478"/>
      <c r="SZR41" s="478"/>
      <c r="SZS41" s="478"/>
      <c r="SZT41" s="478"/>
      <c r="SZU41" s="478"/>
      <c r="SZV41" s="478"/>
      <c r="SZW41" s="478"/>
      <c r="SZX41" s="478"/>
      <c r="SZY41" s="478"/>
      <c r="SZZ41" s="478"/>
      <c r="TAA41" s="478"/>
      <c r="TAB41" s="478"/>
      <c r="TAC41" s="478"/>
      <c r="TAD41" s="478"/>
      <c r="TAE41" s="478"/>
      <c r="TAF41" s="478"/>
      <c r="TAG41" s="478"/>
      <c r="TAH41" s="478"/>
      <c r="TAI41" s="478"/>
      <c r="TAJ41" s="478"/>
      <c r="TAK41" s="478"/>
      <c r="TAL41" s="478"/>
      <c r="TAM41" s="478"/>
      <c r="TAN41" s="478"/>
      <c r="TAO41" s="478"/>
      <c r="TAP41" s="478"/>
      <c r="TAQ41" s="478"/>
      <c r="TAR41" s="478"/>
      <c r="TAS41" s="478"/>
      <c r="TAT41" s="478"/>
      <c r="TAU41" s="478"/>
      <c r="TAV41" s="478"/>
      <c r="TAW41" s="478"/>
      <c r="TAX41" s="478"/>
      <c r="TAY41" s="478"/>
      <c r="TAZ41" s="478"/>
      <c r="TBA41" s="478"/>
      <c r="TBB41" s="478"/>
      <c r="TBC41" s="478"/>
      <c r="TBD41" s="478"/>
      <c r="TBE41" s="478"/>
      <c r="TBF41" s="478"/>
      <c r="TBG41" s="478"/>
      <c r="TBH41" s="478"/>
      <c r="TBI41" s="478"/>
      <c r="TBJ41" s="478"/>
      <c r="TBK41" s="478"/>
      <c r="TBL41" s="478"/>
      <c r="TBM41" s="478"/>
      <c r="TBN41" s="478"/>
      <c r="TBO41" s="478"/>
      <c r="TBP41" s="478"/>
      <c r="TBQ41" s="478"/>
      <c r="TBR41" s="478"/>
      <c r="TBS41" s="478"/>
      <c r="TBT41" s="478"/>
      <c r="TBU41" s="478"/>
      <c r="TBV41" s="478"/>
      <c r="TBW41" s="478"/>
      <c r="TBX41" s="478"/>
      <c r="TBY41" s="478"/>
      <c r="TBZ41" s="478"/>
      <c r="TCA41" s="478"/>
      <c r="TCB41" s="478"/>
      <c r="TCC41" s="478"/>
      <c r="TCD41" s="478"/>
      <c r="TCE41" s="478"/>
      <c r="TCF41" s="478"/>
      <c r="TCG41" s="478"/>
      <c r="TCH41" s="478"/>
      <c r="TCI41" s="478"/>
      <c r="TCJ41" s="478"/>
      <c r="TCK41" s="478"/>
      <c r="TCL41" s="478"/>
      <c r="TCM41" s="478"/>
      <c r="TCN41" s="478"/>
      <c r="TCO41" s="478"/>
      <c r="TCP41" s="478"/>
      <c r="TCQ41" s="478"/>
      <c r="TCR41" s="478"/>
      <c r="TCS41" s="478"/>
      <c r="TCT41" s="478"/>
      <c r="TCU41" s="478"/>
      <c r="TCV41" s="478"/>
      <c r="TCW41" s="478"/>
      <c r="TCX41" s="478"/>
      <c r="TCY41" s="478"/>
      <c r="TCZ41" s="478"/>
      <c r="TDA41" s="478"/>
      <c r="TDB41" s="478"/>
      <c r="TDC41" s="478"/>
      <c r="TDD41" s="478"/>
      <c r="TDE41" s="478"/>
      <c r="TDF41" s="478"/>
      <c r="TDG41" s="478"/>
      <c r="TDH41" s="478"/>
      <c r="TDI41" s="478"/>
      <c r="TDJ41" s="478"/>
      <c r="TDK41" s="478"/>
      <c r="TDL41" s="478"/>
      <c r="TDM41" s="478"/>
      <c r="TDN41" s="478"/>
      <c r="TDO41" s="478"/>
      <c r="TDP41" s="478"/>
      <c r="TDQ41" s="478"/>
      <c r="TDR41" s="478"/>
      <c r="TDS41" s="478"/>
      <c r="TDT41" s="478"/>
      <c r="TDU41" s="478"/>
      <c r="TDV41" s="478"/>
      <c r="TDW41" s="478"/>
      <c r="TDX41" s="478"/>
      <c r="TDY41" s="478"/>
      <c r="TDZ41" s="478"/>
      <c r="TEA41" s="478"/>
      <c r="TEB41" s="478"/>
      <c r="TEC41" s="478"/>
      <c r="TED41" s="478"/>
      <c r="TEE41" s="478"/>
      <c r="TEF41" s="478"/>
      <c r="TEG41" s="478"/>
      <c r="TEH41" s="478"/>
      <c r="TEI41" s="478"/>
      <c r="TEJ41" s="478"/>
      <c r="TEK41" s="478"/>
      <c r="TEL41" s="478"/>
      <c r="TEM41" s="478"/>
      <c r="TEN41" s="478"/>
      <c r="TEO41" s="478"/>
      <c r="TEP41" s="478"/>
      <c r="TEQ41" s="478"/>
      <c r="TER41" s="478"/>
      <c r="TES41" s="478"/>
      <c r="TET41" s="478"/>
      <c r="TEU41" s="478"/>
      <c r="TEV41" s="478"/>
      <c r="TEW41" s="478"/>
      <c r="TEX41" s="478"/>
      <c r="TEY41" s="478"/>
      <c r="TEZ41" s="478"/>
      <c r="TFA41" s="478"/>
      <c r="TFB41" s="478"/>
      <c r="TFC41" s="478"/>
      <c r="TFD41" s="478"/>
      <c r="TFE41" s="478"/>
      <c r="TFF41" s="478"/>
      <c r="TFG41" s="478"/>
      <c r="TFH41" s="478"/>
      <c r="TFI41" s="478"/>
      <c r="TFJ41" s="478"/>
      <c r="TFK41" s="478"/>
      <c r="TFL41" s="478"/>
      <c r="TFM41" s="478"/>
      <c r="TFN41" s="478"/>
      <c r="TFO41" s="478"/>
      <c r="TFP41" s="478"/>
      <c r="TFQ41" s="478"/>
      <c r="TFR41" s="478"/>
      <c r="TFS41" s="478"/>
      <c r="TFT41" s="478"/>
      <c r="TFU41" s="478"/>
      <c r="TFV41" s="478"/>
      <c r="TFW41" s="478"/>
      <c r="TFX41" s="478"/>
      <c r="TFY41" s="478"/>
      <c r="TFZ41" s="478"/>
      <c r="TGA41" s="478"/>
      <c r="TGB41" s="478"/>
      <c r="TGC41" s="478"/>
      <c r="TGD41" s="478"/>
      <c r="TGE41" s="478"/>
      <c r="TGF41" s="478"/>
      <c r="TGG41" s="478"/>
      <c r="TGH41" s="478"/>
      <c r="TGI41" s="478"/>
      <c r="TGJ41" s="478"/>
      <c r="TGK41" s="478"/>
      <c r="TGL41" s="478"/>
      <c r="TGM41" s="478"/>
      <c r="TGN41" s="478"/>
      <c r="TGO41" s="478"/>
      <c r="TGP41" s="478"/>
      <c r="TGQ41" s="478"/>
      <c r="TGR41" s="478"/>
      <c r="TGS41" s="478"/>
      <c r="TGT41" s="478"/>
      <c r="TGU41" s="478"/>
      <c r="TGV41" s="478"/>
      <c r="TGW41" s="478"/>
      <c r="TGX41" s="478"/>
      <c r="TGY41" s="478"/>
      <c r="TGZ41" s="478"/>
      <c r="THA41" s="478"/>
      <c r="THB41" s="478"/>
      <c r="THC41" s="478"/>
      <c r="THD41" s="478"/>
      <c r="THE41" s="478"/>
      <c r="THF41" s="478"/>
      <c r="THG41" s="478"/>
      <c r="THH41" s="478"/>
      <c r="THI41" s="478"/>
      <c r="THJ41" s="478"/>
      <c r="THK41" s="478"/>
      <c r="THL41" s="478"/>
      <c r="THM41" s="478"/>
      <c r="THN41" s="478"/>
      <c r="THO41" s="478"/>
      <c r="THP41" s="478"/>
      <c r="THQ41" s="478"/>
      <c r="THR41" s="478"/>
      <c r="THS41" s="478"/>
      <c r="THT41" s="478"/>
      <c r="THU41" s="478"/>
      <c r="THV41" s="478"/>
      <c r="THW41" s="478"/>
      <c r="THX41" s="478"/>
      <c r="THY41" s="478"/>
      <c r="THZ41" s="478"/>
      <c r="TIA41" s="478"/>
      <c r="TIB41" s="478"/>
      <c r="TIC41" s="478"/>
      <c r="TID41" s="478"/>
      <c r="TIE41" s="478"/>
      <c r="TIF41" s="478"/>
      <c r="TIG41" s="478"/>
      <c r="TIH41" s="478"/>
      <c r="TII41" s="478"/>
      <c r="TIJ41" s="478"/>
      <c r="TIK41" s="478"/>
      <c r="TIL41" s="478"/>
      <c r="TIM41" s="478"/>
      <c r="TIN41" s="478"/>
      <c r="TIO41" s="478"/>
      <c r="TIP41" s="478"/>
      <c r="TIQ41" s="478"/>
      <c r="TIR41" s="478"/>
      <c r="TIS41" s="478"/>
      <c r="TIT41" s="478"/>
      <c r="TIU41" s="478"/>
      <c r="TIV41" s="478"/>
      <c r="TIW41" s="478"/>
      <c r="TIX41" s="478"/>
      <c r="TIY41" s="478"/>
      <c r="TIZ41" s="478"/>
      <c r="TJA41" s="478"/>
      <c r="TJB41" s="478"/>
      <c r="TJC41" s="478"/>
      <c r="TJD41" s="478"/>
      <c r="TJE41" s="478"/>
      <c r="TJF41" s="478"/>
      <c r="TJG41" s="478"/>
      <c r="TJH41" s="478"/>
      <c r="TJI41" s="478"/>
      <c r="TJJ41" s="478"/>
      <c r="TJK41" s="478"/>
      <c r="TJL41" s="478"/>
      <c r="TJM41" s="478"/>
      <c r="TJN41" s="478"/>
      <c r="TJO41" s="478"/>
      <c r="TJP41" s="478"/>
      <c r="TJQ41" s="478"/>
      <c r="TJR41" s="478"/>
      <c r="TJS41" s="478"/>
      <c r="TJT41" s="478"/>
      <c r="TJU41" s="478"/>
      <c r="TJV41" s="478"/>
      <c r="TJW41" s="478"/>
      <c r="TJX41" s="478"/>
      <c r="TJY41" s="478"/>
      <c r="TJZ41" s="478"/>
      <c r="TKA41" s="478"/>
      <c r="TKB41" s="478"/>
      <c r="TKC41" s="478"/>
      <c r="TKD41" s="478"/>
      <c r="TKE41" s="478"/>
      <c r="TKF41" s="478"/>
      <c r="TKG41" s="478"/>
      <c r="TKH41" s="478"/>
      <c r="TKI41" s="478"/>
      <c r="TKJ41" s="478"/>
      <c r="TKK41" s="478"/>
      <c r="TKL41" s="478"/>
      <c r="TKM41" s="478"/>
      <c r="TKN41" s="478"/>
      <c r="TKO41" s="478"/>
      <c r="TKP41" s="478"/>
      <c r="TKQ41" s="478"/>
      <c r="TKR41" s="478"/>
      <c r="TKS41" s="478"/>
      <c r="TKT41" s="478"/>
      <c r="TKU41" s="478"/>
      <c r="TKV41" s="478"/>
      <c r="TKW41" s="478"/>
      <c r="TKX41" s="478"/>
      <c r="TKY41" s="478"/>
      <c r="TKZ41" s="478"/>
      <c r="TLA41" s="478"/>
      <c r="TLB41" s="478"/>
      <c r="TLC41" s="478"/>
      <c r="TLD41" s="478"/>
      <c r="TLE41" s="478"/>
      <c r="TLF41" s="478"/>
      <c r="TLG41" s="478"/>
      <c r="TLH41" s="478"/>
      <c r="TLI41" s="478"/>
      <c r="TLJ41" s="478"/>
      <c r="TLK41" s="478"/>
      <c r="TLL41" s="478"/>
      <c r="TLM41" s="478"/>
      <c r="TLN41" s="478"/>
      <c r="TLO41" s="478"/>
      <c r="TLP41" s="478"/>
      <c r="TLQ41" s="478"/>
      <c r="TLR41" s="478"/>
      <c r="TLS41" s="478"/>
      <c r="TLT41" s="478"/>
      <c r="TLU41" s="478"/>
      <c r="TLV41" s="478"/>
      <c r="TLW41" s="478"/>
      <c r="TLX41" s="478"/>
      <c r="TLY41" s="478"/>
      <c r="TLZ41" s="478"/>
      <c r="TMA41" s="478"/>
      <c r="TMB41" s="478"/>
      <c r="TMC41" s="478"/>
      <c r="TMD41" s="478"/>
      <c r="TME41" s="478"/>
      <c r="TMF41" s="478"/>
      <c r="TMG41" s="478"/>
      <c r="TMH41" s="478"/>
      <c r="TMI41" s="478"/>
      <c r="TMJ41" s="478"/>
      <c r="TMK41" s="478"/>
      <c r="TML41" s="478"/>
      <c r="TMM41" s="478"/>
      <c r="TMN41" s="478"/>
      <c r="TMO41" s="478"/>
      <c r="TMP41" s="478"/>
      <c r="TMQ41" s="478"/>
      <c r="TMR41" s="478"/>
      <c r="TMS41" s="478"/>
      <c r="TMT41" s="478"/>
      <c r="TMU41" s="478"/>
      <c r="TMV41" s="478"/>
      <c r="TMW41" s="478"/>
      <c r="TMX41" s="478"/>
      <c r="TMY41" s="478"/>
      <c r="TMZ41" s="478"/>
      <c r="TNA41" s="478"/>
      <c r="TNB41" s="478"/>
      <c r="TNC41" s="478"/>
      <c r="TND41" s="478"/>
      <c r="TNE41" s="478"/>
      <c r="TNF41" s="478"/>
      <c r="TNG41" s="478"/>
      <c r="TNH41" s="478"/>
      <c r="TNI41" s="478"/>
      <c r="TNJ41" s="478"/>
      <c r="TNK41" s="478"/>
      <c r="TNL41" s="478"/>
      <c r="TNM41" s="478"/>
      <c r="TNN41" s="478"/>
      <c r="TNO41" s="478"/>
      <c r="TNP41" s="478"/>
      <c r="TNQ41" s="478"/>
      <c r="TNR41" s="478"/>
      <c r="TNS41" s="478"/>
      <c r="TNT41" s="478"/>
      <c r="TNU41" s="478"/>
      <c r="TNV41" s="478"/>
      <c r="TNW41" s="478"/>
      <c r="TNX41" s="478"/>
      <c r="TNY41" s="478"/>
      <c r="TNZ41" s="478"/>
      <c r="TOA41" s="478"/>
      <c r="TOB41" s="478"/>
      <c r="TOC41" s="478"/>
      <c r="TOD41" s="478"/>
      <c r="TOE41" s="478"/>
      <c r="TOF41" s="478"/>
      <c r="TOG41" s="478"/>
      <c r="TOH41" s="478"/>
      <c r="TOI41" s="478"/>
      <c r="TOJ41" s="478"/>
      <c r="TOK41" s="478"/>
      <c r="TOL41" s="478"/>
      <c r="TOM41" s="478"/>
      <c r="TON41" s="478"/>
      <c r="TOO41" s="478"/>
      <c r="TOP41" s="478"/>
      <c r="TOQ41" s="478"/>
      <c r="TOR41" s="478"/>
      <c r="TOS41" s="478"/>
      <c r="TOT41" s="478"/>
      <c r="TOU41" s="478"/>
      <c r="TOV41" s="478"/>
      <c r="TOW41" s="478"/>
      <c r="TOX41" s="478"/>
      <c r="TOY41" s="478"/>
      <c r="TOZ41" s="478"/>
      <c r="TPA41" s="478"/>
      <c r="TPB41" s="478"/>
      <c r="TPC41" s="478"/>
      <c r="TPD41" s="478"/>
      <c r="TPE41" s="478"/>
      <c r="TPF41" s="478"/>
      <c r="TPG41" s="478"/>
      <c r="TPH41" s="478"/>
      <c r="TPI41" s="478"/>
      <c r="TPJ41" s="478"/>
      <c r="TPK41" s="478"/>
      <c r="TPL41" s="478"/>
      <c r="TPM41" s="478"/>
      <c r="TPN41" s="478"/>
      <c r="TPO41" s="478"/>
      <c r="TPP41" s="478"/>
      <c r="TPQ41" s="478"/>
      <c r="TPR41" s="478"/>
      <c r="TPS41" s="478"/>
      <c r="TPT41" s="478"/>
      <c r="TPU41" s="478"/>
      <c r="TPV41" s="478"/>
      <c r="TPW41" s="478"/>
      <c r="TPX41" s="478"/>
      <c r="TPY41" s="478"/>
      <c r="TPZ41" s="478"/>
      <c r="TQA41" s="478"/>
      <c r="TQB41" s="478"/>
      <c r="TQC41" s="478"/>
      <c r="TQD41" s="478"/>
      <c r="TQE41" s="478"/>
      <c r="TQF41" s="478"/>
      <c r="TQG41" s="478"/>
      <c r="TQH41" s="478"/>
      <c r="TQI41" s="478"/>
      <c r="TQJ41" s="478"/>
      <c r="TQK41" s="478"/>
      <c r="TQL41" s="478"/>
      <c r="TQM41" s="478"/>
      <c r="TQN41" s="478"/>
      <c r="TQO41" s="478"/>
      <c r="TQP41" s="478"/>
      <c r="TQQ41" s="478"/>
      <c r="TQR41" s="478"/>
      <c r="TQS41" s="478"/>
      <c r="TQT41" s="478"/>
      <c r="TQU41" s="478"/>
      <c r="TQV41" s="478"/>
      <c r="TQW41" s="478"/>
      <c r="TQX41" s="478"/>
      <c r="TQY41" s="478"/>
      <c r="TQZ41" s="478"/>
      <c r="TRA41" s="478"/>
      <c r="TRB41" s="478"/>
      <c r="TRC41" s="478"/>
      <c r="TRD41" s="478"/>
      <c r="TRE41" s="478"/>
      <c r="TRF41" s="478"/>
      <c r="TRG41" s="478"/>
      <c r="TRH41" s="478"/>
      <c r="TRI41" s="478"/>
      <c r="TRJ41" s="478"/>
      <c r="TRK41" s="478"/>
      <c r="TRL41" s="478"/>
      <c r="TRM41" s="478"/>
      <c r="TRN41" s="478"/>
      <c r="TRO41" s="478"/>
      <c r="TRP41" s="478"/>
      <c r="TRQ41" s="478"/>
      <c r="TRR41" s="478"/>
      <c r="TRS41" s="478"/>
      <c r="TRT41" s="478"/>
      <c r="TRU41" s="478"/>
      <c r="TRV41" s="478"/>
      <c r="TRW41" s="478"/>
      <c r="TRX41" s="478"/>
      <c r="TRY41" s="478"/>
      <c r="TRZ41" s="478"/>
      <c r="TSA41" s="478"/>
      <c r="TSB41" s="478"/>
      <c r="TSC41" s="478"/>
      <c r="TSD41" s="478"/>
      <c r="TSE41" s="478"/>
      <c r="TSF41" s="478"/>
      <c r="TSG41" s="478"/>
      <c r="TSH41" s="478"/>
      <c r="TSI41" s="478"/>
      <c r="TSJ41" s="478"/>
      <c r="TSK41" s="478"/>
      <c r="TSL41" s="478"/>
      <c r="TSM41" s="478"/>
      <c r="TSN41" s="478"/>
      <c r="TSO41" s="478"/>
      <c r="TSP41" s="478"/>
      <c r="TSQ41" s="478"/>
      <c r="TSR41" s="478"/>
      <c r="TSS41" s="478"/>
      <c r="TST41" s="478"/>
      <c r="TSU41" s="478"/>
      <c r="TSV41" s="478"/>
      <c r="TSW41" s="478"/>
      <c r="TSX41" s="478"/>
      <c r="TSY41" s="478"/>
      <c r="TSZ41" s="478"/>
      <c r="TTA41" s="478"/>
      <c r="TTB41" s="478"/>
      <c r="TTC41" s="478"/>
      <c r="TTD41" s="478"/>
      <c r="TTE41" s="478"/>
      <c r="TTF41" s="478"/>
      <c r="TTG41" s="478"/>
      <c r="TTH41" s="478"/>
      <c r="TTI41" s="478"/>
      <c r="TTJ41" s="478"/>
      <c r="TTK41" s="478"/>
      <c r="TTL41" s="478"/>
      <c r="TTM41" s="478"/>
      <c r="TTN41" s="478"/>
      <c r="TTO41" s="478"/>
      <c r="TTP41" s="478"/>
      <c r="TTQ41" s="478"/>
      <c r="TTR41" s="478"/>
      <c r="TTS41" s="478"/>
      <c r="TTT41" s="478"/>
      <c r="TTU41" s="478"/>
      <c r="TTV41" s="478"/>
      <c r="TTW41" s="478"/>
      <c r="TTX41" s="478"/>
      <c r="TTY41" s="478"/>
      <c r="TTZ41" s="478"/>
      <c r="TUA41" s="478"/>
      <c r="TUB41" s="478"/>
      <c r="TUC41" s="478"/>
      <c r="TUD41" s="478"/>
      <c r="TUE41" s="478"/>
      <c r="TUF41" s="478"/>
      <c r="TUG41" s="478"/>
      <c r="TUH41" s="478"/>
      <c r="TUI41" s="478"/>
      <c r="TUJ41" s="478"/>
      <c r="TUK41" s="478"/>
      <c r="TUL41" s="478"/>
      <c r="TUM41" s="478"/>
      <c r="TUN41" s="478"/>
      <c r="TUO41" s="478"/>
      <c r="TUP41" s="478"/>
      <c r="TUQ41" s="478"/>
      <c r="TUR41" s="478"/>
      <c r="TUS41" s="478"/>
      <c r="TUT41" s="478"/>
      <c r="TUU41" s="478"/>
      <c r="TUV41" s="478"/>
      <c r="TUW41" s="478"/>
      <c r="TUX41" s="478"/>
      <c r="TUY41" s="478"/>
      <c r="TUZ41" s="478"/>
      <c r="TVA41" s="478"/>
      <c r="TVB41" s="478"/>
      <c r="TVC41" s="478"/>
      <c r="TVD41" s="478"/>
      <c r="TVE41" s="478"/>
      <c r="TVF41" s="478"/>
      <c r="TVG41" s="478"/>
      <c r="TVH41" s="478"/>
      <c r="TVI41" s="478"/>
      <c r="TVJ41" s="478"/>
      <c r="TVK41" s="478"/>
      <c r="TVL41" s="478"/>
      <c r="TVM41" s="478"/>
      <c r="TVN41" s="478"/>
      <c r="TVO41" s="478"/>
      <c r="TVP41" s="478"/>
      <c r="TVQ41" s="478"/>
      <c r="TVR41" s="478"/>
      <c r="TVS41" s="478"/>
      <c r="TVT41" s="478"/>
      <c r="TVU41" s="478"/>
      <c r="TVV41" s="478"/>
      <c r="TVW41" s="478"/>
      <c r="TVX41" s="478"/>
      <c r="TVY41" s="478"/>
      <c r="TVZ41" s="478"/>
      <c r="TWA41" s="478"/>
      <c r="TWB41" s="478"/>
      <c r="TWC41" s="478"/>
      <c r="TWD41" s="478"/>
      <c r="TWE41" s="478"/>
      <c r="TWF41" s="478"/>
      <c r="TWG41" s="478"/>
      <c r="TWH41" s="478"/>
      <c r="TWI41" s="478"/>
      <c r="TWJ41" s="478"/>
      <c r="TWK41" s="478"/>
      <c r="TWL41" s="478"/>
      <c r="TWM41" s="478"/>
      <c r="TWN41" s="478"/>
      <c r="TWO41" s="478"/>
      <c r="TWP41" s="478"/>
      <c r="TWQ41" s="478"/>
      <c r="TWR41" s="478"/>
      <c r="TWS41" s="478"/>
      <c r="TWT41" s="478"/>
      <c r="TWU41" s="478"/>
      <c r="TWV41" s="478"/>
      <c r="TWW41" s="478"/>
      <c r="TWX41" s="478"/>
      <c r="TWY41" s="478"/>
      <c r="TWZ41" s="478"/>
      <c r="TXA41" s="478"/>
      <c r="TXB41" s="478"/>
      <c r="TXC41" s="478"/>
      <c r="TXD41" s="478"/>
      <c r="TXE41" s="478"/>
      <c r="TXF41" s="478"/>
      <c r="TXG41" s="478"/>
      <c r="TXH41" s="478"/>
      <c r="TXI41" s="478"/>
      <c r="TXJ41" s="478"/>
      <c r="TXK41" s="478"/>
      <c r="TXL41" s="478"/>
      <c r="TXM41" s="478"/>
      <c r="TXN41" s="478"/>
      <c r="TXO41" s="478"/>
      <c r="TXP41" s="478"/>
      <c r="TXQ41" s="478"/>
      <c r="TXR41" s="478"/>
      <c r="TXS41" s="478"/>
      <c r="TXT41" s="478"/>
      <c r="TXU41" s="478"/>
      <c r="TXV41" s="478"/>
      <c r="TXW41" s="478"/>
      <c r="TXX41" s="478"/>
      <c r="TXY41" s="478"/>
      <c r="TXZ41" s="478"/>
      <c r="TYA41" s="478"/>
      <c r="TYB41" s="478"/>
      <c r="TYC41" s="478"/>
      <c r="TYD41" s="478"/>
      <c r="TYE41" s="478"/>
      <c r="TYF41" s="478"/>
      <c r="TYG41" s="478"/>
      <c r="TYH41" s="478"/>
      <c r="TYI41" s="478"/>
      <c r="TYJ41" s="478"/>
      <c r="TYK41" s="478"/>
      <c r="TYL41" s="478"/>
      <c r="TYM41" s="478"/>
      <c r="TYN41" s="478"/>
      <c r="TYO41" s="478"/>
      <c r="TYP41" s="478"/>
      <c r="TYQ41" s="478"/>
      <c r="TYR41" s="478"/>
      <c r="TYS41" s="478"/>
      <c r="TYT41" s="478"/>
      <c r="TYU41" s="478"/>
      <c r="TYV41" s="478"/>
      <c r="TYW41" s="478"/>
      <c r="TYX41" s="478"/>
      <c r="TYY41" s="478"/>
      <c r="TYZ41" s="478"/>
      <c r="TZA41" s="478"/>
      <c r="TZB41" s="478"/>
      <c r="TZC41" s="478"/>
      <c r="TZD41" s="478"/>
      <c r="TZE41" s="478"/>
      <c r="TZF41" s="478"/>
      <c r="TZG41" s="478"/>
      <c r="TZH41" s="478"/>
      <c r="TZI41" s="478"/>
      <c r="TZJ41" s="478"/>
      <c r="TZK41" s="478"/>
      <c r="TZL41" s="478"/>
      <c r="TZM41" s="478"/>
      <c r="TZN41" s="478"/>
      <c r="TZO41" s="478"/>
      <c r="TZP41" s="478"/>
      <c r="TZQ41" s="478"/>
      <c r="TZR41" s="478"/>
      <c r="TZS41" s="478"/>
      <c r="TZT41" s="478"/>
      <c r="TZU41" s="478"/>
      <c r="TZV41" s="478"/>
      <c r="TZW41" s="478"/>
      <c r="TZX41" s="478"/>
      <c r="TZY41" s="478"/>
      <c r="TZZ41" s="478"/>
      <c r="UAA41" s="478"/>
      <c r="UAB41" s="478"/>
      <c r="UAC41" s="478"/>
      <c r="UAD41" s="478"/>
      <c r="UAE41" s="478"/>
      <c r="UAF41" s="478"/>
      <c r="UAG41" s="478"/>
      <c r="UAH41" s="478"/>
      <c r="UAI41" s="478"/>
      <c r="UAJ41" s="478"/>
      <c r="UAK41" s="478"/>
      <c r="UAL41" s="478"/>
      <c r="UAM41" s="478"/>
      <c r="UAN41" s="478"/>
      <c r="UAO41" s="478"/>
      <c r="UAP41" s="478"/>
      <c r="UAQ41" s="478"/>
      <c r="UAR41" s="478"/>
      <c r="UAS41" s="478"/>
      <c r="UAT41" s="478"/>
      <c r="UAU41" s="478"/>
      <c r="UAV41" s="478"/>
      <c r="UAW41" s="478"/>
      <c r="UAX41" s="478"/>
      <c r="UAY41" s="478"/>
      <c r="UAZ41" s="478"/>
      <c r="UBA41" s="478"/>
      <c r="UBB41" s="478"/>
      <c r="UBC41" s="478"/>
      <c r="UBD41" s="478"/>
      <c r="UBE41" s="478"/>
      <c r="UBF41" s="478"/>
      <c r="UBG41" s="478"/>
      <c r="UBH41" s="478"/>
      <c r="UBI41" s="478"/>
      <c r="UBJ41" s="478"/>
      <c r="UBK41" s="478"/>
      <c r="UBL41" s="478"/>
      <c r="UBM41" s="478"/>
      <c r="UBN41" s="478"/>
      <c r="UBO41" s="478"/>
      <c r="UBP41" s="478"/>
      <c r="UBQ41" s="478"/>
      <c r="UBR41" s="478"/>
      <c r="UBS41" s="478"/>
      <c r="UBT41" s="478"/>
      <c r="UBU41" s="478"/>
      <c r="UBV41" s="478"/>
      <c r="UBW41" s="478"/>
      <c r="UBX41" s="478"/>
      <c r="UBY41" s="478"/>
      <c r="UBZ41" s="478"/>
      <c r="UCA41" s="478"/>
      <c r="UCB41" s="478"/>
      <c r="UCC41" s="478"/>
      <c r="UCD41" s="478"/>
      <c r="UCE41" s="478"/>
      <c r="UCF41" s="478"/>
      <c r="UCG41" s="478"/>
      <c r="UCH41" s="478"/>
      <c r="UCI41" s="478"/>
      <c r="UCJ41" s="478"/>
      <c r="UCK41" s="478"/>
      <c r="UCL41" s="478"/>
      <c r="UCM41" s="478"/>
      <c r="UCN41" s="478"/>
      <c r="UCO41" s="478"/>
      <c r="UCP41" s="478"/>
      <c r="UCQ41" s="478"/>
      <c r="UCR41" s="478"/>
      <c r="UCS41" s="478"/>
      <c r="UCT41" s="478"/>
      <c r="UCU41" s="478"/>
      <c r="UCV41" s="478"/>
      <c r="UCW41" s="478"/>
      <c r="UCX41" s="478"/>
      <c r="UCY41" s="478"/>
      <c r="UCZ41" s="478"/>
      <c r="UDA41" s="478"/>
      <c r="UDB41" s="478"/>
      <c r="UDC41" s="478"/>
      <c r="UDD41" s="478"/>
      <c r="UDE41" s="478"/>
      <c r="UDF41" s="478"/>
      <c r="UDG41" s="478"/>
      <c r="UDH41" s="478"/>
      <c r="UDI41" s="478"/>
      <c r="UDJ41" s="478"/>
      <c r="UDK41" s="478"/>
      <c r="UDL41" s="478"/>
      <c r="UDM41" s="478"/>
      <c r="UDN41" s="478"/>
      <c r="UDO41" s="478"/>
      <c r="UDP41" s="478"/>
      <c r="UDQ41" s="478"/>
      <c r="UDR41" s="478"/>
      <c r="UDS41" s="478"/>
      <c r="UDT41" s="478"/>
      <c r="UDU41" s="478"/>
      <c r="UDV41" s="478"/>
      <c r="UDW41" s="478"/>
      <c r="UDX41" s="478"/>
      <c r="UDY41" s="478"/>
      <c r="UDZ41" s="478"/>
      <c r="UEA41" s="478"/>
      <c r="UEB41" s="478"/>
      <c r="UEC41" s="478"/>
      <c r="UED41" s="478"/>
      <c r="UEE41" s="478"/>
      <c r="UEF41" s="478"/>
      <c r="UEG41" s="478"/>
      <c r="UEH41" s="478"/>
      <c r="UEI41" s="478"/>
      <c r="UEJ41" s="478"/>
      <c r="UEK41" s="478"/>
      <c r="UEL41" s="478"/>
      <c r="UEM41" s="478"/>
      <c r="UEN41" s="478"/>
      <c r="UEO41" s="478"/>
      <c r="UEP41" s="478"/>
      <c r="UEQ41" s="478"/>
      <c r="UER41" s="478"/>
      <c r="UES41" s="478"/>
      <c r="UET41" s="478"/>
      <c r="UEU41" s="478"/>
      <c r="UEV41" s="478"/>
      <c r="UEW41" s="478"/>
      <c r="UEX41" s="478"/>
      <c r="UEY41" s="478"/>
      <c r="UEZ41" s="478"/>
      <c r="UFA41" s="478"/>
      <c r="UFB41" s="478"/>
      <c r="UFC41" s="478"/>
      <c r="UFD41" s="478"/>
      <c r="UFE41" s="478"/>
      <c r="UFF41" s="478"/>
      <c r="UFG41" s="478"/>
      <c r="UFH41" s="478"/>
      <c r="UFI41" s="478"/>
      <c r="UFJ41" s="478"/>
      <c r="UFK41" s="478"/>
      <c r="UFL41" s="478"/>
      <c r="UFM41" s="478"/>
      <c r="UFN41" s="478"/>
      <c r="UFO41" s="478"/>
      <c r="UFP41" s="478"/>
      <c r="UFQ41" s="478"/>
      <c r="UFR41" s="478"/>
      <c r="UFS41" s="478"/>
      <c r="UFT41" s="478"/>
      <c r="UFU41" s="478"/>
      <c r="UFV41" s="478"/>
      <c r="UFW41" s="478"/>
      <c r="UFX41" s="478"/>
      <c r="UFY41" s="478"/>
      <c r="UFZ41" s="478"/>
      <c r="UGA41" s="478"/>
      <c r="UGB41" s="478"/>
      <c r="UGC41" s="478"/>
      <c r="UGD41" s="478"/>
      <c r="UGE41" s="478"/>
      <c r="UGF41" s="478"/>
      <c r="UGG41" s="478"/>
      <c r="UGH41" s="478"/>
      <c r="UGI41" s="478"/>
      <c r="UGJ41" s="478"/>
      <c r="UGK41" s="478"/>
      <c r="UGL41" s="478"/>
      <c r="UGM41" s="478"/>
      <c r="UGN41" s="478"/>
      <c r="UGO41" s="478"/>
      <c r="UGP41" s="478"/>
      <c r="UGQ41" s="478"/>
      <c r="UGR41" s="478"/>
      <c r="UGS41" s="478"/>
      <c r="UGT41" s="478"/>
      <c r="UGU41" s="478"/>
      <c r="UGV41" s="478"/>
      <c r="UGW41" s="478"/>
      <c r="UGX41" s="478"/>
      <c r="UGY41" s="478"/>
      <c r="UGZ41" s="478"/>
      <c r="UHA41" s="478"/>
      <c r="UHB41" s="478"/>
      <c r="UHC41" s="478"/>
      <c r="UHD41" s="478"/>
      <c r="UHE41" s="478"/>
      <c r="UHF41" s="478"/>
      <c r="UHG41" s="478"/>
      <c r="UHH41" s="478"/>
      <c r="UHI41" s="478"/>
      <c r="UHJ41" s="478"/>
      <c r="UHK41" s="478"/>
      <c r="UHL41" s="478"/>
      <c r="UHM41" s="478"/>
      <c r="UHN41" s="478"/>
      <c r="UHO41" s="478"/>
      <c r="UHP41" s="478"/>
      <c r="UHQ41" s="478"/>
      <c r="UHR41" s="478"/>
      <c r="UHS41" s="478"/>
      <c r="UHT41" s="478"/>
      <c r="UHU41" s="478"/>
      <c r="UHV41" s="478"/>
      <c r="UHW41" s="478"/>
      <c r="UHX41" s="478"/>
      <c r="UHY41" s="478"/>
      <c r="UHZ41" s="478"/>
      <c r="UIA41" s="478"/>
      <c r="UIB41" s="478"/>
      <c r="UIC41" s="478"/>
      <c r="UID41" s="478"/>
      <c r="UIE41" s="478"/>
      <c r="UIF41" s="478"/>
      <c r="UIG41" s="478"/>
      <c r="UIH41" s="478"/>
      <c r="UII41" s="478"/>
      <c r="UIJ41" s="478"/>
      <c r="UIK41" s="478"/>
      <c r="UIL41" s="478"/>
      <c r="UIM41" s="478"/>
      <c r="UIN41" s="478"/>
      <c r="UIO41" s="478"/>
      <c r="UIP41" s="478"/>
      <c r="UIQ41" s="478"/>
      <c r="UIR41" s="478"/>
      <c r="UIS41" s="478"/>
      <c r="UIT41" s="478"/>
      <c r="UIU41" s="478"/>
      <c r="UIV41" s="478"/>
      <c r="UIW41" s="478"/>
      <c r="UIX41" s="478"/>
      <c r="UIY41" s="478"/>
      <c r="UIZ41" s="478"/>
      <c r="UJA41" s="478"/>
      <c r="UJB41" s="478"/>
      <c r="UJC41" s="478"/>
      <c r="UJD41" s="478"/>
      <c r="UJE41" s="478"/>
      <c r="UJF41" s="478"/>
      <c r="UJG41" s="478"/>
      <c r="UJH41" s="478"/>
      <c r="UJI41" s="478"/>
      <c r="UJJ41" s="478"/>
      <c r="UJK41" s="478"/>
      <c r="UJL41" s="478"/>
      <c r="UJM41" s="478"/>
      <c r="UJN41" s="478"/>
      <c r="UJO41" s="478"/>
      <c r="UJP41" s="478"/>
      <c r="UJQ41" s="478"/>
      <c r="UJR41" s="478"/>
      <c r="UJS41" s="478"/>
      <c r="UJT41" s="478"/>
      <c r="UJU41" s="478"/>
      <c r="UJV41" s="478"/>
      <c r="UJW41" s="478"/>
      <c r="UJX41" s="478"/>
      <c r="UJY41" s="478"/>
      <c r="UJZ41" s="478"/>
      <c r="UKA41" s="478"/>
      <c r="UKB41" s="478"/>
      <c r="UKC41" s="478"/>
      <c r="UKD41" s="478"/>
      <c r="UKE41" s="478"/>
      <c r="UKF41" s="478"/>
      <c r="UKG41" s="478"/>
      <c r="UKH41" s="478"/>
      <c r="UKI41" s="478"/>
      <c r="UKJ41" s="478"/>
      <c r="UKK41" s="478"/>
      <c r="UKL41" s="478"/>
      <c r="UKM41" s="478"/>
      <c r="UKN41" s="478"/>
      <c r="UKO41" s="478"/>
      <c r="UKP41" s="478"/>
      <c r="UKQ41" s="478"/>
      <c r="UKR41" s="478"/>
      <c r="UKS41" s="478"/>
      <c r="UKT41" s="478"/>
      <c r="UKU41" s="478"/>
      <c r="UKV41" s="478"/>
      <c r="UKW41" s="478"/>
      <c r="UKX41" s="478"/>
      <c r="UKY41" s="478"/>
      <c r="UKZ41" s="478"/>
      <c r="ULA41" s="478"/>
      <c r="ULB41" s="478"/>
      <c r="ULC41" s="478"/>
      <c r="ULD41" s="478"/>
      <c r="ULE41" s="478"/>
      <c r="ULF41" s="478"/>
      <c r="ULG41" s="478"/>
      <c r="ULH41" s="478"/>
      <c r="ULI41" s="478"/>
      <c r="ULJ41" s="478"/>
      <c r="ULK41" s="478"/>
      <c r="ULL41" s="478"/>
      <c r="ULM41" s="478"/>
      <c r="ULN41" s="478"/>
      <c r="ULO41" s="478"/>
      <c r="ULP41" s="478"/>
      <c r="ULQ41" s="478"/>
      <c r="ULR41" s="478"/>
      <c r="ULS41" s="478"/>
      <c r="ULT41" s="478"/>
      <c r="ULU41" s="478"/>
      <c r="ULV41" s="478"/>
      <c r="ULW41" s="478"/>
      <c r="ULX41" s="478"/>
      <c r="ULY41" s="478"/>
      <c r="ULZ41" s="478"/>
      <c r="UMA41" s="478"/>
      <c r="UMB41" s="478"/>
      <c r="UMC41" s="478"/>
      <c r="UMD41" s="478"/>
      <c r="UME41" s="478"/>
      <c r="UMF41" s="478"/>
      <c r="UMG41" s="478"/>
      <c r="UMH41" s="478"/>
      <c r="UMI41" s="478"/>
      <c r="UMJ41" s="478"/>
      <c r="UMK41" s="478"/>
      <c r="UML41" s="478"/>
      <c r="UMM41" s="478"/>
      <c r="UMN41" s="478"/>
      <c r="UMO41" s="478"/>
      <c r="UMP41" s="478"/>
      <c r="UMQ41" s="478"/>
      <c r="UMR41" s="478"/>
      <c r="UMS41" s="478"/>
      <c r="UMT41" s="478"/>
      <c r="UMU41" s="478"/>
      <c r="UMV41" s="478"/>
      <c r="UMW41" s="478"/>
      <c r="UMX41" s="478"/>
      <c r="UMY41" s="478"/>
      <c r="UMZ41" s="478"/>
      <c r="UNA41" s="478"/>
      <c r="UNB41" s="478"/>
      <c r="UNC41" s="478"/>
      <c r="UND41" s="478"/>
      <c r="UNE41" s="478"/>
      <c r="UNF41" s="478"/>
      <c r="UNG41" s="478"/>
      <c r="UNH41" s="478"/>
      <c r="UNI41" s="478"/>
      <c r="UNJ41" s="478"/>
      <c r="UNK41" s="478"/>
      <c r="UNL41" s="478"/>
      <c r="UNM41" s="478"/>
      <c r="UNN41" s="478"/>
      <c r="UNO41" s="478"/>
      <c r="UNP41" s="478"/>
      <c r="UNQ41" s="478"/>
      <c r="UNR41" s="478"/>
      <c r="UNS41" s="478"/>
      <c r="UNT41" s="478"/>
      <c r="UNU41" s="478"/>
      <c r="UNV41" s="478"/>
      <c r="UNW41" s="478"/>
      <c r="UNX41" s="478"/>
      <c r="UNY41" s="478"/>
      <c r="UNZ41" s="478"/>
      <c r="UOA41" s="478"/>
      <c r="UOB41" s="478"/>
      <c r="UOC41" s="478"/>
      <c r="UOD41" s="478"/>
      <c r="UOE41" s="478"/>
      <c r="UOF41" s="478"/>
      <c r="UOG41" s="478"/>
      <c r="UOH41" s="478"/>
      <c r="UOI41" s="478"/>
      <c r="UOJ41" s="478"/>
      <c r="UOK41" s="478"/>
      <c r="UOL41" s="478"/>
      <c r="UOM41" s="478"/>
      <c r="UON41" s="478"/>
      <c r="UOO41" s="478"/>
      <c r="UOP41" s="478"/>
      <c r="UOQ41" s="478"/>
      <c r="UOR41" s="478"/>
      <c r="UOS41" s="478"/>
      <c r="UOT41" s="478"/>
      <c r="UOU41" s="478"/>
      <c r="UOV41" s="478"/>
      <c r="UOW41" s="478"/>
      <c r="UOX41" s="478"/>
      <c r="UOY41" s="478"/>
      <c r="UOZ41" s="478"/>
      <c r="UPA41" s="478"/>
      <c r="UPB41" s="478"/>
      <c r="UPC41" s="478"/>
      <c r="UPD41" s="478"/>
      <c r="UPE41" s="478"/>
      <c r="UPF41" s="478"/>
      <c r="UPG41" s="478"/>
      <c r="UPH41" s="478"/>
      <c r="UPI41" s="478"/>
      <c r="UPJ41" s="478"/>
      <c r="UPK41" s="478"/>
      <c r="UPL41" s="478"/>
      <c r="UPM41" s="478"/>
      <c r="UPN41" s="478"/>
      <c r="UPO41" s="478"/>
      <c r="UPP41" s="478"/>
      <c r="UPQ41" s="478"/>
      <c r="UPR41" s="478"/>
      <c r="UPS41" s="478"/>
      <c r="UPT41" s="478"/>
      <c r="UPU41" s="478"/>
      <c r="UPV41" s="478"/>
      <c r="UPW41" s="478"/>
      <c r="UPX41" s="478"/>
      <c r="UPY41" s="478"/>
      <c r="UPZ41" s="478"/>
      <c r="UQA41" s="478"/>
      <c r="UQB41" s="478"/>
      <c r="UQC41" s="478"/>
      <c r="UQD41" s="478"/>
      <c r="UQE41" s="478"/>
      <c r="UQF41" s="478"/>
      <c r="UQG41" s="478"/>
      <c r="UQH41" s="478"/>
      <c r="UQI41" s="478"/>
      <c r="UQJ41" s="478"/>
      <c r="UQK41" s="478"/>
      <c r="UQL41" s="478"/>
      <c r="UQM41" s="478"/>
      <c r="UQN41" s="478"/>
      <c r="UQO41" s="478"/>
      <c r="UQP41" s="478"/>
      <c r="UQQ41" s="478"/>
      <c r="UQR41" s="478"/>
      <c r="UQS41" s="478"/>
      <c r="UQT41" s="478"/>
      <c r="UQU41" s="478"/>
      <c r="UQV41" s="478"/>
      <c r="UQW41" s="478"/>
      <c r="UQX41" s="478"/>
      <c r="UQY41" s="478"/>
      <c r="UQZ41" s="478"/>
      <c r="URA41" s="478"/>
      <c r="URB41" s="478"/>
      <c r="URC41" s="478"/>
      <c r="URD41" s="478"/>
      <c r="URE41" s="478"/>
      <c r="URF41" s="478"/>
      <c r="URG41" s="478"/>
      <c r="URH41" s="478"/>
      <c r="URI41" s="478"/>
      <c r="URJ41" s="478"/>
      <c r="URK41" s="478"/>
      <c r="URL41" s="478"/>
      <c r="URM41" s="478"/>
      <c r="URN41" s="478"/>
      <c r="URO41" s="478"/>
      <c r="URP41" s="478"/>
      <c r="URQ41" s="478"/>
      <c r="URR41" s="478"/>
      <c r="URS41" s="478"/>
      <c r="URT41" s="478"/>
      <c r="URU41" s="478"/>
      <c r="URV41" s="478"/>
      <c r="URW41" s="478"/>
      <c r="URX41" s="478"/>
      <c r="URY41" s="478"/>
      <c r="URZ41" s="478"/>
      <c r="USA41" s="478"/>
      <c r="USB41" s="478"/>
      <c r="USC41" s="478"/>
      <c r="USD41" s="478"/>
      <c r="USE41" s="478"/>
      <c r="USF41" s="478"/>
      <c r="USG41" s="478"/>
      <c r="USH41" s="478"/>
      <c r="USI41" s="478"/>
      <c r="USJ41" s="478"/>
      <c r="USK41" s="478"/>
      <c r="USL41" s="478"/>
      <c r="USM41" s="478"/>
      <c r="USN41" s="478"/>
      <c r="USO41" s="478"/>
      <c r="USP41" s="478"/>
      <c r="USQ41" s="478"/>
      <c r="USR41" s="478"/>
      <c r="USS41" s="478"/>
      <c r="UST41" s="478"/>
      <c r="USU41" s="478"/>
      <c r="USV41" s="478"/>
      <c r="USW41" s="478"/>
      <c r="USX41" s="478"/>
      <c r="USY41" s="478"/>
      <c r="USZ41" s="478"/>
      <c r="UTA41" s="478"/>
      <c r="UTB41" s="478"/>
      <c r="UTC41" s="478"/>
      <c r="UTD41" s="478"/>
      <c r="UTE41" s="478"/>
      <c r="UTF41" s="478"/>
      <c r="UTG41" s="478"/>
      <c r="UTH41" s="478"/>
      <c r="UTI41" s="478"/>
      <c r="UTJ41" s="478"/>
      <c r="UTK41" s="478"/>
      <c r="UTL41" s="478"/>
      <c r="UTM41" s="478"/>
      <c r="UTN41" s="478"/>
      <c r="UTO41" s="478"/>
      <c r="UTP41" s="478"/>
      <c r="UTQ41" s="478"/>
      <c r="UTR41" s="478"/>
      <c r="UTS41" s="478"/>
      <c r="UTT41" s="478"/>
      <c r="UTU41" s="478"/>
      <c r="UTV41" s="478"/>
      <c r="UTW41" s="478"/>
      <c r="UTX41" s="478"/>
      <c r="UTY41" s="478"/>
      <c r="UTZ41" s="478"/>
      <c r="UUA41" s="478"/>
      <c r="UUB41" s="478"/>
      <c r="UUC41" s="478"/>
      <c r="UUD41" s="478"/>
      <c r="UUE41" s="478"/>
      <c r="UUF41" s="478"/>
      <c r="UUG41" s="478"/>
      <c r="UUH41" s="478"/>
      <c r="UUI41" s="478"/>
      <c r="UUJ41" s="478"/>
      <c r="UUK41" s="478"/>
      <c r="UUL41" s="478"/>
      <c r="UUM41" s="478"/>
      <c r="UUN41" s="478"/>
      <c r="UUO41" s="478"/>
      <c r="UUP41" s="478"/>
      <c r="UUQ41" s="478"/>
      <c r="UUR41" s="478"/>
      <c r="UUS41" s="478"/>
      <c r="UUT41" s="478"/>
      <c r="UUU41" s="478"/>
      <c r="UUV41" s="478"/>
      <c r="UUW41" s="478"/>
      <c r="UUX41" s="478"/>
      <c r="UUY41" s="478"/>
      <c r="UUZ41" s="478"/>
      <c r="UVA41" s="478"/>
      <c r="UVB41" s="478"/>
      <c r="UVC41" s="478"/>
      <c r="UVD41" s="478"/>
      <c r="UVE41" s="478"/>
      <c r="UVF41" s="478"/>
      <c r="UVG41" s="478"/>
      <c r="UVH41" s="478"/>
      <c r="UVI41" s="478"/>
      <c r="UVJ41" s="478"/>
      <c r="UVK41" s="478"/>
      <c r="UVL41" s="478"/>
      <c r="UVM41" s="478"/>
      <c r="UVN41" s="478"/>
      <c r="UVO41" s="478"/>
      <c r="UVP41" s="478"/>
      <c r="UVQ41" s="478"/>
      <c r="UVR41" s="478"/>
      <c r="UVS41" s="478"/>
      <c r="UVT41" s="478"/>
      <c r="UVU41" s="478"/>
      <c r="UVV41" s="478"/>
      <c r="UVW41" s="478"/>
      <c r="UVX41" s="478"/>
      <c r="UVY41" s="478"/>
      <c r="UVZ41" s="478"/>
      <c r="UWA41" s="478"/>
      <c r="UWB41" s="478"/>
      <c r="UWC41" s="478"/>
      <c r="UWD41" s="478"/>
      <c r="UWE41" s="478"/>
      <c r="UWF41" s="478"/>
      <c r="UWG41" s="478"/>
      <c r="UWH41" s="478"/>
      <c r="UWI41" s="478"/>
      <c r="UWJ41" s="478"/>
      <c r="UWK41" s="478"/>
      <c r="UWL41" s="478"/>
      <c r="UWM41" s="478"/>
      <c r="UWN41" s="478"/>
      <c r="UWO41" s="478"/>
      <c r="UWP41" s="478"/>
      <c r="UWQ41" s="478"/>
      <c r="UWR41" s="478"/>
      <c r="UWS41" s="478"/>
      <c r="UWT41" s="478"/>
      <c r="UWU41" s="478"/>
      <c r="UWV41" s="478"/>
      <c r="UWW41" s="478"/>
      <c r="UWX41" s="478"/>
      <c r="UWY41" s="478"/>
      <c r="UWZ41" s="478"/>
      <c r="UXA41" s="478"/>
      <c r="UXB41" s="478"/>
      <c r="UXC41" s="478"/>
      <c r="UXD41" s="478"/>
      <c r="UXE41" s="478"/>
      <c r="UXF41" s="478"/>
      <c r="UXG41" s="478"/>
      <c r="UXH41" s="478"/>
      <c r="UXI41" s="478"/>
      <c r="UXJ41" s="478"/>
      <c r="UXK41" s="478"/>
      <c r="UXL41" s="478"/>
      <c r="UXM41" s="478"/>
      <c r="UXN41" s="478"/>
      <c r="UXO41" s="478"/>
      <c r="UXP41" s="478"/>
      <c r="UXQ41" s="478"/>
      <c r="UXR41" s="478"/>
      <c r="UXS41" s="478"/>
      <c r="UXT41" s="478"/>
      <c r="UXU41" s="478"/>
      <c r="UXV41" s="478"/>
      <c r="UXW41" s="478"/>
      <c r="UXX41" s="478"/>
      <c r="UXY41" s="478"/>
      <c r="UXZ41" s="478"/>
      <c r="UYA41" s="478"/>
      <c r="UYB41" s="478"/>
      <c r="UYC41" s="478"/>
      <c r="UYD41" s="478"/>
      <c r="UYE41" s="478"/>
      <c r="UYF41" s="478"/>
      <c r="UYG41" s="478"/>
      <c r="UYH41" s="478"/>
      <c r="UYI41" s="478"/>
      <c r="UYJ41" s="478"/>
      <c r="UYK41" s="478"/>
      <c r="UYL41" s="478"/>
      <c r="UYM41" s="478"/>
      <c r="UYN41" s="478"/>
      <c r="UYO41" s="478"/>
      <c r="UYP41" s="478"/>
      <c r="UYQ41" s="478"/>
      <c r="UYR41" s="478"/>
      <c r="UYS41" s="478"/>
      <c r="UYT41" s="478"/>
      <c r="UYU41" s="478"/>
      <c r="UYV41" s="478"/>
      <c r="UYW41" s="478"/>
      <c r="UYX41" s="478"/>
      <c r="UYY41" s="478"/>
      <c r="UYZ41" s="478"/>
      <c r="UZA41" s="478"/>
      <c r="UZB41" s="478"/>
      <c r="UZC41" s="478"/>
      <c r="UZD41" s="478"/>
      <c r="UZE41" s="478"/>
      <c r="UZF41" s="478"/>
      <c r="UZG41" s="478"/>
      <c r="UZH41" s="478"/>
      <c r="UZI41" s="478"/>
      <c r="UZJ41" s="478"/>
      <c r="UZK41" s="478"/>
      <c r="UZL41" s="478"/>
      <c r="UZM41" s="478"/>
      <c r="UZN41" s="478"/>
      <c r="UZO41" s="478"/>
      <c r="UZP41" s="478"/>
      <c r="UZQ41" s="478"/>
      <c r="UZR41" s="478"/>
      <c r="UZS41" s="478"/>
      <c r="UZT41" s="478"/>
      <c r="UZU41" s="478"/>
      <c r="UZV41" s="478"/>
      <c r="UZW41" s="478"/>
      <c r="UZX41" s="478"/>
      <c r="UZY41" s="478"/>
      <c r="UZZ41" s="478"/>
      <c r="VAA41" s="478"/>
      <c r="VAB41" s="478"/>
      <c r="VAC41" s="478"/>
      <c r="VAD41" s="478"/>
      <c r="VAE41" s="478"/>
      <c r="VAF41" s="478"/>
      <c r="VAG41" s="478"/>
      <c r="VAH41" s="478"/>
      <c r="VAI41" s="478"/>
      <c r="VAJ41" s="478"/>
      <c r="VAK41" s="478"/>
      <c r="VAL41" s="478"/>
      <c r="VAM41" s="478"/>
      <c r="VAN41" s="478"/>
      <c r="VAO41" s="478"/>
      <c r="VAP41" s="478"/>
      <c r="VAQ41" s="478"/>
      <c r="VAR41" s="478"/>
      <c r="VAS41" s="478"/>
      <c r="VAT41" s="478"/>
      <c r="VAU41" s="478"/>
      <c r="VAV41" s="478"/>
      <c r="VAW41" s="478"/>
      <c r="VAX41" s="478"/>
      <c r="VAY41" s="478"/>
      <c r="VAZ41" s="478"/>
      <c r="VBA41" s="478"/>
      <c r="VBB41" s="478"/>
      <c r="VBC41" s="478"/>
      <c r="VBD41" s="478"/>
      <c r="VBE41" s="478"/>
      <c r="VBF41" s="478"/>
      <c r="VBG41" s="478"/>
      <c r="VBH41" s="478"/>
      <c r="VBI41" s="478"/>
      <c r="VBJ41" s="478"/>
      <c r="VBK41" s="478"/>
      <c r="VBL41" s="478"/>
      <c r="VBM41" s="478"/>
      <c r="VBN41" s="478"/>
      <c r="VBO41" s="478"/>
      <c r="VBP41" s="478"/>
      <c r="VBQ41" s="478"/>
      <c r="VBR41" s="478"/>
      <c r="VBS41" s="478"/>
      <c r="VBT41" s="478"/>
      <c r="VBU41" s="478"/>
      <c r="VBV41" s="478"/>
      <c r="VBW41" s="478"/>
      <c r="VBX41" s="478"/>
      <c r="VBY41" s="478"/>
      <c r="VBZ41" s="478"/>
      <c r="VCA41" s="478"/>
      <c r="VCB41" s="478"/>
      <c r="VCC41" s="478"/>
      <c r="VCD41" s="478"/>
      <c r="VCE41" s="478"/>
      <c r="VCF41" s="478"/>
      <c r="VCG41" s="478"/>
      <c r="VCH41" s="478"/>
      <c r="VCI41" s="478"/>
      <c r="VCJ41" s="478"/>
      <c r="VCK41" s="478"/>
      <c r="VCL41" s="478"/>
      <c r="VCM41" s="478"/>
      <c r="VCN41" s="478"/>
      <c r="VCO41" s="478"/>
      <c r="VCP41" s="478"/>
      <c r="VCQ41" s="478"/>
      <c r="VCR41" s="478"/>
      <c r="VCS41" s="478"/>
      <c r="VCT41" s="478"/>
      <c r="VCU41" s="478"/>
      <c r="VCV41" s="478"/>
      <c r="VCW41" s="478"/>
      <c r="VCX41" s="478"/>
      <c r="VCY41" s="478"/>
      <c r="VCZ41" s="478"/>
      <c r="VDA41" s="478"/>
      <c r="VDB41" s="478"/>
      <c r="VDC41" s="478"/>
      <c r="VDD41" s="478"/>
      <c r="VDE41" s="478"/>
      <c r="VDF41" s="478"/>
      <c r="VDG41" s="478"/>
      <c r="VDH41" s="478"/>
      <c r="VDI41" s="478"/>
      <c r="VDJ41" s="478"/>
      <c r="VDK41" s="478"/>
      <c r="VDL41" s="478"/>
      <c r="VDM41" s="478"/>
      <c r="VDN41" s="478"/>
      <c r="VDO41" s="478"/>
      <c r="VDP41" s="478"/>
      <c r="VDQ41" s="478"/>
      <c r="VDR41" s="478"/>
      <c r="VDS41" s="478"/>
      <c r="VDT41" s="478"/>
      <c r="VDU41" s="478"/>
      <c r="VDV41" s="478"/>
      <c r="VDW41" s="478"/>
      <c r="VDX41" s="478"/>
      <c r="VDY41" s="478"/>
      <c r="VDZ41" s="478"/>
      <c r="VEA41" s="478"/>
      <c r="VEB41" s="478"/>
      <c r="VEC41" s="478"/>
      <c r="VED41" s="478"/>
      <c r="VEE41" s="478"/>
      <c r="VEF41" s="478"/>
      <c r="VEG41" s="478"/>
      <c r="VEH41" s="478"/>
      <c r="VEI41" s="478"/>
      <c r="VEJ41" s="478"/>
      <c r="VEK41" s="478"/>
      <c r="VEL41" s="478"/>
      <c r="VEM41" s="478"/>
      <c r="VEN41" s="478"/>
      <c r="VEO41" s="478"/>
      <c r="VEP41" s="478"/>
      <c r="VEQ41" s="478"/>
      <c r="VER41" s="478"/>
      <c r="VES41" s="478"/>
      <c r="VET41" s="478"/>
      <c r="VEU41" s="478"/>
      <c r="VEV41" s="478"/>
      <c r="VEW41" s="478"/>
      <c r="VEX41" s="478"/>
      <c r="VEY41" s="478"/>
      <c r="VEZ41" s="478"/>
      <c r="VFA41" s="478"/>
      <c r="VFB41" s="478"/>
      <c r="VFC41" s="478"/>
      <c r="VFD41" s="478"/>
      <c r="VFE41" s="478"/>
      <c r="VFF41" s="478"/>
      <c r="VFG41" s="478"/>
      <c r="VFH41" s="478"/>
      <c r="VFI41" s="478"/>
      <c r="VFJ41" s="478"/>
      <c r="VFK41" s="478"/>
      <c r="VFL41" s="478"/>
      <c r="VFM41" s="478"/>
      <c r="VFN41" s="478"/>
      <c r="VFO41" s="478"/>
      <c r="VFP41" s="478"/>
      <c r="VFQ41" s="478"/>
      <c r="VFR41" s="478"/>
      <c r="VFS41" s="478"/>
      <c r="VFT41" s="478"/>
      <c r="VFU41" s="478"/>
      <c r="VFV41" s="478"/>
      <c r="VFW41" s="478"/>
      <c r="VFX41" s="478"/>
      <c r="VFY41" s="478"/>
      <c r="VFZ41" s="478"/>
      <c r="VGA41" s="478"/>
      <c r="VGB41" s="478"/>
      <c r="VGC41" s="478"/>
      <c r="VGD41" s="478"/>
      <c r="VGE41" s="478"/>
      <c r="VGF41" s="478"/>
      <c r="VGG41" s="478"/>
      <c r="VGH41" s="478"/>
      <c r="VGI41" s="478"/>
      <c r="VGJ41" s="478"/>
      <c r="VGK41" s="478"/>
      <c r="VGL41" s="478"/>
      <c r="VGM41" s="478"/>
      <c r="VGN41" s="478"/>
      <c r="VGO41" s="478"/>
      <c r="VGP41" s="478"/>
      <c r="VGQ41" s="478"/>
      <c r="VGR41" s="478"/>
      <c r="VGS41" s="478"/>
      <c r="VGT41" s="478"/>
      <c r="VGU41" s="478"/>
      <c r="VGV41" s="478"/>
      <c r="VGW41" s="478"/>
      <c r="VGX41" s="478"/>
      <c r="VGY41" s="478"/>
      <c r="VGZ41" s="478"/>
      <c r="VHA41" s="478"/>
      <c r="VHB41" s="478"/>
      <c r="VHC41" s="478"/>
      <c r="VHD41" s="478"/>
      <c r="VHE41" s="478"/>
      <c r="VHF41" s="478"/>
      <c r="VHG41" s="478"/>
      <c r="VHH41" s="478"/>
      <c r="VHI41" s="478"/>
      <c r="VHJ41" s="478"/>
      <c r="VHK41" s="478"/>
      <c r="VHL41" s="478"/>
      <c r="VHM41" s="478"/>
      <c r="VHN41" s="478"/>
      <c r="VHO41" s="478"/>
      <c r="VHP41" s="478"/>
      <c r="VHQ41" s="478"/>
      <c r="VHR41" s="478"/>
      <c r="VHS41" s="478"/>
      <c r="VHT41" s="478"/>
      <c r="VHU41" s="478"/>
      <c r="VHV41" s="478"/>
      <c r="VHW41" s="478"/>
      <c r="VHX41" s="478"/>
      <c r="VHY41" s="478"/>
      <c r="VHZ41" s="478"/>
      <c r="VIA41" s="478"/>
      <c r="VIB41" s="478"/>
      <c r="VIC41" s="478"/>
      <c r="VID41" s="478"/>
      <c r="VIE41" s="478"/>
      <c r="VIF41" s="478"/>
      <c r="VIG41" s="478"/>
      <c r="VIH41" s="478"/>
      <c r="VII41" s="478"/>
      <c r="VIJ41" s="478"/>
      <c r="VIK41" s="478"/>
      <c r="VIL41" s="478"/>
      <c r="VIM41" s="478"/>
      <c r="VIN41" s="478"/>
      <c r="VIO41" s="478"/>
      <c r="VIP41" s="478"/>
      <c r="VIQ41" s="478"/>
      <c r="VIR41" s="478"/>
      <c r="VIS41" s="478"/>
      <c r="VIT41" s="478"/>
      <c r="VIU41" s="478"/>
      <c r="VIV41" s="478"/>
      <c r="VIW41" s="478"/>
      <c r="VIX41" s="478"/>
      <c r="VIY41" s="478"/>
      <c r="VIZ41" s="478"/>
      <c r="VJA41" s="478"/>
      <c r="VJB41" s="478"/>
      <c r="VJC41" s="478"/>
      <c r="VJD41" s="478"/>
      <c r="VJE41" s="478"/>
      <c r="VJF41" s="478"/>
      <c r="VJG41" s="478"/>
      <c r="VJH41" s="478"/>
      <c r="VJI41" s="478"/>
      <c r="VJJ41" s="478"/>
      <c r="VJK41" s="478"/>
      <c r="VJL41" s="478"/>
      <c r="VJM41" s="478"/>
      <c r="VJN41" s="478"/>
      <c r="VJO41" s="478"/>
      <c r="VJP41" s="478"/>
      <c r="VJQ41" s="478"/>
      <c r="VJR41" s="478"/>
      <c r="VJS41" s="478"/>
      <c r="VJT41" s="478"/>
      <c r="VJU41" s="478"/>
      <c r="VJV41" s="478"/>
      <c r="VJW41" s="478"/>
      <c r="VJX41" s="478"/>
      <c r="VJY41" s="478"/>
      <c r="VJZ41" s="478"/>
      <c r="VKA41" s="478"/>
      <c r="VKB41" s="478"/>
      <c r="VKC41" s="478"/>
      <c r="VKD41" s="478"/>
      <c r="VKE41" s="478"/>
      <c r="VKF41" s="478"/>
      <c r="VKG41" s="478"/>
      <c r="VKH41" s="478"/>
      <c r="VKI41" s="478"/>
      <c r="VKJ41" s="478"/>
      <c r="VKK41" s="478"/>
      <c r="VKL41" s="478"/>
      <c r="VKM41" s="478"/>
      <c r="VKN41" s="478"/>
      <c r="VKO41" s="478"/>
      <c r="VKP41" s="478"/>
      <c r="VKQ41" s="478"/>
      <c r="VKR41" s="478"/>
      <c r="VKS41" s="478"/>
      <c r="VKT41" s="478"/>
      <c r="VKU41" s="478"/>
      <c r="VKV41" s="478"/>
      <c r="VKW41" s="478"/>
      <c r="VKX41" s="478"/>
      <c r="VKY41" s="478"/>
      <c r="VKZ41" s="478"/>
      <c r="VLA41" s="478"/>
      <c r="VLB41" s="478"/>
      <c r="VLC41" s="478"/>
      <c r="VLD41" s="478"/>
      <c r="VLE41" s="478"/>
      <c r="VLF41" s="478"/>
      <c r="VLG41" s="478"/>
      <c r="VLH41" s="478"/>
      <c r="VLI41" s="478"/>
      <c r="VLJ41" s="478"/>
      <c r="VLK41" s="478"/>
      <c r="VLL41" s="478"/>
      <c r="VLM41" s="478"/>
      <c r="VLN41" s="478"/>
      <c r="VLO41" s="478"/>
      <c r="VLP41" s="478"/>
      <c r="VLQ41" s="478"/>
      <c r="VLR41" s="478"/>
      <c r="VLS41" s="478"/>
      <c r="VLT41" s="478"/>
      <c r="VLU41" s="478"/>
      <c r="VLV41" s="478"/>
      <c r="VLW41" s="478"/>
      <c r="VLX41" s="478"/>
      <c r="VLY41" s="478"/>
      <c r="VLZ41" s="478"/>
      <c r="VMA41" s="478"/>
      <c r="VMB41" s="478"/>
      <c r="VMC41" s="478"/>
      <c r="VMD41" s="478"/>
      <c r="VME41" s="478"/>
      <c r="VMF41" s="478"/>
      <c r="VMG41" s="478"/>
      <c r="VMH41" s="478"/>
      <c r="VMI41" s="478"/>
      <c r="VMJ41" s="478"/>
      <c r="VMK41" s="478"/>
      <c r="VML41" s="478"/>
      <c r="VMM41" s="478"/>
      <c r="VMN41" s="478"/>
      <c r="VMO41" s="478"/>
      <c r="VMP41" s="478"/>
      <c r="VMQ41" s="478"/>
      <c r="VMR41" s="478"/>
      <c r="VMS41" s="478"/>
      <c r="VMT41" s="478"/>
      <c r="VMU41" s="478"/>
      <c r="VMV41" s="478"/>
      <c r="VMW41" s="478"/>
      <c r="VMX41" s="478"/>
      <c r="VMY41" s="478"/>
      <c r="VMZ41" s="478"/>
      <c r="VNA41" s="478"/>
      <c r="VNB41" s="478"/>
      <c r="VNC41" s="478"/>
      <c r="VND41" s="478"/>
      <c r="VNE41" s="478"/>
      <c r="VNF41" s="478"/>
      <c r="VNG41" s="478"/>
      <c r="VNH41" s="478"/>
      <c r="VNI41" s="478"/>
      <c r="VNJ41" s="478"/>
      <c r="VNK41" s="478"/>
      <c r="VNL41" s="478"/>
      <c r="VNM41" s="478"/>
      <c r="VNN41" s="478"/>
      <c r="VNO41" s="478"/>
      <c r="VNP41" s="478"/>
      <c r="VNQ41" s="478"/>
      <c r="VNR41" s="478"/>
      <c r="VNS41" s="478"/>
      <c r="VNT41" s="478"/>
      <c r="VNU41" s="478"/>
      <c r="VNV41" s="478"/>
      <c r="VNW41" s="478"/>
      <c r="VNX41" s="478"/>
      <c r="VNY41" s="478"/>
      <c r="VNZ41" s="478"/>
      <c r="VOA41" s="478"/>
      <c r="VOB41" s="478"/>
      <c r="VOC41" s="478"/>
      <c r="VOD41" s="478"/>
      <c r="VOE41" s="478"/>
      <c r="VOF41" s="478"/>
      <c r="VOG41" s="478"/>
      <c r="VOH41" s="478"/>
      <c r="VOI41" s="478"/>
      <c r="VOJ41" s="478"/>
      <c r="VOK41" s="478"/>
      <c r="VOL41" s="478"/>
      <c r="VOM41" s="478"/>
      <c r="VON41" s="478"/>
      <c r="VOO41" s="478"/>
      <c r="VOP41" s="478"/>
      <c r="VOQ41" s="478"/>
      <c r="VOR41" s="478"/>
      <c r="VOS41" s="478"/>
      <c r="VOT41" s="478"/>
      <c r="VOU41" s="478"/>
      <c r="VOV41" s="478"/>
      <c r="VOW41" s="478"/>
      <c r="VOX41" s="478"/>
      <c r="VOY41" s="478"/>
      <c r="VOZ41" s="478"/>
      <c r="VPA41" s="478"/>
      <c r="VPB41" s="478"/>
      <c r="VPC41" s="478"/>
      <c r="VPD41" s="478"/>
      <c r="VPE41" s="478"/>
      <c r="VPF41" s="478"/>
      <c r="VPG41" s="478"/>
      <c r="VPH41" s="478"/>
      <c r="VPI41" s="478"/>
      <c r="VPJ41" s="478"/>
      <c r="VPK41" s="478"/>
      <c r="VPL41" s="478"/>
      <c r="VPM41" s="478"/>
      <c r="VPN41" s="478"/>
      <c r="VPO41" s="478"/>
      <c r="VPP41" s="478"/>
      <c r="VPQ41" s="478"/>
      <c r="VPR41" s="478"/>
      <c r="VPS41" s="478"/>
      <c r="VPT41" s="478"/>
      <c r="VPU41" s="478"/>
      <c r="VPV41" s="478"/>
      <c r="VPW41" s="478"/>
      <c r="VPX41" s="478"/>
      <c r="VPY41" s="478"/>
      <c r="VPZ41" s="478"/>
      <c r="VQA41" s="478"/>
      <c r="VQB41" s="478"/>
      <c r="VQC41" s="478"/>
      <c r="VQD41" s="478"/>
      <c r="VQE41" s="478"/>
      <c r="VQF41" s="478"/>
      <c r="VQG41" s="478"/>
      <c r="VQH41" s="478"/>
      <c r="VQI41" s="478"/>
      <c r="VQJ41" s="478"/>
      <c r="VQK41" s="478"/>
      <c r="VQL41" s="478"/>
      <c r="VQM41" s="478"/>
      <c r="VQN41" s="478"/>
      <c r="VQO41" s="478"/>
      <c r="VQP41" s="478"/>
      <c r="VQQ41" s="478"/>
      <c r="VQR41" s="478"/>
      <c r="VQS41" s="478"/>
      <c r="VQT41" s="478"/>
      <c r="VQU41" s="478"/>
      <c r="VQV41" s="478"/>
      <c r="VQW41" s="478"/>
      <c r="VQX41" s="478"/>
      <c r="VQY41" s="478"/>
      <c r="VQZ41" s="478"/>
      <c r="VRA41" s="478"/>
      <c r="VRB41" s="478"/>
      <c r="VRC41" s="478"/>
      <c r="VRD41" s="478"/>
      <c r="VRE41" s="478"/>
      <c r="VRF41" s="478"/>
      <c r="VRG41" s="478"/>
      <c r="VRH41" s="478"/>
      <c r="VRI41" s="478"/>
      <c r="VRJ41" s="478"/>
      <c r="VRK41" s="478"/>
      <c r="VRL41" s="478"/>
      <c r="VRM41" s="478"/>
      <c r="VRN41" s="478"/>
      <c r="VRO41" s="478"/>
      <c r="VRP41" s="478"/>
      <c r="VRQ41" s="478"/>
      <c r="VRR41" s="478"/>
      <c r="VRS41" s="478"/>
      <c r="VRT41" s="478"/>
      <c r="VRU41" s="478"/>
      <c r="VRV41" s="478"/>
      <c r="VRW41" s="478"/>
      <c r="VRX41" s="478"/>
      <c r="VRY41" s="478"/>
      <c r="VRZ41" s="478"/>
      <c r="VSA41" s="478"/>
      <c r="VSB41" s="478"/>
      <c r="VSC41" s="478"/>
      <c r="VSD41" s="478"/>
      <c r="VSE41" s="478"/>
      <c r="VSF41" s="478"/>
      <c r="VSG41" s="478"/>
      <c r="VSH41" s="478"/>
      <c r="VSI41" s="478"/>
      <c r="VSJ41" s="478"/>
      <c r="VSK41" s="478"/>
      <c r="VSL41" s="478"/>
      <c r="VSM41" s="478"/>
      <c r="VSN41" s="478"/>
      <c r="VSO41" s="478"/>
      <c r="VSP41" s="478"/>
      <c r="VSQ41" s="478"/>
      <c r="VSR41" s="478"/>
      <c r="VSS41" s="478"/>
      <c r="VST41" s="478"/>
      <c r="VSU41" s="478"/>
      <c r="VSV41" s="478"/>
      <c r="VSW41" s="478"/>
      <c r="VSX41" s="478"/>
      <c r="VSY41" s="478"/>
      <c r="VSZ41" s="478"/>
      <c r="VTA41" s="478"/>
      <c r="VTB41" s="478"/>
      <c r="VTC41" s="478"/>
      <c r="VTD41" s="478"/>
      <c r="VTE41" s="478"/>
      <c r="VTF41" s="478"/>
      <c r="VTG41" s="478"/>
      <c r="VTH41" s="478"/>
      <c r="VTI41" s="478"/>
      <c r="VTJ41" s="478"/>
      <c r="VTK41" s="478"/>
      <c r="VTL41" s="478"/>
      <c r="VTM41" s="478"/>
      <c r="VTN41" s="478"/>
      <c r="VTO41" s="478"/>
      <c r="VTP41" s="478"/>
      <c r="VTQ41" s="478"/>
      <c r="VTR41" s="478"/>
      <c r="VTS41" s="478"/>
      <c r="VTT41" s="478"/>
      <c r="VTU41" s="478"/>
      <c r="VTV41" s="478"/>
      <c r="VTW41" s="478"/>
      <c r="VTX41" s="478"/>
      <c r="VTY41" s="478"/>
      <c r="VTZ41" s="478"/>
      <c r="VUA41" s="478"/>
      <c r="VUB41" s="478"/>
      <c r="VUC41" s="478"/>
      <c r="VUD41" s="478"/>
      <c r="VUE41" s="478"/>
      <c r="VUF41" s="478"/>
      <c r="VUG41" s="478"/>
      <c r="VUH41" s="478"/>
      <c r="VUI41" s="478"/>
      <c r="VUJ41" s="478"/>
      <c r="VUK41" s="478"/>
      <c r="VUL41" s="478"/>
      <c r="VUM41" s="478"/>
      <c r="VUN41" s="478"/>
      <c r="VUO41" s="478"/>
      <c r="VUP41" s="478"/>
      <c r="VUQ41" s="478"/>
      <c r="VUR41" s="478"/>
      <c r="VUS41" s="478"/>
      <c r="VUT41" s="478"/>
      <c r="VUU41" s="478"/>
      <c r="VUV41" s="478"/>
      <c r="VUW41" s="478"/>
      <c r="VUX41" s="478"/>
      <c r="VUY41" s="478"/>
      <c r="VUZ41" s="478"/>
      <c r="VVA41" s="478"/>
      <c r="VVB41" s="478"/>
      <c r="VVC41" s="478"/>
      <c r="VVD41" s="478"/>
      <c r="VVE41" s="478"/>
      <c r="VVF41" s="478"/>
      <c r="VVG41" s="478"/>
      <c r="VVH41" s="478"/>
      <c r="VVI41" s="478"/>
      <c r="VVJ41" s="478"/>
      <c r="VVK41" s="478"/>
      <c r="VVL41" s="478"/>
      <c r="VVM41" s="478"/>
      <c r="VVN41" s="478"/>
      <c r="VVO41" s="478"/>
      <c r="VVP41" s="478"/>
      <c r="VVQ41" s="478"/>
      <c r="VVR41" s="478"/>
      <c r="VVS41" s="478"/>
      <c r="VVT41" s="478"/>
      <c r="VVU41" s="478"/>
      <c r="VVV41" s="478"/>
      <c r="VVW41" s="478"/>
      <c r="VVX41" s="478"/>
      <c r="VVY41" s="478"/>
      <c r="VVZ41" s="478"/>
      <c r="VWA41" s="478"/>
      <c r="VWB41" s="478"/>
      <c r="VWC41" s="478"/>
      <c r="VWD41" s="478"/>
      <c r="VWE41" s="478"/>
      <c r="VWF41" s="478"/>
      <c r="VWG41" s="478"/>
      <c r="VWH41" s="478"/>
      <c r="VWI41" s="478"/>
      <c r="VWJ41" s="478"/>
      <c r="VWK41" s="478"/>
      <c r="VWL41" s="478"/>
      <c r="VWM41" s="478"/>
      <c r="VWN41" s="478"/>
      <c r="VWO41" s="478"/>
      <c r="VWP41" s="478"/>
      <c r="VWQ41" s="478"/>
      <c r="VWR41" s="478"/>
      <c r="VWS41" s="478"/>
      <c r="VWT41" s="478"/>
      <c r="VWU41" s="478"/>
      <c r="VWV41" s="478"/>
      <c r="VWW41" s="478"/>
      <c r="VWX41" s="478"/>
      <c r="VWY41" s="478"/>
      <c r="VWZ41" s="478"/>
      <c r="VXA41" s="478"/>
      <c r="VXB41" s="478"/>
      <c r="VXC41" s="478"/>
      <c r="VXD41" s="478"/>
      <c r="VXE41" s="478"/>
      <c r="VXF41" s="478"/>
      <c r="VXG41" s="478"/>
      <c r="VXH41" s="478"/>
      <c r="VXI41" s="478"/>
      <c r="VXJ41" s="478"/>
      <c r="VXK41" s="478"/>
      <c r="VXL41" s="478"/>
      <c r="VXM41" s="478"/>
      <c r="VXN41" s="478"/>
      <c r="VXO41" s="478"/>
      <c r="VXP41" s="478"/>
      <c r="VXQ41" s="478"/>
      <c r="VXR41" s="478"/>
      <c r="VXS41" s="478"/>
      <c r="VXT41" s="478"/>
      <c r="VXU41" s="478"/>
      <c r="VXV41" s="478"/>
      <c r="VXW41" s="478"/>
      <c r="VXX41" s="478"/>
      <c r="VXY41" s="478"/>
      <c r="VXZ41" s="478"/>
      <c r="VYA41" s="478"/>
      <c r="VYB41" s="478"/>
      <c r="VYC41" s="478"/>
      <c r="VYD41" s="478"/>
      <c r="VYE41" s="478"/>
      <c r="VYF41" s="478"/>
      <c r="VYG41" s="478"/>
      <c r="VYH41" s="478"/>
      <c r="VYI41" s="478"/>
      <c r="VYJ41" s="478"/>
      <c r="VYK41" s="478"/>
      <c r="VYL41" s="478"/>
      <c r="VYM41" s="478"/>
      <c r="VYN41" s="478"/>
      <c r="VYO41" s="478"/>
      <c r="VYP41" s="478"/>
      <c r="VYQ41" s="478"/>
      <c r="VYR41" s="478"/>
      <c r="VYS41" s="478"/>
      <c r="VYT41" s="478"/>
      <c r="VYU41" s="478"/>
      <c r="VYV41" s="478"/>
      <c r="VYW41" s="478"/>
      <c r="VYX41" s="478"/>
      <c r="VYY41" s="478"/>
      <c r="VYZ41" s="478"/>
      <c r="VZA41" s="478"/>
      <c r="VZB41" s="478"/>
      <c r="VZC41" s="478"/>
      <c r="VZD41" s="478"/>
      <c r="VZE41" s="478"/>
      <c r="VZF41" s="478"/>
      <c r="VZG41" s="478"/>
      <c r="VZH41" s="478"/>
      <c r="VZI41" s="478"/>
      <c r="VZJ41" s="478"/>
      <c r="VZK41" s="478"/>
      <c r="VZL41" s="478"/>
      <c r="VZM41" s="478"/>
      <c r="VZN41" s="478"/>
      <c r="VZO41" s="478"/>
      <c r="VZP41" s="478"/>
      <c r="VZQ41" s="478"/>
      <c r="VZR41" s="478"/>
      <c r="VZS41" s="478"/>
      <c r="VZT41" s="478"/>
      <c r="VZU41" s="478"/>
      <c r="VZV41" s="478"/>
      <c r="VZW41" s="478"/>
      <c r="VZX41" s="478"/>
      <c r="VZY41" s="478"/>
      <c r="VZZ41" s="478"/>
      <c r="WAA41" s="478"/>
      <c r="WAB41" s="478"/>
      <c r="WAC41" s="478"/>
      <c r="WAD41" s="478"/>
      <c r="WAE41" s="478"/>
      <c r="WAF41" s="478"/>
      <c r="WAG41" s="478"/>
      <c r="WAH41" s="478"/>
      <c r="WAI41" s="478"/>
      <c r="WAJ41" s="478"/>
      <c r="WAK41" s="478"/>
      <c r="WAL41" s="478"/>
      <c r="WAM41" s="478"/>
      <c r="WAN41" s="478"/>
      <c r="WAO41" s="478"/>
      <c r="WAP41" s="478"/>
      <c r="WAQ41" s="478"/>
      <c r="WAR41" s="478"/>
      <c r="WAS41" s="478"/>
      <c r="WAT41" s="478"/>
      <c r="WAU41" s="478"/>
      <c r="WAV41" s="478"/>
      <c r="WAW41" s="478"/>
      <c r="WAX41" s="478"/>
      <c r="WAY41" s="478"/>
      <c r="WAZ41" s="478"/>
      <c r="WBA41" s="478"/>
      <c r="WBB41" s="478"/>
      <c r="WBC41" s="478"/>
      <c r="WBD41" s="478"/>
      <c r="WBE41" s="478"/>
      <c r="WBF41" s="478"/>
      <c r="WBG41" s="478"/>
      <c r="WBH41" s="478"/>
      <c r="WBI41" s="478"/>
      <c r="WBJ41" s="478"/>
      <c r="WBK41" s="478"/>
      <c r="WBL41" s="478"/>
      <c r="WBM41" s="478"/>
      <c r="WBN41" s="478"/>
      <c r="WBO41" s="478"/>
      <c r="WBP41" s="478"/>
      <c r="WBQ41" s="478"/>
      <c r="WBR41" s="478"/>
      <c r="WBS41" s="478"/>
      <c r="WBT41" s="478"/>
      <c r="WBU41" s="478"/>
      <c r="WBV41" s="478"/>
      <c r="WBW41" s="478"/>
      <c r="WBX41" s="478"/>
      <c r="WBY41" s="478"/>
      <c r="WBZ41" s="478"/>
      <c r="WCA41" s="478"/>
      <c r="WCB41" s="478"/>
      <c r="WCC41" s="478"/>
      <c r="WCD41" s="478"/>
      <c r="WCE41" s="478"/>
      <c r="WCF41" s="478"/>
      <c r="WCG41" s="478"/>
      <c r="WCH41" s="478"/>
      <c r="WCI41" s="478"/>
      <c r="WCJ41" s="478"/>
      <c r="WCK41" s="478"/>
      <c r="WCL41" s="478"/>
      <c r="WCM41" s="478"/>
      <c r="WCN41" s="478"/>
      <c r="WCO41" s="478"/>
      <c r="WCP41" s="478"/>
      <c r="WCQ41" s="478"/>
      <c r="WCR41" s="478"/>
      <c r="WCS41" s="478"/>
      <c r="WCT41" s="478"/>
      <c r="WCU41" s="478"/>
      <c r="WCV41" s="478"/>
      <c r="WCW41" s="478"/>
      <c r="WCX41" s="478"/>
      <c r="WCY41" s="478"/>
      <c r="WCZ41" s="478"/>
      <c r="WDA41" s="478"/>
      <c r="WDB41" s="478"/>
      <c r="WDC41" s="478"/>
      <c r="WDD41" s="478"/>
      <c r="WDE41" s="478"/>
      <c r="WDF41" s="478"/>
      <c r="WDG41" s="478"/>
      <c r="WDH41" s="478"/>
      <c r="WDI41" s="478"/>
      <c r="WDJ41" s="478"/>
      <c r="WDK41" s="478"/>
      <c r="WDL41" s="478"/>
      <c r="WDM41" s="478"/>
      <c r="WDN41" s="478"/>
      <c r="WDO41" s="478"/>
      <c r="WDP41" s="478"/>
      <c r="WDQ41" s="478"/>
      <c r="WDR41" s="478"/>
      <c r="WDS41" s="478"/>
      <c r="WDT41" s="478"/>
      <c r="WDU41" s="478"/>
      <c r="WDV41" s="478"/>
      <c r="WDW41" s="478"/>
      <c r="WDX41" s="478"/>
      <c r="WDY41" s="478"/>
      <c r="WDZ41" s="478"/>
      <c r="WEA41" s="478"/>
      <c r="WEB41" s="478"/>
      <c r="WEC41" s="478"/>
      <c r="WED41" s="478"/>
      <c r="WEE41" s="478"/>
      <c r="WEF41" s="478"/>
      <c r="WEG41" s="478"/>
      <c r="WEH41" s="478"/>
      <c r="WEI41" s="478"/>
      <c r="WEJ41" s="478"/>
      <c r="WEK41" s="478"/>
      <c r="WEL41" s="478"/>
      <c r="WEM41" s="478"/>
      <c r="WEN41" s="478"/>
      <c r="WEO41" s="478"/>
      <c r="WEP41" s="478"/>
      <c r="WEQ41" s="478"/>
      <c r="WER41" s="478"/>
      <c r="WES41" s="478"/>
      <c r="WET41" s="478"/>
      <c r="WEU41" s="478"/>
      <c r="WEV41" s="478"/>
      <c r="WEW41" s="478"/>
      <c r="WEX41" s="478"/>
      <c r="WEY41" s="478"/>
      <c r="WEZ41" s="478"/>
      <c r="WFA41" s="478"/>
      <c r="WFB41" s="478"/>
      <c r="WFC41" s="478"/>
      <c r="WFD41" s="478"/>
      <c r="WFE41" s="478"/>
      <c r="WFF41" s="478"/>
      <c r="WFG41" s="478"/>
      <c r="WFH41" s="478"/>
      <c r="WFI41" s="478"/>
      <c r="WFJ41" s="478"/>
      <c r="WFK41" s="478"/>
      <c r="WFL41" s="478"/>
      <c r="WFM41" s="478"/>
      <c r="WFN41" s="478"/>
      <c r="WFO41" s="478"/>
      <c r="WFP41" s="478"/>
      <c r="WFQ41" s="478"/>
      <c r="WFR41" s="478"/>
      <c r="WFS41" s="478"/>
      <c r="WFT41" s="478"/>
      <c r="WFU41" s="478"/>
      <c r="WFV41" s="478"/>
      <c r="WFW41" s="478"/>
      <c r="WFX41" s="478"/>
      <c r="WFY41" s="478"/>
      <c r="WFZ41" s="478"/>
      <c r="WGA41" s="478"/>
      <c r="WGB41" s="478"/>
      <c r="WGC41" s="478"/>
      <c r="WGD41" s="478"/>
      <c r="WGE41" s="478"/>
      <c r="WGF41" s="478"/>
      <c r="WGG41" s="478"/>
      <c r="WGH41" s="478"/>
      <c r="WGI41" s="478"/>
      <c r="WGJ41" s="478"/>
      <c r="WGK41" s="478"/>
      <c r="WGL41" s="478"/>
      <c r="WGM41" s="478"/>
      <c r="WGN41" s="478"/>
      <c r="WGO41" s="478"/>
      <c r="WGP41" s="478"/>
      <c r="WGQ41" s="478"/>
      <c r="WGR41" s="478"/>
      <c r="WGS41" s="478"/>
      <c r="WGT41" s="478"/>
      <c r="WGU41" s="478"/>
      <c r="WGV41" s="478"/>
      <c r="WGW41" s="478"/>
      <c r="WGX41" s="478"/>
      <c r="WGY41" s="478"/>
      <c r="WGZ41" s="478"/>
      <c r="WHA41" s="478"/>
      <c r="WHB41" s="478"/>
      <c r="WHC41" s="478"/>
      <c r="WHD41" s="478"/>
      <c r="WHE41" s="478"/>
      <c r="WHF41" s="478"/>
      <c r="WHG41" s="478"/>
      <c r="WHH41" s="478"/>
      <c r="WHI41" s="478"/>
      <c r="WHJ41" s="478"/>
      <c r="WHK41" s="478"/>
      <c r="WHL41" s="478"/>
      <c r="WHM41" s="478"/>
      <c r="WHN41" s="478"/>
      <c r="WHO41" s="478"/>
      <c r="WHP41" s="478"/>
      <c r="WHQ41" s="478"/>
      <c r="WHR41" s="478"/>
      <c r="WHS41" s="478"/>
      <c r="WHT41" s="478"/>
      <c r="WHU41" s="478"/>
      <c r="WHV41" s="478"/>
      <c r="WHW41" s="478"/>
      <c r="WHX41" s="478"/>
      <c r="WHY41" s="478"/>
      <c r="WHZ41" s="478"/>
      <c r="WIA41" s="478"/>
      <c r="WIB41" s="478"/>
      <c r="WIC41" s="478"/>
      <c r="WID41" s="478"/>
      <c r="WIE41" s="478"/>
      <c r="WIF41" s="478"/>
      <c r="WIG41" s="478"/>
      <c r="WIH41" s="478"/>
      <c r="WII41" s="478"/>
      <c r="WIJ41" s="478"/>
      <c r="WIK41" s="478"/>
      <c r="WIL41" s="478"/>
      <c r="WIM41" s="478"/>
      <c r="WIN41" s="478"/>
      <c r="WIO41" s="478"/>
      <c r="WIP41" s="478"/>
      <c r="WIQ41" s="478"/>
      <c r="WIR41" s="478"/>
      <c r="WIS41" s="478"/>
      <c r="WIT41" s="478"/>
      <c r="WIU41" s="478"/>
      <c r="WIV41" s="478"/>
      <c r="WIW41" s="478"/>
      <c r="WIX41" s="478"/>
      <c r="WIY41" s="478"/>
      <c r="WIZ41" s="478"/>
      <c r="WJA41" s="478"/>
      <c r="WJB41" s="478"/>
      <c r="WJC41" s="478"/>
      <c r="WJD41" s="478"/>
      <c r="WJE41" s="478"/>
      <c r="WJF41" s="478"/>
      <c r="WJG41" s="478"/>
      <c r="WJH41" s="478"/>
      <c r="WJI41" s="478"/>
      <c r="WJJ41" s="478"/>
      <c r="WJK41" s="478"/>
      <c r="WJL41" s="478"/>
      <c r="WJM41" s="478"/>
      <c r="WJN41" s="478"/>
      <c r="WJO41" s="478"/>
      <c r="WJP41" s="478"/>
      <c r="WJQ41" s="478"/>
      <c r="WJR41" s="478"/>
      <c r="WJS41" s="478"/>
      <c r="WJT41" s="478"/>
      <c r="WJU41" s="478"/>
      <c r="WJV41" s="478"/>
      <c r="WJW41" s="478"/>
      <c r="WJX41" s="478"/>
      <c r="WJY41" s="478"/>
      <c r="WJZ41" s="478"/>
      <c r="WKA41" s="478"/>
      <c r="WKB41" s="478"/>
      <c r="WKC41" s="478"/>
      <c r="WKD41" s="478"/>
      <c r="WKE41" s="478"/>
      <c r="WKF41" s="478"/>
      <c r="WKG41" s="478"/>
      <c r="WKH41" s="478"/>
      <c r="WKI41" s="478"/>
      <c r="WKJ41" s="478"/>
      <c r="WKK41" s="478"/>
      <c r="WKL41" s="478"/>
      <c r="WKM41" s="478"/>
      <c r="WKN41" s="478"/>
      <c r="WKO41" s="478"/>
      <c r="WKP41" s="478"/>
      <c r="WKQ41" s="478"/>
      <c r="WKR41" s="478"/>
      <c r="WKS41" s="478"/>
      <c r="WKT41" s="478"/>
      <c r="WKU41" s="478"/>
      <c r="WKV41" s="478"/>
      <c r="WKW41" s="478"/>
      <c r="WKX41" s="478"/>
      <c r="WKY41" s="478"/>
      <c r="WKZ41" s="478"/>
      <c r="WLA41" s="478"/>
      <c r="WLB41" s="478"/>
      <c r="WLC41" s="478"/>
      <c r="WLD41" s="478"/>
      <c r="WLE41" s="478"/>
      <c r="WLF41" s="478"/>
      <c r="WLG41" s="478"/>
      <c r="WLH41" s="478"/>
      <c r="WLI41" s="478"/>
      <c r="WLJ41" s="478"/>
      <c r="WLK41" s="478"/>
      <c r="WLL41" s="478"/>
      <c r="WLM41" s="478"/>
      <c r="WLN41" s="478"/>
      <c r="WLO41" s="478"/>
      <c r="WLP41" s="478"/>
      <c r="WLQ41" s="478"/>
      <c r="WLR41" s="478"/>
      <c r="WLS41" s="478"/>
      <c r="WLT41" s="478"/>
      <c r="WLU41" s="478"/>
      <c r="WLV41" s="478"/>
      <c r="WLW41" s="478"/>
      <c r="WLX41" s="478"/>
      <c r="WLY41" s="478"/>
      <c r="WLZ41" s="478"/>
      <c r="WMA41" s="478"/>
      <c r="WMB41" s="478"/>
      <c r="WMC41" s="478"/>
      <c r="WMD41" s="478"/>
      <c r="WME41" s="478"/>
      <c r="WMF41" s="478"/>
      <c r="WMG41" s="478"/>
      <c r="WMH41" s="478"/>
      <c r="WMI41" s="478"/>
      <c r="WMJ41" s="478"/>
      <c r="WMK41" s="478"/>
      <c r="WML41" s="478"/>
      <c r="WMM41" s="478"/>
      <c r="WMN41" s="478"/>
      <c r="WMO41" s="478"/>
      <c r="WMP41" s="478"/>
      <c r="WMQ41" s="478"/>
      <c r="WMR41" s="478"/>
      <c r="WMS41" s="478"/>
      <c r="WMT41" s="478"/>
      <c r="WMU41" s="478"/>
      <c r="WMV41" s="478"/>
      <c r="WMW41" s="478"/>
      <c r="WMX41" s="478"/>
      <c r="WMY41" s="478"/>
      <c r="WMZ41" s="478"/>
      <c r="WNA41" s="478"/>
      <c r="WNB41" s="478"/>
      <c r="WNC41" s="478"/>
      <c r="WND41" s="478"/>
      <c r="WNE41" s="478"/>
      <c r="WNF41" s="478"/>
      <c r="WNG41" s="478"/>
      <c r="WNH41" s="478"/>
      <c r="WNI41" s="478"/>
      <c r="WNJ41" s="478"/>
      <c r="WNK41" s="478"/>
      <c r="WNL41" s="478"/>
      <c r="WNM41" s="478"/>
      <c r="WNN41" s="478"/>
      <c r="WNO41" s="478"/>
      <c r="WNP41" s="478"/>
      <c r="WNQ41" s="478"/>
      <c r="WNR41" s="478"/>
      <c r="WNS41" s="478"/>
      <c r="WNT41" s="478"/>
      <c r="WNU41" s="478"/>
      <c r="WNV41" s="478"/>
      <c r="WNW41" s="478"/>
      <c r="WNX41" s="478"/>
      <c r="WNY41" s="478"/>
      <c r="WNZ41" s="478"/>
      <c r="WOA41" s="478"/>
      <c r="WOB41" s="478"/>
      <c r="WOC41" s="478"/>
      <c r="WOD41" s="478"/>
      <c r="WOE41" s="478"/>
      <c r="WOF41" s="478"/>
      <c r="WOG41" s="478"/>
      <c r="WOH41" s="478"/>
      <c r="WOI41" s="478"/>
      <c r="WOJ41" s="478"/>
      <c r="WOK41" s="478"/>
      <c r="WOL41" s="478"/>
      <c r="WOM41" s="478"/>
      <c r="WON41" s="478"/>
      <c r="WOO41" s="478"/>
      <c r="WOP41" s="478"/>
      <c r="WOQ41" s="478"/>
      <c r="WOR41" s="478"/>
      <c r="WOS41" s="478"/>
      <c r="WOT41" s="478"/>
      <c r="WOU41" s="478"/>
      <c r="WOV41" s="478"/>
      <c r="WOW41" s="478"/>
      <c r="WOX41" s="478"/>
      <c r="WOY41" s="478"/>
      <c r="WOZ41" s="478"/>
      <c r="WPA41" s="478"/>
      <c r="WPB41" s="478"/>
      <c r="WPC41" s="478"/>
      <c r="WPD41" s="478"/>
      <c r="WPE41" s="478"/>
      <c r="WPF41" s="478"/>
      <c r="WPG41" s="478"/>
      <c r="WPH41" s="478"/>
      <c r="WPI41" s="478"/>
      <c r="WPJ41" s="478"/>
      <c r="WPK41" s="478"/>
      <c r="WPL41" s="478"/>
      <c r="WPM41" s="478"/>
      <c r="WPN41" s="478"/>
      <c r="WPO41" s="478"/>
      <c r="WPP41" s="478"/>
      <c r="WPQ41" s="478"/>
      <c r="WPR41" s="478"/>
      <c r="WPS41" s="478"/>
      <c r="WPT41" s="478"/>
      <c r="WPU41" s="478"/>
      <c r="WPV41" s="478"/>
      <c r="WPW41" s="478"/>
      <c r="WPX41" s="478"/>
      <c r="WPY41" s="478"/>
      <c r="WPZ41" s="478"/>
      <c r="WQA41" s="478"/>
      <c r="WQB41" s="478"/>
      <c r="WQC41" s="478"/>
      <c r="WQD41" s="478"/>
      <c r="WQE41" s="478"/>
      <c r="WQF41" s="478"/>
      <c r="WQG41" s="478"/>
      <c r="WQH41" s="478"/>
      <c r="WQI41" s="478"/>
      <c r="WQJ41" s="478"/>
      <c r="WQK41" s="478"/>
      <c r="WQL41" s="478"/>
      <c r="WQM41" s="478"/>
      <c r="WQN41" s="478"/>
      <c r="WQO41" s="478"/>
      <c r="WQP41" s="478"/>
      <c r="WQQ41" s="478"/>
      <c r="WQR41" s="478"/>
      <c r="WQS41" s="478"/>
      <c r="WQT41" s="478"/>
      <c r="WQU41" s="478"/>
      <c r="WQV41" s="478"/>
      <c r="WQW41" s="478"/>
      <c r="WQX41" s="478"/>
      <c r="WQY41" s="478"/>
      <c r="WQZ41" s="478"/>
      <c r="WRA41" s="478"/>
      <c r="WRB41" s="478"/>
      <c r="WRC41" s="478"/>
      <c r="WRD41" s="478"/>
      <c r="WRE41" s="478"/>
      <c r="WRF41" s="478"/>
      <c r="WRG41" s="478"/>
      <c r="WRH41" s="478"/>
      <c r="WRI41" s="478"/>
      <c r="WRJ41" s="478"/>
      <c r="WRK41" s="478"/>
      <c r="WRL41" s="478"/>
      <c r="WRM41" s="478"/>
      <c r="WRN41" s="478"/>
      <c r="WRO41" s="478"/>
      <c r="WRP41" s="478"/>
      <c r="WRQ41" s="478"/>
      <c r="WRR41" s="478"/>
      <c r="WRS41" s="478"/>
      <c r="WRT41" s="478"/>
      <c r="WRU41" s="478"/>
      <c r="WRV41" s="478"/>
      <c r="WRW41" s="478"/>
      <c r="WRX41" s="478"/>
      <c r="WRY41" s="478"/>
      <c r="WRZ41" s="478"/>
      <c r="WSA41" s="478"/>
      <c r="WSB41" s="478"/>
      <c r="WSC41" s="478"/>
      <c r="WSD41" s="478"/>
      <c r="WSE41" s="478"/>
      <c r="WSF41" s="478"/>
      <c r="WSG41" s="478"/>
      <c r="WSH41" s="478"/>
      <c r="WSI41" s="478"/>
      <c r="WSJ41" s="478"/>
      <c r="WSK41" s="478"/>
      <c r="WSL41" s="478"/>
      <c r="WSM41" s="478"/>
      <c r="WSN41" s="478"/>
      <c r="WSO41" s="478"/>
      <c r="WSP41" s="478"/>
      <c r="WSQ41" s="478"/>
      <c r="WSR41" s="478"/>
      <c r="WSS41" s="478"/>
      <c r="WST41" s="478"/>
      <c r="WSU41" s="478"/>
      <c r="WSV41" s="478"/>
      <c r="WSW41" s="478"/>
      <c r="WSX41" s="478"/>
      <c r="WSY41" s="478"/>
      <c r="WSZ41" s="478"/>
      <c r="WTA41" s="478"/>
      <c r="WTB41" s="478"/>
      <c r="WTC41" s="478"/>
      <c r="WTD41" s="478"/>
      <c r="WTE41" s="478"/>
      <c r="WTF41" s="478"/>
      <c r="WTG41" s="478"/>
      <c r="WTH41" s="478"/>
      <c r="WTI41" s="478"/>
      <c r="WTJ41" s="478"/>
      <c r="WTK41" s="478"/>
      <c r="WTL41" s="478"/>
      <c r="WTM41" s="478"/>
      <c r="WTN41" s="478"/>
      <c r="WTO41" s="478"/>
      <c r="WTP41" s="478"/>
      <c r="WTQ41" s="478"/>
      <c r="WTR41" s="478"/>
      <c r="WTS41" s="478"/>
      <c r="WTT41" s="478"/>
      <c r="WTU41" s="478"/>
      <c r="WTV41" s="478"/>
      <c r="WTW41" s="478"/>
      <c r="WTX41" s="478"/>
      <c r="WTY41" s="478"/>
      <c r="WTZ41" s="478"/>
      <c r="WUA41" s="478"/>
      <c r="WUB41" s="478"/>
      <c r="WUC41" s="478"/>
      <c r="WUD41" s="478"/>
      <c r="WUE41" s="478"/>
      <c r="WUF41" s="478"/>
      <c r="WUG41" s="478"/>
      <c r="WUH41" s="478"/>
      <c r="WUI41" s="478"/>
      <c r="WUJ41" s="478"/>
      <c r="WUK41" s="478"/>
      <c r="WUL41" s="478"/>
      <c r="WUM41" s="478"/>
      <c r="WUN41" s="478"/>
      <c r="WUO41" s="478"/>
      <c r="WUP41" s="478"/>
      <c r="WUQ41" s="478"/>
      <c r="WUR41" s="478"/>
      <c r="WUS41" s="478"/>
      <c r="WUT41" s="478"/>
      <c r="WUU41" s="478"/>
      <c r="WUV41" s="478"/>
      <c r="WUW41" s="478"/>
      <c r="WUX41" s="478"/>
      <c r="WUY41" s="478"/>
      <c r="WUZ41" s="478"/>
      <c r="WVA41" s="478"/>
      <c r="WVB41" s="478"/>
      <c r="WVC41" s="478"/>
      <c r="WVD41" s="478"/>
      <c r="WVE41" s="478"/>
      <c r="WVF41" s="478"/>
      <c r="WVG41" s="478"/>
      <c r="WVH41" s="478"/>
      <c r="WVI41" s="478"/>
      <c r="WVJ41" s="478"/>
      <c r="WVK41" s="478"/>
      <c r="WVL41" s="478"/>
      <c r="WVM41" s="478"/>
      <c r="WVN41" s="478"/>
      <c r="WVO41" s="478"/>
      <c r="WVP41" s="478"/>
      <c r="WVQ41" s="478"/>
      <c r="WVR41" s="478"/>
      <c r="WVS41" s="478"/>
      <c r="WVT41" s="478"/>
      <c r="WVU41" s="478"/>
      <c r="WVV41" s="478"/>
      <c r="WVW41" s="478"/>
      <c r="WVX41" s="478"/>
      <c r="WVY41" s="478"/>
      <c r="WVZ41" s="478"/>
      <c r="WWA41" s="478"/>
      <c r="WWB41" s="478"/>
      <c r="WWC41" s="478"/>
      <c r="WWD41" s="478"/>
      <c r="WWE41" s="478"/>
      <c r="WWF41" s="478"/>
      <c r="WWG41" s="478"/>
      <c r="WWH41" s="478"/>
      <c r="WWI41" s="478"/>
      <c r="WWJ41" s="478"/>
      <c r="WWK41" s="478"/>
      <c r="WWL41" s="478"/>
      <c r="WWM41" s="478"/>
      <c r="WWN41" s="478"/>
      <c r="WWO41" s="478"/>
      <c r="WWP41" s="478"/>
      <c r="WWQ41" s="478"/>
      <c r="WWR41" s="478"/>
      <c r="WWS41" s="478"/>
      <c r="WWT41" s="478"/>
      <c r="WWU41" s="478"/>
      <c r="WWV41" s="478"/>
      <c r="WWW41" s="478"/>
      <c r="WWX41" s="478"/>
      <c r="WWY41" s="478"/>
      <c r="WWZ41" s="478"/>
      <c r="WXA41" s="478"/>
      <c r="WXB41" s="478"/>
      <c r="WXC41" s="478"/>
      <c r="WXD41" s="478"/>
      <c r="WXE41" s="478"/>
      <c r="WXF41" s="478"/>
      <c r="WXG41" s="478"/>
      <c r="WXH41" s="478"/>
      <c r="WXI41" s="478"/>
      <c r="WXJ41" s="478"/>
      <c r="WXK41" s="478"/>
      <c r="WXL41" s="478"/>
      <c r="WXM41" s="478"/>
      <c r="WXN41" s="478"/>
      <c r="WXO41" s="478"/>
      <c r="WXP41" s="478"/>
      <c r="WXQ41" s="478"/>
      <c r="WXR41" s="478"/>
      <c r="WXS41" s="478"/>
      <c r="WXT41" s="478"/>
      <c r="WXU41" s="478"/>
      <c r="WXV41" s="478"/>
      <c r="WXW41" s="478"/>
      <c r="WXX41" s="478"/>
      <c r="WXY41" s="478"/>
      <c r="WXZ41" s="478"/>
      <c r="WYA41" s="478"/>
      <c r="WYB41" s="478"/>
      <c r="WYC41" s="478"/>
      <c r="WYD41" s="478"/>
      <c r="WYE41" s="478"/>
      <c r="WYF41" s="478"/>
      <c r="WYG41" s="478"/>
      <c r="WYH41" s="478"/>
      <c r="WYI41" s="478"/>
      <c r="WYJ41" s="478"/>
      <c r="WYK41" s="478"/>
      <c r="WYL41" s="478"/>
      <c r="WYM41" s="478"/>
      <c r="WYN41" s="478"/>
      <c r="WYO41" s="478"/>
      <c r="WYP41" s="478"/>
      <c r="WYQ41" s="478"/>
      <c r="WYR41" s="478"/>
      <c r="WYS41" s="478"/>
      <c r="WYT41" s="478"/>
      <c r="WYU41" s="478"/>
      <c r="WYV41" s="478"/>
      <c r="WYW41" s="478"/>
      <c r="WYX41" s="478"/>
      <c r="WYY41" s="478"/>
      <c r="WYZ41" s="478"/>
      <c r="WZA41" s="478"/>
      <c r="WZB41" s="478"/>
      <c r="WZC41" s="478"/>
      <c r="WZD41" s="478"/>
      <c r="WZE41" s="478"/>
      <c r="WZF41" s="478"/>
      <c r="WZG41" s="478"/>
      <c r="WZH41" s="478"/>
      <c r="WZI41" s="478"/>
      <c r="WZJ41" s="478"/>
      <c r="WZK41" s="478"/>
      <c r="WZL41" s="478"/>
      <c r="WZM41" s="478"/>
      <c r="WZN41" s="478"/>
      <c r="WZO41" s="478"/>
      <c r="WZP41" s="478"/>
      <c r="WZQ41" s="478"/>
      <c r="WZR41" s="478"/>
      <c r="WZS41" s="478"/>
      <c r="WZT41" s="478"/>
      <c r="WZU41" s="478"/>
      <c r="WZV41" s="478"/>
      <c r="WZW41" s="478"/>
      <c r="WZX41" s="478"/>
      <c r="WZY41" s="478"/>
      <c r="WZZ41" s="478"/>
      <c r="XAA41" s="478"/>
      <c r="XAB41" s="478"/>
      <c r="XAC41" s="478"/>
      <c r="XAD41" s="478"/>
      <c r="XAE41" s="478"/>
      <c r="XAF41" s="478"/>
      <c r="XAG41" s="478"/>
      <c r="XAH41" s="478"/>
      <c r="XAI41" s="478"/>
      <c r="XAJ41" s="478"/>
      <c r="XAK41" s="478"/>
      <c r="XAL41" s="478"/>
      <c r="XAM41" s="478"/>
      <c r="XAN41" s="478"/>
      <c r="XAO41" s="478"/>
      <c r="XAP41" s="478"/>
      <c r="XAQ41" s="478"/>
      <c r="XAR41" s="478"/>
      <c r="XAS41" s="478"/>
      <c r="XAT41" s="478"/>
      <c r="XAU41" s="478"/>
      <c r="XAV41" s="478"/>
      <c r="XAW41" s="478"/>
      <c r="XAX41" s="478"/>
      <c r="XAY41" s="478"/>
      <c r="XAZ41" s="478"/>
      <c r="XBA41" s="478"/>
      <c r="XBB41" s="478"/>
      <c r="XBC41" s="478"/>
      <c r="XBD41" s="478"/>
      <c r="XBE41" s="478"/>
      <c r="XBF41" s="478"/>
      <c r="XBG41" s="478"/>
      <c r="XBH41" s="478"/>
      <c r="XBI41" s="478"/>
      <c r="XBJ41" s="478"/>
      <c r="XBK41" s="478"/>
      <c r="XBL41" s="478"/>
      <c r="XBM41" s="478"/>
      <c r="XBN41" s="478"/>
      <c r="XBO41" s="478"/>
      <c r="XBP41" s="478"/>
      <c r="XBQ41" s="478"/>
      <c r="XBR41" s="478"/>
      <c r="XBS41" s="478"/>
      <c r="XBT41" s="478"/>
      <c r="XBU41" s="478"/>
      <c r="XBV41" s="478"/>
      <c r="XBW41" s="478"/>
      <c r="XBX41" s="478"/>
      <c r="XBY41" s="478"/>
      <c r="XBZ41" s="478"/>
      <c r="XCA41" s="478"/>
      <c r="XCB41" s="478"/>
      <c r="XCC41" s="478"/>
      <c r="XCD41" s="478"/>
      <c r="XCE41" s="478"/>
      <c r="XCF41" s="478"/>
      <c r="XCG41" s="478"/>
      <c r="XCH41" s="478"/>
      <c r="XCI41" s="478"/>
      <c r="XCJ41" s="478"/>
      <c r="XCK41" s="478"/>
      <c r="XCL41" s="478"/>
      <c r="XCM41" s="478"/>
      <c r="XCN41" s="478"/>
      <c r="XCO41" s="478"/>
      <c r="XCP41" s="478"/>
      <c r="XCQ41" s="478"/>
      <c r="XCR41" s="478"/>
      <c r="XCS41" s="478"/>
      <c r="XCT41" s="478"/>
      <c r="XCU41" s="478"/>
      <c r="XCV41" s="478"/>
      <c r="XCW41" s="478"/>
      <c r="XCX41" s="478"/>
      <c r="XCY41" s="478"/>
      <c r="XCZ41" s="478"/>
      <c r="XDA41" s="478"/>
      <c r="XDB41" s="478"/>
      <c r="XDC41" s="478"/>
      <c r="XDD41" s="478"/>
      <c r="XDE41" s="478"/>
      <c r="XDF41" s="478"/>
      <c r="XDG41" s="478"/>
      <c r="XDH41" s="478"/>
      <c r="XDI41" s="478"/>
      <c r="XDJ41" s="478"/>
      <c r="XDK41" s="478"/>
      <c r="XDL41" s="478"/>
      <c r="XDM41" s="478"/>
      <c r="XDN41" s="478"/>
      <c r="XDO41" s="478"/>
      <c r="XDP41" s="478"/>
      <c r="XDQ41" s="478"/>
      <c r="XDR41" s="478"/>
      <c r="XDS41" s="478"/>
      <c r="XDT41" s="478"/>
      <c r="XDU41" s="478"/>
      <c r="XDV41" s="478"/>
      <c r="XDW41" s="478"/>
      <c r="XDX41" s="478"/>
      <c r="XDY41" s="478"/>
      <c r="XDZ41" s="478"/>
      <c r="XEA41" s="478"/>
      <c r="XEB41" s="478"/>
      <c r="XEC41" s="478"/>
      <c r="XED41" s="478"/>
      <c r="XEE41" s="478"/>
      <c r="XEF41" s="478"/>
      <c r="XEG41" s="478"/>
      <c r="XEH41" s="478"/>
      <c r="XEI41" s="478"/>
      <c r="XEJ41" s="478"/>
      <c r="XEK41" s="478"/>
      <c r="XEL41" s="478"/>
      <c r="XEM41" s="478"/>
      <c r="XEN41" s="478"/>
      <c r="XEO41" s="478"/>
      <c r="XEP41" s="478"/>
      <c r="XEQ41" s="478"/>
      <c r="XER41" s="478"/>
      <c r="XES41" s="478"/>
      <c r="XET41" s="478"/>
      <c r="XEU41" s="478"/>
      <c r="XEV41" s="478"/>
      <c r="XEW41" s="478"/>
      <c r="XEX41" s="478"/>
      <c r="XEY41" s="478"/>
      <c r="XEZ41" s="478"/>
      <c r="XFA41" s="478"/>
      <c r="XFB41" s="478"/>
    </row>
    <row r="42" s="346" customFormat="1" customHeight="1" spans="1:16382">
      <c r="A42" s="380" t="str">
        <f>B6</f>
        <v>ZU2-1</v>
      </c>
      <c r="B42" s="381">
        <f t="shared" ref="B42:B72" si="4">C6</f>
        <v>129.97</v>
      </c>
      <c r="C42" s="381">
        <f t="shared" ref="C42:C72" si="5">D6</f>
        <v>149.97</v>
      </c>
      <c r="D42" s="382">
        <f t="shared" ref="D42:D72" si="6">ABS(C42-B42)</f>
        <v>20</v>
      </c>
      <c r="E42" s="383">
        <f t="shared" ref="E42:E72" si="7">G6</f>
        <v>3.348</v>
      </c>
      <c r="F42" s="383">
        <f t="shared" ref="F42:F72" si="8">H6</f>
        <v>3.348</v>
      </c>
      <c r="G42" s="383">
        <f t="shared" ref="G42:G72" si="9">I6</f>
        <v>1.23196</v>
      </c>
      <c r="H42" s="383">
        <f t="shared" ref="H42:H72" si="10">J6</f>
        <v>0.63735</v>
      </c>
      <c r="I42" s="383">
        <f t="shared" ref="I42:I72" si="11">E42-G42</f>
        <v>2.11604</v>
      </c>
      <c r="J42" s="414">
        <f t="shared" ref="J42:J72" si="12">F42-H42</f>
        <v>2.71065</v>
      </c>
      <c r="K42" s="415">
        <f t="shared" ref="K42:K72" si="13">L42+0.1</f>
        <v>0.4</v>
      </c>
      <c r="L42" s="415">
        <f>LOOKUP(MAX(J42,I42),{0,3,4,5,6.5,7.5,9,10},{0.3,0.4,0.5,0.6,0.7,0.8,0.9})</f>
        <v>0.3</v>
      </c>
      <c r="M42" s="415">
        <f t="shared" ref="M42:M72" si="14">V6+L42*2</f>
        <v>13.1</v>
      </c>
      <c r="N42" s="415">
        <f t="shared" ref="N42:N72" si="15">W6+L42*2</f>
        <v>13.1</v>
      </c>
      <c r="O42" s="416">
        <f t="shared" ref="O42:O72" si="16">K6-I6+0.2</f>
        <v>1.955</v>
      </c>
      <c r="P42" s="417">
        <f t="shared" ref="P42:P72" si="17">L6-J6+0.2</f>
        <v>2.04961</v>
      </c>
      <c r="Q42" s="417">
        <f t="shared" ref="Q42:Q72" si="18">M6</f>
        <v>1.75</v>
      </c>
      <c r="R42" s="382">
        <f t="shared" ref="R42:R72" si="19">N6</f>
        <v>1.75</v>
      </c>
      <c r="S42" s="456">
        <f t="shared" ref="S42:S72" si="20">O6</f>
        <v>0</v>
      </c>
      <c r="T42" s="457">
        <f t="shared" ref="T42:T72" si="21">P6-I6+1</f>
        <v>2.7503</v>
      </c>
      <c r="U42" s="416">
        <f t="shared" ref="U42:U59" si="22">Q6-J6+1</f>
        <v>2.7002</v>
      </c>
      <c r="V42" s="416">
        <f t="shared" ref="V42:V72" si="23">R6</f>
        <v>0.45</v>
      </c>
      <c r="W42" s="457">
        <f t="shared" ref="W42:W72" si="24">S6</f>
        <v>0.45</v>
      </c>
      <c r="X42" s="458">
        <f t="shared" ref="X42:X64" si="25">T6</f>
        <v>0</v>
      </c>
      <c r="Y42" s="447">
        <f t="shared" ref="Y42:Y71" si="26">(O42+P42)/2*Q42*S42</f>
        <v>0</v>
      </c>
      <c r="Z42" s="447">
        <f t="shared" ref="Z42:Z71" si="27">(T42+U42)/2*V42*X42</f>
        <v>0</v>
      </c>
      <c r="AA42" s="478"/>
      <c r="AB42" s="479"/>
      <c r="AC42" s="479"/>
      <c r="AD42" s="478"/>
      <c r="AE42" s="478"/>
      <c r="AF42" s="478"/>
      <c r="AG42" s="478"/>
      <c r="AH42" s="478"/>
      <c r="AI42" s="478"/>
      <c r="AJ42" s="478"/>
      <c r="AK42" s="478"/>
      <c r="AL42" s="478"/>
      <c r="AM42" s="478"/>
      <c r="AN42" s="478"/>
      <c r="AO42" s="478"/>
      <c r="AP42" s="478"/>
      <c r="AQ42" s="478"/>
      <c r="AR42" s="478"/>
      <c r="AS42" s="478"/>
      <c r="AT42" s="478"/>
      <c r="AU42" s="478"/>
      <c r="AV42" s="478"/>
      <c r="AW42" s="478"/>
      <c r="AX42" s="478"/>
      <c r="AY42" s="478"/>
      <c r="AZ42" s="478"/>
      <c r="BA42" s="478"/>
      <c r="BB42" s="478"/>
      <c r="BC42" s="478"/>
      <c r="BD42" s="478"/>
      <c r="BE42" s="478"/>
      <c r="BF42" s="478"/>
      <c r="BG42" s="478"/>
      <c r="BH42" s="478"/>
      <c r="BI42" s="478"/>
      <c r="BJ42" s="478"/>
      <c r="BK42" s="478"/>
      <c r="BL42" s="478"/>
      <c r="BM42" s="478"/>
      <c r="BN42" s="478"/>
      <c r="BO42" s="478"/>
      <c r="BP42" s="478"/>
      <c r="BQ42" s="478"/>
      <c r="BR42" s="478"/>
      <c r="BS42" s="478"/>
      <c r="BT42" s="478"/>
      <c r="BU42" s="478"/>
      <c r="BV42" s="478"/>
      <c r="BW42" s="478"/>
      <c r="BX42" s="478"/>
      <c r="BY42" s="478"/>
      <c r="BZ42" s="478"/>
      <c r="CA42" s="478"/>
      <c r="CB42" s="478"/>
      <c r="CC42" s="478"/>
      <c r="CD42" s="478"/>
      <c r="CE42" s="478"/>
      <c r="CF42" s="478"/>
      <c r="CG42" s="478"/>
      <c r="CH42" s="478"/>
      <c r="CI42" s="478"/>
      <c r="CJ42" s="478"/>
      <c r="CK42" s="478"/>
      <c r="CL42" s="478"/>
      <c r="CM42" s="478"/>
      <c r="CN42" s="478"/>
      <c r="CO42" s="478"/>
      <c r="CP42" s="478"/>
      <c r="CQ42" s="478"/>
      <c r="CR42" s="478"/>
      <c r="CS42" s="478"/>
      <c r="CT42" s="478"/>
      <c r="CU42" s="478"/>
      <c r="CV42" s="478"/>
      <c r="CW42" s="478"/>
      <c r="CX42" s="478"/>
      <c r="CY42" s="478"/>
      <c r="CZ42" s="478"/>
      <c r="DA42" s="478"/>
      <c r="DB42" s="478"/>
      <c r="DC42" s="478"/>
      <c r="DD42" s="478"/>
      <c r="DE42" s="478"/>
      <c r="DF42" s="478"/>
      <c r="DG42" s="478"/>
      <c r="DH42" s="478"/>
      <c r="DI42" s="478"/>
      <c r="DJ42" s="478"/>
      <c r="DK42" s="478"/>
      <c r="DL42" s="478"/>
      <c r="DM42" s="478"/>
      <c r="DN42" s="478"/>
      <c r="DO42" s="478"/>
      <c r="DP42" s="478"/>
      <c r="DQ42" s="478"/>
      <c r="DR42" s="478"/>
      <c r="DS42" s="478"/>
      <c r="DT42" s="478"/>
      <c r="DU42" s="478"/>
      <c r="DV42" s="478"/>
      <c r="DW42" s="478"/>
      <c r="DX42" s="478"/>
      <c r="DY42" s="478"/>
      <c r="DZ42" s="478"/>
      <c r="EA42" s="478"/>
      <c r="EB42" s="478"/>
      <c r="EC42" s="478"/>
      <c r="ED42" s="478"/>
      <c r="EE42" s="478"/>
      <c r="EF42" s="478"/>
      <c r="EG42" s="478"/>
      <c r="EH42" s="478"/>
      <c r="EI42" s="478"/>
      <c r="EJ42" s="478"/>
      <c r="EK42" s="478"/>
      <c r="EL42" s="478"/>
      <c r="EM42" s="478"/>
      <c r="EN42" s="478"/>
      <c r="EO42" s="478"/>
      <c r="EP42" s="478"/>
      <c r="EQ42" s="478"/>
      <c r="ER42" s="478"/>
      <c r="ES42" s="478"/>
      <c r="ET42" s="478"/>
      <c r="EU42" s="478"/>
      <c r="EV42" s="478"/>
      <c r="EW42" s="478"/>
      <c r="EX42" s="478"/>
      <c r="EY42" s="478"/>
      <c r="EZ42" s="478"/>
      <c r="FA42" s="478"/>
      <c r="FB42" s="478"/>
      <c r="FC42" s="478"/>
      <c r="FD42" s="478"/>
      <c r="FE42" s="478"/>
      <c r="FF42" s="478"/>
      <c r="FG42" s="478"/>
      <c r="FH42" s="478"/>
      <c r="FI42" s="478"/>
      <c r="FJ42" s="478"/>
      <c r="FK42" s="478"/>
      <c r="FL42" s="478"/>
      <c r="FM42" s="478"/>
      <c r="FN42" s="478"/>
      <c r="FO42" s="478"/>
      <c r="FP42" s="478"/>
      <c r="FQ42" s="478"/>
      <c r="FR42" s="478"/>
      <c r="FS42" s="478"/>
      <c r="FT42" s="478"/>
      <c r="FU42" s="478"/>
      <c r="FV42" s="478"/>
      <c r="FW42" s="478"/>
      <c r="FX42" s="478"/>
      <c r="FY42" s="478"/>
      <c r="FZ42" s="478"/>
      <c r="GA42" s="478"/>
      <c r="GB42" s="478"/>
      <c r="GC42" s="478"/>
      <c r="GD42" s="478"/>
      <c r="GE42" s="478"/>
      <c r="GF42" s="478"/>
      <c r="GG42" s="478"/>
      <c r="GH42" s="478"/>
      <c r="GI42" s="478"/>
      <c r="GJ42" s="478"/>
      <c r="GK42" s="478"/>
      <c r="GL42" s="478"/>
      <c r="GM42" s="478"/>
      <c r="GN42" s="478"/>
      <c r="GO42" s="478"/>
      <c r="GP42" s="478"/>
      <c r="GQ42" s="478"/>
      <c r="GR42" s="478"/>
      <c r="GS42" s="478"/>
      <c r="GT42" s="478"/>
      <c r="GU42" s="478"/>
      <c r="GV42" s="478"/>
      <c r="GW42" s="478"/>
      <c r="GX42" s="478"/>
      <c r="GY42" s="478"/>
      <c r="GZ42" s="478"/>
      <c r="HA42" s="478"/>
      <c r="HB42" s="478"/>
      <c r="HC42" s="478"/>
      <c r="HD42" s="478"/>
      <c r="HE42" s="478"/>
      <c r="HF42" s="478"/>
      <c r="HG42" s="478"/>
      <c r="HH42" s="478"/>
      <c r="HI42" s="478"/>
      <c r="HJ42" s="478"/>
      <c r="HK42" s="478"/>
      <c r="HL42" s="478"/>
      <c r="HM42" s="478"/>
      <c r="HN42" s="478"/>
      <c r="HO42" s="478"/>
      <c r="HP42" s="478"/>
      <c r="HQ42" s="478"/>
      <c r="HR42" s="478"/>
      <c r="HS42" s="478"/>
      <c r="HT42" s="478"/>
      <c r="HU42" s="478"/>
      <c r="HV42" s="478"/>
      <c r="HW42" s="478"/>
      <c r="HX42" s="478"/>
      <c r="HY42" s="478"/>
      <c r="HZ42" s="478"/>
      <c r="IA42" s="478"/>
      <c r="IB42" s="478"/>
      <c r="IC42" s="478"/>
      <c r="ID42" s="478"/>
      <c r="IE42" s="478"/>
      <c r="IF42" s="478"/>
      <c r="IG42" s="478"/>
      <c r="IH42" s="478"/>
      <c r="II42" s="478"/>
      <c r="IJ42" s="478"/>
      <c r="IK42" s="478"/>
      <c r="IL42" s="478"/>
      <c r="IM42" s="478"/>
      <c r="IN42" s="478"/>
      <c r="IO42" s="478"/>
      <c r="IP42" s="478"/>
      <c r="IQ42" s="478"/>
      <c r="IR42" s="478"/>
      <c r="IS42" s="478"/>
      <c r="IT42" s="478"/>
      <c r="IU42" s="478"/>
      <c r="IV42" s="478"/>
      <c r="IW42" s="478"/>
      <c r="IX42" s="478"/>
      <c r="IY42" s="478"/>
      <c r="IZ42" s="478"/>
      <c r="JA42" s="478"/>
      <c r="JB42" s="478"/>
      <c r="JC42" s="478"/>
      <c r="JD42" s="478"/>
      <c r="JE42" s="478"/>
      <c r="JF42" s="478"/>
      <c r="JG42" s="478"/>
      <c r="JH42" s="478"/>
      <c r="JI42" s="478"/>
      <c r="JJ42" s="478"/>
      <c r="JK42" s="478"/>
      <c r="JL42" s="478"/>
      <c r="JM42" s="478"/>
      <c r="JN42" s="478"/>
      <c r="JO42" s="478"/>
      <c r="JP42" s="478"/>
      <c r="JQ42" s="478"/>
      <c r="JR42" s="478"/>
      <c r="JS42" s="478"/>
      <c r="JT42" s="478"/>
      <c r="JU42" s="478"/>
      <c r="JV42" s="478"/>
      <c r="JW42" s="478"/>
      <c r="JX42" s="478"/>
      <c r="JY42" s="478"/>
      <c r="JZ42" s="478"/>
      <c r="KA42" s="478"/>
      <c r="KB42" s="478"/>
      <c r="KC42" s="478"/>
      <c r="KD42" s="478"/>
      <c r="KE42" s="478"/>
      <c r="KF42" s="478"/>
      <c r="KG42" s="478"/>
      <c r="KH42" s="478"/>
      <c r="KI42" s="478"/>
      <c r="KJ42" s="478"/>
      <c r="KK42" s="478"/>
      <c r="KL42" s="478"/>
      <c r="KM42" s="478"/>
      <c r="KN42" s="478"/>
      <c r="KO42" s="478"/>
      <c r="KP42" s="478"/>
      <c r="KQ42" s="478"/>
      <c r="KR42" s="478"/>
      <c r="KS42" s="478"/>
      <c r="KT42" s="478"/>
      <c r="KU42" s="478"/>
      <c r="KV42" s="478"/>
      <c r="KW42" s="478"/>
      <c r="KX42" s="478"/>
      <c r="KY42" s="478"/>
      <c r="KZ42" s="478"/>
      <c r="LA42" s="478"/>
      <c r="LB42" s="478"/>
      <c r="LC42" s="478"/>
      <c r="LD42" s="478"/>
      <c r="LE42" s="478"/>
      <c r="LF42" s="478"/>
      <c r="LG42" s="478"/>
      <c r="LH42" s="478"/>
      <c r="LI42" s="478"/>
      <c r="LJ42" s="478"/>
      <c r="LK42" s="478"/>
      <c r="LL42" s="478"/>
      <c r="LM42" s="478"/>
      <c r="LN42" s="478"/>
      <c r="LO42" s="478"/>
      <c r="LP42" s="478"/>
      <c r="LQ42" s="478"/>
      <c r="LR42" s="478"/>
      <c r="LS42" s="478"/>
      <c r="LT42" s="478"/>
      <c r="LU42" s="478"/>
      <c r="LV42" s="478"/>
      <c r="LW42" s="478"/>
      <c r="LX42" s="478"/>
      <c r="LY42" s="478"/>
      <c r="LZ42" s="478"/>
      <c r="MA42" s="478"/>
      <c r="MB42" s="478"/>
      <c r="MC42" s="478"/>
      <c r="MD42" s="478"/>
      <c r="ME42" s="478"/>
      <c r="MF42" s="478"/>
      <c r="MG42" s="478"/>
      <c r="MH42" s="478"/>
      <c r="MI42" s="478"/>
      <c r="MJ42" s="478"/>
      <c r="MK42" s="478"/>
      <c r="ML42" s="478"/>
      <c r="MM42" s="478"/>
      <c r="MN42" s="478"/>
      <c r="MO42" s="478"/>
      <c r="MP42" s="478"/>
      <c r="MQ42" s="478"/>
      <c r="MR42" s="478"/>
      <c r="MS42" s="478"/>
      <c r="MT42" s="478"/>
      <c r="MU42" s="478"/>
      <c r="MV42" s="478"/>
      <c r="MW42" s="478"/>
      <c r="MX42" s="478"/>
      <c r="MY42" s="478"/>
      <c r="MZ42" s="478"/>
      <c r="NA42" s="478"/>
      <c r="NB42" s="478"/>
      <c r="NC42" s="478"/>
      <c r="ND42" s="478"/>
      <c r="NE42" s="478"/>
      <c r="NF42" s="478"/>
      <c r="NG42" s="478"/>
      <c r="NH42" s="478"/>
      <c r="NI42" s="478"/>
      <c r="NJ42" s="478"/>
      <c r="NK42" s="478"/>
      <c r="NL42" s="478"/>
      <c r="NM42" s="478"/>
      <c r="NN42" s="478"/>
      <c r="NO42" s="478"/>
      <c r="NP42" s="478"/>
      <c r="NQ42" s="478"/>
      <c r="NR42" s="478"/>
      <c r="NS42" s="478"/>
      <c r="NT42" s="478"/>
      <c r="NU42" s="478"/>
      <c r="NV42" s="478"/>
      <c r="NW42" s="478"/>
      <c r="NX42" s="478"/>
      <c r="NY42" s="478"/>
      <c r="NZ42" s="478"/>
      <c r="OA42" s="478"/>
      <c r="OB42" s="478"/>
      <c r="OC42" s="478"/>
      <c r="OD42" s="478"/>
      <c r="OE42" s="478"/>
      <c r="OF42" s="478"/>
      <c r="OG42" s="478"/>
      <c r="OH42" s="478"/>
      <c r="OI42" s="478"/>
      <c r="OJ42" s="478"/>
      <c r="OK42" s="478"/>
      <c r="OL42" s="478"/>
      <c r="OM42" s="478"/>
      <c r="ON42" s="478"/>
      <c r="OO42" s="478"/>
      <c r="OP42" s="478"/>
      <c r="OQ42" s="478"/>
      <c r="OR42" s="478"/>
      <c r="OS42" s="478"/>
      <c r="OT42" s="478"/>
      <c r="OU42" s="478"/>
      <c r="OV42" s="478"/>
      <c r="OW42" s="478"/>
      <c r="OX42" s="478"/>
      <c r="OY42" s="478"/>
      <c r="OZ42" s="478"/>
      <c r="PA42" s="478"/>
      <c r="PB42" s="478"/>
      <c r="PC42" s="478"/>
      <c r="PD42" s="478"/>
      <c r="PE42" s="478"/>
      <c r="PF42" s="478"/>
      <c r="PG42" s="478"/>
      <c r="PH42" s="478"/>
      <c r="PI42" s="478"/>
      <c r="PJ42" s="478"/>
      <c r="PK42" s="478"/>
      <c r="PL42" s="478"/>
      <c r="PM42" s="478"/>
      <c r="PN42" s="478"/>
      <c r="PO42" s="478"/>
      <c r="PP42" s="478"/>
      <c r="PQ42" s="478"/>
      <c r="PR42" s="478"/>
      <c r="PS42" s="478"/>
      <c r="PT42" s="478"/>
      <c r="PU42" s="478"/>
      <c r="PV42" s="478"/>
      <c r="PW42" s="478"/>
      <c r="PX42" s="478"/>
      <c r="PY42" s="478"/>
      <c r="PZ42" s="478"/>
      <c r="QA42" s="478"/>
      <c r="QB42" s="478"/>
      <c r="QC42" s="478"/>
      <c r="QD42" s="478"/>
      <c r="QE42" s="478"/>
      <c r="QF42" s="478"/>
      <c r="QG42" s="478"/>
      <c r="QH42" s="478"/>
      <c r="QI42" s="478"/>
      <c r="QJ42" s="478"/>
      <c r="QK42" s="478"/>
      <c r="QL42" s="478"/>
      <c r="QM42" s="478"/>
      <c r="QN42" s="478"/>
      <c r="QO42" s="478"/>
      <c r="QP42" s="478"/>
      <c r="QQ42" s="478"/>
      <c r="QR42" s="478"/>
      <c r="QS42" s="478"/>
      <c r="QT42" s="478"/>
      <c r="QU42" s="478"/>
      <c r="QV42" s="478"/>
      <c r="QW42" s="478"/>
      <c r="QX42" s="478"/>
      <c r="QY42" s="478"/>
      <c r="QZ42" s="478"/>
      <c r="RA42" s="478"/>
      <c r="RB42" s="478"/>
      <c r="RC42" s="478"/>
      <c r="RD42" s="478"/>
      <c r="RE42" s="478"/>
      <c r="RF42" s="478"/>
      <c r="RG42" s="478"/>
      <c r="RH42" s="478"/>
      <c r="RI42" s="478"/>
      <c r="RJ42" s="478"/>
      <c r="RK42" s="478"/>
      <c r="RL42" s="478"/>
      <c r="RM42" s="478"/>
      <c r="RN42" s="478"/>
      <c r="RO42" s="478"/>
      <c r="RP42" s="478"/>
      <c r="RQ42" s="478"/>
      <c r="RR42" s="478"/>
      <c r="RS42" s="478"/>
      <c r="RT42" s="478"/>
      <c r="RU42" s="478"/>
      <c r="RV42" s="478"/>
      <c r="RW42" s="478"/>
      <c r="RX42" s="478"/>
      <c r="RY42" s="478"/>
      <c r="RZ42" s="478"/>
      <c r="SA42" s="478"/>
      <c r="SB42" s="478"/>
      <c r="SC42" s="478"/>
      <c r="SD42" s="478"/>
      <c r="SE42" s="478"/>
      <c r="SF42" s="478"/>
      <c r="SG42" s="478"/>
      <c r="SH42" s="478"/>
      <c r="SI42" s="478"/>
      <c r="SJ42" s="478"/>
      <c r="SK42" s="478"/>
      <c r="SL42" s="478"/>
      <c r="SM42" s="478"/>
      <c r="SN42" s="478"/>
      <c r="SO42" s="478"/>
      <c r="SP42" s="478"/>
      <c r="SQ42" s="478"/>
      <c r="SR42" s="478"/>
      <c r="SS42" s="478"/>
      <c r="ST42" s="478"/>
      <c r="SU42" s="478"/>
      <c r="SV42" s="478"/>
      <c r="SW42" s="478"/>
      <c r="SX42" s="478"/>
      <c r="SY42" s="478"/>
      <c r="SZ42" s="478"/>
      <c r="TA42" s="478"/>
      <c r="TB42" s="478"/>
      <c r="TC42" s="478"/>
      <c r="TD42" s="478"/>
      <c r="TE42" s="478"/>
      <c r="TF42" s="478"/>
      <c r="TG42" s="478"/>
      <c r="TH42" s="478"/>
      <c r="TI42" s="478"/>
      <c r="TJ42" s="478"/>
      <c r="TK42" s="478"/>
      <c r="TL42" s="478"/>
      <c r="TM42" s="478"/>
      <c r="TN42" s="478"/>
      <c r="TO42" s="478"/>
      <c r="TP42" s="478"/>
      <c r="TQ42" s="478"/>
      <c r="TR42" s="478"/>
      <c r="TS42" s="478"/>
      <c r="TT42" s="478"/>
      <c r="TU42" s="478"/>
      <c r="TV42" s="478"/>
      <c r="TW42" s="478"/>
      <c r="TX42" s="478"/>
      <c r="TY42" s="478"/>
      <c r="TZ42" s="478"/>
      <c r="UA42" s="478"/>
      <c r="UB42" s="478"/>
      <c r="UC42" s="478"/>
      <c r="UD42" s="478"/>
      <c r="UE42" s="478"/>
      <c r="UF42" s="478"/>
      <c r="UG42" s="478"/>
      <c r="UH42" s="478"/>
      <c r="UI42" s="478"/>
      <c r="UJ42" s="478"/>
      <c r="UK42" s="478"/>
      <c r="UL42" s="478"/>
      <c r="UM42" s="478"/>
      <c r="UN42" s="478"/>
      <c r="UO42" s="478"/>
      <c r="UP42" s="478"/>
      <c r="UQ42" s="478"/>
      <c r="UR42" s="478"/>
      <c r="US42" s="478"/>
      <c r="UT42" s="478"/>
      <c r="UU42" s="478"/>
      <c r="UV42" s="478"/>
      <c r="UW42" s="478"/>
      <c r="UX42" s="478"/>
      <c r="UY42" s="478"/>
      <c r="UZ42" s="478"/>
      <c r="VA42" s="478"/>
      <c r="VB42" s="478"/>
      <c r="VC42" s="478"/>
      <c r="VD42" s="478"/>
      <c r="VE42" s="478"/>
      <c r="VF42" s="478"/>
      <c r="VG42" s="478"/>
      <c r="VH42" s="478"/>
      <c r="VI42" s="478"/>
      <c r="VJ42" s="478"/>
      <c r="VK42" s="478"/>
      <c r="VL42" s="478"/>
      <c r="VM42" s="478"/>
      <c r="VN42" s="478"/>
      <c r="VO42" s="478"/>
      <c r="VP42" s="478"/>
      <c r="VQ42" s="478"/>
      <c r="VR42" s="478"/>
      <c r="VS42" s="478"/>
      <c r="VT42" s="478"/>
      <c r="VU42" s="478"/>
      <c r="VV42" s="478"/>
      <c r="VW42" s="478"/>
      <c r="VX42" s="478"/>
      <c r="VY42" s="478"/>
      <c r="VZ42" s="478"/>
      <c r="WA42" s="478"/>
      <c r="WB42" s="478"/>
      <c r="WC42" s="478"/>
      <c r="WD42" s="478"/>
      <c r="WE42" s="478"/>
      <c r="WF42" s="478"/>
      <c r="WG42" s="478"/>
      <c r="WH42" s="478"/>
      <c r="WI42" s="478"/>
      <c r="WJ42" s="478"/>
      <c r="WK42" s="478"/>
      <c r="WL42" s="478"/>
      <c r="WM42" s="478"/>
      <c r="WN42" s="478"/>
      <c r="WO42" s="478"/>
      <c r="WP42" s="478"/>
      <c r="WQ42" s="478"/>
      <c r="WR42" s="478"/>
      <c r="WS42" s="478"/>
      <c r="WT42" s="478"/>
      <c r="WU42" s="478"/>
      <c r="WV42" s="478"/>
      <c r="WW42" s="478"/>
      <c r="WX42" s="478"/>
      <c r="WY42" s="478"/>
      <c r="WZ42" s="478"/>
      <c r="XA42" s="478"/>
      <c r="XB42" s="478"/>
      <c r="XC42" s="478"/>
      <c r="XD42" s="478"/>
      <c r="XE42" s="478"/>
      <c r="XF42" s="478"/>
      <c r="XG42" s="478"/>
      <c r="XH42" s="478"/>
      <c r="XI42" s="478"/>
      <c r="XJ42" s="478"/>
      <c r="XK42" s="478"/>
      <c r="XL42" s="478"/>
      <c r="XM42" s="478"/>
      <c r="XN42" s="478"/>
      <c r="XO42" s="478"/>
      <c r="XP42" s="478"/>
      <c r="XQ42" s="478"/>
      <c r="XR42" s="478"/>
      <c r="XS42" s="478"/>
      <c r="XT42" s="478"/>
      <c r="XU42" s="478"/>
      <c r="XV42" s="478"/>
      <c r="XW42" s="478"/>
      <c r="XX42" s="478"/>
      <c r="XY42" s="478"/>
      <c r="XZ42" s="478"/>
      <c r="YA42" s="478"/>
      <c r="YB42" s="478"/>
      <c r="YC42" s="478"/>
      <c r="YD42" s="478"/>
      <c r="YE42" s="478"/>
      <c r="YF42" s="478"/>
      <c r="YG42" s="478"/>
      <c r="YH42" s="478"/>
      <c r="YI42" s="478"/>
      <c r="YJ42" s="478"/>
      <c r="YK42" s="478"/>
      <c r="YL42" s="478"/>
      <c r="YM42" s="478"/>
      <c r="YN42" s="478"/>
      <c r="YO42" s="478"/>
      <c r="YP42" s="478"/>
      <c r="YQ42" s="478"/>
      <c r="YR42" s="478"/>
      <c r="YS42" s="478"/>
      <c r="YT42" s="478"/>
      <c r="YU42" s="478"/>
      <c r="YV42" s="478"/>
      <c r="YW42" s="478"/>
      <c r="YX42" s="478"/>
      <c r="YY42" s="478"/>
      <c r="YZ42" s="478"/>
      <c r="ZA42" s="478"/>
      <c r="ZB42" s="478"/>
      <c r="ZC42" s="478"/>
      <c r="ZD42" s="478"/>
      <c r="ZE42" s="478"/>
      <c r="ZF42" s="478"/>
      <c r="ZG42" s="478"/>
      <c r="ZH42" s="478"/>
      <c r="ZI42" s="478"/>
      <c r="ZJ42" s="478"/>
      <c r="ZK42" s="478"/>
      <c r="ZL42" s="478"/>
      <c r="ZM42" s="478"/>
      <c r="ZN42" s="478"/>
      <c r="ZO42" s="478"/>
      <c r="ZP42" s="478"/>
      <c r="ZQ42" s="478"/>
      <c r="ZR42" s="478"/>
      <c r="ZS42" s="478"/>
      <c r="ZT42" s="478"/>
      <c r="ZU42" s="478"/>
      <c r="ZV42" s="478"/>
      <c r="ZW42" s="478"/>
      <c r="ZX42" s="478"/>
      <c r="ZY42" s="478"/>
      <c r="ZZ42" s="478"/>
      <c r="AAA42" s="478"/>
      <c r="AAB42" s="478"/>
      <c r="AAC42" s="478"/>
      <c r="AAD42" s="478"/>
      <c r="AAE42" s="478"/>
      <c r="AAF42" s="478"/>
      <c r="AAG42" s="478"/>
      <c r="AAH42" s="478"/>
      <c r="AAI42" s="478"/>
      <c r="AAJ42" s="478"/>
      <c r="AAK42" s="478"/>
      <c r="AAL42" s="478"/>
      <c r="AAM42" s="478"/>
      <c r="AAN42" s="478"/>
      <c r="AAO42" s="478"/>
      <c r="AAP42" s="478"/>
      <c r="AAQ42" s="478"/>
      <c r="AAR42" s="478"/>
      <c r="AAS42" s="478"/>
      <c r="AAT42" s="478"/>
      <c r="AAU42" s="478"/>
      <c r="AAV42" s="478"/>
      <c r="AAW42" s="478"/>
      <c r="AAX42" s="478"/>
      <c r="AAY42" s="478"/>
      <c r="AAZ42" s="478"/>
      <c r="ABA42" s="478"/>
      <c r="ABB42" s="478"/>
      <c r="ABC42" s="478"/>
      <c r="ABD42" s="478"/>
      <c r="ABE42" s="478"/>
      <c r="ABF42" s="478"/>
      <c r="ABG42" s="478"/>
      <c r="ABH42" s="478"/>
      <c r="ABI42" s="478"/>
      <c r="ABJ42" s="478"/>
      <c r="ABK42" s="478"/>
      <c r="ABL42" s="478"/>
      <c r="ABM42" s="478"/>
      <c r="ABN42" s="478"/>
      <c r="ABO42" s="478"/>
      <c r="ABP42" s="478"/>
      <c r="ABQ42" s="478"/>
      <c r="ABR42" s="478"/>
      <c r="ABS42" s="478"/>
      <c r="ABT42" s="478"/>
      <c r="ABU42" s="478"/>
      <c r="ABV42" s="478"/>
      <c r="ABW42" s="478"/>
      <c r="ABX42" s="478"/>
      <c r="ABY42" s="478"/>
      <c r="ABZ42" s="478"/>
      <c r="ACA42" s="478"/>
      <c r="ACB42" s="478"/>
      <c r="ACC42" s="478"/>
      <c r="ACD42" s="478"/>
      <c r="ACE42" s="478"/>
      <c r="ACF42" s="478"/>
      <c r="ACG42" s="478"/>
      <c r="ACH42" s="478"/>
      <c r="ACI42" s="478"/>
      <c r="ACJ42" s="478"/>
      <c r="ACK42" s="478"/>
      <c r="ACL42" s="478"/>
      <c r="ACM42" s="478"/>
      <c r="ACN42" s="478"/>
      <c r="ACO42" s="478"/>
      <c r="ACP42" s="478"/>
      <c r="ACQ42" s="478"/>
      <c r="ACR42" s="478"/>
      <c r="ACS42" s="478"/>
      <c r="ACT42" s="478"/>
      <c r="ACU42" s="478"/>
      <c r="ACV42" s="478"/>
      <c r="ACW42" s="478"/>
      <c r="ACX42" s="478"/>
      <c r="ACY42" s="478"/>
      <c r="ACZ42" s="478"/>
      <c r="ADA42" s="478"/>
      <c r="ADB42" s="478"/>
      <c r="ADC42" s="478"/>
      <c r="ADD42" s="478"/>
      <c r="ADE42" s="478"/>
      <c r="ADF42" s="478"/>
      <c r="ADG42" s="478"/>
      <c r="ADH42" s="478"/>
      <c r="ADI42" s="478"/>
      <c r="ADJ42" s="478"/>
      <c r="ADK42" s="478"/>
      <c r="ADL42" s="478"/>
      <c r="ADM42" s="478"/>
      <c r="ADN42" s="478"/>
      <c r="ADO42" s="478"/>
      <c r="ADP42" s="478"/>
      <c r="ADQ42" s="478"/>
      <c r="ADR42" s="478"/>
      <c r="ADS42" s="478"/>
      <c r="ADT42" s="478"/>
      <c r="ADU42" s="478"/>
      <c r="ADV42" s="478"/>
      <c r="ADW42" s="478"/>
      <c r="ADX42" s="478"/>
      <c r="ADY42" s="478"/>
      <c r="ADZ42" s="478"/>
      <c r="AEA42" s="478"/>
      <c r="AEB42" s="478"/>
      <c r="AEC42" s="478"/>
      <c r="AED42" s="478"/>
      <c r="AEE42" s="478"/>
      <c r="AEF42" s="478"/>
      <c r="AEG42" s="478"/>
      <c r="AEH42" s="478"/>
      <c r="AEI42" s="478"/>
      <c r="AEJ42" s="478"/>
      <c r="AEK42" s="478"/>
      <c r="AEL42" s="478"/>
      <c r="AEM42" s="478"/>
      <c r="AEN42" s="478"/>
      <c r="AEO42" s="478"/>
      <c r="AEP42" s="478"/>
      <c r="AEQ42" s="478"/>
      <c r="AER42" s="478"/>
      <c r="AES42" s="478"/>
      <c r="AET42" s="478"/>
      <c r="AEU42" s="478"/>
      <c r="AEV42" s="478"/>
      <c r="AEW42" s="478"/>
      <c r="AEX42" s="478"/>
      <c r="AEY42" s="478"/>
      <c r="AEZ42" s="478"/>
      <c r="AFA42" s="478"/>
      <c r="AFB42" s="478"/>
      <c r="AFC42" s="478"/>
      <c r="AFD42" s="478"/>
      <c r="AFE42" s="478"/>
      <c r="AFF42" s="478"/>
      <c r="AFG42" s="478"/>
      <c r="AFH42" s="478"/>
      <c r="AFI42" s="478"/>
      <c r="AFJ42" s="478"/>
      <c r="AFK42" s="478"/>
      <c r="AFL42" s="478"/>
      <c r="AFM42" s="478"/>
      <c r="AFN42" s="478"/>
      <c r="AFO42" s="478"/>
      <c r="AFP42" s="478"/>
      <c r="AFQ42" s="478"/>
      <c r="AFR42" s="478"/>
      <c r="AFS42" s="478"/>
      <c r="AFT42" s="478"/>
      <c r="AFU42" s="478"/>
      <c r="AFV42" s="478"/>
      <c r="AFW42" s="478"/>
      <c r="AFX42" s="478"/>
      <c r="AFY42" s="478"/>
      <c r="AFZ42" s="478"/>
      <c r="AGA42" s="478"/>
      <c r="AGB42" s="478"/>
      <c r="AGC42" s="478"/>
      <c r="AGD42" s="478"/>
      <c r="AGE42" s="478"/>
      <c r="AGF42" s="478"/>
      <c r="AGG42" s="478"/>
      <c r="AGH42" s="478"/>
      <c r="AGI42" s="478"/>
      <c r="AGJ42" s="478"/>
      <c r="AGK42" s="478"/>
      <c r="AGL42" s="478"/>
      <c r="AGM42" s="478"/>
      <c r="AGN42" s="478"/>
      <c r="AGO42" s="478"/>
      <c r="AGP42" s="478"/>
      <c r="AGQ42" s="478"/>
      <c r="AGR42" s="478"/>
      <c r="AGS42" s="478"/>
      <c r="AGT42" s="478"/>
      <c r="AGU42" s="478"/>
      <c r="AGV42" s="478"/>
      <c r="AGW42" s="478"/>
      <c r="AGX42" s="478"/>
      <c r="AGY42" s="478"/>
      <c r="AGZ42" s="478"/>
      <c r="AHA42" s="478"/>
      <c r="AHB42" s="478"/>
      <c r="AHC42" s="478"/>
      <c r="AHD42" s="478"/>
      <c r="AHE42" s="478"/>
      <c r="AHF42" s="478"/>
      <c r="AHG42" s="478"/>
      <c r="AHH42" s="478"/>
      <c r="AHI42" s="478"/>
      <c r="AHJ42" s="478"/>
      <c r="AHK42" s="478"/>
      <c r="AHL42" s="478"/>
      <c r="AHM42" s="478"/>
      <c r="AHN42" s="478"/>
      <c r="AHO42" s="478"/>
      <c r="AHP42" s="478"/>
      <c r="AHQ42" s="478"/>
      <c r="AHR42" s="478"/>
      <c r="AHS42" s="478"/>
      <c r="AHT42" s="478"/>
      <c r="AHU42" s="478"/>
      <c r="AHV42" s="478"/>
      <c r="AHW42" s="478"/>
      <c r="AHX42" s="478"/>
      <c r="AHY42" s="478"/>
      <c r="AHZ42" s="478"/>
      <c r="AIA42" s="478"/>
      <c r="AIB42" s="478"/>
      <c r="AIC42" s="478"/>
      <c r="AID42" s="478"/>
      <c r="AIE42" s="478"/>
      <c r="AIF42" s="478"/>
      <c r="AIG42" s="478"/>
      <c r="AIH42" s="478"/>
      <c r="AII42" s="478"/>
      <c r="AIJ42" s="478"/>
      <c r="AIK42" s="478"/>
      <c r="AIL42" s="478"/>
      <c r="AIM42" s="478"/>
      <c r="AIN42" s="478"/>
      <c r="AIO42" s="478"/>
      <c r="AIP42" s="478"/>
      <c r="AIQ42" s="478"/>
      <c r="AIR42" s="478"/>
      <c r="AIS42" s="478"/>
      <c r="AIT42" s="478"/>
      <c r="AIU42" s="478"/>
      <c r="AIV42" s="478"/>
      <c r="AIW42" s="478"/>
      <c r="AIX42" s="478"/>
      <c r="AIY42" s="478"/>
      <c r="AIZ42" s="478"/>
      <c r="AJA42" s="478"/>
      <c r="AJB42" s="478"/>
      <c r="AJC42" s="478"/>
      <c r="AJD42" s="478"/>
      <c r="AJE42" s="478"/>
      <c r="AJF42" s="478"/>
      <c r="AJG42" s="478"/>
      <c r="AJH42" s="478"/>
      <c r="AJI42" s="478"/>
      <c r="AJJ42" s="478"/>
      <c r="AJK42" s="478"/>
      <c r="AJL42" s="478"/>
      <c r="AJM42" s="478"/>
      <c r="AJN42" s="478"/>
      <c r="AJO42" s="478"/>
      <c r="AJP42" s="478"/>
      <c r="AJQ42" s="478"/>
      <c r="AJR42" s="478"/>
      <c r="AJS42" s="478"/>
      <c r="AJT42" s="478"/>
      <c r="AJU42" s="478"/>
      <c r="AJV42" s="478"/>
      <c r="AJW42" s="478"/>
      <c r="AJX42" s="478"/>
      <c r="AJY42" s="478"/>
      <c r="AJZ42" s="478"/>
      <c r="AKA42" s="478"/>
      <c r="AKB42" s="478"/>
      <c r="AKC42" s="478"/>
      <c r="AKD42" s="478"/>
      <c r="AKE42" s="478"/>
      <c r="AKF42" s="478"/>
      <c r="AKG42" s="478"/>
      <c r="AKH42" s="478"/>
      <c r="AKI42" s="478"/>
      <c r="AKJ42" s="478"/>
      <c r="AKK42" s="478"/>
      <c r="AKL42" s="478"/>
      <c r="AKM42" s="478"/>
      <c r="AKN42" s="478"/>
      <c r="AKO42" s="478"/>
      <c r="AKP42" s="478"/>
      <c r="AKQ42" s="478"/>
      <c r="AKR42" s="478"/>
      <c r="AKS42" s="478"/>
      <c r="AKT42" s="478"/>
      <c r="AKU42" s="478"/>
      <c r="AKV42" s="478"/>
      <c r="AKW42" s="478"/>
      <c r="AKX42" s="478"/>
      <c r="AKY42" s="478"/>
      <c r="AKZ42" s="478"/>
      <c r="ALA42" s="478"/>
      <c r="ALB42" s="478"/>
      <c r="ALC42" s="478"/>
      <c r="ALD42" s="478"/>
      <c r="ALE42" s="478"/>
      <c r="ALF42" s="478"/>
      <c r="ALG42" s="478"/>
      <c r="ALH42" s="478"/>
      <c r="ALI42" s="478"/>
      <c r="ALJ42" s="478"/>
      <c r="ALK42" s="478"/>
      <c r="ALL42" s="478"/>
      <c r="ALM42" s="478"/>
      <c r="ALN42" s="478"/>
      <c r="ALO42" s="478"/>
      <c r="ALP42" s="478"/>
      <c r="ALQ42" s="478"/>
      <c r="ALR42" s="478"/>
      <c r="ALS42" s="478"/>
      <c r="ALT42" s="478"/>
      <c r="ALU42" s="478"/>
      <c r="ALV42" s="478"/>
      <c r="ALW42" s="478"/>
      <c r="ALX42" s="478"/>
      <c r="ALY42" s="478"/>
      <c r="ALZ42" s="478"/>
      <c r="AMA42" s="478"/>
      <c r="AMB42" s="478"/>
      <c r="AMC42" s="478"/>
      <c r="AMD42" s="478"/>
      <c r="AME42" s="478"/>
      <c r="AMF42" s="478"/>
      <c r="AMG42" s="478"/>
      <c r="AMH42" s="478"/>
      <c r="AMI42" s="478"/>
      <c r="AMJ42" s="478"/>
      <c r="AMK42" s="478"/>
      <c r="AML42" s="478"/>
      <c r="AMM42" s="478"/>
      <c r="AMN42" s="478"/>
      <c r="AMO42" s="478"/>
      <c r="AMP42" s="478"/>
      <c r="AMQ42" s="478"/>
      <c r="AMR42" s="478"/>
      <c r="AMS42" s="478"/>
      <c r="AMT42" s="478"/>
      <c r="AMU42" s="478"/>
      <c r="AMV42" s="478"/>
      <c r="AMW42" s="478"/>
      <c r="AMX42" s="478"/>
      <c r="AMY42" s="478"/>
      <c r="AMZ42" s="478"/>
      <c r="ANA42" s="478"/>
      <c r="ANB42" s="478"/>
      <c r="ANC42" s="478"/>
      <c r="AND42" s="478"/>
      <c r="ANE42" s="478"/>
      <c r="ANF42" s="478"/>
      <c r="ANG42" s="478"/>
      <c r="ANH42" s="478"/>
      <c r="ANI42" s="478"/>
      <c r="ANJ42" s="478"/>
      <c r="ANK42" s="478"/>
      <c r="ANL42" s="478"/>
      <c r="ANM42" s="478"/>
      <c r="ANN42" s="478"/>
      <c r="ANO42" s="478"/>
      <c r="ANP42" s="478"/>
      <c r="ANQ42" s="478"/>
      <c r="ANR42" s="478"/>
      <c r="ANS42" s="478"/>
      <c r="ANT42" s="478"/>
      <c r="ANU42" s="478"/>
      <c r="ANV42" s="478"/>
      <c r="ANW42" s="478"/>
      <c r="ANX42" s="478"/>
      <c r="ANY42" s="478"/>
      <c r="ANZ42" s="478"/>
      <c r="AOA42" s="478"/>
      <c r="AOB42" s="478"/>
      <c r="AOC42" s="478"/>
      <c r="AOD42" s="478"/>
      <c r="AOE42" s="478"/>
      <c r="AOF42" s="478"/>
      <c r="AOG42" s="478"/>
      <c r="AOH42" s="478"/>
      <c r="AOI42" s="478"/>
      <c r="AOJ42" s="478"/>
      <c r="AOK42" s="478"/>
      <c r="AOL42" s="478"/>
      <c r="AOM42" s="478"/>
      <c r="AON42" s="478"/>
      <c r="AOO42" s="478"/>
      <c r="AOP42" s="478"/>
      <c r="AOQ42" s="478"/>
      <c r="AOR42" s="478"/>
      <c r="AOS42" s="478"/>
      <c r="AOT42" s="478"/>
      <c r="AOU42" s="478"/>
      <c r="AOV42" s="478"/>
      <c r="AOW42" s="478"/>
      <c r="AOX42" s="478"/>
      <c r="AOY42" s="478"/>
      <c r="AOZ42" s="478"/>
      <c r="APA42" s="478"/>
      <c r="APB42" s="478"/>
      <c r="APC42" s="478"/>
      <c r="APD42" s="478"/>
      <c r="APE42" s="478"/>
      <c r="APF42" s="478"/>
      <c r="APG42" s="478"/>
      <c r="APH42" s="478"/>
      <c r="API42" s="478"/>
      <c r="APJ42" s="478"/>
      <c r="APK42" s="478"/>
      <c r="APL42" s="478"/>
      <c r="APM42" s="478"/>
      <c r="APN42" s="478"/>
      <c r="APO42" s="478"/>
      <c r="APP42" s="478"/>
      <c r="APQ42" s="478"/>
      <c r="APR42" s="478"/>
      <c r="APS42" s="478"/>
      <c r="APT42" s="478"/>
      <c r="APU42" s="478"/>
      <c r="APV42" s="478"/>
      <c r="APW42" s="478"/>
      <c r="APX42" s="478"/>
      <c r="APY42" s="478"/>
      <c r="APZ42" s="478"/>
      <c r="AQA42" s="478"/>
      <c r="AQB42" s="478"/>
      <c r="AQC42" s="478"/>
      <c r="AQD42" s="478"/>
      <c r="AQE42" s="478"/>
      <c r="AQF42" s="478"/>
      <c r="AQG42" s="478"/>
      <c r="AQH42" s="478"/>
      <c r="AQI42" s="478"/>
      <c r="AQJ42" s="478"/>
      <c r="AQK42" s="478"/>
      <c r="AQL42" s="478"/>
      <c r="AQM42" s="478"/>
      <c r="AQN42" s="478"/>
      <c r="AQO42" s="478"/>
      <c r="AQP42" s="478"/>
      <c r="AQQ42" s="478"/>
      <c r="AQR42" s="478"/>
      <c r="AQS42" s="478"/>
      <c r="AQT42" s="478"/>
      <c r="AQU42" s="478"/>
      <c r="AQV42" s="478"/>
      <c r="AQW42" s="478"/>
      <c r="AQX42" s="478"/>
      <c r="AQY42" s="478"/>
      <c r="AQZ42" s="478"/>
      <c r="ARA42" s="478"/>
      <c r="ARB42" s="478"/>
      <c r="ARC42" s="478"/>
      <c r="ARD42" s="478"/>
      <c r="ARE42" s="478"/>
      <c r="ARF42" s="478"/>
      <c r="ARG42" s="478"/>
      <c r="ARH42" s="478"/>
      <c r="ARI42" s="478"/>
      <c r="ARJ42" s="478"/>
      <c r="ARK42" s="478"/>
      <c r="ARL42" s="478"/>
      <c r="ARM42" s="478"/>
      <c r="ARN42" s="478"/>
      <c r="ARO42" s="478"/>
      <c r="ARP42" s="478"/>
      <c r="ARQ42" s="478"/>
      <c r="ARR42" s="478"/>
      <c r="ARS42" s="478"/>
      <c r="ART42" s="478"/>
      <c r="ARU42" s="478"/>
      <c r="ARV42" s="478"/>
      <c r="ARW42" s="478"/>
      <c r="ARX42" s="478"/>
      <c r="ARY42" s="478"/>
      <c r="ARZ42" s="478"/>
      <c r="ASA42" s="478"/>
      <c r="ASB42" s="478"/>
      <c r="ASC42" s="478"/>
      <c r="ASD42" s="478"/>
      <c r="ASE42" s="478"/>
      <c r="ASF42" s="478"/>
      <c r="ASG42" s="478"/>
      <c r="ASH42" s="478"/>
      <c r="ASI42" s="478"/>
      <c r="ASJ42" s="478"/>
      <c r="ASK42" s="478"/>
      <c r="ASL42" s="478"/>
      <c r="ASM42" s="478"/>
      <c r="ASN42" s="478"/>
      <c r="ASO42" s="478"/>
      <c r="ASP42" s="478"/>
      <c r="ASQ42" s="478"/>
      <c r="ASR42" s="478"/>
      <c r="ASS42" s="478"/>
      <c r="AST42" s="478"/>
      <c r="ASU42" s="478"/>
      <c r="ASV42" s="478"/>
      <c r="ASW42" s="478"/>
      <c r="ASX42" s="478"/>
      <c r="ASY42" s="478"/>
      <c r="ASZ42" s="478"/>
      <c r="ATA42" s="478"/>
      <c r="ATB42" s="478"/>
      <c r="ATC42" s="478"/>
      <c r="ATD42" s="478"/>
      <c r="ATE42" s="478"/>
      <c r="ATF42" s="478"/>
      <c r="ATG42" s="478"/>
      <c r="ATH42" s="478"/>
      <c r="ATI42" s="478"/>
      <c r="ATJ42" s="478"/>
      <c r="ATK42" s="478"/>
      <c r="ATL42" s="478"/>
      <c r="ATM42" s="478"/>
      <c r="ATN42" s="478"/>
      <c r="ATO42" s="478"/>
      <c r="ATP42" s="478"/>
      <c r="ATQ42" s="478"/>
      <c r="ATR42" s="478"/>
      <c r="ATS42" s="478"/>
      <c r="ATT42" s="478"/>
      <c r="ATU42" s="478"/>
      <c r="ATV42" s="478"/>
      <c r="ATW42" s="478"/>
      <c r="ATX42" s="478"/>
      <c r="ATY42" s="478"/>
      <c r="ATZ42" s="478"/>
      <c r="AUA42" s="478"/>
      <c r="AUB42" s="478"/>
      <c r="AUC42" s="478"/>
      <c r="AUD42" s="478"/>
      <c r="AUE42" s="478"/>
      <c r="AUF42" s="478"/>
      <c r="AUG42" s="478"/>
      <c r="AUH42" s="478"/>
      <c r="AUI42" s="478"/>
      <c r="AUJ42" s="478"/>
      <c r="AUK42" s="478"/>
      <c r="AUL42" s="478"/>
      <c r="AUM42" s="478"/>
      <c r="AUN42" s="478"/>
      <c r="AUO42" s="478"/>
      <c r="AUP42" s="478"/>
      <c r="AUQ42" s="478"/>
      <c r="AUR42" s="478"/>
      <c r="AUS42" s="478"/>
      <c r="AUT42" s="478"/>
      <c r="AUU42" s="478"/>
      <c r="AUV42" s="478"/>
      <c r="AUW42" s="478"/>
      <c r="AUX42" s="478"/>
      <c r="AUY42" s="478"/>
      <c r="AUZ42" s="478"/>
      <c r="AVA42" s="478"/>
      <c r="AVB42" s="478"/>
      <c r="AVC42" s="478"/>
      <c r="AVD42" s="478"/>
      <c r="AVE42" s="478"/>
      <c r="AVF42" s="478"/>
      <c r="AVG42" s="478"/>
      <c r="AVH42" s="478"/>
      <c r="AVI42" s="478"/>
      <c r="AVJ42" s="478"/>
      <c r="AVK42" s="478"/>
      <c r="AVL42" s="478"/>
      <c r="AVM42" s="478"/>
      <c r="AVN42" s="478"/>
      <c r="AVO42" s="478"/>
      <c r="AVP42" s="478"/>
      <c r="AVQ42" s="478"/>
      <c r="AVR42" s="478"/>
      <c r="AVS42" s="478"/>
      <c r="AVT42" s="478"/>
      <c r="AVU42" s="478"/>
      <c r="AVV42" s="478"/>
      <c r="AVW42" s="478"/>
      <c r="AVX42" s="478"/>
      <c r="AVY42" s="478"/>
      <c r="AVZ42" s="478"/>
      <c r="AWA42" s="478"/>
      <c r="AWB42" s="478"/>
      <c r="AWC42" s="478"/>
      <c r="AWD42" s="478"/>
      <c r="AWE42" s="478"/>
      <c r="AWF42" s="478"/>
      <c r="AWG42" s="478"/>
      <c r="AWH42" s="478"/>
      <c r="AWI42" s="478"/>
      <c r="AWJ42" s="478"/>
      <c r="AWK42" s="478"/>
      <c r="AWL42" s="478"/>
      <c r="AWM42" s="478"/>
      <c r="AWN42" s="478"/>
      <c r="AWO42" s="478"/>
      <c r="AWP42" s="478"/>
      <c r="AWQ42" s="478"/>
      <c r="AWR42" s="478"/>
      <c r="AWS42" s="478"/>
      <c r="AWT42" s="478"/>
      <c r="AWU42" s="478"/>
      <c r="AWV42" s="478"/>
      <c r="AWW42" s="478"/>
      <c r="AWX42" s="478"/>
      <c r="AWY42" s="478"/>
      <c r="AWZ42" s="478"/>
      <c r="AXA42" s="478"/>
      <c r="AXB42" s="478"/>
      <c r="AXC42" s="478"/>
      <c r="AXD42" s="478"/>
      <c r="AXE42" s="478"/>
      <c r="AXF42" s="478"/>
      <c r="AXG42" s="478"/>
      <c r="AXH42" s="478"/>
      <c r="AXI42" s="478"/>
      <c r="AXJ42" s="478"/>
      <c r="AXK42" s="478"/>
      <c r="AXL42" s="478"/>
      <c r="AXM42" s="478"/>
      <c r="AXN42" s="478"/>
      <c r="AXO42" s="478"/>
      <c r="AXP42" s="478"/>
      <c r="AXQ42" s="478"/>
      <c r="AXR42" s="478"/>
      <c r="AXS42" s="478"/>
      <c r="AXT42" s="478"/>
      <c r="AXU42" s="478"/>
      <c r="AXV42" s="478"/>
      <c r="AXW42" s="478"/>
      <c r="AXX42" s="478"/>
      <c r="AXY42" s="478"/>
      <c r="AXZ42" s="478"/>
      <c r="AYA42" s="478"/>
      <c r="AYB42" s="478"/>
      <c r="AYC42" s="478"/>
      <c r="AYD42" s="478"/>
      <c r="AYE42" s="478"/>
      <c r="AYF42" s="478"/>
      <c r="AYG42" s="478"/>
      <c r="AYH42" s="478"/>
      <c r="AYI42" s="478"/>
      <c r="AYJ42" s="478"/>
      <c r="AYK42" s="478"/>
      <c r="AYL42" s="478"/>
      <c r="AYM42" s="478"/>
      <c r="AYN42" s="478"/>
      <c r="AYO42" s="478"/>
      <c r="AYP42" s="478"/>
      <c r="AYQ42" s="478"/>
      <c r="AYR42" s="478"/>
      <c r="AYS42" s="478"/>
      <c r="AYT42" s="478"/>
      <c r="AYU42" s="478"/>
      <c r="AYV42" s="478"/>
      <c r="AYW42" s="478"/>
      <c r="AYX42" s="478"/>
      <c r="AYY42" s="478"/>
      <c r="AYZ42" s="478"/>
      <c r="AZA42" s="478"/>
      <c r="AZB42" s="478"/>
      <c r="AZC42" s="478"/>
      <c r="AZD42" s="478"/>
      <c r="AZE42" s="478"/>
      <c r="AZF42" s="478"/>
      <c r="AZG42" s="478"/>
      <c r="AZH42" s="478"/>
      <c r="AZI42" s="478"/>
      <c r="AZJ42" s="478"/>
      <c r="AZK42" s="478"/>
      <c r="AZL42" s="478"/>
      <c r="AZM42" s="478"/>
      <c r="AZN42" s="478"/>
      <c r="AZO42" s="478"/>
      <c r="AZP42" s="478"/>
      <c r="AZQ42" s="478"/>
      <c r="AZR42" s="478"/>
      <c r="AZS42" s="478"/>
      <c r="AZT42" s="478"/>
      <c r="AZU42" s="478"/>
      <c r="AZV42" s="478"/>
      <c r="AZW42" s="478"/>
      <c r="AZX42" s="478"/>
      <c r="AZY42" s="478"/>
      <c r="AZZ42" s="478"/>
      <c r="BAA42" s="478"/>
      <c r="BAB42" s="478"/>
      <c r="BAC42" s="478"/>
      <c r="BAD42" s="478"/>
      <c r="BAE42" s="478"/>
      <c r="BAF42" s="478"/>
      <c r="BAG42" s="478"/>
      <c r="BAH42" s="478"/>
      <c r="BAI42" s="478"/>
      <c r="BAJ42" s="478"/>
      <c r="BAK42" s="478"/>
      <c r="BAL42" s="478"/>
      <c r="BAM42" s="478"/>
      <c r="BAN42" s="478"/>
      <c r="BAO42" s="478"/>
      <c r="BAP42" s="478"/>
      <c r="BAQ42" s="478"/>
      <c r="BAR42" s="478"/>
      <c r="BAS42" s="478"/>
      <c r="BAT42" s="478"/>
      <c r="BAU42" s="478"/>
      <c r="BAV42" s="478"/>
      <c r="BAW42" s="478"/>
      <c r="BAX42" s="478"/>
      <c r="BAY42" s="478"/>
      <c r="BAZ42" s="478"/>
      <c r="BBA42" s="478"/>
      <c r="BBB42" s="478"/>
      <c r="BBC42" s="478"/>
      <c r="BBD42" s="478"/>
      <c r="BBE42" s="478"/>
      <c r="BBF42" s="478"/>
      <c r="BBG42" s="478"/>
      <c r="BBH42" s="478"/>
      <c r="BBI42" s="478"/>
      <c r="BBJ42" s="478"/>
      <c r="BBK42" s="478"/>
      <c r="BBL42" s="478"/>
      <c r="BBM42" s="478"/>
      <c r="BBN42" s="478"/>
      <c r="BBO42" s="478"/>
      <c r="BBP42" s="478"/>
      <c r="BBQ42" s="478"/>
      <c r="BBR42" s="478"/>
      <c r="BBS42" s="478"/>
      <c r="BBT42" s="478"/>
      <c r="BBU42" s="478"/>
      <c r="BBV42" s="478"/>
      <c r="BBW42" s="478"/>
      <c r="BBX42" s="478"/>
      <c r="BBY42" s="478"/>
      <c r="BBZ42" s="478"/>
      <c r="BCA42" s="478"/>
      <c r="BCB42" s="478"/>
      <c r="BCC42" s="478"/>
      <c r="BCD42" s="478"/>
      <c r="BCE42" s="478"/>
      <c r="BCF42" s="478"/>
      <c r="BCG42" s="478"/>
      <c r="BCH42" s="478"/>
      <c r="BCI42" s="478"/>
      <c r="BCJ42" s="478"/>
      <c r="BCK42" s="478"/>
      <c r="BCL42" s="478"/>
      <c r="BCM42" s="478"/>
      <c r="BCN42" s="478"/>
      <c r="BCO42" s="478"/>
      <c r="BCP42" s="478"/>
      <c r="BCQ42" s="478"/>
      <c r="BCR42" s="478"/>
      <c r="BCS42" s="478"/>
      <c r="BCT42" s="478"/>
      <c r="BCU42" s="478"/>
      <c r="BCV42" s="478"/>
      <c r="BCW42" s="478"/>
      <c r="BCX42" s="478"/>
      <c r="BCY42" s="478"/>
      <c r="BCZ42" s="478"/>
      <c r="BDA42" s="478"/>
      <c r="BDB42" s="478"/>
      <c r="BDC42" s="478"/>
      <c r="BDD42" s="478"/>
      <c r="BDE42" s="478"/>
      <c r="BDF42" s="478"/>
      <c r="BDG42" s="478"/>
      <c r="BDH42" s="478"/>
      <c r="BDI42" s="478"/>
      <c r="BDJ42" s="478"/>
      <c r="BDK42" s="478"/>
      <c r="BDL42" s="478"/>
      <c r="BDM42" s="478"/>
      <c r="BDN42" s="478"/>
      <c r="BDO42" s="478"/>
      <c r="BDP42" s="478"/>
      <c r="BDQ42" s="478"/>
      <c r="BDR42" s="478"/>
      <c r="BDS42" s="478"/>
      <c r="BDT42" s="478"/>
      <c r="BDU42" s="478"/>
      <c r="BDV42" s="478"/>
      <c r="BDW42" s="478"/>
      <c r="BDX42" s="478"/>
      <c r="BDY42" s="478"/>
      <c r="BDZ42" s="478"/>
      <c r="BEA42" s="478"/>
      <c r="BEB42" s="478"/>
      <c r="BEC42" s="478"/>
      <c r="BED42" s="478"/>
      <c r="BEE42" s="478"/>
      <c r="BEF42" s="478"/>
      <c r="BEG42" s="478"/>
      <c r="BEH42" s="478"/>
      <c r="BEI42" s="478"/>
      <c r="BEJ42" s="478"/>
      <c r="BEK42" s="478"/>
      <c r="BEL42" s="478"/>
      <c r="BEM42" s="478"/>
      <c r="BEN42" s="478"/>
      <c r="BEO42" s="478"/>
      <c r="BEP42" s="478"/>
      <c r="BEQ42" s="478"/>
      <c r="BER42" s="478"/>
      <c r="BES42" s="478"/>
      <c r="BET42" s="478"/>
      <c r="BEU42" s="478"/>
      <c r="BEV42" s="478"/>
      <c r="BEW42" s="478"/>
      <c r="BEX42" s="478"/>
      <c r="BEY42" s="478"/>
      <c r="BEZ42" s="478"/>
      <c r="BFA42" s="478"/>
      <c r="BFB42" s="478"/>
      <c r="BFC42" s="478"/>
      <c r="BFD42" s="478"/>
      <c r="BFE42" s="478"/>
      <c r="BFF42" s="478"/>
      <c r="BFG42" s="478"/>
      <c r="BFH42" s="478"/>
      <c r="BFI42" s="478"/>
      <c r="BFJ42" s="478"/>
      <c r="BFK42" s="478"/>
      <c r="BFL42" s="478"/>
      <c r="BFM42" s="478"/>
      <c r="BFN42" s="478"/>
      <c r="BFO42" s="478"/>
      <c r="BFP42" s="478"/>
      <c r="BFQ42" s="478"/>
      <c r="BFR42" s="478"/>
      <c r="BFS42" s="478"/>
      <c r="BFT42" s="478"/>
      <c r="BFU42" s="478"/>
      <c r="BFV42" s="478"/>
      <c r="BFW42" s="478"/>
      <c r="BFX42" s="478"/>
      <c r="BFY42" s="478"/>
      <c r="BFZ42" s="478"/>
      <c r="BGA42" s="478"/>
      <c r="BGB42" s="478"/>
      <c r="BGC42" s="478"/>
      <c r="BGD42" s="478"/>
      <c r="BGE42" s="478"/>
      <c r="BGF42" s="478"/>
      <c r="BGG42" s="478"/>
      <c r="BGH42" s="478"/>
      <c r="BGI42" s="478"/>
      <c r="BGJ42" s="478"/>
      <c r="BGK42" s="478"/>
      <c r="BGL42" s="478"/>
      <c r="BGM42" s="478"/>
      <c r="BGN42" s="478"/>
      <c r="BGO42" s="478"/>
      <c r="BGP42" s="478"/>
      <c r="BGQ42" s="478"/>
      <c r="BGR42" s="478"/>
      <c r="BGS42" s="478"/>
      <c r="BGT42" s="478"/>
      <c r="BGU42" s="478"/>
      <c r="BGV42" s="478"/>
      <c r="BGW42" s="478"/>
      <c r="BGX42" s="478"/>
      <c r="BGY42" s="478"/>
      <c r="BGZ42" s="478"/>
      <c r="BHA42" s="478"/>
      <c r="BHB42" s="478"/>
      <c r="BHC42" s="478"/>
      <c r="BHD42" s="478"/>
      <c r="BHE42" s="478"/>
      <c r="BHF42" s="478"/>
      <c r="BHG42" s="478"/>
      <c r="BHH42" s="478"/>
      <c r="BHI42" s="478"/>
      <c r="BHJ42" s="478"/>
      <c r="BHK42" s="478"/>
      <c r="BHL42" s="478"/>
      <c r="BHM42" s="478"/>
      <c r="BHN42" s="478"/>
      <c r="BHO42" s="478"/>
      <c r="BHP42" s="478"/>
      <c r="BHQ42" s="478"/>
      <c r="BHR42" s="478"/>
      <c r="BHS42" s="478"/>
      <c r="BHT42" s="478"/>
      <c r="BHU42" s="478"/>
      <c r="BHV42" s="478"/>
      <c r="BHW42" s="478"/>
      <c r="BHX42" s="478"/>
      <c r="BHY42" s="478"/>
      <c r="BHZ42" s="478"/>
      <c r="BIA42" s="478"/>
      <c r="BIB42" s="478"/>
      <c r="BIC42" s="478"/>
      <c r="BID42" s="478"/>
      <c r="BIE42" s="478"/>
      <c r="BIF42" s="478"/>
      <c r="BIG42" s="478"/>
      <c r="BIH42" s="478"/>
      <c r="BII42" s="478"/>
      <c r="BIJ42" s="478"/>
      <c r="BIK42" s="478"/>
      <c r="BIL42" s="478"/>
      <c r="BIM42" s="478"/>
      <c r="BIN42" s="478"/>
      <c r="BIO42" s="478"/>
      <c r="BIP42" s="478"/>
      <c r="BIQ42" s="478"/>
      <c r="BIR42" s="478"/>
      <c r="BIS42" s="478"/>
      <c r="BIT42" s="478"/>
      <c r="BIU42" s="478"/>
      <c r="BIV42" s="478"/>
      <c r="BIW42" s="478"/>
      <c r="BIX42" s="478"/>
      <c r="BIY42" s="478"/>
      <c r="BIZ42" s="478"/>
      <c r="BJA42" s="478"/>
      <c r="BJB42" s="478"/>
      <c r="BJC42" s="478"/>
      <c r="BJD42" s="478"/>
      <c r="BJE42" s="478"/>
      <c r="BJF42" s="478"/>
      <c r="BJG42" s="478"/>
      <c r="BJH42" s="478"/>
      <c r="BJI42" s="478"/>
      <c r="BJJ42" s="478"/>
      <c r="BJK42" s="478"/>
      <c r="BJL42" s="478"/>
      <c r="BJM42" s="478"/>
      <c r="BJN42" s="478"/>
      <c r="BJO42" s="478"/>
      <c r="BJP42" s="478"/>
      <c r="BJQ42" s="478"/>
      <c r="BJR42" s="478"/>
      <c r="BJS42" s="478"/>
      <c r="BJT42" s="478"/>
      <c r="BJU42" s="478"/>
      <c r="BJV42" s="478"/>
      <c r="BJW42" s="478"/>
      <c r="BJX42" s="478"/>
      <c r="BJY42" s="478"/>
      <c r="BJZ42" s="478"/>
      <c r="BKA42" s="478"/>
      <c r="BKB42" s="478"/>
      <c r="BKC42" s="478"/>
      <c r="BKD42" s="478"/>
      <c r="BKE42" s="478"/>
      <c r="BKF42" s="478"/>
      <c r="BKG42" s="478"/>
      <c r="BKH42" s="478"/>
      <c r="BKI42" s="478"/>
      <c r="BKJ42" s="478"/>
      <c r="BKK42" s="478"/>
      <c r="BKL42" s="478"/>
      <c r="BKM42" s="478"/>
      <c r="BKN42" s="478"/>
      <c r="BKO42" s="478"/>
      <c r="BKP42" s="478"/>
      <c r="BKQ42" s="478"/>
      <c r="BKR42" s="478"/>
      <c r="BKS42" s="478"/>
      <c r="BKT42" s="478"/>
      <c r="BKU42" s="478"/>
      <c r="BKV42" s="478"/>
      <c r="BKW42" s="478"/>
      <c r="BKX42" s="478"/>
      <c r="BKY42" s="478"/>
      <c r="BKZ42" s="478"/>
      <c r="BLA42" s="478"/>
      <c r="BLB42" s="478"/>
      <c r="BLC42" s="478"/>
      <c r="BLD42" s="478"/>
      <c r="BLE42" s="478"/>
      <c r="BLF42" s="478"/>
      <c r="BLG42" s="478"/>
      <c r="BLH42" s="478"/>
      <c r="BLI42" s="478"/>
      <c r="BLJ42" s="478"/>
      <c r="BLK42" s="478"/>
      <c r="BLL42" s="478"/>
      <c r="BLM42" s="478"/>
      <c r="BLN42" s="478"/>
      <c r="BLO42" s="478"/>
      <c r="BLP42" s="478"/>
      <c r="BLQ42" s="478"/>
      <c r="BLR42" s="478"/>
      <c r="BLS42" s="478"/>
      <c r="BLT42" s="478"/>
      <c r="BLU42" s="478"/>
      <c r="BLV42" s="478"/>
      <c r="BLW42" s="478"/>
      <c r="BLX42" s="478"/>
      <c r="BLY42" s="478"/>
      <c r="BLZ42" s="478"/>
      <c r="BMA42" s="478"/>
      <c r="BMB42" s="478"/>
      <c r="BMC42" s="478"/>
      <c r="BMD42" s="478"/>
      <c r="BME42" s="478"/>
      <c r="BMF42" s="478"/>
      <c r="BMG42" s="478"/>
      <c r="BMH42" s="478"/>
      <c r="BMI42" s="478"/>
      <c r="BMJ42" s="478"/>
      <c r="BMK42" s="478"/>
      <c r="BML42" s="478"/>
      <c r="BMM42" s="478"/>
      <c r="BMN42" s="478"/>
      <c r="BMO42" s="478"/>
      <c r="BMP42" s="478"/>
      <c r="BMQ42" s="478"/>
      <c r="BMR42" s="478"/>
      <c r="BMS42" s="478"/>
      <c r="BMT42" s="478"/>
      <c r="BMU42" s="478"/>
      <c r="BMV42" s="478"/>
      <c r="BMW42" s="478"/>
      <c r="BMX42" s="478"/>
      <c r="BMY42" s="478"/>
      <c r="BMZ42" s="478"/>
      <c r="BNA42" s="478"/>
      <c r="BNB42" s="478"/>
      <c r="BNC42" s="478"/>
      <c r="BND42" s="478"/>
      <c r="BNE42" s="478"/>
      <c r="BNF42" s="478"/>
      <c r="BNG42" s="478"/>
      <c r="BNH42" s="478"/>
      <c r="BNI42" s="478"/>
      <c r="BNJ42" s="478"/>
      <c r="BNK42" s="478"/>
      <c r="BNL42" s="478"/>
      <c r="BNM42" s="478"/>
      <c r="BNN42" s="478"/>
      <c r="BNO42" s="478"/>
      <c r="BNP42" s="478"/>
      <c r="BNQ42" s="478"/>
      <c r="BNR42" s="478"/>
      <c r="BNS42" s="478"/>
      <c r="BNT42" s="478"/>
      <c r="BNU42" s="478"/>
      <c r="BNV42" s="478"/>
      <c r="BNW42" s="478"/>
      <c r="BNX42" s="478"/>
      <c r="BNY42" s="478"/>
      <c r="BNZ42" s="478"/>
      <c r="BOA42" s="478"/>
      <c r="BOB42" s="478"/>
      <c r="BOC42" s="478"/>
      <c r="BOD42" s="478"/>
      <c r="BOE42" s="478"/>
      <c r="BOF42" s="478"/>
      <c r="BOG42" s="478"/>
      <c r="BOH42" s="478"/>
      <c r="BOI42" s="478"/>
      <c r="BOJ42" s="478"/>
      <c r="BOK42" s="478"/>
      <c r="BOL42" s="478"/>
      <c r="BOM42" s="478"/>
      <c r="BON42" s="478"/>
      <c r="BOO42" s="478"/>
      <c r="BOP42" s="478"/>
      <c r="BOQ42" s="478"/>
      <c r="BOR42" s="478"/>
      <c r="BOS42" s="478"/>
      <c r="BOT42" s="478"/>
      <c r="BOU42" s="478"/>
      <c r="BOV42" s="478"/>
      <c r="BOW42" s="478"/>
      <c r="BOX42" s="478"/>
      <c r="BOY42" s="478"/>
      <c r="BOZ42" s="478"/>
      <c r="BPA42" s="478"/>
      <c r="BPB42" s="478"/>
      <c r="BPC42" s="478"/>
      <c r="BPD42" s="478"/>
      <c r="BPE42" s="478"/>
      <c r="BPF42" s="478"/>
      <c r="BPG42" s="478"/>
      <c r="BPH42" s="478"/>
      <c r="BPI42" s="478"/>
      <c r="BPJ42" s="478"/>
      <c r="BPK42" s="478"/>
      <c r="BPL42" s="478"/>
      <c r="BPM42" s="478"/>
      <c r="BPN42" s="478"/>
      <c r="BPO42" s="478"/>
      <c r="BPP42" s="478"/>
      <c r="BPQ42" s="478"/>
      <c r="BPR42" s="478"/>
      <c r="BPS42" s="478"/>
      <c r="BPT42" s="478"/>
      <c r="BPU42" s="478"/>
      <c r="BPV42" s="478"/>
      <c r="BPW42" s="478"/>
      <c r="BPX42" s="478"/>
      <c r="BPY42" s="478"/>
      <c r="BPZ42" s="478"/>
      <c r="BQA42" s="478"/>
      <c r="BQB42" s="478"/>
      <c r="BQC42" s="478"/>
      <c r="BQD42" s="478"/>
      <c r="BQE42" s="478"/>
      <c r="BQF42" s="478"/>
      <c r="BQG42" s="478"/>
      <c r="BQH42" s="478"/>
      <c r="BQI42" s="478"/>
      <c r="BQJ42" s="478"/>
      <c r="BQK42" s="478"/>
      <c r="BQL42" s="478"/>
      <c r="BQM42" s="478"/>
      <c r="BQN42" s="478"/>
      <c r="BQO42" s="478"/>
      <c r="BQP42" s="478"/>
      <c r="BQQ42" s="478"/>
      <c r="BQR42" s="478"/>
      <c r="BQS42" s="478"/>
      <c r="BQT42" s="478"/>
      <c r="BQU42" s="478"/>
      <c r="BQV42" s="478"/>
      <c r="BQW42" s="478"/>
      <c r="BQX42" s="478"/>
      <c r="BQY42" s="478"/>
      <c r="BQZ42" s="478"/>
      <c r="BRA42" s="478"/>
      <c r="BRB42" s="478"/>
      <c r="BRC42" s="478"/>
      <c r="BRD42" s="478"/>
      <c r="BRE42" s="478"/>
      <c r="BRF42" s="478"/>
      <c r="BRG42" s="478"/>
      <c r="BRH42" s="478"/>
      <c r="BRI42" s="478"/>
      <c r="BRJ42" s="478"/>
      <c r="BRK42" s="478"/>
      <c r="BRL42" s="478"/>
      <c r="BRM42" s="478"/>
      <c r="BRN42" s="478"/>
      <c r="BRO42" s="478"/>
      <c r="BRP42" s="478"/>
      <c r="BRQ42" s="478"/>
      <c r="BRR42" s="478"/>
      <c r="BRS42" s="478"/>
      <c r="BRT42" s="478"/>
      <c r="BRU42" s="478"/>
      <c r="BRV42" s="478"/>
      <c r="BRW42" s="478"/>
      <c r="BRX42" s="478"/>
      <c r="BRY42" s="478"/>
      <c r="BRZ42" s="478"/>
      <c r="BSA42" s="478"/>
      <c r="BSB42" s="478"/>
      <c r="BSC42" s="478"/>
      <c r="BSD42" s="478"/>
      <c r="BSE42" s="478"/>
      <c r="BSF42" s="478"/>
      <c r="BSG42" s="478"/>
      <c r="BSH42" s="478"/>
      <c r="BSI42" s="478"/>
      <c r="BSJ42" s="478"/>
      <c r="BSK42" s="478"/>
      <c r="BSL42" s="478"/>
      <c r="BSM42" s="478"/>
      <c r="BSN42" s="478"/>
      <c r="BSO42" s="478"/>
      <c r="BSP42" s="478"/>
      <c r="BSQ42" s="478"/>
      <c r="BSR42" s="478"/>
      <c r="BSS42" s="478"/>
      <c r="BST42" s="478"/>
      <c r="BSU42" s="478"/>
      <c r="BSV42" s="478"/>
      <c r="BSW42" s="478"/>
      <c r="BSX42" s="478"/>
      <c r="BSY42" s="478"/>
      <c r="BSZ42" s="478"/>
      <c r="BTA42" s="478"/>
      <c r="BTB42" s="478"/>
      <c r="BTC42" s="478"/>
      <c r="BTD42" s="478"/>
      <c r="BTE42" s="478"/>
      <c r="BTF42" s="478"/>
      <c r="BTG42" s="478"/>
      <c r="BTH42" s="478"/>
      <c r="BTI42" s="478"/>
      <c r="BTJ42" s="478"/>
      <c r="BTK42" s="478"/>
      <c r="BTL42" s="478"/>
      <c r="BTM42" s="478"/>
      <c r="BTN42" s="478"/>
      <c r="BTO42" s="478"/>
      <c r="BTP42" s="478"/>
      <c r="BTQ42" s="478"/>
      <c r="BTR42" s="478"/>
      <c r="BTS42" s="478"/>
      <c r="BTT42" s="478"/>
      <c r="BTU42" s="478"/>
      <c r="BTV42" s="478"/>
      <c r="BTW42" s="478"/>
      <c r="BTX42" s="478"/>
      <c r="BTY42" s="478"/>
      <c r="BTZ42" s="478"/>
      <c r="BUA42" s="478"/>
      <c r="BUB42" s="478"/>
      <c r="BUC42" s="478"/>
      <c r="BUD42" s="478"/>
      <c r="BUE42" s="478"/>
      <c r="BUF42" s="478"/>
      <c r="BUG42" s="478"/>
      <c r="BUH42" s="478"/>
      <c r="BUI42" s="478"/>
      <c r="BUJ42" s="478"/>
      <c r="BUK42" s="478"/>
      <c r="BUL42" s="478"/>
      <c r="BUM42" s="478"/>
      <c r="BUN42" s="478"/>
      <c r="BUO42" s="478"/>
      <c r="BUP42" s="478"/>
      <c r="BUQ42" s="478"/>
      <c r="BUR42" s="478"/>
      <c r="BUS42" s="478"/>
      <c r="BUT42" s="478"/>
      <c r="BUU42" s="478"/>
      <c r="BUV42" s="478"/>
      <c r="BUW42" s="478"/>
      <c r="BUX42" s="478"/>
      <c r="BUY42" s="478"/>
      <c r="BUZ42" s="478"/>
      <c r="BVA42" s="478"/>
      <c r="BVB42" s="478"/>
      <c r="BVC42" s="478"/>
      <c r="BVD42" s="478"/>
      <c r="BVE42" s="478"/>
      <c r="BVF42" s="478"/>
      <c r="BVG42" s="478"/>
      <c r="BVH42" s="478"/>
      <c r="BVI42" s="478"/>
      <c r="BVJ42" s="478"/>
      <c r="BVK42" s="478"/>
      <c r="BVL42" s="478"/>
      <c r="BVM42" s="478"/>
      <c r="BVN42" s="478"/>
      <c r="BVO42" s="478"/>
      <c r="BVP42" s="478"/>
      <c r="BVQ42" s="478"/>
      <c r="BVR42" s="478"/>
      <c r="BVS42" s="478"/>
      <c r="BVT42" s="478"/>
      <c r="BVU42" s="478"/>
      <c r="BVV42" s="478"/>
      <c r="BVW42" s="478"/>
      <c r="BVX42" s="478"/>
      <c r="BVY42" s="478"/>
      <c r="BVZ42" s="478"/>
      <c r="BWA42" s="478"/>
      <c r="BWB42" s="478"/>
      <c r="BWC42" s="478"/>
      <c r="BWD42" s="478"/>
      <c r="BWE42" s="478"/>
      <c r="BWF42" s="478"/>
      <c r="BWG42" s="478"/>
      <c r="BWH42" s="478"/>
      <c r="BWI42" s="478"/>
      <c r="BWJ42" s="478"/>
      <c r="BWK42" s="478"/>
      <c r="BWL42" s="478"/>
      <c r="BWM42" s="478"/>
      <c r="BWN42" s="478"/>
      <c r="BWO42" s="478"/>
      <c r="BWP42" s="478"/>
      <c r="BWQ42" s="478"/>
      <c r="BWR42" s="478"/>
      <c r="BWS42" s="478"/>
      <c r="BWT42" s="478"/>
      <c r="BWU42" s="478"/>
      <c r="BWV42" s="478"/>
      <c r="BWW42" s="478"/>
      <c r="BWX42" s="478"/>
      <c r="BWY42" s="478"/>
      <c r="BWZ42" s="478"/>
      <c r="BXA42" s="478"/>
      <c r="BXB42" s="478"/>
      <c r="BXC42" s="478"/>
      <c r="BXD42" s="478"/>
      <c r="BXE42" s="478"/>
      <c r="BXF42" s="478"/>
      <c r="BXG42" s="478"/>
      <c r="BXH42" s="478"/>
      <c r="BXI42" s="478"/>
      <c r="BXJ42" s="478"/>
      <c r="BXK42" s="478"/>
      <c r="BXL42" s="478"/>
      <c r="BXM42" s="478"/>
      <c r="BXN42" s="478"/>
      <c r="BXO42" s="478"/>
      <c r="BXP42" s="478"/>
      <c r="BXQ42" s="478"/>
      <c r="BXR42" s="478"/>
      <c r="BXS42" s="478"/>
      <c r="BXT42" s="478"/>
      <c r="BXU42" s="478"/>
      <c r="BXV42" s="478"/>
      <c r="BXW42" s="478"/>
      <c r="BXX42" s="478"/>
      <c r="BXY42" s="478"/>
      <c r="BXZ42" s="478"/>
      <c r="BYA42" s="478"/>
      <c r="BYB42" s="478"/>
      <c r="BYC42" s="478"/>
      <c r="BYD42" s="478"/>
      <c r="BYE42" s="478"/>
      <c r="BYF42" s="478"/>
      <c r="BYG42" s="478"/>
      <c r="BYH42" s="478"/>
      <c r="BYI42" s="478"/>
      <c r="BYJ42" s="478"/>
      <c r="BYK42" s="478"/>
      <c r="BYL42" s="478"/>
      <c r="BYM42" s="478"/>
      <c r="BYN42" s="478"/>
      <c r="BYO42" s="478"/>
      <c r="BYP42" s="478"/>
      <c r="BYQ42" s="478"/>
      <c r="BYR42" s="478"/>
      <c r="BYS42" s="478"/>
      <c r="BYT42" s="478"/>
      <c r="BYU42" s="478"/>
      <c r="BYV42" s="478"/>
      <c r="BYW42" s="478"/>
      <c r="BYX42" s="478"/>
      <c r="BYY42" s="478"/>
      <c r="BYZ42" s="478"/>
      <c r="BZA42" s="478"/>
      <c r="BZB42" s="478"/>
      <c r="BZC42" s="478"/>
      <c r="BZD42" s="478"/>
      <c r="BZE42" s="478"/>
      <c r="BZF42" s="478"/>
      <c r="BZG42" s="478"/>
      <c r="BZH42" s="478"/>
      <c r="BZI42" s="478"/>
      <c r="BZJ42" s="478"/>
      <c r="BZK42" s="478"/>
      <c r="BZL42" s="478"/>
      <c r="BZM42" s="478"/>
      <c r="BZN42" s="478"/>
      <c r="BZO42" s="478"/>
      <c r="BZP42" s="478"/>
      <c r="BZQ42" s="478"/>
      <c r="BZR42" s="478"/>
      <c r="BZS42" s="478"/>
      <c r="BZT42" s="478"/>
      <c r="BZU42" s="478"/>
      <c r="BZV42" s="478"/>
      <c r="BZW42" s="478"/>
      <c r="BZX42" s="478"/>
      <c r="BZY42" s="478"/>
      <c r="BZZ42" s="478"/>
      <c r="CAA42" s="478"/>
      <c r="CAB42" s="478"/>
      <c r="CAC42" s="478"/>
      <c r="CAD42" s="478"/>
      <c r="CAE42" s="478"/>
      <c r="CAF42" s="478"/>
      <c r="CAG42" s="478"/>
      <c r="CAH42" s="478"/>
      <c r="CAI42" s="478"/>
      <c r="CAJ42" s="478"/>
      <c r="CAK42" s="478"/>
      <c r="CAL42" s="478"/>
      <c r="CAM42" s="478"/>
      <c r="CAN42" s="478"/>
      <c r="CAO42" s="478"/>
      <c r="CAP42" s="478"/>
      <c r="CAQ42" s="478"/>
      <c r="CAR42" s="478"/>
      <c r="CAS42" s="478"/>
      <c r="CAT42" s="478"/>
      <c r="CAU42" s="478"/>
      <c r="CAV42" s="478"/>
      <c r="CAW42" s="478"/>
      <c r="CAX42" s="478"/>
      <c r="CAY42" s="478"/>
      <c r="CAZ42" s="478"/>
      <c r="CBA42" s="478"/>
      <c r="CBB42" s="478"/>
      <c r="CBC42" s="478"/>
      <c r="CBD42" s="478"/>
      <c r="CBE42" s="478"/>
      <c r="CBF42" s="478"/>
      <c r="CBG42" s="478"/>
      <c r="CBH42" s="478"/>
      <c r="CBI42" s="478"/>
      <c r="CBJ42" s="478"/>
      <c r="CBK42" s="478"/>
      <c r="CBL42" s="478"/>
      <c r="CBM42" s="478"/>
      <c r="CBN42" s="478"/>
      <c r="CBO42" s="478"/>
      <c r="CBP42" s="478"/>
      <c r="CBQ42" s="478"/>
      <c r="CBR42" s="478"/>
      <c r="CBS42" s="478"/>
      <c r="CBT42" s="478"/>
      <c r="CBU42" s="478"/>
      <c r="CBV42" s="478"/>
      <c r="CBW42" s="478"/>
      <c r="CBX42" s="478"/>
      <c r="CBY42" s="478"/>
      <c r="CBZ42" s="478"/>
      <c r="CCA42" s="478"/>
      <c r="CCB42" s="478"/>
      <c r="CCC42" s="478"/>
      <c r="CCD42" s="478"/>
      <c r="CCE42" s="478"/>
      <c r="CCF42" s="478"/>
      <c r="CCG42" s="478"/>
      <c r="CCH42" s="478"/>
      <c r="CCI42" s="478"/>
      <c r="CCJ42" s="478"/>
      <c r="CCK42" s="478"/>
      <c r="CCL42" s="478"/>
      <c r="CCM42" s="478"/>
      <c r="CCN42" s="478"/>
      <c r="CCO42" s="478"/>
      <c r="CCP42" s="478"/>
      <c r="CCQ42" s="478"/>
      <c r="CCR42" s="478"/>
      <c r="CCS42" s="478"/>
      <c r="CCT42" s="478"/>
      <c r="CCU42" s="478"/>
      <c r="CCV42" s="478"/>
      <c r="CCW42" s="478"/>
      <c r="CCX42" s="478"/>
      <c r="CCY42" s="478"/>
      <c r="CCZ42" s="478"/>
      <c r="CDA42" s="478"/>
      <c r="CDB42" s="478"/>
      <c r="CDC42" s="478"/>
      <c r="CDD42" s="478"/>
      <c r="CDE42" s="478"/>
      <c r="CDF42" s="478"/>
      <c r="CDG42" s="478"/>
      <c r="CDH42" s="478"/>
      <c r="CDI42" s="478"/>
      <c r="CDJ42" s="478"/>
      <c r="CDK42" s="478"/>
      <c r="CDL42" s="478"/>
      <c r="CDM42" s="478"/>
      <c r="CDN42" s="478"/>
      <c r="CDO42" s="478"/>
      <c r="CDP42" s="478"/>
      <c r="CDQ42" s="478"/>
      <c r="CDR42" s="478"/>
      <c r="CDS42" s="478"/>
      <c r="CDT42" s="478"/>
      <c r="CDU42" s="478"/>
      <c r="CDV42" s="478"/>
      <c r="CDW42" s="478"/>
      <c r="CDX42" s="478"/>
      <c r="CDY42" s="478"/>
      <c r="CDZ42" s="478"/>
      <c r="CEA42" s="478"/>
      <c r="CEB42" s="478"/>
      <c r="CEC42" s="478"/>
      <c r="CED42" s="478"/>
      <c r="CEE42" s="478"/>
      <c r="CEF42" s="478"/>
      <c r="CEG42" s="478"/>
      <c r="CEH42" s="478"/>
      <c r="CEI42" s="478"/>
      <c r="CEJ42" s="478"/>
      <c r="CEK42" s="478"/>
      <c r="CEL42" s="478"/>
      <c r="CEM42" s="478"/>
      <c r="CEN42" s="478"/>
      <c r="CEO42" s="478"/>
      <c r="CEP42" s="478"/>
      <c r="CEQ42" s="478"/>
      <c r="CER42" s="478"/>
      <c r="CES42" s="478"/>
      <c r="CET42" s="478"/>
      <c r="CEU42" s="478"/>
      <c r="CEV42" s="478"/>
      <c r="CEW42" s="478"/>
      <c r="CEX42" s="478"/>
      <c r="CEY42" s="478"/>
      <c r="CEZ42" s="478"/>
      <c r="CFA42" s="478"/>
      <c r="CFB42" s="478"/>
      <c r="CFC42" s="478"/>
      <c r="CFD42" s="478"/>
      <c r="CFE42" s="478"/>
      <c r="CFF42" s="478"/>
      <c r="CFG42" s="478"/>
      <c r="CFH42" s="478"/>
      <c r="CFI42" s="478"/>
      <c r="CFJ42" s="478"/>
      <c r="CFK42" s="478"/>
      <c r="CFL42" s="478"/>
      <c r="CFM42" s="478"/>
      <c r="CFN42" s="478"/>
      <c r="CFO42" s="478"/>
      <c r="CFP42" s="478"/>
      <c r="CFQ42" s="478"/>
      <c r="CFR42" s="478"/>
      <c r="CFS42" s="478"/>
      <c r="CFT42" s="478"/>
      <c r="CFU42" s="478"/>
      <c r="CFV42" s="478"/>
      <c r="CFW42" s="478"/>
      <c r="CFX42" s="478"/>
      <c r="CFY42" s="478"/>
      <c r="CFZ42" s="478"/>
      <c r="CGA42" s="478"/>
      <c r="CGB42" s="478"/>
      <c r="CGC42" s="478"/>
      <c r="CGD42" s="478"/>
      <c r="CGE42" s="478"/>
      <c r="CGF42" s="478"/>
      <c r="CGG42" s="478"/>
      <c r="CGH42" s="478"/>
      <c r="CGI42" s="478"/>
      <c r="CGJ42" s="478"/>
      <c r="CGK42" s="478"/>
      <c r="CGL42" s="478"/>
      <c r="CGM42" s="478"/>
      <c r="CGN42" s="478"/>
      <c r="CGO42" s="478"/>
      <c r="CGP42" s="478"/>
      <c r="CGQ42" s="478"/>
      <c r="CGR42" s="478"/>
      <c r="CGS42" s="478"/>
      <c r="CGT42" s="478"/>
      <c r="CGU42" s="478"/>
      <c r="CGV42" s="478"/>
      <c r="CGW42" s="478"/>
      <c r="CGX42" s="478"/>
      <c r="CGY42" s="478"/>
      <c r="CGZ42" s="478"/>
      <c r="CHA42" s="478"/>
      <c r="CHB42" s="478"/>
      <c r="CHC42" s="478"/>
      <c r="CHD42" s="478"/>
      <c r="CHE42" s="478"/>
      <c r="CHF42" s="478"/>
      <c r="CHG42" s="478"/>
      <c r="CHH42" s="478"/>
      <c r="CHI42" s="478"/>
      <c r="CHJ42" s="478"/>
      <c r="CHK42" s="478"/>
      <c r="CHL42" s="478"/>
      <c r="CHM42" s="478"/>
      <c r="CHN42" s="478"/>
      <c r="CHO42" s="478"/>
      <c r="CHP42" s="478"/>
      <c r="CHQ42" s="478"/>
      <c r="CHR42" s="478"/>
      <c r="CHS42" s="478"/>
      <c r="CHT42" s="478"/>
      <c r="CHU42" s="478"/>
      <c r="CHV42" s="478"/>
      <c r="CHW42" s="478"/>
      <c r="CHX42" s="478"/>
      <c r="CHY42" s="478"/>
      <c r="CHZ42" s="478"/>
      <c r="CIA42" s="478"/>
      <c r="CIB42" s="478"/>
      <c r="CIC42" s="478"/>
      <c r="CID42" s="478"/>
      <c r="CIE42" s="478"/>
      <c r="CIF42" s="478"/>
      <c r="CIG42" s="478"/>
      <c r="CIH42" s="478"/>
      <c r="CII42" s="478"/>
      <c r="CIJ42" s="478"/>
      <c r="CIK42" s="478"/>
      <c r="CIL42" s="478"/>
      <c r="CIM42" s="478"/>
      <c r="CIN42" s="478"/>
      <c r="CIO42" s="478"/>
      <c r="CIP42" s="478"/>
      <c r="CIQ42" s="478"/>
      <c r="CIR42" s="478"/>
      <c r="CIS42" s="478"/>
      <c r="CIT42" s="478"/>
      <c r="CIU42" s="478"/>
      <c r="CIV42" s="478"/>
      <c r="CIW42" s="478"/>
      <c r="CIX42" s="478"/>
      <c r="CIY42" s="478"/>
      <c r="CIZ42" s="478"/>
      <c r="CJA42" s="478"/>
      <c r="CJB42" s="478"/>
      <c r="CJC42" s="478"/>
      <c r="CJD42" s="478"/>
      <c r="CJE42" s="478"/>
      <c r="CJF42" s="478"/>
      <c r="CJG42" s="478"/>
      <c r="CJH42" s="478"/>
      <c r="CJI42" s="478"/>
      <c r="CJJ42" s="478"/>
      <c r="CJK42" s="478"/>
      <c r="CJL42" s="478"/>
      <c r="CJM42" s="478"/>
      <c r="CJN42" s="478"/>
      <c r="CJO42" s="478"/>
      <c r="CJP42" s="478"/>
      <c r="CJQ42" s="478"/>
      <c r="CJR42" s="478"/>
      <c r="CJS42" s="478"/>
      <c r="CJT42" s="478"/>
      <c r="CJU42" s="478"/>
      <c r="CJV42" s="478"/>
      <c r="CJW42" s="478"/>
      <c r="CJX42" s="478"/>
      <c r="CJY42" s="478"/>
      <c r="CJZ42" s="478"/>
      <c r="CKA42" s="478"/>
      <c r="CKB42" s="478"/>
      <c r="CKC42" s="478"/>
      <c r="CKD42" s="478"/>
      <c r="CKE42" s="478"/>
      <c r="CKF42" s="478"/>
      <c r="CKG42" s="478"/>
      <c r="CKH42" s="478"/>
      <c r="CKI42" s="478"/>
      <c r="CKJ42" s="478"/>
      <c r="CKK42" s="478"/>
      <c r="CKL42" s="478"/>
      <c r="CKM42" s="478"/>
      <c r="CKN42" s="478"/>
      <c r="CKO42" s="478"/>
      <c r="CKP42" s="478"/>
      <c r="CKQ42" s="478"/>
      <c r="CKR42" s="478"/>
      <c r="CKS42" s="478"/>
      <c r="CKT42" s="478"/>
      <c r="CKU42" s="478"/>
      <c r="CKV42" s="478"/>
      <c r="CKW42" s="478"/>
      <c r="CKX42" s="478"/>
      <c r="CKY42" s="478"/>
      <c r="CKZ42" s="478"/>
      <c r="CLA42" s="478"/>
      <c r="CLB42" s="478"/>
      <c r="CLC42" s="478"/>
      <c r="CLD42" s="478"/>
      <c r="CLE42" s="478"/>
      <c r="CLF42" s="478"/>
      <c r="CLG42" s="478"/>
      <c r="CLH42" s="478"/>
      <c r="CLI42" s="478"/>
      <c r="CLJ42" s="478"/>
      <c r="CLK42" s="478"/>
      <c r="CLL42" s="478"/>
      <c r="CLM42" s="478"/>
      <c r="CLN42" s="478"/>
      <c r="CLO42" s="478"/>
      <c r="CLP42" s="478"/>
      <c r="CLQ42" s="478"/>
      <c r="CLR42" s="478"/>
      <c r="CLS42" s="478"/>
      <c r="CLT42" s="478"/>
      <c r="CLU42" s="478"/>
      <c r="CLV42" s="478"/>
      <c r="CLW42" s="478"/>
      <c r="CLX42" s="478"/>
      <c r="CLY42" s="478"/>
      <c r="CLZ42" s="478"/>
      <c r="CMA42" s="478"/>
      <c r="CMB42" s="478"/>
      <c r="CMC42" s="478"/>
      <c r="CMD42" s="478"/>
      <c r="CME42" s="478"/>
      <c r="CMF42" s="478"/>
      <c r="CMG42" s="478"/>
      <c r="CMH42" s="478"/>
      <c r="CMI42" s="478"/>
      <c r="CMJ42" s="478"/>
      <c r="CMK42" s="478"/>
      <c r="CML42" s="478"/>
      <c r="CMM42" s="478"/>
      <c r="CMN42" s="478"/>
      <c r="CMO42" s="478"/>
      <c r="CMP42" s="478"/>
      <c r="CMQ42" s="478"/>
      <c r="CMR42" s="478"/>
      <c r="CMS42" s="478"/>
      <c r="CMT42" s="478"/>
      <c r="CMU42" s="478"/>
      <c r="CMV42" s="478"/>
      <c r="CMW42" s="478"/>
      <c r="CMX42" s="478"/>
      <c r="CMY42" s="478"/>
      <c r="CMZ42" s="478"/>
      <c r="CNA42" s="478"/>
      <c r="CNB42" s="478"/>
      <c r="CNC42" s="478"/>
      <c r="CND42" s="478"/>
      <c r="CNE42" s="478"/>
      <c r="CNF42" s="478"/>
      <c r="CNG42" s="478"/>
      <c r="CNH42" s="478"/>
      <c r="CNI42" s="478"/>
      <c r="CNJ42" s="478"/>
      <c r="CNK42" s="478"/>
      <c r="CNL42" s="478"/>
      <c r="CNM42" s="478"/>
      <c r="CNN42" s="478"/>
      <c r="CNO42" s="478"/>
      <c r="CNP42" s="478"/>
      <c r="CNQ42" s="478"/>
      <c r="CNR42" s="478"/>
      <c r="CNS42" s="478"/>
      <c r="CNT42" s="478"/>
      <c r="CNU42" s="478"/>
      <c r="CNV42" s="478"/>
      <c r="CNW42" s="478"/>
      <c r="CNX42" s="478"/>
      <c r="CNY42" s="478"/>
      <c r="CNZ42" s="478"/>
      <c r="COA42" s="478"/>
      <c r="COB42" s="478"/>
      <c r="COC42" s="478"/>
      <c r="COD42" s="478"/>
      <c r="COE42" s="478"/>
      <c r="COF42" s="478"/>
      <c r="COG42" s="478"/>
      <c r="COH42" s="478"/>
      <c r="COI42" s="478"/>
      <c r="COJ42" s="478"/>
      <c r="COK42" s="478"/>
      <c r="COL42" s="478"/>
      <c r="COM42" s="478"/>
      <c r="CON42" s="478"/>
      <c r="COO42" s="478"/>
      <c r="COP42" s="478"/>
      <c r="COQ42" s="478"/>
      <c r="COR42" s="478"/>
      <c r="COS42" s="478"/>
      <c r="COT42" s="478"/>
      <c r="COU42" s="478"/>
      <c r="COV42" s="478"/>
      <c r="COW42" s="478"/>
      <c r="COX42" s="478"/>
      <c r="COY42" s="478"/>
      <c r="COZ42" s="478"/>
      <c r="CPA42" s="478"/>
      <c r="CPB42" s="478"/>
      <c r="CPC42" s="478"/>
      <c r="CPD42" s="478"/>
      <c r="CPE42" s="478"/>
      <c r="CPF42" s="478"/>
      <c r="CPG42" s="478"/>
      <c r="CPH42" s="478"/>
      <c r="CPI42" s="478"/>
      <c r="CPJ42" s="478"/>
      <c r="CPK42" s="478"/>
      <c r="CPL42" s="478"/>
      <c r="CPM42" s="478"/>
      <c r="CPN42" s="478"/>
      <c r="CPO42" s="478"/>
      <c r="CPP42" s="478"/>
      <c r="CPQ42" s="478"/>
      <c r="CPR42" s="478"/>
      <c r="CPS42" s="478"/>
      <c r="CPT42" s="478"/>
      <c r="CPU42" s="478"/>
      <c r="CPV42" s="478"/>
      <c r="CPW42" s="478"/>
      <c r="CPX42" s="478"/>
      <c r="CPY42" s="478"/>
      <c r="CPZ42" s="478"/>
      <c r="CQA42" s="478"/>
      <c r="CQB42" s="478"/>
      <c r="CQC42" s="478"/>
      <c r="CQD42" s="478"/>
      <c r="CQE42" s="478"/>
      <c r="CQF42" s="478"/>
      <c r="CQG42" s="478"/>
      <c r="CQH42" s="478"/>
      <c r="CQI42" s="478"/>
      <c r="CQJ42" s="478"/>
      <c r="CQK42" s="478"/>
      <c r="CQL42" s="478"/>
      <c r="CQM42" s="478"/>
      <c r="CQN42" s="478"/>
      <c r="CQO42" s="478"/>
      <c r="CQP42" s="478"/>
      <c r="CQQ42" s="478"/>
      <c r="CQR42" s="478"/>
      <c r="CQS42" s="478"/>
      <c r="CQT42" s="478"/>
      <c r="CQU42" s="478"/>
      <c r="CQV42" s="478"/>
      <c r="CQW42" s="478"/>
      <c r="CQX42" s="478"/>
      <c r="CQY42" s="478"/>
      <c r="CQZ42" s="478"/>
      <c r="CRA42" s="478"/>
      <c r="CRB42" s="478"/>
      <c r="CRC42" s="478"/>
      <c r="CRD42" s="478"/>
      <c r="CRE42" s="478"/>
      <c r="CRF42" s="478"/>
      <c r="CRG42" s="478"/>
      <c r="CRH42" s="478"/>
      <c r="CRI42" s="478"/>
      <c r="CRJ42" s="478"/>
      <c r="CRK42" s="478"/>
      <c r="CRL42" s="478"/>
      <c r="CRM42" s="478"/>
      <c r="CRN42" s="478"/>
      <c r="CRO42" s="478"/>
      <c r="CRP42" s="478"/>
      <c r="CRQ42" s="478"/>
      <c r="CRR42" s="478"/>
      <c r="CRS42" s="478"/>
      <c r="CRT42" s="478"/>
      <c r="CRU42" s="478"/>
      <c r="CRV42" s="478"/>
      <c r="CRW42" s="478"/>
      <c r="CRX42" s="478"/>
      <c r="CRY42" s="478"/>
      <c r="CRZ42" s="478"/>
      <c r="CSA42" s="478"/>
      <c r="CSB42" s="478"/>
      <c r="CSC42" s="478"/>
      <c r="CSD42" s="478"/>
      <c r="CSE42" s="478"/>
      <c r="CSF42" s="478"/>
      <c r="CSG42" s="478"/>
      <c r="CSH42" s="478"/>
      <c r="CSI42" s="478"/>
      <c r="CSJ42" s="478"/>
      <c r="CSK42" s="478"/>
      <c r="CSL42" s="478"/>
      <c r="CSM42" s="478"/>
      <c r="CSN42" s="478"/>
      <c r="CSO42" s="478"/>
      <c r="CSP42" s="478"/>
      <c r="CSQ42" s="478"/>
      <c r="CSR42" s="478"/>
      <c r="CSS42" s="478"/>
      <c r="CST42" s="478"/>
      <c r="CSU42" s="478"/>
      <c r="CSV42" s="478"/>
      <c r="CSW42" s="478"/>
      <c r="CSX42" s="478"/>
      <c r="CSY42" s="478"/>
      <c r="CSZ42" s="478"/>
      <c r="CTA42" s="478"/>
      <c r="CTB42" s="478"/>
      <c r="CTC42" s="478"/>
      <c r="CTD42" s="478"/>
      <c r="CTE42" s="478"/>
      <c r="CTF42" s="478"/>
      <c r="CTG42" s="478"/>
      <c r="CTH42" s="478"/>
      <c r="CTI42" s="478"/>
      <c r="CTJ42" s="478"/>
      <c r="CTK42" s="478"/>
      <c r="CTL42" s="478"/>
      <c r="CTM42" s="478"/>
      <c r="CTN42" s="478"/>
      <c r="CTO42" s="478"/>
      <c r="CTP42" s="478"/>
      <c r="CTQ42" s="478"/>
      <c r="CTR42" s="478"/>
      <c r="CTS42" s="478"/>
      <c r="CTT42" s="478"/>
      <c r="CTU42" s="478"/>
      <c r="CTV42" s="478"/>
      <c r="CTW42" s="478"/>
      <c r="CTX42" s="478"/>
      <c r="CTY42" s="478"/>
      <c r="CTZ42" s="478"/>
      <c r="CUA42" s="478"/>
      <c r="CUB42" s="478"/>
      <c r="CUC42" s="478"/>
      <c r="CUD42" s="478"/>
      <c r="CUE42" s="478"/>
      <c r="CUF42" s="478"/>
      <c r="CUG42" s="478"/>
      <c r="CUH42" s="478"/>
      <c r="CUI42" s="478"/>
      <c r="CUJ42" s="478"/>
      <c r="CUK42" s="478"/>
      <c r="CUL42" s="478"/>
      <c r="CUM42" s="478"/>
      <c r="CUN42" s="478"/>
      <c r="CUO42" s="478"/>
      <c r="CUP42" s="478"/>
      <c r="CUQ42" s="478"/>
      <c r="CUR42" s="478"/>
      <c r="CUS42" s="478"/>
      <c r="CUT42" s="478"/>
      <c r="CUU42" s="478"/>
      <c r="CUV42" s="478"/>
      <c r="CUW42" s="478"/>
      <c r="CUX42" s="478"/>
      <c r="CUY42" s="478"/>
      <c r="CUZ42" s="478"/>
      <c r="CVA42" s="478"/>
      <c r="CVB42" s="478"/>
      <c r="CVC42" s="478"/>
      <c r="CVD42" s="478"/>
      <c r="CVE42" s="478"/>
      <c r="CVF42" s="478"/>
      <c r="CVG42" s="478"/>
      <c r="CVH42" s="478"/>
      <c r="CVI42" s="478"/>
      <c r="CVJ42" s="478"/>
      <c r="CVK42" s="478"/>
      <c r="CVL42" s="478"/>
      <c r="CVM42" s="478"/>
      <c r="CVN42" s="478"/>
      <c r="CVO42" s="478"/>
      <c r="CVP42" s="478"/>
      <c r="CVQ42" s="478"/>
      <c r="CVR42" s="478"/>
      <c r="CVS42" s="478"/>
      <c r="CVT42" s="478"/>
      <c r="CVU42" s="478"/>
      <c r="CVV42" s="478"/>
      <c r="CVW42" s="478"/>
      <c r="CVX42" s="478"/>
      <c r="CVY42" s="478"/>
      <c r="CVZ42" s="478"/>
      <c r="CWA42" s="478"/>
      <c r="CWB42" s="478"/>
      <c r="CWC42" s="478"/>
      <c r="CWD42" s="478"/>
      <c r="CWE42" s="478"/>
      <c r="CWF42" s="478"/>
      <c r="CWG42" s="478"/>
      <c r="CWH42" s="478"/>
      <c r="CWI42" s="478"/>
      <c r="CWJ42" s="478"/>
      <c r="CWK42" s="478"/>
      <c r="CWL42" s="478"/>
      <c r="CWM42" s="478"/>
      <c r="CWN42" s="478"/>
      <c r="CWO42" s="478"/>
      <c r="CWP42" s="478"/>
      <c r="CWQ42" s="478"/>
      <c r="CWR42" s="478"/>
      <c r="CWS42" s="478"/>
      <c r="CWT42" s="478"/>
      <c r="CWU42" s="478"/>
      <c r="CWV42" s="478"/>
      <c r="CWW42" s="478"/>
      <c r="CWX42" s="478"/>
      <c r="CWY42" s="478"/>
      <c r="CWZ42" s="478"/>
      <c r="CXA42" s="478"/>
      <c r="CXB42" s="478"/>
      <c r="CXC42" s="478"/>
      <c r="CXD42" s="478"/>
      <c r="CXE42" s="478"/>
      <c r="CXF42" s="478"/>
      <c r="CXG42" s="478"/>
      <c r="CXH42" s="478"/>
      <c r="CXI42" s="478"/>
      <c r="CXJ42" s="478"/>
      <c r="CXK42" s="478"/>
      <c r="CXL42" s="478"/>
      <c r="CXM42" s="478"/>
      <c r="CXN42" s="478"/>
      <c r="CXO42" s="478"/>
      <c r="CXP42" s="478"/>
      <c r="CXQ42" s="478"/>
      <c r="CXR42" s="478"/>
      <c r="CXS42" s="478"/>
      <c r="CXT42" s="478"/>
      <c r="CXU42" s="478"/>
      <c r="CXV42" s="478"/>
      <c r="CXW42" s="478"/>
      <c r="CXX42" s="478"/>
      <c r="CXY42" s="478"/>
      <c r="CXZ42" s="478"/>
      <c r="CYA42" s="478"/>
      <c r="CYB42" s="478"/>
      <c r="CYC42" s="478"/>
      <c r="CYD42" s="478"/>
      <c r="CYE42" s="478"/>
      <c r="CYF42" s="478"/>
      <c r="CYG42" s="478"/>
      <c r="CYH42" s="478"/>
      <c r="CYI42" s="478"/>
      <c r="CYJ42" s="478"/>
      <c r="CYK42" s="478"/>
      <c r="CYL42" s="478"/>
      <c r="CYM42" s="478"/>
      <c r="CYN42" s="478"/>
      <c r="CYO42" s="478"/>
      <c r="CYP42" s="478"/>
      <c r="CYQ42" s="478"/>
      <c r="CYR42" s="478"/>
      <c r="CYS42" s="478"/>
      <c r="CYT42" s="478"/>
      <c r="CYU42" s="478"/>
      <c r="CYV42" s="478"/>
      <c r="CYW42" s="478"/>
      <c r="CYX42" s="478"/>
      <c r="CYY42" s="478"/>
      <c r="CYZ42" s="478"/>
      <c r="CZA42" s="478"/>
      <c r="CZB42" s="478"/>
      <c r="CZC42" s="478"/>
      <c r="CZD42" s="478"/>
      <c r="CZE42" s="478"/>
      <c r="CZF42" s="478"/>
      <c r="CZG42" s="478"/>
      <c r="CZH42" s="478"/>
      <c r="CZI42" s="478"/>
      <c r="CZJ42" s="478"/>
      <c r="CZK42" s="478"/>
      <c r="CZL42" s="478"/>
      <c r="CZM42" s="478"/>
      <c r="CZN42" s="478"/>
      <c r="CZO42" s="478"/>
      <c r="CZP42" s="478"/>
      <c r="CZQ42" s="478"/>
      <c r="CZR42" s="478"/>
      <c r="CZS42" s="478"/>
      <c r="CZT42" s="478"/>
      <c r="CZU42" s="478"/>
      <c r="CZV42" s="478"/>
      <c r="CZW42" s="478"/>
      <c r="CZX42" s="478"/>
      <c r="CZY42" s="478"/>
      <c r="CZZ42" s="478"/>
      <c r="DAA42" s="478"/>
      <c r="DAB42" s="478"/>
      <c r="DAC42" s="478"/>
      <c r="DAD42" s="478"/>
      <c r="DAE42" s="478"/>
      <c r="DAF42" s="478"/>
      <c r="DAG42" s="478"/>
      <c r="DAH42" s="478"/>
      <c r="DAI42" s="478"/>
      <c r="DAJ42" s="478"/>
      <c r="DAK42" s="478"/>
      <c r="DAL42" s="478"/>
      <c r="DAM42" s="478"/>
      <c r="DAN42" s="478"/>
      <c r="DAO42" s="478"/>
      <c r="DAP42" s="478"/>
      <c r="DAQ42" s="478"/>
      <c r="DAR42" s="478"/>
      <c r="DAS42" s="478"/>
      <c r="DAT42" s="478"/>
      <c r="DAU42" s="478"/>
      <c r="DAV42" s="478"/>
      <c r="DAW42" s="478"/>
      <c r="DAX42" s="478"/>
      <c r="DAY42" s="478"/>
      <c r="DAZ42" s="478"/>
      <c r="DBA42" s="478"/>
      <c r="DBB42" s="478"/>
      <c r="DBC42" s="478"/>
      <c r="DBD42" s="478"/>
      <c r="DBE42" s="478"/>
      <c r="DBF42" s="478"/>
      <c r="DBG42" s="478"/>
      <c r="DBH42" s="478"/>
      <c r="DBI42" s="478"/>
      <c r="DBJ42" s="478"/>
      <c r="DBK42" s="478"/>
      <c r="DBL42" s="478"/>
      <c r="DBM42" s="478"/>
      <c r="DBN42" s="478"/>
      <c r="DBO42" s="478"/>
      <c r="DBP42" s="478"/>
      <c r="DBQ42" s="478"/>
      <c r="DBR42" s="478"/>
      <c r="DBS42" s="478"/>
      <c r="DBT42" s="478"/>
      <c r="DBU42" s="478"/>
      <c r="DBV42" s="478"/>
      <c r="DBW42" s="478"/>
      <c r="DBX42" s="478"/>
      <c r="DBY42" s="478"/>
      <c r="DBZ42" s="478"/>
      <c r="DCA42" s="478"/>
      <c r="DCB42" s="478"/>
      <c r="DCC42" s="478"/>
      <c r="DCD42" s="478"/>
      <c r="DCE42" s="478"/>
      <c r="DCF42" s="478"/>
      <c r="DCG42" s="478"/>
      <c r="DCH42" s="478"/>
      <c r="DCI42" s="478"/>
      <c r="DCJ42" s="478"/>
      <c r="DCK42" s="478"/>
      <c r="DCL42" s="478"/>
      <c r="DCM42" s="478"/>
      <c r="DCN42" s="478"/>
      <c r="DCO42" s="478"/>
      <c r="DCP42" s="478"/>
      <c r="DCQ42" s="478"/>
      <c r="DCR42" s="478"/>
      <c r="DCS42" s="478"/>
      <c r="DCT42" s="478"/>
      <c r="DCU42" s="478"/>
      <c r="DCV42" s="478"/>
      <c r="DCW42" s="478"/>
      <c r="DCX42" s="478"/>
      <c r="DCY42" s="478"/>
      <c r="DCZ42" s="478"/>
      <c r="DDA42" s="478"/>
      <c r="DDB42" s="478"/>
      <c r="DDC42" s="478"/>
      <c r="DDD42" s="478"/>
      <c r="DDE42" s="478"/>
      <c r="DDF42" s="478"/>
      <c r="DDG42" s="478"/>
      <c r="DDH42" s="478"/>
      <c r="DDI42" s="478"/>
      <c r="DDJ42" s="478"/>
      <c r="DDK42" s="478"/>
      <c r="DDL42" s="478"/>
      <c r="DDM42" s="478"/>
      <c r="DDN42" s="478"/>
      <c r="DDO42" s="478"/>
      <c r="DDP42" s="478"/>
      <c r="DDQ42" s="478"/>
      <c r="DDR42" s="478"/>
      <c r="DDS42" s="478"/>
      <c r="DDT42" s="478"/>
      <c r="DDU42" s="478"/>
      <c r="DDV42" s="478"/>
      <c r="DDW42" s="478"/>
      <c r="DDX42" s="478"/>
      <c r="DDY42" s="478"/>
      <c r="DDZ42" s="478"/>
      <c r="DEA42" s="478"/>
      <c r="DEB42" s="478"/>
      <c r="DEC42" s="478"/>
      <c r="DED42" s="478"/>
      <c r="DEE42" s="478"/>
      <c r="DEF42" s="478"/>
      <c r="DEG42" s="478"/>
      <c r="DEH42" s="478"/>
      <c r="DEI42" s="478"/>
      <c r="DEJ42" s="478"/>
      <c r="DEK42" s="478"/>
      <c r="DEL42" s="478"/>
      <c r="DEM42" s="478"/>
      <c r="DEN42" s="478"/>
      <c r="DEO42" s="478"/>
      <c r="DEP42" s="478"/>
      <c r="DEQ42" s="478"/>
      <c r="DER42" s="478"/>
      <c r="DES42" s="478"/>
      <c r="DET42" s="478"/>
      <c r="DEU42" s="478"/>
      <c r="DEV42" s="478"/>
      <c r="DEW42" s="478"/>
      <c r="DEX42" s="478"/>
      <c r="DEY42" s="478"/>
      <c r="DEZ42" s="478"/>
      <c r="DFA42" s="478"/>
      <c r="DFB42" s="478"/>
      <c r="DFC42" s="478"/>
      <c r="DFD42" s="478"/>
      <c r="DFE42" s="478"/>
      <c r="DFF42" s="478"/>
      <c r="DFG42" s="478"/>
      <c r="DFH42" s="478"/>
      <c r="DFI42" s="478"/>
      <c r="DFJ42" s="478"/>
      <c r="DFK42" s="478"/>
      <c r="DFL42" s="478"/>
      <c r="DFM42" s="478"/>
      <c r="DFN42" s="478"/>
      <c r="DFO42" s="478"/>
      <c r="DFP42" s="478"/>
      <c r="DFQ42" s="478"/>
      <c r="DFR42" s="478"/>
      <c r="DFS42" s="478"/>
      <c r="DFT42" s="478"/>
      <c r="DFU42" s="478"/>
      <c r="DFV42" s="478"/>
      <c r="DFW42" s="478"/>
      <c r="DFX42" s="478"/>
      <c r="DFY42" s="478"/>
      <c r="DFZ42" s="478"/>
      <c r="DGA42" s="478"/>
      <c r="DGB42" s="478"/>
      <c r="DGC42" s="478"/>
      <c r="DGD42" s="478"/>
      <c r="DGE42" s="478"/>
      <c r="DGF42" s="478"/>
      <c r="DGG42" s="478"/>
      <c r="DGH42" s="478"/>
      <c r="DGI42" s="478"/>
      <c r="DGJ42" s="478"/>
      <c r="DGK42" s="478"/>
      <c r="DGL42" s="478"/>
      <c r="DGM42" s="478"/>
      <c r="DGN42" s="478"/>
      <c r="DGO42" s="478"/>
      <c r="DGP42" s="478"/>
      <c r="DGQ42" s="478"/>
      <c r="DGR42" s="478"/>
      <c r="DGS42" s="478"/>
      <c r="DGT42" s="478"/>
      <c r="DGU42" s="478"/>
      <c r="DGV42" s="478"/>
      <c r="DGW42" s="478"/>
      <c r="DGX42" s="478"/>
      <c r="DGY42" s="478"/>
      <c r="DGZ42" s="478"/>
      <c r="DHA42" s="478"/>
      <c r="DHB42" s="478"/>
      <c r="DHC42" s="478"/>
      <c r="DHD42" s="478"/>
      <c r="DHE42" s="478"/>
      <c r="DHF42" s="478"/>
      <c r="DHG42" s="478"/>
      <c r="DHH42" s="478"/>
      <c r="DHI42" s="478"/>
      <c r="DHJ42" s="478"/>
      <c r="DHK42" s="478"/>
      <c r="DHL42" s="478"/>
      <c r="DHM42" s="478"/>
      <c r="DHN42" s="478"/>
      <c r="DHO42" s="478"/>
      <c r="DHP42" s="478"/>
      <c r="DHQ42" s="478"/>
      <c r="DHR42" s="478"/>
      <c r="DHS42" s="478"/>
      <c r="DHT42" s="478"/>
      <c r="DHU42" s="478"/>
      <c r="DHV42" s="478"/>
      <c r="DHW42" s="478"/>
      <c r="DHX42" s="478"/>
      <c r="DHY42" s="478"/>
      <c r="DHZ42" s="478"/>
      <c r="DIA42" s="478"/>
      <c r="DIB42" s="478"/>
      <c r="DIC42" s="478"/>
      <c r="DID42" s="478"/>
      <c r="DIE42" s="478"/>
      <c r="DIF42" s="478"/>
      <c r="DIG42" s="478"/>
      <c r="DIH42" s="478"/>
      <c r="DII42" s="478"/>
      <c r="DIJ42" s="478"/>
      <c r="DIK42" s="478"/>
      <c r="DIL42" s="478"/>
      <c r="DIM42" s="478"/>
      <c r="DIN42" s="478"/>
      <c r="DIO42" s="478"/>
      <c r="DIP42" s="478"/>
      <c r="DIQ42" s="478"/>
      <c r="DIR42" s="478"/>
      <c r="DIS42" s="478"/>
      <c r="DIT42" s="478"/>
      <c r="DIU42" s="478"/>
      <c r="DIV42" s="478"/>
      <c r="DIW42" s="478"/>
      <c r="DIX42" s="478"/>
      <c r="DIY42" s="478"/>
      <c r="DIZ42" s="478"/>
      <c r="DJA42" s="478"/>
      <c r="DJB42" s="478"/>
      <c r="DJC42" s="478"/>
      <c r="DJD42" s="478"/>
      <c r="DJE42" s="478"/>
      <c r="DJF42" s="478"/>
      <c r="DJG42" s="478"/>
      <c r="DJH42" s="478"/>
      <c r="DJI42" s="478"/>
      <c r="DJJ42" s="478"/>
      <c r="DJK42" s="478"/>
      <c r="DJL42" s="478"/>
      <c r="DJM42" s="478"/>
      <c r="DJN42" s="478"/>
      <c r="DJO42" s="478"/>
      <c r="DJP42" s="478"/>
      <c r="DJQ42" s="478"/>
      <c r="DJR42" s="478"/>
      <c r="DJS42" s="478"/>
      <c r="DJT42" s="478"/>
      <c r="DJU42" s="478"/>
      <c r="DJV42" s="478"/>
      <c r="DJW42" s="478"/>
      <c r="DJX42" s="478"/>
      <c r="DJY42" s="478"/>
      <c r="DJZ42" s="478"/>
      <c r="DKA42" s="478"/>
      <c r="DKB42" s="478"/>
      <c r="DKC42" s="478"/>
      <c r="DKD42" s="478"/>
      <c r="DKE42" s="478"/>
      <c r="DKF42" s="478"/>
      <c r="DKG42" s="478"/>
      <c r="DKH42" s="478"/>
      <c r="DKI42" s="478"/>
      <c r="DKJ42" s="478"/>
      <c r="DKK42" s="478"/>
      <c r="DKL42" s="478"/>
      <c r="DKM42" s="478"/>
      <c r="DKN42" s="478"/>
      <c r="DKO42" s="478"/>
      <c r="DKP42" s="478"/>
      <c r="DKQ42" s="478"/>
      <c r="DKR42" s="478"/>
      <c r="DKS42" s="478"/>
      <c r="DKT42" s="478"/>
      <c r="DKU42" s="478"/>
      <c r="DKV42" s="478"/>
      <c r="DKW42" s="478"/>
      <c r="DKX42" s="478"/>
      <c r="DKY42" s="478"/>
      <c r="DKZ42" s="478"/>
      <c r="DLA42" s="478"/>
      <c r="DLB42" s="478"/>
      <c r="DLC42" s="478"/>
      <c r="DLD42" s="478"/>
      <c r="DLE42" s="478"/>
      <c r="DLF42" s="478"/>
      <c r="DLG42" s="478"/>
      <c r="DLH42" s="478"/>
      <c r="DLI42" s="478"/>
      <c r="DLJ42" s="478"/>
      <c r="DLK42" s="478"/>
      <c r="DLL42" s="478"/>
      <c r="DLM42" s="478"/>
      <c r="DLN42" s="478"/>
      <c r="DLO42" s="478"/>
      <c r="DLP42" s="478"/>
      <c r="DLQ42" s="478"/>
      <c r="DLR42" s="478"/>
      <c r="DLS42" s="478"/>
      <c r="DLT42" s="478"/>
      <c r="DLU42" s="478"/>
      <c r="DLV42" s="478"/>
      <c r="DLW42" s="478"/>
      <c r="DLX42" s="478"/>
      <c r="DLY42" s="478"/>
      <c r="DLZ42" s="478"/>
      <c r="DMA42" s="478"/>
      <c r="DMB42" s="478"/>
      <c r="DMC42" s="478"/>
      <c r="DMD42" s="478"/>
      <c r="DME42" s="478"/>
      <c r="DMF42" s="478"/>
      <c r="DMG42" s="478"/>
      <c r="DMH42" s="478"/>
      <c r="DMI42" s="478"/>
      <c r="DMJ42" s="478"/>
      <c r="DMK42" s="478"/>
      <c r="DML42" s="478"/>
      <c r="DMM42" s="478"/>
      <c r="DMN42" s="478"/>
      <c r="DMO42" s="478"/>
      <c r="DMP42" s="478"/>
      <c r="DMQ42" s="478"/>
      <c r="DMR42" s="478"/>
      <c r="DMS42" s="478"/>
      <c r="DMT42" s="478"/>
      <c r="DMU42" s="478"/>
      <c r="DMV42" s="478"/>
      <c r="DMW42" s="478"/>
      <c r="DMX42" s="478"/>
      <c r="DMY42" s="478"/>
      <c r="DMZ42" s="478"/>
      <c r="DNA42" s="478"/>
      <c r="DNB42" s="478"/>
      <c r="DNC42" s="478"/>
      <c r="DND42" s="478"/>
      <c r="DNE42" s="478"/>
      <c r="DNF42" s="478"/>
      <c r="DNG42" s="478"/>
      <c r="DNH42" s="478"/>
      <c r="DNI42" s="478"/>
      <c r="DNJ42" s="478"/>
      <c r="DNK42" s="478"/>
      <c r="DNL42" s="478"/>
      <c r="DNM42" s="478"/>
      <c r="DNN42" s="478"/>
      <c r="DNO42" s="478"/>
      <c r="DNP42" s="478"/>
      <c r="DNQ42" s="478"/>
      <c r="DNR42" s="478"/>
      <c r="DNS42" s="478"/>
      <c r="DNT42" s="478"/>
      <c r="DNU42" s="478"/>
      <c r="DNV42" s="478"/>
      <c r="DNW42" s="478"/>
      <c r="DNX42" s="478"/>
      <c r="DNY42" s="478"/>
      <c r="DNZ42" s="478"/>
      <c r="DOA42" s="478"/>
      <c r="DOB42" s="478"/>
      <c r="DOC42" s="478"/>
      <c r="DOD42" s="478"/>
      <c r="DOE42" s="478"/>
      <c r="DOF42" s="478"/>
      <c r="DOG42" s="478"/>
      <c r="DOH42" s="478"/>
      <c r="DOI42" s="478"/>
      <c r="DOJ42" s="478"/>
      <c r="DOK42" s="478"/>
      <c r="DOL42" s="478"/>
      <c r="DOM42" s="478"/>
      <c r="DON42" s="478"/>
      <c r="DOO42" s="478"/>
      <c r="DOP42" s="478"/>
      <c r="DOQ42" s="478"/>
      <c r="DOR42" s="478"/>
      <c r="DOS42" s="478"/>
      <c r="DOT42" s="478"/>
      <c r="DOU42" s="478"/>
      <c r="DOV42" s="478"/>
      <c r="DOW42" s="478"/>
      <c r="DOX42" s="478"/>
      <c r="DOY42" s="478"/>
      <c r="DOZ42" s="478"/>
      <c r="DPA42" s="478"/>
      <c r="DPB42" s="478"/>
      <c r="DPC42" s="478"/>
      <c r="DPD42" s="478"/>
      <c r="DPE42" s="478"/>
      <c r="DPF42" s="478"/>
      <c r="DPG42" s="478"/>
      <c r="DPH42" s="478"/>
      <c r="DPI42" s="478"/>
      <c r="DPJ42" s="478"/>
      <c r="DPK42" s="478"/>
      <c r="DPL42" s="478"/>
      <c r="DPM42" s="478"/>
      <c r="DPN42" s="478"/>
      <c r="DPO42" s="478"/>
      <c r="DPP42" s="478"/>
      <c r="DPQ42" s="478"/>
      <c r="DPR42" s="478"/>
      <c r="DPS42" s="478"/>
      <c r="DPT42" s="478"/>
      <c r="DPU42" s="478"/>
      <c r="DPV42" s="478"/>
      <c r="DPW42" s="478"/>
      <c r="DPX42" s="478"/>
      <c r="DPY42" s="478"/>
      <c r="DPZ42" s="478"/>
      <c r="DQA42" s="478"/>
      <c r="DQB42" s="478"/>
      <c r="DQC42" s="478"/>
      <c r="DQD42" s="478"/>
      <c r="DQE42" s="478"/>
      <c r="DQF42" s="478"/>
      <c r="DQG42" s="478"/>
      <c r="DQH42" s="478"/>
      <c r="DQI42" s="478"/>
      <c r="DQJ42" s="478"/>
      <c r="DQK42" s="478"/>
      <c r="DQL42" s="478"/>
      <c r="DQM42" s="478"/>
      <c r="DQN42" s="478"/>
      <c r="DQO42" s="478"/>
      <c r="DQP42" s="478"/>
      <c r="DQQ42" s="478"/>
      <c r="DQR42" s="478"/>
      <c r="DQS42" s="478"/>
      <c r="DQT42" s="478"/>
      <c r="DQU42" s="478"/>
      <c r="DQV42" s="478"/>
      <c r="DQW42" s="478"/>
      <c r="DQX42" s="478"/>
      <c r="DQY42" s="478"/>
      <c r="DQZ42" s="478"/>
      <c r="DRA42" s="478"/>
      <c r="DRB42" s="478"/>
      <c r="DRC42" s="478"/>
      <c r="DRD42" s="478"/>
      <c r="DRE42" s="478"/>
      <c r="DRF42" s="478"/>
      <c r="DRG42" s="478"/>
      <c r="DRH42" s="478"/>
      <c r="DRI42" s="478"/>
      <c r="DRJ42" s="478"/>
      <c r="DRK42" s="478"/>
      <c r="DRL42" s="478"/>
      <c r="DRM42" s="478"/>
      <c r="DRN42" s="478"/>
      <c r="DRO42" s="478"/>
      <c r="DRP42" s="478"/>
      <c r="DRQ42" s="478"/>
      <c r="DRR42" s="478"/>
      <c r="DRS42" s="478"/>
      <c r="DRT42" s="478"/>
      <c r="DRU42" s="478"/>
      <c r="DRV42" s="478"/>
      <c r="DRW42" s="478"/>
      <c r="DRX42" s="478"/>
      <c r="DRY42" s="478"/>
      <c r="DRZ42" s="478"/>
      <c r="DSA42" s="478"/>
      <c r="DSB42" s="478"/>
      <c r="DSC42" s="478"/>
      <c r="DSD42" s="478"/>
      <c r="DSE42" s="478"/>
      <c r="DSF42" s="478"/>
      <c r="DSG42" s="478"/>
      <c r="DSH42" s="478"/>
      <c r="DSI42" s="478"/>
      <c r="DSJ42" s="478"/>
      <c r="DSK42" s="478"/>
      <c r="DSL42" s="478"/>
      <c r="DSM42" s="478"/>
      <c r="DSN42" s="478"/>
      <c r="DSO42" s="478"/>
      <c r="DSP42" s="478"/>
      <c r="DSQ42" s="478"/>
      <c r="DSR42" s="478"/>
      <c r="DSS42" s="478"/>
      <c r="DST42" s="478"/>
      <c r="DSU42" s="478"/>
      <c r="DSV42" s="478"/>
      <c r="DSW42" s="478"/>
      <c r="DSX42" s="478"/>
      <c r="DSY42" s="478"/>
      <c r="DSZ42" s="478"/>
      <c r="DTA42" s="478"/>
      <c r="DTB42" s="478"/>
      <c r="DTC42" s="478"/>
      <c r="DTD42" s="478"/>
      <c r="DTE42" s="478"/>
      <c r="DTF42" s="478"/>
      <c r="DTG42" s="478"/>
      <c r="DTH42" s="478"/>
      <c r="DTI42" s="478"/>
      <c r="DTJ42" s="478"/>
      <c r="DTK42" s="478"/>
      <c r="DTL42" s="478"/>
      <c r="DTM42" s="478"/>
      <c r="DTN42" s="478"/>
      <c r="DTO42" s="478"/>
      <c r="DTP42" s="478"/>
      <c r="DTQ42" s="478"/>
      <c r="DTR42" s="478"/>
      <c r="DTS42" s="478"/>
      <c r="DTT42" s="478"/>
      <c r="DTU42" s="478"/>
      <c r="DTV42" s="478"/>
      <c r="DTW42" s="478"/>
      <c r="DTX42" s="478"/>
      <c r="DTY42" s="478"/>
      <c r="DTZ42" s="478"/>
      <c r="DUA42" s="478"/>
      <c r="DUB42" s="478"/>
      <c r="DUC42" s="478"/>
      <c r="DUD42" s="478"/>
      <c r="DUE42" s="478"/>
      <c r="DUF42" s="478"/>
      <c r="DUG42" s="478"/>
      <c r="DUH42" s="478"/>
      <c r="DUI42" s="478"/>
      <c r="DUJ42" s="478"/>
      <c r="DUK42" s="478"/>
      <c r="DUL42" s="478"/>
      <c r="DUM42" s="478"/>
      <c r="DUN42" s="478"/>
      <c r="DUO42" s="478"/>
      <c r="DUP42" s="478"/>
      <c r="DUQ42" s="478"/>
      <c r="DUR42" s="478"/>
      <c r="DUS42" s="478"/>
      <c r="DUT42" s="478"/>
      <c r="DUU42" s="478"/>
      <c r="DUV42" s="478"/>
      <c r="DUW42" s="478"/>
      <c r="DUX42" s="478"/>
      <c r="DUY42" s="478"/>
      <c r="DUZ42" s="478"/>
      <c r="DVA42" s="478"/>
      <c r="DVB42" s="478"/>
      <c r="DVC42" s="478"/>
      <c r="DVD42" s="478"/>
      <c r="DVE42" s="478"/>
      <c r="DVF42" s="478"/>
      <c r="DVG42" s="478"/>
      <c r="DVH42" s="478"/>
      <c r="DVI42" s="478"/>
      <c r="DVJ42" s="478"/>
      <c r="DVK42" s="478"/>
      <c r="DVL42" s="478"/>
      <c r="DVM42" s="478"/>
      <c r="DVN42" s="478"/>
      <c r="DVO42" s="478"/>
      <c r="DVP42" s="478"/>
      <c r="DVQ42" s="478"/>
      <c r="DVR42" s="478"/>
      <c r="DVS42" s="478"/>
      <c r="DVT42" s="478"/>
      <c r="DVU42" s="478"/>
      <c r="DVV42" s="478"/>
      <c r="DVW42" s="478"/>
      <c r="DVX42" s="478"/>
      <c r="DVY42" s="478"/>
      <c r="DVZ42" s="478"/>
      <c r="DWA42" s="478"/>
      <c r="DWB42" s="478"/>
      <c r="DWC42" s="478"/>
      <c r="DWD42" s="478"/>
      <c r="DWE42" s="478"/>
      <c r="DWF42" s="478"/>
      <c r="DWG42" s="478"/>
      <c r="DWH42" s="478"/>
      <c r="DWI42" s="478"/>
      <c r="DWJ42" s="478"/>
      <c r="DWK42" s="478"/>
      <c r="DWL42" s="478"/>
      <c r="DWM42" s="478"/>
      <c r="DWN42" s="478"/>
      <c r="DWO42" s="478"/>
      <c r="DWP42" s="478"/>
      <c r="DWQ42" s="478"/>
      <c r="DWR42" s="478"/>
      <c r="DWS42" s="478"/>
      <c r="DWT42" s="478"/>
      <c r="DWU42" s="478"/>
      <c r="DWV42" s="478"/>
      <c r="DWW42" s="478"/>
      <c r="DWX42" s="478"/>
      <c r="DWY42" s="478"/>
      <c r="DWZ42" s="478"/>
      <c r="DXA42" s="478"/>
      <c r="DXB42" s="478"/>
      <c r="DXC42" s="478"/>
      <c r="DXD42" s="478"/>
      <c r="DXE42" s="478"/>
      <c r="DXF42" s="478"/>
      <c r="DXG42" s="478"/>
      <c r="DXH42" s="478"/>
      <c r="DXI42" s="478"/>
      <c r="DXJ42" s="478"/>
      <c r="DXK42" s="478"/>
      <c r="DXL42" s="478"/>
      <c r="DXM42" s="478"/>
      <c r="DXN42" s="478"/>
      <c r="DXO42" s="478"/>
      <c r="DXP42" s="478"/>
      <c r="DXQ42" s="478"/>
      <c r="DXR42" s="478"/>
      <c r="DXS42" s="478"/>
      <c r="DXT42" s="478"/>
      <c r="DXU42" s="478"/>
      <c r="DXV42" s="478"/>
      <c r="DXW42" s="478"/>
      <c r="DXX42" s="478"/>
      <c r="DXY42" s="478"/>
      <c r="DXZ42" s="478"/>
      <c r="DYA42" s="478"/>
      <c r="DYB42" s="478"/>
      <c r="DYC42" s="478"/>
      <c r="DYD42" s="478"/>
      <c r="DYE42" s="478"/>
      <c r="DYF42" s="478"/>
      <c r="DYG42" s="478"/>
      <c r="DYH42" s="478"/>
      <c r="DYI42" s="478"/>
      <c r="DYJ42" s="478"/>
      <c r="DYK42" s="478"/>
      <c r="DYL42" s="478"/>
      <c r="DYM42" s="478"/>
      <c r="DYN42" s="478"/>
      <c r="DYO42" s="478"/>
      <c r="DYP42" s="478"/>
      <c r="DYQ42" s="478"/>
      <c r="DYR42" s="478"/>
      <c r="DYS42" s="478"/>
      <c r="DYT42" s="478"/>
      <c r="DYU42" s="478"/>
      <c r="DYV42" s="478"/>
      <c r="DYW42" s="478"/>
      <c r="DYX42" s="478"/>
      <c r="DYY42" s="478"/>
      <c r="DYZ42" s="478"/>
      <c r="DZA42" s="478"/>
      <c r="DZB42" s="478"/>
      <c r="DZC42" s="478"/>
      <c r="DZD42" s="478"/>
      <c r="DZE42" s="478"/>
      <c r="DZF42" s="478"/>
      <c r="DZG42" s="478"/>
      <c r="DZH42" s="478"/>
      <c r="DZI42" s="478"/>
      <c r="DZJ42" s="478"/>
      <c r="DZK42" s="478"/>
      <c r="DZL42" s="478"/>
      <c r="DZM42" s="478"/>
      <c r="DZN42" s="478"/>
      <c r="DZO42" s="478"/>
      <c r="DZP42" s="478"/>
      <c r="DZQ42" s="478"/>
      <c r="DZR42" s="478"/>
      <c r="DZS42" s="478"/>
      <c r="DZT42" s="478"/>
      <c r="DZU42" s="478"/>
      <c r="DZV42" s="478"/>
      <c r="DZW42" s="478"/>
      <c r="DZX42" s="478"/>
      <c r="DZY42" s="478"/>
      <c r="DZZ42" s="478"/>
      <c r="EAA42" s="478"/>
      <c r="EAB42" s="478"/>
      <c r="EAC42" s="478"/>
      <c r="EAD42" s="478"/>
      <c r="EAE42" s="478"/>
      <c r="EAF42" s="478"/>
      <c r="EAG42" s="478"/>
      <c r="EAH42" s="478"/>
      <c r="EAI42" s="478"/>
      <c r="EAJ42" s="478"/>
      <c r="EAK42" s="478"/>
      <c r="EAL42" s="478"/>
      <c r="EAM42" s="478"/>
      <c r="EAN42" s="478"/>
      <c r="EAO42" s="478"/>
      <c r="EAP42" s="478"/>
      <c r="EAQ42" s="478"/>
      <c r="EAR42" s="478"/>
      <c r="EAS42" s="478"/>
      <c r="EAT42" s="478"/>
      <c r="EAU42" s="478"/>
      <c r="EAV42" s="478"/>
      <c r="EAW42" s="478"/>
      <c r="EAX42" s="478"/>
      <c r="EAY42" s="478"/>
      <c r="EAZ42" s="478"/>
      <c r="EBA42" s="478"/>
      <c r="EBB42" s="478"/>
      <c r="EBC42" s="478"/>
      <c r="EBD42" s="478"/>
      <c r="EBE42" s="478"/>
      <c r="EBF42" s="478"/>
      <c r="EBG42" s="478"/>
      <c r="EBH42" s="478"/>
      <c r="EBI42" s="478"/>
      <c r="EBJ42" s="478"/>
      <c r="EBK42" s="478"/>
      <c r="EBL42" s="478"/>
      <c r="EBM42" s="478"/>
      <c r="EBN42" s="478"/>
      <c r="EBO42" s="478"/>
      <c r="EBP42" s="478"/>
      <c r="EBQ42" s="478"/>
      <c r="EBR42" s="478"/>
      <c r="EBS42" s="478"/>
      <c r="EBT42" s="478"/>
      <c r="EBU42" s="478"/>
      <c r="EBV42" s="478"/>
      <c r="EBW42" s="478"/>
      <c r="EBX42" s="478"/>
      <c r="EBY42" s="478"/>
      <c r="EBZ42" s="478"/>
      <c r="ECA42" s="478"/>
      <c r="ECB42" s="478"/>
      <c r="ECC42" s="478"/>
      <c r="ECD42" s="478"/>
      <c r="ECE42" s="478"/>
      <c r="ECF42" s="478"/>
      <c r="ECG42" s="478"/>
      <c r="ECH42" s="478"/>
      <c r="ECI42" s="478"/>
      <c r="ECJ42" s="478"/>
      <c r="ECK42" s="478"/>
      <c r="ECL42" s="478"/>
      <c r="ECM42" s="478"/>
      <c r="ECN42" s="478"/>
      <c r="ECO42" s="478"/>
      <c r="ECP42" s="478"/>
      <c r="ECQ42" s="478"/>
      <c r="ECR42" s="478"/>
      <c r="ECS42" s="478"/>
      <c r="ECT42" s="478"/>
      <c r="ECU42" s="478"/>
      <c r="ECV42" s="478"/>
      <c r="ECW42" s="478"/>
      <c r="ECX42" s="478"/>
      <c r="ECY42" s="478"/>
      <c r="ECZ42" s="478"/>
      <c r="EDA42" s="478"/>
      <c r="EDB42" s="478"/>
      <c r="EDC42" s="478"/>
      <c r="EDD42" s="478"/>
      <c r="EDE42" s="478"/>
      <c r="EDF42" s="478"/>
      <c r="EDG42" s="478"/>
      <c r="EDH42" s="478"/>
      <c r="EDI42" s="478"/>
      <c r="EDJ42" s="478"/>
      <c r="EDK42" s="478"/>
      <c r="EDL42" s="478"/>
      <c r="EDM42" s="478"/>
      <c r="EDN42" s="478"/>
      <c r="EDO42" s="478"/>
      <c r="EDP42" s="478"/>
      <c r="EDQ42" s="478"/>
      <c r="EDR42" s="478"/>
      <c r="EDS42" s="478"/>
      <c r="EDT42" s="478"/>
      <c r="EDU42" s="478"/>
      <c r="EDV42" s="478"/>
      <c r="EDW42" s="478"/>
      <c r="EDX42" s="478"/>
      <c r="EDY42" s="478"/>
      <c r="EDZ42" s="478"/>
      <c r="EEA42" s="478"/>
      <c r="EEB42" s="478"/>
      <c r="EEC42" s="478"/>
      <c r="EED42" s="478"/>
      <c r="EEE42" s="478"/>
      <c r="EEF42" s="478"/>
      <c r="EEG42" s="478"/>
      <c r="EEH42" s="478"/>
      <c r="EEI42" s="478"/>
      <c r="EEJ42" s="478"/>
      <c r="EEK42" s="478"/>
      <c r="EEL42" s="478"/>
      <c r="EEM42" s="478"/>
      <c r="EEN42" s="478"/>
      <c r="EEO42" s="478"/>
      <c r="EEP42" s="478"/>
      <c r="EEQ42" s="478"/>
      <c r="EER42" s="478"/>
      <c r="EES42" s="478"/>
      <c r="EET42" s="478"/>
      <c r="EEU42" s="478"/>
      <c r="EEV42" s="478"/>
      <c r="EEW42" s="478"/>
      <c r="EEX42" s="478"/>
      <c r="EEY42" s="478"/>
      <c r="EEZ42" s="478"/>
      <c r="EFA42" s="478"/>
      <c r="EFB42" s="478"/>
      <c r="EFC42" s="478"/>
      <c r="EFD42" s="478"/>
      <c r="EFE42" s="478"/>
      <c r="EFF42" s="478"/>
      <c r="EFG42" s="478"/>
      <c r="EFH42" s="478"/>
      <c r="EFI42" s="478"/>
      <c r="EFJ42" s="478"/>
      <c r="EFK42" s="478"/>
      <c r="EFL42" s="478"/>
      <c r="EFM42" s="478"/>
      <c r="EFN42" s="478"/>
      <c r="EFO42" s="478"/>
      <c r="EFP42" s="478"/>
      <c r="EFQ42" s="478"/>
      <c r="EFR42" s="478"/>
      <c r="EFS42" s="478"/>
      <c r="EFT42" s="478"/>
      <c r="EFU42" s="478"/>
      <c r="EFV42" s="478"/>
      <c r="EFW42" s="478"/>
      <c r="EFX42" s="478"/>
      <c r="EFY42" s="478"/>
      <c r="EFZ42" s="478"/>
      <c r="EGA42" s="478"/>
      <c r="EGB42" s="478"/>
      <c r="EGC42" s="478"/>
      <c r="EGD42" s="478"/>
      <c r="EGE42" s="478"/>
      <c r="EGF42" s="478"/>
      <c r="EGG42" s="478"/>
      <c r="EGH42" s="478"/>
      <c r="EGI42" s="478"/>
      <c r="EGJ42" s="478"/>
      <c r="EGK42" s="478"/>
      <c r="EGL42" s="478"/>
      <c r="EGM42" s="478"/>
      <c r="EGN42" s="478"/>
      <c r="EGO42" s="478"/>
      <c r="EGP42" s="478"/>
      <c r="EGQ42" s="478"/>
      <c r="EGR42" s="478"/>
      <c r="EGS42" s="478"/>
      <c r="EGT42" s="478"/>
      <c r="EGU42" s="478"/>
      <c r="EGV42" s="478"/>
      <c r="EGW42" s="478"/>
      <c r="EGX42" s="478"/>
      <c r="EGY42" s="478"/>
      <c r="EGZ42" s="478"/>
      <c r="EHA42" s="478"/>
      <c r="EHB42" s="478"/>
      <c r="EHC42" s="478"/>
      <c r="EHD42" s="478"/>
      <c r="EHE42" s="478"/>
      <c r="EHF42" s="478"/>
      <c r="EHG42" s="478"/>
      <c r="EHH42" s="478"/>
      <c r="EHI42" s="478"/>
      <c r="EHJ42" s="478"/>
      <c r="EHK42" s="478"/>
      <c r="EHL42" s="478"/>
      <c r="EHM42" s="478"/>
      <c r="EHN42" s="478"/>
      <c r="EHO42" s="478"/>
      <c r="EHP42" s="478"/>
      <c r="EHQ42" s="478"/>
      <c r="EHR42" s="478"/>
      <c r="EHS42" s="478"/>
      <c r="EHT42" s="478"/>
      <c r="EHU42" s="478"/>
      <c r="EHV42" s="478"/>
      <c r="EHW42" s="478"/>
      <c r="EHX42" s="478"/>
      <c r="EHY42" s="478"/>
      <c r="EHZ42" s="478"/>
      <c r="EIA42" s="478"/>
      <c r="EIB42" s="478"/>
      <c r="EIC42" s="478"/>
      <c r="EID42" s="478"/>
      <c r="EIE42" s="478"/>
      <c r="EIF42" s="478"/>
      <c r="EIG42" s="478"/>
      <c r="EIH42" s="478"/>
      <c r="EII42" s="478"/>
      <c r="EIJ42" s="478"/>
      <c r="EIK42" s="478"/>
      <c r="EIL42" s="478"/>
      <c r="EIM42" s="478"/>
      <c r="EIN42" s="478"/>
      <c r="EIO42" s="478"/>
      <c r="EIP42" s="478"/>
      <c r="EIQ42" s="478"/>
      <c r="EIR42" s="478"/>
      <c r="EIS42" s="478"/>
      <c r="EIT42" s="478"/>
      <c r="EIU42" s="478"/>
      <c r="EIV42" s="478"/>
      <c r="EIW42" s="478"/>
      <c r="EIX42" s="478"/>
      <c r="EIY42" s="478"/>
      <c r="EIZ42" s="478"/>
      <c r="EJA42" s="478"/>
      <c r="EJB42" s="478"/>
      <c r="EJC42" s="478"/>
      <c r="EJD42" s="478"/>
      <c r="EJE42" s="478"/>
      <c r="EJF42" s="478"/>
      <c r="EJG42" s="478"/>
      <c r="EJH42" s="478"/>
      <c r="EJI42" s="478"/>
      <c r="EJJ42" s="478"/>
      <c r="EJK42" s="478"/>
      <c r="EJL42" s="478"/>
      <c r="EJM42" s="478"/>
      <c r="EJN42" s="478"/>
      <c r="EJO42" s="478"/>
      <c r="EJP42" s="478"/>
      <c r="EJQ42" s="478"/>
      <c r="EJR42" s="478"/>
      <c r="EJS42" s="478"/>
      <c r="EJT42" s="478"/>
      <c r="EJU42" s="478"/>
      <c r="EJV42" s="478"/>
      <c r="EJW42" s="478"/>
      <c r="EJX42" s="478"/>
      <c r="EJY42" s="478"/>
      <c r="EJZ42" s="478"/>
      <c r="EKA42" s="478"/>
      <c r="EKB42" s="478"/>
      <c r="EKC42" s="478"/>
      <c r="EKD42" s="478"/>
      <c r="EKE42" s="478"/>
      <c r="EKF42" s="478"/>
      <c r="EKG42" s="478"/>
      <c r="EKH42" s="478"/>
      <c r="EKI42" s="478"/>
      <c r="EKJ42" s="478"/>
      <c r="EKK42" s="478"/>
      <c r="EKL42" s="478"/>
      <c r="EKM42" s="478"/>
      <c r="EKN42" s="478"/>
      <c r="EKO42" s="478"/>
      <c r="EKP42" s="478"/>
      <c r="EKQ42" s="478"/>
      <c r="EKR42" s="478"/>
      <c r="EKS42" s="478"/>
      <c r="EKT42" s="478"/>
      <c r="EKU42" s="478"/>
      <c r="EKV42" s="478"/>
      <c r="EKW42" s="478"/>
      <c r="EKX42" s="478"/>
      <c r="EKY42" s="478"/>
      <c r="EKZ42" s="478"/>
      <c r="ELA42" s="478"/>
      <c r="ELB42" s="478"/>
      <c r="ELC42" s="478"/>
      <c r="ELD42" s="478"/>
      <c r="ELE42" s="478"/>
      <c r="ELF42" s="478"/>
      <c r="ELG42" s="478"/>
      <c r="ELH42" s="478"/>
      <c r="ELI42" s="478"/>
      <c r="ELJ42" s="478"/>
      <c r="ELK42" s="478"/>
      <c r="ELL42" s="478"/>
      <c r="ELM42" s="478"/>
      <c r="ELN42" s="478"/>
      <c r="ELO42" s="478"/>
      <c r="ELP42" s="478"/>
      <c r="ELQ42" s="478"/>
      <c r="ELR42" s="478"/>
      <c r="ELS42" s="478"/>
      <c r="ELT42" s="478"/>
      <c r="ELU42" s="478"/>
      <c r="ELV42" s="478"/>
      <c r="ELW42" s="478"/>
      <c r="ELX42" s="478"/>
      <c r="ELY42" s="478"/>
      <c r="ELZ42" s="478"/>
      <c r="EMA42" s="478"/>
      <c r="EMB42" s="478"/>
      <c r="EMC42" s="478"/>
      <c r="EMD42" s="478"/>
      <c r="EME42" s="478"/>
      <c r="EMF42" s="478"/>
      <c r="EMG42" s="478"/>
      <c r="EMH42" s="478"/>
      <c r="EMI42" s="478"/>
      <c r="EMJ42" s="478"/>
      <c r="EMK42" s="478"/>
      <c r="EML42" s="478"/>
      <c r="EMM42" s="478"/>
      <c r="EMN42" s="478"/>
      <c r="EMO42" s="478"/>
      <c r="EMP42" s="478"/>
      <c r="EMQ42" s="478"/>
      <c r="EMR42" s="478"/>
      <c r="EMS42" s="478"/>
      <c r="EMT42" s="478"/>
      <c r="EMU42" s="478"/>
      <c r="EMV42" s="478"/>
      <c r="EMW42" s="478"/>
      <c r="EMX42" s="478"/>
      <c r="EMY42" s="478"/>
      <c r="EMZ42" s="478"/>
      <c r="ENA42" s="478"/>
      <c r="ENB42" s="478"/>
      <c r="ENC42" s="478"/>
      <c r="END42" s="478"/>
      <c r="ENE42" s="478"/>
      <c r="ENF42" s="478"/>
      <c r="ENG42" s="478"/>
      <c r="ENH42" s="478"/>
      <c r="ENI42" s="478"/>
      <c r="ENJ42" s="478"/>
      <c r="ENK42" s="478"/>
      <c r="ENL42" s="478"/>
      <c r="ENM42" s="478"/>
      <c r="ENN42" s="478"/>
      <c r="ENO42" s="478"/>
      <c r="ENP42" s="478"/>
      <c r="ENQ42" s="478"/>
      <c r="ENR42" s="478"/>
      <c r="ENS42" s="478"/>
      <c r="ENT42" s="478"/>
      <c r="ENU42" s="478"/>
      <c r="ENV42" s="478"/>
      <c r="ENW42" s="478"/>
      <c r="ENX42" s="478"/>
      <c r="ENY42" s="478"/>
      <c r="ENZ42" s="478"/>
      <c r="EOA42" s="478"/>
      <c r="EOB42" s="478"/>
      <c r="EOC42" s="478"/>
      <c r="EOD42" s="478"/>
      <c r="EOE42" s="478"/>
      <c r="EOF42" s="478"/>
      <c r="EOG42" s="478"/>
      <c r="EOH42" s="478"/>
      <c r="EOI42" s="478"/>
      <c r="EOJ42" s="478"/>
      <c r="EOK42" s="478"/>
      <c r="EOL42" s="478"/>
      <c r="EOM42" s="478"/>
      <c r="EON42" s="478"/>
      <c r="EOO42" s="478"/>
      <c r="EOP42" s="478"/>
      <c r="EOQ42" s="478"/>
      <c r="EOR42" s="478"/>
      <c r="EOS42" s="478"/>
      <c r="EOT42" s="478"/>
      <c r="EOU42" s="478"/>
      <c r="EOV42" s="478"/>
      <c r="EOW42" s="478"/>
      <c r="EOX42" s="478"/>
      <c r="EOY42" s="478"/>
      <c r="EOZ42" s="478"/>
      <c r="EPA42" s="478"/>
      <c r="EPB42" s="478"/>
      <c r="EPC42" s="478"/>
      <c r="EPD42" s="478"/>
      <c r="EPE42" s="478"/>
      <c r="EPF42" s="478"/>
      <c r="EPG42" s="478"/>
      <c r="EPH42" s="478"/>
      <c r="EPI42" s="478"/>
      <c r="EPJ42" s="478"/>
      <c r="EPK42" s="478"/>
      <c r="EPL42" s="478"/>
      <c r="EPM42" s="478"/>
      <c r="EPN42" s="478"/>
      <c r="EPO42" s="478"/>
      <c r="EPP42" s="478"/>
      <c r="EPQ42" s="478"/>
      <c r="EPR42" s="478"/>
      <c r="EPS42" s="478"/>
      <c r="EPT42" s="478"/>
      <c r="EPU42" s="478"/>
      <c r="EPV42" s="478"/>
      <c r="EPW42" s="478"/>
      <c r="EPX42" s="478"/>
      <c r="EPY42" s="478"/>
      <c r="EPZ42" s="478"/>
      <c r="EQA42" s="478"/>
      <c r="EQB42" s="478"/>
      <c r="EQC42" s="478"/>
      <c r="EQD42" s="478"/>
      <c r="EQE42" s="478"/>
      <c r="EQF42" s="478"/>
      <c r="EQG42" s="478"/>
      <c r="EQH42" s="478"/>
      <c r="EQI42" s="478"/>
      <c r="EQJ42" s="478"/>
      <c r="EQK42" s="478"/>
      <c r="EQL42" s="478"/>
      <c r="EQM42" s="478"/>
      <c r="EQN42" s="478"/>
      <c r="EQO42" s="478"/>
      <c r="EQP42" s="478"/>
      <c r="EQQ42" s="478"/>
      <c r="EQR42" s="478"/>
      <c r="EQS42" s="478"/>
      <c r="EQT42" s="478"/>
      <c r="EQU42" s="478"/>
      <c r="EQV42" s="478"/>
      <c r="EQW42" s="478"/>
      <c r="EQX42" s="478"/>
      <c r="EQY42" s="478"/>
      <c r="EQZ42" s="478"/>
      <c r="ERA42" s="478"/>
      <c r="ERB42" s="478"/>
      <c r="ERC42" s="478"/>
      <c r="ERD42" s="478"/>
      <c r="ERE42" s="478"/>
      <c r="ERF42" s="478"/>
      <c r="ERG42" s="478"/>
      <c r="ERH42" s="478"/>
      <c r="ERI42" s="478"/>
      <c r="ERJ42" s="478"/>
      <c r="ERK42" s="478"/>
      <c r="ERL42" s="478"/>
      <c r="ERM42" s="478"/>
      <c r="ERN42" s="478"/>
      <c r="ERO42" s="478"/>
      <c r="ERP42" s="478"/>
      <c r="ERQ42" s="478"/>
      <c r="ERR42" s="478"/>
      <c r="ERS42" s="478"/>
      <c r="ERT42" s="478"/>
      <c r="ERU42" s="478"/>
      <c r="ERV42" s="478"/>
      <c r="ERW42" s="478"/>
      <c r="ERX42" s="478"/>
      <c r="ERY42" s="478"/>
      <c r="ERZ42" s="478"/>
      <c r="ESA42" s="478"/>
      <c r="ESB42" s="478"/>
      <c r="ESC42" s="478"/>
      <c r="ESD42" s="478"/>
      <c r="ESE42" s="478"/>
      <c r="ESF42" s="478"/>
      <c r="ESG42" s="478"/>
      <c r="ESH42" s="478"/>
      <c r="ESI42" s="478"/>
      <c r="ESJ42" s="478"/>
      <c r="ESK42" s="478"/>
      <c r="ESL42" s="478"/>
      <c r="ESM42" s="478"/>
      <c r="ESN42" s="478"/>
      <c r="ESO42" s="478"/>
      <c r="ESP42" s="478"/>
      <c r="ESQ42" s="478"/>
      <c r="ESR42" s="478"/>
      <c r="ESS42" s="478"/>
      <c r="EST42" s="478"/>
      <c r="ESU42" s="478"/>
      <c r="ESV42" s="478"/>
      <c r="ESW42" s="478"/>
      <c r="ESX42" s="478"/>
      <c r="ESY42" s="478"/>
      <c r="ESZ42" s="478"/>
      <c r="ETA42" s="478"/>
      <c r="ETB42" s="478"/>
      <c r="ETC42" s="478"/>
      <c r="ETD42" s="478"/>
      <c r="ETE42" s="478"/>
      <c r="ETF42" s="478"/>
      <c r="ETG42" s="478"/>
      <c r="ETH42" s="478"/>
      <c r="ETI42" s="478"/>
      <c r="ETJ42" s="478"/>
      <c r="ETK42" s="478"/>
      <c r="ETL42" s="478"/>
      <c r="ETM42" s="478"/>
      <c r="ETN42" s="478"/>
      <c r="ETO42" s="478"/>
      <c r="ETP42" s="478"/>
      <c r="ETQ42" s="478"/>
      <c r="ETR42" s="478"/>
      <c r="ETS42" s="478"/>
      <c r="ETT42" s="478"/>
      <c r="ETU42" s="478"/>
      <c r="ETV42" s="478"/>
      <c r="ETW42" s="478"/>
      <c r="ETX42" s="478"/>
      <c r="ETY42" s="478"/>
      <c r="ETZ42" s="478"/>
      <c r="EUA42" s="478"/>
      <c r="EUB42" s="478"/>
      <c r="EUC42" s="478"/>
      <c r="EUD42" s="478"/>
      <c r="EUE42" s="478"/>
      <c r="EUF42" s="478"/>
      <c r="EUG42" s="478"/>
      <c r="EUH42" s="478"/>
      <c r="EUI42" s="478"/>
      <c r="EUJ42" s="478"/>
      <c r="EUK42" s="478"/>
      <c r="EUL42" s="478"/>
      <c r="EUM42" s="478"/>
      <c r="EUN42" s="478"/>
      <c r="EUO42" s="478"/>
      <c r="EUP42" s="478"/>
      <c r="EUQ42" s="478"/>
      <c r="EUR42" s="478"/>
      <c r="EUS42" s="478"/>
      <c r="EUT42" s="478"/>
      <c r="EUU42" s="478"/>
      <c r="EUV42" s="478"/>
      <c r="EUW42" s="478"/>
      <c r="EUX42" s="478"/>
      <c r="EUY42" s="478"/>
      <c r="EUZ42" s="478"/>
      <c r="EVA42" s="478"/>
      <c r="EVB42" s="478"/>
      <c r="EVC42" s="478"/>
      <c r="EVD42" s="478"/>
      <c r="EVE42" s="478"/>
      <c r="EVF42" s="478"/>
      <c r="EVG42" s="478"/>
      <c r="EVH42" s="478"/>
      <c r="EVI42" s="478"/>
      <c r="EVJ42" s="478"/>
      <c r="EVK42" s="478"/>
      <c r="EVL42" s="478"/>
      <c r="EVM42" s="478"/>
      <c r="EVN42" s="478"/>
      <c r="EVO42" s="478"/>
      <c r="EVP42" s="478"/>
      <c r="EVQ42" s="478"/>
      <c r="EVR42" s="478"/>
      <c r="EVS42" s="478"/>
      <c r="EVT42" s="478"/>
      <c r="EVU42" s="478"/>
      <c r="EVV42" s="478"/>
      <c r="EVW42" s="478"/>
      <c r="EVX42" s="478"/>
      <c r="EVY42" s="478"/>
      <c r="EVZ42" s="478"/>
      <c r="EWA42" s="478"/>
      <c r="EWB42" s="478"/>
      <c r="EWC42" s="478"/>
      <c r="EWD42" s="478"/>
      <c r="EWE42" s="478"/>
      <c r="EWF42" s="478"/>
      <c r="EWG42" s="478"/>
      <c r="EWH42" s="478"/>
      <c r="EWI42" s="478"/>
      <c r="EWJ42" s="478"/>
      <c r="EWK42" s="478"/>
      <c r="EWL42" s="478"/>
      <c r="EWM42" s="478"/>
      <c r="EWN42" s="478"/>
      <c r="EWO42" s="478"/>
      <c r="EWP42" s="478"/>
      <c r="EWQ42" s="478"/>
      <c r="EWR42" s="478"/>
      <c r="EWS42" s="478"/>
      <c r="EWT42" s="478"/>
      <c r="EWU42" s="478"/>
      <c r="EWV42" s="478"/>
      <c r="EWW42" s="478"/>
      <c r="EWX42" s="478"/>
      <c r="EWY42" s="478"/>
      <c r="EWZ42" s="478"/>
      <c r="EXA42" s="478"/>
      <c r="EXB42" s="478"/>
      <c r="EXC42" s="478"/>
      <c r="EXD42" s="478"/>
      <c r="EXE42" s="478"/>
      <c r="EXF42" s="478"/>
      <c r="EXG42" s="478"/>
      <c r="EXH42" s="478"/>
      <c r="EXI42" s="478"/>
      <c r="EXJ42" s="478"/>
      <c r="EXK42" s="478"/>
      <c r="EXL42" s="478"/>
      <c r="EXM42" s="478"/>
      <c r="EXN42" s="478"/>
      <c r="EXO42" s="478"/>
      <c r="EXP42" s="478"/>
      <c r="EXQ42" s="478"/>
      <c r="EXR42" s="478"/>
      <c r="EXS42" s="478"/>
      <c r="EXT42" s="478"/>
      <c r="EXU42" s="478"/>
      <c r="EXV42" s="478"/>
      <c r="EXW42" s="478"/>
      <c r="EXX42" s="478"/>
      <c r="EXY42" s="478"/>
      <c r="EXZ42" s="478"/>
      <c r="EYA42" s="478"/>
      <c r="EYB42" s="478"/>
      <c r="EYC42" s="478"/>
      <c r="EYD42" s="478"/>
      <c r="EYE42" s="478"/>
      <c r="EYF42" s="478"/>
      <c r="EYG42" s="478"/>
      <c r="EYH42" s="478"/>
      <c r="EYI42" s="478"/>
      <c r="EYJ42" s="478"/>
      <c r="EYK42" s="478"/>
      <c r="EYL42" s="478"/>
      <c r="EYM42" s="478"/>
      <c r="EYN42" s="478"/>
      <c r="EYO42" s="478"/>
      <c r="EYP42" s="478"/>
      <c r="EYQ42" s="478"/>
      <c r="EYR42" s="478"/>
      <c r="EYS42" s="478"/>
      <c r="EYT42" s="478"/>
      <c r="EYU42" s="478"/>
      <c r="EYV42" s="478"/>
      <c r="EYW42" s="478"/>
      <c r="EYX42" s="478"/>
      <c r="EYY42" s="478"/>
      <c r="EYZ42" s="478"/>
      <c r="EZA42" s="478"/>
      <c r="EZB42" s="478"/>
      <c r="EZC42" s="478"/>
      <c r="EZD42" s="478"/>
      <c r="EZE42" s="478"/>
      <c r="EZF42" s="478"/>
      <c r="EZG42" s="478"/>
      <c r="EZH42" s="478"/>
      <c r="EZI42" s="478"/>
      <c r="EZJ42" s="478"/>
      <c r="EZK42" s="478"/>
      <c r="EZL42" s="478"/>
      <c r="EZM42" s="478"/>
      <c r="EZN42" s="478"/>
      <c r="EZO42" s="478"/>
      <c r="EZP42" s="478"/>
      <c r="EZQ42" s="478"/>
      <c r="EZR42" s="478"/>
      <c r="EZS42" s="478"/>
      <c r="EZT42" s="478"/>
      <c r="EZU42" s="478"/>
      <c r="EZV42" s="478"/>
      <c r="EZW42" s="478"/>
      <c r="EZX42" s="478"/>
      <c r="EZY42" s="478"/>
      <c r="EZZ42" s="478"/>
      <c r="FAA42" s="478"/>
      <c r="FAB42" s="478"/>
      <c r="FAC42" s="478"/>
      <c r="FAD42" s="478"/>
      <c r="FAE42" s="478"/>
      <c r="FAF42" s="478"/>
      <c r="FAG42" s="478"/>
      <c r="FAH42" s="478"/>
      <c r="FAI42" s="478"/>
      <c r="FAJ42" s="478"/>
      <c r="FAK42" s="478"/>
      <c r="FAL42" s="478"/>
      <c r="FAM42" s="478"/>
      <c r="FAN42" s="478"/>
      <c r="FAO42" s="478"/>
      <c r="FAP42" s="478"/>
      <c r="FAQ42" s="478"/>
      <c r="FAR42" s="478"/>
      <c r="FAS42" s="478"/>
      <c r="FAT42" s="478"/>
      <c r="FAU42" s="478"/>
      <c r="FAV42" s="478"/>
      <c r="FAW42" s="478"/>
      <c r="FAX42" s="478"/>
      <c r="FAY42" s="478"/>
      <c r="FAZ42" s="478"/>
      <c r="FBA42" s="478"/>
      <c r="FBB42" s="478"/>
      <c r="FBC42" s="478"/>
      <c r="FBD42" s="478"/>
      <c r="FBE42" s="478"/>
      <c r="FBF42" s="478"/>
      <c r="FBG42" s="478"/>
      <c r="FBH42" s="478"/>
      <c r="FBI42" s="478"/>
      <c r="FBJ42" s="478"/>
      <c r="FBK42" s="478"/>
      <c r="FBL42" s="478"/>
      <c r="FBM42" s="478"/>
      <c r="FBN42" s="478"/>
      <c r="FBO42" s="478"/>
      <c r="FBP42" s="478"/>
      <c r="FBQ42" s="478"/>
      <c r="FBR42" s="478"/>
      <c r="FBS42" s="478"/>
      <c r="FBT42" s="478"/>
      <c r="FBU42" s="478"/>
      <c r="FBV42" s="478"/>
      <c r="FBW42" s="478"/>
      <c r="FBX42" s="478"/>
      <c r="FBY42" s="478"/>
      <c r="FBZ42" s="478"/>
      <c r="FCA42" s="478"/>
      <c r="FCB42" s="478"/>
      <c r="FCC42" s="478"/>
      <c r="FCD42" s="478"/>
      <c r="FCE42" s="478"/>
      <c r="FCF42" s="478"/>
      <c r="FCG42" s="478"/>
      <c r="FCH42" s="478"/>
      <c r="FCI42" s="478"/>
      <c r="FCJ42" s="478"/>
      <c r="FCK42" s="478"/>
      <c r="FCL42" s="478"/>
      <c r="FCM42" s="478"/>
      <c r="FCN42" s="478"/>
      <c r="FCO42" s="478"/>
      <c r="FCP42" s="478"/>
      <c r="FCQ42" s="478"/>
      <c r="FCR42" s="478"/>
      <c r="FCS42" s="478"/>
      <c r="FCT42" s="478"/>
      <c r="FCU42" s="478"/>
      <c r="FCV42" s="478"/>
      <c r="FCW42" s="478"/>
      <c r="FCX42" s="478"/>
      <c r="FCY42" s="478"/>
      <c r="FCZ42" s="478"/>
      <c r="FDA42" s="478"/>
      <c r="FDB42" s="478"/>
      <c r="FDC42" s="478"/>
      <c r="FDD42" s="478"/>
      <c r="FDE42" s="478"/>
      <c r="FDF42" s="478"/>
      <c r="FDG42" s="478"/>
      <c r="FDH42" s="478"/>
      <c r="FDI42" s="478"/>
      <c r="FDJ42" s="478"/>
      <c r="FDK42" s="478"/>
      <c r="FDL42" s="478"/>
      <c r="FDM42" s="478"/>
      <c r="FDN42" s="478"/>
      <c r="FDO42" s="478"/>
      <c r="FDP42" s="478"/>
      <c r="FDQ42" s="478"/>
      <c r="FDR42" s="478"/>
      <c r="FDS42" s="478"/>
      <c r="FDT42" s="478"/>
      <c r="FDU42" s="478"/>
      <c r="FDV42" s="478"/>
      <c r="FDW42" s="478"/>
      <c r="FDX42" s="478"/>
      <c r="FDY42" s="478"/>
      <c r="FDZ42" s="478"/>
      <c r="FEA42" s="478"/>
      <c r="FEB42" s="478"/>
      <c r="FEC42" s="478"/>
      <c r="FED42" s="478"/>
      <c r="FEE42" s="478"/>
      <c r="FEF42" s="478"/>
      <c r="FEG42" s="478"/>
      <c r="FEH42" s="478"/>
      <c r="FEI42" s="478"/>
      <c r="FEJ42" s="478"/>
      <c r="FEK42" s="478"/>
      <c r="FEL42" s="478"/>
      <c r="FEM42" s="478"/>
      <c r="FEN42" s="478"/>
      <c r="FEO42" s="478"/>
      <c r="FEP42" s="478"/>
      <c r="FEQ42" s="478"/>
      <c r="FER42" s="478"/>
      <c r="FES42" s="478"/>
      <c r="FET42" s="478"/>
      <c r="FEU42" s="478"/>
      <c r="FEV42" s="478"/>
      <c r="FEW42" s="478"/>
      <c r="FEX42" s="478"/>
      <c r="FEY42" s="478"/>
      <c r="FEZ42" s="478"/>
      <c r="FFA42" s="478"/>
      <c r="FFB42" s="478"/>
      <c r="FFC42" s="478"/>
      <c r="FFD42" s="478"/>
      <c r="FFE42" s="478"/>
      <c r="FFF42" s="478"/>
      <c r="FFG42" s="478"/>
      <c r="FFH42" s="478"/>
      <c r="FFI42" s="478"/>
      <c r="FFJ42" s="478"/>
      <c r="FFK42" s="478"/>
      <c r="FFL42" s="478"/>
      <c r="FFM42" s="478"/>
      <c r="FFN42" s="478"/>
      <c r="FFO42" s="478"/>
      <c r="FFP42" s="478"/>
      <c r="FFQ42" s="478"/>
      <c r="FFR42" s="478"/>
      <c r="FFS42" s="478"/>
      <c r="FFT42" s="478"/>
      <c r="FFU42" s="478"/>
      <c r="FFV42" s="478"/>
      <c r="FFW42" s="478"/>
      <c r="FFX42" s="478"/>
      <c r="FFY42" s="478"/>
      <c r="FFZ42" s="478"/>
      <c r="FGA42" s="478"/>
      <c r="FGB42" s="478"/>
      <c r="FGC42" s="478"/>
      <c r="FGD42" s="478"/>
      <c r="FGE42" s="478"/>
      <c r="FGF42" s="478"/>
      <c r="FGG42" s="478"/>
      <c r="FGH42" s="478"/>
      <c r="FGI42" s="478"/>
      <c r="FGJ42" s="478"/>
      <c r="FGK42" s="478"/>
      <c r="FGL42" s="478"/>
      <c r="FGM42" s="478"/>
      <c r="FGN42" s="478"/>
      <c r="FGO42" s="478"/>
      <c r="FGP42" s="478"/>
      <c r="FGQ42" s="478"/>
      <c r="FGR42" s="478"/>
      <c r="FGS42" s="478"/>
      <c r="FGT42" s="478"/>
      <c r="FGU42" s="478"/>
      <c r="FGV42" s="478"/>
      <c r="FGW42" s="478"/>
      <c r="FGX42" s="478"/>
      <c r="FGY42" s="478"/>
      <c r="FGZ42" s="478"/>
      <c r="FHA42" s="478"/>
      <c r="FHB42" s="478"/>
      <c r="FHC42" s="478"/>
      <c r="FHD42" s="478"/>
      <c r="FHE42" s="478"/>
      <c r="FHF42" s="478"/>
      <c r="FHG42" s="478"/>
      <c r="FHH42" s="478"/>
      <c r="FHI42" s="478"/>
      <c r="FHJ42" s="478"/>
      <c r="FHK42" s="478"/>
      <c r="FHL42" s="478"/>
      <c r="FHM42" s="478"/>
      <c r="FHN42" s="478"/>
      <c r="FHO42" s="478"/>
      <c r="FHP42" s="478"/>
      <c r="FHQ42" s="478"/>
      <c r="FHR42" s="478"/>
      <c r="FHS42" s="478"/>
      <c r="FHT42" s="478"/>
      <c r="FHU42" s="478"/>
      <c r="FHV42" s="478"/>
      <c r="FHW42" s="478"/>
      <c r="FHX42" s="478"/>
      <c r="FHY42" s="478"/>
      <c r="FHZ42" s="478"/>
      <c r="FIA42" s="478"/>
      <c r="FIB42" s="478"/>
      <c r="FIC42" s="478"/>
      <c r="FID42" s="478"/>
      <c r="FIE42" s="478"/>
      <c r="FIF42" s="478"/>
      <c r="FIG42" s="478"/>
      <c r="FIH42" s="478"/>
      <c r="FII42" s="478"/>
      <c r="FIJ42" s="478"/>
      <c r="FIK42" s="478"/>
      <c r="FIL42" s="478"/>
      <c r="FIM42" s="478"/>
      <c r="FIN42" s="478"/>
      <c r="FIO42" s="478"/>
      <c r="FIP42" s="478"/>
      <c r="FIQ42" s="478"/>
      <c r="FIR42" s="478"/>
      <c r="FIS42" s="478"/>
      <c r="FIT42" s="478"/>
      <c r="FIU42" s="478"/>
      <c r="FIV42" s="478"/>
      <c r="FIW42" s="478"/>
      <c r="FIX42" s="478"/>
      <c r="FIY42" s="478"/>
      <c r="FIZ42" s="478"/>
      <c r="FJA42" s="478"/>
      <c r="FJB42" s="478"/>
      <c r="FJC42" s="478"/>
      <c r="FJD42" s="478"/>
      <c r="FJE42" s="478"/>
      <c r="FJF42" s="478"/>
      <c r="FJG42" s="478"/>
      <c r="FJH42" s="478"/>
      <c r="FJI42" s="478"/>
      <c r="FJJ42" s="478"/>
      <c r="FJK42" s="478"/>
      <c r="FJL42" s="478"/>
      <c r="FJM42" s="478"/>
      <c r="FJN42" s="478"/>
      <c r="FJO42" s="478"/>
      <c r="FJP42" s="478"/>
      <c r="FJQ42" s="478"/>
      <c r="FJR42" s="478"/>
      <c r="FJS42" s="478"/>
      <c r="FJT42" s="478"/>
      <c r="FJU42" s="478"/>
      <c r="FJV42" s="478"/>
      <c r="FJW42" s="478"/>
      <c r="FJX42" s="478"/>
      <c r="FJY42" s="478"/>
      <c r="FJZ42" s="478"/>
      <c r="FKA42" s="478"/>
      <c r="FKB42" s="478"/>
      <c r="FKC42" s="478"/>
      <c r="FKD42" s="478"/>
      <c r="FKE42" s="478"/>
      <c r="FKF42" s="478"/>
      <c r="FKG42" s="478"/>
      <c r="FKH42" s="478"/>
      <c r="FKI42" s="478"/>
      <c r="FKJ42" s="478"/>
      <c r="FKK42" s="478"/>
      <c r="FKL42" s="478"/>
      <c r="FKM42" s="478"/>
      <c r="FKN42" s="478"/>
      <c r="FKO42" s="478"/>
      <c r="FKP42" s="478"/>
      <c r="FKQ42" s="478"/>
      <c r="FKR42" s="478"/>
      <c r="FKS42" s="478"/>
      <c r="FKT42" s="478"/>
      <c r="FKU42" s="478"/>
      <c r="FKV42" s="478"/>
      <c r="FKW42" s="478"/>
      <c r="FKX42" s="478"/>
      <c r="FKY42" s="478"/>
      <c r="FKZ42" s="478"/>
      <c r="FLA42" s="478"/>
      <c r="FLB42" s="478"/>
      <c r="FLC42" s="478"/>
      <c r="FLD42" s="478"/>
      <c r="FLE42" s="478"/>
      <c r="FLF42" s="478"/>
      <c r="FLG42" s="478"/>
      <c r="FLH42" s="478"/>
      <c r="FLI42" s="478"/>
      <c r="FLJ42" s="478"/>
      <c r="FLK42" s="478"/>
      <c r="FLL42" s="478"/>
      <c r="FLM42" s="478"/>
      <c r="FLN42" s="478"/>
      <c r="FLO42" s="478"/>
      <c r="FLP42" s="478"/>
      <c r="FLQ42" s="478"/>
      <c r="FLR42" s="478"/>
      <c r="FLS42" s="478"/>
      <c r="FLT42" s="478"/>
      <c r="FLU42" s="478"/>
      <c r="FLV42" s="478"/>
      <c r="FLW42" s="478"/>
      <c r="FLX42" s="478"/>
      <c r="FLY42" s="478"/>
      <c r="FLZ42" s="478"/>
      <c r="FMA42" s="478"/>
      <c r="FMB42" s="478"/>
      <c r="FMC42" s="478"/>
      <c r="FMD42" s="478"/>
      <c r="FME42" s="478"/>
      <c r="FMF42" s="478"/>
      <c r="FMG42" s="478"/>
      <c r="FMH42" s="478"/>
      <c r="FMI42" s="478"/>
      <c r="FMJ42" s="478"/>
      <c r="FMK42" s="478"/>
      <c r="FML42" s="478"/>
      <c r="FMM42" s="478"/>
      <c r="FMN42" s="478"/>
      <c r="FMO42" s="478"/>
      <c r="FMP42" s="478"/>
      <c r="FMQ42" s="478"/>
      <c r="FMR42" s="478"/>
      <c r="FMS42" s="478"/>
      <c r="FMT42" s="478"/>
      <c r="FMU42" s="478"/>
      <c r="FMV42" s="478"/>
      <c r="FMW42" s="478"/>
      <c r="FMX42" s="478"/>
      <c r="FMY42" s="478"/>
      <c r="FMZ42" s="478"/>
      <c r="FNA42" s="478"/>
      <c r="FNB42" s="478"/>
      <c r="FNC42" s="478"/>
      <c r="FND42" s="478"/>
      <c r="FNE42" s="478"/>
      <c r="FNF42" s="478"/>
      <c r="FNG42" s="478"/>
      <c r="FNH42" s="478"/>
      <c r="FNI42" s="478"/>
      <c r="FNJ42" s="478"/>
      <c r="FNK42" s="478"/>
      <c r="FNL42" s="478"/>
      <c r="FNM42" s="478"/>
      <c r="FNN42" s="478"/>
      <c r="FNO42" s="478"/>
      <c r="FNP42" s="478"/>
      <c r="FNQ42" s="478"/>
      <c r="FNR42" s="478"/>
      <c r="FNS42" s="478"/>
      <c r="FNT42" s="478"/>
      <c r="FNU42" s="478"/>
      <c r="FNV42" s="478"/>
      <c r="FNW42" s="478"/>
      <c r="FNX42" s="478"/>
      <c r="FNY42" s="478"/>
      <c r="FNZ42" s="478"/>
      <c r="FOA42" s="478"/>
      <c r="FOB42" s="478"/>
      <c r="FOC42" s="478"/>
      <c r="FOD42" s="478"/>
      <c r="FOE42" s="478"/>
      <c r="FOF42" s="478"/>
      <c r="FOG42" s="478"/>
      <c r="FOH42" s="478"/>
      <c r="FOI42" s="478"/>
      <c r="FOJ42" s="478"/>
      <c r="FOK42" s="478"/>
      <c r="FOL42" s="478"/>
      <c r="FOM42" s="478"/>
      <c r="FON42" s="478"/>
      <c r="FOO42" s="478"/>
      <c r="FOP42" s="478"/>
      <c r="FOQ42" s="478"/>
      <c r="FOR42" s="478"/>
      <c r="FOS42" s="478"/>
      <c r="FOT42" s="478"/>
      <c r="FOU42" s="478"/>
      <c r="FOV42" s="478"/>
      <c r="FOW42" s="478"/>
      <c r="FOX42" s="478"/>
      <c r="FOY42" s="478"/>
      <c r="FOZ42" s="478"/>
      <c r="FPA42" s="478"/>
      <c r="FPB42" s="478"/>
      <c r="FPC42" s="478"/>
      <c r="FPD42" s="478"/>
      <c r="FPE42" s="478"/>
      <c r="FPF42" s="478"/>
      <c r="FPG42" s="478"/>
      <c r="FPH42" s="478"/>
      <c r="FPI42" s="478"/>
      <c r="FPJ42" s="478"/>
      <c r="FPK42" s="478"/>
      <c r="FPL42" s="478"/>
      <c r="FPM42" s="478"/>
      <c r="FPN42" s="478"/>
      <c r="FPO42" s="478"/>
      <c r="FPP42" s="478"/>
      <c r="FPQ42" s="478"/>
      <c r="FPR42" s="478"/>
      <c r="FPS42" s="478"/>
      <c r="FPT42" s="478"/>
      <c r="FPU42" s="478"/>
      <c r="FPV42" s="478"/>
      <c r="FPW42" s="478"/>
      <c r="FPX42" s="478"/>
      <c r="FPY42" s="478"/>
      <c r="FPZ42" s="478"/>
      <c r="FQA42" s="478"/>
      <c r="FQB42" s="478"/>
      <c r="FQC42" s="478"/>
      <c r="FQD42" s="478"/>
      <c r="FQE42" s="478"/>
      <c r="FQF42" s="478"/>
      <c r="FQG42" s="478"/>
      <c r="FQH42" s="478"/>
      <c r="FQI42" s="478"/>
      <c r="FQJ42" s="478"/>
      <c r="FQK42" s="478"/>
      <c r="FQL42" s="478"/>
      <c r="FQM42" s="478"/>
      <c r="FQN42" s="478"/>
      <c r="FQO42" s="478"/>
      <c r="FQP42" s="478"/>
      <c r="FQQ42" s="478"/>
      <c r="FQR42" s="478"/>
      <c r="FQS42" s="478"/>
      <c r="FQT42" s="478"/>
      <c r="FQU42" s="478"/>
      <c r="FQV42" s="478"/>
      <c r="FQW42" s="478"/>
      <c r="FQX42" s="478"/>
      <c r="FQY42" s="478"/>
      <c r="FQZ42" s="478"/>
      <c r="FRA42" s="478"/>
      <c r="FRB42" s="478"/>
      <c r="FRC42" s="478"/>
      <c r="FRD42" s="478"/>
      <c r="FRE42" s="478"/>
      <c r="FRF42" s="478"/>
      <c r="FRG42" s="478"/>
      <c r="FRH42" s="478"/>
      <c r="FRI42" s="478"/>
      <c r="FRJ42" s="478"/>
      <c r="FRK42" s="478"/>
      <c r="FRL42" s="478"/>
      <c r="FRM42" s="478"/>
      <c r="FRN42" s="478"/>
      <c r="FRO42" s="478"/>
      <c r="FRP42" s="478"/>
      <c r="FRQ42" s="478"/>
      <c r="FRR42" s="478"/>
      <c r="FRS42" s="478"/>
      <c r="FRT42" s="478"/>
      <c r="FRU42" s="478"/>
      <c r="FRV42" s="478"/>
      <c r="FRW42" s="478"/>
      <c r="FRX42" s="478"/>
      <c r="FRY42" s="478"/>
      <c r="FRZ42" s="478"/>
      <c r="FSA42" s="478"/>
      <c r="FSB42" s="478"/>
      <c r="FSC42" s="478"/>
      <c r="FSD42" s="478"/>
      <c r="FSE42" s="478"/>
      <c r="FSF42" s="478"/>
      <c r="FSG42" s="478"/>
      <c r="FSH42" s="478"/>
      <c r="FSI42" s="478"/>
      <c r="FSJ42" s="478"/>
      <c r="FSK42" s="478"/>
      <c r="FSL42" s="478"/>
      <c r="FSM42" s="478"/>
      <c r="FSN42" s="478"/>
      <c r="FSO42" s="478"/>
      <c r="FSP42" s="478"/>
      <c r="FSQ42" s="478"/>
      <c r="FSR42" s="478"/>
      <c r="FSS42" s="478"/>
      <c r="FST42" s="478"/>
      <c r="FSU42" s="478"/>
      <c r="FSV42" s="478"/>
      <c r="FSW42" s="478"/>
      <c r="FSX42" s="478"/>
      <c r="FSY42" s="478"/>
      <c r="FSZ42" s="478"/>
      <c r="FTA42" s="478"/>
      <c r="FTB42" s="478"/>
      <c r="FTC42" s="478"/>
      <c r="FTD42" s="478"/>
      <c r="FTE42" s="478"/>
      <c r="FTF42" s="478"/>
      <c r="FTG42" s="478"/>
      <c r="FTH42" s="478"/>
      <c r="FTI42" s="478"/>
      <c r="FTJ42" s="478"/>
      <c r="FTK42" s="478"/>
      <c r="FTL42" s="478"/>
      <c r="FTM42" s="478"/>
      <c r="FTN42" s="478"/>
      <c r="FTO42" s="478"/>
      <c r="FTP42" s="478"/>
      <c r="FTQ42" s="478"/>
      <c r="FTR42" s="478"/>
      <c r="FTS42" s="478"/>
      <c r="FTT42" s="478"/>
      <c r="FTU42" s="478"/>
      <c r="FTV42" s="478"/>
      <c r="FTW42" s="478"/>
      <c r="FTX42" s="478"/>
      <c r="FTY42" s="478"/>
      <c r="FTZ42" s="478"/>
      <c r="FUA42" s="478"/>
      <c r="FUB42" s="478"/>
      <c r="FUC42" s="478"/>
      <c r="FUD42" s="478"/>
      <c r="FUE42" s="478"/>
      <c r="FUF42" s="478"/>
      <c r="FUG42" s="478"/>
      <c r="FUH42" s="478"/>
      <c r="FUI42" s="478"/>
      <c r="FUJ42" s="478"/>
      <c r="FUK42" s="478"/>
      <c r="FUL42" s="478"/>
      <c r="FUM42" s="478"/>
      <c r="FUN42" s="478"/>
      <c r="FUO42" s="478"/>
      <c r="FUP42" s="478"/>
      <c r="FUQ42" s="478"/>
      <c r="FUR42" s="478"/>
      <c r="FUS42" s="478"/>
      <c r="FUT42" s="478"/>
      <c r="FUU42" s="478"/>
      <c r="FUV42" s="478"/>
      <c r="FUW42" s="478"/>
      <c r="FUX42" s="478"/>
      <c r="FUY42" s="478"/>
      <c r="FUZ42" s="478"/>
      <c r="FVA42" s="478"/>
      <c r="FVB42" s="478"/>
      <c r="FVC42" s="478"/>
      <c r="FVD42" s="478"/>
      <c r="FVE42" s="478"/>
      <c r="FVF42" s="478"/>
      <c r="FVG42" s="478"/>
      <c r="FVH42" s="478"/>
      <c r="FVI42" s="478"/>
      <c r="FVJ42" s="478"/>
      <c r="FVK42" s="478"/>
      <c r="FVL42" s="478"/>
      <c r="FVM42" s="478"/>
      <c r="FVN42" s="478"/>
      <c r="FVO42" s="478"/>
      <c r="FVP42" s="478"/>
      <c r="FVQ42" s="478"/>
      <c r="FVR42" s="478"/>
      <c r="FVS42" s="478"/>
      <c r="FVT42" s="478"/>
      <c r="FVU42" s="478"/>
      <c r="FVV42" s="478"/>
      <c r="FVW42" s="478"/>
      <c r="FVX42" s="478"/>
      <c r="FVY42" s="478"/>
      <c r="FVZ42" s="478"/>
      <c r="FWA42" s="478"/>
      <c r="FWB42" s="478"/>
      <c r="FWC42" s="478"/>
      <c r="FWD42" s="478"/>
      <c r="FWE42" s="478"/>
      <c r="FWF42" s="478"/>
      <c r="FWG42" s="478"/>
      <c r="FWH42" s="478"/>
      <c r="FWI42" s="478"/>
      <c r="FWJ42" s="478"/>
      <c r="FWK42" s="478"/>
      <c r="FWL42" s="478"/>
      <c r="FWM42" s="478"/>
      <c r="FWN42" s="478"/>
      <c r="FWO42" s="478"/>
      <c r="FWP42" s="478"/>
      <c r="FWQ42" s="478"/>
      <c r="FWR42" s="478"/>
      <c r="FWS42" s="478"/>
      <c r="FWT42" s="478"/>
      <c r="FWU42" s="478"/>
      <c r="FWV42" s="478"/>
      <c r="FWW42" s="478"/>
      <c r="FWX42" s="478"/>
      <c r="FWY42" s="478"/>
      <c r="FWZ42" s="478"/>
      <c r="FXA42" s="478"/>
      <c r="FXB42" s="478"/>
      <c r="FXC42" s="478"/>
      <c r="FXD42" s="478"/>
      <c r="FXE42" s="478"/>
      <c r="FXF42" s="478"/>
      <c r="FXG42" s="478"/>
      <c r="FXH42" s="478"/>
      <c r="FXI42" s="478"/>
      <c r="FXJ42" s="478"/>
      <c r="FXK42" s="478"/>
      <c r="FXL42" s="478"/>
      <c r="FXM42" s="478"/>
      <c r="FXN42" s="478"/>
      <c r="FXO42" s="478"/>
      <c r="FXP42" s="478"/>
      <c r="FXQ42" s="478"/>
      <c r="FXR42" s="478"/>
      <c r="FXS42" s="478"/>
      <c r="FXT42" s="478"/>
      <c r="FXU42" s="478"/>
      <c r="FXV42" s="478"/>
      <c r="FXW42" s="478"/>
      <c r="FXX42" s="478"/>
      <c r="FXY42" s="478"/>
      <c r="FXZ42" s="478"/>
      <c r="FYA42" s="478"/>
      <c r="FYB42" s="478"/>
      <c r="FYC42" s="478"/>
      <c r="FYD42" s="478"/>
      <c r="FYE42" s="478"/>
      <c r="FYF42" s="478"/>
      <c r="FYG42" s="478"/>
      <c r="FYH42" s="478"/>
      <c r="FYI42" s="478"/>
      <c r="FYJ42" s="478"/>
      <c r="FYK42" s="478"/>
      <c r="FYL42" s="478"/>
      <c r="FYM42" s="478"/>
      <c r="FYN42" s="478"/>
      <c r="FYO42" s="478"/>
      <c r="FYP42" s="478"/>
      <c r="FYQ42" s="478"/>
      <c r="FYR42" s="478"/>
      <c r="FYS42" s="478"/>
      <c r="FYT42" s="478"/>
      <c r="FYU42" s="478"/>
      <c r="FYV42" s="478"/>
      <c r="FYW42" s="478"/>
      <c r="FYX42" s="478"/>
      <c r="FYY42" s="478"/>
      <c r="FYZ42" s="478"/>
      <c r="FZA42" s="478"/>
      <c r="FZB42" s="478"/>
      <c r="FZC42" s="478"/>
      <c r="FZD42" s="478"/>
      <c r="FZE42" s="478"/>
      <c r="FZF42" s="478"/>
      <c r="FZG42" s="478"/>
      <c r="FZH42" s="478"/>
      <c r="FZI42" s="478"/>
      <c r="FZJ42" s="478"/>
      <c r="FZK42" s="478"/>
      <c r="FZL42" s="478"/>
      <c r="FZM42" s="478"/>
      <c r="FZN42" s="478"/>
      <c r="FZO42" s="478"/>
      <c r="FZP42" s="478"/>
      <c r="FZQ42" s="478"/>
      <c r="FZR42" s="478"/>
      <c r="FZS42" s="478"/>
      <c r="FZT42" s="478"/>
      <c r="FZU42" s="478"/>
      <c r="FZV42" s="478"/>
      <c r="FZW42" s="478"/>
      <c r="FZX42" s="478"/>
      <c r="FZY42" s="478"/>
      <c r="FZZ42" s="478"/>
      <c r="GAA42" s="478"/>
      <c r="GAB42" s="478"/>
      <c r="GAC42" s="478"/>
      <c r="GAD42" s="478"/>
      <c r="GAE42" s="478"/>
      <c r="GAF42" s="478"/>
      <c r="GAG42" s="478"/>
      <c r="GAH42" s="478"/>
      <c r="GAI42" s="478"/>
      <c r="GAJ42" s="478"/>
      <c r="GAK42" s="478"/>
      <c r="GAL42" s="478"/>
      <c r="GAM42" s="478"/>
      <c r="GAN42" s="478"/>
      <c r="GAO42" s="478"/>
      <c r="GAP42" s="478"/>
      <c r="GAQ42" s="478"/>
      <c r="GAR42" s="478"/>
      <c r="GAS42" s="478"/>
      <c r="GAT42" s="478"/>
      <c r="GAU42" s="478"/>
      <c r="GAV42" s="478"/>
      <c r="GAW42" s="478"/>
      <c r="GAX42" s="478"/>
      <c r="GAY42" s="478"/>
      <c r="GAZ42" s="478"/>
      <c r="GBA42" s="478"/>
      <c r="GBB42" s="478"/>
      <c r="GBC42" s="478"/>
      <c r="GBD42" s="478"/>
      <c r="GBE42" s="478"/>
      <c r="GBF42" s="478"/>
      <c r="GBG42" s="478"/>
      <c r="GBH42" s="478"/>
      <c r="GBI42" s="478"/>
      <c r="GBJ42" s="478"/>
      <c r="GBK42" s="478"/>
      <c r="GBL42" s="478"/>
      <c r="GBM42" s="478"/>
      <c r="GBN42" s="478"/>
      <c r="GBO42" s="478"/>
      <c r="GBP42" s="478"/>
      <c r="GBQ42" s="478"/>
      <c r="GBR42" s="478"/>
      <c r="GBS42" s="478"/>
      <c r="GBT42" s="478"/>
      <c r="GBU42" s="478"/>
      <c r="GBV42" s="478"/>
      <c r="GBW42" s="478"/>
      <c r="GBX42" s="478"/>
      <c r="GBY42" s="478"/>
      <c r="GBZ42" s="478"/>
      <c r="GCA42" s="478"/>
      <c r="GCB42" s="478"/>
      <c r="GCC42" s="478"/>
      <c r="GCD42" s="478"/>
      <c r="GCE42" s="478"/>
      <c r="GCF42" s="478"/>
      <c r="GCG42" s="478"/>
      <c r="GCH42" s="478"/>
      <c r="GCI42" s="478"/>
      <c r="GCJ42" s="478"/>
      <c r="GCK42" s="478"/>
      <c r="GCL42" s="478"/>
      <c r="GCM42" s="478"/>
      <c r="GCN42" s="478"/>
      <c r="GCO42" s="478"/>
      <c r="GCP42" s="478"/>
      <c r="GCQ42" s="478"/>
      <c r="GCR42" s="478"/>
      <c r="GCS42" s="478"/>
      <c r="GCT42" s="478"/>
      <c r="GCU42" s="478"/>
      <c r="GCV42" s="478"/>
      <c r="GCW42" s="478"/>
      <c r="GCX42" s="478"/>
      <c r="GCY42" s="478"/>
      <c r="GCZ42" s="478"/>
      <c r="GDA42" s="478"/>
      <c r="GDB42" s="478"/>
      <c r="GDC42" s="478"/>
      <c r="GDD42" s="478"/>
      <c r="GDE42" s="478"/>
      <c r="GDF42" s="478"/>
      <c r="GDG42" s="478"/>
      <c r="GDH42" s="478"/>
      <c r="GDI42" s="478"/>
      <c r="GDJ42" s="478"/>
      <c r="GDK42" s="478"/>
      <c r="GDL42" s="478"/>
      <c r="GDM42" s="478"/>
      <c r="GDN42" s="478"/>
      <c r="GDO42" s="478"/>
      <c r="GDP42" s="478"/>
      <c r="GDQ42" s="478"/>
      <c r="GDR42" s="478"/>
      <c r="GDS42" s="478"/>
      <c r="GDT42" s="478"/>
      <c r="GDU42" s="478"/>
      <c r="GDV42" s="478"/>
      <c r="GDW42" s="478"/>
      <c r="GDX42" s="478"/>
      <c r="GDY42" s="478"/>
      <c r="GDZ42" s="478"/>
      <c r="GEA42" s="478"/>
      <c r="GEB42" s="478"/>
      <c r="GEC42" s="478"/>
      <c r="GED42" s="478"/>
      <c r="GEE42" s="478"/>
      <c r="GEF42" s="478"/>
      <c r="GEG42" s="478"/>
      <c r="GEH42" s="478"/>
      <c r="GEI42" s="478"/>
      <c r="GEJ42" s="478"/>
      <c r="GEK42" s="478"/>
      <c r="GEL42" s="478"/>
      <c r="GEM42" s="478"/>
      <c r="GEN42" s="478"/>
      <c r="GEO42" s="478"/>
      <c r="GEP42" s="478"/>
      <c r="GEQ42" s="478"/>
      <c r="GER42" s="478"/>
      <c r="GES42" s="478"/>
      <c r="GET42" s="478"/>
      <c r="GEU42" s="478"/>
      <c r="GEV42" s="478"/>
      <c r="GEW42" s="478"/>
      <c r="GEX42" s="478"/>
      <c r="GEY42" s="478"/>
      <c r="GEZ42" s="478"/>
      <c r="GFA42" s="478"/>
      <c r="GFB42" s="478"/>
      <c r="GFC42" s="478"/>
      <c r="GFD42" s="478"/>
      <c r="GFE42" s="478"/>
      <c r="GFF42" s="478"/>
      <c r="GFG42" s="478"/>
      <c r="GFH42" s="478"/>
      <c r="GFI42" s="478"/>
      <c r="GFJ42" s="478"/>
      <c r="GFK42" s="478"/>
      <c r="GFL42" s="478"/>
      <c r="GFM42" s="478"/>
      <c r="GFN42" s="478"/>
      <c r="GFO42" s="478"/>
      <c r="GFP42" s="478"/>
      <c r="GFQ42" s="478"/>
      <c r="GFR42" s="478"/>
      <c r="GFS42" s="478"/>
      <c r="GFT42" s="478"/>
      <c r="GFU42" s="478"/>
      <c r="GFV42" s="478"/>
      <c r="GFW42" s="478"/>
      <c r="GFX42" s="478"/>
      <c r="GFY42" s="478"/>
      <c r="GFZ42" s="478"/>
      <c r="GGA42" s="478"/>
      <c r="GGB42" s="478"/>
      <c r="GGC42" s="478"/>
      <c r="GGD42" s="478"/>
      <c r="GGE42" s="478"/>
      <c r="GGF42" s="478"/>
      <c r="GGG42" s="478"/>
      <c r="GGH42" s="478"/>
      <c r="GGI42" s="478"/>
      <c r="GGJ42" s="478"/>
      <c r="GGK42" s="478"/>
      <c r="GGL42" s="478"/>
      <c r="GGM42" s="478"/>
      <c r="GGN42" s="478"/>
      <c r="GGO42" s="478"/>
      <c r="GGP42" s="478"/>
      <c r="GGQ42" s="478"/>
      <c r="GGR42" s="478"/>
      <c r="GGS42" s="478"/>
      <c r="GGT42" s="478"/>
      <c r="GGU42" s="478"/>
      <c r="GGV42" s="478"/>
      <c r="GGW42" s="478"/>
      <c r="GGX42" s="478"/>
      <c r="GGY42" s="478"/>
      <c r="GGZ42" s="478"/>
      <c r="GHA42" s="478"/>
      <c r="GHB42" s="478"/>
      <c r="GHC42" s="478"/>
      <c r="GHD42" s="478"/>
      <c r="GHE42" s="478"/>
      <c r="GHF42" s="478"/>
      <c r="GHG42" s="478"/>
      <c r="GHH42" s="478"/>
      <c r="GHI42" s="478"/>
      <c r="GHJ42" s="478"/>
      <c r="GHK42" s="478"/>
      <c r="GHL42" s="478"/>
      <c r="GHM42" s="478"/>
      <c r="GHN42" s="478"/>
      <c r="GHO42" s="478"/>
      <c r="GHP42" s="478"/>
      <c r="GHQ42" s="478"/>
      <c r="GHR42" s="478"/>
      <c r="GHS42" s="478"/>
      <c r="GHT42" s="478"/>
      <c r="GHU42" s="478"/>
      <c r="GHV42" s="478"/>
      <c r="GHW42" s="478"/>
      <c r="GHX42" s="478"/>
      <c r="GHY42" s="478"/>
      <c r="GHZ42" s="478"/>
      <c r="GIA42" s="478"/>
      <c r="GIB42" s="478"/>
      <c r="GIC42" s="478"/>
      <c r="GID42" s="478"/>
      <c r="GIE42" s="478"/>
      <c r="GIF42" s="478"/>
      <c r="GIG42" s="478"/>
      <c r="GIH42" s="478"/>
      <c r="GII42" s="478"/>
      <c r="GIJ42" s="478"/>
      <c r="GIK42" s="478"/>
      <c r="GIL42" s="478"/>
      <c r="GIM42" s="478"/>
      <c r="GIN42" s="478"/>
      <c r="GIO42" s="478"/>
      <c r="GIP42" s="478"/>
      <c r="GIQ42" s="478"/>
      <c r="GIR42" s="478"/>
      <c r="GIS42" s="478"/>
      <c r="GIT42" s="478"/>
      <c r="GIU42" s="478"/>
      <c r="GIV42" s="478"/>
      <c r="GIW42" s="478"/>
      <c r="GIX42" s="478"/>
      <c r="GIY42" s="478"/>
      <c r="GIZ42" s="478"/>
      <c r="GJA42" s="478"/>
      <c r="GJB42" s="478"/>
      <c r="GJC42" s="478"/>
      <c r="GJD42" s="478"/>
      <c r="GJE42" s="478"/>
      <c r="GJF42" s="478"/>
      <c r="GJG42" s="478"/>
      <c r="GJH42" s="478"/>
      <c r="GJI42" s="478"/>
      <c r="GJJ42" s="478"/>
      <c r="GJK42" s="478"/>
      <c r="GJL42" s="478"/>
      <c r="GJM42" s="478"/>
      <c r="GJN42" s="478"/>
      <c r="GJO42" s="478"/>
      <c r="GJP42" s="478"/>
      <c r="GJQ42" s="478"/>
      <c r="GJR42" s="478"/>
      <c r="GJS42" s="478"/>
      <c r="GJT42" s="478"/>
      <c r="GJU42" s="478"/>
      <c r="GJV42" s="478"/>
      <c r="GJW42" s="478"/>
      <c r="GJX42" s="478"/>
      <c r="GJY42" s="478"/>
      <c r="GJZ42" s="478"/>
      <c r="GKA42" s="478"/>
      <c r="GKB42" s="478"/>
      <c r="GKC42" s="478"/>
      <c r="GKD42" s="478"/>
      <c r="GKE42" s="478"/>
      <c r="GKF42" s="478"/>
      <c r="GKG42" s="478"/>
      <c r="GKH42" s="478"/>
      <c r="GKI42" s="478"/>
      <c r="GKJ42" s="478"/>
      <c r="GKK42" s="478"/>
      <c r="GKL42" s="478"/>
      <c r="GKM42" s="478"/>
      <c r="GKN42" s="478"/>
      <c r="GKO42" s="478"/>
      <c r="GKP42" s="478"/>
      <c r="GKQ42" s="478"/>
      <c r="GKR42" s="478"/>
      <c r="GKS42" s="478"/>
      <c r="GKT42" s="478"/>
      <c r="GKU42" s="478"/>
      <c r="GKV42" s="478"/>
      <c r="GKW42" s="478"/>
      <c r="GKX42" s="478"/>
      <c r="GKY42" s="478"/>
      <c r="GKZ42" s="478"/>
      <c r="GLA42" s="478"/>
      <c r="GLB42" s="478"/>
      <c r="GLC42" s="478"/>
      <c r="GLD42" s="478"/>
      <c r="GLE42" s="478"/>
      <c r="GLF42" s="478"/>
      <c r="GLG42" s="478"/>
      <c r="GLH42" s="478"/>
      <c r="GLI42" s="478"/>
      <c r="GLJ42" s="478"/>
      <c r="GLK42" s="478"/>
      <c r="GLL42" s="478"/>
      <c r="GLM42" s="478"/>
      <c r="GLN42" s="478"/>
      <c r="GLO42" s="478"/>
      <c r="GLP42" s="478"/>
      <c r="GLQ42" s="478"/>
      <c r="GLR42" s="478"/>
      <c r="GLS42" s="478"/>
      <c r="GLT42" s="478"/>
      <c r="GLU42" s="478"/>
      <c r="GLV42" s="478"/>
      <c r="GLW42" s="478"/>
      <c r="GLX42" s="478"/>
      <c r="GLY42" s="478"/>
      <c r="GLZ42" s="478"/>
      <c r="GMA42" s="478"/>
      <c r="GMB42" s="478"/>
      <c r="GMC42" s="478"/>
      <c r="GMD42" s="478"/>
      <c r="GME42" s="478"/>
      <c r="GMF42" s="478"/>
      <c r="GMG42" s="478"/>
      <c r="GMH42" s="478"/>
      <c r="GMI42" s="478"/>
      <c r="GMJ42" s="478"/>
      <c r="GMK42" s="478"/>
      <c r="GML42" s="478"/>
      <c r="GMM42" s="478"/>
      <c r="GMN42" s="478"/>
      <c r="GMO42" s="478"/>
      <c r="GMP42" s="478"/>
      <c r="GMQ42" s="478"/>
      <c r="GMR42" s="478"/>
      <c r="GMS42" s="478"/>
      <c r="GMT42" s="478"/>
      <c r="GMU42" s="478"/>
      <c r="GMV42" s="478"/>
      <c r="GMW42" s="478"/>
      <c r="GMX42" s="478"/>
      <c r="GMY42" s="478"/>
      <c r="GMZ42" s="478"/>
      <c r="GNA42" s="478"/>
      <c r="GNB42" s="478"/>
      <c r="GNC42" s="478"/>
      <c r="GND42" s="478"/>
      <c r="GNE42" s="478"/>
      <c r="GNF42" s="478"/>
      <c r="GNG42" s="478"/>
      <c r="GNH42" s="478"/>
      <c r="GNI42" s="478"/>
      <c r="GNJ42" s="478"/>
      <c r="GNK42" s="478"/>
      <c r="GNL42" s="478"/>
      <c r="GNM42" s="478"/>
      <c r="GNN42" s="478"/>
      <c r="GNO42" s="478"/>
      <c r="GNP42" s="478"/>
      <c r="GNQ42" s="478"/>
      <c r="GNR42" s="478"/>
      <c r="GNS42" s="478"/>
      <c r="GNT42" s="478"/>
      <c r="GNU42" s="478"/>
      <c r="GNV42" s="478"/>
      <c r="GNW42" s="478"/>
      <c r="GNX42" s="478"/>
      <c r="GNY42" s="478"/>
      <c r="GNZ42" s="478"/>
      <c r="GOA42" s="478"/>
      <c r="GOB42" s="478"/>
      <c r="GOC42" s="478"/>
      <c r="GOD42" s="478"/>
      <c r="GOE42" s="478"/>
      <c r="GOF42" s="478"/>
      <c r="GOG42" s="478"/>
      <c r="GOH42" s="478"/>
      <c r="GOI42" s="478"/>
      <c r="GOJ42" s="478"/>
      <c r="GOK42" s="478"/>
      <c r="GOL42" s="478"/>
      <c r="GOM42" s="478"/>
      <c r="GON42" s="478"/>
      <c r="GOO42" s="478"/>
      <c r="GOP42" s="478"/>
      <c r="GOQ42" s="478"/>
      <c r="GOR42" s="478"/>
      <c r="GOS42" s="478"/>
      <c r="GOT42" s="478"/>
      <c r="GOU42" s="478"/>
      <c r="GOV42" s="478"/>
      <c r="GOW42" s="478"/>
      <c r="GOX42" s="478"/>
      <c r="GOY42" s="478"/>
      <c r="GOZ42" s="478"/>
      <c r="GPA42" s="478"/>
      <c r="GPB42" s="478"/>
      <c r="GPC42" s="478"/>
      <c r="GPD42" s="478"/>
      <c r="GPE42" s="478"/>
      <c r="GPF42" s="478"/>
      <c r="GPG42" s="478"/>
      <c r="GPH42" s="478"/>
      <c r="GPI42" s="478"/>
      <c r="GPJ42" s="478"/>
      <c r="GPK42" s="478"/>
      <c r="GPL42" s="478"/>
      <c r="GPM42" s="478"/>
      <c r="GPN42" s="478"/>
      <c r="GPO42" s="478"/>
      <c r="GPP42" s="478"/>
      <c r="GPQ42" s="478"/>
      <c r="GPR42" s="478"/>
      <c r="GPS42" s="478"/>
      <c r="GPT42" s="478"/>
      <c r="GPU42" s="478"/>
      <c r="GPV42" s="478"/>
      <c r="GPW42" s="478"/>
      <c r="GPX42" s="478"/>
      <c r="GPY42" s="478"/>
      <c r="GPZ42" s="478"/>
      <c r="GQA42" s="478"/>
      <c r="GQB42" s="478"/>
      <c r="GQC42" s="478"/>
      <c r="GQD42" s="478"/>
      <c r="GQE42" s="478"/>
      <c r="GQF42" s="478"/>
      <c r="GQG42" s="478"/>
      <c r="GQH42" s="478"/>
      <c r="GQI42" s="478"/>
      <c r="GQJ42" s="478"/>
      <c r="GQK42" s="478"/>
      <c r="GQL42" s="478"/>
      <c r="GQM42" s="478"/>
      <c r="GQN42" s="478"/>
      <c r="GQO42" s="478"/>
      <c r="GQP42" s="478"/>
      <c r="GQQ42" s="478"/>
      <c r="GQR42" s="478"/>
      <c r="GQS42" s="478"/>
      <c r="GQT42" s="478"/>
      <c r="GQU42" s="478"/>
      <c r="GQV42" s="478"/>
      <c r="GQW42" s="478"/>
      <c r="GQX42" s="478"/>
      <c r="GQY42" s="478"/>
      <c r="GQZ42" s="478"/>
      <c r="GRA42" s="478"/>
      <c r="GRB42" s="478"/>
      <c r="GRC42" s="478"/>
      <c r="GRD42" s="478"/>
      <c r="GRE42" s="478"/>
      <c r="GRF42" s="478"/>
      <c r="GRG42" s="478"/>
      <c r="GRH42" s="478"/>
      <c r="GRI42" s="478"/>
      <c r="GRJ42" s="478"/>
      <c r="GRK42" s="478"/>
      <c r="GRL42" s="478"/>
      <c r="GRM42" s="478"/>
      <c r="GRN42" s="478"/>
      <c r="GRO42" s="478"/>
      <c r="GRP42" s="478"/>
      <c r="GRQ42" s="478"/>
      <c r="GRR42" s="478"/>
      <c r="GRS42" s="478"/>
      <c r="GRT42" s="478"/>
      <c r="GRU42" s="478"/>
      <c r="GRV42" s="478"/>
      <c r="GRW42" s="478"/>
      <c r="GRX42" s="478"/>
      <c r="GRY42" s="478"/>
      <c r="GRZ42" s="478"/>
      <c r="GSA42" s="478"/>
      <c r="GSB42" s="478"/>
      <c r="GSC42" s="478"/>
      <c r="GSD42" s="478"/>
      <c r="GSE42" s="478"/>
      <c r="GSF42" s="478"/>
      <c r="GSG42" s="478"/>
      <c r="GSH42" s="478"/>
      <c r="GSI42" s="478"/>
      <c r="GSJ42" s="478"/>
      <c r="GSK42" s="478"/>
      <c r="GSL42" s="478"/>
      <c r="GSM42" s="478"/>
      <c r="GSN42" s="478"/>
      <c r="GSO42" s="478"/>
      <c r="GSP42" s="478"/>
      <c r="GSQ42" s="478"/>
      <c r="GSR42" s="478"/>
      <c r="GSS42" s="478"/>
      <c r="GST42" s="478"/>
      <c r="GSU42" s="478"/>
      <c r="GSV42" s="478"/>
      <c r="GSW42" s="478"/>
      <c r="GSX42" s="478"/>
      <c r="GSY42" s="478"/>
      <c r="GSZ42" s="478"/>
      <c r="GTA42" s="478"/>
      <c r="GTB42" s="478"/>
      <c r="GTC42" s="478"/>
      <c r="GTD42" s="478"/>
      <c r="GTE42" s="478"/>
      <c r="GTF42" s="478"/>
      <c r="GTG42" s="478"/>
      <c r="GTH42" s="478"/>
      <c r="GTI42" s="478"/>
      <c r="GTJ42" s="478"/>
      <c r="GTK42" s="478"/>
      <c r="GTL42" s="478"/>
      <c r="GTM42" s="478"/>
      <c r="GTN42" s="478"/>
      <c r="GTO42" s="478"/>
      <c r="GTP42" s="478"/>
      <c r="GTQ42" s="478"/>
      <c r="GTR42" s="478"/>
      <c r="GTS42" s="478"/>
      <c r="GTT42" s="478"/>
      <c r="GTU42" s="478"/>
      <c r="GTV42" s="478"/>
      <c r="GTW42" s="478"/>
      <c r="GTX42" s="478"/>
      <c r="GTY42" s="478"/>
      <c r="GTZ42" s="478"/>
      <c r="GUA42" s="478"/>
      <c r="GUB42" s="478"/>
      <c r="GUC42" s="478"/>
      <c r="GUD42" s="478"/>
      <c r="GUE42" s="478"/>
      <c r="GUF42" s="478"/>
      <c r="GUG42" s="478"/>
      <c r="GUH42" s="478"/>
      <c r="GUI42" s="478"/>
      <c r="GUJ42" s="478"/>
      <c r="GUK42" s="478"/>
      <c r="GUL42" s="478"/>
      <c r="GUM42" s="478"/>
      <c r="GUN42" s="478"/>
      <c r="GUO42" s="478"/>
      <c r="GUP42" s="478"/>
      <c r="GUQ42" s="478"/>
      <c r="GUR42" s="478"/>
      <c r="GUS42" s="478"/>
      <c r="GUT42" s="478"/>
      <c r="GUU42" s="478"/>
      <c r="GUV42" s="478"/>
      <c r="GUW42" s="478"/>
      <c r="GUX42" s="478"/>
      <c r="GUY42" s="478"/>
      <c r="GUZ42" s="478"/>
      <c r="GVA42" s="478"/>
      <c r="GVB42" s="478"/>
      <c r="GVC42" s="478"/>
      <c r="GVD42" s="478"/>
      <c r="GVE42" s="478"/>
      <c r="GVF42" s="478"/>
      <c r="GVG42" s="478"/>
      <c r="GVH42" s="478"/>
      <c r="GVI42" s="478"/>
      <c r="GVJ42" s="478"/>
      <c r="GVK42" s="478"/>
      <c r="GVL42" s="478"/>
      <c r="GVM42" s="478"/>
      <c r="GVN42" s="478"/>
      <c r="GVO42" s="478"/>
      <c r="GVP42" s="478"/>
      <c r="GVQ42" s="478"/>
      <c r="GVR42" s="478"/>
      <c r="GVS42" s="478"/>
      <c r="GVT42" s="478"/>
      <c r="GVU42" s="478"/>
      <c r="GVV42" s="478"/>
      <c r="GVW42" s="478"/>
      <c r="GVX42" s="478"/>
      <c r="GVY42" s="478"/>
      <c r="GVZ42" s="478"/>
      <c r="GWA42" s="478"/>
      <c r="GWB42" s="478"/>
      <c r="GWC42" s="478"/>
      <c r="GWD42" s="478"/>
      <c r="GWE42" s="478"/>
      <c r="GWF42" s="478"/>
      <c r="GWG42" s="478"/>
      <c r="GWH42" s="478"/>
      <c r="GWI42" s="478"/>
      <c r="GWJ42" s="478"/>
      <c r="GWK42" s="478"/>
      <c r="GWL42" s="478"/>
      <c r="GWM42" s="478"/>
      <c r="GWN42" s="478"/>
      <c r="GWO42" s="478"/>
      <c r="GWP42" s="478"/>
      <c r="GWQ42" s="478"/>
      <c r="GWR42" s="478"/>
      <c r="GWS42" s="478"/>
      <c r="GWT42" s="478"/>
      <c r="GWU42" s="478"/>
      <c r="GWV42" s="478"/>
      <c r="GWW42" s="478"/>
      <c r="GWX42" s="478"/>
      <c r="GWY42" s="478"/>
      <c r="GWZ42" s="478"/>
      <c r="GXA42" s="478"/>
      <c r="GXB42" s="478"/>
      <c r="GXC42" s="478"/>
      <c r="GXD42" s="478"/>
      <c r="GXE42" s="478"/>
      <c r="GXF42" s="478"/>
      <c r="GXG42" s="478"/>
      <c r="GXH42" s="478"/>
      <c r="GXI42" s="478"/>
      <c r="GXJ42" s="478"/>
      <c r="GXK42" s="478"/>
      <c r="GXL42" s="478"/>
      <c r="GXM42" s="478"/>
      <c r="GXN42" s="478"/>
      <c r="GXO42" s="478"/>
      <c r="GXP42" s="478"/>
      <c r="GXQ42" s="478"/>
      <c r="GXR42" s="478"/>
      <c r="GXS42" s="478"/>
      <c r="GXT42" s="478"/>
      <c r="GXU42" s="478"/>
      <c r="GXV42" s="478"/>
      <c r="GXW42" s="478"/>
      <c r="GXX42" s="478"/>
      <c r="GXY42" s="478"/>
      <c r="GXZ42" s="478"/>
      <c r="GYA42" s="478"/>
      <c r="GYB42" s="478"/>
      <c r="GYC42" s="478"/>
      <c r="GYD42" s="478"/>
      <c r="GYE42" s="478"/>
      <c r="GYF42" s="478"/>
      <c r="GYG42" s="478"/>
      <c r="GYH42" s="478"/>
      <c r="GYI42" s="478"/>
      <c r="GYJ42" s="478"/>
      <c r="GYK42" s="478"/>
      <c r="GYL42" s="478"/>
      <c r="GYM42" s="478"/>
      <c r="GYN42" s="478"/>
      <c r="GYO42" s="478"/>
      <c r="GYP42" s="478"/>
      <c r="GYQ42" s="478"/>
      <c r="GYR42" s="478"/>
      <c r="GYS42" s="478"/>
      <c r="GYT42" s="478"/>
      <c r="GYU42" s="478"/>
      <c r="GYV42" s="478"/>
      <c r="GYW42" s="478"/>
      <c r="GYX42" s="478"/>
      <c r="GYY42" s="478"/>
      <c r="GYZ42" s="478"/>
      <c r="GZA42" s="478"/>
      <c r="GZB42" s="478"/>
      <c r="GZC42" s="478"/>
      <c r="GZD42" s="478"/>
      <c r="GZE42" s="478"/>
      <c r="GZF42" s="478"/>
      <c r="GZG42" s="478"/>
      <c r="GZH42" s="478"/>
      <c r="GZI42" s="478"/>
      <c r="GZJ42" s="478"/>
      <c r="GZK42" s="478"/>
      <c r="GZL42" s="478"/>
      <c r="GZM42" s="478"/>
      <c r="GZN42" s="478"/>
      <c r="GZO42" s="478"/>
      <c r="GZP42" s="478"/>
      <c r="GZQ42" s="478"/>
      <c r="GZR42" s="478"/>
      <c r="GZS42" s="478"/>
      <c r="GZT42" s="478"/>
      <c r="GZU42" s="478"/>
      <c r="GZV42" s="478"/>
      <c r="GZW42" s="478"/>
      <c r="GZX42" s="478"/>
      <c r="GZY42" s="478"/>
      <c r="GZZ42" s="478"/>
      <c r="HAA42" s="478"/>
      <c r="HAB42" s="478"/>
      <c r="HAC42" s="478"/>
      <c r="HAD42" s="478"/>
      <c r="HAE42" s="478"/>
      <c r="HAF42" s="478"/>
      <c r="HAG42" s="478"/>
      <c r="HAH42" s="478"/>
      <c r="HAI42" s="478"/>
      <c r="HAJ42" s="478"/>
      <c r="HAK42" s="478"/>
      <c r="HAL42" s="478"/>
      <c r="HAM42" s="478"/>
      <c r="HAN42" s="478"/>
      <c r="HAO42" s="478"/>
      <c r="HAP42" s="478"/>
      <c r="HAQ42" s="478"/>
      <c r="HAR42" s="478"/>
      <c r="HAS42" s="478"/>
      <c r="HAT42" s="478"/>
      <c r="HAU42" s="478"/>
      <c r="HAV42" s="478"/>
      <c r="HAW42" s="478"/>
      <c r="HAX42" s="478"/>
      <c r="HAY42" s="478"/>
      <c r="HAZ42" s="478"/>
      <c r="HBA42" s="478"/>
      <c r="HBB42" s="478"/>
      <c r="HBC42" s="478"/>
      <c r="HBD42" s="478"/>
      <c r="HBE42" s="478"/>
      <c r="HBF42" s="478"/>
      <c r="HBG42" s="478"/>
      <c r="HBH42" s="478"/>
      <c r="HBI42" s="478"/>
      <c r="HBJ42" s="478"/>
      <c r="HBK42" s="478"/>
      <c r="HBL42" s="478"/>
      <c r="HBM42" s="478"/>
      <c r="HBN42" s="478"/>
      <c r="HBO42" s="478"/>
      <c r="HBP42" s="478"/>
      <c r="HBQ42" s="478"/>
      <c r="HBR42" s="478"/>
      <c r="HBS42" s="478"/>
      <c r="HBT42" s="478"/>
      <c r="HBU42" s="478"/>
      <c r="HBV42" s="478"/>
      <c r="HBW42" s="478"/>
      <c r="HBX42" s="478"/>
      <c r="HBY42" s="478"/>
      <c r="HBZ42" s="478"/>
      <c r="HCA42" s="478"/>
      <c r="HCB42" s="478"/>
      <c r="HCC42" s="478"/>
      <c r="HCD42" s="478"/>
      <c r="HCE42" s="478"/>
      <c r="HCF42" s="478"/>
      <c r="HCG42" s="478"/>
      <c r="HCH42" s="478"/>
      <c r="HCI42" s="478"/>
      <c r="HCJ42" s="478"/>
      <c r="HCK42" s="478"/>
      <c r="HCL42" s="478"/>
      <c r="HCM42" s="478"/>
      <c r="HCN42" s="478"/>
      <c r="HCO42" s="478"/>
      <c r="HCP42" s="478"/>
      <c r="HCQ42" s="478"/>
      <c r="HCR42" s="478"/>
      <c r="HCS42" s="478"/>
      <c r="HCT42" s="478"/>
      <c r="HCU42" s="478"/>
      <c r="HCV42" s="478"/>
      <c r="HCW42" s="478"/>
      <c r="HCX42" s="478"/>
      <c r="HCY42" s="478"/>
      <c r="HCZ42" s="478"/>
      <c r="HDA42" s="478"/>
      <c r="HDB42" s="478"/>
      <c r="HDC42" s="478"/>
      <c r="HDD42" s="478"/>
      <c r="HDE42" s="478"/>
      <c r="HDF42" s="478"/>
      <c r="HDG42" s="478"/>
      <c r="HDH42" s="478"/>
      <c r="HDI42" s="478"/>
      <c r="HDJ42" s="478"/>
      <c r="HDK42" s="478"/>
      <c r="HDL42" s="478"/>
      <c r="HDM42" s="478"/>
      <c r="HDN42" s="478"/>
      <c r="HDO42" s="478"/>
      <c r="HDP42" s="478"/>
      <c r="HDQ42" s="478"/>
      <c r="HDR42" s="478"/>
      <c r="HDS42" s="478"/>
      <c r="HDT42" s="478"/>
      <c r="HDU42" s="478"/>
      <c r="HDV42" s="478"/>
      <c r="HDW42" s="478"/>
      <c r="HDX42" s="478"/>
      <c r="HDY42" s="478"/>
      <c r="HDZ42" s="478"/>
      <c r="HEA42" s="478"/>
      <c r="HEB42" s="478"/>
      <c r="HEC42" s="478"/>
      <c r="HED42" s="478"/>
      <c r="HEE42" s="478"/>
      <c r="HEF42" s="478"/>
      <c r="HEG42" s="478"/>
      <c r="HEH42" s="478"/>
      <c r="HEI42" s="478"/>
      <c r="HEJ42" s="478"/>
      <c r="HEK42" s="478"/>
      <c r="HEL42" s="478"/>
      <c r="HEM42" s="478"/>
      <c r="HEN42" s="478"/>
      <c r="HEO42" s="478"/>
      <c r="HEP42" s="478"/>
      <c r="HEQ42" s="478"/>
      <c r="HER42" s="478"/>
      <c r="HES42" s="478"/>
      <c r="HET42" s="478"/>
      <c r="HEU42" s="478"/>
      <c r="HEV42" s="478"/>
      <c r="HEW42" s="478"/>
      <c r="HEX42" s="478"/>
      <c r="HEY42" s="478"/>
      <c r="HEZ42" s="478"/>
      <c r="HFA42" s="478"/>
      <c r="HFB42" s="478"/>
      <c r="HFC42" s="478"/>
      <c r="HFD42" s="478"/>
      <c r="HFE42" s="478"/>
      <c r="HFF42" s="478"/>
      <c r="HFG42" s="478"/>
      <c r="HFH42" s="478"/>
      <c r="HFI42" s="478"/>
      <c r="HFJ42" s="478"/>
      <c r="HFK42" s="478"/>
      <c r="HFL42" s="478"/>
      <c r="HFM42" s="478"/>
      <c r="HFN42" s="478"/>
      <c r="HFO42" s="478"/>
      <c r="HFP42" s="478"/>
      <c r="HFQ42" s="478"/>
      <c r="HFR42" s="478"/>
      <c r="HFS42" s="478"/>
      <c r="HFT42" s="478"/>
      <c r="HFU42" s="478"/>
      <c r="HFV42" s="478"/>
      <c r="HFW42" s="478"/>
      <c r="HFX42" s="478"/>
      <c r="HFY42" s="478"/>
      <c r="HFZ42" s="478"/>
      <c r="HGA42" s="478"/>
      <c r="HGB42" s="478"/>
      <c r="HGC42" s="478"/>
      <c r="HGD42" s="478"/>
      <c r="HGE42" s="478"/>
      <c r="HGF42" s="478"/>
      <c r="HGG42" s="478"/>
      <c r="HGH42" s="478"/>
      <c r="HGI42" s="478"/>
      <c r="HGJ42" s="478"/>
      <c r="HGK42" s="478"/>
      <c r="HGL42" s="478"/>
      <c r="HGM42" s="478"/>
      <c r="HGN42" s="478"/>
      <c r="HGO42" s="478"/>
      <c r="HGP42" s="478"/>
      <c r="HGQ42" s="478"/>
      <c r="HGR42" s="478"/>
      <c r="HGS42" s="478"/>
      <c r="HGT42" s="478"/>
      <c r="HGU42" s="478"/>
      <c r="HGV42" s="478"/>
      <c r="HGW42" s="478"/>
      <c r="HGX42" s="478"/>
      <c r="HGY42" s="478"/>
      <c r="HGZ42" s="478"/>
      <c r="HHA42" s="478"/>
      <c r="HHB42" s="478"/>
      <c r="HHC42" s="478"/>
      <c r="HHD42" s="478"/>
      <c r="HHE42" s="478"/>
      <c r="HHF42" s="478"/>
      <c r="HHG42" s="478"/>
      <c r="HHH42" s="478"/>
      <c r="HHI42" s="478"/>
      <c r="HHJ42" s="478"/>
      <c r="HHK42" s="478"/>
      <c r="HHL42" s="478"/>
      <c r="HHM42" s="478"/>
      <c r="HHN42" s="478"/>
      <c r="HHO42" s="478"/>
      <c r="HHP42" s="478"/>
      <c r="HHQ42" s="478"/>
      <c r="HHR42" s="478"/>
      <c r="HHS42" s="478"/>
      <c r="HHT42" s="478"/>
      <c r="HHU42" s="478"/>
      <c r="HHV42" s="478"/>
      <c r="HHW42" s="478"/>
      <c r="HHX42" s="478"/>
      <c r="HHY42" s="478"/>
      <c r="HHZ42" s="478"/>
      <c r="HIA42" s="478"/>
      <c r="HIB42" s="478"/>
      <c r="HIC42" s="478"/>
      <c r="HID42" s="478"/>
      <c r="HIE42" s="478"/>
      <c r="HIF42" s="478"/>
      <c r="HIG42" s="478"/>
      <c r="HIH42" s="478"/>
      <c r="HII42" s="478"/>
      <c r="HIJ42" s="478"/>
      <c r="HIK42" s="478"/>
      <c r="HIL42" s="478"/>
      <c r="HIM42" s="478"/>
      <c r="HIN42" s="478"/>
      <c r="HIO42" s="478"/>
      <c r="HIP42" s="478"/>
      <c r="HIQ42" s="478"/>
      <c r="HIR42" s="478"/>
      <c r="HIS42" s="478"/>
      <c r="HIT42" s="478"/>
      <c r="HIU42" s="478"/>
      <c r="HIV42" s="478"/>
      <c r="HIW42" s="478"/>
      <c r="HIX42" s="478"/>
      <c r="HIY42" s="478"/>
      <c r="HIZ42" s="478"/>
      <c r="HJA42" s="478"/>
      <c r="HJB42" s="478"/>
      <c r="HJC42" s="478"/>
      <c r="HJD42" s="478"/>
      <c r="HJE42" s="478"/>
      <c r="HJF42" s="478"/>
      <c r="HJG42" s="478"/>
      <c r="HJH42" s="478"/>
      <c r="HJI42" s="478"/>
      <c r="HJJ42" s="478"/>
      <c r="HJK42" s="478"/>
      <c r="HJL42" s="478"/>
      <c r="HJM42" s="478"/>
      <c r="HJN42" s="478"/>
      <c r="HJO42" s="478"/>
      <c r="HJP42" s="478"/>
      <c r="HJQ42" s="478"/>
      <c r="HJR42" s="478"/>
      <c r="HJS42" s="478"/>
      <c r="HJT42" s="478"/>
      <c r="HJU42" s="478"/>
      <c r="HJV42" s="478"/>
      <c r="HJW42" s="478"/>
      <c r="HJX42" s="478"/>
      <c r="HJY42" s="478"/>
      <c r="HJZ42" s="478"/>
      <c r="HKA42" s="478"/>
      <c r="HKB42" s="478"/>
      <c r="HKC42" s="478"/>
      <c r="HKD42" s="478"/>
      <c r="HKE42" s="478"/>
      <c r="HKF42" s="478"/>
      <c r="HKG42" s="478"/>
      <c r="HKH42" s="478"/>
      <c r="HKI42" s="478"/>
      <c r="HKJ42" s="478"/>
      <c r="HKK42" s="478"/>
      <c r="HKL42" s="478"/>
      <c r="HKM42" s="478"/>
      <c r="HKN42" s="478"/>
      <c r="HKO42" s="478"/>
      <c r="HKP42" s="478"/>
      <c r="HKQ42" s="478"/>
      <c r="HKR42" s="478"/>
      <c r="HKS42" s="478"/>
      <c r="HKT42" s="478"/>
      <c r="HKU42" s="478"/>
      <c r="HKV42" s="478"/>
      <c r="HKW42" s="478"/>
      <c r="HKX42" s="478"/>
      <c r="HKY42" s="478"/>
      <c r="HKZ42" s="478"/>
      <c r="HLA42" s="478"/>
      <c r="HLB42" s="478"/>
      <c r="HLC42" s="478"/>
      <c r="HLD42" s="478"/>
      <c r="HLE42" s="478"/>
      <c r="HLF42" s="478"/>
      <c r="HLG42" s="478"/>
      <c r="HLH42" s="478"/>
      <c r="HLI42" s="478"/>
      <c r="HLJ42" s="478"/>
      <c r="HLK42" s="478"/>
      <c r="HLL42" s="478"/>
      <c r="HLM42" s="478"/>
      <c r="HLN42" s="478"/>
      <c r="HLO42" s="478"/>
      <c r="HLP42" s="478"/>
      <c r="HLQ42" s="478"/>
      <c r="HLR42" s="478"/>
      <c r="HLS42" s="478"/>
      <c r="HLT42" s="478"/>
      <c r="HLU42" s="478"/>
      <c r="HLV42" s="478"/>
      <c r="HLW42" s="478"/>
      <c r="HLX42" s="478"/>
      <c r="HLY42" s="478"/>
      <c r="HLZ42" s="478"/>
      <c r="HMA42" s="478"/>
      <c r="HMB42" s="478"/>
      <c r="HMC42" s="478"/>
      <c r="HMD42" s="478"/>
      <c r="HME42" s="478"/>
      <c r="HMF42" s="478"/>
      <c r="HMG42" s="478"/>
      <c r="HMH42" s="478"/>
      <c r="HMI42" s="478"/>
      <c r="HMJ42" s="478"/>
      <c r="HMK42" s="478"/>
      <c r="HML42" s="478"/>
      <c r="HMM42" s="478"/>
      <c r="HMN42" s="478"/>
      <c r="HMO42" s="478"/>
      <c r="HMP42" s="478"/>
      <c r="HMQ42" s="478"/>
      <c r="HMR42" s="478"/>
      <c r="HMS42" s="478"/>
      <c r="HMT42" s="478"/>
      <c r="HMU42" s="478"/>
      <c r="HMV42" s="478"/>
      <c r="HMW42" s="478"/>
      <c r="HMX42" s="478"/>
      <c r="HMY42" s="478"/>
      <c r="HMZ42" s="478"/>
      <c r="HNA42" s="478"/>
      <c r="HNB42" s="478"/>
      <c r="HNC42" s="478"/>
      <c r="HND42" s="478"/>
      <c r="HNE42" s="478"/>
      <c r="HNF42" s="478"/>
      <c r="HNG42" s="478"/>
      <c r="HNH42" s="478"/>
      <c r="HNI42" s="478"/>
      <c r="HNJ42" s="478"/>
      <c r="HNK42" s="478"/>
      <c r="HNL42" s="478"/>
      <c r="HNM42" s="478"/>
      <c r="HNN42" s="478"/>
      <c r="HNO42" s="478"/>
      <c r="HNP42" s="478"/>
      <c r="HNQ42" s="478"/>
      <c r="HNR42" s="478"/>
      <c r="HNS42" s="478"/>
      <c r="HNT42" s="478"/>
      <c r="HNU42" s="478"/>
      <c r="HNV42" s="478"/>
      <c r="HNW42" s="478"/>
      <c r="HNX42" s="478"/>
      <c r="HNY42" s="478"/>
      <c r="HNZ42" s="478"/>
      <c r="HOA42" s="478"/>
      <c r="HOB42" s="478"/>
      <c r="HOC42" s="478"/>
      <c r="HOD42" s="478"/>
      <c r="HOE42" s="478"/>
      <c r="HOF42" s="478"/>
      <c r="HOG42" s="478"/>
      <c r="HOH42" s="478"/>
      <c r="HOI42" s="478"/>
      <c r="HOJ42" s="478"/>
      <c r="HOK42" s="478"/>
      <c r="HOL42" s="478"/>
      <c r="HOM42" s="478"/>
      <c r="HON42" s="478"/>
      <c r="HOO42" s="478"/>
      <c r="HOP42" s="478"/>
      <c r="HOQ42" s="478"/>
      <c r="HOR42" s="478"/>
      <c r="HOS42" s="478"/>
      <c r="HOT42" s="478"/>
      <c r="HOU42" s="478"/>
      <c r="HOV42" s="478"/>
      <c r="HOW42" s="478"/>
      <c r="HOX42" s="478"/>
      <c r="HOY42" s="478"/>
      <c r="HOZ42" s="478"/>
      <c r="HPA42" s="478"/>
      <c r="HPB42" s="478"/>
      <c r="HPC42" s="478"/>
      <c r="HPD42" s="478"/>
      <c r="HPE42" s="478"/>
      <c r="HPF42" s="478"/>
      <c r="HPG42" s="478"/>
      <c r="HPH42" s="478"/>
      <c r="HPI42" s="478"/>
      <c r="HPJ42" s="478"/>
      <c r="HPK42" s="478"/>
      <c r="HPL42" s="478"/>
      <c r="HPM42" s="478"/>
      <c r="HPN42" s="478"/>
      <c r="HPO42" s="478"/>
      <c r="HPP42" s="478"/>
      <c r="HPQ42" s="478"/>
      <c r="HPR42" s="478"/>
      <c r="HPS42" s="478"/>
      <c r="HPT42" s="478"/>
      <c r="HPU42" s="478"/>
      <c r="HPV42" s="478"/>
      <c r="HPW42" s="478"/>
      <c r="HPX42" s="478"/>
      <c r="HPY42" s="478"/>
      <c r="HPZ42" s="478"/>
      <c r="HQA42" s="478"/>
      <c r="HQB42" s="478"/>
      <c r="HQC42" s="478"/>
      <c r="HQD42" s="478"/>
      <c r="HQE42" s="478"/>
      <c r="HQF42" s="478"/>
      <c r="HQG42" s="478"/>
      <c r="HQH42" s="478"/>
      <c r="HQI42" s="478"/>
      <c r="HQJ42" s="478"/>
      <c r="HQK42" s="478"/>
      <c r="HQL42" s="478"/>
      <c r="HQM42" s="478"/>
      <c r="HQN42" s="478"/>
      <c r="HQO42" s="478"/>
      <c r="HQP42" s="478"/>
      <c r="HQQ42" s="478"/>
      <c r="HQR42" s="478"/>
      <c r="HQS42" s="478"/>
      <c r="HQT42" s="478"/>
      <c r="HQU42" s="478"/>
      <c r="HQV42" s="478"/>
      <c r="HQW42" s="478"/>
      <c r="HQX42" s="478"/>
      <c r="HQY42" s="478"/>
      <c r="HQZ42" s="478"/>
      <c r="HRA42" s="478"/>
      <c r="HRB42" s="478"/>
      <c r="HRC42" s="478"/>
      <c r="HRD42" s="478"/>
      <c r="HRE42" s="478"/>
      <c r="HRF42" s="478"/>
      <c r="HRG42" s="478"/>
      <c r="HRH42" s="478"/>
      <c r="HRI42" s="478"/>
      <c r="HRJ42" s="478"/>
      <c r="HRK42" s="478"/>
      <c r="HRL42" s="478"/>
      <c r="HRM42" s="478"/>
      <c r="HRN42" s="478"/>
      <c r="HRO42" s="478"/>
      <c r="HRP42" s="478"/>
      <c r="HRQ42" s="478"/>
      <c r="HRR42" s="478"/>
      <c r="HRS42" s="478"/>
      <c r="HRT42" s="478"/>
      <c r="HRU42" s="478"/>
      <c r="HRV42" s="478"/>
      <c r="HRW42" s="478"/>
      <c r="HRX42" s="478"/>
      <c r="HRY42" s="478"/>
      <c r="HRZ42" s="478"/>
      <c r="HSA42" s="478"/>
      <c r="HSB42" s="478"/>
      <c r="HSC42" s="478"/>
      <c r="HSD42" s="478"/>
      <c r="HSE42" s="478"/>
      <c r="HSF42" s="478"/>
      <c r="HSG42" s="478"/>
      <c r="HSH42" s="478"/>
      <c r="HSI42" s="478"/>
      <c r="HSJ42" s="478"/>
      <c r="HSK42" s="478"/>
      <c r="HSL42" s="478"/>
      <c r="HSM42" s="478"/>
      <c r="HSN42" s="478"/>
      <c r="HSO42" s="478"/>
      <c r="HSP42" s="478"/>
      <c r="HSQ42" s="478"/>
      <c r="HSR42" s="478"/>
      <c r="HSS42" s="478"/>
      <c r="HST42" s="478"/>
      <c r="HSU42" s="478"/>
      <c r="HSV42" s="478"/>
      <c r="HSW42" s="478"/>
      <c r="HSX42" s="478"/>
      <c r="HSY42" s="478"/>
      <c r="HSZ42" s="478"/>
      <c r="HTA42" s="478"/>
      <c r="HTB42" s="478"/>
      <c r="HTC42" s="478"/>
      <c r="HTD42" s="478"/>
      <c r="HTE42" s="478"/>
      <c r="HTF42" s="478"/>
      <c r="HTG42" s="478"/>
      <c r="HTH42" s="478"/>
      <c r="HTI42" s="478"/>
      <c r="HTJ42" s="478"/>
      <c r="HTK42" s="478"/>
      <c r="HTL42" s="478"/>
      <c r="HTM42" s="478"/>
      <c r="HTN42" s="478"/>
      <c r="HTO42" s="478"/>
      <c r="HTP42" s="478"/>
      <c r="HTQ42" s="478"/>
      <c r="HTR42" s="478"/>
      <c r="HTS42" s="478"/>
      <c r="HTT42" s="478"/>
      <c r="HTU42" s="478"/>
      <c r="HTV42" s="478"/>
      <c r="HTW42" s="478"/>
      <c r="HTX42" s="478"/>
      <c r="HTY42" s="478"/>
      <c r="HTZ42" s="478"/>
      <c r="HUA42" s="478"/>
      <c r="HUB42" s="478"/>
      <c r="HUC42" s="478"/>
      <c r="HUD42" s="478"/>
      <c r="HUE42" s="478"/>
      <c r="HUF42" s="478"/>
      <c r="HUG42" s="478"/>
      <c r="HUH42" s="478"/>
      <c r="HUI42" s="478"/>
      <c r="HUJ42" s="478"/>
      <c r="HUK42" s="478"/>
      <c r="HUL42" s="478"/>
      <c r="HUM42" s="478"/>
      <c r="HUN42" s="478"/>
      <c r="HUO42" s="478"/>
      <c r="HUP42" s="478"/>
      <c r="HUQ42" s="478"/>
      <c r="HUR42" s="478"/>
      <c r="HUS42" s="478"/>
      <c r="HUT42" s="478"/>
      <c r="HUU42" s="478"/>
      <c r="HUV42" s="478"/>
      <c r="HUW42" s="478"/>
      <c r="HUX42" s="478"/>
      <c r="HUY42" s="478"/>
      <c r="HUZ42" s="478"/>
      <c r="HVA42" s="478"/>
      <c r="HVB42" s="478"/>
      <c r="HVC42" s="478"/>
      <c r="HVD42" s="478"/>
      <c r="HVE42" s="478"/>
      <c r="HVF42" s="478"/>
      <c r="HVG42" s="478"/>
      <c r="HVH42" s="478"/>
      <c r="HVI42" s="478"/>
      <c r="HVJ42" s="478"/>
      <c r="HVK42" s="478"/>
      <c r="HVL42" s="478"/>
      <c r="HVM42" s="478"/>
      <c r="HVN42" s="478"/>
      <c r="HVO42" s="478"/>
      <c r="HVP42" s="478"/>
      <c r="HVQ42" s="478"/>
      <c r="HVR42" s="478"/>
      <c r="HVS42" s="478"/>
      <c r="HVT42" s="478"/>
      <c r="HVU42" s="478"/>
      <c r="HVV42" s="478"/>
      <c r="HVW42" s="478"/>
      <c r="HVX42" s="478"/>
      <c r="HVY42" s="478"/>
      <c r="HVZ42" s="478"/>
      <c r="HWA42" s="478"/>
      <c r="HWB42" s="478"/>
      <c r="HWC42" s="478"/>
      <c r="HWD42" s="478"/>
      <c r="HWE42" s="478"/>
      <c r="HWF42" s="478"/>
      <c r="HWG42" s="478"/>
      <c r="HWH42" s="478"/>
      <c r="HWI42" s="478"/>
      <c r="HWJ42" s="478"/>
      <c r="HWK42" s="478"/>
      <c r="HWL42" s="478"/>
      <c r="HWM42" s="478"/>
      <c r="HWN42" s="478"/>
      <c r="HWO42" s="478"/>
      <c r="HWP42" s="478"/>
      <c r="HWQ42" s="478"/>
      <c r="HWR42" s="478"/>
      <c r="HWS42" s="478"/>
      <c r="HWT42" s="478"/>
      <c r="HWU42" s="478"/>
      <c r="HWV42" s="478"/>
      <c r="HWW42" s="478"/>
      <c r="HWX42" s="478"/>
      <c r="HWY42" s="478"/>
      <c r="HWZ42" s="478"/>
      <c r="HXA42" s="478"/>
      <c r="HXB42" s="478"/>
      <c r="HXC42" s="478"/>
      <c r="HXD42" s="478"/>
      <c r="HXE42" s="478"/>
      <c r="HXF42" s="478"/>
      <c r="HXG42" s="478"/>
      <c r="HXH42" s="478"/>
      <c r="HXI42" s="478"/>
      <c r="HXJ42" s="478"/>
      <c r="HXK42" s="478"/>
      <c r="HXL42" s="478"/>
      <c r="HXM42" s="478"/>
      <c r="HXN42" s="478"/>
      <c r="HXO42" s="478"/>
      <c r="HXP42" s="478"/>
      <c r="HXQ42" s="478"/>
      <c r="HXR42" s="478"/>
      <c r="HXS42" s="478"/>
      <c r="HXT42" s="478"/>
      <c r="HXU42" s="478"/>
      <c r="HXV42" s="478"/>
      <c r="HXW42" s="478"/>
      <c r="HXX42" s="478"/>
      <c r="HXY42" s="478"/>
      <c r="HXZ42" s="478"/>
      <c r="HYA42" s="478"/>
      <c r="HYB42" s="478"/>
      <c r="HYC42" s="478"/>
      <c r="HYD42" s="478"/>
      <c r="HYE42" s="478"/>
      <c r="HYF42" s="478"/>
      <c r="HYG42" s="478"/>
      <c r="HYH42" s="478"/>
      <c r="HYI42" s="478"/>
      <c r="HYJ42" s="478"/>
      <c r="HYK42" s="478"/>
      <c r="HYL42" s="478"/>
      <c r="HYM42" s="478"/>
      <c r="HYN42" s="478"/>
      <c r="HYO42" s="478"/>
      <c r="HYP42" s="478"/>
      <c r="HYQ42" s="478"/>
      <c r="HYR42" s="478"/>
      <c r="HYS42" s="478"/>
      <c r="HYT42" s="478"/>
      <c r="HYU42" s="478"/>
      <c r="HYV42" s="478"/>
      <c r="HYW42" s="478"/>
      <c r="HYX42" s="478"/>
      <c r="HYY42" s="478"/>
      <c r="HYZ42" s="478"/>
      <c r="HZA42" s="478"/>
      <c r="HZB42" s="478"/>
      <c r="HZC42" s="478"/>
      <c r="HZD42" s="478"/>
      <c r="HZE42" s="478"/>
      <c r="HZF42" s="478"/>
      <c r="HZG42" s="478"/>
      <c r="HZH42" s="478"/>
      <c r="HZI42" s="478"/>
      <c r="HZJ42" s="478"/>
      <c r="HZK42" s="478"/>
      <c r="HZL42" s="478"/>
      <c r="HZM42" s="478"/>
      <c r="HZN42" s="478"/>
      <c r="HZO42" s="478"/>
      <c r="HZP42" s="478"/>
      <c r="HZQ42" s="478"/>
      <c r="HZR42" s="478"/>
      <c r="HZS42" s="478"/>
      <c r="HZT42" s="478"/>
      <c r="HZU42" s="478"/>
      <c r="HZV42" s="478"/>
      <c r="HZW42" s="478"/>
      <c r="HZX42" s="478"/>
      <c r="HZY42" s="478"/>
      <c r="HZZ42" s="478"/>
      <c r="IAA42" s="478"/>
      <c r="IAB42" s="478"/>
      <c r="IAC42" s="478"/>
      <c r="IAD42" s="478"/>
      <c r="IAE42" s="478"/>
      <c r="IAF42" s="478"/>
      <c r="IAG42" s="478"/>
      <c r="IAH42" s="478"/>
      <c r="IAI42" s="478"/>
      <c r="IAJ42" s="478"/>
      <c r="IAK42" s="478"/>
      <c r="IAL42" s="478"/>
      <c r="IAM42" s="478"/>
      <c r="IAN42" s="478"/>
      <c r="IAO42" s="478"/>
      <c r="IAP42" s="478"/>
      <c r="IAQ42" s="478"/>
      <c r="IAR42" s="478"/>
      <c r="IAS42" s="478"/>
      <c r="IAT42" s="478"/>
      <c r="IAU42" s="478"/>
      <c r="IAV42" s="478"/>
      <c r="IAW42" s="478"/>
      <c r="IAX42" s="478"/>
      <c r="IAY42" s="478"/>
      <c r="IAZ42" s="478"/>
      <c r="IBA42" s="478"/>
      <c r="IBB42" s="478"/>
      <c r="IBC42" s="478"/>
      <c r="IBD42" s="478"/>
      <c r="IBE42" s="478"/>
      <c r="IBF42" s="478"/>
      <c r="IBG42" s="478"/>
      <c r="IBH42" s="478"/>
      <c r="IBI42" s="478"/>
      <c r="IBJ42" s="478"/>
      <c r="IBK42" s="478"/>
      <c r="IBL42" s="478"/>
      <c r="IBM42" s="478"/>
      <c r="IBN42" s="478"/>
      <c r="IBO42" s="478"/>
      <c r="IBP42" s="478"/>
      <c r="IBQ42" s="478"/>
      <c r="IBR42" s="478"/>
      <c r="IBS42" s="478"/>
      <c r="IBT42" s="478"/>
      <c r="IBU42" s="478"/>
      <c r="IBV42" s="478"/>
      <c r="IBW42" s="478"/>
      <c r="IBX42" s="478"/>
      <c r="IBY42" s="478"/>
      <c r="IBZ42" s="478"/>
      <c r="ICA42" s="478"/>
      <c r="ICB42" s="478"/>
      <c r="ICC42" s="478"/>
      <c r="ICD42" s="478"/>
      <c r="ICE42" s="478"/>
      <c r="ICF42" s="478"/>
      <c r="ICG42" s="478"/>
      <c r="ICH42" s="478"/>
      <c r="ICI42" s="478"/>
      <c r="ICJ42" s="478"/>
      <c r="ICK42" s="478"/>
      <c r="ICL42" s="478"/>
      <c r="ICM42" s="478"/>
      <c r="ICN42" s="478"/>
      <c r="ICO42" s="478"/>
      <c r="ICP42" s="478"/>
      <c r="ICQ42" s="478"/>
      <c r="ICR42" s="478"/>
      <c r="ICS42" s="478"/>
      <c r="ICT42" s="478"/>
      <c r="ICU42" s="478"/>
      <c r="ICV42" s="478"/>
      <c r="ICW42" s="478"/>
      <c r="ICX42" s="478"/>
      <c r="ICY42" s="478"/>
      <c r="ICZ42" s="478"/>
      <c r="IDA42" s="478"/>
      <c r="IDB42" s="478"/>
      <c r="IDC42" s="478"/>
      <c r="IDD42" s="478"/>
      <c r="IDE42" s="478"/>
      <c r="IDF42" s="478"/>
      <c r="IDG42" s="478"/>
      <c r="IDH42" s="478"/>
      <c r="IDI42" s="478"/>
      <c r="IDJ42" s="478"/>
      <c r="IDK42" s="478"/>
      <c r="IDL42" s="478"/>
      <c r="IDM42" s="478"/>
      <c r="IDN42" s="478"/>
      <c r="IDO42" s="478"/>
      <c r="IDP42" s="478"/>
      <c r="IDQ42" s="478"/>
      <c r="IDR42" s="478"/>
      <c r="IDS42" s="478"/>
      <c r="IDT42" s="478"/>
      <c r="IDU42" s="478"/>
      <c r="IDV42" s="478"/>
      <c r="IDW42" s="478"/>
      <c r="IDX42" s="478"/>
      <c r="IDY42" s="478"/>
      <c r="IDZ42" s="478"/>
      <c r="IEA42" s="478"/>
      <c r="IEB42" s="478"/>
      <c r="IEC42" s="478"/>
      <c r="IED42" s="478"/>
      <c r="IEE42" s="478"/>
      <c r="IEF42" s="478"/>
      <c r="IEG42" s="478"/>
      <c r="IEH42" s="478"/>
      <c r="IEI42" s="478"/>
      <c r="IEJ42" s="478"/>
      <c r="IEK42" s="478"/>
      <c r="IEL42" s="478"/>
      <c r="IEM42" s="478"/>
      <c r="IEN42" s="478"/>
      <c r="IEO42" s="478"/>
      <c r="IEP42" s="478"/>
      <c r="IEQ42" s="478"/>
      <c r="IER42" s="478"/>
      <c r="IES42" s="478"/>
      <c r="IET42" s="478"/>
      <c r="IEU42" s="478"/>
      <c r="IEV42" s="478"/>
      <c r="IEW42" s="478"/>
      <c r="IEX42" s="478"/>
      <c r="IEY42" s="478"/>
      <c r="IEZ42" s="478"/>
      <c r="IFA42" s="478"/>
      <c r="IFB42" s="478"/>
      <c r="IFC42" s="478"/>
      <c r="IFD42" s="478"/>
      <c r="IFE42" s="478"/>
      <c r="IFF42" s="478"/>
      <c r="IFG42" s="478"/>
      <c r="IFH42" s="478"/>
      <c r="IFI42" s="478"/>
      <c r="IFJ42" s="478"/>
      <c r="IFK42" s="478"/>
      <c r="IFL42" s="478"/>
      <c r="IFM42" s="478"/>
      <c r="IFN42" s="478"/>
      <c r="IFO42" s="478"/>
      <c r="IFP42" s="478"/>
      <c r="IFQ42" s="478"/>
      <c r="IFR42" s="478"/>
      <c r="IFS42" s="478"/>
      <c r="IFT42" s="478"/>
      <c r="IFU42" s="478"/>
      <c r="IFV42" s="478"/>
      <c r="IFW42" s="478"/>
      <c r="IFX42" s="478"/>
      <c r="IFY42" s="478"/>
      <c r="IFZ42" s="478"/>
      <c r="IGA42" s="478"/>
      <c r="IGB42" s="478"/>
      <c r="IGC42" s="478"/>
      <c r="IGD42" s="478"/>
      <c r="IGE42" s="478"/>
      <c r="IGF42" s="478"/>
      <c r="IGG42" s="478"/>
      <c r="IGH42" s="478"/>
      <c r="IGI42" s="478"/>
      <c r="IGJ42" s="478"/>
      <c r="IGK42" s="478"/>
      <c r="IGL42" s="478"/>
      <c r="IGM42" s="478"/>
      <c r="IGN42" s="478"/>
      <c r="IGO42" s="478"/>
      <c r="IGP42" s="478"/>
      <c r="IGQ42" s="478"/>
      <c r="IGR42" s="478"/>
      <c r="IGS42" s="478"/>
      <c r="IGT42" s="478"/>
      <c r="IGU42" s="478"/>
      <c r="IGV42" s="478"/>
      <c r="IGW42" s="478"/>
      <c r="IGX42" s="478"/>
      <c r="IGY42" s="478"/>
      <c r="IGZ42" s="478"/>
      <c r="IHA42" s="478"/>
      <c r="IHB42" s="478"/>
      <c r="IHC42" s="478"/>
      <c r="IHD42" s="478"/>
      <c r="IHE42" s="478"/>
      <c r="IHF42" s="478"/>
      <c r="IHG42" s="478"/>
      <c r="IHH42" s="478"/>
      <c r="IHI42" s="478"/>
      <c r="IHJ42" s="478"/>
      <c r="IHK42" s="478"/>
      <c r="IHL42" s="478"/>
      <c r="IHM42" s="478"/>
      <c r="IHN42" s="478"/>
      <c r="IHO42" s="478"/>
      <c r="IHP42" s="478"/>
      <c r="IHQ42" s="478"/>
      <c r="IHR42" s="478"/>
      <c r="IHS42" s="478"/>
      <c r="IHT42" s="478"/>
      <c r="IHU42" s="478"/>
      <c r="IHV42" s="478"/>
      <c r="IHW42" s="478"/>
      <c r="IHX42" s="478"/>
      <c r="IHY42" s="478"/>
      <c r="IHZ42" s="478"/>
      <c r="IIA42" s="478"/>
      <c r="IIB42" s="478"/>
      <c r="IIC42" s="478"/>
      <c r="IID42" s="478"/>
      <c r="IIE42" s="478"/>
      <c r="IIF42" s="478"/>
      <c r="IIG42" s="478"/>
      <c r="IIH42" s="478"/>
      <c r="III42" s="478"/>
      <c r="IIJ42" s="478"/>
      <c r="IIK42" s="478"/>
      <c r="IIL42" s="478"/>
      <c r="IIM42" s="478"/>
      <c r="IIN42" s="478"/>
      <c r="IIO42" s="478"/>
      <c r="IIP42" s="478"/>
      <c r="IIQ42" s="478"/>
      <c r="IIR42" s="478"/>
      <c r="IIS42" s="478"/>
      <c r="IIT42" s="478"/>
      <c r="IIU42" s="478"/>
      <c r="IIV42" s="478"/>
      <c r="IIW42" s="478"/>
      <c r="IIX42" s="478"/>
      <c r="IIY42" s="478"/>
      <c r="IIZ42" s="478"/>
      <c r="IJA42" s="478"/>
      <c r="IJB42" s="478"/>
      <c r="IJC42" s="478"/>
      <c r="IJD42" s="478"/>
      <c r="IJE42" s="478"/>
      <c r="IJF42" s="478"/>
      <c r="IJG42" s="478"/>
      <c r="IJH42" s="478"/>
      <c r="IJI42" s="478"/>
      <c r="IJJ42" s="478"/>
      <c r="IJK42" s="478"/>
      <c r="IJL42" s="478"/>
      <c r="IJM42" s="478"/>
      <c r="IJN42" s="478"/>
      <c r="IJO42" s="478"/>
      <c r="IJP42" s="478"/>
      <c r="IJQ42" s="478"/>
      <c r="IJR42" s="478"/>
      <c r="IJS42" s="478"/>
      <c r="IJT42" s="478"/>
      <c r="IJU42" s="478"/>
      <c r="IJV42" s="478"/>
      <c r="IJW42" s="478"/>
      <c r="IJX42" s="478"/>
      <c r="IJY42" s="478"/>
      <c r="IJZ42" s="478"/>
      <c r="IKA42" s="478"/>
      <c r="IKB42" s="478"/>
      <c r="IKC42" s="478"/>
      <c r="IKD42" s="478"/>
      <c r="IKE42" s="478"/>
      <c r="IKF42" s="478"/>
      <c r="IKG42" s="478"/>
      <c r="IKH42" s="478"/>
      <c r="IKI42" s="478"/>
      <c r="IKJ42" s="478"/>
      <c r="IKK42" s="478"/>
      <c r="IKL42" s="478"/>
      <c r="IKM42" s="478"/>
      <c r="IKN42" s="478"/>
      <c r="IKO42" s="478"/>
      <c r="IKP42" s="478"/>
      <c r="IKQ42" s="478"/>
      <c r="IKR42" s="478"/>
      <c r="IKS42" s="478"/>
      <c r="IKT42" s="478"/>
      <c r="IKU42" s="478"/>
      <c r="IKV42" s="478"/>
      <c r="IKW42" s="478"/>
      <c r="IKX42" s="478"/>
      <c r="IKY42" s="478"/>
      <c r="IKZ42" s="478"/>
      <c r="ILA42" s="478"/>
      <c r="ILB42" s="478"/>
      <c r="ILC42" s="478"/>
      <c r="ILD42" s="478"/>
      <c r="ILE42" s="478"/>
      <c r="ILF42" s="478"/>
      <c r="ILG42" s="478"/>
      <c r="ILH42" s="478"/>
      <c r="ILI42" s="478"/>
      <c r="ILJ42" s="478"/>
      <c r="ILK42" s="478"/>
      <c r="ILL42" s="478"/>
      <c r="ILM42" s="478"/>
      <c r="ILN42" s="478"/>
      <c r="ILO42" s="478"/>
      <c r="ILP42" s="478"/>
      <c r="ILQ42" s="478"/>
      <c r="ILR42" s="478"/>
      <c r="ILS42" s="478"/>
      <c r="ILT42" s="478"/>
      <c r="ILU42" s="478"/>
      <c r="ILV42" s="478"/>
      <c r="ILW42" s="478"/>
      <c r="ILX42" s="478"/>
      <c r="ILY42" s="478"/>
      <c r="ILZ42" s="478"/>
      <c r="IMA42" s="478"/>
      <c r="IMB42" s="478"/>
      <c r="IMC42" s="478"/>
      <c r="IMD42" s="478"/>
      <c r="IME42" s="478"/>
      <c r="IMF42" s="478"/>
      <c r="IMG42" s="478"/>
      <c r="IMH42" s="478"/>
      <c r="IMI42" s="478"/>
      <c r="IMJ42" s="478"/>
      <c r="IMK42" s="478"/>
      <c r="IML42" s="478"/>
      <c r="IMM42" s="478"/>
      <c r="IMN42" s="478"/>
      <c r="IMO42" s="478"/>
      <c r="IMP42" s="478"/>
      <c r="IMQ42" s="478"/>
      <c r="IMR42" s="478"/>
      <c r="IMS42" s="478"/>
      <c r="IMT42" s="478"/>
      <c r="IMU42" s="478"/>
      <c r="IMV42" s="478"/>
      <c r="IMW42" s="478"/>
      <c r="IMX42" s="478"/>
      <c r="IMY42" s="478"/>
      <c r="IMZ42" s="478"/>
      <c r="INA42" s="478"/>
      <c r="INB42" s="478"/>
      <c r="INC42" s="478"/>
      <c r="IND42" s="478"/>
      <c r="INE42" s="478"/>
      <c r="INF42" s="478"/>
      <c r="ING42" s="478"/>
      <c r="INH42" s="478"/>
      <c r="INI42" s="478"/>
      <c r="INJ42" s="478"/>
      <c r="INK42" s="478"/>
      <c r="INL42" s="478"/>
      <c r="INM42" s="478"/>
      <c r="INN42" s="478"/>
      <c r="INO42" s="478"/>
      <c r="INP42" s="478"/>
      <c r="INQ42" s="478"/>
      <c r="INR42" s="478"/>
      <c r="INS42" s="478"/>
      <c r="INT42" s="478"/>
      <c r="INU42" s="478"/>
      <c r="INV42" s="478"/>
      <c r="INW42" s="478"/>
      <c r="INX42" s="478"/>
      <c r="INY42" s="478"/>
      <c r="INZ42" s="478"/>
      <c r="IOA42" s="478"/>
      <c r="IOB42" s="478"/>
      <c r="IOC42" s="478"/>
      <c r="IOD42" s="478"/>
      <c r="IOE42" s="478"/>
      <c r="IOF42" s="478"/>
      <c r="IOG42" s="478"/>
      <c r="IOH42" s="478"/>
      <c r="IOI42" s="478"/>
      <c r="IOJ42" s="478"/>
      <c r="IOK42" s="478"/>
      <c r="IOL42" s="478"/>
      <c r="IOM42" s="478"/>
      <c r="ION42" s="478"/>
      <c r="IOO42" s="478"/>
      <c r="IOP42" s="478"/>
      <c r="IOQ42" s="478"/>
      <c r="IOR42" s="478"/>
      <c r="IOS42" s="478"/>
      <c r="IOT42" s="478"/>
      <c r="IOU42" s="478"/>
      <c r="IOV42" s="478"/>
      <c r="IOW42" s="478"/>
      <c r="IOX42" s="478"/>
      <c r="IOY42" s="478"/>
      <c r="IOZ42" s="478"/>
      <c r="IPA42" s="478"/>
      <c r="IPB42" s="478"/>
      <c r="IPC42" s="478"/>
      <c r="IPD42" s="478"/>
      <c r="IPE42" s="478"/>
      <c r="IPF42" s="478"/>
      <c r="IPG42" s="478"/>
      <c r="IPH42" s="478"/>
      <c r="IPI42" s="478"/>
      <c r="IPJ42" s="478"/>
      <c r="IPK42" s="478"/>
      <c r="IPL42" s="478"/>
      <c r="IPM42" s="478"/>
      <c r="IPN42" s="478"/>
      <c r="IPO42" s="478"/>
      <c r="IPP42" s="478"/>
      <c r="IPQ42" s="478"/>
      <c r="IPR42" s="478"/>
      <c r="IPS42" s="478"/>
      <c r="IPT42" s="478"/>
      <c r="IPU42" s="478"/>
      <c r="IPV42" s="478"/>
      <c r="IPW42" s="478"/>
      <c r="IPX42" s="478"/>
      <c r="IPY42" s="478"/>
      <c r="IPZ42" s="478"/>
      <c r="IQA42" s="478"/>
      <c r="IQB42" s="478"/>
      <c r="IQC42" s="478"/>
      <c r="IQD42" s="478"/>
      <c r="IQE42" s="478"/>
      <c r="IQF42" s="478"/>
      <c r="IQG42" s="478"/>
      <c r="IQH42" s="478"/>
      <c r="IQI42" s="478"/>
      <c r="IQJ42" s="478"/>
      <c r="IQK42" s="478"/>
      <c r="IQL42" s="478"/>
      <c r="IQM42" s="478"/>
      <c r="IQN42" s="478"/>
      <c r="IQO42" s="478"/>
      <c r="IQP42" s="478"/>
      <c r="IQQ42" s="478"/>
      <c r="IQR42" s="478"/>
      <c r="IQS42" s="478"/>
      <c r="IQT42" s="478"/>
      <c r="IQU42" s="478"/>
      <c r="IQV42" s="478"/>
      <c r="IQW42" s="478"/>
      <c r="IQX42" s="478"/>
      <c r="IQY42" s="478"/>
      <c r="IQZ42" s="478"/>
      <c r="IRA42" s="478"/>
      <c r="IRB42" s="478"/>
      <c r="IRC42" s="478"/>
      <c r="IRD42" s="478"/>
      <c r="IRE42" s="478"/>
      <c r="IRF42" s="478"/>
      <c r="IRG42" s="478"/>
      <c r="IRH42" s="478"/>
      <c r="IRI42" s="478"/>
      <c r="IRJ42" s="478"/>
      <c r="IRK42" s="478"/>
      <c r="IRL42" s="478"/>
      <c r="IRM42" s="478"/>
      <c r="IRN42" s="478"/>
      <c r="IRO42" s="478"/>
      <c r="IRP42" s="478"/>
      <c r="IRQ42" s="478"/>
      <c r="IRR42" s="478"/>
      <c r="IRS42" s="478"/>
      <c r="IRT42" s="478"/>
      <c r="IRU42" s="478"/>
      <c r="IRV42" s="478"/>
      <c r="IRW42" s="478"/>
      <c r="IRX42" s="478"/>
      <c r="IRY42" s="478"/>
      <c r="IRZ42" s="478"/>
      <c r="ISA42" s="478"/>
      <c r="ISB42" s="478"/>
      <c r="ISC42" s="478"/>
      <c r="ISD42" s="478"/>
      <c r="ISE42" s="478"/>
      <c r="ISF42" s="478"/>
      <c r="ISG42" s="478"/>
      <c r="ISH42" s="478"/>
      <c r="ISI42" s="478"/>
      <c r="ISJ42" s="478"/>
      <c r="ISK42" s="478"/>
      <c r="ISL42" s="478"/>
      <c r="ISM42" s="478"/>
      <c r="ISN42" s="478"/>
      <c r="ISO42" s="478"/>
      <c r="ISP42" s="478"/>
      <c r="ISQ42" s="478"/>
      <c r="ISR42" s="478"/>
      <c r="ISS42" s="478"/>
      <c r="IST42" s="478"/>
      <c r="ISU42" s="478"/>
      <c r="ISV42" s="478"/>
      <c r="ISW42" s="478"/>
      <c r="ISX42" s="478"/>
      <c r="ISY42" s="478"/>
      <c r="ISZ42" s="478"/>
      <c r="ITA42" s="478"/>
      <c r="ITB42" s="478"/>
      <c r="ITC42" s="478"/>
      <c r="ITD42" s="478"/>
      <c r="ITE42" s="478"/>
      <c r="ITF42" s="478"/>
      <c r="ITG42" s="478"/>
      <c r="ITH42" s="478"/>
      <c r="ITI42" s="478"/>
      <c r="ITJ42" s="478"/>
      <c r="ITK42" s="478"/>
      <c r="ITL42" s="478"/>
      <c r="ITM42" s="478"/>
      <c r="ITN42" s="478"/>
      <c r="ITO42" s="478"/>
      <c r="ITP42" s="478"/>
      <c r="ITQ42" s="478"/>
      <c r="ITR42" s="478"/>
      <c r="ITS42" s="478"/>
      <c r="ITT42" s="478"/>
      <c r="ITU42" s="478"/>
      <c r="ITV42" s="478"/>
      <c r="ITW42" s="478"/>
      <c r="ITX42" s="478"/>
      <c r="ITY42" s="478"/>
      <c r="ITZ42" s="478"/>
      <c r="IUA42" s="478"/>
      <c r="IUB42" s="478"/>
      <c r="IUC42" s="478"/>
      <c r="IUD42" s="478"/>
      <c r="IUE42" s="478"/>
      <c r="IUF42" s="478"/>
      <c r="IUG42" s="478"/>
      <c r="IUH42" s="478"/>
      <c r="IUI42" s="478"/>
      <c r="IUJ42" s="478"/>
      <c r="IUK42" s="478"/>
      <c r="IUL42" s="478"/>
      <c r="IUM42" s="478"/>
      <c r="IUN42" s="478"/>
      <c r="IUO42" s="478"/>
      <c r="IUP42" s="478"/>
      <c r="IUQ42" s="478"/>
      <c r="IUR42" s="478"/>
      <c r="IUS42" s="478"/>
      <c r="IUT42" s="478"/>
      <c r="IUU42" s="478"/>
      <c r="IUV42" s="478"/>
      <c r="IUW42" s="478"/>
      <c r="IUX42" s="478"/>
      <c r="IUY42" s="478"/>
      <c r="IUZ42" s="478"/>
      <c r="IVA42" s="478"/>
      <c r="IVB42" s="478"/>
      <c r="IVC42" s="478"/>
      <c r="IVD42" s="478"/>
      <c r="IVE42" s="478"/>
      <c r="IVF42" s="478"/>
      <c r="IVG42" s="478"/>
      <c r="IVH42" s="478"/>
      <c r="IVI42" s="478"/>
      <c r="IVJ42" s="478"/>
      <c r="IVK42" s="478"/>
      <c r="IVL42" s="478"/>
      <c r="IVM42" s="478"/>
      <c r="IVN42" s="478"/>
      <c r="IVO42" s="478"/>
      <c r="IVP42" s="478"/>
      <c r="IVQ42" s="478"/>
      <c r="IVR42" s="478"/>
      <c r="IVS42" s="478"/>
      <c r="IVT42" s="478"/>
      <c r="IVU42" s="478"/>
      <c r="IVV42" s="478"/>
      <c r="IVW42" s="478"/>
      <c r="IVX42" s="478"/>
      <c r="IVY42" s="478"/>
      <c r="IVZ42" s="478"/>
      <c r="IWA42" s="478"/>
      <c r="IWB42" s="478"/>
      <c r="IWC42" s="478"/>
      <c r="IWD42" s="478"/>
      <c r="IWE42" s="478"/>
      <c r="IWF42" s="478"/>
      <c r="IWG42" s="478"/>
      <c r="IWH42" s="478"/>
      <c r="IWI42" s="478"/>
      <c r="IWJ42" s="478"/>
      <c r="IWK42" s="478"/>
      <c r="IWL42" s="478"/>
      <c r="IWM42" s="478"/>
      <c r="IWN42" s="478"/>
      <c r="IWO42" s="478"/>
      <c r="IWP42" s="478"/>
      <c r="IWQ42" s="478"/>
      <c r="IWR42" s="478"/>
      <c r="IWS42" s="478"/>
      <c r="IWT42" s="478"/>
      <c r="IWU42" s="478"/>
      <c r="IWV42" s="478"/>
      <c r="IWW42" s="478"/>
      <c r="IWX42" s="478"/>
      <c r="IWY42" s="478"/>
      <c r="IWZ42" s="478"/>
      <c r="IXA42" s="478"/>
      <c r="IXB42" s="478"/>
      <c r="IXC42" s="478"/>
      <c r="IXD42" s="478"/>
      <c r="IXE42" s="478"/>
      <c r="IXF42" s="478"/>
      <c r="IXG42" s="478"/>
      <c r="IXH42" s="478"/>
      <c r="IXI42" s="478"/>
      <c r="IXJ42" s="478"/>
      <c r="IXK42" s="478"/>
      <c r="IXL42" s="478"/>
      <c r="IXM42" s="478"/>
      <c r="IXN42" s="478"/>
      <c r="IXO42" s="478"/>
      <c r="IXP42" s="478"/>
      <c r="IXQ42" s="478"/>
      <c r="IXR42" s="478"/>
      <c r="IXS42" s="478"/>
      <c r="IXT42" s="478"/>
      <c r="IXU42" s="478"/>
      <c r="IXV42" s="478"/>
      <c r="IXW42" s="478"/>
      <c r="IXX42" s="478"/>
      <c r="IXY42" s="478"/>
      <c r="IXZ42" s="478"/>
      <c r="IYA42" s="478"/>
      <c r="IYB42" s="478"/>
      <c r="IYC42" s="478"/>
      <c r="IYD42" s="478"/>
      <c r="IYE42" s="478"/>
      <c r="IYF42" s="478"/>
      <c r="IYG42" s="478"/>
      <c r="IYH42" s="478"/>
      <c r="IYI42" s="478"/>
      <c r="IYJ42" s="478"/>
      <c r="IYK42" s="478"/>
      <c r="IYL42" s="478"/>
      <c r="IYM42" s="478"/>
      <c r="IYN42" s="478"/>
      <c r="IYO42" s="478"/>
      <c r="IYP42" s="478"/>
      <c r="IYQ42" s="478"/>
      <c r="IYR42" s="478"/>
      <c r="IYS42" s="478"/>
      <c r="IYT42" s="478"/>
      <c r="IYU42" s="478"/>
      <c r="IYV42" s="478"/>
      <c r="IYW42" s="478"/>
      <c r="IYX42" s="478"/>
      <c r="IYY42" s="478"/>
      <c r="IYZ42" s="478"/>
      <c r="IZA42" s="478"/>
      <c r="IZB42" s="478"/>
      <c r="IZC42" s="478"/>
      <c r="IZD42" s="478"/>
      <c r="IZE42" s="478"/>
      <c r="IZF42" s="478"/>
      <c r="IZG42" s="478"/>
      <c r="IZH42" s="478"/>
      <c r="IZI42" s="478"/>
      <c r="IZJ42" s="478"/>
      <c r="IZK42" s="478"/>
      <c r="IZL42" s="478"/>
      <c r="IZM42" s="478"/>
      <c r="IZN42" s="478"/>
      <c r="IZO42" s="478"/>
      <c r="IZP42" s="478"/>
      <c r="IZQ42" s="478"/>
      <c r="IZR42" s="478"/>
      <c r="IZS42" s="478"/>
      <c r="IZT42" s="478"/>
      <c r="IZU42" s="478"/>
      <c r="IZV42" s="478"/>
      <c r="IZW42" s="478"/>
      <c r="IZX42" s="478"/>
      <c r="IZY42" s="478"/>
      <c r="IZZ42" s="478"/>
      <c r="JAA42" s="478"/>
      <c r="JAB42" s="478"/>
      <c r="JAC42" s="478"/>
      <c r="JAD42" s="478"/>
      <c r="JAE42" s="478"/>
      <c r="JAF42" s="478"/>
      <c r="JAG42" s="478"/>
      <c r="JAH42" s="478"/>
      <c r="JAI42" s="478"/>
      <c r="JAJ42" s="478"/>
      <c r="JAK42" s="478"/>
      <c r="JAL42" s="478"/>
      <c r="JAM42" s="478"/>
      <c r="JAN42" s="478"/>
      <c r="JAO42" s="478"/>
      <c r="JAP42" s="478"/>
      <c r="JAQ42" s="478"/>
      <c r="JAR42" s="478"/>
      <c r="JAS42" s="478"/>
      <c r="JAT42" s="478"/>
      <c r="JAU42" s="478"/>
      <c r="JAV42" s="478"/>
      <c r="JAW42" s="478"/>
      <c r="JAX42" s="478"/>
      <c r="JAY42" s="478"/>
      <c r="JAZ42" s="478"/>
      <c r="JBA42" s="478"/>
      <c r="JBB42" s="478"/>
      <c r="JBC42" s="478"/>
      <c r="JBD42" s="478"/>
      <c r="JBE42" s="478"/>
      <c r="JBF42" s="478"/>
      <c r="JBG42" s="478"/>
      <c r="JBH42" s="478"/>
      <c r="JBI42" s="478"/>
      <c r="JBJ42" s="478"/>
      <c r="JBK42" s="478"/>
      <c r="JBL42" s="478"/>
      <c r="JBM42" s="478"/>
      <c r="JBN42" s="478"/>
      <c r="JBO42" s="478"/>
      <c r="JBP42" s="478"/>
      <c r="JBQ42" s="478"/>
      <c r="JBR42" s="478"/>
      <c r="JBS42" s="478"/>
      <c r="JBT42" s="478"/>
      <c r="JBU42" s="478"/>
      <c r="JBV42" s="478"/>
      <c r="JBW42" s="478"/>
      <c r="JBX42" s="478"/>
      <c r="JBY42" s="478"/>
      <c r="JBZ42" s="478"/>
      <c r="JCA42" s="478"/>
      <c r="JCB42" s="478"/>
      <c r="JCC42" s="478"/>
      <c r="JCD42" s="478"/>
      <c r="JCE42" s="478"/>
      <c r="JCF42" s="478"/>
      <c r="JCG42" s="478"/>
      <c r="JCH42" s="478"/>
      <c r="JCI42" s="478"/>
      <c r="JCJ42" s="478"/>
      <c r="JCK42" s="478"/>
      <c r="JCL42" s="478"/>
      <c r="JCM42" s="478"/>
      <c r="JCN42" s="478"/>
      <c r="JCO42" s="478"/>
      <c r="JCP42" s="478"/>
      <c r="JCQ42" s="478"/>
      <c r="JCR42" s="478"/>
      <c r="JCS42" s="478"/>
      <c r="JCT42" s="478"/>
      <c r="JCU42" s="478"/>
      <c r="JCV42" s="478"/>
      <c r="JCW42" s="478"/>
      <c r="JCX42" s="478"/>
      <c r="JCY42" s="478"/>
      <c r="JCZ42" s="478"/>
      <c r="JDA42" s="478"/>
      <c r="JDB42" s="478"/>
      <c r="JDC42" s="478"/>
      <c r="JDD42" s="478"/>
      <c r="JDE42" s="478"/>
      <c r="JDF42" s="478"/>
      <c r="JDG42" s="478"/>
      <c r="JDH42" s="478"/>
      <c r="JDI42" s="478"/>
      <c r="JDJ42" s="478"/>
      <c r="JDK42" s="478"/>
      <c r="JDL42" s="478"/>
      <c r="JDM42" s="478"/>
      <c r="JDN42" s="478"/>
      <c r="JDO42" s="478"/>
      <c r="JDP42" s="478"/>
      <c r="JDQ42" s="478"/>
      <c r="JDR42" s="478"/>
      <c r="JDS42" s="478"/>
      <c r="JDT42" s="478"/>
      <c r="JDU42" s="478"/>
      <c r="JDV42" s="478"/>
      <c r="JDW42" s="478"/>
      <c r="JDX42" s="478"/>
      <c r="JDY42" s="478"/>
      <c r="JDZ42" s="478"/>
      <c r="JEA42" s="478"/>
      <c r="JEB42" s="478"/>
      <c r="JEC42" s="478"/>
      <c r="JED42" s="478"/>
      <c r="JEE42" s="478"/>
      <c r="JEF42" s="478"/>
      <c r="JEG42" s="478"/>
      <c r="JEH42" s="478"/>
      <c r="JEI42" s="478"/>
      <c r="JEJ42" s="478"/>
      <c r="JEK42" s="478"/>
      <c r="JEL42" s="478"/>
      <c r="JEM42" s="478"/>
      <c r="JEN42" s="478"/>
      <c r="JEO42" s="478"/>
      <c r="JEP42" s="478"/>
      <c r="JEQ42" s="478"/>
      <c r="JER42" s="478"/>
      <c r="JES42" s="478"/>
      <c r="JET42" s="478"/>
      <c r="JEU42" s="478"/>
      <c r="JEV42" s="478"/>
      <c r="JEW42" s="478"/>
      <c r="JEX42" s="478"/>
      <c r="JEY42" s="478"/>
      <c r="JEZ42" s="478"/>
      <c r="JFA42" s="478"/>
      <c r="JFB42" s="478"/>
      <c r="JFC42" s="478"/>
      <c r="JFD42" s="478"/>
      <c r="JFE42" s="478"/>
      <c r="JFF42" s="478"/>
      <c r="JFG42" s="478"/>
      <c r="JFH42" s="478"/>
      <c r="JFI42" s="478"/>
      <c r="JFJ42" s="478"/>
      <c r="JFK42" s="478"/>
      <c r="JFL42" s="478"/>
      <c r="JFM42" s="478"/>
      <c r="JFN42" s="478"/>
      <c r="JFO42" s="478"/>
      <c r="JFP42" s="478"/>
      <c r="JFQ42" s="478"/>
      <c r="JFR42" s="478"/>
      <c r="JFS42" s="478"/>
      <c r="JFT42" s="478"/>
      <c r="JFU42" s="478"/>
      <c r="JFV42" s="478"/>
      <c r="JFW42" s="478"/>
      <c r="JFX42" s="478"/>
      <c r="JFY42" s="478"/>
      <c r="JFZ42" s="478"/>
      <c r="JGA42" s="478"/>
      <c r="JGB42" s="478"/>
      <c r="JGC42" s="478"/>
      <c r="JGD42" s="478"/>
      <c r="JGE42" s="478"/>
      <c r="JGF42" s="478"/>
      <c r="JGG42" s="478"/>
      <c r="JGH42" s="478"/>
      <c r="JGI42" s="478"/>
      <c r="JGJ42" s="478"/>
      <c r="JGK42" s="478"/>
      <c r="JGL42" s="478"/>
      <c r="JGM42" s="478"/>
      <c r="JGN42" s="478"/>
      <c r="JGO42" s="478"/>
      <c r="JGP42" s="478"/>
      <c r="JGQ42" s="478"/>
      <c r="JGR42" s="478"/>
      <c r="JGS42" s="478"/>
      <c r="JGT42" s="478"/>
      <c r="JGU42" s="478"/>
      <c r="JGV42" s="478"/>
      <c r="JGW42" s="478"/>
      <c r="JGX42" s="478"/>
      <c r="JGY42" s="478"/>
      <c r="JGZ42" s="478"/>
      <c r="JHA42" s="478"/>
      <c r="JHB42" s="478"/>
      <c r="JHC42" s="478"/>
      <c r="JHD42" s="478"/>
      <c r="JHE42" s="478"/>
      <c r="JHF42" s="478"/>
      <c r="JHG42" s="478"/>
      <c r="JHH42" s="478"/>
      <c r="JHI42" s="478"/>
      <c r="JHJ42" s="478"/>
      <c r="JHK42" s="478"/>
      <c r="JHL42" s="478"/>
      <c r="JHM42" s="478"/>
      <c r="JHN42" s="478"/>
      <c r="JHO42" s="478"/>
      <c r="JHP42" s="478"/>
      <c r="JHQ42" s="478"/>
      <c r="JHR42" s="478"/>
      <c r="JHS42" s="478"/>
      <c r="JHT42" s="478"/>
      <c r="JHU42" s="478"/>
      <c r="JHV42" s="478"/>
      <c r="JHW42" s="478"/>
      <c r="JHX42" s="478"/>
      <c r="JHY42" s="478"/>
      <c r="JHZ42" s="478"/>
      <c r="JIA42" s="478"/>
      <c r="JIB42" s="478"/>
      <c r="JIC42" s="478"/>
      <c r="JID42" s="478"/>
      <c r="JIE42" s="478"/>
      <c r="JIF42" s="478"/>
      <c r="JIG42" s="478"/>
      <c r="JIH42" s="478"/>
      <c r="JII42" s="478"/>
      <c r="JIJ42" s="478"/>
      <c r="JIK42" s="478"/>
      <c r="JIL42" s="478"/>
      <c r="JIM42" s="478"/>
      <c r="JIN42" s="478"/>
      <c r="JIO42" s="478"/>
      <c r="JIP42" s="478"/>
      <c r="JIQ42" s="478"/>
      <c r="JIR42" s="478"/>
      <c r="JIS42" s="478"/>
      <c r="JIT42" s="478"/>
      <c r="JIU42" s="478"/>
      <c r="JIV42" s="478"/>
      <c r="JIW42" s="478"/>
      <c r="JIX42" s="478"/>
      <c r="JIY42" s="478"/>
      <c r="JIZ42" s="478"/>
      <c r="JJA42" s="478"/>
      <c r="JJB42" s="478"/>
      <c r="JJC42" s="478"/>
      <c r="JJD42" s="478"/>
      <c r="JJE42" s="478"/>
      <c r="JJF42" s="478"/>
      <c r="JJG42" s="478"/>
      <c r="JJH42" s="478"/>
      <c r="JJI42" s="478"/>
      <c r="JJJ42" s="478"/>
      <c r="JJK42" s="478"/>
      <c r="JJL42" s="478"/>
      <c r="JJM42" s="478"/>
      <c r="JJN42" s="478"/>
      <c r="JJO42" s="478"/>
      <c r="JJP42" s="478"/>
      <c r="JJQ42" s="478"/>
      <c r="JJR42" s="478"/>
      <c r="JJS42" s="478"/>
      <c r="JJT42" s="478"/>
      <c r="JJU42" s="478"/>
      <c r="JJV42" s="478"/>
      <c r="JJW42" s="478"/>
      <c r="JJX42" s="478"/>
      <c r="JJY42" s="478"/>
      <c r="JJZ42" s="478"/>
      <c r="JKA42" s="478"/>
      <c r="JKB42" s="478"/>
      <c r="JKC42" s="478"/>
      <c r="JKD42" s="478"/>
      <c r="JKE42" s="478"/>
      <c r="JKF42" s="478"/>
      <c r="JKG42" s="478"/>
      <c r="JKH42" s="478"/>
      <c r="JKI42" s="478"/>
      <c r="JKJ42" s="478"/>
      <c r="JKK42" s="478"/>
      <c r="JKL42" s="478"/>
      <c r="JKM42" s="478"/>
      <c r="JKN42" s="478"/>
      <c r="JKO42" s="478"/>
      <c r="JKP42" s="478"/>
      <c r="JKQ42" s="478"/>
      <c r="JKR42" s="478"/>
      <c r="JKS42" s="478"/>
      <c r="JKT42" s="478"/>
      <c r="JKU42" s="478"/>
      <c r="JKV42" s="478"/>
      <c r="JKW42" s="478"/>
      <c r="JKX42" s="478"/>
      <c r="JKY42" s="478"/>
      <c r="JKZ42" s="478"/>
      <c r="JLA42" s="478"/>
      <c r="JLB42" s="478"/>
      <c r="JLC42" s="478"/>
      <c r="JLD42" s="478"/>
      <c r="JLE42" s="478"/>
      <c r="JLF42" s="478"/>
      <c r="JLG42" s="478"/>
      <c r="JLH42" s="478"/>
      <c r="JLI42" s="478"/>
      <c r="JLJ42" s="478"/>
      <c r="JLK42" s="478"/>
      <c r="JLL42" s="478"/>
      <c r="JLM42" s="478"/>
      <c r="JLN42" s="478"/>
      <c r="JLO42" s="478"/>
      <c r="JLP42" s="478"/>
      <c r="JLQ42" s="478"/>
      <c r="JLR42" s="478"/>
      <c r="JLS42" s="478"/>
      <c r="JLT42" s="478"/>
      <c r="JLU42" s="478"/>
      <c r="JLV42" s="478"/>
      <c r="JLW42" s="478"/>
      <c r="JLX42" s="478"/>
      <c r="JLY42" s="478"/>
      <c r="JLZ42" s="478"/>
      <c r="JMA42" s="478"/>
      <c r="JMB42" s="478"/>
      <c r="JMC42" s="478"/>
      <c r="JMD42" s="478"/>
      <c r="JME42" s="478"/>
      <c r="JMF42" s="478"/>
      <c r="JMG42" s="478"/>
      <c r="JMH42" s="478"/>
      <c r="JMI42" s="478"/>
      <c r="JMJ42" s="478"/>
      <c r="JMK42" s="478"/>
      <c r="JML42" s="478"/>
      <c r="JMM42" s="478"/>
      <c r="JMN42" s="478"/>
      <c r="JMO42" s="478"/>
      <c r="JMP42" s="478"/>
      <c r="JMQ42" s="478"/>
      <c r="JMR42" s="478"/>
      <c r="JMS42" s="478"/>
      <c r="JMT42" s="478"/>
      <c r="JMU42" s="478"/>
      <c r="JMV42" s="478"/>
      <c r="JMW42" s="478"/>
      <c r="JMX42" s="478"/>
      <c r="JMY42" s="478"/>
      <c r="JMZ42" s="478"/>
      <c r="JNA42" s="478"/>
      <c r="JNB42" s="478"/>
      <c r="JNC42" s="478"/>
      <c r="JND42" s="478"/>
      <c r="JNE42" s="478"/>
      <c r="JNF42" s="478"/>
      <c r="JNG42" s="478"/>
      <c r="JNH42" s="478"/>
      <c r="JNI42" s="478"/>
      <c r="JNJ42" s="478"/>
      <c r="JNK42" s="478"/>
      <c r="JNL42" s="478"/>
      <c r="JNM42" s="478"/>
      <c r="JNN42" s="478"/>
      <c r="JNO42" s="478"/>
      <c r="JNP42" s="478"/>
      <c r="JNQ42" s="478"/>
      <c r="JNR42" s="478"/>
      <c r="JNS42" s="478"/>
      <c r="JNT42" s="478"/>
      <c r="JNU42" s="478"/>
      <c r="JNV42" s="478"/>
      <c r="JNW42" s="478"/>
      <c r="JNX42" s="478"/>
      <c r="JNY42" s="478"/>
      <c r="JNZ42" s="478"/>
      <c r="JOA42" s="478"/>
      <c r="JOB42" s="478"/>
      <c r="JOC42" s="478"/>
      <c r="JOD42" s="478"/>
      <c r="JOE42" s="478"/>
      <c r="JOF42" s="478"/>
      <c r="JOG42" s="478"/>
      <c r="JOH42" s="478"/>
      <c r="JOI42" s="478"/>
      <c r="JOJ42" s="478"/>
      <c r="JOK42" s="478"/>
      <c r="JOL42" s="478"/>
      <c r="JOM42" s="478"/>
      <c r="JON42" s="478"/>
      <c r="JOO42" s="478"/>
      <c r="JOP42" s="478"/>
      <c r="JOQ42" s="478"/>
      <c r="JOR42" s="478"/>
      <c r="JOS42" s="478"/>
      <c r="JOT42" s="478"/>
      <c r="JOU42" s="478"/>
      <c r="JOV42" s="478"/>
      <c r="JOW42" s="478"/>
      <c r="JOX42" s="478"/>
      <c r="JOY42" s="478"/>
      <c r="JOZ42" s="478"/>
      <c r="JPA42" s="478"/>
      <c r="JPB42" s="478"/>
      <c r="JPC42" s="478"/>
      <c r="JPD42" s="478"/>
      <c r="JPE42" s="478"/>
      <c r="JPF42" s="478"/>
      <c r="JPG42" s="478"/>
      <c r="JPH42" s="478"/>
      <c r="JPI42" s="478"/>
      <c r="JPJ42" s="478"/>
      <c r="JPK42" s="478"/>
      <c r="JPL42" s="478"/>
      <c r="JPM42" s="478"/>
      <c r="JPN42" s="478"/>
      <c r="JPO42" s="478"/>
      <c r="JPP42" s="478"/>
      <c r="JPQ42" s="478"/>
      <c r="JPR42" s="478"/>
      <c r="JPS42" s="478"/>
      <c r="JPT42" s="478"/>
      <c r="JPU42" s="478"/>
      <c r="JPV42" s="478"/>
      <c r="JPW42" s="478"/>
      <c r="JPX42" s="478"/>
      <c r="JPY42" s="478"/>
      <c r="JPZ42" s="478"/>
      <c r="JQA42" s="478"/>
      <c r="JQB42" s="478"/>
      <c r="JQC42" s="478"/>
      <c r="JQD42" s="478"/>
      <c r="JQE42" s="478"/>
      <c r="JQF42" s="478"/>
      <c r="JQG42" s="478"/>
      <c r="JQH42" s="478"/>
      <c r="JQI42" s="478"/>
      <c r="JQJ42" s="478"/>
      <c r="JQK42" s="478"/>
      <c r="JQL42" s="478"/>
      <c r="JQM42" s="478"/>
      <c r="JQN42" s="478"/>
      <c r="JQO42" s="478"/>
      <c r="JQP42" s="478"/>
      <c r="JQQ42" s="478"/>
      <c r="JQR42" s="478"/>
      <c r="JQS42" s="478"/>
      <c r="JQT42" s="478"/>
      <c r="JQU42" s="478"/>
      <c r="JQV42" s="478"/>
      <c r="JQW42" s="478"/>
      <c r="JQX42" s="478"/>
      <c r="JQY42" s="478"/>
      <c r="JQZ42" s="478"/>
      <c r="JRA42" s="478"/>
      <c r="JRB42" s="478"/>
      <c r="JRC42" s="478"/>
      <c r="JRD42" s="478"/>
      <c r="JRE42" s="478"/>
      <c r="JRF42" s="478"/>
      <c r="JRG42" s="478"/>
      <c r="JRH42" s="478"/>
      <c r="JRI42" s="478"/>
      <c r="JRJ42" s="478"/>
      <c r="JRK42" s="478"/>
      <c r="JRL42" s="478"/>
      <c r="JRM42" s="478"/>
      <c r="JRN42" s="478"/>
      <c r="JRO42" s="478"/>
      <c r="JRP42" s="478"/>
      <c r="JRQ42" s="478"/>
      <c r="JRR42" s="478"/>
      <c r="JRS42" s="478"/>
      <c r="JRT42" s="478"/>
      <c r="JRU42" s="478"/>
      <c r="JRV42" s="478"/>
      <c r="JRW42" s="478"/>
      <c r="JRX42" s="478"/>
      <c r="JRY42" s="478"/>
      <c r="JRZ42" s="478"/>
      <c r="JSA42" s="478"/>
      <c r="JSB42" s="478"/>
      <c r="JSC42" s="478"/>
      <c r="JSD42" s="478"/>
      <c r="JSE42" s="478"/>
      <c r="JSF42" s="478"/>
      <c r="JSG42" s="478"/>
      <c r="JSH42" s="478"/>
      <c r="JSI42" s="478"/>
      <c r="JSJ42" s="478"/>
      <c r="JSK42" s="478"/>
      <c r="JSL42" s="478"/>
      <c r="JSM42" s="478"/>
      <c r="JSN42" s="478"/>
      <c r="JSO42" s="478"/>
      <c r="JSP42" s="478"/>
      <c r="JSQ42" s="478"/>
      <c r="JSR42" s="478"/>
      <c r="JSS42" s="478"/>
      <c r="JST42" s="478"/>
      <c r="JSU42" s="478"/>
      <c r="JSV42" s="478"/>
      <c r="JSW42" s="478"/>
      <c r="JSX42" s="478"/>
      <c r="JSY42" s="478"/>
      <c r="JSZ42" s="478"/>
      <c r="JTA42" s="478"/>
      <c r="JTB42" s="478"/>
      <c r="JTC42" s="478"/>
      <c r="JTD42" s="478"/>
      <c r="JTE42" s="478"/>
      <c r="JTF42" s="478"/>
      <c r="JTG42" s="478"/>
      <c r="JTH42" s="478"/>
      <c r="JTI42" s="478"/>
      <c r="JTJ42" s="478"/>
      <c r="JTK42" s="478"/>
      <c r="JTL42" s="478"/>
      <c r="JTM42" s="478"/>
      <c r="JTN42" s="478"/>
      <c r="JTO42" s="478"/>
      <c r="JTP42" s="478"/>
      <c r="JTQ42" s="478"/>
      <c r="JTR42" s="478"/>
      <c r="JTS42" s="478"/>
      <c r="JTT42" s="478"/>
      <c r="JTU42" s="478"/>
      <c r="JTV42" s="478"/>
      <c r="JTW42" s="478"/>
      <c r="JTX42" s="478"/>
      <c r="JTY42" s="478"/>
      <c r="JTZ42" s="478"/>
      <c r="JUA42" s="478"/>
      <c r="JUB42" s="478"/>
      <c r="JUC42" s="478"/>
      <c r="JUD42" s="478"/>
      <c r="JUE42" s="478"/>
      <c r="JUF42" s="478"/>
      <c r="JUG42" s="478"/>
      <c r="JUH42" s="478"/>
      <c r="JUI42" s="478"/>
      <c r="JUJ42" s="478"/>
      <c r="JUK42" s="478"/>
      <c r="JUL42" s="478"/>
      <c r="JUM42" s="478"/>
      <c r="JUN42" s="478"/>
      <c r="JUO42" s="478"/>
      <c r="JUP42" s="478"/>
      <c r="JUQ42" s="478"/>
      <c r="JUR42" s="478"/>
      <c r="JUS42" s="478"/>
      <c r="JUT42" s="478"/>
      <c r="JUU42" s="478"/>
      <c r="JUV42" s="478"/>
      <c r="JUW42" s="478"/>
      <c r="JUX42" s="478"/>
      <c r="JUY42" s="478"/>
      <c r="JUZ42" s="478"/>
      <c r="JVA42" s="478"/>
      <c r="JVB42" s="478"/>
      <c r="JVC42" s="478"/>
      <c r="JVD42" s="478"/>
      <c r="JVE42" s="478"/>
      <c r="JVF42" s="478"/>
      <c r="JVG42" s="478"/>
      <c r="JVH42" s="478"/>
      <c r="JVI42" s="478"/>
      <c r="JVJ42" s="478"/>
      <c r="JVK42" s="478"/>
      <c r="JVL42" s="478"/>
      <c r="JVM42" s="478"/>
      <c r="JVN42" s="478"/>
      <c r="JVO42" s="478"/>
      <c r="JVP42" s="478"/>
      <c r="JVQ42" s="478"/>
      <c r="JVR42" s="478"/>
      <c r="JVS42" s="478"/>
      <c r="JVT42" s="478"/>
      <c r="JVU42" s="478"/>
      <c r="JVV42" s="478"/>
      <c r="JVW42" s="478"/>
      <c r="JVX42" s="478"/>
      <c r="JVY42" s="478"/>
      <c r="JVZ42" s="478"/>
      <c r="JWA42" s="478"/>
      <c r="JWB42" s="478"/>
      <c r="JWC42" s="478"/>
      <c r="JWD42" s="478"/>
      <c r="JWE42" s="478"/>
      <c r="JWF42" s="478"/>
      <c r="JWG42" s="478"/>
      <c r="JWH42" s="478"/>
      <c r="JWI42" s="478"/>
      <c r="JWJ42" s="478"/>
      <c r="JWK42" s="478"/>
      <c r="JWL42" s="478"/>
      <c r="JWM42" s="478"/>
      <c r="JWN42" s="478"/>
      <c r="JWO42" s="478"/>
      <c r="JWP42" s="478"/>
      <c r="JWQ42" s="478"/>
      <c r="JWR42" s="478"/>
      <c r="JWS42" s="478"/>
      <c r="JWT42" s="478"/>
      <c r="JWU42" s="478"/>
      <c r="JWV42" s="478"/>
      <c r="JWW42" s="478"/>
      <c r="JWX42" s="478"/>
      <c r="JWY42" s="478"/>
      <c r="JWZ42" s="478"/>
      <c r="JXA42" s="478"/>
      <c r="JXB42" s="478"/>
      <c r="JXC42" s="478"/>
      <c r="JXD42" s="478"/>
      <c r="JXE42" s="478"/>
      <c r="JXF42" s="478"/>
      <c r="JXG42" s="478"/>
      <c r="JXH42" s="478"/>
      <c r="JXI42" s="478"/>
      <c r="JXJ42" s="478"/>
      <c r="JXK42" s="478"/>
      <c r="JXL42" s="478"/>
      <c r="JXM42" s="478"/>
      <c r="JXN42" s="478"/>
      <c r="JXO42" s="478"/>
      <c r="JXP42" s="478"/>
      <c r="JXQ42" s="478"/>
      <c r="JXR42" s="478"/>
      <c r="JXS42" s="478"/>
      <c r="JXT42" s="478"/>
      <c r="JXU42" s="478"/>
      <c r="JXV42" s="478"/>
      <c r="JXW42" s="478"/>
      <c r="JXX42" s="478"/>
      <c r="JXY42" s="478"/>
      <c r="JXZ42" s="478"/>
      <c r="JYA42" s="478"/>
      <c r="JYB42" s="478"/>
      <c r="JYC42" s="478"/>
      <c r="JYD42" s="478"/>
      <c r="JYE42" s="478"/>
      <c r="JYF42" s="478"/>
      <c r="JYG42" s="478"/>
      <c r="JYH42" s="478"/>
      <c r="JYI42" s="478"/>
      <c r="JYJ42" s="478"/>
      <c r="JYK42" s="478"/>
      <c r="JYL42" s="478"/>
      <c r="JYM42" s="478"/>
      <c r="JYN42" s="478"/>
      <c r="JYO42" s="478"/>
      <c r="JYP42" s="478"/>
      <c r="JYQ42" s="478"/>
      <c r="JYR42" s="478"/>
      <c r="JYS42" s="478"/>
      <c r="JYT42" s="478"/>
      <c r="JYU42" s="478"/>
      <c r="JYV42" s="478"/>
      <c r="JYW42" s="478"/>
      <c r="JYX42" s="478"/>
      <c r="JYY42" s="478"/>
      <c r="JYZ42" s="478"/>
      <c r="JZA42" s="478"/>
      <c r="JZB42" s="478"/>
      <c r="JZC42" s="478"/>
      <c r="JZD42" s="478"/>
      <c r="JZE42" s="478"/>
      <c r="JZF42" s="478"/>
      <c r="JZG42" s="478"/>
      <c r="JZH42" s="478"/>
      <c r="JZI42" s="478"/>
      <c r="JZJ42" s="478"/>
      <c r="JZK42" s="478"/>
      <c r="JZL42" s="478"/>
      <c r="JZM42" s="478"/>
      <c r="JZN42" s="478"/>
      <c r="JZO42" s="478"/>
      <c r="JZP42" s="478"/>
      <c r="JZQ42" s="478"/>
      <c r="JZR42" s="478"/>
      <c r="JZS42" s="478"/>
      <c r="JZT42" s="478"/>
      <c r="JZU42" s="478"/>
      <c r="JZV42" s="478"/>
      <c r="JZW42" s="478"/>
      <c r="JZX42" s="478"/>
      <c r="JZY42" s="478"/>
      <c r="JZZ42" s="478"/>
      <c r="KAA42" s="478"/>
      <c r="KAB42" s="478"/>
      <c r="KAC42" s="478"/>
      <c r="KAD42" s="478"/>
      <c r="KAE42" s="478"/>
      <c r="KAF42" s="478"/>
      <c r="KAG42" s="478"/>
      <c r="KAH42" s="478"/>
      <c r="KAI42" s="478"/>
      <c r="KAJ42" s="478"/>
      <c r="KAK42" s="478"/>
      <c r="KAL42" s="478"/>
      <c r="KAM42" s="478"/>
      <c r="KAN42" s="478"/>
      <c r="KAO42" s="478"/>
      <c r="KAP42" s="478"/>
      <c r="KAQ42" s="478"/>
      <c r="KAR42" s="478"/>
      <c r="KAS42" s="478"/>
      <c r="KAT42" s="478"/>
      <c r="KAU42" s="478"/>
      <c r="KAV42" s="478"/>
      <c r="KAW42" s="478"/>
      <c r="KAX42" s="478"/>
      <c r="KAY42" s="478"/>
      <c r="KAZ42" s="478"/>
      <c r="KBA42" s="478"/>
      <c r="KBB42" s="478"/>
      <c r="KBC42" s="478"/>
      <c r="KBD42" s="478"/>
      <c r="KBE42" s="478"/>
      <c r="KBF42" s="478"/>
      <c r="KBG42" s="478"/>
      <c r="KBH42" s="478"/>
      <c r="KBI42" s="478"/>
      <c r="KBJ42" s="478"/>
      <c r="KBK42" s="478"/>
      <c r="KBL42" s="478"/>
      <c r="KBM42" s="478"/>
      <c r="KBN42" s="478"/>
      <c r="KBO42" s="478"/>
      <c r="KBP42" s="478"/>
      <c r="KBQ42" s="478"/>
      <c r="KBR42" s="478"/>
      <c r="KBS42" s="478"/>
      <c r="KBT42" s="478"/>
      <c r="KBU42" s="478"/>
      <c r="KBV42" s="478"/>
      <c r="KBW42" s="478"/>
      <c r="KBX42" s="478"/>
      <c r="KBY42" s="478"/>
      <c r="KBZ42" s="478"/>
      <c r="KCA42" s="478"/>
      <c r="KCB42" s="478"/>
      <c r="KCC42" s="478"/>
      <c r="KCD42" s="478"/>
      <c r="KCE42" s="478"/>
      <c r="KCF42" s="478"/>
      <c r="KCG42" s="478"/>
      <c r="KCH42" s="478"/>
      <c r="KCI42" s="478"/>
      <c r="KCJ42" s="478"/>
      <c r="KCK42" s="478"/>
      <c r="KCL42" s="478"/>
      <c r="KCM42" s="478"/>
      <c r="KCN42" s="478"/>
      <c r="KCO42" s="478"/>
      <c r="KCP42" s="478"/>
      <c r="KCQ42" s="478"/>
      <c r="KCR42" s="478"/>
      <c r="KCS42" s="478"/>
      <c r="KCT42" s="478"/>
      <c r="KCU42" s="478"/>
      <c r="KCV42" s="478"/>
      <c r="KCW42" s="478"/>
      <c r="KCX42" s="478"/>
      <c r="KCY42" s="478"/>
      <c r="KCZ42" s="478"/>
      <c r="KDA42" s="478"/>
      <c r="KDB42" s="478"/>
      <c r="KDC42" s="478"/>
      <c r="KDD42" s="478"/>
      <c r="KDE42" s="478"/>
      <c r="KDF42" s="478"/>
      <c r="KDG42" s="478"/>
      <c r="KDH42" s="478"/>
      <c r="KDI42" s="478"/>
      <c r="KDJ42" s="478"/>
      <c r="KDK42" s="478"/>
      <c r="KDL42" s="478"/>
      <c r="KDM42" s="478"/>
      <c r="KDN42" s="478"/>
      <c r="KDO42" s="478"/>
      <c r="KDP42" s="478"/>
      <c r="KDQ42" s="478"/>
      <c r="KDR42" s="478"/>
      <c r="KDS42" s="478"/>
      <c r="KDT42" s="478"/>
      <c r="KDU42" s="478"/>
      <c r="KDV42" s="478"/>
      <c r="KDW42" s="478"/>
      <c r="KDX42" s="478"/>
      <c r="KDY42" s="478"/>
      <c r="KDZ42" s="478"/>
      <c r="KEA42" s="478"/>
      <c r="KEB42" s="478"/>
      <c r="KEC42" s="478"/>
      <c r="KED42" s="478"/>
      <c r="KEE42" s="478"/>
      <c r="KEF42" s="478"/>
      <c r="KEG42" s="478"/>
      <c r="KEH42" s="478"/>
      <c r="KEI42" s="478"/>
      <c r="KEJ42" s="478"/>
      <c r="KEK42" s="478"/>
      <c r="KEL42" s="478"/>
      <c r="KEM42" s="478"/>
      <c r="KEN42" s="478"/>
      <c r="KEO42" s="478"/>
      <c r="KEP42" s="478"/>
      <c r="KEQ42" s="478"/>
      <c r="KER42" s="478"/>
      <c r="KES42" s="478"/>
      <c r="KET42" s="478"/>
      <c r="KEU42" s="478"/>
      <c r="KEV42" s="478"/>
      <c r="KEW42" s="478"/>
      <c r="KEX42" s="478"/>
      <c r="KEY42" s="478"/>
      <c r="KEZ42" s="478"/>
      <c r="KFA42" s="478"/>
      <c r="KFB42" s="478"/>
      <c r="KFC42" s="478"/>
      <c r="KFD42" s="478"/>
      <c r="KFE42" s="478"/>
      <c r="KFF42" s="478"/>
      <c r="KFG42" s="478"/>
      <c r="KFH42" s="478"/>
      <c r="KFI42" s="478"/>
      <c r="KFJ42" s="478"/>
      <c r="KFK42" s="478"/>
      <c r="KFL42" s="478"/>
      <c r="KFM42" s="478"/>
      <c r="KFN42" s="478"/>
      <c r="KFO42" s="478"/>
      <c r="KFP42" s="478"/>
      <c r="KFQ42" s="478"/>
      <c r="KFR42" s="478"/>
      <c r="KFS42" s="478"/>
      <c r="KFT42" s="478"/>
      <c r="KFU42" s="478"/>
      <c r="KFV42" s="478"/>
      <c r="KFW42" s="478"/>
      <c r="KFX42" s="478"/>
      <c r="KFY42" s="478"/>
      <c r="KFZ42" s="478"/>
      <c r="KGA42" s="478"/>
      <c r="KGB42" s="478"/>
      <c r="KGC42" s="478"/>
      <c r="KGD42" s="478"/>
      <c r="KGE42" s="478"/>
      <c r="KGF42" s="478"/>
      <c r="KGG42" s="478"/>
      <c r="KGH42" s="478"/>
      <c r="KGI42" s="478"/>
      <c r="KGJ42" s="478"/>
      <c r="KGK42" s="478"/>
      <c r="KGL42" s="478"/>
      <c r="KGM42" s="478"/>
      <c r="KGN42" s="478"/>
      <c r="KGO42" s="478"/>
      <c r="KGP42" s="478"/>
      <c r="KGQ42" s="478"/>
      <c r="KGR42" s="478"/>
      <c r="KGS42" s="478"/>
      <c r="KGT42" s="478"/>
      <c r="KGU42" s="478"/>
      <c r="KGV42" s="478"/>
      <c r="KGW42" s="478"/>
      <c r="KGX42" s="478"/>
      <c r="KGY42" s="478"/>
      <c r="KGZ42" s="478"/>
      <c r="KHA42" s="478"/>
      <c r="KHB42" s="478"/>
      <c r="KHC42" s="478"/>
      <c r="KHD42" s="478"/>
      <c r="KHE42" s="478"/>
      <c r="KHF42" s="478"/>
      <c r="KHG42" s="478"/>
      <c r="KHH42" s="478"/>
      <c r="KHI42" s="478"/>
      <c r="KHJ42" s="478"/>
      <c r="KHK42" s="478"/>
      <c r="KHL42" s="478"/>
      <c r="KHM42" s="478"/>
      <c r="KHN42" s="478"/>
      <c r="KHO42" s="478"/>
      <c r="KHP42" s="478"/>
      <c r="KHQ42" s="478"/>
      <c r="KHR42" s="478"/>
      <c r="KHS42" s="478"/>
      <c r="KHT42" s="478"/>
      <c r="KHU42" s="478"/>
      <c r="KHV42" s="478"/>
      <c r="KHW42" s="478"/>
      <c r="KHX42" s="478"/>
      <c r="KHY42" s="478"/>
      <c r="KHZ42" s="478"/>
      <c r="KIA42" s="478"/>
      <c r="KIB42" s="478"/>
      <c r="KIC42" s="478"/>
      <c r="KID42" s="478"/>
      <c r="KIE42" s="478"/>
      <c r="KIF42" s="478"/>
      <c r="KIG42" s="478"/>
      <c r="KIH42" s="478"/>
      <c r="KII42" s="478"/>
      <c r="KIJ42" s="478"/>
      <c r="KIK42" s="478"/>
      <c r="KIL42" s="478"/>
      <c r="KIM42" s="478"/>
      <c r="KIN42" s="478"/>
      <c r="KIO42" s="478"/>
      <c r="KIP42" s="478"/>
      <c r="KIQ42" s="478"/>
      <c r="KIR42" s="478"/>
      <c r="KIS42" s="478"/>
      <c r="KIT42" s="478"/>
      <c r="KIU42" s="478"/>
      <c r="KIV42" s="478"/>
      <c r="KIW42" s="478"/>
      <c r="KIX42" s="478"/>
      <c r="KIY42" s="478"/>
      <c r="KIZ42" s="478"/>
      <c r="KJA42" s="478"/>
      <c r="KJB42" s="478"/>
      <c r="KJC42" s="478"/>
      <c r="KJD42" s="478"/>
      <c r="KJE42" s="478"/>
      <c r="KJF42" s="478"/>
      <c r="KJG42" s="478"/>
      <c r="KJH42" s="478"/>
      <c r="KJI42" s="478"/>
      <c r="KJJ42" s="478"/>
      <c r="KJK42" s="478"/>
      <c r="KJL42" s="478"/>
      <c r="KJM42" s="478"/>
      <c r="KJN42" s="478"/>
      <c r="KJO42" s="478"/>
      <c r="KJP42" s="478"/>
      <c r="KJQ42" s="478"/>
      <c r="KJR42" s="478"/>
      <c r="KJS42" s="478"/>
      <c r="KJT42" s="478"/>
      <c r="KJU42" s="478"/>
      <c r="KJV42" s="478"/>
      <c r="KJW42" s="478"/>
      <c r="KJX42" s="478"/>
      <c r="KJY42" s="478"/>
      <c r="KJZ42" s="478"/>
      <c r="KKA42" s="478"/>
      <c r="KKB42" s="478"/>
      <c r="KKC42" s="478"/>
      <c r="KKD42" s="478"/>
      <c r="KKE42" s="478"/>
      <c r="KKF42" s="478"/>
      <c r="KKG42" s="478"/>
      <c r="KKH42" s="478"/>
      <c r="KKI42" s="478"/>
      <c r="KKJ42" s="478"/>
      <c r="KKK42" s="478"/>
      <c r="KKL42" s="478"/>
      <c r="KKM42" s="478"/>
      <c r="KKN42" s="478"/>
      <c r="KKO42" s="478"/>
      <c r="KKP42" s="478"/>
      <c r="KKQ42" s="478"/>
      <c r="KKR42" s="478"/>
      <c r="KKS42" s="478"/>
      <c r="KKT42" s="478"/>
      <c r="KKU42" s="478"/>
      <c r="KKV42" s="478"/>
      <c r="KKW42" s="478"/>
      <c r="KKX42" s="478"/>
      <c r="KKY42" s="478"/>
      <c r="KKZ42" s="478"/>
      <c r="KLA42" s="478"/>
      <c r="KLB42" s="478"/>
      <c r="KLC42" s="478"/>
      <c r="KLD42" s="478"/>
      <c r="KLE42" s="478"/>
      <c r="KLF42" s="478"/>
      <c r="KLG42" s="478"/>
      <c r="KLH42" s="478"/>
      <c r="KLI42" s="478"/>
      <c r="KLJ42" s="478"/>
      <c r="KLK42" s="478"/>
      <c r="KLL42" s="478"/>
      <c r="KLM42" s="478"/>
      <c r="KLN42" s="478"/>
      <c r="KLO42" s="478"/>
      <c r="KLP42" s="478"/>
      <c r="KLQ42" s="478"/>
      <c r="KLR42" s="478"/>
      <c r="KLS42" s="478"/>
      <c r="KLT42" s="478"/>
      <c r="KLU42" s="478"/>
      <c r="KLV42" s="478"/>
      <c r="KLW42" s="478"/>
      <c r="KLX42" s="478"/>
      <c r="KLY42" s="478"/>
      <c r="KLZ42" s="478"/>
      <c r="KMA42" s="478"/>
      <c r="KMB42" s="478"/>
      <c r="KMC42" s="478"/>
      <c r="KMD42" s="478"/>
      <c r="KME42" s="478"/>
      <c r="KMF42" s="478"/>
      <c r="KMG42" s="478"/>
      <c r="KMH42" s="478"/>
      <c r="KMI42" s="478"/>
      <c r="KMJ42" s="478"/>
      <c r="KMK42" s="478"/>
      <c r="KML42" s="478"/>
      <c r="KMM42" s="478"/>
      <c r="KMN42" s="478"/>
      <c r="KMO42" s="478"/>
      <c r="KMP42" s="478"/>
      <c r="KMQ42" s="478"/>
      <c r="KMR42" s="478"/>
      <c r="KMS42" s="478"/>
      <c r="KMT42" s="478"/>
      <c r="KMU42" s="478"/>
      <c r="KMV42" s="478"/>
      <c r="KMW42" s="478"/>
      <c r="KMX42" s="478"/>
      <c r="KMY42" s="478"/>
      <c r="KMZ42" s="478"/>
      <c r="KNA42" s="478"/>
      <c r="KNB42" s="478"/>
      <c r="KNC42" s="478"/>
      <c r="KND42" s="478"/>
      <c r="KNE42" s="478"/>
      <c r="KNF42" s="478"/>
      <c r="KNG42" s="478"/>
      <c r="KNH42" s="478"/>
      <c r="KNI42" s="478"/>
      <c r="KNJ42" s="478"/>
      <c r="KNK42" s="478"/>
      <c r="KNL42" s="478"/>
      <c r="KNM42" s="478"/>
      <c r="KNN42" s="478"/>
      <c r="KNO42" s="478"/>
      <c r="KNP42" s="478"/>
      <c r="KNQ42" s="478"/>
      <c r="KNR42" s="478"/>
      <c r="KNS42" s="478"/>
      <c r="KNT42" s="478"/>
      <c r="KNU42" s="478"/>
      <c r="KNV42" s="478"/>
      <c r="KNW42" s="478"/>
      <c r="KNX42" s="478"/>
      <c r="KNY42" s="478"/>
      <c r="KNZ42" s="478"/>
      <c r="KOA42" s="478"/>
      <c r="KOB42" s="478"/>
      <c r="KOC42" s="478"/>
      <c r="KOD42" s="478"/>
      <c r="KOE42" s="478"/>
      <c r="KOF42" s="478"/>
      <c r="KOG42" s="478"/>
      <c r="KOH42" s="478"/>
      <c r="KOI42" s="478"/>
      <c r="KOJ42" s="478"/>
      <c r="KOK42" s="478"/>
      <c r="KOL42" s="478"/>
      <c r="KOM42" s="478"/>
      <c r="KON42" s="478"/>
      <c r="KOO42" s="478"/>
      <c r="KOP42" s="478"/>
      <c r="KOQ42" s="478"/>
      <c r="KOR42" s="478"/>
      <c r="KOS42" s="478"/>
      <c r="KOT42" s="478"/>
      <c r="KOU42" s="478"/>
      <c r="KOV42" s="478"/>
      <c r="KOW42" s="478"/>
      <c r="KOX42" s="478"/>
      <c r="KOY42" s="478"/>
      <c r="KOZ42" s="478"/>
      <c r="KPA42" s="478"/>
      <c r="KPB42" s="478"/>
      <c r="KPC42" s="478"/>
      <c r="KPD42" s="478"/>
      <c r="KPE42" s="478"/>
      <c r="KPF42" s="478"/>
      <c r="KPG42" s="478"/>
      <c r="KPH42" s="478"/>
      <c r="KPI42" s="478"/>
      <c r="KPJ42" s="478"/>
      <c r="KPK42" s="478"/>
      <c r="KPL42" s="478"/>
      <c r="KPM42" s="478"/>
      <c r="KPN42" s="478"/>
      <c r="KPO42" s="478"/>
      <c r="KPP42" s="478"/>
      <c r="KPQ42" s="478"/>
      <c r="KPR42" s="478"/>
      <c r="KPS42" s="478"/>
      <c r="KPT42" s="478"/>
      <c r="KPU42" s="478"/>
      <c r="KPV42" s="478"/>
      <c r="KPW42" s="478"/>
      <c r="KPX42" s="478"/>
      <c r="KPY42" s="478"/>
      <c r="KPZ42" s="478"/>
      <c r="KQA42" s="478"/>
      <c r="KQB42" s="478"/>
      <c r="KQC42" s="478"/>
      <c r="KQD42" s="478"/>
      <c r="KQE42" s="478"/>
      <c r="KQF42" s="478"/>
      <c r="KQG42" s="478"/>
      <c r="KQH42" s="478"/>
      <c r="KQI42" s="478"/>
      <c r="KQJ42" s="478"/>
      <c r="KQK42" s="478"/>
      <c r="KQL42" s="478"/>
      <c r="KQM42" s="478"/>
      <c r="KQN42" s="478"/>
      <c r="KQO42" s="478"/>
      <c r="KQP42" s="478"/>
      <c r="KQQ42" s="478"/>
      <c r="KQR42" s="478"/>
      <c r="KQS42" s="478"/>
      <c r="KQT42" s="478"/>
      <c r="KQU42" s="478"/>
      <c r="KQV42" s="478"/>
      <c r="KQW42" s="478"/>
      <c r="KQX42" s="478"/>
      <c r="KQY42" s="478"/>
      <c r="KQZ42" s="478"/>
      <c r="KRA42" s="478"/>
      <c r="KRB42" s="478"/>
      <c r="KRC42" s="478"/>
      <c r="KRD42" s="478"/>
      <c r="KRE42" s="478"/>
      <c r="KRF42" s="478"/>
      <c r="KRG42" s="478"/>
      <c r="KRH42" s="478"/>
      <c r="KRI42" s="478"/>
      <c r="KRJ42" s="478"/>
      <c r="KRK42" s="478"/>
      <c r="KRL42" s="478"/>
      <c r="KRM42" s="478"/>
      <c r="KRN42" s="478"/>
      <c r="KRO42" s="478"/>
      <c r="KRP42" s="478"/>
      <c r="KRQ42" s="478"/>
      <c r="KRR42" s="478"/>
      <c r="KRS42" s="478"/>
      <c r="KRT42" s="478"/>
      <c r="KRU42" s="478"/>
      <c r="KRV42" s="478"/>
      <c r="KRW42" s="478"/>
      <c r="KRX42" s="478"/>
      <c r="KRY42" s="478"/>
      <c r="KRZ42" s="478"/>
      <c r="KSA42" s="478"/>
      <c r="KSB42" s="478"/>
      <c r="KSC42" s="478"/>
      <c r="KSD42" s="478"/>
      <c r="KSE42" s="478"/>
      <c r="KSF42" s="478"/>
      <c r="KSG42" s="478"/>
      <c r="KSH42" s="478"/>
      <c r="KSI42" s="478"/>
      <c r="KSJ42" s="478"/>
      <c r="KSK42" s="478"/>
      <c r="KSL42" s="478"/>
      <c r="KSM42" s="478"/>
      <c r="KSN42" s="478"/>
      <c r="KSO42" s="478"/>
      <c r="KSP42" s="478"/>
      <c r="KSQ42" s="478"/>
      <c r="KSR42" s="478"/>
      <c r="KSS42" s="478"/>
      <c r="KST42" s="478"/>
      <c r="KSU42" s="478"/>
      <c r="KSV42" s="478"/>
      <c r="KSW42" s="478"/>
      <c r="KSX42" s="478"/>
      <c r="KSY42" s="478"/>
      <c r="KSZ42" s="478"/>
      <c r="KTA42" s="478"/>
      <c r="KTB42" s="478"/>
      <c r="KTC42" s="478"/>
      <c r="KTD42" s="478"/>
      <c r="KTE42" s="478"/>
      <c r="KTF42" s="478"/>
      <c r="KTG42" s="478"/>
      <c r="KTH42" s="478"/>
      <c r="KTI42" s="478"/>
      <c r="KTJ42" s="478"/>
      <c r="KTK42" s="478"/>
      <c r="KTL42" s="478"/>
      <c r="KTM42" s="478"/>
      <c r="KTN42" s="478"/>
      <c r="KTO42" s="478"/>
      <c r="KTP42" s="478"/>
      <c r="KTQ42" s="478"/>
      <c r="KTR42" s="478"/>
      <c r="KTS42" s="478"/>
      <c r="KTT42" s="478"/>
      <c r="KTU42" s="478"/>
      <c r="KTV42" s="478"/>
      <c r="KTW42" s="478"/>
      <c r="KTX42" s="478"/>
      <c r="KTY42" s="478"/>
      <c r="KTZ42" s="478"/>
      <c r="KUA42" s="478"/>
      <c r="KUB42" s="478"/>
      <c r="KUC42" s="478"/>
      <c r="KUD42" s="478"/>
      <c r="KUE42" s="478"/>
      <c r="KUF42" s="478"/>
      <c r="KUG42" s="478"/>
      <c r="KUH42" s="478"/>
      <c r="KUI42" s="478"/>
      <c r="KUJ42" s="478"/>
      <c r="KUK42" s="478"/>
      <c r="KUL42" s="478"/>
      <c r="KUM42" s="478"/>
      <c r="KUN42" s="478"/>
      <c r="KUO42" s="478"/>
      <c r="KUP42" s="478"/>
      <c r="KUQ42" s="478"/>
      <c r="KUR42" s="478"/>
      <c r="KUS42" s="478"/>
      <c r="KUT42" s="478"/>
      <c r="KUU42" s="478"/>
      <c r="KUV42" s="478"/>
      <c r="KUW42" s="478"/>
      <c r="KUX42" s="478"/>
      <c r="KUY42" s="478"/>
      <c r="KUZ42" s="478"/>
      <c r="KVA42" s="478"/>
      <c r="KVB42" s="478"/>
      <c r="KVC42" s="478"/>
      <c r="KVD42" s="478"/>
      <c r="KVE42" s="478"/>
      <c r="KVF42" s="478"/>
      <c r="KVG42" s="478"/>
      <c r="KVH42" s="478"/>
      <c r="KVI42" s="478"/>
      <c r="KVJ42" s="478"/>
      <c r="KVK42" s="478"/>
      <c r="KVL42" s="478"/>
      <c r="KVM42" s="478"/>
      <c r="KVN42" s="478"/>
      <c r="KVO42" s="478"/>
      <c r="KVP42" s="478"/>
      <c r="KVQ42" s="478"/>
      <c r="KVR42" s="478"/>
      <c r="KVS42" s="478"/>
      <c r="KVT42" s="478"/>
      <c r="KVU42" s="478"/>
      <c r="KVV42" s="478"/>
      <c r="KVW42" s="478"/>
      <c r="KVX42" s="478"/>
      <c r="KVY42" s="478"/>
      <c r="KVZ42" s="478"/>
      <c r="KWA42" s="478"/>
      <c r="KWB42" s="478"/>
      <c r="KWC42" s="478"/>
      <c r="KWD42" s="478"/>
      <c r="KWE42" s="478"/>
      <c r="KWF42" s="478"/>
      <c r="KWG42" s="478"/>
      <c r="KWH42" s="478"/>
      <c r="KWI42" s="478"/>
      <c r="KWJ42" s="478"/>
      <c r="KWK42" s="478"/>
      <c r="KWL42" s="478"/>
      <c r="KWM42" s="478"/>
      <c r="KWN42" s="478"/>
      <c r="KWO42" s="478"/>
      <c r="KWP42" s="478"/>
      <c r="KWQ42" s="478"/>
      <c r="KWR42" s="478"/>
      <c r="KWS42" s="478"/>
      <c r="KWT42" s="478"/>
      <c r="KWU42" s="478"/>
      <c r="KWV42" s="478"/>
      <c r="KWW42" s="478"/>
      <c r="KWX42" s="478"/>
      <c r="KWY42" s="478"/>
      <c r="KWZ42" s="478"/>
      <c r="KXA42" s="478"/>
      <c r="KXB42" s="478"/>
      <c r="KXC42" s="478"/>
      <c r="KXD42" s="478"/>
      <c r="KXE42" s="478"/>
      <c r="KXF42" s="478"/>
      <c r="KXG42" s="478"/>
      <c r="KXH42" s="478"/>
      <c r="KXI42" s="478"/>
      <c r="KXJ42" s="478"/>
      <c r="KXK42" s="478"/>
      <c r="KXL42" s="478"/>
      <c r="KXM42" s="478"/>
      <c r="KXN42" s="478"/>
      <c r="KXO42" s="478"/>
      <c r="KXP42" s="478"/>
      <c r="KXQ42" s="478"/>
      <c r="KXR42" s="478"/>
      <c r="KXS42" s="478"/>
      <c r="KXT42" s="478"/>
      <c r="KXU42" s="478"/>
      <c r="KXV42" s="478"/>
      <c r="KXW42" s="478"/>
      <c r="KXX42" s="478"/>
      <c r="KXY42" s="478"/>
      <c r="KXZ42" s="478"/>
      <c r="KYA42" s="478"/>
      <c r="KYB42" s="478"/>
      <c r="KYC42" s="478"/>
      <c r="KYD42" s="478"/>
      <c r="KYE42" s="478"/>
      <c r="KYF42" s="478"/>
      <c r="KYG42" s="478"/>
      <c r="KYH42" s="478"/>
      <c r="KYI42" s="478"/>
      <c r="KYJ42" s="478"/>
      <c r="KYK42" s="478"/>
      <c r="KYL42" s="478"/>
      <c r="KYM42" s="478"/>
      <c r="KYN42" s="478"/>
      <c r="KYO42" s="478"/>
      <c r="KYP42" s="478"/>
      <c r="KYQ42" s="478"/>
      <c r="KYR42" s="478"/>
      <c r="KYS42" s="478"/>
      <c r="KYT42" s="478"/>
      <c r="KYU42" s="478"/>
      <c r="KYV42" s="478"/>
      <c r="KYW42" s="478"/>
      <c r="KYX42" s="478"/>
      <c r="KYY42" s="478"/>
      <c r="KYZ42" s="478"/>
      <c r="KZA42" s="478"/>
      <c r="KZB42" s="478"/>
      <c r="KZC42" s="478"/>
      <c r="KZD42" s="478"/>
      <c r="KZE42" s="478"/>
      <c r="KZF42" s="478"/>
      <c r="KZG42" s="478"/>
      <c r="KZH42" s="478"/>
      <c r="KZI42" s="478"/>
      <c r="KZJ42" s="478"/>
      <c r="KZK42" s="478"/>
      <c r="KZL42" s="478"/>
      <c r="KZM42" s="478"/>
      <c r="KZN42" s="478"/>
      <c r="KZO42" s="478"/>
      <c r="KZP42" s="478"/>
      <c r="KZQ42" s="478"/>
      <c r="KZR42" s="478"/>
      <c r="KZS42" s="478"/>
      <c r="KZT42" s="478"/>
      <c r="KZU42" s="478"/>
      <c r="KZV42" s="478"/>
      <c r="KZW42" s="478"/>
      <c r="KZX42" s="478"/>
      <c r="KZY42" s="478"/>
      <c r="KZZ42" s="478"/>
      <c r="LAA42" s="478"/>
      <c r="LAB42" s="478"/>
      <c r="LAC42" s="478"/>
      <c r="LAD42" s="478"/>
      <c r="LAE42" s="478"/>
      <c r="LAF42" s="478"/>
      <c r="LAG42" s="478"/>
      <c r="LAH42" s="478"/>
      <c r="LAI42" s="478"/>
      <c r="LAJ42" s="478"/>
      <c r="LAK42" s="478"/>
      <c r="LAL42" s="478"/>
      <c r="LAM42" s="478"/>
      <c r="LAN42" s="478"/>
      <c r="LAO42" s="478"/>
      <c r="LAP42" s="478"/>
      <c r="LAQ42" s="478"/>
      <c r="LAR42" s="478"/>
      <c r="LAS42" s="478"/>
      <c r="LAT42" s="478"/>
      <c r="LAU42" s="478"/>
      <c r="LAV42" s="478"/>
      <c r="LAW42" s="478"/>
      <c r="LAX42" s="478"/>
      <c r="LAY42" s="478"/>
      <c r="LAZ42" s="478"/>
      <c r="LBA42" s="478"/>
      <c r="LBB42" s="478"/>
      <c r="LBC42" s="478"/>
      <c r="LBD42" s="478"/>
      <c r="LBE42" s="478"/>
      <c r="LBF42" s="478"/>
      <c r="LBG42" s="478"/>
      <c r="LBH42" s="478"/>
      <c r="LBI42" s="478"/>
      <c r="LBJ42" s="478"/>
      <c r="LBK42" s="478"/>
      <c r="LBL42" s="478"/>
      <c r="LBM42" s="478"/>
      <c r="LBN42" s="478"/>
      <c r="LBO42" s="478"/>
      <c r="LBP42" s="478"/>
      <c r="LBQ42" s="478"/>
      <c r="LBR42" s="478"/>
      <c r="LBS42" s="478"/>
      <c r="LBT42" s="478"/>
      <c r="LBU42" s="478"/>
      <c r="LBV42" s="478"/>
      <c r="LBW42" s="478"/>
      <c r="LBX42" s="478"/>
      <c r="LBY42" s="478"/>
      <c r="LBZ42" s="478"/>
      <c r="LCA42" s="478"/>
      <c r="LCB42" s="478"/>
      <c r="LCC42" s="478"/>
      <c r="LCD42" s="478"/>
      <c r="LCE42" s="478"/>
      <c r="LCF42" s="478"/>
      <c r="LCG42" s="478"/>
      <c r="LCH42" s="478"/>
      <c r="LCI42" s="478"/>
      <c r="LCJ42" s="478"/>
      <c r="LCK42" s="478"/>
      <c r="LCL42" s="478"/>
      <c r="LCM42" s="478"/>
      <c r="LCN42" s="478"/>
      <c r="LCO42" s="478"/>
      <c r="LCP42" s="478"/>
      <c r="LCQ42" s="478"/>
      <c r="LCR42" s="478"/>
      <c r="LCS42" s="478"/>
      <c r="LCT42" s="478"/>
      <c r="LCU42" s="478"/>
      <c r="LCV42" s="478"/>
      <c r="LCW42" s="478"/>
      <c r="LCX42" s="478"/>
      <c r="LCY42" s="478"/>
      <c r="LCZ42" s="478"/>
      <c r="LDA42" s="478"/>
      <c r="LDB42" s="478"/>
      <c r="LDC42" s="478"/>
      <c r="LDD42" s="478"/>
      <c r="LDE42" s="478"/>
      <c r="LDF42" s="478"/>
      <c r="LDG42" s="478"/>
      <c r="LDH42" s="478"/>
      <c r="LDI42" s="478"/>
      <c r="LDJ42" s="478"/>
      <c r="LDK42" s="478"/>
      <c r="LDL42" s="478"/>
      <c r="LDM42" s="478"/>
      <c r="LDN42" s="478"/>
      <c r="LDO42" s="478"/>
      <c r="LDP42" s="478"/>
      <c r="LDQ42" s="478"/>
      <c r="LDR42" s="478"/>
      <c r="LDS42" s="478"/>
      <c r="LDT42" s="478"/>
      <c r="LDU42" s="478"/>
      <c r="LDV42" s="478"/>
      <c r="LDW42" s="478"/>
      <c r="LDX42" s="478"/>
      <c r="LDY42" s="478"/>
      <c r="LDZ42" s="478"/>
      <c r="LEA42" s="478"/>
      <c r="LEB42" s="478"/>
      <c r="LEC42" s="478"/>
      <c r="LED42" s="478"/>
      <c r="LEE42" s="478"/>
      <c r="LEF42" s="478"/>
      <c r="LEG42" s="478"/>
      <c r="LEH42" s="478"/>
      <c r="LEI42" s="478"/>
      <c r="LEJ42" s="478"/>
      <c r="LEK42" s="478"/>
      <c r="LEL42" s="478"/>
      <c r="LEM42" s="478"/>
      <c r="LEN42" s="478"/>
      <c r="LEO42" s="478"/>
      <c r="LEP42" s="478"/>
      <c r="LEQ42" s="478"/>
      <c r="LER42" s="478"/>
      <c r="LES42" s="478"/>
      <c r="LET42" s="478"/>
      <c r="LEU42" s="478"/>
      <c r="LEV42" s="478"/>
      <c r="LEW42" s="478"/>
      <c r="LEX42" s="478"/>
      <c r="LEY42" s="478"/>
      <c r="LEZ42" s="478"/>
      <c r="LFA42" s="478"/>
      <c r="LFB42" s="478"/>
      <c r="LFC42" s="478"/>
      <c r="LFD42" s="478"/>
      <c r="LFE42" s="478"/>
      <c r="LFF42" s="478"/>
      <c r="LFG42" s="478"/>
      <c r="LFH42" s="478"/>
      <c r="LFI42" s="478"/>
      <c r="LFJ42" s="478"/>
      <c r="LFK42" s="478"/>
      <c r="LFL42" s="478"/>
      <c r="LFM42" s="478"/>
      <c r="LFN42" s="478"/>
      <c r="LFO42" s="478"/>
      <c r="LFP42" s="478"/>
      <c r="LFQ42" s="478"/>
      <c r="LFR42" s="478"/>
      <c r="LFS42" s="478"/>
      <c r="LFT42" s="478"/>
      <c r="LFU42" s="478"/>
      <c r="LFV42" s="478"/>
      <c r="LFW42" s="478"/>
      <c r="LFX42" s="478"/>
      <c r="LFY42" s="478"/>
      <c r="LFZ42" s="478"/>
      <c r="LGA42" s="478"/>
      <c r="LGB42" s="478"/>
      <c r="LGC42" s="478"/>
      <c r="LGD42" s="478"/>
      <c r="LGE42" s="478"/>
      <c r="LGF42" s="478"/>
      <c r="LGG42" s="478"/>
      <c r="LGH42" s="478"/>
      <c r="LGI42" s="478"/>
      <c r="LGJ42" s="478"/>
      <c r="LGK42" s="478"/>
      <c r="LGL42" s="478"/>
      <c r="LGM42" s="478"/>
      <c r="LGN42" s="478"/>
      <c r="LGO42" s="478"/>
      <c r="LGP42" s="478"/>
      <c r="LGQ42" s="478"/>
      <c r="LGR42" s="478"/>
      <c r="LGS42" s="478"/>
      <c r="LGT42" s="478"/>
      <c r="LGU42" s="478"/>
      <c r="LGV42" s="478"/>
      <c r="LGW42" s="478"/>
      <c r="LGX42" s="478"/>
      <c r="LGY42" s="478"/>
      <c r="LGZ42" s="478"/>
      <c r="LHA42" s="478"/>
      <c r="LHB42" s="478"/>
      <c r="LHC42" s="478"/>
      <c r="LHD42" s="478"/>
      <c r="LHE42" s="478"/>
      <c r="LHF42" s="478"/>
      <c r="LHG42" s="478"/>
      <c r="LHH42" s="478"/>
      <c r="LHI42" s="478"/>
      <c r="LHJ42" s="478"/>
      <c r="LHK42" s="478"/>
      <c r="LHL42" s="478"/>
      <c r="LHM42" s="478"/>
      <c r="LHN42" s="478"/>
      <c r="LHO42" s="478"/>
      <c r="LHP42" s="478"/>
      <c r="LHQ42" s="478"/>
      <c r="LHR42" s="478"/>
      <c r="LHS42" s="478"/>
      <c r="LHT42" s="478"/>
      <c r="LHU42" s="478"/>
      <c r="LHV42" s="478"/>
      <c r="LHW42" s="478"/>
      <c r="LHX42" s="478"/>
      <c r="LHY42" s="478"/>
      <c r="LHZ42" s="478"/>
      <c r="LIA42" s="478"/>
      <c r="LIB42" s="478"/>
      <c r="LIC42" s="478"/>
      <c r="LID42" s="478"/>
      <c r="LIE42" s="478"/>
      <c r="LIF42" s="478"/>
      <c r="LIG42" s="478"/>
      <c r="LIH42" s="478"/>
      <c r="LII42" s="478"/>
      <c r="LIJ42" s="478"/>
      <c r="LIK42" s="478"/>
      <c r="LIL42" s="478"/>
      <c r="LIM42" s="478"/>
      <c r="LIN42" s="478"/>
      <c r="LIO42" s="478"/>
      <c r="LIP42" s="478"/>
      <c r="LIQ42" s="478"/>
      <c r="LIR42" s="478"/>
      <c r="LIS42" s="478"/>
      <c r="LIT42" s="478"/>
      <c r="LIU42" s="478"/>
      <c r="LIV42" s="478"/>
      <c r="LIW42" s="478"/>
      <c r="LIX42" s="478"/>
      <c r="LIY42" s="478"/>
      <c r="LIZ42" s="478"/>
      <c r="LJA42" s="478"/>
      <c r="LJB42" s="478"/>
      <c r="LJC42" s="478"/>
      <c r="LJD42" s="478"/>
      <c r="LJE42" s="478"/>
      <c r="LJF42" s="478"/>
      <c r="LJG42" s="478"/>
      <c r="LJH42" s="478"/>
      <c r="LJI42" s="478"/>
      <c r="LJJ42" s="478"/>
      <c r="LJK42" s="478"/>
      <c r="LJL42" s="478"/>
      <c r="LJM42" s="478"/>
      <c r="LJN42" s="478"/>
      <c r="LJO42" s="478"/>
      <c r="LJP42" s="478"/>
      <c r="LJQ42" s="478"/>
      <c r="LJR42" s="478"/>
      <c r="LJS42" s="478"/>
      <c r="LJT42" s="478"/>
      <c r="LJU42" s="478"/>
      <c r="LJV42" s="478"/>
      <c r="LJW42" s="478"/>
      <c r="LJX42" s="478"/>
      <c r="LJY42" s="478"/>
      <c r="LJZ42" s="478"/>
      <c r="LKA42" s="478"/>
      <c r="LKB42" s="478"/>
      <c r="LKC42" s="478"/>
      <c r="LKD42" s="478"/>
      <c r="LKE42" s="478"/>
      <c r="LKF42" s="478"/>
      <c r="LKG42" s="478"/>
      <c r="LKH42" s="478"/>
      <c r="LKI42" s="478"/>
      <c r="LKJ42" s="478"/>
      <c r="LKK42" s="478"/>
      <c r="LKL42" s="478"/>
      <c r="LKM42" s="478"/>
      <c r="LKN42" s="478"/>
      <c r="LKO42" s="478"/>
      <c r="LKP42" s="478"/>
      <c r="LKQ42" s="478"/>
      <c r="LKR42" s="478"/>
      <c r="LKS42" s="478"/>
      <c r="LKT42" s="478"/>
      <c r="LKU42" s="478"/>
      <c r="LKV42" s="478"/>
      <c r="LKW42" s="478"/>
      <c r="LKX42" s="478"/>
      <c r="LKY42" s="478"/>
      <c r="LKZ42" s="478"/>
      <c r="LLA42" s="478"/>
      <c r="LLB42" s="478"/>
      <c r="LLC42" s="478"/>
      <c r="LLD42" s="478"/>
      <c r="LLE42" s="478"/>
      <c r="LLF42" s="478"/>
      <c r="LLG42" s="478"/>
      <c r="LLH42" s="478"/>
      <c r="LLI42" s="478"/>
      <c r="LLJ42" s="478"/>
      <c r="LLK42" s="478"/>
      <c r="LLL42" s="478"/>
      <c r="LLM42" s="478"/>
      <c r="LLN42" s="478"/>
      <c r="LLO42" s="478"/>
      <c r="LLP42" s="478"/>
      <c r="LLQ42" s="478"/>
      <c r="LLR42" s="478"/>
      <c r="LLS42" s="478"/>
      <c r="LLT42" s="478"/>
      <c r="LLU42" s="478"/>
      <c r="LLV42" s="478"/>
      <c r="LLW42" s="478"/>
      <c r="LLX42" s="478"/>
      <c r="LLY42" s="478"/>
      <c r="LLZ42" s="478"/>
      <c r="LMA42" s="478"/>
      <c r="LMB42" s="478"/>
      <c r="LMC42" s="478"/>
      <c r="LMD42" s="478"/>
      <c r="LME42" s="478"/>
      <c r="LMF42" s="478"/>
      <c r="LMG42" s="478"/>
      <c r="LMH42" s="478"/>
      <c r="LMI42" s="478"/>
      <c r="LMJ42" s="478"/>
      <c r="LMK42" s="478"/>
      <c r="LML42" s="478"/>
      <c r="LMM42" s="478"/>
      <c r="LMN42" s="478"/>
      <c r="LMO42" s="478"/>
      <c r="LMP42" s="478"/>
      <c r="LMQ42" s="478"/>
      <c r="LMR42" s="478"/>
      <c r="LMS42" s="478"/>
      <c r="LMT42" s="478"/>
      <c r="LMU42" s="478"/>
      <c r="LMV42" s="478"/>
      <c r="LMW42" s="478"/>
      <c r="LMX42" s="478"/>
      <c r="LMY42" s="478"/>
      <c r="LMZ42" s="478"/>
      <c r="LNA42" s="478"/>
      <c r="LNB42" s="478"/>
      <c r="LNC42" s="478"/>
      <c r="LND42" s="478"/>
      <c r="LNE42" s="478"/>
      <c r="LNF42" s="478"/>
      <c r="LNG42" s="478"/>
      <c r="LNH42" s="478"/>
      <c r="LNI42" s="478"/>
      <c r="LNJ42" s="478"/>
      <c r="LNK42" s="478"/>
      <c r="LNL42" s="478"/>
      <c r="LNM42" s="478"/>
      <c r="LNN42" s="478"/>
      <c r="LNO42" s="478"/>
      <c r="LNP42" s="478"/>
      <c r="LNQ42" s="478"/>
      <c r="LNR42" s="478"/>
      <c r="LNS42" s="478"/>
      <c r="LNT42" s="478"/>
      <c r="LNU42" s="478"/>
      <c r="LNV42" s="478"/>
      <c r="LNW42" s="478"/>
      <c r="LNX42" s="478"/>
      <c r="LNY42" s="478"/>
      <c r="LNZ42" s="478"/>
      <c r="LOA42" s="478"/>
      <c r="LOB42" s="478"/>
      <c r="LOC42" s="478"/>
      <c r="LOD42" s="478"/>
      <c r="LOE42" s="478"/>
      <c r="LOF42" s="478"/>
      <c r="LOG42" s="478"/>
      <c r="LOH42" s="478"/>
      <c r="LOI42" s="478"/>
      <c r="LOJ42" s="478"/>
      <c r="LOK42" s="478"/>
      <c r="LOL42" s="478"/>
      <c r="LOM42" s="478"/>
      <c r="LON42" s="478"/>
      <c r="LOO42" s="478"/>
      <c r="LOP42" s="478"/>
      <c r="LOQ42" s="478"/>
      <c r="LOR42" s="478"/>
      <c r="LOS42" s="478"/>
      <c r="LOT42" s="478"/>
      <c r="LOU42" s="478"/>
      <c r="LOV42" s="478"/>
      <c r="LOW42" s="478"/>
      <c r="LOX42" s="478"/>
      <c r="LOY42" s="478"/>
      <c r="LOZ42" s="478"/>
      <c r="LPA42" s="478"/>
      <c r="LPB42" s="478"/>
      <c r="LPC42" s="478"/>
      <c r="LPD42" s="478"/>
      <c r="LPE42" s="478"/>
      <c r="LPF42" s="478"/>
      <c r="LPG42" s="478"/>
      <c r="LPH42" s="478"/>
      <c r="LPI42" s="478"/>
      <c r="LPJ42" s="478"/>
      <c r="LPK42" s="478"/>
      <c r="LPL42" s="478"/>
      <c r="LPM42" s="478"/>
      <c r="LPN42" s="478"/>
      <c r="LPO42" s="478"/>
      <c r="LPP42" s="478"/>
      <c r="LPQ42" s="478"/>
      <c r="LPR42" s="478"/>
      <c r="LPS42" s="478"/>
      <c r="LPT42" s="478"/>
      <c r="LPU42" s="478"/>
      <c r="LPV42" s="478"/>
      <c r="LPW42" s="478"/>
      <c r="LPX42" s="478"/>
      <c r="LPY42" s="478"/>
      <c r="LPZ42" s="478"/>
      <c r="LQA42" s="478"/>
      <c r="LQB42" s="478"/>
      <c r="LQC42" s="478"/>
      <c r="LQD42" s="478"/>
      <c r="LQE42" s="478"/>
      <c r="LQF42" s="478"/>
      <c r="LQG42" s="478"/>
      <c r="LQH42" s="478"/>
      <c r="LQI42" s="478"/>
      <c r="LQJ42" s="478"/>
      <c r="LQK42" s="478"/>
      <c r="LQL42" s="478"/>
      <c r="LQM42" s="478"/>
      <c r="LQN42" s="478"/>
      <c r="LQO42" s="478"/>
      <c r="LQP42" s="478"/>
      <c r="LQQ42" s="478"/>
      <c r="LQR42" s="478"/>
      <c r="LQS42" s="478"/>
      <c r="LQT42" s="478"/>
      <c r="LQU42" s="478"/>
      <c r="LQV42" s="478"/>
      <c r="LQW42" s="478"/>
      <c r="LQX42" s="478"/>
      <c r="LQY42" s="478"/>
      <c r="LQZ42" s="478"/>
      <c r="LRA42" s="478"/>
      <c r="LRB42" s="478"/>
      <c r="LRC42" s="478"/>
      <c r="LRD42" s="478"/>
      <c r="LRE42" s="478"/>
      <c r="LRF42" s="478"/>
      <c r="LRG42" s="478"/>
      <c r="LRH42" s="478"/>
      <c r="LRI42" s="478"/>
      <c r="LRJ42" s="478"/>
      <c r="LRK42" s="478"/>
      <c r="LRL42" s="478"/>
      <c r="LRM42" s="478"/>
      <c r="LRN42" s="478"/>
      <c r="LRO42" s="478"/>
      <c r="LRP42" s="478"/>
      <c r="LRQ42" s="478"/>
      <c r="LRR42" s="478"/>
      <c r="LRS42" s="478"/>
      <c r="LRT42" s="478"/>
      <c r="LRU42" s="478"/>
      <c r="LRV42" s="478"/>
      <c r="LRW42" s="478"/>
      <c r="LRX42" s="478"/>
      <c r="LRY42" s="478"/>
      <c r="LRZ42" s="478"/>
      <c r="LSA42" s="478"/>
      <c r="LSB42" s="478"/>
      <c r="LSC42" s="478"/>
      <c r="LSD42" s="478"/>
      <c r="LSE42" s="478"/>
      <c r="LSF42" s="478"/>
      <c r="LSG42" s="478"/>
      <c r="LSH42" s="478"/>
      <c r="LSI42" s="478"/>
      <c r="LSJ42" s="478"/>
      <c r="LSK42" s="478"/>
      <c r="LSL42" s="478"/>
      <c r="LSM42" s="478"/>
      <c r="LSN42" s="478"/>
      <c r="LSO42" s="478"/>
      <c r="LSP42" s="478"/>
      <c r="LSQ42" s="478"/>
      <c r="LSR42" s="478"/>
      <c r="LSS42" s="478"/>
      <c r="LST42" s="478"/>
      <c r="LSU42" s="478"/>
      <c r="LSV42" s="478"/>
      <c r="LSW42" s="478"/>
      <c r="LSX42" s="478"/>
      <c r="LSY42" s="478"/>
      <c r="LSZ42" s="478"/>
      <c r="LTA42" s="478"/>
      <c r="LTB42" s="478"/>
      <c r="LTC42" s="478"/>
      <c r="LTD42" s="478"/>
      <c r="LTE42" s="478"/>
      <c r="LTF42" s="478"/>
      <c r="LTG42" s="478"/>
      <c r="LTH42" s="478"/>
      <c r="LTI42" s="478"/>
      <c r="LTJ42" s="478"/>
      <c r="LTK42" s="478"/>
      <c r="LTL42" s="478"/>
      <c r="LTM42" s="478"/>
      <c r="LTN42" s="478"/>
      <c r="LTO42" s="478"/>
      <c r="LTP42" s="478"/>
      <c r="LTQ42" s="478"/>
      <c r="LTR42" s="478"/>
      <c r="LTS42" s="478"/>
      <c r="LTT42" s="478"/>
      <c r="LTU42" s="478"/>
      <c r="LTV42" s="478"/>
      <c r="LTW42" s="478"/>
      <c r="LTX42" s="478"/>
      <c r="LTY42" s="478"/>
      <c r="LTZ42" s="478"/>
      <c r="LUA42" s="478"/>
      <c r="LUB42" s="478"/>
      <c r="LUC42" s="478"/>
      <c r="LUD42" s="478"/>
      <c r="LUE42" s="478"/>
      <c r="LUF42" s="478"/>
      <c r="LUG42" s="478"/>
      <c r="LUH42" s="478"/>
      <c r="LUI42" s="478"/>
      <c r="LUJ42" s="478"/>
      <c r="LUK42" s="478"/>
      <c r="LUL42" s="478"/>
      <c r="LUM42" s="478"/>
      <c r="LUN42" s="478"/>
      <c r="LUO42" s="478"/>
      <c r="LUP42" s="478"/>
      <c r="LUQ42" s="478"/>
      <c r="LUR42" s="478"/>
      <c r="LUS42" s="478"/>
      <c r="LUT42" s="478"/>
      <c r="LUU42" s="478"/>
      <c r="LUV42" s="478"/>
      <c r="LUW42" s="478"/>
      <c r="LUX42" s="478"/>
      <c r="LUY42" s="478"/>
      <c r="LUZ42" s="478"/>
      <c r="LVA42" s="478"/>
      <c r="LVB42" s="478"/>
      <c r="LVC42" s="478"/>
      <c r="LVD42" s="478"/>
      <c r="LVE42" s="478"/>
      <c r="LVF42" s="478"/>
      <c r="LVG42" s="478"/>
      <c r="LVH42" s="478"/>
      <c r="LVI42" s="478"/>
      <c r="LVJ42" s="478"/>
      <c r="LVK42" s="478"/>
      <c r="LVL42" s="478"/>
      <c r="LVM42" s="478"/>
      <c r="LVN42" s="478"/>
      <c r="LVO42" s="478"/>
      <c r="LVP42" s="478"/>
      <c r="LVQ42" s="478"/>
      <c r="LVR42" s="478"/>
      <c r="LVS42" s="478"/>
      <c r="LVT42" s="478"/>
      <c r="LVU42" s="478"/>
      <c r="LVV42" s="478"/>
      <c r="LVW42" s="478"/>
      <c r="LVX42" s="478"/>
      <c r="LVY42" s="478"/>
      <c r="LVZ42" s="478"/>
      <c r="LWA42" s="478"/>
      <c r="LWB42" s="478"/>
      <c r="LWC42" s="478"/>
      <c r="LWD42" s="478"/>
      <c r="LWE42" s="478"/>
      <c r="LWF42" s="478"/>
      <c r="LWG42" s="478"/>
      <c r="LWH42" s="478"/>
      <c r="LWI42" s="478"/>
      <c r="LWJ42" s="478"/>
      <c r="LWK42" s="478"/>
      <c r="LWL42" s="478"/>
      <c r="LWM42" s="478"/>
      <c r="LWN42" s="478"/>
      <c r="LWO42" s="478"/>
      <c r="LWP42" s="478"/>
      <c r="LWQ42" s="478"/>
      <c r="LWR42" s="478"/>
      <c r="LWS42" s="478"/>
      <c r="LWT42" s="478"/>
      <c r="LWU42" s="478"/>
      <c r="LWV42" s="478"/>
      <c r="LWW42" s="478"/>
      <c r="LWX42" s="478"/>
      <c r="LWY42" s="478"/>
      <c r="LWZ42" s="478"/>
      <c r="LXA42" s="478"/>
      <c r="LXB42" s="478"/>
      <c r="LXC42" s="478"/>
      <c r="LXD42" s="478"/>
      <c r="LXE42" s="478"/>
      <c r="LXF42" s="478"/>
      <c r="LXG42" s="478"/>
      <c r="LXH42" s="478"/>
      <c r="LXI42" s="478"/>
      <c r="LXJ42" s="478"/>
      <c r="LXK42" s="478"/>
      <c r="LXL42" s="478"/>
      <c r="LXM42" s="478"/>
      <c r="LXN42" s="478"/>
      <c r="LXO42" s="478"/>
      <c r="LXP42" s="478"/>
      <c r="LXQ42" s="478"/>
      <c r="LXR42" s="478"/>
      <c r="LXS42" s="478"/>
      <c r="LXT42" s="478"/>
      <c r="LXU42" s="478"/>
      <c r="LXV42" s="478"/>
      <c r="LXW42" s="478"/>
      <c r="LXX42" s="478"/>
      <c r="LXY42" s="478"/>
      <c r="LXZ42" s="478"/>
      <c r="LYA42" s="478"/>
      <c r="LYB42" s="478"/>
      <c r="LYC42" s="478"/>
      <c r="LYD42" s="478"/>
      <c r="LYE42" s="478"/>
      <c r="LYF42" s="478"/>
      <c r="LYG42" s="478"/>
      <c r="LYH42" s="478"/>
      <c r="LYI42" s="478"/>
      <c r="LYJ42" s="478"/>
      <c r="LYK42" s="478"/>
      <c r="LYL42" s="478"/>
      <c r="LYM42" s="478"/>
      <c r="LYN42" s="478"/>
      <c r="LYO42" s="478"/>
      <c r="LYP42" s="478"/>
      <c r="LYQ42" s="478"/>
      <c r="LYR42" s="478"/>
      <c r="LYS42" s="478"/>
      <c r="LYT42" s="478"/>
      <c r="LYU42" s="478"/>
      <c r="LYV42" s="478"/>
      <c r="LYW42" s="478"/>
      <c r="LYX42" s="478"/>
      <c r="LYY42" s="478"/>
      <c r="LYZ42" s="478"/>
      <c r="LZA42" s="478"/>
      <c r="LZB42" s="478"/>
      <c r="LZC42" s="478"/>
      <c r="LZD42" s="478"/>
      <c r="LZE42" s="478"/>
      <c r="LZF42" s="478"/>
      <c r="LZG42" s="478"/>
      <c r="LZH42" s="478"/>
      <c r="LZI42" s="478"/>
      <c r="LZJ42" s="478"/>
      <c r="LZK42" s="478"/>
      <c r="LZL42" s="478"/>
      <c r="LZM42" s="478"/>
      <c r="LZN42" s="478"/>
      <c r="LZO42" s="478"/>
      <c r="LZP42" s="478"/>
      <c r="LZQ42" s="478"/>
      <c r="LZR42" s="478"/>
      <c r="LZS42" s="478"/>
      <c r="LZT42" s="478"/>
      <c r="LZU42" s="478"/>
      <c r="LZV42" s="478"/>
      <c r="LZW42" s="478"/>
      <c r="LZX42" s="478"/>
      <c r="LZY42" s="478"/>
      <c r="LZZ42" s="478"/>
      <c r="MAA42" s="478"/>
      <c r="MAB42" s="478"/>
      <c r="MAC42" s="478"/>
      <c r="MAD42" s="478"/>
      <c r="MAE42" s="478"/>
      <c r="MAF42" s="478"/>
      <c r="MAG42" s="478"/>
      <c r="MAH42" s="478"/>
      <c r="MAI42" s="478"/>
      <c r="MAJ42" s="478"/>
      <c r="MAK42" s="478"/>
      <c r="MAL42" s="478"/>
      <c r="MAM42" s="478"/>
      <c r="MAN42" s="478"/>
      <c r="MAO42" s="478"/>
      <c r="MAP42" s="478"/>
      <c r="MAQ42" s="478"/>
      <c r="MAR42" s="478"/>
      <c r="MAS42" s="478"/>
      <c r="MAT42" s="478"/>
      <c r="MAU42" s="478"/>
      <c r="MAV42" s="478"/>
      <c r="MAW42" s="478"/>
      <c r="MAX42" s="478"/>
      <c r="MAY42" s="478"/>
      <c r="MAZ42" s="478"/>
      <c r="MBA42" s="478"/>
      <c r="MBB42" s="478"/>
      <c r="MBC42" s="478"/>
      <c r="MBD42" s="478"/>
      <c r="MBE42" s="478"/>
      <c r="MBF42" s="478"/>
      <c r="MBG42" s="478"/>
      <c r="MBH42" s="478"/>
      <c r="MBI42" s="478"/>
      <c r="MBJ42" s="478"/>
      <c r="MBK42" s="478"/>
      <c r="MBL42" s="478"/>
      <c r="MBM42" s="478"/>
      <c r="MBN42" s="478"/>
      <c r="MBO42" s="478"/>
      <c r="MBP42" s="478"/>
      <c r="MBQ42" s="478"/>
      <c r="MBR42" s="478"/>
      <c r="MBS42" s="478"/>
      <c r="MBT42" s="478"/>
      <c r="MBU42" s="478"/>
      <c r="MBV42" s="478"/>
      <c r="MBW42" s="478"/>
      <c r="MBX42" s="478"/>
      <c r="MBY42" s="478"/>
      <c r="MBZ42" s="478"/>
      <c r="MCA42" s="478"/>
      <c r="MCB42" s="478"/>
      <c r="MCC42" s="478"/>
      <c r="MCD42" s="478"/>
      <c r="MCE42" s="478"/>
      <c r="MCF42" s="478"/>
      <c r="MCG42" s="478"/>
      <c r="MCH42" s="478"/>
      <c r="MCI42" s="478"/>
      <c r="MCJ42" s="478"/>
      <c r="MCK42" s="478"/>
      <c r="MCL42" s="478"/>
      <c r="MCM42" s="478"/>
      <c r="MCN42" s="478"/>
      <c r="MCO42" s="478"/>
      <c r="MCP42" s="478"/>
      <c r="MCQ42" s="478"/>
      <c r="MCR42" s="478"/>
      <c r="MCS42" s="478"/>
      <c r="MCT42" s="478"/>
      <c r="MCU42" s="478"/>
      <c r="MCV42" s="478"/>
      <c r="MCW42" s="478"/>
      <c r="MCX42" s="478"/>
      <c r="MCY42" s="478"/>
      <c r="MCZ42" s="478"/>
      <c r="MDA42" s="478"/>
      <c r="MDB42" s="478"/>
      <c r="MDC42" s="478"/>
      <c r="MDD42" s="478"/>
      <c r="MDE42" s="478"/>
      <c r="MDF42" s="478"/>
      <c r="MDG42" s="478"/>
      <c r="MDH42" s="478"/>
      <c r="MDI42" s="478"/>
      <c r="MDJ42" s="478"/>
      <c r="MDK42" s="478"/>
      <c r="MDL42" s="478"/>
      <c r="MDM42" s="478"/>
      <c r="MDN42" s="478"/>
      <c r="MDO42" s="478"/>
      <c r="MDP42" s="478"/>
      <c r="MDQ42" s="478"/>
      <c r="MDR42" s="478"/>
      <c r="MDS42" s="478"/>
      <c r="MDT42" s="478"/>
      <c r="MDU42" s="478"/>
      <c r="MDV42" s="478"/>
      <c r="MDW42" s="478"/>
      <c r="MDX42" s="478"/>
      <c r="MDY42" s="478"/>
      <c r="MDZ42" s="478"/>
      <c r="MEA42" s="478"/>
      <c r="MEB42" s="478"/>
      <c r="MEC42" s="478"/>
      <c r="MED42" s="478"/>
      <c r="MEE42" s="478"/>
      <c r="MEF42" s="478"/>
      <c r="MEG42" s="478"/>
      <c r="MEH42" s="478"/>
      <c r="MEI42" s="478"/>
      <c r="MEJ42" s="478"/>
      <c r="MEK42" s="478"/>
      <c r="MEL42" s="478"/>
      <c r="MEM42" s="478"/>
      <c r="MEN42" s="478"/>
      <c r="MEO42" s="478"/>
      <c r="MEP42" s="478"/>
      <c r="MEQ42" s="478"/>
      <c r="MER42" s="478"/>
      <c r="MES42" s="478"/>
      <c r="MET42" s="478"/>
      <c r="MEU42" s="478"/>
      <c r="MEV42" s="478"/>
      <c r="MEW42" s="478"/>
      <c r="MEX42" s="478"/>
      <c r="MEY42" s="478"/>
      <c r="MEZ42" s="478"/>
      <c r="MFA42" s="478"/>
      <c r="MFB42" s="478"/>
      <c r="MFC42" s="478"/>
      <c r="MFD42" s="478"/>
      <c r="MFE42" s="478"/>
      <c r="MFF42" s="478"/>
      <c r="MFG42" s="478"/>
      <c r="MFH42" s="478"/>
      <c r="MFI42" s="478"/>
      <c r="MFJ42" s="478"/>
      <c r="MFK42" s="478"/>
      <c r="MFL42" s="478"/>
      <c r="MFM42" s="478"/>
      <c r="MFN42" s="478"/>
      <c r="MFO42" s="478"/>
      <c r="MFP42" s="478"/>
      <c r="MFQ42" s="478"/>
      <c r="MFR42" s="478"/>
      <c r="MFS42" s="478"/>
      <c r="MFT42" s="478"/>
      <c r="MFU42" s="478"/>
      <c r="MFV42" s="478"/>
      <c r="MFW42" s="478"/>
      <c r="MFX42" s="478"/>
      <c r="MFY42" s="478"/>
      <c r="MFZ42" s="478"/>
      <c r="MGA42" s="478"/>
      <c r="MGB42" s="478"/>
      <c r="MGC42" s="478"/>
      <c r="MGD42" s="478"/>
      <c r="MGE42" s="478"/>
      <c r="MGF42" s="478"/>
      <c r="MGG42" s="478"/>
      <c r="MGH42" s="478"/>
      <c r="MGI42" s="478"/>
      <c r="MGJ42" s="478"/>
      <c r="MGK42" s="478"/>
      <c r="MGL42" s="478"/>
      <c r="MGM42" s="478"/>
      <c r="MGN42" s="478"/>
      <c r="MGO42" s="478"/>
      <c r="MGP42" s="478"/>
      <c r="MGQ42" s="478"/>
      <c r="MGR42" s="478"/>
      <c r="MGS42" s="478"/>
      <c r="MGT42" s="478"/>
      <c r="MGU42" s="478"/>
      <c r="MGV42" s="478"/>
      <c r="MGW42" s="478"/>
      <c r="MGX42" s="478"/>
      <c r="MGY42" s="478"/>
      <c r="MGZ42" s="478"/>
      <c r="MHA42" s="478"/>
      <c r="MHB42" s="478"/>
      <c r="MHC42" s="478"/>
      <c r="MHD42" s="478"/>
      <c r="MHE42" s="478"/>
      <c r="MHF42" s="478"/>
      <c r="MHG42" s="478"/>
      <c r="MHH42" s="478"/>
      <c r="MHI42" s="478"/>
      <c r="MHJ42" s="478"/>
      <c r="MHK42" s="478"/>
      <c r="MHL42" s="478"/>
      <c r="MHM42" s="478"/>
      <c r="MHN42" s="478"/>
      <c r="MHO42" s="478"/>
      <c r="MHP42" s="478"/>
      <c r="MHQ42" s="478"/>
      <c r="MHR42" s="478"/>
      <c r="MHS42" s="478"/>
      <c r="MHT42" s="478"/>
      <c r="MHU42" s="478"/>
      <c r="MHV42" s="478"/>
      <c r="MHW42" s="478"/>
      <c r="MHX42" s="478"/>
      <c r="MHY42" s="478"/>
      <c r="MHZ42" s="478"/>
      <c r="MIA42" s="478"/>
      <c r="MIB42" s="478"/>
      <c r="MIC42" s="478"/>
      <c r="MID42" s="478"/>
      <c r="MIE42" s="478"/>
      <c r="MIF42" s="478"/>
      <c r="MIG42" s="478"/>
      <c r="MIH42" s="478"/>
      <c r="MII42" s="478"/>
      <c r="MIJ42" s="478"/>
      <c r="MIK42" s="478"/>
      <c r="MIL42" s="478"/>
      <c r="MIM42" s="478"/>
      <c r="MIN42" s="478"/>
      <c r="MIO42" s="478"/>
      <c r="MIP42" s="478"/>
      <c r="MIQ42" s="478"/>
      <c r="MIR42" s="478"/>
      <c r="MIS42" s="478"/>
      <c r="MIT42" s="478"/>
      <c r="MIU42" s="478"/>
      <c r="MIV42" s="478"/>
      <c r="MIW42" s="478"/>
      <c r="MIX42" s="478"/>
      <c r="MIY42" s="478"/>
      <c r="MIZ42" s="478"/>
      <c r="MJA42" s="478"/>
      <c r="MJB42" s="478"/>
      <c r="MJC42" s="478"/>
      <c r="MJD42" s="478"/>
      <c r="MJE42" s="478"/>
      <c r="MJF42" s="478"/>
      <c r="MJG42" s="478"/>
      <c r="MJH42" s="478"/>
      <c r="MJI42" s="478"/>
      <c r="MJJ42" s="478"/>
      <c r="MJK42" s="478"/>
      <c r="MJL42" s="478"/>
      <c r="MJM42" s="478"/>
      <c r="MJN42" s="478"/>
      <c r="MJO42" s="478"/>
      <c r="MJP42" s="478"/>
      <c r="MJQ42" s="478"/>
      <c r="MJR42" s="478"/>
      <c r="MJS42" s="478"/>
      <c r="MJT42" s="478"/>
      <c r="MJU42" s="478"/>
      <c r="MJV42" s="478"/>
      <c r="MJW42" s="478"/>
      <c r="MJX42" s="478"/>
      <c r="MJY42" s="478"/>
      <c r="MJZ42" s="478"/>
      <c r="MKA42" s="478"/>
      <c r="MKB42" s="478"/>
      <c r="MKC42" s="478"/>
      <c r="MKD42" s="478"/>
      <c r="MKE42" s="478"/>
      <c r="MKF42" s="478"/>
      <c r="MKG42" s="478"/>
      <c r="MKH42" s="478"/>
      <c r="MKI42" s="478"/>
      <c r="MKJ42" s="478"/>
      <c r="MKK42" s="478"/>
      <c r="MKL42" s="478"/>
      <c r="MKM42" s="478"/>
      <c r="MKN42" s="478"/>
      <c r="MKO42" s="478"/>
      <c r="MKP42" s="478"/>
      <c r="MKQ42" s="478"/>
      <c r="MKR42" s="478"/>
      <c r="MKS42" s="478"/>
      <c r="MKT42" s="478"/>
      <c r="MKU42" s="478"/>
      <c r="MKV42" s="478"/>
      <c r="MKW42" s="478"/>
      <c r="MKX42" s="478"/>
      <c r="MKY42" s="478"/>
      <c r="MKZ42" s="478"/>
      <c r="MLA42" s="478"/>
      <c r="MLB42" s="478"/>
      <c r="MLC42" s="478"/>
      <c r="MLD42" s="478"/>
      <c r="MLE42" s="478"/>
      <c r="MLF42" s="478"/>
      <c r="MLG42" s="478"/>
      <c r="MLH42" s="478"/>
      <c r="MLI42" s="478"/>
      <c r="MLJ42" s="478"/>
      <c r="MLK42" s="478"/>
      <c r="MLL42" s="478"/>
      <c r="MLM42" s="478"/>
      <c r="MLN42" s="478"/>
      <c r="MLO42" s="478"/>
      <c r="MLP42" s="478"/>
      <c r="MLQ42" s="478"/>
      <c r="MLR42" s="478"/>
      <c r="MLS42" s="478"/>
      <c r="MLT42" s="478"/>
      <c r="MLU42" s="478"/>
      <c r="MLV42" s="478"/>
      <c r="MLW42" s="478"/>
      <c r="MLX42" s="478"/>
      <c r="MLY42" s="478"/>
      <c r="MLZ42" s="478"/>
      <c r="MMA42" s="478"/>
      <c r="MMB42" s="478"/>
      <c r="MMC42" s="478"/>
      <c r="MMD42" s="478"/>
      <c r="MME42" s="478"/>
      <c r="MMF42" s="478"/>
      <c r="MMG42" s="478"/>
      <c r="MMH42" s="478"/>
      <c r="MMI42" s="478"/>
      <c r="MMJ42" s="478"/>
      <c r="MMK42" s="478"/>
      <c r="MML42" s="478"/>
      <c r="MMM42" s="478"/>
      <c r="MMN42" s="478"/>
      <c r="MMO42" s="478"/>
      <c r="MMP42" s="478"/>
      <c r="MMQ42" s="478"/>
      <c r="MMR42" s="478"/>
      <c r="MMS42" s="478"/>
      <c r="MMT42" s="478"/>
      <c r="MMU42" s="478"/>
      <c r="MMV42" s="478"/>
      <c r="MMW42" s="478"/>
      <c r="MMX42" s="478"/>
      <c r="MMY42" s="478"/>
      <c r="MMZ42" s="478"/>
      <c r="MNA42" s="478"/>
      <c r="MNB42" s="478"/>
      <c r="MNC42" s="478"/>
      <c r="MND42" s="478"/>
      <c r="MNE42" s="478"/>
      <c r="MNF42" s="478"/>
      <c r="MNG42" s="478"/>
      <c r="MNH42" s="478"/>
      <c r="MNI42" s="478"/>
      <c r="MNJ42" s="478"/>
      <c r="MNK42" s="478"/>
      <c r="MNL42" s="478"/>
      <c r="MNM42" s="478"/>
      <c r="MNN42" s="478"/>
      <c r="MNO42" s="478"/>
      <c r="MNP42" s="478"/>
      <c r="MNQ42" s="478"/>
      <c r="MNR42" s="478"/>
      <c r="MNS42" s="478"/>
      <c r="MNT42" s="478"/>
      <c r="MNU42" s="478"/>
      <c r="MNV42" s="478"/>
      <c r="MNW42" s="478"/>
      <c r="MNX42" s="478"/>
      <c r="MNY42" s="478"/>
      <c r="MNZ42" s="478"/>
      <c r="MOA42" s="478"/>
      <c r="MOB42" s="478"/>
      <c r="MOC42" s="478"/>
      <c r="MOD42" s="478"/>
      <c r="MOE42" s="478"/>
      <c r="MOF42" s="478"/>
      <c r="MOG42" s="478"/>
      <c r="MOH42" s="478"/>
      <c r="MOI42" s="478"/>
      <c r="MOJ42" s="478"/>
      <c r="MOK42" s="478"/>
      <c r="MOL42" s="478"/>
      <c r="MOM42" s="478"/>
      <c r="MON42" s="478"/>
      <c r="MOO42" s="478"/>
      <c r="MOP42" s="478"/>
      <c r="MOQ42" s="478"/>
      <c r="MOR42" s="478"/>
      <c r="MOS42" s="478"/>
      <c r="MOT42" s="478"/>
      <c r="MOU42" s="478"/>
      <c r="MOV42" s="478"/>
      <c r="MOW42" s="478"/>
      <c r="MOX42" s="478"/>
      <c r="MOY42" s="478"/>
      <c r="MOZ42" s="478"/>
      <c r="MPA42" s="478"/>
      <c r="MPB42" s="478"/>
      <c r="MPC42" s="478"/>
      <c r="MPD42" s="478"/>
      <c r="MPE42" s="478"/>
      <c r="MPF42" s="478"/>
      <c r="MPG42" s="478"/>
      <c r="MPH42" s="478"/>
      <c r="MPI42" s="478"/>
      <c r="MPJ42" s="478"/>
      <c r="MPK42" s="478"/>
      <c r="MPL42" s="478"/>
      <c r="MPM42" s="478"/>
      <c r="MPN42" s="478"/>
      <c r="MPO42" s="478"/>
      <c r="MPP42" s="478"/>
      <c r="MPQ42" s="478"/>
      <c r="MPR42" s="478"/>
      <c r="MPS42" s="478"/>
      <c r="MPT42" s="478"/>
      <c r="MPU42" s="478"/>
      <c r="MPV42" s="478"/>
      <c r="MPW42" s="478"/>
      <c r="MPX42" s="478"/>
      <c r="MPY42" s="478"/>
      <c r="MPZ42" s="478"/>
      <c r="MQA42" s="478"/>
      <c r="MQB42" s="478"/>
      <c r="MQC42" s="478"/>
      <c r="MQD42" s="478"/>
      <c r="MQE42" s="478"/>
      <c r="MQF42" s="478"/>
      <c r="MQG42" s="478"/>
      <c r="MQH42" s="478"/>
      <c r="MQI42" s="478"/>
      <c r="MQJ42" s="478"/>
      <c r="MQK42" s="478"/>
      <c r="MQL42" s="478"/>
      <c r="MQM42" s="478"/>
      <c r="MQN42" s="478"/>
      <c r="MQO42" s="478"/>
      <c r="MQP42" s="478"/>
      <c r="MQQ42" s="478"/>
      <c r="MQR42" s="478"/>
      <c r="MQS42" s="478"/>
      <c r="MQT42" s="478"/>
      <c r="MQU42" s="478"/>
      <c r="MQV42" s="478"/>
      <c r="MQW42" s="478"/>
      <c r="MQX42" s="478"/>
      <c r="MQY42" s="478"/>
      <c r="MQZ42" s="478"/>
      <c r="MRA42" s="478"/>
      <c r="MRB42" s="478"/>
      <c r="MRC42" s="478"/>
      <c r="MRD42" s="478"/>
      <c r="MRE42" s="478"/>
      <c r="MRF42" s="478"/>
      <c r="MRG42" s="478"/>
      <c r="MRH42" s="478"/>
      <c r="MRI42" s="478"/>
      <c r="MRJ42" s="478"/>
      <c r="MRK42" s="478"/>
      <c r="MRL42" s="478"/>
      <c r="MRM42" s="478"/>
      <c r="MRN42" s="478"/>
      <c r="MRO42" s="478"/>
      <c r="MRP42" s="478"/>
      <c r="MRQ42" s="478"/>
      <c r="MRR42" s="478"/>
      <c r="MRS42" s="478"/>
      <c r="MRT42" s="478"/>
      <c r="MRU42" s="478"/>
      <c r="MRV42" s="478"/>
      <c r="MRW42" s="478"/>
      <c r="MRX42" s="478"/>
      <c r="MRY42" s="478"/>
      <c r="MRZ42" s="478"/>
      <c r="MSA42" s="478"/>
      <c r="MSB42" s="478"/>
      <c r="MSC42" s="478"/>
      <c r="MSD42" s="478"/>
      <c r="MSE42" s="478"/>
      <c r="MSF42" s="478"/>
      <c r="MSG42" s="478"/>
      <c r="MSH42" s="478"/>
      <c r="MSI42" s="478"/>
      <c r="MSJ42" s="478"/>
      <c r="MSK42" s="478"/>
      <c r="MSL42" s="478"/>
      <c r="MSM42" s="478"/>
      <c r="MSN42" s="478"/>
      <c r="MSO42" s="478"/>
      <c r="MSP42" s="478"/>
      <c r="MSQ42" s="478"/>
      <c r="MSR42" s="478"/>
      <c r="MSS42" s="478"/>
      <c r="MST42" s="478"/>
      <c r="MSU42" s="478"/>
      <c r="MSV42" s="478"/>
      <c r="MSW42" s="478"/>
      <c r="MSX42" s="478"/>
      <c r="MSY42" s="478"/>
      <c r="MSZ42" s="478"/>
      <c r="MTA42" s="478"/>
      <c r="MTB42" s="478"/>
      <c r="MTC42" s="478"/>
      <c r="MTD42" s="478"/>
      <c r="MTE42" s="478"/>
      <c r="MTF42" s="478"/>
      <c r="MTG42" s="478"/>
      <c r="MTH42" s="478"/>
      <c r="MTI42" s="478"/>
      <c r="MTJ42" s="478"/>
      <c r="MTK42" s="478"/>
      <c r="MTL42" s="478"/>
      <c r="MTM42" s="478"/>
      <c r="MTN42" s="478"/>
      <c r="MTO42" s="478"/>
      <c r="MTP42" s="478"/>
      <c r="MTQ42" s="478"/>
      <c r="MTR42" s="478"/>
      <c r="MTS42" s="478"/>
      <c r="MTT42" s="478"/>
      <c r="MTU42" s="478"/>
      <c r="MTV42" s="478"/>
      <c r="MTW42" s="478"/>
      <c r="MTX42" s="478"/>
      <c r="MTY42" s="478"/>
      <c r="MTZ42" s="478"/>
      <c r="MUA42" s="478"/>
      <c r="MUB42" s="478"/>
      <c r="MUC42" s="478"/>
      <c r="MUD42" s="478"/>
      <c r="MUE42" s="478"/>
      <c r="MUF42" s="478"/>
      <c r="MUG42" s="478"/>
      <c r="MUH42" s="478"/>
      <c r="MUI42" s="478"/>
      <c r="MUJ42" s="478"/>
      <c r="MUK42" s="478"/>
      <c r="MUL42" s="478"/>
      <c r="MUM42" s="478"/>
      <c r="MUN42" s="478"/>
      <c r="MUO42" s="478"/>
      <c r="MUP42" s="478"/>
      <c r="MUQ42" s="478"/>
      <c r="MUR42" s="478"/>
      <c r="MUS42" s="478"/>
      <c r="MUT42" s="478"/>
      <c r="MUU42" s="478"/>
      <c r="MUV42" s="478"/>
      <c r="MUW42" s="478"/>
      <c r="MUX42" s="478"/>
      <c r="MUY42" s="478"/>
      <c r="MUZ42" s="478"/>
      <c r="MVA42" s="478"/>
      <c r="MVB42" s="478"/>
      <c r="MVC42" s="478"/>
      <c r="MVD42" s="478"/>
      <c r="MVE42" s="478"/>
      <c r="MVF42" s="478"/>
      <c r="MVG42" s="478"/>
      <c r="MVH42" s="478"/>
      <c r="MVI42" s="478"/>
      <c r="MVJ42" s="478"/>
      <c r="MVK42" s="478"/>
      <c r="MVL42" s="478"/>
      <c r="MVM42" s="478"/>
      <c r="MVN42" s="478"/>
      <c r="MVO42" s="478"/>
      <c r="MVP42" s="478"/>
      <c r="MVQ42" s="478"/>
      <c r="MVR42" s="478"/>
      <c r="MVS42" s="478"/>
      <c r="MVT42" s="478"/>
      <c r="MVU42" s="478"/>
      <c r="MVV42" s="478"/>
      <c r="MVW42" s="478"/>
      <c r="MVX42" s="478"/>
      <c r="MVY42" s="478"/>
      <c r="MVZ42" s="478"/>
      <c r="MWA42" s="478"/>
      <c r="MWB42" s="478"/>
      <c r="MWC42" s="478"/>
      <c r="MWD42" s="478"/>
      <c r="MWE42" s="478"/>
      <c r="MWF42" s="478"/>
      <c r="MWG42" s="478"/>
      <c r="MWH42" s="478"/>
      <c r="MWI42" s="478"/>
      <c r="MWJ42" s="478"/>
      <c r="MWK42" s="478"/>
      <c r="MWL42" s="478"/>
      <c r="MWM42" s="478"/>
      <c r="MWN42" s="478"/>
      <c r="MWO42" s="478"/>
      <c r="MWP42" s="478"/>
      <c r="MWQ42" s="478"/>
      <c r="MWR42" s="478"/>
      <c r="MWS42" s="478"/>
      <c r="MWT42" s="478"/>
      <c r="MWU42" s="478"/>
      <c r="MWV42" s="478"/>
      <c r="MWW42" s="478"/>
      <c r="MWX42" s="478"/>
      <c r="MWY42" s="478"/>
      <c r="MWZ42" s="478"/>
      <c r="MXA42" s="478"/>
      <c r="MXB42" s="478"/>
      <c r="MXC42" s="478"/>
      <c r="MXD42" s="478"/>
      <c r="MXE42" s="478"/>
      <c r="MXF42" s="478"/>
      <c r="MXG42" s="478"/>
      <c r="MXH42" s="478"/>
      <c r="MXI42" s="478"/>
      <c r="MXJ42" s="478"/>
      <c r="MXK42" s="478"/>
      <c r="MXL42" s="478"/>
      <c r="MXM42" s="478"/>
      <c r="MXN42" s="478"/>
      <c r="MXO42" s="478"/>
      <c r="MXP42" s="478"/>
      <c r="MXQ42" s="478"/>
      <c r="MXR42" s="478"/>
      <c r="MXS42" s="478"/>
      <c r="MXT42" s="478"/>
      <c r="MXU42" s="478"/>
      <c r="MXV42" s="478"/>
      <c r="MXW42" s="478"/>
      <c r="MXX42" s="478"/>
      <c r="MXY42" s="478"/>
      <c r="MXZ42" s="478"/>
      <c r="MYA42" s="478"/>
      <c r="MYB42" s="478"/>
      <c r="MYC42" s="478"/>
      <c r="MYD42" s="478"/>
      <c r="MYE42" s="478"/>
      <c r="MYF42" s="478"/>
      <c r="MYG42" s="478"/>
      <c r="MYH42" s="478"/>
      <c r="MYI42" s="478"/>
      <c r="MYJ42" s="478"/>
      <c r="MYK42" s="478"/>
      <c r="MYL42" s="478"/>
      <c r="MYM42" s="478"/>
      <c r="MYN42" s="478"/>
      <c r="MYO42" s="478"/>
      <c r="MYP42" s="478"/>
      <c r="MYQ42" s="478"/>
      <c r="MYR42" s="478"/>
      <c r="MYS42" s="478"/>
      <c r="MYT42" s="478"/>
      <c r="MYU42" s="478"/>
      <c r="MYV42" s="478"/>
      <c r="MYW42" s="478"/>
      <c r="MYX42" s="478"/>
      <c r="MYY42" s="478"/>
      <c r="MYZ42" s="478"/>
      <c r="MZA42" s="478"/>
      <c r="MZB42" s="478"/>
      <c r="MZC42" s="478"/>
      <c r="MZD42" s="478"/>
      <c r="MZE42" s="478"/>
      <c r="MZF42" s="478"/>
      <c r="MZG42" s="478"/>
      <c r="MZH42" s="478"/>
      <c r="MZI42" s="478"/>
      <c r="MZJ42" s="478"/>
      <c r="MZK42" s="478"/>
      <c r="MZL42" s="478"/>
      <c r="MZM42" s="478"/>
      <c r="MZN42" s="478"/>
      <c r="MZO42" s="478"/>
      <c r="MZP42" s="478"/>
      <c r="MZQ42" s="478"/>
      <c r="MZR42" s="478"/>
      <c r="MZS42" s="478"/>
      <c r="MZT42" s="478"/>
      <c r="MZU42" s="478"/>
      <c r="MZV42" s="478"/>
      <c r="MZW42" s="478"/>
      <c r="MZX42" s="478"/>
      <c r="MZY42" s="478"/>
      <c r="MZZ42" s="478"/>
      <c r="NAA42" s="478"/>
      <c r="NAB42" s="478"/>
      <c r="NAC42" s="478"/>
      <c r="NAD42" s="478"/>
      <c r="NAE42" s="478"/>
      <c r="NAF42" s="478"/>
      <c r="NAG42" s="478"/>
      <c r="NAH42" s="478"/>
      <c r="NAI42" s="478"/>
      <c r="NAJ42" s="478"/>
      <c r="NAK42" s="478"/>
      <c r="NAL42" s="478"/>
      <c r="NAM42" s="478"/>
      <c r="NAN42" s="478"/>
      <c r="NAO42" s="478"/>
      <c r="NAP42" s="478"/>
      <c r="NAQ42" s="478"/>
      <c r="NAR42" s="478"/>
      <c r="NAS42" s="478"/>
      <c r="NAT42" s="478"/>
      <c r="NAU42" s="478"/>
      <c r="NAV42" s="478"/>
      <c r="NAW42" s="478"/>
      <c r="NAX42" s="478"/>
      <c r="NAY42" s="478"/>
      <c r="NAZ42" s="478"/>
      <c r="NBA42" s="478"/>
      <c r="NBB42" s="478"/>
      <c r="NBC42" s="478"/>
      <c r="NBD42" s="478"/>
      <c r="NBE42" s="478"/>
      <c r="NBF42" s="478"/>
      <c r="NBG42" s="478"/>
      <c r="NBH42" s="478"/>
      <c r="NBI42" s="478"/>
      <c r="NBJ42" s="478"/>
      <c r="NBK42" s="478"/>
      <c r="NBL42" s="478"/>
      <c r="NBM42" s="478"/>
      <c r="NBN42" s="478"/>
      <c r="NBO42" s="478"/>
      <c r="NBP42" s="478"/>
      <c r="NBQ42" s="478"/>
      <c r="NBR42" s="478"/>
      <c r="NBS42" s="478"/>
      <c r="NBT42" s="478"/>
      <c r="NBU42" s="478"/>
      <c r="NBV42" s="478"/>
      <c r="NBW42" s="478"/>
      <c r="NBX42" s="478"/>
      <c r="NBY42" s="478"/>
      <c r="NBZ42" s="478"/>
      <c r="NCA42" s="478"/>
      <c r="NCB42" s="478"/>
      <c r="NCC42" s="478"/>
      <c r="NCD42" s="478"/>
      <c r="NCE42" s="478"/>
      <c r="NCF42" s="478"/>
      <c r="NCG42" s="478"/>
      <c r="NCH42" s="478"/>
      <c r="NCI42" s="478"/>
      <c r="NCJ42" s="478"/>
      <c r="NCK42" s="478"/>
      <c r="NCL42" s="478"/>
      <c r="NCM42" s="478"/>
      <c r="NCN42" s="478"/>
      <c r="NCO42" s="478"/>
      <c r="NCP42" s="478"/>
      <c r="NCQ42" s="478"/>
      <c r="NCR42" s="478"/>
      <c r="NCS42" s="478"/>
      <c r="NCT42" s="478"/>
      <c r="NCU42" s="478"/>
      <c r="NCV42" s="478"/>
      <c r="NCW42" s="478"/>
      <c r="NCX42" s="478"/>
      <c r="NCY42" s="478"/>
      <c r="NCZ42" s="478"/>
      <c r="NDA42" s="478"/>
      <c r="NDB42" s="478"/>
      <c r="NDC42" s="478"/>
      <c r="NDD42" s="478"/>
      <c r="NDE42" s="478"/>
      <c r="NDF42" s="478"/>
      <c r="NDG42" s="478"/>
      <c r="NDH42" s="478"/>
      <c r="NDI42" s="478"/>
      <c r="NDJ42" s="478"/>
      <c r="NDK42" s="478"/>
      <c r="NDL42" s="478"/>
      <c r="NDM42" s="478"/>
      <c r="NDN42" s="478"/>
      <c r="NDO42" s="478"/>
      <c r="NDP42" s="478"/>
      <c r="NDQ42" s="478"/>
      <c r="NDR42" s="478"/>
      <c r="NDS42" s="478"/>
      <c r="NDT42" s="478"/>
      <c r="NDU42" s="478"/>
      <c r="NDV42" s="478"/>
      <c r="NDW42" s="478"/>
      <c r="NDX42" s="478"/>
      <c r="NDY42" s="478"/>
      <c r="NDZ42" s="478"/>
      <c r="NEA42" s="478"/>
      <c r="NEB42" s="478"/>
      <c r="NEC42" s="478"/>
      <c r="NED42" s="478"/>
      <c r="NEE42" s="478"/>
      <c r="NEF42" s="478"/>
      <c r="NEG42" s="478"/>
      <c r="NEH42" s="478"/>
      <c r="NEI42" s="478"/>
      <c r="NEJ42" s="478"/>
      <c r="NEK42" s="478"/>
      <c r="NEL42" s="478"/>
      <c r="NEM42" s="478"/>
      <c r="NEN42" s="478"/>
      <c r="NEO42" s="478"/>
      <c r="NEP42" s="478"/>
      <c r="NEQ42" s="478"/>
      <c r="NER42" s="478"/>
      <c r="NES42" s="478"/>
      <c r="NET42" s="478"/>
      <c r="NEU42" s="478"/>
      <c r="NEV42" s="478"/>
      <c r="NEW42" s="478"/>
      <c r="NEX42" s="478"/>
      <c r="NEY42" s="478"/>
      <c r="NEZ42" s="478"/>
      <c r="NFA42" s="478"/>
      <c r="NFB42" s="478"/>
      <c r="NFC42" s="478"/>
      <c r="NFD42" s="478"/>
      <c r="NFE42" s="478"/>
      <c r="NFF42" s="478"/>
      <c r="NFG42" s="478"/>
      <c r="NFH42" s="478"/>
      <c r="NFI42" s="478"/>
      <c r="NFJ42" s="478"/>
      <c r="NFK42" s="478"/>
      <c r="NFL42" s="478"/>
      <c r="NFM42" s="478"/>
      <c r="NFN42" s="478"/>
      <c r="NFO42" s="478"/>
      <c r="NFP42" s="478"/>
      <c r="NFQ42" s="478"/>
      <c r="NFR42" s="478"/>
      <c r="NFS42" s="478"/>
      <c r="NFT42" s="478"/>
      <c r="NFU42" s="478"/>
      <c r="NFV42" s="478"/>
      <c r="NFW42" s="478"/>
      <c r="NFX42" s="478"/>
      <c r="NFY42" s="478"/>
      <c r="NFZ42" s="478"/>
      <c r="NGA42" s="478"/>
      <c r="NGB42" s="478"/>
      <c r="NGC42" s="478"/>
      <c r="NGD42" s="478"/>
      <c r="NGE42" s="478"/>
      <c r="NGF42" s="478"/>
      <c r="NGG42" s="478"/>
      <c r="NGH42" s="478"/>
      <c r="NGI42" s="478"/>
      <c r="NGJ42" s="478"/>
      <c r="NGK42" s="478"/>
      <c r="NGL42" s="478"/>
      <c r="NGM42" s="478"/>
      <c r="NGN42" s="478"/>
      <c r="NGO42" s="478"/>
      <c r="NGP42" s="478"/>
      <c r="NGQ42" s="478"/>
      <c r="NGR42" s="478"/>
      <c r="NGS42" s="478"/>
      <c r="NGT42" s="478"/>
      <c r="NGU42" s="478"/>
      <c r="NGV42" s="478"/>
      <c r="NGW42" s="478"/>
      <c r="NGX42" s="478"/>
      <c r="NGY42" s="478"/>
      <c r="NGZ42" s="478"/>
      <c r="NHA42" s="478"/>
      <c r="NHB42" s="478"/>
      <c r="NHC42" s="478"/>
      <c r="NHD42" s="478"/>
      <c r="NHE42" s="478"/>
      <c r="NHF42" s="478"/>
      <c r="NHG42" s="478"/>
      <c r="NHH42" s="478"/>
      <c r="NHI42" s="478"/>
      <c r="NHJ42" s="478"/>
      <c r="NHK42" s="478"/>
      <c r="NHL42" s="478"/>
      <c r="NHM42" s="478"/>
      <c r="NHN42" s="478"/>
      <c r="NHO42" s="478"/>
      <c r="NHP42" s="478"/>
      <c r="NHQ42" s="478"/>
      <c r="NHR42" s="478"/>
      <c r="NHS42" s="478"/>
      <c r="NHT42" s="478"/>
      <c r="NHU42" s="478"/>
      <c r="NHV42" s="478"/>
      <c r="NHW42" s="478"/>
      <c r="NHX42" s="478"/>
      <c r="NHY42" s="478"/>
      <c r="NHZ42" s="478"/>
      <c r="NIA42" s="478"/>
      <c r="NIB42" s="478"/>
      <c r="NIC42" s="478"/>
      <c r="NID42" s="478"/>
      <c r="NIE42" s="478"/>
      <c r="NIF42" s="478"/>
      <c r="NIG42" s="478"/>
      <c r="NIH42" s="478"/>
      <c r="NII42" s="478"/>
      <c r="NIJ42" s="478"/>
      <c r="NIK42" s="478"/>
      <c r="NIL42" s="478"/>
      <c r="NIM42" s="478"/>
      <c r="NIN42" s="478"/>
      <c r="NIO42" s="478"/>
      <c r="NIP42" s="478"/>
      <c r="NIQ42" s="478"/>
      <c r="NIR42" s="478"/>
      <c r="NIS42" s="478"/>
      <c r="NIT42" s="478"/>
      <c r="NIU42" s="478"/>
      <c r="NIV42" s="478"/>
      <c r="NIW42" s="478"/>
      <c r="NIX42" s="478"/>
      <c r="NIY42" s="478"/>
      <c r="NIZ42" s="478"/>
      <c r="NJA42" s="478"/>
      <c r="NJB42" s="478"/>
      <c r="NJC42" s="478"/>
      <c r="NJD42" s="478"/>
      <c r="NJE42" s="478"/>
      <c r="NJF42" s="478"/>
      <c r="NJG42" s="478"/>
      <c r="NJH42" s="478"/>
      <c r="NJI42" s="478"/>
      <c r="NJJ42" s="478"/>
      <c r="NJK42" s="478"/>
      <c r="NJL42" s="478"/>
      <c r="NJM42" s="478"/>
      <c r="NJN42" s="478"/>
      <c r="NJO42" s="478"/>
      <c r="NJP42" s="478"/>
      <c r="NJQ42" s="478"/>
      <c r="NJR42" s="478"/>
      <c r="NJS42" s="478"/>
      <c r="NJT42" s="478"/>
      <c r="NJU42" s="478"/>
      <c r="NJV42" s="478"/>
      <c r="NJW42" s="478"/>
      <c r="NJX42" s="478"/>
      <c r="NJY42" s="478"/>
      <c r="NJZ42" s="478"/>
      <c r="NKA42" s="478"/>
      <c r="NKB42" s="478"/>
      <c r="NKC42" s="478"/>
      <c r="NKD42" s="478"/>
      <c r="NKE42" s="478"/>
      <c r="NKF42" s="478"/>
      <c r="NKG42" s="478"/>
      <c r="NKH42" s="478"/>
      <c r="NKI42" s="478"/>
      <c r="NKJ42" s="478"/>
      <c r="NKK42" s="478"/>
      <c r="NKL42" s="478"/>
      <c r="NKM42" s="478"/>
      <c r="NKN42" s="478"/>
      <c r="NKO42" s="478"/>
      <c r="NKP42" s="478"/>
      <c r="NKQ42" s="478"/>
      <c r="NKR42" s="478"/>
      <c r="NKS42" s="478"/>
      <c r="NKT42" s="478"/>
      <c r="NKU42" s="478"/>
      <c r="NKV42" s="478"/>
      <c r="NKW42" s="478"/>
      <c r="NKX42" s="478"/>
      <c r="NKY42" s="478"/>
      <c r="NKZ42" s="478"/>
      <c r="NLA42" s="478"/>
      <c r="NLB42" s="478"/>
      <c r="NLC42" s="478"/>
      <c r="NLD42" s="478"/>
      <c r="NLE42" s="478"/>
      <c r="NLF42" s="478"/>
      <c r="NLG42" s="478"/>
      <c r="NLH42" s="478"/>
      <c r="NLI42" s="478"/>
      <c r="NLJ42" s="478"/>
      <c r="NLK42" s="478"/>
      <c r="NLL42" s="478"/>
      <c r="NLM42" s="478"/>
      <c r="NLN42" s="478"/>
      <c r="NLO42" s="478"/>
      <c r="NLP42" s="478"/>
      <c r="NLQ42" s="478"/>
      <c r="NLR42" s="478"/>
      <c r="NLS42" s="478"/>
      <c r="NLT42" s="478"/>
      <c r="NLU42" s="478"/>
      <c r="NLV42" s="478"/>
      <c r="NLW42" s="478"/>
      <c r="NLX42" s="478"/>
      <c r="NLY42" s="478"/>
      <c r="NLZ42" s="478"/>
      <c r="NMA42" s="478"/>
      <c r="NMB42" s="478"/>
      <c r="NMC42" s="478"/>
      <c r="NMD42" s="478"/>
      <c r="NME42" s="478"/>
      <c r="NMF42" s="478"/>
      <c r="NMG42" s="478"/>
      <c r="NMH42" s="478"/>
      <c r="NMI42" s="478"/>
      <c r="NMJ42" s="478"/>
      <c r="NMK42" s="478"/>
      <c r="NML42" s="478"/>
      <c r="NMM42" s="478"/>
      <c r="NMN42" s="478"/>
      <c r="NMO42" s="478"/>
      <c r="NMP42" s="478"/>
      <c r="NMQ42" s="478"/>
      <c r="NMR42" s="478"/>
      <c r="NMS42" s="478"/>
      <c r="NMT42" s="478"/>
      <c r="NMU42" s="478"/>
      <c r="NMV42" s="478"/>
      <c r="NMW42" s="478"/>
      <c r="NMX42" s="478"/>
      <c r="NMY42" s="478"/>
      <c r="NMZ42" s="478"/>
      <c r="NNA42" s="478"/>
      <c r="NNB42" s="478"/>
      <c r="NNC42" s="478"/>
      <c r="NND42" s="478"/>
      <c r="NNE42" s="478"/>
      <c r="NNF42" s="478"/>
      <c r="NNG42" s="478"/>
      <c r="NNH42" s="478"/>
      <c r="NNI42" s="478"/>
      <c r="NNJ42" s="478"/>
      <c r="NNK42" s="478"/>
      <c r="NNL42" s="478"/>
      <c r="NNM42" s="478"/>
      <c r="NNN42" s="478"/>
      <c r="NNO42" s="478"/>
      <c r="NNP42" s="478"/>
      <c r="NNQ42" s="478"/>
      <c r="NNR42" s="478"/>
      <c r="NNS42" s="478"/>
      <c r="NNT42" s="478"/>
      <c r="NNU42" s="478"/>
      <c r="NNV42" s="478"/>
      <c r="NNW42" s="478"/>
      <c r="NNX42" s="478"/>
      <c r="NNY42" s="478"/>
      <c r="NNZ42" s="478"/>
      <c r="NOA42" s="478"/>
      <c r="NOB42" s="478"/>
      <c r="NOC42" s="478"/>
      <c r="NOD42" s="478"/>
      <c r="NOE42" s="478"/>
      <c r="NOF42" s="478"/>
      <c r="NOG42" s="478"/>
      <c r="NOH42" s="478"/>
      <c r="NOI42" s="478"/>
      <c r="NOJ42" s="478"/>
      <c r="NOK42" s="478"/>
      <c r="NOL42" s="478"/>
      <c r="NOM42" s="478"/>
      <c r="NON42" s="478"/>
      <c r="NOO42" s="478"/>
      <c r="NOP42" s="478"/>
      <c r="NOQ42" s="478"/>
      <c r="NOR42" s="478"/>
      <c r="NOS42" s="478"/>
      <c r="NOT42" s="478"/>
      <c r="NOU42" s="478"/>
      <c r="NOV42" s="478"/>
      <c r="NOW42" s="478"/>
      <c r="NOX42" s="478"/>
      <c r="NOY42" s="478"/>
      <c r="NOZ42" s="478"/>
      <c r="NPA42" s="478"/>
      <c r="NPB42" s="478"/>
      <c r="NPC42" s="478"/>
      <c r="NPD42" s="478"/>
      <c r="NPE42" s="478"/>
      <c r="NPF42" s="478"/>
      <c r="NPG42" s="478"/>
      <c r="NPH42" s="478"/>
      <c r="NPI42" s="478"/>
      <c r="NPJ42" s="478"/>
      <c r="NPK42" s="478"/>
      <c r="NPL42" s="478"/>
      <c r="NPM42" s="478"/>
      <c r="NPN42" s="478"/>
      <c r="NPO42" s="478"/>
      <c r="NPP42" s="478"/>
      <c r="NPQ42" s="478"/>
      <c r="NPR42" s="478"/>
      <c r="NPS42" s="478"/>
      <c r="NPT42" s="478"/>
      <c r="NPU42" s="478"/>
      <c r="NPV42" s="478"/>
      <c r="NPW42" s="478"/>
      <c r="NPX42" s="478"/>
      <c r="NPY42" s="478"/>
      <c r="NPZ42" s="478"/>
      <c r="NQA42" s="478"/>
      <c r="NQB42" s="478"/>
      <c r="NQC42" s="478"/>
      <c r="NQD42" s="478"/>
      <c r="NQE42" s="478"/>
      <c r="NQF42" s="478"/>
      <c r="NQG42" s="478"/>
      <c r="NQH42" s="478"/>
      <c r="NQI42" s="478"/>
      <c r="NQJ42" s="478"/>
      <c r="NQK42" s="478"/>
      <c r="NQL42" s="478"/>
      <c r="NQM42" s="478"/>
      <c r="NQN42" s="478"/>
      <c r="NQO42" s="478"/>
      <c r="NQP42" s="478"/>
      <c r="NQQ42" s="478"/>
      <c r="NQR42" s="478"/>
      <c r="NQS42" s="478"/>
      <c r="NQT42" s="478"/>
      <c r="NQU42" s="478"/>
      <c r="NQV42" s="478"/>
      <c r="NQW42" s="478"/>
      <c r="NQX42" s="478"/>
      <c r="NQY42" s="478"/>
      <c r="NQZ42" s="478"/>
      <c r="NRA42" s="478"/>
      <c r="NRB42" s="478"/>
      <c r="NRC42" s="478"/>
      <c r="NRD42" s="478"/>
      <c r="NRE42" s="478"/>
      <c r="NRF42" s="478"/>
      <c r="NRG42" s="478"/>
      <c r="NRH42" s="478"/>
      <c r="NRI42" s="478"/>
      <c r="NRJ42" s="478"/>
      <c r="NRK42" s="478"/>
      <c r="NRL42" s="478"/>
      <c r="NRM42" s="478"/>
      <c r="NRN42" s="478"/>
      <c r="NRO42" s="478"/>
      <c r="NRP42" s="478"/>
      <c r="NRQ42" s="478"/>
      <c r="NRR42" s="478"/>
      <c r="NRS42" s="478"/>
      <c r="NRT42" s="478"/>
      <c r="NRU42" s="478"/>
      <c r="NRV42" s="478"/>
      <c r="NRW42" s="478"/>
      <c r="NRX42" s="478"/>
      <c r="NRY42" s="478"/>
      <c r="NRZ42" s="478"/>
      <c r="NSA42" s="478"/>
      <c r="NSB42" s="478"/>
      <c r="NSC42" s="478"/>
      <c r="NSD42" s="478"/>
      <c r="NSE42" s="478"/>
      <c r="NSF42" s="478"/>
      <c r="NSG42" s="478"/>
      <c r="NSH42" s="478"/>
      <c r="NSI42" s="478"/>
      <c r="NSJ42" s="478"/>
      <c r="NSK42" s="478"/>
      <c r="NSL42" s="478"/>
      <c r="NSM42" s="478"/>
      <c r="NSN42" s="478"/>
      <c r="NSO42" s="478"/>
      <c r="NSP42" s="478"/>
      <c r="NSQ42" s="478"/>
      <c r="NSR42" s="478"/>
      <c r="NSS42" s="478"/>
      <c r="NST42" s="478"/>
      <c r="NSU42" s="478"/>
      <c r="NSV42" s="478"/>
      <c r="NSW42" s="478"/>
      <c r="NSX42" s="478"/>
      <c r="NSY42" s="478"/>
      <c r="NSZ42" s="478"/>
      <c r="NTA42" s="478"/>
      <c r="NTB42" s="478"/>
      <c r="NTC42" s="478"/>
      <c r="NTD42" s="478"/>
      <c r="NTE42" s="478"/>
      <c r="NTF42" s="478"/>
      <c r="NTG42" s="478"/>
      <c r="NTH42" s="478"/>
      <c r="NTI42" s="478"/>
      <c r="NTJ42" s="478"/>
      <c r="NTK42" s="478"/>
      <c r="NTL42" s="478"/>
      <c r="NTM42" s="478"/>
      <c r="NTN42" s="478"/>
      <c r="NTO42" s="478"/>
      <c r="NTP42" s="478"/>
      <c r="NTQ42" s="478"/>
      <c r="NTR42" s="478"/>
      <c r="NTS42" s="478"/>
      <c r="NTT42" s="478"/>
      <c r="NTU42" s="478"/>
      <c r="NTV42" s="478"/>
      <c r="NTW42" s="478"/>
      <c r="NTX42" s="478"/>
      <c r="NTY42" s="478"/>
      <c r="NTZ42" s="478"/>
      <c r="NUA42" s="478"/>
      <c r="NUB42" s="478"/>
      <c r="NUC42" s="478"/>
      <c r="NUD42" s="478"/>
      <c r="NUE42" s="478"/>
      <c r="NUF42" s="478"/>
      <c r="NUG42" s="478"/>
      <c r="NUH42" s="478"/>
      <c r="NUI42" s="478"/>
      <c r="NUJ42" s="478"/>
      <c r="NUK42" s="478"/>
      <c r="NUL42" s="478"/>
      <c r="NUM42" s="478"/>
      <c r="NUN42" s="478"/>
      <c r="NUO42" s="478"/>
      <c r="NUP42" s="478"/>
      <c r="NUQ42" s="478"/>
      <c r="NUR42" s="478"/>
      <c r="NUS42" s="478"/>
      <c r="NUT42" s="478"/>
      <c r="NUU42" s="478"/>
      <c r="NUV42" s="478"/>
      <c r="NUW42" s="478"/>
      <c r="NUX42" s="478"/>
      <c r="NUY42" s="478"/>
      <c r="NUZ42" s="478"/>
      <c r="NVA42" s="478"/>
      <c r="NVB42" s="478"/>
      <c r="NVC42" s="478"/>
      <c r="NVD42" s="478"/>
      <c r="NVE42" s="478"/>
      <c r="NVF42" s="478"/>
      <c r="NVG42" s="478"/>
      <c r="NVH42" s="478"/>
      <c r="NVI42" s="478"/>
      <c r="NVJ42" s="478"/>
      <c r="NVK42" s="478"/>
      <c r="NVL42" s="478"/>
      <c r="NVM42" s="478"/>
      <c r="NVN42" s="478"/>
      <c r="NVO42" s="478"/>
      <c r="NVP42" s="478"/>
      <c r="NVQ42" s="478"/>
      <c r="NVR42" s="478"/>
      <c r="NVS42" s="478"/>
      <c r="NVT42" s="478"/>
      <c r="NVU42" s="478"/>
      <c r="NVV42" s="478"/>
      <c r="NVW42" s="478"/>
      <c r="NVX42" s="478"/>
      <c r="NVY42" s="478"/>
      <c r="NVZ42" s="478"/>
      <c r="NWA42" s="478"/>
      <c r="NWB42" s="478"/>
      <c r="NWC42" s="478"/>
      <c r="NWD42" s="478"/>
      <c r="NWE42" s="478"/>
      <c r="NWF42" s="478"/>
      <c r="NWG42" s="478"/>
      <c r="NWH42" s="478"/>
      <c r="NWI42" s="478"/>
      <c r="NWJ42" s="478"/>
      <c r="NWK42" s="478"/>
      <c r="NWL42" s="478"/>
      <c r="NWM42" s="478"/>
      <c r="NWN42" s="478"/>
      <c r="NWO42" s="478"/>
      <c r="NWP42" s="478"/>
      <c r="NWQ42" s="478"/>
      <c r="NWR42" s="478"/>
      <c r="NWS42" s="478"/>
      <c r="NWT42" s="478"/>
      <c r="NWU42" s="478"/>
      <c r="NWV42" s="478"/>
      <c r="NWW42" s="478"/>
      <c r="NWX42" s="478"/>
      <c r="NWY42" s="478"/>
      <c r="NWZ42" s="478"/>
      <c r="NXA42" s="478"/>
      <c r="NXB42" s="478"/>
      <c r="NXC42" s="478"/>
      <c r="NXD42" s="478"/>
      <c r="NXE42" s="478"/>
      <c r="NXF42" s="478"/>
      <c r="NXG42" s="478"/>
      <c r="NXH42" s="478"/>
      <c r="NXI42" s="478"/>
      <c r="NXJ42" s="478"/>
      <c r="NXK42" s="478"/>
      <c r="NXL42" s="478"/>
      <c r="NXM42" s="478"/>
      <c r="NXN42" s="478"/>
      <c r="NXO42" s="478"/>
      <c r="NXP42" s="478"/>
      <c r="NXQ42" s="478"/>
      <c r="NXR42" s="478"/>
      <c r="NXS42" s="478"/>
      <c r="NXT42" s="478"/>
      <c r="NXU42" s="478"/>
      <c r="NXV42" s="478"/>
      <c r="NXW42" s="478"/>
      <c r="NXX42" s="478"/>
      <c r="NXY42" s="478"/>
      <c r="NXZ42" s="478"/>
      <c r="NYA42" s="478"/>
      <c r="NYB42" s="478"/>
      <c r="NYC42" s="478"/>
      <c r="NYD42" s="478"/>
      <c r="NYE42" s="478"/>
      <c r="NYF42" s="478"/>
      <c r="NYG42" s="478"/>
      <c r="NYH42" s="478"/>
      <c r="NYI42" s="478"/>
      <c r="NYJ42" s="478"/>
      <c r="NYK42" s="478"/>
      <c r="NYL42" s="478"/>
      <c r="NYM42" s="478"/>
      <c r="NYN42" s="478"/>
      <c r="NYO42" s="478"/>
      <c r="NYP42" s="478"/>
      <c r="NYQ42" s="478"/>
      <c r="NYR42" s="478"/>
      <c r="NYS42" s="478"/>
      <c r="NYT42" s="478"/>
      <c r="NYU42" s="478"/>
      <c r="NYV42" s="478"/>
      <c r="NYW42" s="478"/>
      <c r="NYX42" s="478"/>
      <c r="NYY42" s="478"/>
      <c r="NYZ42" s="478"/>
      <c r="NZA42" s="478"/>
      <c r="NZB42" s="478"/>
      <c r="NZC42" s="478"/>
      <c r="NZD42" s="478"/>
      <c r="NZE42" s="478"/>
      <c r="NZF42" s="478"/>
      <c r="NZG42" s="478"/>
      <c r="NZH42" s="478"/>
      <c r="NZI42" s="478"/>
      <c r="NZJ42" s="478"/>
      <c r="NZK42" s="478"/>
      <c r="NZL42" s="478"/>
      <c r="NZM42" s="478"/>
      <c r="NZN42" s="478"/>
      <c r="NZO42" s="478"/>
      <c r="NZP42" s="478"/>
      <c r="NZQ42" s="478"/>
      <c r="NZR42" s="478"/>
      <c r="NZS42" s="478"/>
      <c r="NZT42" s="478"/>
      <c r="NZU42" s="478"/>
      <c r="NZV42" s="478"/>
      <c r="NZW42" s="478"/>
      <c r="NZX42" s="478"/>
      <c r="NZY42" s="478"/>
      <c r="NZZ42" s="478"/>
      <c r="OAA42" s="478"/>
      <c r="OAB42" s="478"/>
      <c r="OAC42" s="478"/>
      <c r="OAD42" s="478"/>
      <c r="OAE42" s="478"/>
      <c r="OAF42" s="478"/>
      <c r="OAG42" s="478"/>
      <c r="OAH42" s="478"/>
      <c r="OAI42" s="478"/>
      <c r="OAJ42" s="478"/>
      <c r="OAK42" s="478"/>
      <c r="OAL42" s="478"/>
      <c r="OAM42" s="478"/>
      <c r="OAN42" s="478"/>
      <c r="OAO42" s="478"/>
      <c r="OAP42" s="478"/>
      <c r="OAQ42" s="478"/>
      <c r="OAR42" s="478"/>
      <c r="OAS42" s="478"/>
      <c r="OAT42" s="478"/>
      <c r="OAU42" s="478"/>
      <c r="OAV42" s="478"/>
      <c r="OAW42" s="478"/>
      <c r="OAX42" s="478"/>
      <c r="OAY42" s="478"/>
      <c r="OAZ42" s="478"/>
      <c r="OBA42" s="478"/>
      <c r="OBB42" s="478"/>
      <c r="OBC42" s="478"/>
      <c r="OBD42" s="478"/>
      <c r="OBE42" s="478"/>
      <c r="OBF42" s="478"/>
      <c r="OBG42" s="478"/>
      <c r="OBH42" s="478"/>
      <c r="OBI42" s="478"/>
      <c r="OBJ42" s="478"/>
      <c r="OBK42" s="478"/>
      <c r="OBL42" s="478"/>
      <c r="OBM42" s="478"/>
      <c r="OBN42" s="478"/>
      <c r="OBO42" s="478"/>
      <c r="OBP42" s="478"/>
      <c r="OBQ42" s="478"/>
      <c r="OBR42" s="478"/>
      <c r="OBS42" s="478"/>
      <c r="OBT42" s="478"/>
      <c r="OBU42" s="478"/>
      <c r="OBV42" s="478"/>
      <c r="OBW42" s="478"/>
      <c r="OBX42" s="478"/>
      <c r="OBY42" s="478"/>
      <c r="OBZ42" s="478"/>
      <c r="OCA42" s="478"/>
      <c r="OCB42" s="478"/>
      <c r="OCC42" s="478"/>
      <c r="OCD42" s="478"/>
      <c r="OCE42" s="478"/>
      <c r="OCF42" s="478"/>
      <c r="OCG42" s="478"/>
      <c r="OCH42" s="478"/>
      <c r="OCI42" s="478"/>
      <c r="OCJ42" s="478"/>
      <c r="OCK42" s="478"/>
      <c r="OCL42" s="478"/>
      <c r="OCM42" s="478"/>
      <c r="OCN42" s="478"/>
      <c r="OCO42" s="478"/>
      <c r="OCP42" s="478"/>
      <c r="OCQ42" s="478"/>
      <c r="OCR42" s="478"/>
      <c r="OCS42" s="478"/>
      <c r="OCT42" s="478"/>
      <c r="OCU42" s="478"/>
      <c r="OCV42" s="478"/>
      <c r="OCW42" s="478"/>
      <c r="OCX42" s="478"/>
      <c r="OCY42" s="478"/>
      <c r="OCZ42" s="478"/>
      <c r="ODA42" s="478"/>
      <c r="ODB42" s="478"/>
      <c r="ODC42" s="478"/>
      <c r="ODD42" s="478"/>
      <c r="ODE42" s="478"/>
      <c r="ODF42" s="478"/>
      <c r="ODG42" s="478"/>
      <c r="ODH42" s="478"/>
      <c r="ODI42" s="478"/>
      <c r="ODJ42" s="478"/>
      <c r="ODK42" s="478"/>
      <c r="ODL42" s="478"/>
      <c r="ODM42" s="478"/>
      <c r="ODN42" s="478"/>
      <c r="ODO42" s="478"/>
      <c r="ODP42" s="478"/>
      <c r="ODQ42" s="478"/>
      <c r="ODR42" s="478"/>
      <c r="ODS42" s="478"/>
      <c r="ODT42" s="478"/>
      <c r="ODU42" s="478"/>
      <c r="ODV42" s="478"/>
      <c r="ODW42" s="478"/>
      <c r="ODX42" s="478"/>
      <c r="ODY42" s="478"/>
      <c r="ODZ42" s="478"/>
      <c r="OEA42" s="478"/>
      <c r="OEB42" s="478"/>
      <c r="OEC42" s="478"/>
      <c r="OED42" s="478"/>
      <c r="OEE42" s="478"/>
      <c r="OEF42" s="478"/>
      <c r="OEG42" s="478"/>
      <c r="OEH42" s="478"/>
      <c r="OEI42" s="478"/>
      <c r="OEJ42" s="478"/>
      <c r="OEK42" s="478"/>
      <c r="OEL42" s="478"/>
      <c r="OEM42" s="478"/>
      <c r="OEN42" s="478"/>
      <c r="OEO42" s="478"/>
      <c r="OEP42" s="478"/>
      <c r="OEQ42" s="478"/>
      <c r="OER42" s="478"/>
      <c r="OES42" s="478"/>
      <c r="OET42" s="478"/>
      <c r="OEU42" s="478"/>
      <c r="OEV42" s="478"/>
      <c r="OEW42" s="478"/>
      <c r="OEX42" s="478"/>
      <c r="OEY42" s="478"/>
      <c r="OEZ42" s="478"/>
      <c r="OFA42" s="478"/>
      <c r="OFB42" s="478"/>
      <c r="OFC42" s="478"/>
      <c r="OFD42" s="478"/>
      <c r="OFE42" s="478"/>
      <c r="OFF42" s="478"/>
      <c r="OFG42" s="478"/>
      <c r="OFH42" s="478"/>
      <c r="OFI42" s="478"/>
      <c r="OFJ42" s="478"/>
      <c r="OFK42" s="478"/>
      <c r="OFL42" s="478"/>
      <c r="OFM42" s="478"/>
      <c r="OFN42" s="478"/>
      <c r="OFO42" s="478"/>
      <c r="OFP42" s="478"/>
      <c r="OFQ42" s="478"/>
      <c r="OFR42" s="478"/>
      <c r="OFS42" s="478"/>
      <c r="OFT42" s="478"/>
      <c r="OFU42" s="478"/>
      <c r="OFV42" s="478"/>
      <c r="OFW42" s="478"/>
      <c r="OFX42" s="478"/>
      <c r="OFY42" s="478"/>
      <c r="OFZ42" s="478"/>
      <c r="OGA42" s="478"/>
      <c r="OGB42" s="478"/>
      <c r="OGC42" s="478"/>
      <c r="OGD42" s="478"/>
      <c r="OGE42" s="478"/>
      <c r="OGF42" s="478"/>
      <c r="OGG42" s="478"/>
      <c r="OGH42" s="478"/>
      <c r="OGI42" s="478"/>
      <c r="OGJ42" s="478"/>
      <c r="OGK42" s="478"/>
      <c r="OGL42" s="478"/>
      <c r="OGM42" s="478"/>
      <c r="OGN42" s="478"/>
      <c r="OGO42" s="478"/>
      <c r="OGP42" s="478"/>
      <c r="OGQ42" s="478"/>
      <c r="OGR42" s="478"/>
      <c r="OGS42" s="478"/>
      <c r="OGT42" s="478"/>
      <c r="OGU42" s="478"/>
      <c r="OGV42" s="478"/>
      <c r="OGW42" s="478"/>
      <c r="OGX42" s="478"/>
      <c r="OGY42" s="478"/>
      <c r="OGZ42" s="478"/>
      <c r="OHA42" s="478"/>
      <c r="OHB42" s="478"/>
      <c r="OHC42" s="478"/>
      <c r="OHD42" s="478"/>
      <c r="OHE42" s="478"/>
      <c r="OHF42" s="478"/>
      <c r="OHG42" s="478"/>
      <c r="OHH42" s="478"/>
      <c r="OHI42" s="478"/>
      <c r="OHJ42" s="478"/>
      <c r="OHK42" s="478"/>
      <c r="OHL42" s="478"/>
      <c r="OHM42" s="478"/>
      <c r="OHN42" s="478"/>
      <c r="OHO42" s="478"/>
      <c r="OHP42" s="478"/>
      <c r="OHQ42" s="478"/>
      <c r="OHR42" s="478"/>
      <c r="OHS42" s="478"/>
      <c r="OHT42" s="478"/>
      <c r="OHU42" s="478"/>
      <c r="OHV42" s="478"/>
      <c r="OHW42" s="478"/>
      <c r="OHX42" s="478"/>
      <c r="OHY42" s="478"/>
      <c r="OHZ42" s="478"/>
      <c r="OIA42" s="478"/>
      <c r="OIB42" s="478"/>
      <c r="OIC42" s="478"/>
      <c r="OID42" s="478"/>
      <c r="OIE42" s="478"/>
      <c r="OIF42" s="478"/>
      <c r="OIG42" s="478"/>
      <c r="OIH42" s="478"/>
      <c r="OII42" s="478"/>
      <c r="OIJ42" s="478"/>
      <c r="OIK42" s="478"/>
      <c r="OIL42" s="478"/>
      <c r="OIM42" s="478"/>
      <c r="OIN42" s="478"/>
      <c r="OIO42" s="478"/>
      <c r="OIP42" s="478"/>
      <c r="OIQ42" s="478"/>
      <c r="OIR42" s="478"/>
      <c r="OIS42" s="478"/>
      <c r="OIT42" s="478"/>
      <c r="OIU42" s="478"/>
      <c r="OIV42" s="478"/>
      <c r="OIW42" s="478"/>
      <c r="OIX42" s="478"/>
      <c r="OIY42" s="478"/>
      <c r="OIZ42" s="478"/>
      <c r="OJA42" s="478"/>
      <c r="OJB42" s="478"/>
      <c r="OJC42" s="478"/>
      <c r="OJD42" s="478"/>
      <c r="OJE42" s="478"/>
      <c r="OJF42" s="478"/>
      <c r="OJG42" s="478"/>
      <c r="OJH42" s="478"/>
      <c r="OJI42" s="478"/>
      <c r="OJJ42" s="478"/>
      <c r="OJK42" s="478"/>
      <c r="OJL42" s="478"/>
      <c r="OJM42" s="478"/>
      <c r="OJN42" s="478"/>
      <c r="OJO42" s="478"/>
      <c r="OJP42" s="478"/>
      <c r="OJQ42" s="478"/>
      <c r="OJR42" s="478"/>
      <c r="OJS42" s="478"/>
      <c r="OJT42" s="478"/>
      <c r="OJU42" s="478"/>
      <c r="OJV42" s="478"/>
      <c r="OJW42" s="478"/>
      <c r="OJX42" s="478"/>
      <c r="OJY42" s="478"/>
      <c r="OJZ42" s="478"/>
      <c r="OKA42" s="478"/>
      <c r="OKB42" s="478"/>
      <c r="OKC42" s="478"/>
      <c r="OKD42" s="478"/>
      <c r="OKE42" s="478"/>
      <c r="OKF42" s="478"/>
      <c r="OKG42" s="478"/>
      <c r="OKH42" s="478"/>
      <c r="OKI42" s="478"/>
      <c r="OKJ42" s="478"/>
      <c r="OKK42" s="478"/>
      <c r="OKL42" s="478"/>
      <c r="OKM42" s="478"/>
      <c r="OKN42" s="478"/>
      <c r="OKO42" s="478"/>
      <c r="OKP42" s="478"/>
      <c r="OKQ42" s="478"/>
      <c r="OKR42" s="478"/>
      <c r="OKS42" s="478"/>
      <c r="OKT42" s="478"/>
      <c r="OKU42" s="478"/>
      <c r="OKV42" s="478"/>
      <c r="OKW42" s="478"/>
      <c r="OKX42" s="478"/>
      <c r="OKY42" s="478"/>
      <c r="OKZ42" s="478"/>
      <c r="OLA42" s="478"/>
      <c r="OLB42" s="478"/>
      <c r="OLC42" s="478"/>
      <c r="OLD42" s="478"/>
      <c r="OLE42" s="478"/>
      <c r="OLF42" s="478"/>
      <c r="OLG42" s="478"/>
      <c r="OLH42" s="478"/>
      <c r="OLI42" s="478"/>
      <c r="OLJ42" s="478"/>
      <c r="OLK42" s="478"/>
      <c r="OLL42" s="478"/>
      <c r="OLM42" s="478"/>
      <c r="OLN42" s="478"/>
      <c r="OLO42" s="478"/>
      <c r="OLP42" s="478"/>
      <c r="OLQ42" s="478"/>
      <c r="OLR42" s="478"/>
      <c r="OLS42" s="478"/>
      <c r="OLT42" s="478"/>
      <c r="OLU42" s="478"/>
      <c r="OLV42" s="478"/>
      <c r="OLW42" s="478"/>
      <c r="OLX42" s="478"/>
      <c r="OLY42" s="478"/>
      <c r="OLZ42" s="478"/>
      <c r="OMA42" s="478"/>
      <c r="OMB42" s="478"/>
      <c r="OMC42" s="478"/>
      <c r="OMD42" s="478"/>
      <c r="OME42" s="478"/>
      <c r="OMF42" s="478"/>
      <c r="OMG42" s="478"/>
      <c r="OMH42" s="478"/>
      <c r="OMI42" s="478"/>
      <c r="OMJ42" s="478"/>
      <c r="OMK42" s="478"/>
      <c r="OML42" s="478"/>
      <c r="OMM42" s="478"/>
      <c r="OMN42" s="478"/>
      <c r="OMO42" s="478"/>
      <c r="OMP42" s="478"/>
      <c r="OMQ42" s="478"/>
      <c r="OMR42" s="478"/>
      <c r="OMS42" s="478"/>
      <c r="OMT42" s="478"/>
      <c r="OMU42" s="478"/>
      <c r="OMV42" s="478"/>
      <c r="OMW42" s="478"/>
      <c r="OMX42" s="478"/>
      <c r="OMY42" s="478"/>
      <c r="OMZ42" s="478"/>
      <c r="ONA42" s="478"/>
      <c r="ONB42" s="478"/>
      <c r="ONC42" s="478"/>
      <c r="OND42" s="478"/>
      <c r="ONE42" s="478"/>
      <c r="ONF42" s="478"/>
      <c r="ONG42" s="478"/>
      <c r="ONH42" s="478"/>
      <c r="ONI42" s="478"/>
      <c r="ONJ42" s="478"/>
      <c r="ONK42" s="478"/>
      <c r="ONL42" s="478"/>
      <c r="ONM42" s="478"/>
      <c r="ONN42" s="478"/>
      <c r="ONO42" s="478"/>
      <c r="ONP42" s="478"/>
      <c r="ONQ42" s="478"/>
      <c r="ONR42" s="478"/>
      <c r="ONS42" s="478"/>
      <c r="ONT42" s="478"/>
      <c r="ONU42" s="478"/>
      <c r="ONV42" s="478"/>
      <c r="ONW42" s="478"/>
      <c r="ONX42" s="478"/>
      <c r="ONY42" s="478"/>
      <c r="ONZ42" s="478"/>
      <c r="OOA42" s="478"/>
      <c r="OOB42" s="478"/>
      <c r="OOC42" s="478"/>
      <c r="OOD42" s="478"/>
      <c r="OOE42" s="478"/>
      <c r="OOF42" s="478"/>
      <c r="OOG42" s="478"/>
      <c r="OOH42" s="478"/>
      <c r="OOI42" s="478"/>
      <c r="OOJ42" s="478"/>
      <c r="OOK42" s="478"/>
      <c r="OOL42" s="478"/>
      <c r="OOM42" s="478"/>
      <c r="OON42" s="478"/>
      <c r="OOO42" s="478"/>
      <c r="OOP42" s="478"/>
      <c r="OOQ42" s="478"/>
      <c r="OOR42" s="478"/>
      <c r="OOS42" s="478"/>
      <c r="OOT42" s="478"/>
      <c r="OOU42" s="478"/>
      <c r="OOV42" s="478"/>
      <c r="OOW42" s="478"/>
      <c r="OOX42" s="478"/>
      <c r="OOY42" s="478"/>
      <c r="OOZ42" s="478"/>
      <c r="OPA42" s="478"/>
      <c r="OPB42" s="478"/>
      <c r="OPC42" s="478"/>
      <c r="OPD42" s="478"/>
      <c r="OPE42" s="478"/>
      <c r="OPF42" s="478"/>
      <c r="OPG42" s="478"/>
      <c r="OPH42" s="478"/>
      <c r="OPI42" s="478"/>
      <c r="OPJ42" s="478"/>
      <c r="OPK42" s="478"/>
      <c r="OPL42" s="478"/>
      <c r="OPM42" s="478"/>
      <c r="OPN42" s="478"/>
      <c r="OPO42" s="478"/>
      <c r="OPP42" s="478"/>
      <c r="OPQ42" s="478"/>
      <c r="OPR42" s="478"/>
      <c r="OPS42" s="478"/>
      <c r="OPT42" s="478"/>
      <c r="OPU42" s="478"/>
      <c r="OPV42" s="478"/>
      <c r="OPW42" s="478"/>
      <c r="OPX42" s="478"/>
      <c r="OPY42" s="478"/>
      <c r="OPZ42" s="478"/>
      <c r="OQA42" s="478"/>
      <c r="OQB42" s="478"/>
      <c r="OQC42" s="478"/>
      <c r="OQD42" s="478"/>
      <c r="OQE42" s="478"/>
      <c r="OQF42" s="478"/>
      <c r="OQG42" s="478"/>
      <c r="OQH42" s="478"/>
      <c r="OQI42" s="478"/>
      <c r="OQJ42" s="478"/>
      <c r="OQK42" s="478"/>
      <c r="OQL42" s="478"/>
      <c r="OQM42" s="478"/>
      <c r="OQN42" s="478"/>
      <c r="OQO42" s="478"/>
      <c r="OQP42" s="478"/>
      <c r="OQQ42" s="478"/>
      <c r="OQR42" s="478"/>
      <c r="OQS42" s="478"/>
      <c r="OQT42" s="478"/>
      <c r="OQU42" s="478"/>
      <c r="OQV42" s="478"/>
      <c r="OQW42" s="478"/>
      <c r="OQX42" s="478"/>
      <c r="OQY42" s="478"/>
      <c r="OQZ42" s="478"/>
      <c r="ORA42" s="478"/>
      <c r="ORB42" s="478"/>
      <c r="ORC42" s="478"/>
      <c r="ORD42" s="478"/>
      <c r="ORE42" s="478"/>
      <c r="ORF42" s="478"/>
      <c r="ORG42" s="478"/>
      <c r="ORH42" s="478"/>
      <c r="ORI42" s="478"/>
      <c r="ORJ42" s="478"/>
      <c r="ORK42" s="478"/>
      <c r="ORL42" s="478"/>
      <c r="ORM42" s="478"/>
      <c r="ORN42" s="478"/>
      <c r="ORO42" s="478"/>
      <c r="ORP42" s="478"/>
      <c r="ORQ42" s="478"/>
      <c r="ORR42" s="478"/>
      <c r="ORS42" s="478"/>
      <c r="ORT42" s="478"/>
      <c r="ORU42" s="478"/>
      <c r="ORV42" s="478"/>
      <c r="ORW42" s="478"/>
      <c r="ORX42" s="478"/>
      <c r="ORY42" s="478"/>
      <c r="ORZ42" s="478"/>
      <c r="OSA42" s="478"/>
      <c r="OSB42" s="478"/>
      <c r="OSC42" s="478"/>
      <c r="OSD42" s="478"/>
      <c r="OSE42" s="478"/>
      <c r="OSF42" s="478"/>
      <c r="OSG42" s="478"/>
      <c r="OSH42" s="478"/>
      <c r="OSI42" s="478"/>
      <c r="OSJ42" s="478"/>
      <c r="OSK42" s="478"/>
      <c r="OSL42" s="478"/>
      <c r="OSM42" s="478"/>
      <c r="OSN42" s="478"/>
      <c r="OSO42" s="478"/>
      <c r="OSP42" s="478"/>
      <c r="OSQ42" s="478"/>
      <c r="OSR42" s="478"/>
      <c r="OSS42" s="478"/>
      <c r="OST42" s="478"/>
      <c r="OSU42" s="478"/>
      <c r="OSV42" s="478"/>
      <c r="OSW42" s="478"/>
      <c r="OSX42" s="478"/>
      <c r="OSY42" s="478"/>
      <c r="OSZ42" s="478"/>
      <c r="OTA42" s="478"/>
      <c r="OTB42" s="478"/>
      <c r="OTC42" s="478"/>
      <c r="OTD42" s="478"/>
      <c r="OTE42" s="478"/>
      <c r="OTF42" s="478"/>
      <c r="OTG42" s="478"/>
      <c r="OTH42" s="478"/>
      <c r="OTI42" s="478"/>
      <c r="OTJ42" s="478"/>
      <c r="OTK42" s="478"/>
      <c r="OTL42" s="478"/>
      <c r="OTM42" s="478"/>
      <c r="OTN42" s="478"/>
      <c r="OTO42" s="478"/>
      <c r="OTP42" s="478"/>
      <c r="OTQ42" s="478"/>
      <c r="OTR42" s="478"/>
      <c r="OTS42" s="478"/>
      <c r="OTT42" s="478"/>
      <c r="OTU42" s="478"/>
      <c r="OTV42" s="478"/>
      <c r="OTW42" s="478"/>
      <c r="OTX42" s="478"/>
      <c r="OTY42" s="478"/>
      <c r="OTZ42" s="478"/>
      <c r="OUA42" s="478"/>
      <c r="OUB42" s="478"/>
      <c r="OUC42" s="478"/>
      <c r="OUD42" s="478"/>
      <c r="OUE42" s="478"/>
      <c r="OUF42" s="478"/>
      <c r="OUG42" s="478"/>
      <c r="OUH42" s="478"/>
      <c r="OUI42" s="478"/>
      <c r="OUJ42" s="478"/>
      <c r="OUK42" s="478"/>
      <c r="OUL42" s="478"/>
      <c r="OUM42" s="478"/>
      <c r="OUN42" s="478"/>
      <c r="OUO42" s="478"/>
      <c r="OUP42" s="478"/>
      <c r="OUQ42" s="478"/>
      <c r="OUR42" s="478"/>
      <c r="OUS42" s="478"/>
      <c r="OUT42" s="478"/>
      <c r="OUU42" s="478"/>
      <c r="OUV42" s="478"/>
      <c r="OUW42" s="478"/>
      <c r="OUX42" s="478"/>
      <c r="OUY42" s="478"/>
      <c r="OUZ42" s="478"/>
      <c r="OVA42" s="478"/>
      <c r="OVB42" s="478"/>
      <c r="OVC42" s="478"/>
      <c r="OVD42" s="478"/>
      <c r="OVE42" s="478"/>
      <c r="OVF42" s="478"/>
      <c r="OVG42" s="478"/>
      <c r="OVH42" s="478"/>
      <c r="OVI42" s="478"/>
      <c r="OVJ42" s="478"/>
      <c r="OVK42" s="478"/>
      <c r="OVL42" s="478"/>
      <c r="OVM42" s="478"/>
      <c r="OVN42" s="478"/>
      <c r="OVO42" s="478"/>
      <c r="OVP42" s="478"/>
      <c r="OVQ42" s="478"/>
      <c r="OVR42" s="478"/>
      <c r="OVS42" s="478"/>
      <c r="OVT42" s="478"/>
      <c r="OVU42" s="478"/>
      <c r="OVV42" s="478"/>
      <c r="OVW42" s="478"/>
      <c r="OVX42" s="478"/>
      <c r="OVY42" s="478"/>
      <c r="OVZ42" s="478"/>
      <c r="OWA42" s="478"/>
      <c r="OWB42" s="478"/>
      <c r="OWC42" s="478"/>
      <c r="OWD42" s="478"/>
      <c r="OWE42" s="478"/>
      <c r="OWF42" s="478"/>
      <c r="OWG42" s="478"/>
      <c r="OWH42" s="478"/>
      <c r="OWI42" s="478"/>
      <c r="OWJ42" s="478"/>
      <c r="OWK42" s="478"/>
      <c r="OWL42" s="478"/>
      <c r="OWM42" s="478"/>
      <c r="OWN42" s="478"/>
      <c r="OWO42" s="478"/>
      <c r="OWP42" s="478"/>
      <c r="OWQ42" s="478"/>
      <c r="OWR42" s="478"/>
      <c r="OWS42" s="478"/>
      <c r="OWT42" s="478"/>
      <c r="OWU42" s="478"/>
      <c r="OWV42" s="478"/>
      <c r="OWW42" s="478"/>
      <c r="OWX42" s="478"/>
      <c r="OWY42" s="478"/>
      <c r="OWZ42" s="478"/>
      <c r="OXA42" s="478"/>
      <c r="OXB42" s="478"/>
      <c r="OXC42" s="478"/>
      <c r="OXD42" s="478"/>
      <c r="OXE42" s="478"/>
      <c r="OXF42" s="478"/>
      <c r="OXG42" s="478"/>
      <c r="OXH42" s="478"/>
      <c r="OXI42" s="478"/>
      <c r="OXJ42" s="478"/>
      <c r="OXK42" s="478"/>
      <c r="OXL42" s="478"/>
      <c r="OXM42" s="478"/>
      <c r="OXN42" s="478"/>
      <c r="OXO42" s="478"/>
      <c r="OXP42" s="478"/>
      <c r="OXQ42" s="478"/>
      <c r="OXR42" s="478"/>
      <c r="OXS42" s="478"/>
      <c r="OXT42" s="478"/>
      <c r="OXU42" s="478"/>
      <c r="OXV42" s="478"/>
      <c r="OXW42" s="478"/>
      <c r="OXX42" s="478"/>
      <c r="OXY42" s="478"/>
      <c r="OXZ42" s="478"/>
      <c r="OYA42" s="478"/>
      <c r="OYB42" s="478"/>
      <c r="OYC42" s="478"/>
      <c r="OYD42" s="478"/>
      <c r="OYE42" s="478"/>
      <c r="OYF42" s="478"/>
      <c r="OYG42" s="478"/>
      <c r="OYH42" s="478"/>
      <c r="OYI42" s="478"/>
      <c r="OYJ42" s="478"/>
      <c r="OYK42" s="478"/>
      <c r="OYL42" s="478"/>
      <c r="OYM42" s="478"/>
      <c r="OYN42" s="478"/>
      <c r="OYO42" s="478"/>
      <c r="OYP42" s="478"/>
      <c r="OYQ42" s="478"/>
      <c r="OYR42" s="478"/>
      <c r="OYS42" s="478"/>
      <c r="OYT42" s="478"/>
      <c r="OYU42" s="478"/>
      <c r="OYV42" s="478"/>
      <c r="OYW42" s="478"/>
      <c r="OYX42" s="478"/>
      <c r="OYY42" s="478"/>
      <c r="OYZ42" s="478"/>
      <c r="OZA42" s="478"/>
      <c r="OZB42" s="478"/>
      <c r="OZC42" s="478"/>
      <c r="OZD42" s="478"/>
      <c r="OZE42" s="478"/>
      <c r="OZF42" s="478"/>
      <c r="OZG42" s="478"/>
      <c r="OZH42" s="478"/>
      <c r="OZI42" s="478"/>
      <c r="OZJ42" s="478"/>
      <c r="OZK42" s="478"/>
      <c r="OZL42" s="478"/>
      <c r="OZM42" s="478"/>
      <c r="OZN42" s="478"/>
      <c r="OZO42" s="478"/>
      <c r="OZP42" s="478"/>
      <c r="OZQ42" s="478"/>
      <c r="OZR42" s="478"/>
      <c r="OZS42" s="478"/>
      <c r="OZT42" s="478"/>
      <c r="OZU42" s="478"/>
      <c r="OZV42" s="478"/>
      <c r="OZW42" s="478"/>
      <c r="OZX42" s="478"/>
      <c r="OZY42" s="478"/>
      <c r="OZZ42" s="478"/>
      <c r="PAA42" s="478"/>
      <c r="PAB42" s="478"/>
      <c r="PAC42" s="478"/>
      <c r="PAD42" s="478"/>
      <c r="PAE42" s="478"/>
      <c r="PAF42" s="478"/>
      <c r="PAG42" s="478"/>
      <c r="PAH42" s="478"/>
      <c r="PAI42" s="478"/>
      <c r="PAJ42" s="478"/>
      <c r="PAK42" s="478"/>
      <c r="PAL42" s="478"/>
      <c r="PAM42" s="478"/>
      <c r="PAN42" s="478"/>
      <c r="PAO42" s="478"/>
      <c r="PAP42" s="478"/>
      <c r="PAQ42" s="478"/>
      <c r="PAR42" s="478"/>
      <c r="PAS42" s="478"/>
      <c r="PAT42" s="478"/>
      <c r="PAU42" s="478"/>
      <c r="PAV42" s="478"/>
      <c r="PAW42" s="478"/>
      <c r="PAX42" s="478"/>
      <c r="PAY42" s="478"/>
      <c r="PAZ42" s="478"/>
      <c r="PBA42" s="478"/>
      <c r="PBB42" s="478"/>
      <c r="PBC42" s="478"/>
      <c r="PBD42" s="478"/>
      <c r="PBE42" s="478"/>
      <c r="PBF42" s="478"/>
      <c r="PBG42" s="478"/>
      <c r="PBH42" s="478"/>
      <c r="PBI42" s="478"/>
      <c r="PBJ42" s="478"/>
      <c r="PBK42" s="478"/>
      <c r="PBL42" s="478"/>
      <c r="PBM42" s="478"/>
      <c r="PBN42" s="478"/>
      <c r="PBO42" s="478"/>
      <c r="PBP42" s="478"/>
      <c r="PBQ42" s="478"/>
      <c r="PBR42" s="478"/>
      <c r="PBS42" s="478"/>
      <c r="PBT42" s="478"/>
      <c r="PBU42" s="478"/>
      <c r="PBV42" s="478"/>
      <c r="PBW42" s="478"/>
      <c r="PBX42" s="478"/>
      <c r="PBY42" s="478"/>
      <c r="PBZ42" s="478"/>
      <c r="PCA42" s="478"/>
      <c r="PCB42" s="478"/>
      <c r="PCC42" s="478"/>
      <c r="PCD42" s="478"/>
      <c r="PCE42" s="478"/>
      <c r="PCF42" s="478"/>
      <c r="PCG42" s="478"/>
      <c r="PCH42" s="478"/>
      <c r="PCI42" s="478"/>
      <c r="PCJ42" s="478"/>
      <c r="PCK42" s="478"/>
      <c r="PCL42" s="478"/>
      <c r="PCM42" s="478"/>
      <c r="PCN42" s="478"/>
      <c r="PCO42" s="478"/>
      <c r="PCP42" s="478"/>
      <c r="PCQ42" s="478"/>
      <c r="PCR42" s="478"/>
      <c r="PCS42" s="478"/>
      <c r="PCT42" s="478"/>
      <c r="PCU42" s="478"/>
      <c r="PCV42" s="478"/>
      <c r="PCW42" s="478"/>
      <c r="PCX42" s="478"/>
      <c r="PCY42" s="478"/>
      <c r="PCZ42" s="478"/>
      <c r="PDA42" s="478"/>
      <c r="PDB42" s="478"/>
      <c r="PDC42" s="478"/>
      <c r="PDD42" s="478"/>
      <c r="PDE42" s="478"/>
      <c r="PDF42" s="478"/>
      <c r="PDG42" s="478"/>
      <c r="PDH42" s="478"/>
      <c r="PDI42" s="478"/>
      <c r="PDJ42" s="478"/>
      <c r="PDK42" s="478"/>
      <c r="PDL42" s="478"/>
      <c r="PDM42" s="478"/>
      <c r="PDN42" s="478"/>
      <c r="PDO42" s="478"/>
      <c r="PDP42" s="478"/>
      <c r="PDQ42" s="478"/>
      <c r="PDR42" s="478"/>
      <c r="PDS42" s="478"/>
      <c r="PDT42" s="478"/>
      <c r="PDU42" s="478"/>
      <c r="PDV42" s="478"/>
      <c r="PDW42" s="478"/>
      <c r="PDX42" s="478"/>
      <c r="PDY42" s="478"/>
      <c r="PDZ42" s="478"/>
      <c r="PEA42" s="478"/>
      <c r="PEB42" s="478"/>
      <c r="PEC42" s="478"/>
      <c r="PED42" s="478"/>
      <c r="PEE42" s="478"/>
      <c r="PEF42" s="478"/>
      <c r="PEG42" s="478"/>
      <c r="PEH42" s="478"/>
      <c r="PEI42" s="478"/>
      <c r="PEJ42" s="478"/>
      <c r="PEK42" s="478"/>
      <c r="PEL42" s="478"/>
      <c r="PEM42" s="478"/>
      <c r="PEN42" s="478"/>
      <c r="PEO42" s="478"/>
      <c r="PEP42" s="478"/>
      <c r="PEQ42" s="478"/>
      <c r="PER42" s="478"/>
      <c r="PES42" s="478"/>
      <c r="PET42" s="478"/>
      <c r="PEU42" s="478"/>
      <c r="PEV42" s="478"/>
      <c r="PEW42" s="478"/>
      <c r="PEX42" s="478"/>
      <c r="PEY42" s="478"/>
      <c r="PEZ42" s="478"/>
      <c r="PFA42" s="478"/>
      <c r="PFB42" s="478"/>
      <c r="PFC42" s="478"/>
      <c r="PFD42" s="478"/>
      <c r="PFE42" s="478"/>
      <c r="PFF42" s="478"/>
      <c r="PFG42" s="478"/>
      <c r="PFH42" s="478"/>
      <c r="PFI42" s="478"/>
      <c r="PFJ42" s="478"/>
      <c r="PFK42" s="478"/>
      <c r="PFL42" s="478"/>
      <c r="PFM42" s="478"/>
      <c r="PFN42" s="478"/>
      <c r="PFO42" s="478"/>
      <c r="PFP42" s="478"/>
      <c r="PFQ42" s="478"/>
      <c r="PFR42" s="478"/>
      <c r="PFS42" s="478"/>
      <c r="PFT42" s="478"/>
      <c r="PFU42" s="478"/>
      <c r="PFV42" s="478"/>
      <c r="PFW42" s="478"/>
      <c r="PFX42" s="478"/>
      <c r="PFY42" s="478"/>
      <c r="PFZ42" s="478"/>
      <c r="PGA42" s="478"/>
      <c r="PGB42" s="478"/>
      <c r="PGC42" s="478"/>
      <c r="PGD42" s="478"/>
      <c r="PGE42" s="478"/>
      <c r="PGF42" s="478"/>
      <c r="PGG42" s="478"/>
      <c r="PGH42" s="478"/>
      <c r="PGI42" s="478"/>
      <c r="PGJ42" s="478"/>
      <c r="PGK42" s="478"/>
      <c r="PGL42" s="478"/>
      <c r="PGM42" s="478"/>
      <c r="PGN42" s="478"/>
      <c r="PGO42" s="478"/>
      <c r="PGP42" s="478"/>
      <c r="PGQ42" s="478"/>
      <c r="PGR42" s="478"/>
      <c r="PGS42" s="478"/>
      <c r="PGT42" s="478"/>
      <c r="PGU42" s="478"/>
      <c r="PGV42" s="478"/>
      <c r="PGW42" s="478"/>
      <c r="PGX42" s="478"/>
      <c r="PGY42" s="478"/>
      <c r="PGZ42" s="478"/>
      <c r="PHA42" s="478"/>
      <c r="PHB42" s="478"/>
      <c r="PHC42" s="478"/>
      <c r="PHD42" s="478"/>
      <c r="PHE42" s="478"/>
      <c r="PHF42" s="478"/>
      <c r="PHG42" s="478"/>
      <c r="PHH42" s="478"/>
      <c r="PHI42" s="478"/>
      <c r="PHJ42" s="478"/>
      <c r="PHK42" s="478"/>
      <c r="PHL42" s="478"/>
      <c r="PHM42" s="478"/>
      <c r="PHN42" s="478"/>
      <c r="PHO42" s="478"/>
      <c r="PHP42" s="478"/>
      <c r="PHQ42" s="478"/>
      <c r="PHR42" s="478"/>
      <c r="PHS42" s="478"/>
      <c r="PHT42" s="478"/>
      <c r="PHU42" s="478"/>
      <c r="PHV42" s="478"/>
      <c r="PHW42" s="478"/>
      <c r="PHX42" s="478"/>
      <c r="PHY42" s="478"/>
      <c r="PHZ42" s="478"/>
      <c r="PIA42" s="478"/>
      <c r="PIB42" s="478"/>
      <c r="PIC42" s="478"/>
      <c r="PID42" s="478"/>
      <c r="PIE42" s="478"/>
      <c r="PIF42" s="478"/>
      <c r="PIG42" s="478"/>
      <c r="PIH42" s="478"/>
      <c r="PII42" s="478"/>
      <c r="PIJ42" s="478"/>
      <c r="PIK42" s="478"/>
      <c r="PIL42" s="478"/>
      <c r="PIM42" s="478"/>
      <c r="PIN42" s="478"/>
      <c r="PIO42" s="478"/>
      <c r="PIP42" s="478"/>
      <c r="PIQ42" s="478"/>
      <c r="PIR42" s="478"/>
      <c r="PIS42" s="478"/>
      <c r="PIT42" s="478"/>
      <c r="PIU42" s="478"/>
      <c r="PIV42" s="478"/>
      <c r="PIW42" s="478"/>
      <c r="PIX42" s="478"/>
      <c r="PIY42" s="478"/>
      <c r="PIZ42" s="478"/>
      <c r="PJA42" s="478"/>
      <c r="PJB42" s="478"/>
      <c r="PJC42" s="478"/>
      <c r="PJD42" s="478"/>
      <c r="PJE42" s="478"/>
      <c r="PJF42" s="478"/>
      <c r="PJG42" s="478"/>
      <c r="PJH42" s="478"/>
      <c r="PJI42" s="478"/>
      <c r="PJJ42" s="478"/>
      <c r="PJK42" s="478"/>
      <c r="PJL42" s="478"/>
      <c r="PJM42" s="478"/>
      <c r="PJN42" s="478"/>
      <c r="PJO42" s="478"/>
      <c r="PJP42" s="478"/>
      <c r="PJQ42" s="478"/>
      <c r="PJR42" s="478"/>
      <c r="PJS42" s="478"/>
      <c r="PJT42" s="478"/>
      <c r="PJU42" s="478"/>
      <c r="PJV42" s="478"/>
      <c r="PJW42" s="478"/>
      <c r="PJX42" s="478"/>
      <c r="PJY42" s="478"/>
      <c r="PJZ42" s="478"/>
      <c r="PKA42" s="478"/>
      <c r="PKB42" s="478"/>
      <c r="PKC42" s="478"/>
      <c r="PKD42" s="478"/>
      <c r="PKE42" s="478"/>
      <c r="PKF42" s="478"/>
      <c r="PKG42" s="478"/>
      <c r="PKH42" s="478"/>
      <c r="PKI42" s="478"/>
      <c r="PKJ42" s="478"/>
      <c r="PKK42" s="478"/>
      <c r="PKL42" s="478"/>
      <c r="PKM42" s="478"/>
      <c r="PKN42" s="478"/>
      <c r="PKO42" s="478"/>
      <c r="PKP42" s="478"/>
      <c r="PKQ42" s="478"/>
      <c r="PKR42" s="478"/>
      <c r="PKS42" s="478"/>
      <c r="PKT42" s="478"/>
      <c r="PKU42" s="478"/>
      <c r="PKV42" s="478"/>
      <c r="PKW42" s="478"/>
      <c r="PKX42" s="478"/>
      <c r="PKY42" s="478"/>
      <c r="PKZ42" s="478"/>
      <c r="PLA42" s="478"/>
      <c r="PLB42" s="478"/>
      <c r="PLC42" s="478"/>
      <c r="PLD42" s="478"/>
      <c r="PLE42" s="478"/>
      <c r="PLF42" s="478"/>
      <c r="PLG42" s="478"/>
      <c r="PLH42" s="478"/>
      <c r="PLI42" s="478"/>
      <c r="PLJ42" s="478"/>
      <c r="PLK42" s="478"/>
      <c r="PLL42" s="478"/>
      <c r="PLM42" s="478"/>
      <c r="PLN42" s="478"/>
      <c r="PLO42" s="478"/>
      <c r="PLP42" s="478"/>
      <c r="PLQ42" s="478"/>
      <c r="PLR42" s="478"/>
      <c r="PLS42" s="478"/>
      <c r="PLT42" s="478"/>
      <c r="PLU42" s="478"/>
      <c r="PLV42" s="478"/>
      <c r="PLW42" s="478"/>
      <c r="PLX42" s="478"/>
      <c r="PLY42" s="478"/>
      <c r="PLZ42" s="478"/>
      <c r="PMA42" s="478"/>
      <c r="PMB42" s="478"/>
      <c r="PMC42" s="478"/>
      <c r="PMD42" s="478"/>
      <c r="PME42" s="478"/>
      <c r="PMF42" s="478"/>
      <c r="PMG42" s="478"/>
      <c r="PMH42" s="478"/>
      <c r="PMI42" s="478"/>
      <c r="PMJ42" s="478"/>
      <c r="PMK42" s="478"/>
      <c r="PML42" s="478"/>
      <c r="PMM42" s="478"/>
      <c r="PMN42" s="478"/>
      <c r="PMO42" s="478"/>
      <c r="PMP42" s="478"/>
      <c r="PMQ42" s="478"/>
      <c r="PMR42" s="478"/>
      <c r="PMS42" s="478"/>
      <c r="PMT42" s="478"/>
      <c r="PMU42" s="478"/>
      <c r="PMV42" s="478"/>
      <c r="PMW42" s="478"/>
      <c r="PMX42" s="478"/>
      <c r="PMY42" s="478"/>
      <c r="PMZ42" s="478"/>
      <c r="PNA42" s="478"/>
      <c r="PNB42" s="478"/>
      <c r="PNC42" s="478"/>
      <c r="PND42" s="478"/>
      <c r="PNE42" s="478"/>
      <c r="PNF42" s="478"/>
      <c r="PNG42" s="478"/>
      <c r="PNH42" s="478"/>
      <c r="PNI42" s="478"/>
      <c r="PNJ42" s="478"/>
      <c r="PNK42" s="478"/>
      <c r="PNL42" s="478"/>
      <c r="PNM42" s="478"/>
      <c r="PNN42" s="478"/>
      <c r="PNO42" s="478"/>
      <c r="PNP42" s="478"/>
      <c r="PNQ42" s="478"/>
      <c r="PNR42" s="478"/>
      <c r="PNS42" s="478"/>
      <c r="PNT42" s="478"/>
      <c r="PNU42" s="478"/>
      <c r="PNV42" s="478"/>
      <c r="PNW42" s="478"/>
      <c r="PNX42" s="478"/>
      <c r="PNY42" s="478"/>
      <c r="PNZ42" s="478"/>
      <c r="POA42" s="478"/>
      <c r="POB42" s="478"/>
      <c r="POC42" s="478"/>
      <c r="POD42" s="478"/>
      <c r="POE42" s="478"/>
      <c r="POF42" s="478"/>
      <c r="POG42" s="478"/>
      <c r="POH42" s="478"/>
      <c r="POI42" s="478"/>
      <c r="POJ42" s="478"/>
      <c r="POK42" s="478"/>
      <c r="POL42" s="478"/>
      <c r="POM42" s="478"/>
      <c r="PON42" s="478"/>
      <c r="POO42" s="478"/>
      <c r="POP42" s="478"/>
      <c r="POQ42" s="478"/>
      <c r="POR42" s="478"/>
      <c r="POS42" s="478"/>
      <c r="POT42" s="478"/>
      <c r="POU42" s="478"/>
      <c r="POV42" s="478"/>
      <c r="POW42" s="478"/>
      <c r="POX42" s="478"/>
      <c r="POY42" s="478"/>
      <c r="POZ42" s="478"/>
      <c r="PPA42" s="478"/>
      <c r="PPB42" s="478"/>
      <c r="PPC42" s="478"/>
      <c r="PPD42" s="478"/>
      <c r="PPE42" s="478"/>
      <c r="PPF42" s="478"/>
      <c r="PPG42" s="478"/>
      <c r="PPH42" s="478"/>
      <c r="PPI42" s="478"/>
      <c r="PPJ42" s="478"/>
      <c r="PPK42" s="478"/>
      <c r="PPL42" s="478"/>
      <c r="PPM42" s="478"/>
      <c r="PPN42" s="478"/>
      <c r="PPO42" s="478"/>
      <c r="PPP42" s="478"/>
      <c r="PPQ42" s="478"/>
      <c r="PPR42" s="478"/>
      <c r="PPS42" s="478"/>
      <c r="PPT42" s="478"/>
      <c r="PPU42" s="478"/>
      <c r="PPV42" s="478"/>
      <c r="PPW42" s="478"/>
      <c r="PPX42" s="478"/>
      <c r="PPY42" s="478"/>
      <c r="PPZ42" s="478"/>
      <c r="PQA42" s="478"/>
      <c r="PQB42" s="478"/>
      <c r="PQC42" s="478"/>
      <c r="PQD42" s="478"/>
      <c r="PQE42" s="478"/>
      <c r="PQF42" s="478"/>
      <c r="PQG42" s="478"/>
      <c r="PQH42" s="478"/>
      <c r="PQI42" s="478"/>
      <c r="PQJ42" s="478"/>
      <c r="PQK42" s="478"/>
      <c r="PQL42" s="478"/>
      <c r="PQM42" s="478"/>
      <c r="PQN42" s="478"/>
      <c r="PQO42" s="478"/>
      <c r="PQP42" s="478"/>
      <c r="PQQ42" s="478"/>
      <c r="PQR42" s="478"/>
      <c r="PQS42" s="478"/>
      <c r="PQT42" s="478"/>
      <c r="PQU42" s="478"/>
      <c r="PQV42" s="478"/>
      <c r="PQW42" s="478"/>
      <c r="PQX42" s="478"/>
      <c r="PQY42" s="478"/>
      <c r="PQZ42" s="478"/>
      <c r="PRA42" s="478"/>
      <c r="PRB42" s="478"/>
      <c r="PRC42" s="478"/>
      <c r="PRD42" s="478"/>
      <c r="PRE42" s="478"/>
      <c r="PRF42" s="478"/>
      <c r="PRG42" s="478"/>
      <c r="PRH42" s="478"/>
      <c r="PRI42" s="478"/>
      <c r="PRJ42" s="478"/>
      <c r="PRK42" s="478"/>
      <c r="PRL42" s="478"/>
      <c r="PRM42" s="478"/>
      <c r="PRN42" s="478"/>
      <c r="PRO42" s="478"/>
      <c r="PRP42" s="478"/>
      <c r="PRQ42" s="478"/>
      <c r="PRR42" s="478"/>
      <c r="PRS42" s="478"/>
      <c r="PRT42" s="478"/>
      <c r="PRU42" s="478"/>
      <c r="PRV42" s="478"/>
      <c r="PRW42" s="478"/>
      <c r="PRX42" s="478"/>
      <c r="PRY42" s="478"/>
      <c r="PRZ42" s="478"/>
      <c r="PSA42" s="478"/>
      <c r="PSB42" s="478"/>
      <c r="PSC42" s="478"/>
      <c r="PSD42" s="478"/>
      <c r="PSE42" s="478"/>
      <c r="PSF42" s="478"/>
      <c r="PSG42" s="478"/>
      <c r="PSH42" s="478"/>
      <c r="PSI42" s="478"/>
      <c r="PSJ42" s="478"/>
      <c r="PSK42" s="478"/>
      <c r="PSL42" s="478"/>
      <c r="PSM42" s="478"/>
      <c r="PSN42" s="478"/>
      <c r="PSO42" s="478"/>
      <c r="PSP42" s="478"/>
      <c r="PSQ42" s="478"/>
      <c r="PSR42" s="478"/>
      <c r="PSS42" s="478"/>
      <c r="PST42" s="478"/>
      <c r="PSU42" s="478"/>
      <c r="PSV42" s="478"/>
      <c r="PSW42" s="478"/>
      <c r="PSX42" s="478"/>
      <c r="PSY42" s="478"/>
      <c r="PSZ42" s="478"/>
      <c r="PTA42" s="478"/>
      <c r="PTB42" s="478"/>
      <c r="PTC42" s="478"/>
      <c r="PTD42" s="478"/>
      <c r="PTE42" s="478"/>
      <c r="PTF42" s="478"/>
      <c r="PTG42" s="478"/>
      <c r="PTH42" s="478"/>
      <c r="PTI42" s="478"/>
      <c r="PTJ42" s="478"/>
      <c r="PTK42" s="478"/>
      <c r="PTL42" s="478"/>
      <c r="PTM42" s="478"/>
      <c r="PTN42" s="478"/>
      <c r="PTO42" s="478"/>
      <c r="PTP42" s="478"/>
      <c r="PTQ42" s="478"/>
      <c r="PTR42" s="478"/>
      <c r="PTS42" s="478"/>
      <c r="PTT42" s="478"/>
      <c r="PTU42" s="478"/>
      <c r="PTV42" s="478"/>
      <c r="PTW42" s="478"/>
      <c r="PTX42" s="478"/>
      <c r="PTY42" s="478"/>
      <c r="PTZ42" s="478"/>
      <c r="PUA42" s="478"/>
      <c r="PUB42" s="478"/>
      <c r="PUC42" s="478"/>
      <c r="PUD42" s="478"/>
      <c r="PUE42" s="478"/>
      <c r="PUF42" s="478"/>
      <c r="PUG42" s="478"/>
      <c r="PUH42" s="478"/>
      <c r="PUI42" s="478"/>
      <c r="PUJ42" s="478"/>
      <c r="PUK42" s="478"/>
      <c r="PUL42" s="478"/>
      <c r="PUM42" s="478"/>
      <c r="PUN42" s="478"/>
      <c r="PUO42" s="478"/>
      <c r="PUP42" s="478"/>
      <c r="PUQ42" s="478"/>
      <c r="PUR42" s="478"/>
      <c r="PUS42" s="478"/>
      <c r="PUT42" s="478"/>
      <c r="PUU42" s="478"/>
      <c r="PUV42" s="478"/>
      <c r="PUW42" s="478"/>
      <c r="PUX42" s="478"/>
      <c r="PUY42" s="478"/>
      <c r="PUZ42" s="478"/>
      <c r="PVA42" s="478"/>
      <c r="PVB42" s="478"/>
      <c r="PVC42" s="478"/>
      <c r="PVD42" s="478"/>
      <c r="PVE42" s="478"/>
      <c r="PVF42" s="478"/>
      <c r="PVG42" s="478"/>
      <c r="PVH42" s="478"/>
      <c r="PVI42" s="478"/>
      <c r="PVJ42" s="478"/>
      <c r="PVK42" s="478"/>
      <c r="PVL42" s="478"/>
      <c r="PVM42" s="478"/>
      <c r="PVN42" s="478"/>
      <c r="PVO42" s="478"/>
      <c r="PVP42" s="478"/>
      <c r="PVQ42" s="478"/>
      <c r="PVR42" s="478"/>
      <c r="PVS42" s="478"/>
      <c r="PVT42" s="478"/>
      <c r="PVU42" s="478"/>
      <c r="PVV42" s="478"/>
      <c r="PVW42" s="478"/>
      <c r="PVX42" s="478"/>
      <c r="PVY42" s="478"/>
      <c r="PVZ42" s="478"/>
      <c r="PWA42" s="478"/>
      <c r="PWB42" s="478"/>
      <c r="PWC42" s="478"/>
      <c r="PWD42" s="478"/>
      <c r="PWE42" s="478"/>
      <c r="PWF42" s="478"/>
      <c r="PWG42" s="478"/>
      <c r="PWH42" s="478"/>
      <c r="PWI42" s="478"/>
      <c r="PWJ42" s="478"/>
      <c r="PWK42" s="478"/>
      <c r="PWL42" s="478"/>
      <c r="PWM42" s="478"/>
      <c r="PWN42" s="478"/>
      <c r="PWO42" s="478"/>
      <c r="PWP42" s="478"/>
      <c r="PWQ42" s="478"/>
      <c r="PWR42" s="478"/>
      <c r="PWS42" s="478"/>
      <c r="PWT42" s="478"/>
      <c r="PWU42" s="478"/>
      <c r="PWV42" s="478"/>
      <c r="PWW42" s="478"/>
      <c r="PWX42" s="478"/>
      <c r="PWY42" s="478"/>
      <c r="PWZ42" s="478"/>
      <c r="PXA42" s="478"/>
      <c r="PXB42" s="478"/>
      <c r="PXC42" s="478"/>
      <c r="PXD42" s="478"/>
      <c r="PXE42" s="478"/>
      <c r="PXF42" s="478"/>
      <c r="PXG42" s="478"/>
      <c r="PXH42" s="478"/>
      <c r="PXI42" s="478"/>
      <c r="PXJ42" s="478"/>
      <c r="PXK42" s="478"/>
      <c r="PXL42" s="478"/>
      <c r="PXM42" s="478"/>
      <c r="PXN42" s="478"/>
      <c r="PXO42" s="478"/>
      <c r="PXP42" s="478"/>
      <c r="PXQ42" s="478"/>
      <c r="PXR42" s="478"/>
      <c r="PXS42" s="478"/>
      <c r="PXT42" s="478"/>
      <c r="PXU42" s="478"/>
      <c r="PXV42" s="478"/>
      <c r="PXW42" s="478"/>
      <c r="PXX42" s="478"/>
      <c r="PXY42" s="478"/>
      <c r="PXZ42" s="478"/>
      <c r="PYA42" s="478"/>
      <c r="PYB42" s="478"/>
      <c r="PYC42" s="478"/>
      <c r="PYD42" s="478"/>
      <c r="PYE42" s="478"/>
      <c r="PYF42" s="478"/>
      <c r="PYG42" s="478"/>
      <c r="PYH42" s="478"/>
      <c r="PYI42" s="478"/>
      <c r="PYJ42" s="478"/>
      <c r="PYK42" s="478"/>
      <c r="PYL42" s="478"/>
      <c r="PYM42" s="478"/>
      <c r="PYN42" s="478"/>
      <c r="PYO42" s="478"/>
      <c r="PYP42" s="478"/>
      <c r="PYQ42" s="478"/>
      <c r="PYR42" s="478"/>
      <c r="PYS42" s="478"/>
      <c r="PYT42" s="478"/>
      <c r="PYU42" s="478"/>
      <c r="PYV42" s="478"/>
      <c r="PYW42" s="478"/>
      <c r="PYX42" s="478"/>
      <c r="PYY42" s="478"/>
      <c r="PYZ42" s="478"/>
      <c r="PZA42" s="478"/>
      <c r="PZB42" s="478"/>
      <c r="PZC42" s="478"/>
      <c r="PZD42" s="478"/>
      <c r="PZE42" s="478"/>
      <c r="PZF42" s="478"/>
      <c r="PZG42" s="478"/>
      <c r="PZH42" s="478"/>
      <c r="PZI42" s="478"/>
      <c r="PZJ42" s="478"/>
      <c r="PZK42" s="478"/>
      <c r="PZL42" s="478"/>
      <c r="PZM42" s="478"/>
      <c r="PZN42" s="478"/>
      <c r="PZO42" s="478"/>
      <c r="PZP42" s="478"/>
      <c r="PZQ42" s="478"/>
      <c r="PZR42" s="478"/>
      <c r="PZS42" s="478"/>
      <c r="PZT42" s="478"/>
      <c r="PZU42" s="478"/>
      <c r="PZV42" s="478"/>
      <c r="PZW42" s="478"/>
      <c r="PZX42" s="478"/>
      <c r="PZY42" s="478"/>
      <c r="PZZ42" s="478"/>
      <c r="QAA42" s="478"/>
      <c r="QAB42" s="478"/>
      <c r="QAC42" s="478"/>
      <c r="QAD42" s="478"/>
      <c r="QAE42" s="478"/>
      <c r="QAF42" s="478"/>
      <c r="QAG42" s="478"/>
      <c r="QAH42" s="478"/>
      <c r="QAI42" s="478"/>
      <c r="QAJ42" s="478"/>
      <c r="QAK42" s="478"/>
      <c r="QAL42" s="478"/>
      <c r="QAM42" s="478"/>
      <c r="QAN42" s="478"/>
      <c r="QAO42" s="478"/>
      <c r="QAP42" s="478"/>
      <c r="QAQ42" s="478"/>
      <c r="QAR42" s="478"/>
      <c r="QAS42" s="478"/>
      <c r="QAT42" s="478"/>
      <c r="QAU42" s="478"/>
      <c r="QAV42" s="478"/>
      <c r="QAW42" s="478"/>
      <c r="QAX42" s="478"/>
      <c r="QAY42" s="478"/>
      <c r="QAZ42" s="478"/>
      <c r="QBA42" s="478"/>
      <c r="QBB42" s="478"/>
      <c r="QBC42" s="478"/>
      <c r="QBD42" s="478"/>
      <c r="QBE42" s="478"/>
      <c r="QBF42" s="478"/>
      <c r="QBG42" s="478"/>
      <c r="QBH42" s="478"/>
      <c r="QBI42" s="478"/>
      <c r="QBJ42" s="478"/>
      <c r="QBK42" s="478"/>
      <c r="QBL42" s="478"/>
      <c r="QBM42" s="478"/>
      <c r="QBN42" s="478"/>
      <c r="QBO42" s="478"/>
      <c r="QBP42" s="478"/>
      <c r="QBQ42" s="478"/>
      <c r="QBR42" s="478"/>
      <c r="QBS42" s="478"/>
      <c r="QBT42" s="478"/>
      <c r="QBU42" s="478"/>
      <c r="QBV42" s="478"/>
      <c r="QBW42" s="478"/>
      <c r="QBX42" s="478"/>
      <c r="QBY42" s="478"/>
      <c r="QBZ42" s="478"/>
      <c r="QCA42" s="478"/>
      <c r="QCB42" s="478"/>
      <c r="QCC42" s="478"/>
      <c r="QCD42" s="478"/>
      <c r="QCE42" s="478"/>
      <c r="QCF42" s="478"/>
      <c r="QCG42" s="478"/>
      <c r="QCH42" s="478"/>
      <c r="QCI42" s="478"/>
      <c r="QCJ42" s="478"/>
      <c r="QCK42" s="478"/>
      <c r="QCL42" s="478"/>
      <c r="QCM42" s="478"/>
      <c r="QCN42" s="478"/>
      <c r="QCO42" s="478"/>
      <c r="QCP42" s="478"/>
      <c r="QCQ42" s="478"/>
      <c r="QCR42" s="478"/>
      <c r="QCS42" s="478"/>
      <c r="QCT42" s="478"/>
      <c r="QCU42" s="478"/>
      <c r="QCV42" s="478"/>
      <c r="QCW42" s="478"/>
      <c r="QCX42" s="478"/>
      <c r="QCY42" s="478"/>
      <c r="QCZ42" s="478"/>
      <c r="QDA42" s="478"/>
      <c r="QDB42" s="478"/>
      <c r="QDC42" s="478"/>
      <c r="QDD42" s="478"/>
      <c r="QDE42" s="478"/>
      <c r="QDF42" s="478"/>
      <c r="QDG42" s="478"/>
      <c r="QDH42" s="478"/>
      <c r="QDI42" s="478"/>
      <c r="QDJ42" s="478"/>
      <c r="QDK42" s="478"/>
      <c r="QDL42" s="478"/>
      <c r="QDM42" s="478"/>
      <c r="QDN42" s="478"/>
      <c r="QDO42" s="478"/>
      <c r="QDP42" s="478"/>
      <c r="QDQ42" s="478"/>
      <c r="QDR42" s="478"/>
      <c r="QDS42" s="478"/>
      <c r="QDT42" s="478"/>
      <c r="QDU42" s="478"/>
      <c r="QDV42" s="478"/>
      <c r="QDW42" s="478"/>
      <c r="QDX42" s="478"/>
      <c r="QDY42" s="478"/>
      <c r="QDZ42" s="478"/>
      <c r="QEA42" s="478"/>
      <c r="QEB42" s="478"/>
      <c r="QEC42" s="478"/>
      <c r="QED42" s="478"/>
      <c r="QEE42" s="478"/>
      <c r="QEF42" s="478"/>
      <c r="QEG42" s="478"/>
      <c r="QEH42" s="478"/>
      <c r="QEI42" s="478"/>
      <c r="QEJ42" s="478"/>
      <c r="QEK42" s="478"/>
      <c r="QEL42" s="478"/>
      <c r="QEM42" s="478"/>
      <c r="QEN42" s="478"/>
      <c r="QEO42" s="478"/>
      <c r="QEP42" s="478"/>
      <c r="QEQ42" s="478"/>
      <c r="QER42" s="478"/>
      <c r="QES42" s="478"/>
      <c r="QET42" s="478"/>
      <c r="QEU42" s="478"/>
      <c r="QEV42" s="478"/>
      <c r="QEW42" s="478"/>
      <c r="QEX42" s="478"/>
      <c r="QEY42" s="478"/>
      <c r="QEZ42" s="478"/>
      <c r="QFA42" s="478"/>
      <c r="QFB42" s="478"/>
      <c r="QFC42" s="478"/>
      <c r="QFD42" s="478"/>
      <c r="QFE42" s="478"/>
      <c r="QFF42" s="478"/>
      <c r="QFG42" s="478"/>
      <c r="QFH42" s="478"/>
      <c r="QFI42" s="478"/>
      <c r="QFJ42" s="478"/>
      <c r="QFK42" s="478"/>
      <c r="QFL42" s="478"/>
      <c r="QFM42" s="478"/>
      <c r="QFN42" s="478"/>
      <c r="QFO42" s="478"/>
      <c r="QFP42" s="478"/>
      <c r="QFQ42" s="478"/>
      <c r="QFR42" s="478"/>
      <c r="QFS42" s="478"/>
      <c r="QFT42" s="478"/>
      <c r="QFU42" s="478"/>
      <c r="QFV42" s="478"/>
      <c r="QFW42" s="478"/>
      <c r="QFX42" s="478"/>
      <c r="QFY42" s="478"/>
      <c r="QFZ42" s="478"/>
      <c r="QGA42" s="478"/>
      <c r="QGB42" s="478"/>
      <c r="QGC42" s="478"/>
      <c r="QGD42" s="478"/>
      <c r="QGE42" s="478"/>
      <c r="QGF42" s="478"/>
      <c r="QGG42" s="478"/>
      <c r="QGH42" s="478"/>
      <c r="QGI42" s="478"/>
      <c r="QGJ42" s="478"/>
      <c r="QGK42" s="478"/>
      <c r="QGL42" s="478"/>
      <c r="QGM42" s="478"/>
      <c r="QGN42" s="478"/>
      <c r="QGO42" s="478"/>
      <c r="QGP42" s="478"/>
      <c r="QGQ42" s="478"/>
      <c r="QGR42" s="478"/>
      <c r="QGS42" s="478"/>
      <c r="QGT42" s="478"/>
      <c r="QGU42" s="478"/>
      <c r="QGV42" s="478"/>
      <c r="QGW42" s="478"/>
      <c r="QGX42" s="478"/>
      <c r="QGY42" s="478"/>
      <c r="QGZ42" s="478"/>
      <c r="QHA42" s="478"/>
      <c r="QHB42" s="478"/>
      <c r="QHC42" s="478"/>
      <c r="QHD42" s="478"/>
      <c r="QHE42" s="478"/>
      <c r="QHF42" s="478"/>
      <c r="QHG42" s="478"/>
      <c r="QHH42" s="478"/>
      <c r="QHI42" s="478"/>
      <c r="QHJ42" s="478"/>
      <c r="QHK42" s="478"/>
      <c r="QHL42" s="478"/>
      <c r="QHM42" s="478"/>
      <c r="QHN42" s="478"/>
      <c r="QHO42" s="478"/>
      <c r="QHP42" s="478"/>
      <c r="QHQ42" s="478"/>
      <c r="QHR42" s="478"/>
      <c r="QHS42" s="478"/>
      <c r="QHT42" s="478"/>
      <c r="QHU42" s="478"/>
      <c r="QHV42" s="478"/>
      <c r="QHW42" s="478"/>
      <c r="QHX42" s="478"/>
      <c r="QHY42" s="478"/>
      <c r="QHZ42" s="478"/>
      <c r="QIA42" s="478"/>
      <c r="QIB42" s="478"/>
      <c r="QIC42" s="478"/>
      <c r="QID42" s="478"/>
      <c r="QIE42" s="478"/>
      <c r="QIF42" s="478"/>
      <c r="QIG42" s="478"/>
      <c r="QIH42" s="478"/>
      <c r="QII42" s="478"/>
      <c r="QIJ42" s="478"/>
      <c r="QIK42" s="478"/>
      <c r="QIL42" s="478"/>
      <c r="QIM42" s="478"/>
      <c r="QIN42" s="478"/>
      <c r="QIO42" s="478"/>
      <c r="QIP42" s="478"/>
      <c r="QIQ42" s="478"/>
      <c r="QIR42" s="478"/>
      <c r="QIS42" s="478"/>
      <c r="QIT42" s="478"/>
      <c r="QIU42" s="478"/>
      <c r="QIV42" s="478"/>
      <c r="QIW42" s="478"/>
      <c r="QIX42" s="478"/>
      <c r="QIY42" s="478"/>
      <c r="QIZ42" s="478"/>
      <c r="QJA42" s="478"/>
      <c r="QJB42" s="478"/>
      <c r="QJC42" s="478"/>
      <c r="QJD42" s="478"/>
      <c r="QJE42" s="478"/>
      <c r="QJF42" s="478"/>
      <c r="QJG42" s="478"/>
      <c r="QJH42" s="478"/>
      <c r="QJI42" s="478"/>
      <c r="QJJ42" s="478"/>
      <c r="QJK42" s="478"/>
      <c r="QJL42" s="478"/>
      <c r="QJM42" s="478"/>
      <c r="QJN42" s="478"/>
      <c r="QJO42" s="478"/>
      <c r="QJP42" s="478"/>
      <c r="QJQ42" s="478"/>
      <c r="QJR42" s="478"/>
      <c r="QJS42" s="478"/>
      <c r="QJT42" s="478"/>
      <c r="QJU42" s="478"/>
      <c r="QJV42" s="478"/>
      <c r="QJW42" s="478"/>
      <c r="QJX42" s="478"/>
      <c r="QJY42" s="478"/>
      <c r="QJZ42" s="478"/>
      <c r="QKA42" s="478"/>
      <c r="QKB42" s="478"/>
      <c r="QKC42" s="478"/>
      <c r="QKD42" s="478"/>
      <c r="QKE42" s="478"/>
      <c r="QKF42" s="478"/>
      <c r="QKG42" s="478"/>
      <c r="QKH42" s="478"/>
      <c r="QKI42" s="478"/>
      <c r="QKJ42" s="478"/>
      <c r="QKK42" s="478"/>
      <c r="QKL42" s="478"/>
      <c r="QKM42" s="478"/>
      <c r="QKN42" s="478"/>
      <c r="QKO42" s="478"/>
      <c r="QKP42" s="478"/>
      <c r="QKQ42" s="478"/>
      <c r="QKR42" s="478"/>
      <c r="QKS42" s="478"/>
      <c r="QKT42" s="478"/>
      <c r="QKU42" s="478"/>
      <c r="QKV42" s="478"/>
      <c r="QKW42" s="478"/>
      <c r="QKX42" s="478"/>
      <c r="QKY42" s="478"/>
      <c r="QKZ42" s="478"/>
      <c r="QLA42" s="478"/>
      <c r="QLB42" s="478"/>
      <c r="QLC42" s="478"/>
      <c r="QLD42" s="478"/>
      <c r="QLE42" s="478"/>
      <c r="QLF42" s="478"/>
      <c r="QLG42" s="478"/>
      <c r="QLH42" s="478"/>
      <c r="QLI42" s="478"/>
      <c r="QLJ42" s="478"/>
      <c r="QLK42" s="478"/>
      <c r="QLL42" s="478"/>
      <c r="QLM42" s="478"/>
      <c r="QLN42" s="478"/>
      <c r="QLO42" s="478"/>
      <c r="QLP42" s="478"/>
      <c r="QLQ42" s="478"/>
      <c r="QLR42" s="478"/>
      <c r="QLS42" s="478"/>
      <c r="QLT42" s="478"/>
      <c r="QLU42" s="478"/>
      <c r="QLV42" s="478"/>
      <c r="QLW42" s="478"/>
      <c r="QLX42" s="478"/>
      <c r="QLY42" s="478"/>
      <c r="QLZ42" s="478"/>
      <c r="QMA42" s="478"/>
      <c r="QMB42" s="478"/>
      <c r="QMC42" s="478"/>
      <c r="QMD42" s="478"/>
      <c r="QME42" s="478"/>
      <c r="QMF42" s="478"/>
      <c r="QMG42" s="478"/>
      <c r="QMH42" s="478"/>
      <c r="QMI42" s="478"/>
      <c r="QMJ42" s="478"/>
      <c r="QMK42" s="478"/>
      <c r="QML42" s="478"/>
      <c r="QMM42" s="478"/>
      <c r="QMN42" s="478"/>
      <c r="QMO42" s="478"/>
      <c r="QMP42" s="478"/>
      <c r="QMQ42" s="478"/>
      <c r="QMR42" s="478"/>
      <c r="QMS42" s="478"/>
      <c r="QMT42" s="478"/>
      <c r="QMU42" s="478"/>
      <c r="QMV42" s="478"/>
      <c r="QMW42" s="478"/>
      <c r="QMX42" s="478"/>
      <c r="QMY42" s="478"/>
      <c r="QMZ42" s="478"/>
      <c r="QNA42" s="478"/>
      <c r="QNB42" s="478"/>
      <c r="QNC42" s="478"/>
      <c r="QND42" s="478"/>
      <c r="QNE42" s="478"/>
      <c r="QNF42" s="478"/>
      <c r="QNG42" s="478"/>
      <c r="QNH42" s="478"/>
      <c r="QNI42" s="478"/>
      <c r="QNJ42" s="478"/>
      <c r="QNK42" s="478"/>
      <c r="QNL42" s="478"/>
      <c r="QNM42" s="478"/>
      <c r="QNN42" s="478"/>
      <c r="QNO42" s="478"/>
      <c r="QNP42" s="478"/>
      <c r="QNQ42" s="478"/>
      <c r="QNR42" s="478"/>
      <c r="QNS42" s="478"/>
      <c r="QNT42" s="478"/>
      <c r="QNU42" s="478"/>
      <c r="QNV42" s="478"/>
      <c r="QNW42" s="478"/>
      <c r="QNX42" s="478"/>
      <c r="QNY42" s="478"/>
      <c r="QNZ42" s="478"/>
      <c r="QOA42" s="478"/>
      <c r="QOB42" s="478"/>
      <c r="QOC42" s="478"/>
      <c r="QOD42" s="478"/>
      <c r="QOE42" s="478"/>
      <c r="QOF42" s="478"/>
      <c r="QOG42" s="478"/>
      <c r="QOH42" s="478"/>
      <c r="QOI42" s="478"/>
      <c r="QOJ42" s="478"/>
      <c r="QOK42" s="478"/>
      <c r="QOL42" s="478"/>
      <c r="QOM42" s="478"/>
      <c r="QON42" s="478"/>
      <c r="QOO42" s="478"/>
      <c r="QOP42" s="478"/>
      <c r="QOQ42" s="478"/>
      <c r="QOR42" s="478"/>
      <c r="QOS42" s="478"/>
      <c r="QOT42" s="478"/>
      <c r="QOU42" s="478"/>
      <c r="QOV42" s="478"/>
      <c r="QOW42" s="478"/>
      <c r="QOX42" s="478"/>
      <c r="QOY42" s="478"/>
      <c r="QOZ42" s="478"/>
      <c r="QPA42" s="478"/>
      <c r="QPB42" s="478"/>
      <c r="QPC42" s="478"/>
      <c r="QPD42" s="478"/>
      <c r="QPE42" s="478"/>
      <c r="QPF42" s="478"/>
      <c r="QPG42" s="478"/>
      <c r="QPH42" s="478"/>
      <c r="QPI42" s="478"/>
      <c r="QPJ42" s="478"/>
      <c r="QPK42" s="478"/>
      <c r="QPL42" s="478"/>
      <c r="QPM42" s="478"/>
      <c r="QPN42" s="478"/>
      <c r="QPO42" s="478"/>
      <c r="QPP42" s="478"/>
      <c r="QPQ42" s="478"/>
      <c r="QPR42" s="478"/>
      <c r="QPS42" s="478"/>
      <c r="QPT42" s="478"/>
      <c r="QPU42" s="478"/>
      <c r="QPV42" s="478"/>
      <c r="QPW42" s="478"/>
      <c r="QPX42" s="478"/>
      <c r="QPY42" s="478"/>
      <c r="QPZ42" s="478"/>
      <c r="QQA42" s="478"/>
      <c r="QQB42" s="478"/>
      <c r="QQC42" s="478"/>
      <c r="QQD42" s="478"/>
      <c r="QQE42" s="478"/>
      <c r="QQF42" s="478"/>
      <c r="QQG42" s="478"/>
      <c r="QQH42" s="478"/>
      <c r="QQI42" s="478"/>
      <c r="QQJ42" s="478"/>
      <c r="QQK42" s="478"/>
      <c r="QQL42" s="478"/>
      <c r="QQM42" s="478"/>
      <c r="QQN42" s="478"/>
      <c r="QQO42" s="478"/>
      <c r="QQP42" s="478"/>
      <c r="QQQ42" s="478"/>
      <c r="QQR42" s="478"/>
      <c r="QQS42" s="478"/>
      <c r="QQT42" s="478"/>
      <c r="QQU42" s="478"/>
      <c r="QQV42" s="478"/>
      <c r="QQW42" s="478"/>
      <c r="QQX42" s="478"/>
      <c r="QQY42" s="478"/>
      <c r="QQZ42" s="478"/>
      <c r="QRA42" s="478"/>
      <c r="QRB42" s="478"/>
      <c r="QRC42" s="478"/>
      <c r="QRD42" s="478"/>
      <c r="QRE42" s="478"/>
      <c r="QRF42" s="478"/>
      <c r="QRG42" s="478"/>
      <c r="QRH42" s="478"/>
      <c r="QRI42" s="478"/>
      <c r="QRJ42" s="478"/>
      <c r="QRK42" s="478"/>
      <c r="QRL42" s="478"/>
      <c r="QRM42" s="478"/>
      <c r="QRN42" s="478"/>
      <c r="QRO42" s="478"/>
      <c r="QRP42" s="478"/>
      <c r="QRQ42" s="478"/>
      <c r="QRR42" s="478"/>
      <c r="QRS42" s="478"/>
      <c r="QRT42" s="478"/>
      <c r="QRU42" s="478"/>
      <c r="QRV42" s="478"/>
      <c r="QRW42" s="478"/>
      <c r="QRX42" s="478"/>
      <c r="QRY42" s="478"/>
      <c r="QRZ42" s="478"/>
      <c r="QSA42" s="478"/>
      <c r="QSB42" s="478"/>
      <c r="QSC42" s="478"/>
      <c r="QSD42" s="478"/>
      <c r="QSE42" s="478"/>
      <c r="QSF42" s="478"/>
      <c r="QSG42" s="478"/>
      <c r="QSH42" s="478"/>
      <c r="QSI42" s="478"/>
      <c r="QSJ42" s="478"/>
      <c r="QSK42" s="478"/>
      <c r="QSL42" s="478"/>
      <c r="QSM42" s="478"/>
      <c r="QSN42" s="478"/>
      <c r="QSO42" s="478"/>
      <c r="QSP42" s="478"/>
      <c r="QSQ42" s="478"/>
      <c r="QSR42" s="478"/>
      <c r="QSS42" s="478"/>
      <c r="QST42" s="478"/>
      <c r="QSU42" s="478"/>
      <c r="QSV42" s="478"/>
      <c r="QSW42" s="478"/>
      <c r="QSX42" s="478"/>
      <c r="QSY42" s="478"/>
      <c r="QSZ42" s="478"/>
      <c r="QTA42" s="478"/>
      <c r="QTB42" s="478"/>
      <c r="QTC42" s="478"/>
      <c r="QTD42" s="478"/>
      <c r="QTE42" s="478"/>
      <c r="QTF42" s="478"/>
      <c r="QTG42" s="478"/>
      <c r="QTH42" s="478"/>
      <c r="QTI42" s="478"/>
      <c r="QTJ42" s="478"/>
      <c r="QTK42" s="478"/>
      <c r="QTL42" s="478"/>
      <c r="QTM42" s="478"/>
      <c r="QTN42" s="478"/>
      <c r="QTO42" s="478"/>
      <c r="QTP42" s="478"/>
      <c r="QTQ42" s="478"/>
      <c r="QTR42" s="478"/>
      <c r="QTS42" s="478"/>
      <c r="QTT42" s="478"/>
      <c r="QTU42" s="478"/>
      <c r="QTV42" s="478"/>
      <c r="QTW42" s="478"/>
      <c r="QTX42" s="478"/>
      <c r="QTY42" s="478"/>
      <c r="QTZ42" s="478"/>
      <c r="QUA42" s="478"/>
      <c r="QUB42" s="478"/>
      <c r="QUC42" s="478"/>
      <c r="QUD42" s="478"/>
      <c r="QUE42" s="478"/>
      <c r="QUF42" s="478"/>
      <c r="QUG42" s="478"/>
      <c r="QUH42" s="478"/>
      <c r="QUI42" s="478"/>
      <c r="QUJ42" s="478"/>
      <c r="QUK42" s="478"/>
      <c r="QUL42" s="478"/>
      <c r="QUM42" s="478"/>
      <c r="QUN42" s="478"/>
      <c r="QUO42" s="478"/>
      <c r="QUP42" s="478"/>
      <c r="QUQ42" s="478"/>
      <c r="QUR42" s="478"/>
      <c r="QUS42" s="478"/>
      <c r="QUT42" s="478"/>
      <c r="QUU42" s="478"/>
      <c r="QUV42" s="478"/>
      <c r="QUW42" s="478"/>
      <c r="QUX42" s="478"/>
      <c r="QUY42" s="478"/>
      <c r="QUZ42" s="478"/>
      <c r="QVA42" s="478"/>
      <c r="QVB42" s="478"/>
      <c r="QVC42" s="478"/>
      <c r="QVD42" s="478"/>
      <c r="QVE42" s="478"/>
      <c r="QVF42" s="478"/>
      <c r="QVG42" s="478"/>
      <c r="QVH42" s="478"/>
      <c r="QVI42" s="478"/>
      <c r="QVJ42" s="478"/>
      <c r="QVK42" s="478"/>
      <c r="QVL42" s="478"/>
      <c r="QVM42" s="478"/>
      <c r="QVN42" s="478"/>
      <c r="QVO42" s="478"/>
      <c r="QVP42" s="478"/>
      <c r="QVQ42" s="478"/>
      <c r="QVR42" s="478"/>
      <c r="QVS42" s="478"/>
      <c r="QVT42" s="478"/>
      <c r="QVU42" s="478"/>
      <c r="QVV42" s="478"/>
      <c r="QVW42" s="478"/>
      <c r="QVX42" s="478"/>
      <c r="QVY42" s="478"/>
      <c r="QVZ42" s="478"/>
      <c r="QWA42" s="478"/>
      <c r="QWB42" s="478"/>
      <c r="QWC42" s="478"/>
      <c r="QWD42" s="478"/>
      <c r="QWE42" s="478"/>
      <c r="QWF42" s="478"/>
      <c r="QWG42" s="478"/>
      <c r="QWH42" s="478"/>
      <c r="QWI42" s="478"/>
      <c r="QWJ42" s="478"/>
      <c r="QWK42" s="478"/>
      <c r="QWL42" s="478"/>
      <c r="QWM42" s="478"/>
      <c r="QWN42" s="478"/>
      <c r="QWO42" s="478"/>
      <c r="QWP42" s="478"/>
      <c r="QWQ42" s="478"/>
      <c r="QWR42" s="478"/>
      <c r="QWS42" s="478"/>
      <c r="QWT42" s="478"/>
      <c r="QWU42" s="478"/>
      <c r="QWV42" s="478"/>
      <c r="QWW42" s="478"/>
      <c r="QWX42" s="478"/>
      <c r="QWY42" s="478"/>
      <c r="QWZ42" s="478"/>
      <c r="QXA42" s="478"/>
      <c r="QXB42" s="478"/>
      <c r="QXC42" s="478"/>
      <c r="QXD42" s="478"/>
      <c r="QXE42" s="478"/>
      <c r="QXF42" s="478"/>
      <c r="QXG42" s="478"/>
      <c r="QXH42" s="478"/>
      <c r="QXI42" s="478"/>
      <c r="QXJ42" s="478"/>
      <c r="QXK42" s="478"/>
      <c r="QXL42" s="478"/>
      <c r="QXM42" s="478"/>
      <c r="QXN42" s="478"/>
      <c r="QXO42" s="478"/>
      <c r="QXP42" s="478"/>
      <c r="QXQ42" s="478"/>
      <c r="QXR42" s="478"/>
      <c r="QXS42" s="478"/>
      <c r="QXT42" s="478"/>
      <c r="QXU42" s="478"/>
      <c r="QXV42" s="478"/>
      <c r="QXW42" s="478"/>
      <c r="QXX42" s="478"/>
      <c r="QXY42" s="478"/>
      <c r="QXZ42" s="478"/>
      <c r="QYA42" s="478"/>
      <c r="QYB42" s="478"/>
      <c r="QYC42" s="478"/>
      <c r="QYD42" s="478"/>
      <c r="QYE42" s="478"/>
      <c r="QYF42" s="478"/>
      <c r="QYG42" s="478"/>
      <c r="QYH42" s="478"/>
      <c r="QYI42" s="478"/>
      <c r="QYJ42" s="478"/>
      <c r="QYK42" s="478"/>
      <c r="QYL42" s="478"/>
      <c r="QYM42" s="478"/>
      <c r="QYN42" s="478"/>
      <c r="QYO42" s="478"/>
      <c r="QYP42" s="478"/>
      <c r="QYQ42" s="478"/>
      <c r="QYR42" s="478"/>
      <c r="QYS42" s="478"/>
      <c r="QYT42" s="478"/>
      <c r="QYU42" s="478"/>
      <c r="QYV42" s="478"/>
      <c r="QYW42" s="478"/>
      <c r="QYX42" s="478"/>
      <c r="QYY42" s="478"/>
      <c r="QYZ42" s="478"/>
      <c r="QZA42" s="478"/>
      <c r="QZB42" s="478"/>
      <c r="QZC42" s="478"/>
      <c r="QZD42" s="478"/>
      <c r="QZE42" s="478"/>
      <c r="QZF42" s="478"/>
      <c r="QZG42" s="478"/>
      <c r="QZH42" s="478"/>
      <c r="QZI42" s="478"/>
      <c r="QZJ42" s="478"/>
      <c r="QZK42" s="478"/>
      <c r="QZL42" s="478"/>
      <c r="QZM42" s="478"/>
      <c r="QZN42" s="478"/>
      <c r="QZO42" s="478"/>
      <c r="QZP42" s="478"/>
      <c r="QZQ42" s="478"/>
      <c r="QZR42" s="478"/>
      <c r="QZS42" s="478"/>
      <c r="QZT42" s="478"/>
      <c r="QZU42" s="478"/>
      <c r="QZV42" s="478"/>
      <c r="QZW42" s="478"/>
      <c r="QZX42" s="478"/>
      <c r="QZY42" s="478"/>
      <c r="QZZ42" s="478"/>
      <c r="RAA42" s="478"/>
      <c r="RAB42" s="478"/>
      <c r="RAC42" s="478"/>
      <c r="RAD42" s="478"/>
      <c r="RAE42" s="478"/>
      <c r="RAF42" s="478"/>
      <c r="RAG42" s="478"/>
      <c r="RAH42" s="478"/>
      <c r="RAI42" s="478"/>
      <c r="RAJ42" s="478"/>
      <c r="RAK42" s="478"/>
      <c r="RAL42" s="478"/>
      <c r="RAM42" s="478"/>
      <c r="RAN42" s="478"/>
      <c r="RAO42" s="478"/>
      <c r="RAP42" s="478"/>
      <c r="RAQ42" s="478"/>
      <c r="RAR42" s="478"/>
      <c r="RAS42" s="478"/>
      <c r="RAT42" s="478"/>
      <c r="RAU42" s="478"/>
      <c r="RAV42" s="478"/>
      <c r="RAW42" s="478"/>
      <c r="RAX42" s="478"/>
      <c r="RAY42" s="478"/>
      <c r="RAZ42" s="478"/>
      <c r="RBA42" s="478"/>
      <c r="RBB42" s="478"/>
      <c r="RBC42" s="478"/>
      <c r="RBD42" s="478"/>
      <c r="RBE42" s="478"/>
      <c r="RBF42" s="478"/>
      <c r="RBG42" s="478"/>
      <c r="RBH42" s="478"/>
      <c r="RBI42" s="478"/>
      <c r="RBJ42" s="478"/>
      <c r="RBK42" s="478"/>
      <c r="RBL42" s="478"/>
      <c r="RBM42" s="478"/>
      <c r="RBN42" s="478"/>
      <c r="RBO42" s="478"/>
      <c r="RBP42" s="478"/>
      <c r="RBQ42" s="478"/>
      <c r="RBR42" s="478"/>
      <c r="RBS42" s="478"/>
      <c r="RBT42" s="478"/>
      <c r="RBU42" s="478"/>
      <c r="RBV42" s="478"/>
      <c r="RBW42" s="478"/>
      <c r="RBX42" s="478"/>
      <c r="RBY42" s="478"/>
      <c r="RBZ42" s="478"/>
      <c r="RCA42" s="478"/>
      <c r="RCB42" s="478"/>
      <c r="RCC42" s="478"/>
      <c r="RCD42" s="478"/>
      <c r="RCE42" s="478"/>
      <c r="RCF42" s="478"/>
      <c r="RCG42" s="478"/>
      <c r="RCH42" s="478"/>
      <c r="RCI42" s="478"/>
      <c r="RCJ42" s="478"/>
      <c r="RCK42" s="478"/>
      <c r="RCL42" s="478"/>
      <c r="RCM42" s="478"/>
      <c r="RCN42" s="478"/>
      <c r="RCO42" s="478"/>
      <c r="RCP42" s="478"/>
      <c r="RCQ42" s="478"/>
      <c r="RCR42" s="478"/>
      <c r="RCS42" s="478"/>
      <c r="RCT42" s="478"/>
      <c r="RCU42" s="478"/>
      <c r="RCV42" s="478"/>
      <c r="RCW42" s="478"/>
      <c r="RCX42" s="478"/>
      <c r="RCY42" s="478"/>
      <c r="RCZ42" s="478"/>
      <c r="RDA42" s="478"/>
      <c r="RDB42" s="478"/>
      <c r="RDC42" s="478"/>
      <c r="RDD42" s="478"/>
      <c r="RDE42" s="478"/>
      <c r="RDF42" s="478"/>
      <c r="RDG42" s="478"/>
      <c r="RDH42" s="478"/>
      <c r="RDI42" s="478"/>
      <c r="RDJ42" s="478"/>
      <c r="RDK42" s="478"/>
      <c r="RDL42" s="478"/>
      <c r="RDM42" s="478"/>
      <c r="RDN42" s="478"/>
      <c r="RDO42" s="478"/>
      <c r="RDP42" s="478"/>
      <c r="RDQ42" s="478"/>
      <c r="RDR42" s="478"/>
      <c r="RDS42" s="478"/>
      <c r="RDT42" s="478"/>
      <c r="RDU42" s="478"/>
      <c r="RDV42" s="478"/>
      <c r="RDW42" s="478"/>
      <c r="RDX42" s="478"/>
      <c r="RDY42" s="478"/>
      <c r="RDZ42" s="478"/>
      <c r="REA42" s="478"/>
      <c r="REB42" s="478"/>
      <c r="REC42" s="478"/>
      <c r="RED42" s="478"/>
      <c r="REE42" s="478"/>
      <c r="REF42" s="478"/>
      <c r="REG42" s="478"/>
      <c r="REH42" s="478"/>
      <c r="REI42" s="478"/>
      <c r="REJ42" s="478"/>
      <c r="REK42" s="478"/>
      <c r="REL42" s="478"/>
      <c r="REM42" s="478"/>
      <c r="REN42" s="478"/>
      <c r="REO42" s="478"/>
      <c r="REP42" s="478"/>
      <c r="REQ42" s="478"/>
      <c r="RER42" s="478"/>
      <c r="RES42" s="478"/>
      <c r="RET42" s="478"/>
      <c r="REU42" s="478"/>
      <c r="REV42" s="478"/>
      <c r="REW42" s="478"/>
      <c r="REX42" s="478"/>
      <c r="REY42" s="478"/>
      <c r="REZ42" s="478"/>
      <c r="RFA42" s="478"/>
      <c r="RFB42" s="478"/>
      <c r="RFC42" s="478"/>
      <c r="RFD42" s="478"/>
      <c r="RFE42" s="478"/>
      <c r="RFF42" s="478"/>
      <c r="RFG42" s="478"/>
      <c r="RFH42" s="478"/>
      <c r="RFI42" s="478"/>
      <c r="RFJ42" s="478"/>
      <c r="RFK42" s="478"/>
      <c r="RFL42" s="478"/>
      <c r="RFM42" s="478"/>
      <c r="RFN42" s="478"/>
      <c r="RFO42" s="478"/>
      <c r="RFP42" s="478"/>
      <c r="RFQ42" s="478"/>
      <c r="RFR42" s="478"/>
      <c r="RFS42" s="478"/>
      <c r="RFT42" s="478"/>
      <c r="RFU42" s="478"/>
      <c r="RFV42" s="478"/>
      <c r="RFW42" s="478"/>
      <c r="RFX42" s="478"/>
      <c r="RFY42" s="478"/>
      <c r="RFZ42" s="478"/>
      <c r="RGA42" s="478"/>
      <c r="RGB42" s="478"/>
      <c r="RGC42" s="478"/>
      <c r="RGD42" s="478"/>
      <c r="RGE42" s="478"/>
      <c r="RGF42" s="478"/>
      <c r="RGG42" s="478"/>
      <c r="RGH42" s="478"/>
      <c r="RGI42" s="478"/>
      <c r="RGJ42" s="478"/>
      <c r="RGK42" s="478"/>
      <c r="RGL42" s="478"/>
      <c r="RGM42" s="478"/>
      <c r="RGN42" s="478"/>
      <c r="RGO42" s="478"/>
      <c r="RGP42" s="478"/>
      <c r="RGQ42" s="478"/>
      <c r="RGR42" s="478"/>
      <c r="RGS42" s="478"/>
      <c r="RGT42" s="478"/>
      <c r="RGU42" s="478"/>
      <c r="RGV42" s="478"/>
      <c r="RGW42" s="478"/>
      <c r="RGX42" s="478"/>
      <c r="RGY42" s="478"/>
      <c r="RGZ42" s="478"/>
      <c r="RHA42" s="478"/>
      <c r="RHB42" s="478"/>
      <c r="RHC42" s="478"/>
      <c r="RHD42" s="478"/>
      <c r="RHE42" s="478"/>
      <c r="RHF42" s="478"/>
      <c r="RHG42" s="478"/>
      <c r="RHH42" s="478"/>
      <c r="RHI42" s="478"/>
      <c r="RHJ42" s="478"/>
      <c r="RHK42" s="478"/>
      <c r="RHL42" s="478"/>
      <c r="RHM42" s="478"/>
      <c r="RHN42" s="478"/>
      <c r="RHO42" s="478"/>
      <c r="RHP42" s="478"/>
      <c r="RHQ42" s="478"/>
      <c r="RHR42" s="478"/>
      <c r="RHS42" s="478"/>
      <c r="RHT42" s="478"/>
      <c r="RHU42" s="478"/>
      <c r="RHV42" s="478"/>
      <c r="RHW42" s="478"/>
      <c r="RHX42" s="478"/>
      <c r="RHY42" s="478"/>
      <c r="RHZ42" s="478"/>
      <c r="RIA42" s="478"/>
      <c r="RIB42" s="478"/>
      <c r="RIC42" s="478"/>
      <c r="RID42" s="478"/>
      <c r="RIE42" s="478"/>
      <c r="RIF42" s="478"/>
      <c r="RIG42" s="478"/>
      <c r="RIH42" s="478"/>
      <c r="RII42" s="478"/>
      <c r="RIJ42" s="478"/>
      <c r="RIK42" s="478"/>
      <c r="RIL42" s="478"/>
      <c r="RIM42" s="478"/>
      <c r="RIN42" s="478"/>
      <c r="RIO42" s="478"/>
      <c r="RIP42" s="478"/>
      <c r="RIQ42" s="478"/>
      <c r="RIR42" s="478"/>
      <c r="RIS42" s="478"/>
      <c r="RIT42" s="478"/>
      <c r="RIU42" s="478"/>
      <c r="RIV42" s="478"/>
      <c r="RIW42" s="478"/>
      <c r="RIX42" s="478"/>
      <c r="RIY42" s="478"/>
      <c r="RIZ42" s="478"/>
      <c r="RJA42" s="478"/>
      <c r="RJB42" s="478"/>
      <c r="RJC42" s="478"/>
      <c r="RJD42" s="478"/>
      <c r="RJE42" s="478"/>
      <c r="RJF42" s="478"/>
      <c r="RJG42" s="478"/>
      <c r="RJH42" s="478"/>
      <c r="RJI42" s="478"/>
      <c r="RJJ42" s="478"/>
      <c r="RJK42" s="478"/>
      <c r="RJL42" s="478"/>
      <c r="RJM42" s="478"/>
      <c r="RJN42" s="478"/>
      <c r="RJO42" s="478"/>
      <c r="RJP42" s="478"/>
      <c r="RJQ42" s="478"/>
      <c r="RJR42" s="478"/>
      <c r="RJS42" s="478"/>
      <c r="RJT42" s="478"/>
      <c r="RJU42" s="478"/>
      <c r="RJV42" s="478"/>
      <c r="RJW42" s="478"/>
      <c r="RJX42" s="478"/>
      <c r="RJY42" s="478"/>
      <c r="RJZ42" s="478"/>
      <c r="RKA42" s="478"/>
      <c r="RKB42" s="478"/>
      <c r="RKC42" s="478"/>
      <c r="RKD42" s="478"/>
      <c r="RKE42" s="478"/>
      <c r="RKF42" s="478"/>
      <c r="RKG42" s="478"/>
      <c r="RKH42" s="478"/>
      <c r="RKI42" s="478"/>
      <c r="RKJ42" s="478"/>
      <c r="RKK42" s="478"/>
      <c r="RKL42" s="478"/>
      <c r="RKM42" s="478"/>
      <c r="RKN42" s="478"/>
      <c r="RKO42" s="478"/>
      <c r="RKP42" s="478"/>
      <c r="RKQ42" s="478"/>
      <c r="RKR42" s="478"/>
      <c r="RKS42" s="478"/>
      <c r="RKT42" s="478"/>
      <c r="RKU42" s="478"/>
      <c r="RKV42" s="478"/>
      <c r="RKW42" s="478"/>
      <c r="RKX42" s="478"/>
      <c r="RKY42" s="478"/>
      <c r="RKZ42" s="478"/>
      <c r="RLA42" s="478"/>
      <c r="RLB42" s="478"/>
      <c r="RLC42" s="478"/>
      <c r="RLD42" s="478"/>
      <c r="RLE42" s="478"/>
      <c r="RLF42" s="478"/>
      <c r="RLG42" s="478"/>
      <c r="RLH42" s="478"/>
      <c r="RLI42" s="478"/>
      <c r="RLJ42" s="478"/>
      <c r="RLK42" s="478"/>
      <c r="RLL42" s="478"/>
      <c r="RLM42" s="478"/>
      <c r="RLN42" s="478"/>
      <c r="RLO42" s="478"/>
      <c r="RLP42" s="478"/>
      <c r="RLQ42" s="478"/>
      <c r="RLR42" s="478"/>
      <c r="RLS42" s="478"/>
      <c r="RLT42" s="478"/>
      <c r="RLU42" s="478"/>
      <c r="RLV42" s="478"/>
      <c r="RLW42" s="478"/>
      <c r="RLX42" s="478"/>
      <c r="RLY42" s="478"/>
      <c r="RLZ42" s="478"/>
      <c r="RMA42" s="478"/>
      <c r="RMB42" s="478"/>
      <c r="RMC42" s="478"/>
      <c r="RMD42" s="478"/>
      <c r="RME42" s="478"/>
      <c r="RMF42" s="478"/>
      <c r="RMG42" s="478"/>
      <c r="RMH42" s="478"/>
      <c r="RMI42" s="478"/>
      <c r="RMJ42" s="478"/>
      <c r="RMK42" s="478"/>
      <c r="RML42" s="478"/>
      <c r="RMM42" s="478"/>
      <c r="RMN42" s="478"/>
      <c r="RMO42" s="478"/>
      <c r="RMP42" s="478"/>
      <c r="RMQ42" s="478"/>
      <c r="RMR42" s="478"/>
      <c r="RMS42" s="478"/>
      <c r="RMT42" s="478"/>
      <c r="RMU42" s="478"/>
      <c r="RMV42" s="478"/>
      <c r="RMW42" s="478"/>
      <c r="RMX42" s="478"/>
      <c r="RMY42" s="478"/>
      <c r="RMZ42" s="478"/>
      <c r="RNA42" s="478"/>
      <c r="RNB42" s="478"/>
      <c r="RNC42" s="478"/>
      <c r="RND42" s="478"/>
      <c r="RNE42" s="478"/>
      <c r="RNF42" s="478"/>
      <c r="RNG42" s="478"/>
      <c r="RNH42" s="478"/>
      <c r="RNI42" s="478"/>
      <c r="RNJ42" s="478"/>
      <c r="RNK42" s="478"/>
      <c r="RNL42" s="478"/>
      <c r="RNM42" s="478"/>
      <c r="RNN42" s="478"/>
      <c r="RNO42" s="478"/>
      <c r="RNP42" s="478"/>
      <c r="RNQ42" s="478"/>
      <c r="RNR42" s="478"/>
      <c r="RNS42" s="478"/>
      <c r="RNT42" s="478"/>
      <c r="RNU42" s="478"/>
      <c r="RNV42" s="478"/>
      <c r="RNW42" s="478"/>
      <c r="RNX42" s="478"/>
      <c r="RNY42" s="478"/>
      <c r="RNZ42" s="478"/>
      <c r="ROA42" s="478"/>
      <c r="ROB42" s="478"/>
      <c r="ROC42" s="478"/>
      <c r="ROD42" s="478"/>
      <c r="ROE42" s="478"/>
      <c r="ROF42" s="478"/>
      <c r="ROG42" s="478"/>
      <c r="ROH42" s="478"/>
      <c r="ROI42" s="478"/>
      <c r="ROJ42" s="478"/>
      <c r="ROK42" s="478"/>
      <c r="ROL42" s="478"/>
      <c r="ROM42" s="478"/>
      <c r="RON42" s="478"/>
      <c r="ROO42" s="478"/>
      <c r="ROP42" s="478"/>
      <c r="ROQ42" s="478"/>
      <c r="ROR42" s="478"/>
      <c r="ROS42" s="478"/>
      <c r="ROT42" s="478"/>
      <c r="ROU42" s="478"/>
      <c r="ROV42" s="478"/>
      <c r="ROW42" s="478"/>
      <c r="ROX42" s="478"/>
      <c r="ROY42" s="478"/>
      <c r="ROZ42" s="478"/>
      <c r="RPA42" s="478"/>
      <c r="RPB42" s="478"/>
      <c r="RPC42" s="478"/>
      <c r="RPD42" s="478"/>
      <c r="RPE42" s="478"/>
      <c r="RPF42" s="478"/>
      <c r="RPG42" s="478"/>
      <c r="RPH42" s="478"/>
      <c r="RPI42" s="478"/>
      <c r="RPJ42" s="478"/>
      <c r="RPK42" s="478"/>
      <c r="RPL42" s="478"/>
      <c r="RPM42" s="478"/>
      <c r="RPN42" s="478"/>
      <c r="RPO42" s="478"/>
      <c r="RPP42" s="478"/>
      <c r="RPQ42" s="478"/>
      <c r="RPR42" s="478"/>
      <c r="RPS42" s="478"/>
      <c r="RPT42" s="478"/>
      <c r="RPU42" s="478"/>
      <c r="RPV42" s="478"/>
      <c r="RPW42" s="478"/>
      <c r="RPX42" s="478"/>
      <c r="RPY42" s="478"/>
      <c r="RPZ42" s="478"/>
      <c r="RQA42" s="478"/>
      <c r="RQB42" s="478"/>
      <c r="RQC42" s="478"/>
      <c r="RQD42" s="478"/>
      <c r="RQE42" s="478"/>
      <c r="RQF42" s="478"/>
      <c r="RQG42" s="478"/>
      <c r="RQH42" s="478"/>
      <c r="RQI42" s="478"/>
      <c r="RQJ42" s="478"/>
      <c r="RQK42" s="478"/>
      <c r="RQL42" s="478"/>
      <c r="RQM42" s="478"/>
      <c r="RQN42" s="478"/>
      <c r="RQO42" s="478"/>
      <c r="RQP42" s="478"/>
      <c r="RQQ42" s="478"/>
      <c r="RQR42" s="478"/>
      <c r="RQS42" s="478"/>
      <c r="RQT42" s="478"/>
      <c r="RQU42" s="478"/>
      <c r="RQV42" s="478"/>
      <c r="RQW42" s="478"/>
      <c r="RQX42" s="478"/>
      <c r="RQY42" s="478"/>
      <c r="RQZ42" s="478"/>
      <c r="RRA42" s="478"/>
      <c r="RRB42" s="478"/>
      <c r="RRC42" s="478"/>
      <c r="RRD42" s="478"/>
      <c r="RRE42" s="478"/>
      <c r="RRF42" s="478"/>
      <c r="RRG42" s="478"/>
      <c r="RRH42" s="478"/>
      <c r="RRI42" s="478"/>
      <c r="RRJ42" s="478"/>
      <c r="RRK42" s="478"/>
      <c r="RRL42" s="478"/>
      <c r="RRM42" s="478"/>
      <c r="RRN42" s="478"/>
      <c r="RRO42" s="478"/>
      <c r="RRP42" s="478"/>
      <c r="RRQ42" s="478"/>
      <c r="RRR42" s="478"/>
      <c r="RRS42" s="478"/>
      <c r="RRT42" s="478"/>
      <c r="RRU42" s="478"/>
      <c r="RRV42" s="478"/>
      <c r="RRW42" s="478"/>
      <c r="RRX42" s="478"/>
      <c r="RRY42" s="478"/>
      <c r="RRZ42" s="478"/>
      <c r="RSA42" s="478"/>
      <c r="RSB42" s="478"/>
      <c r="RSC42" s="478"/>
      <c r="RSD42" s="478"/>
      <c r="RSE42" s="478"/>
      <c r="RSF42" s="478"/>
      <c r="RSG42" s="478"/>
      <c r="RSH42" s="478"/>
      <c r="RSI42" s="478"/>
      <c r="RSJ42" s="478"/>
      <c r="RSK42" s="478"/>
      <c r="RSL42" s="478"/>
      <c r="RSM42" s="478"/>
      <c r="RSN42" s="478"/>
      <c r="RSO42" s="478"/>
      <c r="RSP42" s="478"/>
      <c r="RSQ42" s="478"/>
      <c r="RSR42" s="478"/>
      <c r="RSS42" s="478"/>
      <c r="RST42" s="478"/>
      <c r="RSU42" s="478"/>
      <c r="RSV42" s="478"/>
      <c r="RSW42" s="478"/>
      <c r="RSX42" s="478"/>
      <c r="RSY42" s="478"/>
      <c r="RSZ42" s="478"/>
      <c r="RTA42" s="478"/>
      <c r="RTB42" s="478"/>
      <c r="RTC42" s="478"/>
      <c r="RTD42" s="478"/>
      <c r="RTE42" s="478"/>
      <c r="RTF42" s="478"/>
      <c r="RTG42" s="478"/>
      <c r="RTH42" s="478"/>
      <c r="RTI42" s="478"/>
      <c r="RTJ42" s="478"/>
      <c r="RTK42" s="478"/>
      <c r="RTL42" s="478"/>
      <c r="RTM42" s="478"/>
      <c r="RTN42" s="478"/>
      <c r="RTO42" s="478"/>
      <c r="RTP42" s="478"/>
      <c r="RTQ42" s="478"/>
      <c r="RTR42" s="478"/>
      <c r="RTS42" s="478"/>
      <c r="RTT42" s="478"/>
      <c r="RTU42" s="478"/>
      <c r="RTV42" s="478"/>
      <c r="RTW42" s="478"/>
      <c r="RTX42" s="478"/>
      <c r="RTY42" s="478"/>
      <c r="RTZ42" s="478"/>
      <c r="RUA42" s="478"/>
      <c r="RUB42" s="478"/>
      <c r="RUC42" s="478"/>
      <c r="RUD42" s="478"/>
      <c r="RUE42" s="478"/>
      <c r="RUF42" s="478"/>
      <c r="RUG42" s="478"/>
      <c r="RUH42" s="478"/>
      <c r="RUI42" s="478"/>
      <c r="RUJ42" s="478"/>
      <c r="RUK42" s="478"/>
      <c r="RUL42" s="478"/>
      <c r="RUM42" s="478"/>
      <c r="RUN42" s="478"/>
      <c r="RUO42" s="478"/>
      <c r="RUP42" s="478"/>
      <c r="RUQ42" s="478"/>
      <c r="RUR42" s="478"/>
      <c r="RUS42" s="478"/>
      <c r="RUT42" s="478"/>
      <c r="RUU42" s="478"/>
      <c r="RUV42" s="478"/>
      <c r="RUW42" s="478"/>
      <c r="RUX42" s="478"/>
      <c r="RUY42" s="478"/>
      <c r="RUZ42" s="478"/>
      <c r="RVA42" s="478"/>
      <c r="RVB42" s="478"/>
      <c r="RVC42" s="478"/>
      <c r="RVD42" s="478"/>
      <c r="RVE42" s="478"/>
      <c r="RVF42" s="478"/>
      <c r="RVG42" s="478"/>
      <c r="RVH42" s="478"/>
      <c r="RVI42" s="478"/>
      <c r="RVJ42" s="478"/>
      <c r="RVK42" s="478"/>
      <c r="RVL42" s="478"/>
      <c r="RVM42" s="478"/>
      <c r="RVN42" s="478"/>
      <c r="RVO42" s="478"/>
      <c r="RVP42" s="478"/>
      <c r="RVQ42" s="478"/>
      <c r="RVR42" s="478"/>
      <c r="RVS42" s="478"/>
      <c r="RVT42" s="478"/>
      <c r="RVU42" s="478"/>
      <c r="RVV42" s="478"/>
      <c r="RVW42" s="478"/>
      <c r="RVX42" s="478"/>
      <c r="RVY42" s="478"/>
      <c r="RVZ42" s="478"/>
      <c r="RWA42" s="478"/>
      <c r="RWB42" s="478"/>
      <c r="RWC42" s="478"/>
      <c r="RWD42" s="478"/>
      <c r="RWE42" s="478"/>
      <c r="RWF42" s="478"/>
      <c r="RWG42" s="478"/>
      <c r="RWH42" s="478"/>
      <c r="RWI42" s="478"/>
      <c r="RWJ42" s="478"/>
      <c r="RWK42" s="478"/>
      <c r="RWL42" s="478"/>
      <c r="RWM42" s="478"/>
      <c r="RWN42" s="478"/>
      <c r="RWO42" s="478"/>
      <c r="RWP42" s="478"/>
      <c r="RWQ42" s="478"/>
      <c r="RWR42" s="478"/>
      <c r="RWS42" s="478"/>
      <c r="RWT42" s="478"/>
      <c r="RWU42" s="478"/>
      <c r="RWV42" s="478"/>
      <c r="RWW42" s="478"/>
      <c r="RWX42" s="478"/>
      <c r="RWY42" s="478"/>
      <c r="RWZ42" s="478"/>
      <c r="RXA42" s="478"/>
      <c r="RXB42" s="478"/>
      <c r="RXC42" s="478"/>
      <c r="RXD42" s="478"/>
      <c r="RXE42" s="478"/>
      <c r="RXF42" s="478"/>
      <c r="RXG42" s="478"/>
      <c r="RXH42" s="478"/>
      <c r="RXI42" s="478"/>
      <c r="RXJ42" s="478"/>
      <c r="RXK42" s="478"/>
      <c r="RXL42" s="478"/>
      <c r="RXM42" s="478"/>
      <c r="RXN42" s="478"/>
      <c r="RXO42" s="478"/>
      <c r="RXP42" s="478"/>
      <c r="RXQ42" s="478"/>
      <c r="RXR42" s="478"/>
      <c r="RXS42" s="478"/>
      <c r="RXT42" s="478"/>
      <c r="RXU42" s="478"/>
      <c r="RXV42" s="478"/>
      <c r="RXW42" s="478"/>
      <c r="RXX42" s="478"/>
      <c r="RXY42" s="478"/>
      <c r="RXZ42" s="478"/>
      <c r="RYA42" s="478"/>
      <c r="RYB42" s="478"/>
      <c r="RYC42" s="478"/>
      <c r="RYD42" s="478"/>
      <c r="RYE42" s="478"/>
      <c r="RYF42" s="478"/>
      <c r="RYG42" s="478"/>
      <c r="RYH42" s="478"/>
      <c r="RYI42" s="478"/>
      <c r="RYJ42" s="478"/>
      <c r="RYK42" s="478"/>
      <c r="RYL42" s="478"/>
      <c r="RYM42" s="478"/>
      <c r="RYN42" s="478"/>
      <c r="RYO42" s="478"/>
      <c r="RYP42" s="478"/>
      <c r="RYQ42" s="478"/>
      <c r="RYR42" s="478"/>
      <c r="RYS42" s="478"/>
      <c r="RYT42" s="478"/>
      <c r="RYU42" s="478"/>
      <c r="RYV42" s="478"/>
      <c r="RYW42" s="478"/>
      <c r="RYX42" s="478"/>
      <c r="RYY42" s="478"/>
      <c r="RYZ42" s="478"/>
      <c r="RZA42" s="478"/>
      <c r="RZB42" s="478"/>
      <c r="RZC42" s="478"/>
      <c r="RZD42" s="478"/>
      <c r="RZE42" s="478"/>
      <c r="RZF42" s="478"/>
      <c r="RZG42" s="478"/>
      <c r="RZH42" s="478"/>
      <c r="RZI42" s="478"/>
      <c r="RZJ42" s="478"/>
      <c r="RZK42" s="478"/>
      <c r="RZL42" s="478"/>
      <c r="RZM42" s="478"/>
      <c r="RZN42" s="478"/>
      <c r="RZO42" s="478"/>
      <c r="RZP42" s="478"/>
      <c r="RZQ42" s="478"/>
      <c r="RZR42" s="478"/>
      <c r="RZS42" s="478"/>
      <c r="RZT42" s="478"/>
      <c r="RZU42" s="478"/>
      <c r="RZV42" s="478"/>
      <c r="RZW42" s="478"/>
      <c r="RZX42" s="478"/>
      <c r="RZY42" s="478"/>
      <c r="RZZ42" s="478"/>
      <c r="SAA42" s="478"/>
      <c r="SAB42" s="478"/>
      <c r="SAC42" s="478"/>
      <c r="SAD42" s="478"/>
      <c r="SAE42" s="478"/>
      <c r="SAF42" s="478"/>
      <c r="SAG42" s="478"/>
      <c r="SAH42" s="478"/>
      <c r="SAI42" s="478"/>
      <c r="SAJ42" s="478"/>
      <c r="SAK42" s="478"/>
      <c r="SAL42" s="478"/>
      <c r="SAM42" s="478"/>
      <c r="SAN42" s="478"/>
      <c r="SAO42" s="478"/>
      <c r="SAP42" s="478"/>
      <c r="SAQ42" s="478"/>
      <c r="SAR42" s="478"/>
      <c r="SAS42" s="478"/>
      <c r="SAT42" s="478"/>
      <c r="SAU42" s="478"/>
      <c r="SAV42" s="478"/>
      <c r="SAW42" s="478"/>
      <c r="SAX42" s="478"/>
      <c r="SAY42" s="478"/>
      <c r="SAZ42" s="478"/>
      <c r="SBA42" s="478"/>
      <c r="SBB42" s="478"/>
      <c r="SBC42" s="478"/>
      <c r="SBD42" s="478"/>
      <c r="SBE42" s="478"/>
      <c r="SBF42" s="478"/>
      <c r="SBG42" s="478"/>
      <c r="SBH42" s="478"/>
      <c r="SBI42" s="478"/>
      <c r="SBJ42" s="478"/>
      <c r="SBK42" s="478"/>
      <c r="SBL42" s="478"/>
      <c r="SBM42" s="478"/>
      <c r="SBN42" s="478"/>
      <c r="SBO42" s="478"/>
      <c r="SBP42" s="478"/>
      <c r="SBQ42" s="478"/>
      <c r="SBR42" s="478"/>
      <c r="SBS42" s="478"/>
      <c r="SBT42" s="478"/>
      <c r="SBU42" s="478"/>
      <c r="SBV42" s="478"/>
      <c r="SBW42" s="478"/>
      <c r="SBX42" s="478"/>
      <c r="SBY42" s="478"/>
      <c r="SBZ42" s="478"/>
      <c r="SCA42" s="478"/>
      <c r="SCB42" s="478"/>
      <c r="SCC42" s="478"/>
      <c r="SCD42" s="478"/>
      <c r="SCE42" s="478"/>
      <c r="SCF42" s="478"/>
      <c r="SCG42" s="478"/>
      <c r="SCH42" s="478"/>
      <c r="SCI42" s="478"/>
      <c r="SCJ42" s="478"/>
      <c r="SCK42" s="478"/>
      <c r="SCL42" s="478"/>
      <c r="SCM42" s="478"/>
      <c r="SCN42" s="478"/>
      <c r="SCO42" s="478"/>
      <c r="SCP42" s="478"/>
      <c r="SCQ42" s="478"/>
      <c r="SCR42" s="478"/>
      <c r="SCS42" s="478"/>
      <c r="SCT42" s="478"/>
      <c r="SCU42" s="478"/>
      <c r="SCV42" s="478"/>
      <c r="SCW42" s="478"/>
      <c r="SCX42" s="478"/>
      <c r="SCY42" s="478"/>
      <c r="SCZ42" s="478"/>
      <c r="SDA42" s="478"/>
      <c r="SDB42" s="478"/>
      <c r="SDC42" s="478"/>
      <c r="SDD42" s="478"/>
      <c r="SDE42" s="478"/>
      <c r="SDF42" s="478"/>
      <c r="SDG42" s="478"/>
      <c r="SDH42" s="478"/>
      <c r="SDI42" s="478"/>
      <c r="SDJ42" s="478"/>
      <c r="SDK42" s="478"/>
      <c r="SDL42" s="478"/>
      <c r="SDM42" s="478"/>
      <c r="SDN42" s="478"/>
      <c r="SDO42" s="478"/>
      <c r="SDP42" s="478"/>
      <c r="SDQ42" s="478"/>
      <c r="SDR42" s="478"/>
      <c r="SDS42" s="478"/>
      <c r="SDT42" s="478"/>
      <c r="SDU42" s="478"/>
      <c r="SDV42" s="478"/>
      <c r="SDW42" s="478"/>
      <c r="SDX42" s="478"/>
      <c r="SDY42" s="478"/>
      <c r="SDZ42" s="478"/>
      <c r="SEA42" s="478"/>
      <c r="SEB42" s="478"/>
      <c r="SEC42" s="478"/>
      <c r="SED42" s="478"/>
      <c r="SEE42" s="478"/>
      <c r="SEF42" s="478"/>
      <c r="SEG42" s="478"/>
      <c r="SEH42" s="478"/>
      <c r="SEI42" s="478"/>
      <c r="SEJ42" s="478"/>
      <c r="SEK42" s="478"/>
      <c r="SEL42" s="478"/>
      <c r="SEM42" s="478"/>
      <c r="SEN42" s="478"/>
      <c r="SEO42" s="478"/>
      <c r="SEP42" s="478"/>
      <c r="SEQ42" s="478"/>
      <c r="SER42" s="478"/>
      <c r="SES42" s="478"/>
      <c r="SET42" s="478"/>
      <c r="SEU42" s="478"/>
      <c r="SEV42" s="478"/>
      <c r="SEW42" s="478"/>
      <c r="SEX42" s="478"/>
      <c r="SEY42" s="478"/>
      <c r="SEZ42" s="478"/>
      <c r="SFA42" s="478"/>
      <c r="SFB42" s="478"/>
      <c r="SFC42" s="478"/>
      <c r="SFD42" s="478"/>
      <c r="SFE42" s="478"/>
      <c r="SFF42" s="478"/>
      <c r="SFG42" s="478"/>
      <c r="SFH42" s="478"/>
      <c r="SFI42" s="478"/>
      <c r="SFJ42" s="478"/>
      <c r="SFK42" s="478"/>
      <c r="SFL42" s="478"/>
      <c r="SFM42" s="478"/>
      <c r="SFN42" s="478"/>
      <c r="SFO42" s="478"/>
      <c r="SFP42" s="478"/>
      <c r="SFQ42" s="478"/>
      <c r="SFR42" s="478"/>
      <c r="SFS42" s="478"/>
      <c r="SFT42" s="478"/>
      <c r="SFU42" s="478"/>
      <c r="SFV42" s="478"/>
      <c r="SFW42" s="478"/>
      <c r="SFX42" s="478"/>
      <c r="SFY42" s="478"/>
      <c r="SFZ42" s="478"/>
      <c r="SGA42" s="478"/>
      <c r="SGB42" s="478"/>
      <c r="SGC42" s="478"/>
      <c r="SGD42" s="478"/>
      <c r="SGE42" s="478"/>
      <c r="SGF42" s="478"/>
      <c r="SGG42" s="478"/>
      <c r="SGH42" s="478"/>
      <c r="SGI42" s="478"/>
      <c r="SGJ42" s="478"/>
      <c r="SGK42" s="478"/>
      <c r="SGL42" s="478"/>
      <c r="SGM42" s="478"/>
      <c r="SGN42" s="478"/>
      <c r="SGO42" s="478"/>
      <c r="SGP42" s="478"/>
      <c r="SGQ42" s="478"/>
      <c r="SGR42" s="478"/>
      <c r="SGS42" s="478"/>
      <c r="SGT42" s="478"/>
      <c r="SGU42" s="478"/>
      <c r="SGV42" s="478"/>
      <c r="SGW42" s="478"/>
      <c r="SGX42" s="478"/>
      <c r="SGY42" s="478"/>
      <c r="SGZ42" s="478"/>
      <c r="SHA42" s="478"/>
      <c r="SHB42" s="478"/>
      <c r="SHC42" s="478"/>
      <c r="SHD42" s="478"/>
      <c r="SHE42" s="478"/>
      <c r="SHF42" s="478"/>
      <c r="SHG42" s="478"/>
      <c r="SHH42" s="478"/>
      <c r="SHI42" s="478"/>
      <c r="SHJ42" s="478"/>
      <c r="SHK42" s="478"/>
      <c r="SHL42" s="478"/>
      <c r="SHM42" s="478"/>
      <c r="SHN42" s="478"/>
      <c r="SHO42" s="478"/>
      <c r="SHP42" s="478"/>
      <c r="SHQ42" s="478"/>
      <c r="SHR42" s="478"/>
      <c r="SHS42" s="478"/>
      <c r="SHT42" s="478"/>
      <c r="SHU42" s="478"/>
      <c r="SHV42" s="478"/>
      <c r="SHW42" s="478"/>
      <c r="SHX42" s="478"/>
      <c r="SHY42" s="478"/>
      <c r="SHZ42" s="478"/>
      <c r="SIA42" s="478"/>
      <c r="SIB42" s="478"/>
      <c r="SIC42" s="478"/>
      <c r="SID42" s="478"/>
      <c r="SIE42" s="478"/>
      <c r="SIF42" s="478"/>
      <c r="SIG42" s="478"/>
      <c r="SIH42" s="478"/>
      <c r="SII42" s="478"/>
      <c r="SIJ42" s="478"/>
      <c r="SIK42" s="478"/>
      <c r="SIL42" s="478"/>
      <c r="SIM42" s="478"/>
      <c r="SIN42" s="478"/>
      <c r="SIO42" s="478"/>
      <c r="SIP42" s="478"/>
      <c r="SIQ42" s="478"/>
      <c r="SIR42" s="478"/>
      <c r="SIS42" s="478"/>
      <c r="SIT42" s="478"/>
      <c r="SIU42" s="478"/>
      <c r="SIV42" s="478"/>
      <c r="SIW42" s="478"/>
      <c r="SIX42" s="478"/>
      <c r="SIY42" s="478"/>
      <c r="SIZ42" s="478"/>
      <c r="SJA42" s="478"/>
      <c r="SJB42" s="478"/>
      <c r="SJC42" s="478"/>
      <c r="SJD42" s="478"/>
      <c r="SJE42" s="478"/>
      <c r="SJF42" s="478"/>
      <c r="SJG42" s="478"/>
      <c r="SJH42" s="478"/>
      <c r="SJI42" s="478"/>
      <c r="SJJ42" s="478"/>
      <c r="SJK42" s="478"/>
      <c r="SJL42" s="478"/>
      <c r="SJM42" s="478"/>
      <c r="SJN42" s="478"/>
      <c r="SJO42" s="478"/>
      <c r="SJP42" s="478"/>
      <c r="SJQ42" s="478"/>
      <c r="SJR42" s="478"/>
      <c r="SJS42" s="478"/>
      <c r="SJT42" s="478"/>
      <c r="SJU42" s="478"/>
      <c r="SJV42" s="478"/>
      <c r="SJW42" s="478"/>
      <c r="SJX42" s="478"/>
      <c r="SJY42" s="478"/>
      <c r="SJZ42" s="478"/>
      <c r="SKA42" s="478"/>
      <c r="SKB42" s="478"/>
      <c r="SKC42" s="478"/>
      <c r="SKD42" s="478"/>
      <c r="SKE42" s="478"/>
      <c r="SKF42" s="478"/>
      <c r="SKG42" s="478"/>
      <c r="SKH42" s="478"/>
      <c r="SKI42" s="478"/>
      <c r="SKJ42" s="478"/>
      <c r="SKK42" s="478"/>
      <c r="SKL42" s="478"/>
      <c r="SKM42" s="478"/>
      <c r="SKN42" s="478"/>
      <c r="SKO42" s="478"/>
      <c r="SKP42" s="478"/>
      <c r="SKQ42" s="478"/>
      <c r="SKR42" s="478"/>
      <c r="SKS42" s="478"/>
      <c r="SKT42" s="478"/>
      <c r="SKU42" s="478"/>
      <c r="SKV42" s="478"/>
      <c r="SKW42" s="478"/>
      <c r="SKX42" s="478"/>
      <c r="SKY42" s="478"/>
      <c r="SKZ42" s="478"/>
      <c r="SLA42" s="478"/>
      <c r="SLB42" s="478"/>
      <c r="SLC42" s="478"/>
      <c r="SLD42" s="478"/>
      <c r="SLE42" s="478"/>
      <c r="SLF42" s="478"/>
      <c r="SLG42" s="478"/>
      <c r="SLH42" s="478"/>
      <c r="SLI42" s="478"/>
      <c r="SLJ42" s="478"/>
      <c r="SLK42" s="478"/>
      <c r="SLL42" s="478"/>
      <c r="SLM42" s="478"/>
      <c r="SLN42" s="478"/>
      <c r="SLO42" s="478"/>
      <c r="SLP42" s="478"/>
      <c r="SLQ42" s="478"/>
      <c r="SLR42" s="478"/>
      <c r="SLS42" s="478"/>
      <c r="SLT42" s="478"/>
      <c r="SLU42" s="478"/>
      <c r="SLV42" s="478"/>
      <c r="SLW42" s="478"/>
      <c r="SLX42" s="478"/>
      <c r="SLY42" s="478"/>
      <c r="SLZ42" s="478"/>
      <c r="SMA42" s="478"/>
      <c r="SMB42" s="478"/>
      <c r="SMC42" s="478"/>
      <c r="SMD42" s="478"/>
      <c r="SME42" s="478"/>
      <c r="SMF42" s="478"/>
      <c r="SMG42" s="478"/>
      <c r="SMH42" s="478"/>
      <c r="SMI42" s="478"/>
      <c r="SMJ42" s="478"/>
      <c r="SMK42" s="478"/>
      <c r="SML42" s="478"/>
      <c r="SMM42" s="478"/>
      <c r="SMN42" s="478"/>
      <c r="SMO42" s="478"/>
      <c r="SMP42" s="478"/>
      <c r="SMQ42" s="478"/>
      <c r="SMR42" s="478"/>
      <c r="SMS42" s="478"/>
      <c r="SMT42" s="478"/>
      <c r="SMU42" s="478"/>
      <c r="SMV42" s="478"/>
      <c r="SMW42" s="478"/>
      <c r="SMX42" s="478"/>
      <c r="SMY42" s="478"/>
      <c r="SMZ42" s="478"/>
      <c r="SNA42" s="478"/>
      <c r="SNB42" s="478"/>
      <c r="SNC42" s="478"/>
      <c r="SND42" s="478"/>
      <c r="SNE42" s="478"/>
      <c r="SNF42" s="478"/>
      <c r="SNG42" s="478"/>
      <c r="SNH42" s="478"/>
      <c r="SNI42" s="478"/>
      <c r="SNJ42" s="478"/>
      <c r="SNK42" s="478"/>
      <c r="SNL42" s="478"/>
      <c r="SNM42" s="478"/>
      <c r="SNN42" s="478"/>
      <c r="SNO42" s="478"/>
      <c r="SNP42" s="478"/>
      <c r="SNQ42" s="478"/>
      <c r="SNR42" s="478"/>
      <c r="SNS42" s="478"/>
      <c r="SNT42" s="478"/>
      <c r="SNU42" s="478"/>
      <c r="SNV42" s="478"/>
      <c r="SNW42" s="478"/>
      <c r="SNX42" s="478"/>
      <c r="SNY42" s="478"/>
      <c r="SNZ42" s="478"/>
      <c r="SOA42" s="478"/>
      <c r="SOB42" s="478"/>
      <c r="SOC42" s="478"/>
      <c r="SOD42" s="478"/>
      <c r="SOE42" s="478"/>
      <c r="SOF42" s="478"/>
      <c r="SOG42" s="478"/>
      <c r="SOH42" s="478"/>
      <c r="SOI42" s="478"/>
      <c r="SOJ42" s="478"/>
      <c r="SOK42" s="478"/>
      <c r="SOL42" s="478"/>
      <c r="SOM42" s="478"/>
      <c r="SON42" s="478"/>
      <c r="SOO42" s="478"/>
      <c r="SOP42" s="478"/>
      <c r="SOQ42" s="478"/>
      <c r="SOR42" s="478"/>
      <c r="SOS42" s="478"/>
      <c r="SOT42" s="478"/>
      <c r="SOU42" s="478"/>
      <c r="SOV42" s="478"/>
      <c r="SOW42" s="478"/>
      <c r="SOX42" s="478"/>
      <c r="SOY42" s="478"/>
      <c r="SOZ42" s="478"/>
      <c r="SPA42" s="478"/>
      <c r="SPB42" s="478"/>
      <c r="SPC42" s="478"/>
      <c r="SPD42" s="478"/>
      <c r="SPE42" s="478"/>
      <c r="SPF42" s="478"/>
      <c r="SPG42" s="478"/>
      <c r="SPH42" s="478"/>
      <c r="SPI42" s="478"/>
      <c r="SPJ42" s="478"/>
      <c r="SPK42" s="478"/>
      <c r="SPL42" s="478"/>
      <c r="SPM42" s="478"/>
      <c r="SPN42" s="478"/>
      <c r="SPO42" s="478"/>
      <c r="SPP42" s="478"/>
      <c r="SPQ42" s="478"/>
      <c r="SPR42" s="478"/>
      <c r="SPS42" s="478"/>
      <c r="SPT42" s="478"/>
      <c r="SPU42" s="478"/>
      <c r="SPV42" s="478"/>
      <c r="SPW42" s="478"/>
      <c r="SPX42" s="478"/>
      <c r="SPY42" s="478"/>
      <c r="SPZ42" s="478"/>
      <c r="SQA42" s="478"/>
      <c r="SQB42" s="478"/>
      <c r="SQC42" s="478"/>
      <c r="SQD42" s="478"/>
      <c r="SQE42" s="478"/>
      <c r="SQF42" s="478"/>
      <c r="SQG42" s="478"/>
      <c r="SQH42" s="478"/>
      <c r="SQI42" s="478"/>
      <c r="SQJ42" s="478"/>
      <c r="SQK42" s="478"/>
      <c r="SQL42" s="478"/>
      <c r="SQM42" s="478"/>
      <c r="SQN42" s="478"/>
      <c r="SQO42" s="478"/>
      <c r="SQP42" s="478"/>
      <c r="SQQ42" s="478"/>
      <c r="SQR42" s="478"/>
      <c r="SQS42" s="478"/>
      <c r="SQT42" s="478"/>
      <c r="SQU42" s="478"/>
      <c r="SQV42" s="478"/>
      <c r="SQW42" s="478"/>
      <c r="SQX42" s="478"/>
      <c r="SQY42" s="478"/>
      <c r="SQZ42" s="478"/>
      <c r="SRA42" s="478"/>
      <c r="SRB42" s="478"/>
      <c r="SRC42" s="478"/>
      <c r="SRD42" s="478"/>
      <c r="SRE42" s="478"/>
      <c r="SRF42" s="478"/>
      <c r="SRG42" s="478"/>
      <c r="SRH42" s="478"/>
      <c r="SRI42" s="478"/>
      <c r="SRJ42" s="478"/>
      <c r="SRK42" s="478"/>
      <c r="SRL42" s="478"/>
      <c r="SRM42" s="478"/>
      <c r="SRN42" s="478"/>
      <c r="SRO42" s="478"/>
      <c r="SRP42" s="478"/>
      <c r="SRQ42" s="478"/>
      <c r="SRR42" s="478"/>
      <c r="SRS42" s="478"/>
      <c r="SRT42" s="478"/>
      <c r="SRU42" s="478"/>
      <c r="SRV42" s="478"/>
      <c r="SRW42" s="478"/>
      <c r="SRX42" s="478"/>
      <c r="SRY42" s="478"/>
      <c r="SRZ42" s="478"/>
      <c r="SSA42" s="478"/>
      <c r="SSB42" s="478"/>
      <c r="SSC42" s="478"/>
      <c r="SSD42" s="478"/>
      <c r="SSE42" s="478"/>
      <c r="SSF42" s="478"/>
      <c r="SSG42" s="478"/>
      <c r="SSH42" s="478"/>
      <c r="SSI42" s="478"/>
      <c r="SSJ42" s="478"/>
      <c r="SSK42" s="478"/>
      <c r="SSL42" s="478"/>
      <c r="SSM42" s="478"/>
      <c r="SSN42" s="478"/>
      <c r="SSO42" s="478"/>
      <c r="SSP42" s="478"/>
      <c r="SSQ42" s="478"/>
      <c r="SSR42" s="478"/>
      <c r="SSS42" s="478"/>
      <c r="SST42" s="478"/>
      <c r="SSU42" s="478"/>
      <c r="SSV42" s="478"/>
      <c r="SSW42" s="478"/>
      <c r="SSX42" s="478"/>
      <c r="SSY42" s="478"/>
      <c r="SSZ42" s="478"/>
      <c r="STA42" s="478"/>
      <c r="STB42" s="478"/>
      <c r="STC42" s="478"/>
      <c r="STD42" s="478"/>
      <c r="STE42" s="478"/>
      <c r="STF42" s="478"/>
      <c r="STG42" s="478"/>
      <c r="STH42" s="478"/>
      <c r="STI42" s="478"/>
      <c r="STJ42" s="478"/>
      <c r="STK42" s="478"/>
      <c r="STL42" s="478"/>
      <c r="STM42" s="478"/>
      <c r="STN42" s="478"/>
      <c r="STO42" s="478"/>
      <c r="STP42" s="478"/>
      <c r="STQ42" s="478"/>
      <c r="STR42" s="478"/>
      <c r="STS42" s="478"/>
      <c r="STT42" s="478"/>
      <c r="STU42" s="478"/>
      <c r="STV42" s="478"/>
      <c r="STW42" s="478"/>
      <c r="STX42" s="478"/>
      <c r="STY42" s="478"/>
      <c r="STZ42" s="478"/>
      <c r="SUA42" s="478"/>
      <c r="SUB42" s="478"/>
      <c r="SUC42" s="478"/>
      <c r="SUD42" s="478"/>
      <c r="SUE42" s="478"/>
      <c r="SUF42" s="478"/>
      <c r="SUG42" s="478"/>
      <c r="SUH42" s="478"/>
      <c r="SUI42" s="478"/>
      <c r="SUJ42" s="478"/>
      <c r="SUK42" s="478"/>
      <c r="SUL42" s="478"/>
      <c r="SUM42" s="478"/>
      <c r="SUN42" s="478"/>
      <c r="SUO42" s="478"/>
      <c r="SUP42" s="478"/>
      <c r="SUQ42" s="478"/>
      <c r="SUR42" s="478"/>
      <c r="SUS42" s="478"/>
      <c r="SUT42" s="478"/>
      <c r="SUU42" s="478"/>
      <c r="SUV42" s="478"/>
      <c r="SUW42" s="478"/>
      <c r="SUX42" s="478"/>
      <c r="SUY42" s="478"/>
      <c r="SUZ42" s="478"/>
      <c r="SVA42" s="478"/>
      <c r="SVB42" s="478"/>
      <c r="SVC42" s="478"/>
      <c r="SVD42" s="478"/>
      <c r="SVE42" s="478"/>
      <c r="SVF42" s="478"/>
      <c r="SVG42" s="478"/>
      <c r="SVH42" s="478"/>
      <c r="SVI42" s="478"/>
      <c r="SVJ42" s="478"/>
      <c r="SVK42" s="478"/>
      <c r="SVL42" s="478"/>
      <c r="SVM42" s="478"/>
      <c r="SVN42" s="478"/>
      <c r="SVO42" s="478"/>
      <c r="SVP42" s="478"/>
      <c r="SVQ42" s="478"/>
      <c r="SVR42" s="478"/>
      <c r="SVS42" s="478"/>
      <c r="SVT42" s="478"/>
      <c r="SVU42" s="478"/>
      <c r="SVV42" s="478"/>
      <c r="SVW42" s="478"/>
      <c r="SVX42" s="478"/>
      <c r="SVY42" s="478"/>
      <c r="SVZ42" s="478"/>
      <c r="SWA42" s="478"/>
      <c r="SWB42" s="478"/>
      <c r="SWC42" s="478"/>
      <c r="SWD42" s="478"/>
      <c r="SWE42" s="478"/>
      <c r="SWF42" s="478"/>
      <c r="SWG42" s="478"/>
      <c r="SWH42" s="478"/>
      <c r="SWI42" s="478"/>
      <c r="SWJ42" s="478"/>
      <c r="SWK42" s="478"/>
      <c r="SWL42" s="478"/>
      <c r="SWM42" s="478"/>
      <c r="SWN42" s="478"/>
      <c r="SWO42" s="478"/>
      <c r="SWP42" s="478"/>
      <c r="SWQ42" s="478"/>
      <c r="SWR42" s="478"/>
      <c r="SWS42" s="478"/>
      <c r="SWT42" s="478"/>
      <c r="SWU42" s="478"/>
      <c r="SWV42" s="478"/>
      <c r="SWW42" s="478"/>
      <c r="SWX42" s="478"/>
      <c r="SWY42" s="478"/>
      <c r="SWZ42" s="478"/>
      <c r="SXA42" s="478"/>
      <c r="SXB42" s="478"/>
      <c r="SXC42" s="478"/>
      <c r="SXD42" s="478"/>
      <c r="SXE42" s="478"/>
      <c r="SXF42" s="478"/>
      <c r="SXG42" s="478"/>
      <c r="SXH42" s="478"/>
      <c r="SXI42" s="478"/>
      <c r="SXJ42" s="478"/>
      <c r="SXK42" s="478"/>
      <c r="SXL42" s="478"/>
      <c r="SXM42" s="478"/>
      <c r="SXN42" s="478"/>
      <c r="SXO42" s="478"/>
      <c r="SXP42" s="478"/>
      <c r="SXQ42" s="478"/>
      <c r="SXR42" s="478"/>
      <c r="SXS42" s="478"/>
      <c r="SXT42" s="478"/>
      <c r="SXU42" s="478"/>
      <c r="SXV42" s="478"/>
      <c r="SXW42" s="478"/>
      <c r="SXX42" s="478"/>
      <c r="SXY42" s="478"/>
      <c r="SXZ42" s="478"/>
      <c r="SYA42" s="478"/>
      <c r="SYB42" s="478"/>
      <c r="SYC42" s="478"/>
      <c r="SYD42" s="478"/>
      <c r="SYE42" s="478"/>
      <c r="SYF42" s="478"/>
      <c r="SYG42" s="478"/>
      <c r="SYH42" s="478"/>
      <c r="SYI42" s="478"/>
      <c r="SYJ42" s="478"/>
      <c r="SYK42" s="478"/>
      <c r="SYL42" s="478"/>
      <c r="SYM42" s="478"/>
      <c r="SYN42" s="478"/>
      <c r="SYO42" s="478"/>
      <c r="SYP42" s="478"/>
      <c r="SYQ42" s="478"/>
      <c r="SYR42" s="478"/>
      <c r="SYS42" s="478"/>
      <c r="SYT42" s="478"/>
      <c r="SYU42" s="478"/>
      <c r="SYV42" s="478"/>
      <c r="SYW42" s="478"/>
      <c r="SYX42" s="478"/>
      <c r="SYY42" s="478"/>
      <c r="SYZ42" s="478"/>
      <c r="SZA42" s="478"/>
      <c r="SZB42" s="478"/>
      <c r="SZC42" s="478"/>
      <c r="SZD42" s="478"/>
      <c r="SZE42" s="478"/>
      <c r="SZF42" s="478"/>
      <c r="SZG42" s="478"/>
      <c r="SZH42" s="478"/>
      <c r="SZI42" s="478"/>
      <c r="SZJ42" s="478"/>
      <c r="SZK42" s="478"/>
      <c r="SZL42" s="478"/>
      <c r="SZM42" s="478"/>
      <c r="SZN42" s="478"/>
      <c r="SZO42" s="478"/>
      <c r="SZP42" s="478"/>
      <c r="SZQ42" s="478"/>
      <c r="SZR42" s="478"/>
      <c r="SZS42" s="478"/>
      <c r="SZT42" s="478"/>
      <c r="SZU42" s="478"/>
      <c r="SZV42" s="478"/>
      <c r="SZW42" s="478"/>
      <c r="SZX42" s="478"/>
      <c r="SZY42" s="478"/>
      <c r="SZZ42" s="478"/>
      <c r="TAA42" s="478"/>
      <c r="TAB42" s="478"/>
      <c r="TAC42" s="478"/>
      <c r="TAD42" s="478"/>
      <c r="TAE42" s="478"/>
      <c r="TAF42" s="478"/>
      <c r="TAG42" s="478"/>
      <c r="TAH42" s="478"/>
      <c r="TAI42" s="478"/>
      <c r="TAJ42" s="478"/>
      <c r="TAK42" s="478"/>
      <c r="TAL42" s="478"/>
      <c r="TAM42" s="478"/>
      <c r="TAN42" s="478"/>
      <c r="TAO42" s="478"/>
      <c r="TAP42" s="478"/>
      <c r="TAQ42" s="478"/>
      <c r="TAR42" s="478"/>
      <c r="TAS42" s="478"/>
      <c r="TAT42" s="478"/>
      <c r="TAU42" s="478"/>
      <c r="TAV42" s="478"/>
      <c r="TAW42" s="478"/>
      <c r="TAX42" s="478"/>
      <c r="TAY42" s="478"/>
      <c r="TAZ42" s="478"/>
      <c r="TBA42" s="478"/>
      <c r="TBB42" s="478"/>
      <c r="TBC42" s="478"/>
      <c r="TBD42" s="478"/>
      <c r="TBE42" s="478"/>
      <c r="TBF42" s="478"/>
      <c r="TBG42" s="478"/>
      <c r="TBH42" s="478"/>
      <c r="TBI42" s="478"/>
      <c r="TBJ42" s="478"/>
      <c r="TBK42" s="478"/>
      <c r="TBL42" s="478"/>
      <c r="TBM42" s="478"/>
      <c r="TBN42" s="478"/>
      <c r="TBO42" s="478"/>
      <c r="TBP42" s="478"/>
      <c r="TBQ42" s="478"/>
      <c r="TBR42" s="478"/>
      <c r="TBS42" s="478"/>
      <c r="TBT42" s="478"/>
      <c r="TBU42" s="478"/>
      <c r="TBV42" s="478"/>
      <c r="TBW42" s="478"/>
      <c r="TBX42" s="478"/>
      <c r="TBY42" s="478"/>
      <c r="TBZ42" s="478"/>
      <c r="TCA42" s="478"/>
      <c r="TCB42" s="478"/>
      <c r="TCC42" s="478"/>
      <c r="TCD42" s="478"/>
      <c r="TCE42" s="478"/>
      <c r="TCF42" s="478"/>
      <c r="TCG42" s="478"/>
      <c r="TCH42" s="478"/>
      <c r="TCI42" s="478"/>
      <c r="TCJ42" s="478"/>
      <c r="TCK42" s="478"/>
      <c r="TCL42" s="478"/>
      <c r="TCM42" s="478"/>
      <c r="TCN42" s="478"/>
      <c r="TCO42" s="478"/>
      <c r="TCP42" s="478"/>
      <c r="TCQ42" s="478"/>
      <c r="TCR42" s="478"/>
      <c r="TCS42" s="478"/>
      <c r="TCT42" s="478"/>
      <c r="TCU42" s="478"/>
      <c r="TCV42" s="478"/>
      <c r="TCW42" s="478"/>
      <c r="TCX42" s="478"/>
      <c r="TCY42" s="478"/>
      <c r="TCZ42" s="478"/>
      <c r="TDA42" s="478"/>
      <c r="TDB42" s="478"/>
      <c r="TDC42" s="478"/>
      <c r="TDD42" s="478"/>
      <c r="TDE42" s="478"/>
      <c r="TDF42" s="478"/>
      <c r="TDG42" s="478"/>
      <c r="TDH42" s="478"/>
      <c r="TDI42" s="478"/>
      <c r="TDJ42" s="478"/>
      <c r="TDK42" s="478"/>
      <c r="TDL42" s="478"/>
      <c r="TDM42" s="478"/>
      <c r="TDN42" s="478"/>
      <c r="TDO42" s="478"/>
      <c r="TDP42" s="478"/>
      <c r="TDQ42" s="478"/>
      <c r="TDR42" s="478"/>
      <c r="TDS42" s="478"/>
      <c r="TDT42" s="478"/>
      <c r="TDU42" s="478"/>
      <c r="TDV42" s="478"/>
      <c r="TDW42" s="478"/>
      <c r="TDX42" s="478"/>
      <c r="TDY42" s="478"/>
      <c r="TDZ42" s="478"/>
      <c r="TEA42" s="478"/>
      <c r="TEB42" s="478"/>
      <c r="TEC42" s="478"/>
      <c r="TED42" s="478"/>
      <c r="TEE42" s="478"/>
      <c r="TEF42" s="478"/>
      <c r="TEG42" s="478"/>
      <c r="TEH42" s="478"/>
      <c r="TEI42" s="478"/>
      <c r="TEJ42" s="478"/>
      <c r="TEK42" s="478"/>
      <c r="TEL42" s="478"/>
      <c r="TEM42" s="478"/>
      <c r="TEN42" s="478"/>
      <c r="TEO42" s="478"/>
      <c r="TEP42" s="478"/>
      <c r="TEQ42" s="478"/>
      <c r="TER42" s="478"/>
      <c r="TES42" s="478"/>
      <c r="TET42" s="478"/>
      <c r="TEU42" s="478"/>
      <c r="TEV42" s="478"/>
      <c r="TEW42" s="478"/>
      <c r="TEX42" s="478"/>
      <c r="TEY42" s="478"/>
      <c r="TEZ42" s="478"/>
      <c r="TFA42" s="478"/>
      <c r="TFB42" s="478"/>
      <c r="TFC42" s="478"/>
      <c r="TFD42" s="478"/>
      <c r="TFE42" s="478"/>
      <c r="TFF42" s="478"/>
      <c r="TFG42" s="478"/>
      <c r="TFH42" s="478"/>
      <c r="TFI42" s="478"/>
      <c r="TFJ42" s="478"/>
      <c r="TFK42" s="478"/>
      <c r="TFL42" s="478"/>
      <c r="TFM42" s="478"/>
      <c r="TFN42" s="478"/>
      <c r="TFO42" s="478"/>
      <c r="TFP42" s="478"/>
      <c r="TFQ42" s="478"/>
      <c r="TFR42" s="478"/>
      <c r="TFS42" s="478"/>
      <c r="TFT42" s="478"/>
      <c r="TFU42" s="478"/>
      <c r="TFV42" s="478"/>
      <c r="TFW42" s="478"/>
      <c r="TFX42" s="478"/>
      <c r="TFY42" s="478"/>
      <c r="TFZ42" s="478"/>
      <c r="TGA42" s="478"/>
      <c r="TGB42" s="478"/>
      <c r="TGC42" s="478"/>
      <c r="TGD42" s="478"/>
      <c r="TGE42" s="478"/>
      <c r="TGF42" s="478"/>
      <c r="TGG42" s="478"/>
      <c r="TGH42" s="478"/>
      <c r="TGI42" s="478"/>
      <c r="TGJ42" s="478"/>
      <c r="TGK42" s="478"/>
      <c r="TGL42" s="478"/>
      <c r="TGM42" s="478"/>
      <c r="TGN42" s="478"/>
      <c r="TGO42" s="478"/>
      <c r="TGP42" s="478"/>
      <c r="TGQ42" s="478"/>
      <c r="TGR42" s="478"/>
      <c r="TGS42" s="478"/>
      <c r="TGT42" s="478"/>
      <c r="TGU42" s="478"/>
      <c r="TGV42" s="478"/>
      <c r="TGW42" s="478"/>
      <c r="TGX42" s="478"/>
      <c r="TGY42" s="478"/>
      <c r="TGZ42" s="478"/>
      <c r="THA42" s="478"/>
      <c r="THB42" s="478"/>
      <c r="THC42" s="478"/>
      <c r="THD42" s="478"/>
      <c r="THE42" s="478"/>
      <c r="THF42" s="478"/>
      <c r="THG42" s="478"/>
      <c r="THH42" s="478"/>
      <c r="THI42" s="478"/>
      <c r="THJ42" s="478"/>
      <c r="THK42" s="478"/>
      <c r="THL42" s="478"/>
      <c r="THM42" s="478"/>
      <c r="THN42" s="478"/>
      <c r="THO42" s="478"/>
      <c r="THP42" s="478"/>
      <c r="THQ42" s="478"/>
      <c r="THR42" s="478"/>
      <c r="THS42" s="478"/>
      <c r="THT42" s="478"/>
      <c r="THU42" s="478"/>
      <c r="THV42" s="478"/>
      <c r="THW42" s="478"/>
      <c r="THX42" s="478"/>
      <c r="THY42" s="478"/>
      <c r="THZ42" s="478"/>
      <c r="TIA42" s="478"/>
      <c r="TIB42" s="478"/>
      <c r="TIC42" s="478"/>
      <c r="TID42" s="478"/>
      <c r="TIE42" s="478"/>
      <c r="TIF42" s="478"/>
      <c r="TIG42" s="478"/>
      <c r="TIH42" s="478"/>
      <c r="TII42" s="478"/>
      <c r="TIJ42" s="478"/>
      <c r="TIK42" s="478"/>
      <c r="TIL42" s="478"/>
      <c r="TIM42" s="478"/>
      <c r="TIN42" s="478"/>
      <c r="TIO42" s="478"/>
      <c r="TIP42" s="478"/>
      <c r="TIQ42" s="478"/>
      <c r="TIR42" s="478"/>
      <c r="TIS42" s="478"/>
      <c r="TIT42" s="478"/>
      <c r="TIU42" s="478"/>
      <c r="TIV42" s="478"/>
      <c r="TIW42" s="478"/>
      <c r="TIX42" s="478"/>
      <c r="TIY42" s="478"/>
      <c r="TIZ42" s="478"/>
      <c r="TJA42" s="478"/>
      <c r="TJB42" s="478"/>
      <c r="TJC42" s="478"/>
      <c r="TJD42" s="478"/>
      <c r="TJE42" s="478"/>
      <c r="TJF42" s="478"/>
      <c r="TJG42" s="478"/>
      <c r="TJH42" s="478"/>
      <c r="TJI42" s="478"/>
      <c r="TJJ42" s="478"/>
      <c r="TJK42" s="478"/>
      <c r="TJL42" s="478"/>
      <c r="TJM42" s="478"/>
      <c r="TJN42" s="478"/>
      <c r="TJO42" s="478"/>
      <c r="TJP42" s="478"/>
      <c r="TJQ42" s="478"/>
      <c r="TJR42" s="478"/>
      <c r="TJS42" s="478"/>
      <c r="TJT42" s="478"/>
      <c r="TJU42" s="478"/>
      <c r="TJV42" s="478"/>
      <c r="TJW42" s="478"/>
      <c r="TJX42" s="478"/>
      <c r="TJY42" s="478"/>
      <c r="TJZ42" s="478"/>
      <c r="TKA42" s="478"/>
      <c r="TKB42" s="478"/>
      <c r="TKC42" s="478"/>
      <c r="TKD42" s="478"/>
      <c r="TKE42" s="478"/>
      <c r="TKF42" s="478"/>
      <c r="TKG42" s="478"/>
      <c r="TKH42" s="478"/>
      <c r="TKI42" s="478"/>
      <c r="TKJ42" s="478"/>
      <c r="TKK42" s="478"/>
      <c r="TKL42" s="478"/>
      <c r="TKM42" s="478"/>
      <c r="TKN42" s="478"/>
      <c r="TKO42" s="478"/>
      <c r="TKP42" s="478"/>
      <c r="TKQ42" s="478"/>
      <c r="TKR42" s="478"/>
      <c r="TKS42" s="478"/>
      <c r="TKT42" s="478"/>
      <c r="TKU42" s="478"/>
      <c r="TKV42" s="478"/>
      <c r="TKW42" s="478"/>
      <c r="TKX42" s="478"/>
      <c r="TKY42" s="478"/>
      <c r="TKZ42" s="478"/>
      <c r="TLA42" s="478"/>
      <c r="TLB42" s="478"/>
      <c r="TLC42" s="478"/>
      <c r="TLD42" s="478"/>
      <c r="TLE42" s="478"/>
      <c r="TLF42" s="478"/>
      <c r="TLG42" s="478"/>
      <c r="TLH42" s="478"/>
      <c r="TLI42" s="478"/>
      <c r="TLJ42" s="478"/>
      <c r="TLK42" s="478"/>
      <c r="TLL42" s="478"/>
      <c r="TLM42" s="478"/>
      <c r="TLN42" s="478"/>
      <c r="TLO42" s="478"/>
      <c r="TLP42" s="478"/>
      <c r="TLQ42" s="478"/>
      <c r="TLR42" s="478"/>
      <c r="TLS42" s="478"/>
      <c r="TLT42" s="478"/>
      <c r="TLU42" s="478"/>
      <c r="TLV42" s="478"/>
      <c r="TLW42" s="478"/>
      <c r="TLX42" s="478"/>
      <c r="TLY42" s="478"/>
      <c r="TLZ42" s="478"/>
      <c r="TMA42" s="478"/>
      <c r="TMB42" s="478"/>
      <c r="TMC42" s="478"/>
      <c r="TMD42" s="478"/>
      <c r="TME42" s="478"/>
      <c r="TMF42" s="478"/>
      <c r="TMG42" s="478"/>
      <c r="TMH42" s="478"/>
      <c r="TMI42" s="478"/>
      <c r="TMJ42" s="478"/>
      <c r="TMK42" s="478"/>
      <c r="TML42" s="478"/>
      <c r="TMM42" s="478"/>
      <c r="TMN42" s="478"/>
      <c r="TMO42" s="478"/>
      <c r="TMP42" s="478"/>
      <c r="TMQ42" s="478"/>
      <c r="TMR42" s="478"/>
      <c r="TMS42" s="478"/>
      <c r="TMT42" s="478"/>
      <c r="TMU42" s="478"/>
      <c r="TMV42" s="478"/>
      <c r="TMW42" s="478"/>
      <c r="TMX42" s="478"/>
      <c r="TMY42" s="478"/>
      <c r="TMZ42" s="478"/>
      <c r="TNA42" s="478"/>
      <c r="TNB42" s="478"/>
      <c r="TNC42" s="478"/>
      <c r="TND42" s="478"/>
      <c r="TNE42" s="478"/>
      <c r="TNF42" s="478"/>
      <c r="TNG42" s="478"/>
      <c r="TNH42" s="478"/>
      <c r="TNI42" s="478"/>
      <c r="TNJ42" s="478"/>
      <c r="TNK42" s="478"/>
      <c r="TNL42" s="478"/>
      <c r="TNM42" s="478"/>
      <c r="TNN42" s="478"/>
      <c r="TNO42" s="478"/>
      <c r="TNP42" s="478"/>
      <c r="TNQ42" s="478"/>
      <c r="TNR42" s="478"/>
      <c r="TNS42" s="478"/>
      <c r="TNT42" s="478"/>
      <c r="TNU42" s="478"/>
      <c r="TNV42" s="478"/>
      <c r="TNW42" s="478"/>
      <c r="TNX42" s="478"/>
      <c r="TNY42" s="478"/>
      <c r="TNZ42" s="478"/>
      <c r="TOA42" s="478"/>
      <c r="TOB42" s="478"/>
      <c r="TOC42" s="478"/>
      <c r="TOD42" s="478"/>
      <c r="TOE42" s="478"/>
      <c r="TOF42" s="478"/>
      <c r="TOG42" s="478"/>
      <c r="TOH42" s="478"/>
      <c r="TOI42" s="478"/>
      <c r="TOJ42" s="478"/>
      <c r="TOK42" s="478"/>
      <c r="TOL42" s="478"/>
      <c r="TOM42" s="478"/>
      <c r="TON42" s="478"/>
      <c r="TOO42" s="478"/>
      <c r="TOP42" s="478"/>
      <c r="TOQ42" s="478"/>
      <c r="TOR42" s="478"/>
      <c r="TOS42" s="478"/>
      <c r="TOT42" s="478"/>
      <c r="TOU42" s="478"/>
      <c r="TOV42" s="478"/>
      <c r="TOW42" s="478"/>
      <c r="TOX42" s="478"/>
      <c r="TOY42" s="478"/>
      <c r="TOZ42" s="478"/>
      <c r="TPA42" s="478"/>
      <c r="TPB42" s="478"/>
      <c r="TPC42" s="478"/>
      <c r="TPD42" s="478"/>
      <c r="TPE42" s="478"/>
      <c r="TPF42" s="478"/>
      <c r="TPG42" s="478"/>
      <c r="TPH42" s="478"/>
      <c r="TPI42" s="478"/>
      <c r="TPJ42" s="478"/>
      <c r="TPK42" s="478"/>
      <c r="TPL42" s="478"/>
      <c r="TPM42" s="478"/>
      <c r="TPN42" s="478"/>
      <c r="TPO42" s="478"/>
      <c r="TPP42" s="478"/>
      <c r="TPQ42" s="478"/>
      <c r="TPR42" s="478"/>
      <c r="TPS42" s="478"/>
      <c r="TPT42" s="478"/>
      <c r="TPU42" s="478"/>
      <c r="TPV42" s="478"/>
      <c r="TPW42" s="478"/>
      <c r="TPX42" s="478"/>
      <c r="TPY42" s="478"/>
      <c r="TPZ42" s="478"/>
      <c r="TQA42" s="478"/>
      <c r="TQB42" s="478"/>
      <c r="TQC42" s="478"/>
      <c r="TQD42" s="478"/>
      <c r="TQE42" s="478"/>
      <c r="TQF42" s="478"/>
      <c r="TQG42" s="478"/>
      <c r="TQH42" s="478"/>
      <c r="TQI42" s="478"/>
      <c r="TQJ42" s="478"/>
      <c r="TQK42" s="478"/>
      <c r="TQL42" s="478"/>
      <c r="TQM42" s="478"/>
      <c r="TQN42" s="478"/>
      <c r="TQO42" s="478"/>
      <c r="TQP42" s="478"/>
      <c r="TQQ42" s="478"/>
      <c r="TQR42" s="478"/>
      <c r="TQS42" s="478"/>
      <c r="TQT42" s="478"/>
      <c r="TQU42" s="478"/>
      <c r="TQV42" s="478"/>
      <c r="TQW42" s="478"/>
      <c r="TQX42" s="478"/>
      <c r="TQY42" s="478"/>
      <c r="TQZ42" s="478"/>
      <c r="TRA42" s="478"/>
      <c r="TRB42" s="478"/>
      <c r="TRC42" s="478"/>
      <c r="TRD42" s="478"/>
      <c r="TRE42" s="478"/>
      <c r="TRF42" s="478"/>
      <c r="TRG42" s="478"/>
      <c r="TRH42" s="478"/>
      <c r="TRI42" s="478"/>
      <c r="TRJ42" s="478"/>
      <c r="TRK42" s="478"/>
      <c r="TRL42" s="478"/>
      <c r="TRM42" s="478"/>
      <c r="TRN42" s="478"/>
      <c r="TRO42" s="478"/>
      <c r="TRP42" s="478"/>
      <c r="TRQ42" s="478"/>
      <c r="TRR42" s="478"/>
      <c r="TRS42" s="478"/>
      <c r="TRT42" s="478"/>
      <c r="TRU42" s="478"/>
      <c r="TRV42" s="478"/>
      <c r="TRW42" s="478"/>
      <c r="TRX42" s="478"/>
      <c r="TRY42" s="478"/>
      <c r="TRZ42" s="478"/>
      <c r="TSA42" s="478"/>
      <c r="TSB42" s="478"/>
      <c r="TSC42" s="478"/>
      <c r="TSD42" s="478"/>
      <c r="TSE42" s="478"/>
      <c r="TSF42" s="478"/>
      <c r="TSG42" s="478"/>
      <c r="TSH42" s="478"/>
      <c r="TSI42" s="478"/>
      <c r="TSJ42" s="478"/>
      <c r="TSK42" s="478"/>
      <c r="TSL42" s="478"/>
      <c r="TSM42" s="478"/>
      <c r="TSN42" s="478"/>
      <c r="TSO42" s="478"/>
      <c r="TSP42" s="478"/>
      <c r="TSQ42" s="478"/>
      <c r="TSR42" s="478"/>
      <c r="TSS42" s="478"/>
      <c r="TST42" s="478"/>
      <c r="TSU42" s="478"/>
      <c r="TSV42" s="478"/>
      <c r="TSW42" s="478"/>
      <c r="TSX42" s="478"/>
      <c r="TSY42" s="478"/>
      <c r="TSZ42" s="478"/>
      <c r="TTA42" s="478"/>
      <c r="TTB42" s="478"/>
      <c r="TTC42" s="478"/>
      <c r="TTD42" s="478"/>
      <c r="TTE42" s="478"/>
      <c r="TTF42" s="478"/>
      <c r="TTG42" s="478"/>
      <c r="TTH42" s="478"/>
      <c r="TTI42" s="478"/>
      <c r="TTJ42" s="478"/>
      <c r="TTK42" s="478"/>
      <c r="TTL42" s="478"/>
      <c r="TTM42" s="478"/>
      <c r="TTN42" s="478"/>
      <c r="TTO42" s="478"/>
      <c r="TTP42" s="478"/>
      <c r="TTQ42" s="478"/>
      <c r="TTR42" s="478"/>
      <c r="TTS42" s="478"/>
      <c r="TTT42" s="478"/>
      <c r="TTU42" s="478"/>
      <c r="TTV42" s="478"/>
      <c r="TTW42" s="478"/>
      <c r="TTX42" s="478"/>
      <c r="TTY42" s="478"/>
      <c r="TTZ42" s="478"/>
      <c r="TUA42" s="478"/>
      <c r="TUB42" s="478"/>
      <c r="TUC42" s="478"/>
      <c r="TUD42" s="478"/>
      <c r="TUE42" s="478"/>
      <c r="TUF42" s="478"/>
      <c r="TUG42" s="478"/>
      <c r="TUH42" s="478"/>
      <c r="TUI42" s="478"/>
      <c r="TUJ42" s="478"/>
      <c r="TUK42" s="478"/>
      <c r="TUL42" s="478"/>
      <c r="TUM42" s="478"/>
      <c r="TUN42" s="478"/>
      <c r="TUO42" s="478"/>
      <c r="TUP42" s="478"/>
      <c r="TUQ42" s="478"/>
      <c r="TUR42" s="478"/>
      <c r="TUS42" s="478"/>
      <c r="TUT42" s="478"/>
      <c r="TUU42" s="478"/>
      <c r="TUV42" s="478"/>
      <c r="TUW42" s="478"/>
      <c r="TUX42" s="478"/>
      <c r="TUY42" s="478"/>
      <c r="TUZ42" s="478"/>
      <c r="TVA42" s="478"/>
      <c r="TVB42" s="478"/>
      <c r="TVC42" s="478"/>
      <c r="TVD42" s="478"/>
      <c r="TVE42" s="478"/>
      <c r="TVF42" s="478"/>
      <c r="TVG42" s="478"/>
      <c r="TVH42" s="478"/>
      <c r="TVI42" s="478"/>
      <c r="TVJ42" s="478"/>
      <c r="TVK42" s="478"/>
      <c r="TVL42" s="478"/>
      <c r="TVM42" s="478"/>
      <c r="TVN42" s="478"/>
      <c r="TVO42" s="478"/>
      <c r="TVP42" s="478"/>
      <c r="TVQ42" s="478"/>
      <c r="TVR42" s="478"/>
      <c r="TVS42" s="478"/>
      <c r="TVT42" s="478"/>
      <c r="TVU42" s="478"/>
      <c r="TVV42" s="478"/>
      <c r="TVW42" s="478"/>
      <c r="TVX42" s="478"/>
      <c r="TVY42" s="478"/>
      <c r="TVZ42" s="478"/>
      <c r="TWA42" s="478"/>
      <c r="TWB42" s="478"/>
      <c r="TWC42" s="478"/>
      <c r="TWD42" s="478"/>
      <c r="TWE42" s="478"/>
      <c r="TWF42" s="478"/>
      <c r="TWG42" s="478"/>
      <c r="TWH42" s="478"/>
      <c r="TWI42" s="478"/>
      <c r="TWJ42" s="478"/>
      <c r="TWK42" s="478"/>
      <c r="TWL42" s="478"/>
      <c r="TWM42" s="478"/>
      <c r="TWN42" s="478"/>
      <c r="TWO42" s="478"/>
      <c r="TWP42" s="478"/>
      <c r="TWQ42" s="478"/>
      <c r="TWR42" s="478"/>
      <c r="TWS42" s="478"/>
      <c r="TWT42" s="478"/>
      <c r="TWU42" s="478"/>
      <c r="TWV42" s="478"/>
      <c r="TWW42" s="478"/>
      <c r="TWX42" s="478"/>
      <c r="TWY42" s="478"/>
      <c r="TWZ42" s="478"/>
      <c r="TXA42" s="478"/>
      <c r="TXB42" s="478"/>
      <c r="TXC42" s="478"/>
      <c r="TXD42" s="478"/>
      <c r="TXE42" s="478"/>
      <c r="TXF42" s="478"/>
      <c r="TXG42" s="478"/>
      <c r="TXH42" s="478"/>
      <c r="TXI42" s="478"/>
      <c r="TXJ42" s="478"/>
      <c r="TXK42" s="478"/>
      <c r="TXL42" s="478"/>
      <c r="TXM42" s="478"/>
      <c r="TXN42" s="478"/>
      <c r="TXO42" s="478"/>
      <c r="TXP42" s="478"/>
      <c r="TXQ42" s="478"/>
      <c r="TXR42" s="478"/>
      <c r="TXS42" s="478"/>
      <c r="TXT42" s="478"/>
      <c r="TXU42" s="478"/>
      <c r="TXV42" s="478"/>
      <c r="TXW42" s="478"/>
      <c r="TXX42" s="478"/>
      <c r="TXY42" s="478"/>
      <c r="TXZ42" s="478"/>
      <c r="TYA42" s="478"/>
      <c r="TYB42" s="478"/>
      <c r="TYC42" s="478"/>
      <c r="TYD42" s="478"/>
      <c r="TYE42" s="478"/>
      <c r="TYF42" s="478"/>
      <c r="TYG42" s="478"/>
      <c r="TYH42" s="478"/>
      <c r="TYI42" s="478"/>
      <c r="TYJ42" s="478"/>
      <c r="TYK42" s="478"/>
      <c r="TYL42" s="478"/>
      <c r="TYM42" s="478"/>
      <c r="TYN42" s="478"/>
      <c r="TYO42" s="478"/>
      <c r="TYP42" s="478"/>
      <c r="TYQ42" s="478"/>
      <c r="TYR42" s="478"/>
      <c r="TYS42" s="478"/>
      <c r="TYT42" s="478"/>
      <c r="TYU42" s="478"/>
      <c r="TYV42" s="478"/>
      <c r="TYW42" s="478"/>
      <c r="TYX42" s="478"/>
      <c r="TYY42" s="478"/>
      <c r="TYZ42" s="478"/>
      <c r="TZA42" s="478"/>
      <c r="TZB42" s="478"/>
      <c r="TZC42" s="478"/>
      <c r="TZD42" s="478"/>
      <c r="TZE42" s="478"/>
      <c r="TZF42" s="478"/>
      <c r="TZG42" s="478"/>
      <c r="TZH42" s="478"/>
      <c r="TZI42" s="478"/>
      <c r="TZJ42" s="478"/>
      <c r="TZK42" s="478"/>
      <c r="TZL42" s="478"/>
      <c r="TZM42" s="478"/>
      <c r="TZN42" s="478"/>
      <c r="TZO42" s="478"/>
      <c r="TZP42" s="478"/>
      <c r="TZQ42" s="478"/>
      <c r="TZR42" s="478"/>
      <c r="TZS42" s="478"/>
      <c r="TZT42" s="478"/>
      <c r="TZU42" s="478"/>
      <c r="TZV42" s="478"/>
      <c r="TZW42" s="478"/>
      <c r="TZX42" s="478"/>
      <c r="TZY42" s="478"/>
      <c r="TZZ42" s="478"/>
      <c r="UAA42" s="478"/>
      <c r="UAB42" s="478"/>
      <c r="UAC42" s="478"/>
      <c r="UAD42" s="478"/>
      <c r="UAE42" s="478"/>
      <c r="UAF42" s="478"/>
      <c r="UAG42" s="478"/>
      <c r="UAH42" s="478"/>
      <c r="UAI42" s="478"/>
      <c r="UAJ42" s="478"/>
      <c r="UAK42" s="478"/>
      <c r="UAL42" s="478"/>
      <c r="UAM42" s="478"/>
      <c r="UAN42" s="478"/>
      <c r="UAO42" s="478"/>
      <c r="UAP42" s="478"/>
      <c r="UAQ42" s="478"/>
      <c r="UAR42" s="478"/>
      <c r="UAS42" s="478"/>
      <c r="UAT42" s="478"/>
      <c r="UAU42" s="478"/>
      <c r="UAV42" s="478"/>
      <c r="UAW42" s="478"/>
      <c r="UAX42" s="478"/>
      <c r="UAY42" s="478"/>
      <c r="UAZ42" s="478"/>
      <c r="UBA42" s="478"/>
      <c r="UBB42" s="478"/>
      <c r="UBC42" s="478"/>
      <c r="UBD42" s="478"/>
      <c r="UBE42" s="478"/>
      <c r="UBF42" s="478"/>
      <c r="UBG42" s="478"/>
      <c r="UBH42" s="478"/>
      <c r="UBI42" s="478"/>
      <c r="UBJ42" s="478"/>
      <c r="UBK42" s="478"/>
      <c r="UBL42" s="478"/>
      <c r="UBM42" s="478"/>
      <c r="UBN42" s="478"/>
      <c r="UBO42" s="478"/>
      <c r="UBP42" s="478"/>
      <c r="UBQ42" s="478"/>
      <c r="UBR42" s="478"/>
      <c r="UBS42" s="478"/>
      <c r="UBT42" s="478"/>
      <c r="UBU42" s="478"/>
      <c r="UBV42" s="478"/>
      <c r="UBW42" s="478"/>
      <c r="UBX42" s="478"/>
      <c r="UBY42" s="478"/>
      <c r="UBZ42" s="478"/>
      <c r="UCA42" s="478"/>
      <c r="UCB42" s="478"/>
      <c r="UCC42" s="478"/>
      <c r="UCD42" s="478"/>
      <c r="UCE42" s="478"/>
      <c r="UCF42" s="478"/>
      <c r="UCG42" s="478"/>
      <c r="UCH42" s="478"/>
      <c r="UCI42" s="478"/>
      <c r="UCJ42" s="478"/>
      <c r="UCK42" s="478"/>
      <c r="UCL42" s="478"/>
      <c r="UCM42" s="478"/>
      <c r="UCN42" s="478"/>
      <c r="UCO42" s="478"/>
      <c r="UCP42" s="478"/>
      <c r="UCQ42" s="478"/>
      <c r="UCR42" s="478"/>
      <c r="UCS42" s="478"/>
      <c r="UCT42" s="478"/>
      <c r="UCU42" s="478"/>
      <c r="UCV42" s="478"/>
      <c r="UCW42" s="478"/>
      <c r="UCX42" s="478"/>
      <c r="UCY42" s="478"/>
      <c r="UCZ42" s="478"/>
      <c r="UDA42" s="478"/>
      <c r="UDB42" s="478"/>
      <c r="UDC42" s="478"/>
      <c r="UDD42" s="478"/>
      <c r="UDE42" s="478"/>
      <c r="UDF42" s="478"/>
      <c r="UDG42" s="478"/>
      <c r="UDH42" s="478"/>
      <c r="UDI42" s="478"/>
      <c r="UDJ42" s="478"/>
      <c r="UDK42" s="478"/>
      <c r="UDL42" s="478"/>
      <c r="UDM42" s="478"/>
      <c r="UDN42" s="478"/>
      <c r="UDO42" s="478"/>
      <c r="UDP42" s="478"/>
      <c r="UDQ42" s="478"/>
      <c r="UDR42" s="478"/>
      <c r="UDS42" s="478"/>
      <c r="UDT42" s="478"/>
      <c r="UDU42" s="478"/>
      <c r="UDV42" s="478"/>
      <c r="UDW42" s="478"/>
      <c r="UDX42" s="478"/>
      <c r="UDY42" s="478"/>
      <c r="UDZ42" s="478"/>
      <c r="UEA42" s="478"/>
      <c r="UEB42" s="478"/>
      <c r="UEC42" s="478"/>
      <c r="UED42" s="478"/>
      <c r="UEE42" s="478"/>
      <c r="UEF42" s="478"/>
      <c r="UEG42" s="478"/>
      <c r="UEH42" s="478"/>
      <c r="UEI42" s="478"/>
      <c r="UEJ42" s="478"/>
      <c r="UEK42" s="478"/>
      <c r="UEL42" s="478"/>
      <c r="UEM42" s="478"/>
      <c r="UEN42" s="478"/>
      <c r="UEO42" s="478"/>
      <c r="UEP42" s="478"/>
      <c r="UEQ42" s="478"/>
      <c r="UER42" s="478"/>
      <c r="UES42" s="478"/>
      <c r="UET42" s="478"/>
      <c r="UEU42" s="478"/>
      <c r="UEV42" s="478"/>
      <c r="UEW42" s="478"/>
      <c r="UEX42" s="478"/>
      <c r="UEY42" s="478"/>
      <c r="UEZ42" s="478"/>
      <c r="UFA42" s="478"/>
      <c r="UFB42" s="478"/>
      <c r="UFC42" s="478"/>
      <c r="UFD42" s="478"/>
      <c r="UFE42" s="478"/>
      <c r="UFF42" s="478"/>
      <c r="UFG42" s="478"/>
      <c r="UFH42" s="478"/>
      <c r="UFI42" s="478"/>
      <c r="UFJ42" s="478"/>
      <c r="UFK42" s="478"/>
      <c r="UFL42" s="478"/>
      <c r="UFM42" s="478"/>
      <c r="UFN42" s="478"/>
      <c r="UFO42" s="478"/>
      <c r="UFP42" s="478"/>
      <c r="UFQ42" s="478"/>
      <c r="UFR42" s="478"/>
      <c r="UFS42" s="478"/>
      <c r="UFT42" s="478"/>
      <c r="UFU42" s="478"/>
      <c r="UFV42" s="478"/>
      <c r="UFW42" s="478"/>
      <c r="UFX42" s="478"/>
      <c r="UFY42" s="478"/>
      <c r="UFZ42" s="478"/>
      <c r="UGA42" s="478"/>
      <c r="UGB42" s="478"/>
      <c r="UGC42" s="478"/>
      <c r="UGD42" s="478"/>
      <c r="UGE42" s="478"/>
      <c r="UGF42" s="478"/>
      <c r="UGG42" s="478"/>
      <c r="UGH42" s="478"/>
      <c r="UGI42" s="478"/>
      <c r="UGJ42" s="478"/>
      <c r="UGK42" s="478"/>
      <c r="UGL42" s="478"/>
      <c r="UGM42" s="478"/>
      <c r="UGN42" s="478"/>
      <c r="UGO42" s="478"/>
      <c r="UGP42" s="478"/>
      <c r="UGQ42" s="478"/>
      <c r="UGR42" s="478"/>
      <c r="UGS42" s="478"/>
      <c r="UGT42" s="478"/>
      <c r="UGU42" s="478"/>
      <c r="UGV42" s="478"/>
      <c r="UGW42" s="478"/>
      <c r="UGX42" s="478"/>
      <c r="UGY42" s="478"/>
      <c r="UGZ42" s="478"/>
      <c r="UHA42" s="478"/>
      <c r="UHB42" s="478"/>
      <c r="UHC42" s="478"/>
      <c r="UHD42" s="478"/>
      <c r="UHE42" s="478"/>
      <c r="UHF42" s="478"/>
      <c r="UHG42" s="478"/>
      <c r="UHH42" s="478"/>
      <c r="UHI42" s="478"/>
      <c r="UHJ42" s="478"/>
      <c r="UHK42" s="478"/>
      <c r="UHL42" s="478"/>
      <c r="UHM42" s="478"/>
      <c r="UHN42" s="478"/>
      <c r="UHO42" s="478"/>
      <c r="UHP42" s="478"/>
      <c r="UHQ42" s="478"/>
      <c r="UHR42" s="478"/>
      <c r="UHS42" s="478"/>
      <c r="UHT42" s="478"/>
      <c r="UHU42" s="478"/>
      <c r="UHV42" s="478"/>
      <c r="UHW42" s="478"/>
      <c r="UHX42" s="478"/>
      <c r="UHY42" s="478"/>
      <c r="UHZ42" s="478"/>
      <c r="UIA42" s="478"/>
      <c r="UIB42" s="478"/>
      <c r="UIC42" s="478"/>
      <c r="UID42" s="478"/>
      <c r="UIE42" s="478"/>
      <c r="UIF42" s="478"/>
      <c r="UIG42" s="478"/>
      <c r="UIH42" s="478"/>
      <c r="UII42" s="478"/>
      <c r="UIJ42" s="478"/>
      <c r="UIK42" s="478"/>
      <c r="UIL42" s="478"/>
      <c r="UIM42" s="478"/>
      <c r="UIN42" s="478"/>
      <c r="UIO42" s="478"/>
      <c r="UIP42" s="478"/>
      <c r="UIQ42" s="478"/>
      <c r="UIR42" s="478"/>
      <c r="UIS42" s="478"/>
      <c r="UIT42" s="478"/>
      <c r="UIU42" s="478"/>
      <c r="UIV42" s="478"/>
      <c r="UIW42" s="478"/>
      <c r="UIX42" s="478"/>
      <c r="UIY42" s="478"/>
      <c r="UIZ42" s="478"/>
      <c r="UJA42" s="478"/>
      <c r="UJB42" s="478"/>
      <c r="UJC42" s="478"/>
      <c r="UJD42" s="478"/>
      <c r="UJE42" s="478"/>
      <c r="UJF42" s="478"/>
      <c r="UJG42" s="478"/>
      <c r="UJH42" s="478"/>
      <c r="UJI42" s="478"/>
      <c r="UJJ42" s="478"/>
      <c r="UJK42" s="478"/>
      <c r="UJL42" s="478"/>
      <c r="UJM42" s="478"/>
      <c r="UJN42" s="478"/>
      <c r="UJO42" s="478"/>
      <c r="UJP42" s="478"/>
      <c r="UJQ42" s="478"/>
      <c r="UJR42" s="478"/>
      <c r="UJS42" s="478"/>
      <c r="UJT42" s="478"/>
      <c r="UJU42" s="478"/>
      <c r="UJV42" s="478"/>
      <c r="UJW42" s="478"/>
      <c r="UJX42" s="478"/>
      <c r="UJY42" s="478"/>
      <c r="UJZ42" s="478"/>
      <c r="UKA42" s="478"/>
      <c r="UKB42" s="478"/>
      <c r="UKC42" s="478"/>
      <c r="UKD42" s="478"/>
      <c r="UKE42" s="478"/>
      <c r="UKF42" s="478"/>
      <c r="UKG42" s="478"/>
      <c r="UKH42" s="478"/>
      <c r="UKI42" s="478"/>
      <c r="UKJ42" s="478"/>
      <c r="UKK42" s="478"/>
      <c r="UKL42" s="478"/>
      <c r="UKM42" s="478"/>
      <c r="UKN42" s="478"/>
      <c r="UKO42" s="478"/>
      <c r="UKP42" s="478"/>
      <c r="UKQ42" s="478"/>
      <c r="UKR42" s="478"/>
      <c r="UKS42" s="478"/>
      <c r="UKT42" s="478"/>
      <c r="UKU42" s="478"/>
      <c r="UKV42" s="478"/>
      <c r="UKW42" s="478"/>
      <c r="UKX42" s="478"/>
      <c r="UKY42" s="478"/>
      <c r="UKZ42" s="478"/>
      <c r="ULA42" s="478"/>
      <c r="ULB42" s="478"/>
      <c r="ULC42" s="478"/>
      <c r="ULD42" s="478"/>
      <c r="ULE42" s="478"/>
      <c r="ULF42" s="478"/>
      <c r="ULG42" s="478"/>
      <c r="ULH42" s="478"/>
      <c r="ULI42" s="478"/>
      <c r="ULJ42" s="478"/>
      <c r="ULK42" s="478"/>
      <c r="ULL42" s="478"/>
      <c r="ULM42" s="478"/>
      <c r="ULN42" s="478"/>
      <c r="ULO42" s="478"/>
      <c r="ULP42" s="478"/>
      <c r="ULQ42" s="478"/>
      <c r="ULR42" s="478"/>
      <c r="ULS42" s="478"/>
      <c r="ULT42" s="478"/>
      <c r="ULU42" s="478"/>
      <c r="ULV42" s="478"/>
      <c r="ULW42" s="478"/>
      <c r="ULX42" s="478"/>
      <c r="ULY42" s="478"/>
      <c r="ULZ42" s="478"/>
      <c r="UMA42" s="478"/>
      <c r="UMB42" s="478"/>
      <c r="UMC42" s="478"/>
      <c r="UMD42" s="478"/>
      <c r="UME42" s="478"/>
      <c r="UMF42" s="478"/>
      <c r="UMG42" s="478"/>
      <c r="UMH42" s="478"/>
      <c r="UMI42" s="478"/>
      <c r="UMJ42" s="478"/>
      <c r="UMK42" s="478"/>
      <c r="UML42" s="478"/>
      <c r="UMM42" s="478"/>
      <c r="UMN42" s="478"/>
      <c r="UMO42" s="478"/>
      <c r="UMP42" s="478"/>
      <c r="UMQ42" s="478"/>
      <c r="UMR42" s="478"/>
      <c r="UMS42" s="478"/>
      <c r="UMT42" s="478"/>
      <c r="UMU42" s="478"/>
      <c r="UMV42" s="478"/>
      <c r="UMW42" s="478"/>
      <c r="UMX42" s="478"/>
      <c r="UMY42" s="478"/>
      <c r="UMZ42" s="478"/>
      <c r="UNA42" s="478"/>
      <c r="UNB42" s="478"/>
      <c r="UNC42" s="478"/>
      <c r="UND42" s="478"/>
      <c r="UNE42" s="478"/>
      <c r="UNF42" s="478"/>
      <c r="UNG42" s="478"/>
      <c r="UNH42" s="478"/>
      <c r="UNI42" s="478"/>
      <c r="UNJ42" s="478"/>
      <c r="UNK42" s="478"/>
      <c r="UNL42" s="478"/>
      <c r="UNM42" s="478"/>
      <c r="UNN42" s="478"/>
      <c r="UNO42" s="478"/>
      <c r="UNP42" s="478"/>
      <c r="UNQ42" s="478"/>
      <c r="UNR42" s="478"/>
      <c r="UNS42" s="478"/>
      <c r="UNT42" s="478"/>
      <c r="UNU42" s="478"/>
      <c r="UNV42" s="478"/>
      <c r="UNW42" s="478"/>
      <c r="UNX42" s="478"/>
      <c r="UNY42" s="478"/>
      <c r="UNZ42" s="478"/>
      <c r="UOA42" s="478"/>
      <c r="UOB42" s="478"/>
      <c r="UOC42" s="478"/>
      <c r="UOD42" s="478"/>
      <c r="UOE42" s="478"/>
      <c r="UOF42" s="478"/>
      <c r="UOG42" s="478"/>
      <c r="UOH42" s="478"/>
      <c r="UOI42" s="478"/>
      <c r="UOJ42" s="478"/>
      <c r="UOK42" s="478"/>
      <c r="UOL42" s="478"/>
      <c r="UOM42" s="478"/>
      <c r="UON42" s="478"/>
      <c r="UOO42" s="478"/>
      <c r="UOP42" s="478"/>
      <c r="UOQ42" s="478"/>
      <c r="UOR42" s="478"/>
      <c r="UOS42" s="478"/>
      <c r="UOT42" s="478"/>
      <c r="UOU42" s="478"/>
      <c r="UOV42" s="478"/>
      <c r="UOW42" s="478"/>
      <c r="UOX42" s="478"/>
      <c r="UOY42" s="478"/>
      <c r="UOZ42" s="478"/>
      <c r="UPA42" s="478"/>
      <c r="UPB42" s="478"/>
      <c r="UPC42" s="478"/>
      <c r="UPD42" s="478"/>
      <c r="UPE42" s="478"/>
      <c r="UPF42" s="478"/>
      <c r="UPG42" s="478"/>
      <c r="UPH42" s="478"/>
      <c r="UPI42" s="478"/>
      <c r="UPJ42" s="478"/>
      <c r="UPK42" s="478"/>
      <c r="UPL42" s="478"/>
      <c r="UPM42" s="478"/>
      <c r="UPN42" s="478"/>
      <c r="UPO42" s="478"/>
      <c r="UPP42" s="478"/>
      <c r="UPQ42" s="478"/>
      <c r="UPR42" s="478"/>
      <c r="UPS42" s="478"/>
      <c r="UPT42" s="478"/>
      <c r="UPU42" s="478"/>
      <c r="UPV42" s="478"/>
      <c r="UPW42" s="478"/>
      <c r="UPX42" s="478"/>
      <c r="UPY42" s="478"/>
      <c r="UPZ42" s="478"/>
      <c r="UQA42" s="478"/>
      <c r="UQB42" s="478"/>
      <c r="UQC42" s="478"/>
      <c r="UQD42" s="478"/>
      <c r="UQE42" s="478"/>
      <c r="UQF42" s="478"/>
      <c r="UQG42" s="478"/>
      <c r="UQH42" s="478"/>
      <c r="UQI42" s="478"/>
      <c r="UQJ42" s="478"/>
      <c r="UQK42" s="478"/>
      <c r="UQL42" s="478"/>
      <c r="UQM42" s="478"/>
      <c r="UQN42" s="478"/>
      <c r="UQO42" s="478"/>
      <c r="UQP42" s="478"/>
      <c r="UQQ42" s="478"/>
      <c r="UQR42" s="478"/>
      <c r="UQS42" s="478"/>
      <c r="UQT42" s="478"/>
      <c r="UQU42" s="478"/>
      <c r="UQV42" s="478"/>
      <c r="UQW42" s="478"/>
      <c r="UQX42" s="478"/>
      <c r="UQY42" s="478"/>
      <c r="UQZ42" s="478"/>
      <c r="URA42" s="478"/>
      <c r="URB42" s="478"/>
      <c r="URC42" s="478"/>
      <c r="URD42" s="478"/>
      <c r="URE42" s="478"/>
      <c r="URF42" s="478"/>
      <c r="URG42" s="478"/>
      <c r="URH42" s="478"/>
      <c r="URI42" s="478"/>
      <c r="URJ42" s="478"/>
      <c r="URK42" s="478"/>
      <c r="URL42" s="478"/>
      <c r="URM42" s="478"/>
      <c r="URN42" s="478"/>
      <c r="URO42" s="478"/>
      <c r="URP42" s="478"/>
      <c r="URQ42" s="478"/>
      <c r="URR42" s="478"/>
      <c r="URS42" s="478"/>
      <c r="URT42" s="478"/>
      <c r="URU42" s="478"/>
      <c r="URV42" s="478"/>
      <c r="URW42" s="478"/>
      <c r="URX42" s="478"/>
      <c r="URY42" s="478"/>
      <c r="URZ42" s="478"/>
      <c r="USA42" s="478"/>
      <c r="USB42" s="478"/>
      <c r="USC42" s="478"/>
      <c r="USD42" s="478"/>
      <c r="USE42" s="478"/>
      <c r="USF42" s="478"/>
      <c r="USG42" s="478"/>
      <c r="USH42" s="478"/>
      <c r="USI42" s="478"/>
      <c r="USJ42" s="478"/>
      <c r="USK42" s="478"/>
      <c r="USL42" s="478"/>
      <c r="USM42" s="478"/>
      <c r="USN42" s="478"/>
      <c r="USO42" s="478"/>
      <c r="USP42" s="478"/>
      <c r="USQ42" s="478"/>
      <c r="USR42" s="478"/>
      <c r="USS42" s="478"/>
      <c r="UST42" s="478"/>
      <c r="USU42" s="478"/>
      <c r="USV42" s="478"/>
      <c r="USW42" s="478"/>
      <c r="USX42" s="478"/>
      <c r="USY42" s="478"/>
      <c r="USZ42" s="478"/>
      <c r="UTA42" s="478"/>
      <c r="UTB42" s="478"/>
      <c r="UTC42" s="478"/>
      <c r="UTD42" s="478"/>
      <c r="UTE42" s="478"/>
      <c r="UTF42" s="478"/>
      <c r="UTG42" s="478"/>
      <c r="UTH42" s="478"/>
      <c r="UTI42" s="478"/>
      <c r="UTJ42" s="478"/>
      <c r="UTK42" s="478"/>
      <c r="UTL42" s="478"/>
      <c r="UTM42" s="478"/>
      <c r="UTN42" s="478"/>
      <c r="UTO42" s="478"/>
      <c r="UTP42" s="478"/>
      <c r="UTQ42" s="478"/>
      <c r="UTR42" s="478"/>
      <c r="UTS42" s="478"/>
      <c r="UTT42" s="478"/>
      <c r="UTU42" s="478"/>
      <c r="UTV42" s="478"/>
      <c r="UTW42" s="478"/>
      <c r="UTX42" s="478"/>
      <c r="UTY42" s="478"/>
      <c r="UTZ42" s="478"/>
      <c r="UUA42" s="478"/>
      <c r="UUB42" s="478"/>
      <c r="UUC42" s="478"/>
      <c r="UUD42" s="478"/>
      <c r="UUE42" s="478"/>
      <c r="UUF42" s="478"/>
      <c r="UUG42" s="478"/>
      <c r="UUH42" s="478"/>
      <c r="UUI42" s="478"/>
      <c r="UUJ42" s="478"/>
      <c r="UUK42" s="478"/>
      <c r="UUL42" s="478"/>
      <c r="UUM42" s="478"/>
      <c r="UUN42" s="478"/>
      <c r="UUO42" s="478"/>
      <c r="UUP42" s="478"/>
      <c r="UUQ42" s="478"/>
      <c r="UUR42" s="478"/>
      <c r="UUS42" s="478"/>
      <c r="UUT42" s="478"/>
      <c r="UUU42" s="478"/>
      <c r="UUV42" s="478"/>
      <c r="UUW42" s="478"/>
      <c r="UUX42" s="478"/>
      <c r="UUY42" s="478"/>
      <c r="UUZ42" s="478"/>
      <c r="UVA42" s="478"/>
      <c r="UVB42" s="478"/>
      <c r="UVC42" s="478"/>
      <c r="UVD42" s="478"/>
      <c r="UVE42" s="478"/>
      <c r="UVF42" s="478"/>
      <c r="UVG42" s="478"/>
      <c r="UVH42" s="478"/>
      <c r="UVI42" s="478"/>
      <c r="UVJ42" s="478"/>
      <c r="UVK42" s="478"/>
      <c r="UVL42" s="478"/>
      <c r="UVM42" s="478"/>
      <c r="UVN42" s="478"/>
      <c r="UVO42" s="478"/>
      <c r="UVP42" s="478"/>
      <c r="UVQ42" s="478"/>
      <c r="UVR42" s="478"/>
      <c r="UVS42" s="478"/>
      <c r="UVT42" s="478"/>
      <c r="UVU42" s="478"/>
      <c r="UVV42" s="478"/>
      <c r="UVW42" s="478"/>
      <c r="UVX42" s="478"/>
      <c r="UVY42" s="478"/>
      <c r="UVZ42" s="478"/>
      <c r="UWA42" s="478"/>
      <c r="UWB42" s="478"/>
      <c r="UWC42" s="478"/>
      <c r="UWD42" s="478"/>
      <c r="UWE42" s="478"/>
      <c r="UWF42" s="478"/>
      <c r="UWG42" s="478"/>
      <c r="UWH42" s="478"/>
      <c r="UWI42" s="478"/>
      <c r="UWJ42" s="478"/>
      <c r="UWK42" s="478"/>
      <c r="UWL42" s="478"/>
      <c r="UWM42" s="478"/>
      <c r="UWN42" s="478"/>
      <c r="UWO42" s="478"/>
      <c r="UWP42" s="478"/>
      <c r="UWQ42" s="478"/>
      <c r="UWR42" s="478"/>
      <c r="UWS42" s="478"/>
      <c r="UWT42" s="478"/>
      <c r="UWU42" s="478"/>
      <c r="UWV42" s="478"/>
      <c r="UWW42" s="478"/>
      <c r="UWX42" s="478"/>
      <c r="UWY42" s="478"/>
      <c r="UWZ42" s="478"/>
      <c r="UXA42" s="478"/>
      <c r="UXB42" s="478"/>
      <c r="UXC42" s="478"/>
      <c r="UXD42" s="478"/>
      <c r="UXE42" s="478"/>
      <c r="UXF42" s="478"/>
      <c r="UXG42" s="478"/>
      <c r="UXH42" s="478"/>
      <c r="UXI42" s="478"/>
      <c r="UXJ42" s="478"/>
      <c r="UXK42" s="478"/>
      <c r="UXL42" s="478"/>
      <c r="UXM42" s="478"/>
      <c r="UXN42" s="478"/>
      <c r="UXO42" s="478"/>
      <c r="UXP42" s="478"/>
      <c r="UXQ42" s="478"/>
      <c r="UXR42" s="478"/>
      <c r="UXS42" s="478"/>
      <c r="UXT42" s="478"/>
      <c r="UXU42" s="478"/>
      <c r="UXV42" s="478"/>
      <c r="UXW42" s="478"/>
      <c r="UXX42" s="478"/>
      <c r="UXY42" s="478"/>
      <c r="UXZ42" s="478"/>
      <c r="UYA42" s="478"/>
      <c r="UYB42" s="478"/>
      <c r="UYC42" s="478"/>
      <c r="UYD42" s="478"/>
      <c r="UYE42" s="478"/>
      <c r="UYF42" s="478"/>
      <c r="UYG42" s="478"/>
      <c r="UYH42" s="478"/>
      <c r="UYI42" s="478"/>
      <c r="UYJ42" s="478"/>
      <c r="UYK42" s="478"/>
      <c r="UYL42" s="478"/>
      <c r="UYM42" s="478"/>
      <c r="UYN42" s="478"/>
      <c r="UYO42" s="478"/>
      <c r="UYP42" s="478"/>
      <c r="UYQ42" s="478"/>
      <c r="UYR42" s="478"/>
      <c r="UYS42" s="478"/>
      <c r="UYT42" s="478"/>
      <c r="UYU42" s="478"/>
      <c r="UYV42" s="478"/>
      <c r="UYW42" s="478"/>
      <c r="UYX42" s="478"/>
      <c r="UYY42" s="478"/>
      <c r="UYZ42" s="478"/>
      <c r="UZA42" s="478"/>
      <c r="UZB42" s="478"/>
      <c r="UZC42" s="478"/>
      <c r="UZD42" s="478"/>
      <c r="UZE42" s="478"/>
      <c r="UZF42" s="478"/>
      <c r="UZG42" s="478"/>
      <c r="UZH42" s="478"/>
      <c r="UZI42" s="478"/>
      <c r="UZJ42" s="478"/>
      <c r="UZK42" s="478"/>
      <c r="UZL42" s="478"/>
      <c r="UZM42" s="478"/>
      <c r="UZN42" s="478"/>
      <c r="UZO42" s="478"/>
      <c r="UZP42" s="478"/>
      <c r="UZQ42" s="478"/>
      <c r="UZR42" s="478"/>
      <c r="UZS42" s="478"/>
      <c r="UZT42" s="478"/>
      <c r="UZU42" s="478"/>
      <c r="UZV42" s="478"/>
      <c r="UZW42" s="478"/>
      <c r="UZX42" s="478"/>
      <c r="UZY42" s="478"/>
      <c r="UZZ42" s="478"/>
      <c r="VAA42" s="478"/>
      <c r="VAB42" s="478"/>
      <c r="VAC42" s="478"/>
      <c r="VAD42" s="478"/>
      <c r="VAE42" s="478"/>
      <c r="VAF42" s="478"/>
      <c r="VAG42" s="478"/>
      <c r="VAH42" s="478"/>
      <c r="VAI42" s="478"/>
      <c r="VAJ42" s="478"/>
      <c r="VAK42" s="478"/>
      <c r="VAL42" s="478"/>
      <c r="VAM42" s="478"/>
      <c r="VAN42" s="478"/>
      <c r="VAO42" s="478"/>
      <c r="VAP42" s="478"/>
      <c r="VAQ42" s="478"/>
      <c r="VAR42" s="478"/>
      <c r="VAS42" s="478"/>
      <c r="VAT42" s="478"/>
      <c r="VAU42" s="478"/>
      <c r="VAV42" s="478"/>
      <c r="VAW42" s="478"/>
      <c r="VAX42" s="478"/>
      <c r="VAY42" s="478"/>
      <c r="VAZ42" s="478"/>
      <c r="VBA42" s="478"/>
      <c r="VBB42" s="478"/>
      <c r="VBC42" s="478"/>
      <c r="VBD42" s="478"/>
      <c r="VBE42" s="478"/>
      <c r="VBF42" s="478"/>
      <c r="VBG42" s="478"/>
      <c r="VBH42" s="478"/>
      <c r="VBI42" s="478"/>
      <c r="VBJ42" s="478"/>
      <c r="VBK42" s="478"/>
      <c r="VBL42" s="478"/>
      <c r="VBM42" s="478"/>
      <c r="VBN42" s="478"/>
      <c r="VBO42" s="478"/>
      <c r="VBP42" s="478"/>
      <c r="VBQ42" s="478"/>
      <c r="VBR42" s="478"/>
      <c r="VBS42" s="478"/>
      <c r="VBT42" s="478"/>
      <c r="VBU42" s="478"/>
      <c r="VBV42" s="478"/>
      <c r="VBW42" s="478"/>
      <c r="VBX42" s="478"/>
      <c r="VBY42" s="478"/>
      <c r="VBZ42" s="478"/>
      <c r="VCA42" s="478"/>
      <c r="VCB42" s="478"/>
      <c r="VCC42" s="478"/>
      <c r="VCD42" s="478"/>
      <c r="VCE42" s="478"/>
      <c r="VCF42" s="478"/>
      <c r="VCG42" s="478"/>
      <c r="VCH42" s="478"/>
      <c r="VCI42" s="478"/>
      <c r="VCJ42" s="478"/>
      <c r="VCK42" s="478"/>
      <c r="VCL42" s="478"/>
      <c r="VCM42" s="478"/>
      <c r="VCN42" s="478"/>
      <c r="VCO42" s="478"/>
      <c r="VCP42" s="478"/>
      <c r="VCQ42" s="478"/>
      <c r="VCR42" s="478"/>
      <c r="VCS42" s="478"/>
      <c r="VCT42" s="478"/>
      <c r="VCU42" s="478"/>
      <c r="VCV42" s="478"/>
      <c r="VCW42" s="478"/>
      <c r="VCX42" s="478"/>
      <c r="VCY42" s="478"/>
      <c r="VCZ42" s="478"/>
      <c r="VDA42" s="478"/>
      <c r="VDB42" s="478"/>
      <c r="VDC42" s="478"/>
      <c r="VDD42" s="478"/>
      <c r="VDE42" s="478"/>
      <c r="VDF42" s="478"/>
      <c r="VDG42" s="478"/>
      <c r="VDH42" s="478"/>
      <c r="VDI42" s="478"/>
      <c r="VDJ42" s="478"/>
      <c r="VDK42" s="478"/>
      <c r="VDL42" s="478"/>
      <c r="VDM42" s="478"/>
      <c r="VDN42" s="478"/>
      <c r="VDO42" s="478"/>
      <c r="VDP42" s="478"/>
      <c r="VDQ42" s="478"/>
      <c r="VDR42" s="478"/>
      <c r="VDS42" s="478"/>
      <c r="VDT42" s="478"/>
      <c r="VDU42" s="478"/>
      <c r="VDV42" s="478"/>
      <c r="VDW42" s="478"/>
      <c r="VDX42" s="478"/>
      <c r="VDY42" s="478"/>
      <c r="VDZ42" s="478"/>
      <c r="VEA42" s="478"/>
      <c r="VEB42" s="478"/>
      <c r="VEC42" s="478"/>
      <c r="VED42" s="478"/>
      <c r="VEE42" s="478"/>
      <c r="VEF42" s="478"/>
      <c r="VEG42" s="478"/>
      <c r="VEH42" s="478"/>
      <c r="VEI42" s="478"/>
      <c r="VEJ42" s="478"/>
      <c r="VEK42" s="478"/>
      <c r="VEL42" s="478"/>
      <c r="VEM42" s="478"/>
      <c r="VEN42" s="478"/>
      <c r="VEO42" s="478"/>
      <c r="VEP42" s="478"/>
      <c r="VEQ42" s="478"/>
      <c r="VER42" s="478"/>
      <c r="VES42" s="478"/>
      <c r="VET42" s="478"/>
      <c r="VEU42" s="478"/>
      <c r="VEV42" s="478"/>
      <c r="VEW42" s="478"/>
      <c r="VEX42" s="478"/>
      <c r="VEY42" s="478"/>
      <c r="VEZ42" s="478"/>
      <c r="VFA42" s="478"/>
      <c r="VFB42" s="478"/>
      <c r="VFC42" s="478"/>
      <c r="VFD42" s="478"/>
      <c r="VFE42" s="478"/>
      <c r="VFF42" s="478"/>
      <c r="VFG42" s="478"/>
      <c r="VFH42" s="478"/>
      <c r="VFI42" s="478"/>
      <c r="VFJ42" s="478"/>
      <c r="VFK42" s="478"/>
      <c r="VFL42" s="478"/>
      <c r="VFM42" s="478"/>
      <c r="VFN42" s="478"/>
      <c r="VFO42" s="478"/>
      <c r="VFP42" s="478"/>
      <c r="VFQ42" s="478"/>
      <c r="VFR42" s="478"/>
      <c r="VFS42" s="478"/>
      <c r="VFT42" s="478"/>
      <c r="VFU42" s="478"/>
      <c r="VFV42" s="478"/>
      <c r="VFW42" s="478"/>
      <c r="VFX42" s="478"/>
      <c r="VFY42" s="478"/>
      <c r="VFZ42" s="478"/>
      <c r="VGA42" s="478"/>
      <c r="VGB42" s="478"/>
      <c r="VGC42" s="478"/>
      <c r="VGD42" s="478"/>
      <c r="VGE42" s="478"/>
      <c r="VGF42" s="478"/>
      <c r="VGG42" s="478"/>
      <c r="VGH42" s="478"/>
      <c r="VGI42" s="478"/>
      <c r="VGJ42" s="478"/>
      <c r="VGK42" s="478"/>
      <c r="VGL42" s="478"/>
      <c r="VGM42" s="478"/>
      <c r="VGN42" s="478"/>
      <c r="VGO42" s="478"/>
      <c r="VGP42" s="478"/>
      <c r="VGQ42" s="478"/>
      <c r="VGR42" s="478"/>
      <c r="VGS42" s="478"/>
      <c r="VGT42" s="478"/>
      <c r="VGU42" s="478"/>
      <c r="VGV42" s="478"/>
      <c r="VGW42" s="478"/>
      <c r="VGX42" s="478"/>
      <c r="VGY42" s="478"/>
      <c r="VGZ42" s="478"/>
      <c r="VHA42" s="478"/>
      <c r="VHB42" s="478"/>
      <c r="VHC42" s="478"/>
      <c r="VHD42" s="478"/>
      <c r="VHE42" s="478"/>
      <c r="VHF42" s="478"/>
      <c r="VHG42" s="478"/>
      <c r="VHH42" s="478"/>
      <c r="VHI42" s="478"/>
      <c r="VHJ42" s="478"/>
      <c r="VHK42" s="478"/>
      <c r="VHL42" s="478"/>
      <c r="VHM42" s="478"/>
      <c r="VHN42" s="478"/>
      <c r="VHO42" s="478"/>
      <c r="VHP42" s="478"/>
      <c r="VHQ42" s="478"/>
      <c r="VHR42" s="478"/>
      <c r="VHS42" s="478"/>
      <c r="VHT42" s="478"/>
      <c r="VHU42" s="478"/>
      <c r="VHV42" s="478"/>
      <c r="VHW42" s="478"/>
      <c r="VHX42" s="478"/>
      <c r="VHY42" s="478"/>
      <c r="VHZ42" s="478"/>
      <c r="VIA42" s="478"/>
      <c r="VIB42" s="478"/>
      <c r="VIC42" s="478"/>
      <c r="VID42" s="478"/>
      <c r="VIE42" s="478"/>
      <c r="VIF42" s="478"/>
      <c r="VIG42" s="478"/>
      <c r="VIH42" s="478"/>
      <c r="VII42" s="478"/>
      <c r="VIJ42" s="478"/>
      <c r="VIK42" s="478"/>
      <c r="VIL42" s="478"/>
      <c r="VIM42" s="478"/>
      <c r="VIN42" s="478"/>
      <c r="VIO42" s="478"/>
      <c r="VIP42" s="478"/>
      <c r="VIQ42" s="478"/>
      <c r="VIR42" s="478"/>
      <c r="VIS42" s="478"/>
      <c r="VIT42" s="478"/>
      <c r="VIU42" s="478"/>
      <c r="VIV42" s="478"/>
      <c r="VIW42" s="478"/>
      <c r="VIX42" s="478"/>
      <c r="VIY42" s="478"/>
      <c r="VIZ42" s="478"/>
      <c r="VJA42" s="478"/>
      <c r="VJB42" s="478"/>
      <c r="VJC42" s="478"/>
      <c r="VJD42" s="478"/>
      <c r="VJE42" s="478"/>
      <c r="VJF42" s="478"/>
      <c r="VJG42" s="478"/>
      <c r="VJH42" s="478"/>
      <c r="VJI42" s="478"/>
      <c r="VJJ42" s="478"/>
      <c r="VJK42" s="478"/>
      <c r="VJL42" s="478"/>
      <c r="VJM42" s="478"/>
      <c r="VJN42" s="478"/>
      <c r="VJO42" s="478"/>
      <c r="VJP42" s="478"/>
      <c r="VJQ42" s="478"/>
      <c r="VJR42" s="478"/>
      <c r="VJS42" s="478"/>
      <c r="VJT42" s="478"/>
      <c r="VJU42" s="478"/>
      <c r="VJV42" s="478"/>
      <c r="VJW42" s="478"/>
      <c r="VJX42" s="478"/>
      <c r="VJY42" s="478"/>
      <c r="VJZ42" s="478"/>
      <c r="VKA42" s="478"/>
      <c r="VKB42" s="478"/>
      <c r="VKC42" s="478"/>
      <c r="VKD42" s="478"/>
      <c r="VKE42" s="478"/>
      <c r="VKF42" s="478"/>
      <c r="VKG42" s="478"/>
      <c r="VKH42" s="478"/>
      <c r="VKI42" s="478"/>
      <c r="VKJ42" s="478"/>
      <c r="VKK42" s="478"/>
      <c r="VKL42" s="478"/>
      <c r="VKM42" s="478"/>
      <c r="VKN42" s="478"/>
      <c r="VKO42" s="478"/>
      <c r="VKP42" s="478"/>
      <c r="VKQ42" s="478"/>
      <c r="VKR42" s="478"/>
      <c r="VKS42" s="478"/>
      <c r="VKT42" s="478"/>
      <c r="VKU42" s="478"/>
      <c r="VKV42" s="478"/>
      <c r="VKW42" s="478"/>
      <c r="VKX42" s="478"/>
      <c r="VKY42" s="478"/>
      <c r="VKZ42" s="478"/>
      <c r="VLA42" s="478"/>
      <c r="VLB42" s="478"/>
      <c r="VLC42" s="478"/>
      <c r="VLD42" s="478"/>
      <c r="VLE42" s="478"/>
      <c r="VLF42" s="478"/>
      <c r="VLG42" s="478"/>
      <c r="VLH42" s="478"/>
      <c r="VLI42" s="478"/>
      <c r="VLJ42" s="478"/>
      <c r="VLK42" s="478"/>
      <c r="VLL42" s="478"/>
      <c r="VLM42" s="478"/>
      <c r="VLN42" s="478"/>
      <c r="VLO42" s="478"/>
      <c r="VLP42" s="478"/>
      <c r="VLQ42" s="478"/>
      <c r="VLR42" s="478"/>
      <c r="VLS42" s="478"/>
      <c r="VLT42" s="478"/>
      <c r="VLU42" s="478"/>
      <c r="VLV42" s="478"/>
      <c r="VLW42" s="478"/>
      <c r="VLX42" s="478"/>
      <c r="VLY42" s="478"/>
      <c r="VLZ42" s="478"/>
      <c r="VMA42" s="478"/>
      <c r="VMB42" s="478"/>
      <c r="VMC42" s="478"/>
      <c r="VMD42" s="478"/>
      <c r="VME42" s="478"/>
      <c r="VMF42" s="478"/>
      <c r="VMG42" s="478"/>
      <c r="VMH42" s="478"/>
      <c r="VMI42" s="478"/>
      <c r="VMJ42" s="478"/>
      <c r="VMK42" s="478"/>
      <c r="VML42" s="478"/>
      <c r="VMM42" s="478"/>
      <c r="VMN42" s="478"/>
      <c r="VMO42" s="478"/>
      <c r="VMP42" s="478"/>
      <c r="VMQ42" s="478"/>
      <c r="VMR42" s="478"/>
      <c r="VMS42" s="478"/>
      <c r="VMT42" s="478"/>
      <c r="VMU42" s="478"/>
      <c r="VMV42" s="478"/>
      <c r="VMW42" s="478"/>
      <c r="VMX42" s="478"/>
      <c r="VMY42" s="478"/>
      <c r="VMZ42" s="478"/>
      <c r="VNA42" s="478"/>
      <c r="VNB42" s="478"/>
      <c r="VNC42" s="478"/>
      <c r="VND42" s="478"/>
      <c r="VNE42" s="478"/>
      <c r="VNF42" s="478"/>
      <c r="VNG42" s="478"/>
      <c r="VNH42" s="478"/>
      <c r="VNI42" s="478"/>
      <c r="VNJ42" s="478"/>
      <c r="VNK42" s="478"/>
      <c r="VNL42" s="478"/>
      <c r="VNM42" s="478"/>
      <c r="VNN42" s="478"/>
      <c r="VNO42" s="478"/>
      <c r="VNP42" s="478"/>
      <c r="VNQ42" s="478"/>
      <c r="VNR42" s="478"/>
      <c r="VNS42" s="478"/>
      <c r="VNT42" s="478"/>
      <c r="VNU42" s="478"/>
      <c r="VNV42" s="478"/>
      <c r="VNW42" s="478"/>
      <c r="VNX42" s="478"/>
      <c r="VNY42" s="478"/>
      <c r="VNZ42" s="478"/>
      <c r="VOA42" s="478"/>
      <c r="VOB42" s="478"/>
      <c r="VOC42" s="478"/>
      <c r="VOD42" s="478"/>
      <c r="VOE42" s="478"/>
      <c r="VOF42" s="478"/>
      <c r="VOG42" s="478"/>
      <c r="VOH42" s="478"/>
      <c r="VOI42" s="478"/>
      <c r="VOJ42" s="478"/>
      <c r="VOK42" s="478"/>
      <c r="VOL42" s="478"/>
      <c r="VOM42" s="478"/>
      <c r="VON42" s="478"/>
      <c r="VOO42" s="478"/>
      <c r="VOP42" s="478"/>
      <c r="VOQ42" s="478"/>
      <c r="VOR42" s="478"/>
      <c r="VOS42" s="478"/>
      <c r="VOT42" s="478"/>
      <c r="VOU42" s="478"/>
      <c r="VOV42" s="478"/>
      <c r="VOW42" s="478"/>
      <c r="VOX42" s="478"/>
      <c r="VOY42" s="478"/>
      <c r="VOZ42" s="478"/>
      <c r="VPA42" s="478"/>
      <c r="VPB42" s="478"/>
      <c r="VPC42" s="478"/>
      <c r="VPD42" s="478"/>
      <c r="VPE42" s="478"/>
      <c r="VPF42" s="478"/>
      <c r="VPG42" s="478"/>
      <c r="VPH42" s="478"/>
      <c r="VPI42" s="478"/>
      <c r="VPJ42" s="478"/>
      <c r="VPK42" s="478"/>
      <c r="VPL42" s="478"/>
      <c r="VPM42" s="478"/>
      <c r="VPN42" s="478"/>
      <c r="VPO42" s="478"/>
      <c r="VPP42" s="478"/>
      <c r="VPQ42" s="478"/>
      <c r="VPR42" s="478"/>
      <c r="VPS42" s="478"/>
      <c r="VPT42" s="478"/>
      <c r="VPU42" s="478"/>
      <c r="VPV42" s="478"/>
      <c r="VPW42" s="478"/>
      <c r="VPX42" s="478"/>
      <c r="VPY42" s="478"/>
      <c r="VPZ42" s="478"/>
      <c r="VQA42" s="478"/>
      <c r="VQB42" s="478"/>
      <c r="VQC42" s="478"/>
      <c r="VQD42" s="478"/>
      <c r="VQE42" s="478"/>
      <c r="VQF42" s="478"/>
      <c r="VQG42" s="478"/>
      <c r="VQH42" s="478"/>
      <c r="VQI42" s="478"/>
      <c r="VQJ42" s="478"/>
      <c r="VQK42" s="478"/>
      <c r="VQL42" s="478"/>
      <c r="VQM42" s="478"/>
      <c r="VQN42" s="478"/>
      <c r="VQO42" s="478"/>
      <c r="VQP42" s="478"/>
      <c r="VQQ42" s="478"/>
      <c r="VQR42" s="478"/>
      <c r="VQS42" s="478"/>
      <c r="VQT42" s="478"/>
      <c r="VQU42" s="478"/>
      <c r="VQV42" s="478"/>
      <c r="VQW42" s="478"/>
      <c r="VQX42" s="478"/>
      <c r="VQY42" s="478"/>
      <c r="VQZ42" s="478"/>
      <c r="VRA42" s="478"/>
      <c r="VRB42" s="478"/>
      <c r="VRC42" s="478"/>
      <c r="VRD42" s="478"/>
      <c r="VRE42" s="478"/>
      <c r="VRF42" s="478"/>
      <c r="VRG42" s="478"/>
      <c r="VRH42" s="478"/>
      <c r="VRI42" s="478"/>
      <c r="VRJ42" s="478"/>
      <c r="VRK42" s="478"/>
      <c r="VRL42" s="478"/>
      <c r="VRM42" s="478"/>
      <c r="VRN42" s="478"/>
      <c r="VRO42" s="478"/>
      <c r="VRP42" s="478"/>
      <c r="VRQ42" s="478"/>
      <c r="VRR42" s="478"/>
      <c r="VRS42" s="478"/>
      <c r="VRT42" s="478"/>
      <c r="VRU42" s="478"/>
      <c r="VRV42" s="478"/>
      <c r="VRW42" s="478"/>
      <c r="VRX42" s="478"/>
      <c r="VRY42" s="478"/>
      <c r="VRZ42" s="478"/>
      <c r="VSA42" s="478"/>
      <c r="VSB42" s="478"/>
      <c r="VSC42" s="478"/>
      <c r="VSD42" s="478"/>
      <c r="VSE42" s="478"/>
      <c r="VSF42" s="478"/>
      <c r="VSG42" s="478"/>
      <c r="VSH42" s="478"/>
      <c r="VSI42" s="478"/>
      <c r="VSJ42" s="478"/>
      <c r="VSK42" s="478"/>
      <c r="VSL42" s="478"/>
      <c r="VSM42" s="478"/>
      <c r="VSN42" s="478"/>
      <c r="VSO42" s="478"/>
      <c r="VSP42" s="478"/>
      <c r="VSQ42" s="478"/>
      <c r="VSR42" s="478"/>
      <c r="VSS42" s="478"/>
      <c r="VST42" s="478"/>
      <c r="VSU42" s="478"/>
      <c r="VSV42" s="478"/>
      <c r="VSW42" s="478"/>
      <c r="VSX42" s="478"/>
      <c r="VSY42" s="478"/>
      <c r="VSZ42" s="478"/>
      <c r="VTA42" s="478"/>
      <c r="VTB42" s="478"/>
      <c r="VTC42" s="478"/>
      <c r="VTD42" s="478"/>
      <c r="VTE42" s="478"/>
      <c r="VTF42" s="478"/>
      <c r="VTG42" s="478"/>
      <c r="VTH42" s="478"/>
      <c r="VTI42" s="478"/>
      <c r="VTJ42" s="478"/>
      <c r="VTK42" s="478"/>
      <c r="VTL42" s="478"/>
      <c r="VTM42" s="478"/>
      <c r="VTN42" s="478"/>
      <c r="VTO42" s="478"/>
      <c r="VTP42" s="478"/>
      <c r="VTQ42" s="478"/>
      <c r="VTR42" s="478"/>
      <c r="VTS42" s="478"/>
      <c r="VTT42" s="478"/>
      <c r="VTU42" s="478"/>
      <c r="VTV42" s="478"/>
      <c r="VTW42" s="478"/>
      <c r="VTX42" s="478"/>
      <c r="VTY42" s="478"/>
      <c r="VTZ42" s="478"/>
      <c r="VUA42" s="478"/>
      <c r="VUB42" s="478"/>
      <c r="VUC42" s="478"/>
      <c r="VUD42" s="478"/>
      <c r="VUE42" s="478"/>
      <c r="VUF42" s="478"/>
      <c r="VUG42" s="478"/>
      <c r="VUH42" s="478"/>
      <c r="VUI42" s="478"/>
      <c r="VUJ42" s="478"/>
      <c r="VUK42" s="478"/>
      <c r="VUL42" s="478"/>
      <c r="VUM42" s="478"/>
      <c r="VUN42" s="478"/>
      <c r="VUO42" s="478"/>
      <c r="VUP42" s="478"/>
      <c r="VUQ42" s="478"/>
      <c r="VUR42" s="478"/>
      <c r="VUS42" s="478"/>
      <c r="VUT42" s="478"/>
      <c r="VUU42" s="478"/>
      <c r="VUV42" s="478"/>
      <c r="VUW42" s="478"/>
      <c r="VUX42" s="478"/>
      <c r="VUY42" s="478"/>
      <c r="VUZ42" s="478"/>
      <c r="VVA42" s="478"/>
      <c r="VVB42" s="478"/>
      <c r="VVC42" s="478"/>
      <c r="VVD42" s="478"/>
      <c r="VVE42" s="478"/>
      <c r="VVF42" s="478"/>
      <c r="VVG42" s="478"/>
      <c r="VVH42" s="478"/>
      <c r="VVI42" s="478"/>
      <c r="VVJ42" s="478"/>
      <c r="VVK42" s="478"/>
      <c r="VVL42" s="478"/>
      <c r="VVM42" s="478"/>
      <c r="VVN42" s="478"/>
      <c r="VVO42" s="478"/>
      <c r="VVP42" s="478"/>
      <c r="VVQ42" s="478"/>
      <c r="VVR42" s="478"/>
      <c r="VVS42" s="478"/>
      <c r="VVT42" s="478"/>
      <c r="VVU42" s="478"/>
      <c r="VVV42" s="478"/>
      <c r="VVW42" s="478"/>
      <c r="VVX42" s="478"/>
      <c r="VVY42" s="478"/>
      <c r="VVZ42" s="478"/>
      <c r="VWA42" s="478"/>
      <c r="VWB42" s="478"/>
      <c r="VWC42" s="478"/>
      <c r="VWD42" s="478"/>
      <c r="VWE42" s="478"/>
      <c r="VWF42" s="478"/>
      <c r="VWG42" s="478"/>
      <c r="VWH42" s="478"/>
      <c r="VWI42" s="478"/>
      <c r="VWJ42" s="478"/>
      <c r="VWK42" s="478"/>
      <c r="VWL42" s="478"/>
      <c r="VWM42" s="478"/>
      <c r="VWN42" s="478"/>
      <c r="VWO42" s="478"/>
      <c r="VWP42" s="478"/>
      <c r="VWQ42" s="478"/>
      <c r="VWR42" s="478"/>
      <c r="VWS42" s="478"/>
      <c r="VWT42" s="478"/>
      <c r="VWU42" s="478"/>
      <c r="VWV42" s="478"/>
      <c r="VWW42" s="478"/>
      <c r="VWX42" s="478"/>
      <c r="VWY42" s="478"/>
      <c r="VWZ42" s="478"/>
      <c r="VXA42" s="478"/>
      <c r="VXB42" s="478"/>
      <c r="VXC42" s="478"/>
      <c r="VXD42" s="478"/>
      <c r="VXE42" s="478"/>
      <c r="VXF42" s="478"/>
      <c r="VXG42" s="478"/>
      <c r="VXH42" s="478"/>
      <c r="VXI42" s="478"/>
      <c r="VXJ42" s="478"/>
      <c r="VXK42" s="478"/>
      <c r="VXL42" s="478"/>
      <c r="VXM42" s="478"/>
      <c r="VXN42" s="478"/>
      <c r="VXO42" s="478"/>
      <c r="VXP42" s="478"/>
      <c r="VXQ42" s="478"/>
      <c r="VXR42" s="478"/>
      <c r="VXS42" s="478"/>
      <c r="VXT42" s="478"/>
      <c r="VXU42" s="478"/>
      <c r="VXV42" s="478"/>
      <c r="VXW42" s="478"/>
      <c r="VXX42" s="478"/>
      <c r="VXY42" s="478"/>
      <c r="VXZ42" s="478"/>
      <c r="VYA42" s="478"/>
      <c r="VYB42" s="478"/>
      <c r="VYC42" s="478"/>
      <c r="VYD42" s="478"/>
      <c r="VYE42" s="478"/>
      <c r="VYF42" s="478"/>
      <c r="VYG42" s="478"/>
      <c r="VYH42" s="478"/>
      <c r="VYI42" s="478"/>
      <c r="VYJ42" s="478"/>
      <c r="VYK42" s="478"/>
      <c r="VYL42" s="478"/>
      <c r="VYM42" s="478"/>
      <c r="VYN42" s="478"/>
      <c r="VYO42" s="478"/>
      <c r="VYP42" s="478"/>
      <c r="VYQ42" s="478"/>
      <c r="VYR42" s="478"/>
      <c r="VYS42" s="478"/>
      <c r="VYT42" s="478"/>
      <c r="VYU42" s="478"/>
      <c r="VYV42" s="478"/>
      <c r="VYW42" s="478"/>
      <c r="VYX42" s="478"/>
      <c r="VYY42" s="478"/>
      <c r="VYZ42" s="478"/>
      <c r="VZA42" s="478"/>
      <c r="VZB42" s="478"/>
      <c r="VZC42" s="478"/>
      <c r="VZD42" s="478"/>
      <c r="VZE42" s="478"/>
      <c r="VZF42" s="478"/>
      <c r="VZG42" s="478"/>
      <c r="VZH42" s="478"/>
      <c r="VZI42" s="478"/>
      <c r="VZJ42" s="478"/>
      <c r="VZK42" s="478"/>
      <c r="VZL42" s="478"/>
      <c r="VZM42" s="478"/>
      <c r="VZN42" s="478"/>
      <c r="VZO42" s="478"/>
      <c r="VZP42" s="478"/>
      <c r="VZQ42" s="478"/>
      <c r="VZR42" s="478"/>
      <c r="VZS42" s="478"/>
      <c r="VZT42" s="478"/>
      <c r="VZU42" s="478"/>
      <c r="VZV42" s="478"/>
      <c r="VZW42" s="478"/>
      <c r="VZX42" s="478"/>
      <c r="VZY42" s="478"/>
      <c r="VZZ42" s="478"/>
      <c r="WAA42" s="478"/>
      <c r="WAB42" s="478"/>
      <c r="WAC42" s="478"/>
      <c r="WAD42" s="478"/>
      <c r="WAE42" s="478"/>
      <c r="WAF42" s="478"/>
      <c r="WAG42" s="478"/>
      <c r="WAH42" s="478"/>
      <c r="WAI42" s="478"/>
      <c r="WAJ42" s="478"/>
      <c r="WAK42" s="478"/>
      <c r="WAL42" s="478"/>
      <c r="WAM42" s="478"/>
      <c r="WAN42" s="478"/>
      <c r="WAO42" s="478"/>
      <c r="WAP42" s="478"/>
      <c r="WAQ42" s="478"/>
      <c r="WAR42" s="478"/>
      <c r="WAS42" s="478"/>
      <c r="WAT42" s="478"/>
      <c r="WAU42" s="478"/>
      <c r="WAV42" s="478"/>
      <c r="WAW42" s="478"/>
      <c r="WAX42" s="478"/>
      <c r="WAY42" s="478"/>
      <c r="WAZ42" s="478"/>
      <c r="WBA42" s="478"/>
      <c r="WBB42" s="478"/>
      <c r="WBC42" s="478"/>
      <c r="WBD42" s="478"/>
      <c r="WBE42" s="478"/>
      <c r="WBF42" s="478"/>
      <c r="WBG42" s="478"/>
      <c r="WBH42" s="478"/>
      <c r="WBI42" s="478"/>
      <c r="WBJ42" s="478"/>
      <c r="WBK42" s="478"/>
      <c r="WBL42" s="478"/>
      <c r="WBM42" s="478"/>
      <c r="WBN42" s="478"/>
      <c r="WBO42" s="478"/>
      <c r="WBP42" s="478"/>
      <c r="WBQ42" s="478"/>
      <c r="WBR42" s="478"/>
      <c r="WBS42" s="478"/>
      <c r="WBT42" s="478"/>
      <c r="WBU42" s="478"/>
      <c r="WBV42" s="478"/>
      <c r="WBW42" s="478"/>
      <c r="WBX42" s="478"/>
      <c r="WBY42" s="478"/>
      <c r="WBZ42" s="478"/>
      <c r="WCA42" s="478"/>
      <c r="WCB42" s="478"/>
      <c r="WCC42" s="478"/>
      <c r="WCD42" s="478"/>
      <c r="WCE42" s="478"/>
      <c r="WCF42" s="478"/>
      <c r="WCG42" s="478"/>
      <c r="WCH42" s="478"/>
      <c r="WCI42" s="478"/>
      <c r="WCJ42" s="478"/>
      <c r="WCK42" s="478"/>
      <c r="WCL42" s="478"/>
      <c r="WCM42" s="478"/>
      <c r="WCN42" s="478"/>
      <c r="WCO42" s="478"/>
      <c r="WCP42" s="478"/>
      <c r="WCQ42" s="478"/>
      <c r="WCR42" s="478"/>
      <c r="WCS42" s="478"/>
      <c r="WCT42" s="478"/>
      <c r="WCU42" s="478"/>
      <c r="WCV42" s="478"/>
      <c r="WCW42" s="478"/>
      <c r="WCX42" s="478"/>
      <c r="WCY42" s="478"/>
      <c r="WCZ42" s="478"/>
      <c r="WDA42" s="478"/>
      <c r="WDB42" s="478"/>
      <c r="WDC42" s="478"/>
      <c r="WDD42" s="478"/>
      <c r="WDE42" s="478"/>
      <c r="WDF42" s="478"/>
      <c r="WDG42" s="478"/>
      <c r="WDH42" s="478"/>
      <c r="WDI42" s="478"/>
      <c r="WDJ42" s="478"/>
      <c r="WDK42" s="478"/>
      <c r="WDL42" s="478"/>
      <c r="WDM42" s="478"/>
      <c r="WDN42" s="478"/>
      <c r="WDO42" s="478"/>
      <c r="WDP42" s="478"/>
      <c r="WDQ42" s="478"/>
      <c r="WDR42" s="478"/>
      <c r="WDS42" s="478"/>
      <c r="WDT42" s="478"/>
      <c r="WDU42" s="478"/>
      <c r="WDV42" s="478"/>
      <c r="WDW42" s="478"/>
      <c r="WDX42" s="478"/>
      <c r="WDY42" s="478"/>
      <c r="WDZ42" s="478"/>
      <c r="WEA42" s="478"/>
      <c r="WEB42" s="478"/>
      <c r="WEC42" s="478"/>
      <c r="WED42" s="478"/>
      <c r="WEE42" s="478"/>
      <c r="WEF42" s="478"/>
      <c r="WEG42" s="478"/>
      <c r="WEH42" s="478"/>
      <c r="WEI42" s="478"/>
      <c r="WEJ42" s="478"/>
      <c r="WEK42" s="478"/>
      <c r="WEL42" s="478"/>
      <c r="WEM42" s="478"/>
      <c r="WEN42" s="478"/>
      <c r="WEO42" s="478"/>
      <c r="WEP42" s="478"/>
      <c r="WEQ42" s="478"/>
      <c r="WER42" s="478"/>
      <c r="WES42" s="478"/>
      <c r="WET42" s="478"/>
      <c r="WEU42" s="478"/>
      <c r="WEV42" s="478"/>
      <c r="WEW42" s="478"/>
      <c r="WEX42" s="478"/>
      <c r="WEY42" s="478"/>
      <c r="WEZ42" s="478"/>
      <c r="WFA42" s="478"/>
      <c r="WFB42" s="478"/>
      <c r="WFC42" s="478"/>
      <c r="WFD42" s="478"/>
      <c r="WFE42" s="478"/>
      <c r="WFF42" s="478"/>
      <c r="WFG42" s="478"/>
      <c r="WFH42" s="478"/>
      <c r="WFI42" s="478"/>
      <c r="WFJ42" s="478"/>
      <c r="WFK42" s="478"/>
      <c r="WFL42" s="478"/>
      <c r="WFM42" s="478"/>
      <c r="WFN42" s="478"/>
      <c r="WFO42" s="478"/>
      <c r="WFP42" s="478"/>
      <c r="WFQ42" s="478"/>
      <c r="WFR42" s="478"/>
      <c r="WFS42" s="478"/>
      <c r="WFT42" s="478"/>
      <c r="WFU42" s="478"/>
      <c r="WFV42" s="478"/>
      <c r="WFW42" s="478"/>
      <c r="WFX42" s="478"/>
      <c r="WFY42" s="478"/>
      <c r="WFZ42" s="478"/>
      <c r="WGA42" s="478"/>
      <c r="WGB42" s="478"/>
      <c r="WGC42" s="478"/>
      <c r="WGD42" s="478"/>
      <c r="WGE42" s="478"/>
      <c r="WGF42" s="478"/>
      <c r="WGG42" s="478"/>
      <c r="WGH42" s="478"/>
      <c r="WGI42" s="478"/>
      <c r="WGJ42" s="478"/>
      <c r="WGK42" s="478"/>
      <c r="WGL42" s="478"/>
      <c r="WGM42" s="478"/>
      <c r="WGN42" s="478"/>
      <c r="WGO42" s="478"/>
      <c r="WGP42" s="478"/>
      <c r="WGQ42" s="478"/>
      <c r="WGR42" s="478"/>
      <c r="WGS42" s="478"/>
      <c r="WGT42" s="478"/>
      <c r="WGU42" s="478"/>
      <c r="WGV42" s="478"/>
      <c r="WGW42" s="478"/>
      <c r="WGX42" s="478"/>
      <c r="WGY42" s="478"/>
      <c r="WGZ42" s="478"/>
      <c r="WHA42" s="478"/>
      <c r="WHB42" s="478"/>
      <c r="WHC42" s="478"/>
      <c r="WHD42" s="478"/>
      <c r="WHE42" s="478"/>
      <c r="WHF42" s="478"/>
      <c r="WHG42" s="478"/>
      <c r="WHH42" s="478"/>
      <c r="WHI42" s="478"/>
      <c r="WHJ42" s="478"/>
      <c r="WHK42" s="478"/>
      <c r="WHL42" s="478"/>
      <c r="WHM42" s="478"/>
      <c r="WHN42" s="478"/>
      <c r="WHO42" s="478"/>
      <c r="WHP42" s="478"/>
      <c r="WHQ42" s="478"/>
      <c r="WHR42" s="478"/>
      <c r="WHS42" s="478"/>
      <c r="WHT42" s="478"/>
      <c r="WHU42" s="478"/>
      <c r="WHV42" s="478"/>
      <c r="WHW42" s="478"/>
      <c r="WHX42" s="478"/>
      <c r="WHY42" s="478"/>
      <c r="WHZ42" s="478"/>
      <c r="WIA42" s="478"/>
      <c r="WIB42" s="478"/>
      <c r="WIC42" s="478"/>
      <c r="WID42" s="478"/>
      <c r="WIE42" s="478"/>
      <c r="WIF42" s="478"/>
      <c r="WIG42" s="478"/>
      <c r="WIH42" s="478"/>
      <c r="WII42" s="478"/>
      <c r="WIJ42" s="478"/>
      <c r="WIK42" s="478"/>
      <c r="WIL42" s="478"/>
      <c r="WIM42" s="478"/>
      <c r="WIN42" s="478"/>
      <c r="WIO42" s="478"/>
      <c r="WIP42" s="478"/>
      <c r="WIQ42" s="478"/>
      <c r="WIR42" s="478"/>
      <c r="WIS42" s="478"/>
      <c r="WIT42" s="478"/>
      <c r="WIU42" s="478"/>
      <c r="WIV42" s="478"/>
      <c r="WIW42" s="478"/>
      <c r="WIX42" s="478"/>
      <c r="WIY42" s="478"/>
      <c r="WIZ42" s="478"/>
      <c r="WJA42" s="478"/>
      <c r="WJB42" s="478"/>
      <c r="WJC42" s="478"/>
      <c r="WJD42" s="478"/>
      <c r="WJE42" s="478"/>
      <c r="WJF42" s="478"/>
      <c r="WJG42" s="478"/>
      <c r="WJH42" s="478"/>
      <c r="WJI42" s="478"/>
      <c r="WJJ42" s="478"/>
      <c r="WJK42" s="478"/>
      <c r="WJL42" s="478"/>
      <c r="WJM42" s="478"/>
      <c r="WJN42" s="478"/>
      <c r="WJO42" s="478"/>
      <c r="WJP42" s="478"/>
      <c r="WJQ42" s="478"/>
      <c r="WJR42" s="478"/>
      <c r="WJS42" s="478"/>
      <c r="WJT42" s="478"/>
      <c r="WJU42" s="478"/>
      <c r="WJV42" s="478"/>
      <c r="WJW42" s="478"/>
      <c r="WJX42" s="478"/>
      <c r="WJY42" s="478"/>
      <c r="WJZ42" s="478"/>
      <c r="WKA42" s="478"/>
      <c r="WKB42" s="478"/>
      <c r="WKC42" s="478"/>
      <c r="WKD42" s="478"/>
      <c r="WKE42" s="478"/>
      <c r="WKF42" s="478"/>
      <c r="WKG42" s="478"/>
      <c r="WKH42" s="478"/>
      <c r="WKI42" s="478"/>
      <c r="WKJ42" s="478"/>
      <c r="WKK42" s="478"/>
      <c r="WKL42" s="478"/>
      <c r="WKM42" s="478"/>
      <c r="WKN42" s="478"/>
      <c r="WKO42" s="478"/>
      <c r="WKP42" s="478"/>
      <c r="WKQ42" s="478"/>
      <c r="WKR42" s="478"/>
      <c r="WKS42" s="478"/>
      <c r="WKT42" s="478"/>
      <c r="WKU42" s="478"/>
      <c r="WKV42" s="478"/>
      <c r="WKW42" s="478"/>
      <c r="WKX42" s="478"/>
      <c r="WKY42" s="478"/>
      <c r="WKZ42" s="478"/>
      <c r="WLA42" s="478"/>
      <c r="WLB42" s="478"/>
      <c r="WLC42" s="478"/>
      <c r="WLD42" s="478"/>
      <c r="WLE42" s="478"/>
      <c r="WLF42" s="478"/>
      <c r="WLG42" s="478"/>
      <c r="WLH42" s="478"/>
      <c r="WLI42" s="478"/>
      <c r="WLJ42" s="478"/>
      <c r="WLK42" s="478"/>
      <c r="WLL42" s="478"/>
      <c r="WLM42" s="478"/>
      <c r="WLN42" s="478"/>
      <c r="WLO42" s="478"/>
      <c r="WLP42" s="478"/>
      <c r="WLQ42" s="478"/>
      <c r="WLR42" s="478"/>
      <c r="WLS42" s="478"/>
      <c r="WLT42" s="478"/>
      <c r="WLU42" s="478"/>
      <c r="WLV42" s="478"/>
      <c r="WLW42" s="478"/>
      <c r="WLX42" s="478"/>
      <c r="WLY42" s="478"/>
      <c r="WLZ42" s="478"/>
      <c r="WMA42" s="478"/>
      <c r="WMB42" s="478"/>
      <c r="WMC42" s="478"/>
      <c r="WMD42" s="478"/>
      <c r="WME42" s="478"/>
      <c r="WMF42" s="478"/>
      <c r="WMG42" s="478"/>
      <c r="WMH42" s="478"/>
      <c r="WMI42" s="478"/>
      <c r="WMJ42" s="478"/>
      <c r="WMK42" s="478"/>
      <c r="WML42" s="478"/>
      <c r="WMM42" s="478"/>
      <c r="WMN42" s="478"/>
      <c r="WMO42" s="478"/>
      <c r="WMP42" s="478"/>
      <c r="WMQ42" s="478"/>
      <c r="WMR42" s="478"/>
      <c r="WMS42" s="478"/>
      <c r="WMT42" s="478"/>
      <c r="WMU42" s="478"/>
      <c r="WMV42" s="478"/>
      <c r="WMW42" s="478"/>
      <c r="WMX42" s="478"/>
      <c r="WMY42" s="478"/>
      <c r="WMZ42" s="478"/>
      <c r="WNA42" s="478"/>
      <c r="WNB42" s="478"/>
      <c r="WNC42" s="478"/>
      <c r="WND42" s="478"/>
      <c r="WNE42" s="478"/>
      <c r="WNF42" s="478"/>
      <c r="WNG42" s="478"/>
      <c r="WNH42" s="478"/>
      <c r="WNI42" s="478"/>
      <c r="WNJ42" s="478"/>
      <c r="WNK42" s="478"/>
      <c r="WNL42" s="478"/>
      <c r="WNM42" s="478"/>
      <c r="WNN42" s="478"/>
      <c r="WNO42" s="478"/>
      <c r="WNP42" s="478"/>
      <c r="WNQ42" s="478"/>
      <c r="WNR42" s="478"/>
      <c r="WNS42" s="478"/>
      <c r="WNT42" s="478"/>
      <c r="WNU42" s="478"/>
      <c r="WNV42" s="478"/>
      <c r="WNW42" s="478"/>
      <c r="WNX42" s="478"/>
      <c r="WNY42" s="478"/>
      <c r="WNZ42" s="478"/>
      <c r="WOA42" s="478"/>
      <c r="WOB42" s="478"/>
      <c r="WOC42" s="478"/>
      <c r="WOD42" s="478"/>
      <c r="WOE42" s="478"/>
      <c r="WOF42" s="478"/>
      <c r="WOG42" s="478"/>
      <c r="WOH42" s="478"/>
      <c r="WOI42" s="478"/>
      <c r="WOJ42" s="478"/>
      <c r="WOK42" s="478"/>
      <c r="WOL42" s="478"/>
      <c r="WOM42" s="478"/>
      <c r="WON42" s="478"/>
      <c r="WOO42" s="478"/>
      <c r="WOP42" s="478"/>
      <c r="WOQ42" s="478"/>
      <c r="WOR42" s="478"/>
      <c r="WOS42" s="478"/>
      <c r="WOT42" s="478"/>
      <c r="WOU42" s="478"/>
      <c r="WOV42" s="478"/>
      <c r="WOW42" s="478"/>
      <c r="WOX42" s="478"/>
      <c r="WOY42" s="478"/>
      <c r="WOZ42" s="478"/>
      <c r="WPA42" s="478"/>
      <c r="WPB42" s="478"/>
      <c r="WPC42" s="478"/>
      <c r="WPD42" s="478"/>
      <c r="WPE42" s="478"/>
      <c r="WPF42" s="478"/>
      <c r="WPG42" s="478"/>
      <c r="WPH42" s="478"/>
      <c r="WPI42" s="478"/>
      <c r="WPJ42" s="478"/>
      <c r="WPK42" s="478"/>
      <c r="WPL42" s="478"/>
      <c r="WPM42" s="478"/>
      <c r="WPN42" s="478"/>
      <c r="WPO42" s="478"/>
      <c r="WPP42" s="478"/>
      <c r="WPQ42" s="478"/>
      <c r="WPR42" s="478"/>
      <c r="WPS42" s="478"/>
      <c r="WPT42" s="478"/>
      <c r="WPU42" s="478"/>
      <c r="WPV42" s="478"/>
      <c r="WPW42" s="478"/>
      <c r="WPX42" s="478"/>
      <c r="WPY42" s="478"/>
      <c r="WPZ42" s="478"/>
      <c r="WQA42" s="478"/>
      <c r="WQB42" s="478"/>
      <c r="WQC42" s="478"/>
      <c r="WQD42" s="478"/>
      <c r="WQE42" s="478"/>
      <c r="WQF42" s="478"/>
      <c r="WQG42" s="478"/>
      <c r="WQH42" s="478"/>
      <c r="WQI42" s="478"/>
      <c r="WQJ42" s="478"/>
      <c r="WQK42" s="478"/>
      <c r="WQL42" s="478"/>
      <c r="WQM42" s="478"/>
      <c r="WQN42" s="478"/>
      <c r="WQO42" s="478"/>
      <c r="WQP42" s="478"/>
      <c r="WQQ42" s="478"/>
      <c r="WQR42" s="478"/>
      <c r="WQS42" s="478"/>
      <c r="WQT42" s="478"/>
      <c r="WQU42" s="478"/>
      <c r="WQV42" s="478"/>
      <c r="WQW42" s="478"/>
      <c r="WQX42" s="478"/>
      <c r="WQY42" s="478"/>
      <c r="WQZ42" s="478"/>
      <c r="WRA42" s="478"/>
      <c r="WRB42" s="478"/>
      <c r="WRC42" s="478"/>
      <c r="WRD42" s="478"/>
      <c r="WRE42" s="478"/>
      <c r="WRF42" s="478"/>
      <c r="WRG42" s="478"/>
      <c r="WRH42" s="478"/>
      <c r="WRI42" s="478"/>
      <c r="WRJ42" s="478"/>
      <c r="WRK42" s="478"/>
      <c r="WRL42" s="478"/>
      <c r="WRM42" s="478"/>
      <c r="WRN42" s="478"/>
      <c r="WRO42" s="478"/>
      <c r="WRP42" s="478"/>
      <c r="WRQ42" s="478"/>
      <c r="WRR42" s="478"/>
      <c r="WRS42" s="478"/>
      <c r="WRT42" s="478"/>
      <c r="WRU42" s="478"/>
      <c r="WRV42" s="478"/>
      <c r="WRW42" s="478"/>
      <c r="WRX42" s="478"/>
      <c r="WRY42" s="478"/>
      <c r="WRZ42" s="478"/>
      <c r="WSA42" s="478"/>
      <c r="WSB42" s="478"/>
      <c r="WSC42" s="478"/>
      <c r="WSD42" s="478"/>
      <c r="WSE42" s="478"/>
      <c r="WSF42" s="478"/>
      <c r="WSG42" s="478"/>
      <c r="WSH42" s="478"/>
      <c r="WSI42" s="478"/>
      <c r="WSJ42" s="478"/>
      <c r="WSK42" s="478"/>
      <c r="WSL42" s="478"/>
      <c r="WSM42" s="478"/>
      <c r="WSN42" s="478"/>
      <c r="WSO42" s="478"/>
      <c r="WSP42" s="478"/>
      <c r="WSQ42" s="478"/>
      <c r="WSR42" s="478"/>
      <c r="WSS42" s="478"/>
      <c r="WST42" s="478"/>
      <c r="WSU42" s="478"/>
      <c r="WSV42" s="478"/>
      <c r="WSW42" s="478"/>
      <c r="WSX42" s="478"/>
      <c r="WSY42" s="478"/>
      <c r="WSZ42" s="478"/>
      <c r="WTA42" s="478"/>
      <c r="WTB42" s="478"/>
      <c r="WTC42" s="478"/>
      <c r="WTD42" s="478"/>
      <c r="WTE42" s="478"/>
      <c r="WTF42" s="478"/>
      <c r="WTG42" s="478"/>
      <c r="WTH42" s="478"/>
      <c r="WTI42" s="478"/>
      <c r="WTJ42" s="478"/>
      <c r="WTK42" s="478"/>
      <c r="WTL42" s="478"/>
      <c r="WTM42" s="478"/>
      <c r="WTN42" s="478"/>
      <c r="WTO42" s="478"/>
      <c r="WTP42" s="478"/>
      <c r="WTQ42" s="478"/>
      <c r="WTR42" s="478"/>
      <c r="WTS42" s="478"/>
      <c r="WTT42" s="478"/>
      <c r="WTU42" s="478"/>
      <c r="WTV42" s="478"/>
      <c r="WTW42" s="478"/>
      <c r="WTX42" s="478"/>
      <c r="WTY42" s="478"/>
      <c r="WTZ42" s="478"/>
      <c r="WUA42" s="478"/>
      <c r="WUB42" s="478"/>
      <c r="WUC42" s="478"/>
      <c r="WUD42" s="478"/>
      <c r="WUE42" s="478"/>
      <c r="WUF42" s="478"/>
      <c r="WUG42" s="478"/>
      <c r="WUH42" s="478"/>
      <c r="WUI42" s="478"/>
      <c r="WUJ42" s="478"/>
      <c r="WUK42" s="478"/>
      <c r="WUL42" s="478"/>
      <c r="WUM42" s="478"/>
      <c r="WUN42" s="478"/>
      <c r="WUO42" s="478"/>
      <c r="WUP42" s="478"/>
      <c r="WUQ42" s="478"/>
      <c r="WUR42" s="478"/>
      <c r="WUS42" s="478"/>
      <c r="WUT42" s="478"/>
      <c r="WUU42" s="478"/>
      <c r="WUV42" s="478"/>
      <c r="WUW42" s="478"/>
      <c r="WUX42" s="478"/>
      <c r="WUY42" s="478"/>
      <c r="WUZ42" s="478"/>
      <c r="WVA42" s="478"/>
      <c r="WVB42" s="478"/>
      <c r="WVC42" s="478"/>
      <c r="WVD42" s="478"/>
      <c r="WVE42" s="478"/>
      <c r="WVF42" s="478"/>
      <c r="WVG42" s="478"/>
      <c r="WVH42" s="478"/>
      <c r="WVI42" s="478"/>
      <c r="WVJ42" s="478"/>
      <c r="WVK42" s="478"/>
      <c r="WVL42" s="478"/>
      <c r="WVM42" s="478"/>
      <c r="WVN42" s="478"/>
      <c r="WVO42" s="478"/>
      <c r="WVP42" s="478"/>
      <c r="WVQ42" s="478"/>
      <c r="WVR42" s="478"/>
      <c r="WVS42" s="478"/>
      <c r="WVT42" s="478"/>
      <c r="WVU42" s="478"/>
      <c r="WVV42" s="478"/>
      <c r="WVW42" s="478"/>
      <c r="WVX42" s="478"/>
      <c r="WVY42" s="478"/>
      <c r="WVZ42" s="478"/>
      <c r="WWA42" s="478"/>
      <c r="WWB42" s="478"/>
      <c r="WWC42" s="478"/>
      <c r="WWD42" s="478"/>
      <c r="WWE42" s="478"/>
      <c r="WWF42" s="478"/>
      <c r="WWG42" s="478"/>
      <c r="WWH42" s="478"/>
      <c r="WWI42" s="478"/>
      <c r="WWJ42" s="478"/>
      <c r="WWK42" s="478"/>
      <c r="WWL42" s="478"/>
      <c r="WWM42" s="478"/>
      <c r="WWN42" s="478"/>
      <c r="WWO42" s="478"/>
      <c r="WWP42" s="478"/>
      <c r="WWQ42" s="478"/>
      <c r="WWR42" s="478"/>
      <c r="WWS42" s="478"/>
      <c r="WWT42" s="478"/>
      <c r="WWU42" s="478"/>
      <c r="WWV42" s="478"/>
      <c r="WWW42" s="478"/>
      <c r="WWX42" s="478"/>
      <c r="WWY42" s="478"/>
      <c r="WWZ42" s="478"/>
      <c r="WXA42" s="478"/>
      <c r="WXB42" s="478"/>
      <c r="WXC42" s="478"/>
      <c r="WXD42" s="478"/>
      <c r="WXE42" s="478"/>
      <c r="WXF42" s="478"/>
      <c r="WXG42" s="478"/>
      <c r="WXH42" s="478"/>
      <c r="WXI42" s="478"/>
      <c r="WXJ42" s="478"/>
      <c r="WXK42" s="478"/>
      <c r="WXL42" s="478"/>
      <c r="WXM42" s="478"/>
      <c r="WXN42" s="478"/>
      <c r="WXO42" s="478"/>
      <c r="WXP42" s="478"/>
      <c r="WXQ42" s="478"/>
      <c r="WXR42" s="478"/>
      <c r="WXS42" s="478"/>
      <c r="WXT42" s="478"/>
      <c r="WXU42" s="478"/>
      <c r="WXV42" s="478"/>
      <c r="WXW42" s="478"/>
      <c r="WXX42" s="478"/>
      <c r="WXY42" s="478"/>
      <c r="WXZ42" s="478"/>
      <c r="WYA42" s="478"/>
      <c r="WYB42" s="478"/>
      <c r="WYC42" s="478"/>
      <c r="WYD42" s="478"/>
      <c r="WYE42" s="478"/>
      <c r="WYF42" s="478"/>
      <c r="WYG42" s="478"/>
      <c r="WYH42" s="478"/>
      <c r="WYI42" s="478"/>
      <c r="WYJ42" s="478"/>
      <c r="WYK42" s="478"/>
      <c r="WYL42" s="478"/>
      <c r="WYM42" s="478"/>
      <c r="WYN42" s="478"/>
      <c r="WYO42" s="478"/>
      <c r="WYP42" s="478"/>
      <c r="WYQ42" s="478"/>
      <c r="WYR42" s="478"/>
      <c r="WYS42" s="478"/>
      <c r="WYT42" s="478"/>
      <c r="WYU42" s="478"/>
      <c r="WYV42" s="478"/>
      <c r="WYW42" s="478"/>
      <c r="WYX42" s="478"/>
      <c r="WYY42" s="478"/>
      <c r="WYZ42" s="478"/>
      <c r="WZA42" s="478"/>
      <c r="WZB42" s="478"/>
      <c r="WZC42" s="478"/>
      <c r="WZD42" s="478"/>
      <c r="WZE42" s="478"/>
      <c r="WZF42" s="478"/>
      <c r="WZG42" s="478"/>
      <c r="WZH42" s="478"/>
      <c r="WZI42" s="478"/>
      <c r="WZJ42" s="478"/>
      <c r="WZK42" s="478"/>
      <c r="WZL42" s="478"/>
      <c r="WZM42" s="478"/>
      <c r="WZN42" s="478"/>
      <c r="WZO42" s="478"/>
      <c r="WZP42" s="478"/>
      <c r="WZQ42" s="478"/>
      <c r="WZR42" s="478"/>
      <c r="WZS42" s="478"/>
      <c r="WZT42" s="478"/>
      <c r="WZU42" s="478"/>
      <c r="WZV42" s="478"/>
      <c r="WZW42" s="478"/>
      <c r="WZX42" s="478"/>
      <c r="WZY42" s="478"/>
      <c r="WZZ42" s="478"/>
      <c r="XAA42" s="478"/>
      <c r="XAB42" s="478"/>
      <c r="XAC42" s="478"/>
      <c r="XAD42" s="478"/>
      <c r="XAE42" s="478"/>
      <c r="XAF42" s="478"/>
      <c r="XAG42" s="478"/>
      <c r="XAH42" s="478"/>
      <c r="XAI42" s="478"/>
      <c r="XAJ42" s="478"/>
      <c r="XAK42" s="478"/>
      <c r="XAL42" s="478"/>
      <c r="XAM42" s="478"/>
      <c r="XAN42" s="478"/>
      <c r="XAO42" s="478"/>
      <c r="XAP42" s="478"/>
      <c r="XAQ42" s="478"/>
      <c r="XAR42" s="478"/>
      <c r="XAS42" s="478"/>
      <c r="XAT42" s="478"/>
      <c r="XAU42" s="478"/>
      <c r="XAV42" s="478"/>
      <c r="XAW42" s="478"/>
      <c r="XAX42" s="478"/>
      <c r="XAY42" s="478"/>
      <c r="XAZ42" s="478"/>
      <c r="XBA42" s="478"/>
      <c r="XBB42" s="478"/>
      <c r="XBC42" s="478"/>
      <c r="XBD42" s="478"/>
      <c r="XBE42" s="478"/>
      <c r="XBF42" s="478"/>
      <c r="XBG42" s="478"/>
      <c r="XBH42" s="478"/>
      <c r="XBI42" s="478"/>
      <c r="XBJ42" s="478"/>
      <c r="XBK42" s="478"/>
      <c r="XBL42" s="478"/>
      <c r="XBM42" s="478"/>
      <c r="XBN42" s="478"/>
      <c r="XBO42" s="478"/>
      <c r="XBP42" s="478"/>
      <c r="XBQ42" s="478"/>
      <c r="XBR42" s="478"/>
      <c r="XBS42" s="478"/>
      <c r="XBT42" s="478"/>
      <c r="XBU42" s="478"/>
      <c r="XBV42" s="478"/>
      <c r="XBW42" s="478"/>
      <c r="XBX42" s="478"/>
      <c r="XBY42" s="478"/>
      <c r="XBZ42" s="478"/>
      <c r="XCA42" s="478"/>
      <c r="XCB42" s="478"/>
      <c r="XCC42" s="478"/>
      <c r="XCD42" s="478"/>
      <c r="XCE42" s="478"/>
      <c r="XCF42" s="478"/>
      <c r="XCG42" s="478"/>
      <c r="XCH42" s="478"/>
      <c r="XCI42" s="478"/>
      <c r="XCJ42" s="478"/>
      <c r="XCK42" s="478"/>
      <c r="XCL42" s="478"/>
      <c r="XCM42" s="478"/>
      <c r="XCN42" s="478"/>
      <c r="XCO42" s="478"/>
      <c r="XCP42" s="478"/>
      <c r="XCQ42" s="478"/>
      <c r="XCR42" s="478"/>
      <c r="XCS42" s="478"/>
      <c r="XCT42" s="478"/>
      <c r="XCU42" s="478"/>
      <c r="XCV42" s="478"/>
      <c r="XCW42" s="478"/>
      <c r="XCX42" s="478"/>
      <c r="XCY42" s="478"/>
      <c r="XCZ42" s="478"/>
      <c r="XDA42" s="478"/>
      <c r="XDB42" s="478"/>
      <c r="XDC42" s="478"/>
      <c r="XDD42" s="478"/>
      <c r="XDE42" s="478"/>
      <c r="XDF42" s="478"/>
      <c r="XDG42" s="478"/>
      <c r="XDH42" s="478"/>
      <c r="XDI42" s="478"/>
      <c r="XDJ42" s="478"/>
      <c r="XDK42" s="478"/>
      <c r="XDL42" s="478"/>
      <c r="XDM42" s="478"/>
      <c r="XDN42" s="478"/>
      <c r="XDO42" s="478"/>
      <c r="XDP42" s="478"/>
      <c r="XDQ42" s="478"/>
      <c r="XDR42" s="478"/>
      <c r="XDS42" s="478"/>
      <c r="XDT42" s="478"/>
      <c r="XDU42" s="478"/>
      <c r="XDV42" s="478"/>
      <c r="XDW42" s="478"/>
      <c r="XDX42" s="478"/>
      <c r="XDY42" s="478"/>
      <c r="XDZ42" s="478"/>
      <c r="XEA42" s="478"/>
      <c r="XEB42" s="478"/>
      <c r="XEC42" s="478"/>
      <c r="XED42" s="478"/>
      <c r="XEE42" s="478"/>
      <c r="XEF42" s="478"/>
      <c r="XEG42" s="478"/>
      <c r="XEH42" s="478"/>
      <c r="XEI42" s="478"/>
      <c r="XEJ42" s="478"/>
      <c r="XEK42" s="478"/>
      <c r="XEL42" s="478"/>
      <c r="XEM42" s="478"/>
      <c r="XEN42" s="478"/>
      <c r="XEO42" s="478"/>
      <c r="XEP42" s="478"/>
      <c r="XEQ42" s="478"/>
      <c r="XER42" s="478"/>
      <c r="XES42" s="478"/>
      <c r="XET42" s="478"/>
      <c r="XEU42" s="478"/>
      <c r="XEV42" s="478"/>
      <c r="XEW42" s="478"/>
      <c r="XEX42" s="478"/>
      <c r="XEY42" s="478"/>
      <c r="XEZ42" s="478"/>
      <c r="XFA42" s="478"/>
      <c r="XFB42" s="478"/>
    </row>
    <row r="43" s="344" customFormat="1" customHeight="1" spans="1:16384">
      <c r="A43" s="380" t="str">
        <f t="shared" ref="A43:A72" si="28">B7</f>
        <v>ZU3-1</v>
      </c>
      <c r="B43" s="381">
        <f t="shared" si="4"/>
        <v>150</v>
      </c>
      <c r="C43" s="381">
        <f t="shared" si="5"/>
        <v>170</v>
      </c>
      <c r="D43" s="382">
        <f t="shared" si="6"/>
        <v>20</v>
      </c>
      <c r="E43" s="383">
        <f t="shared" si="7"/>
        <v>3.348</v>
      </c>
      <c r="F43" s="383">
        <f t="shared" si="8"/>
        <v>3.348</v>
      </c>
      <c r="G43" s="383">
        <f t="shared" si="9"/>
        <v>0.63646</v>
      </c>
      <c r="H43" s="383">
        <f t="shared" si="10"/>
        <v>0.04185</v>
      </c>
      <c r="I43" s="383">
        <f t="shared" si="11"/>
        <v>2.71154</v>
      </c>
      <c r="J43" s="414">
        <f t="shared" si="12"/>
        <v>3.30615</v>
      </c>
      <c r="K43" s="415">
        <f t="shared" si="13"/>
        <v>0.5</v>
      </c>
      <c r="L43" s="415">
        <f>LOOKUP(MAX(J43,I43),{0,3,4,5,6.5,7.5,9,10},{0.3,0.4,0.5,0.6,0.7,0.8,0.9})</f>
        <v>0.4</v>
      </c>
      <c r="M43" s="415">
        <f t="shared" si="14"/>
        <v>13.3</v>
      </c>
      <c r="N43" s="415">
        <f t="shared" si="15"/>
        <v>13.3</v>
      </c>
      <c r="O43" s="416">
        <f t="shared" si="16"/>
        <v>2.04975</v>
      </c>
      <c r="P43" s="417">
        <f t="shared" si="17"/>
        <v>2.14436</v>
      </c>
      <c r="Q43" s="417">
        <f t="shared" si="18"/>
        <v>1.75</v>
      </c>
      <c r="R43" s="382">
        <f t="shared" si="19"/>
        <v>1.75</v>
      </c>
      <c r="S43" s="456">
        <f t="shared" si="20"/>
        <v>0</v>
      </c>
      <c r="T43" s="457">
        <f t="shared" si="21"/>
        <v>2.69998</v>
      </c>
      <c r="U43" s="416">
        <f t="shared" si="22"/>
        <v>2.50965</v>
      </c>
      <c r="V43" s="416">
        <f t="shared" si="23"/>
        <v>0.45</v>
      </c>
      <c r="W43" s="457">
        <f t="shared" si="24"/>
        <v>0.45</v>
      </c>
      <c r="X43" s="458">
        <f t="shared" si="25"/>
        <v>0</v>
      </c>
      <c r="Y43" s="447">
        <f t="shared" si="26"/>
        <v>0</v>
      </c>
      <c r="Z43" s="447">
        <f t="shared" si="27"/>
        <v>0</v>
      </c>
      <c r="AA43" s="478"/>
      <c r="AB43" s="479"/>
      <c r="AC43" s="479"/>
      <c r="AD43" s="478"/>
      <c r="AE43" s="478"/>
      <c r="AF43" s="478"/>
      <c r="AG43" s="478"/>
      <c r="AH43" s="478"/>
      <c r="AI43" s="478"/>
      <c r="AJ43" s="478"/>
      <c r="AK43" s="478"/>
      <c r="AL43" s="478"/>
      <c r="AM43" s="478"/>
      <c r="AN43" s="478"/>
      <c r="AO43" s="478"/>
      <c r="AP43" s="478"/>
      <c r="AQ43" s="478"/>
      <c r="AR43" s="478"/>
      <c r="AS43" s="478"/>
      <c r="AT43" s="478"/>
      <c r="AU43" s="478"/>
      <c r="AV43" s="478"/>
      <c r="AW43" s="478"/>
      <c r="AX43" s="478"/>
      <c r="AY43" s="478"/>
      <c r="AZ43" s="478"/>
      <c r="BA43" s="478"/>
      <c r="BB43" s="478"/>
      <c r="BC43" s="478"/>
      <c r="BD43" s="478"/>
      <c r="BE43" s="478"/>
      <c r="BF43" s="478"/>
      <c r="BG43" s="478"/>
      <c r="BH43" s="478"/>
      <c r="BI43" s="478"/>
      <c r="BJ43" s="478"/>
      <c r="BK43" s="478"/>
      <c r="BL43" s="478"/>
      <c r="BM43" s="478"/>
      <c r="BN43" s="478"/>
      <c r="BO43" s="478"/>
      <c r="BP43" s="478"/>
      <c r="BQ43" s="478"/>
      <c r="BR43" s="478"/>
      <c r="BS43" s="478"/>
      <c r="BT43" s="478"/>
      <c r="BU43" s="478"/>
      <c r="BV43" s="478"/>
      <c r="BW43" s="478"/>
      <c r="BX43" s="478"/>
      <c r="BY43" s="478"/>
      <c r="BZ43" s="478"/>
      <c r="CA43" s="478"/>
      <c r="CB43" s="478"/>
      <c r="CC43" s="478"/>
      <c r="CD43" s="478"/>
      <c r="CE43" s="478"/>
      <c r="CF43" s="478"/>
      <c r="CG43" s="478"/>
      <c r="CH43" s="478"/>
      <c r="CI43" s="478"/>
      <c r="CJ43" s="478"/>
      <c r="CK43" s="478"/>
      <c r="CL43" s="478"/>
      <c r="CM43" s="478"/>
      <c r="CN43" s="478"/>
      <c r="CO43" s="478"/>
      <c r="CP43" s="478"/>
      <c r="CQ43" s="478"/>
      <c r="CR43" s="478"/>
      <c r="CS43" s="478"/>
      <c r="CT43" s="478"/>
      <c r="CU43" s="478"/>
      <c r="CV43" s="478"/>
      <c r="CW43" s="478"/>
      <c r="CX43" s="478"/>
      <c r="CY43" s="478"/>
      <c r="CZ43" s="478"/>
      <c r="DA43" s="478"/>
      <c r="DB43" s="478"/>
      <c r="DC43" s="478"/>
      <c r="DD43" s="478"/>
      <c r="DE43" s="478"/>
      <c r="DF43" s="478"/>
      <c r="DG43" s="478"/>
      <c r="DH43" s="478"/>
      <c r="DI43" s="478"/>
      <c r="DJ43" s="478"/>
      <c r="DK43" s="478"/>
      <c r="DL43" s="478"/>
      <c r="DM43" s="478"/>
      <c r="DN43" s="478"/>
      <c r="DO43" s="478"/>
      <c r="DP43" s="478"/>
      <c r="DQ43" s="478"/>
      <c r="DR43" s="478"/>
      <c r="DS43" s="478"/>
      <c r="DT43" s="478"/>
      <c r="DU43" s="478"/>
      <c r="DV43" s="478"/>
      <c r="DW43" s="478"/>
      <c r="DX43" s="478"/>
      <c r="DY43" s="478"/>
      <c r="DZ43" s="478"/>
      <c r="EA43" s="478"/>
      <c r="EB43" s="478"/>
      <c r="EC43" s="478"/>
      <c r="ED43" s="478"/>
      <c r="EE43" s="478"/>
      <c r="EF43" s="478"/>
      <c r="EG43" s="478"/>
      <c r="EH43" s="478"/>
      <c r="EI43" s="478"/>
      <c r="EJ43" s="478"/>
      <c r="EK43" s="478"/>
      <c r="EL43" s="478"/>
      <c r="EM43" s="478"/>
      <c r="EN43" s="478"/>
      <c r="EO43" s="478"/>
      <c r="EP43" s="478"/>
      <c r="EQ43" s="478"/>
      <c r="ER43" s="478"/>
      <c r="ES43" s="478"/>
      <c r="ET43" s="478"/>
      <c r="EU43" s="478"/>
      <c r="EV43" s="478"/>
      <c r="EW43" s="478"/>
      <c r="EX43" s="478"/>
      <c r="EY43" s="478"/>
      <c r="EZ43" s="478"/>
      <c r="FA43" s="478"/>
      <c r="FB43" s="478"/>
      <c r="FC43" s="478"/>
      <c r="FD43" s="478"/>
      <c r="FE43" s="478"/>
      <c r="FF43" s="478"/>
      <c r="FG43" s="478"/>
      <c r="FH43" s="478"/>
      <c r="FI43" s="478"/>
      <c r="FJ43" s="478"/>
      <c r="FK43" s="478"/>
      <c r="FL43" s="478"/>
      <c r="FM43" s="478"/>
      <c r="FN43" s="478"/>
      <c r="FO43" s="478"/>
      <c r="FP43" s="478"/>
      <c r="FQ43" s="478"/>
      <c r="FR43" s="478"/>
      <c r="FS43" s="478"/>
      <c r="FT43" s="478"/>
      <c r="FU43" s="478"/>
      <c r="FV43" s="478"/>
      <c r="FW43" s="478"/>
      <c r="FX43" s="478"/>
      <c r="FY43" s="478"/>
      <c r="FZ43" s="478"/>
      <c r="GA43" s="478"/>
      <c r="GB43" s="478"/>
      <c r="GC43" s="478"/>
      <c r="GD43" s="478"/>
      <c r="GE43" s="478"/>
      <c r="GF43" s="478"/>
      <c r="GG43" s="478"/>
      <c r="GH43" s="478"/>
      <c r="GI43" s="478"/>
      <c r="GJ43" s="478"/>
      <c r="GK43" s="478"/>
      <c r="GL43" s="478"/>
      <c r="GM43" s="478"/>
      <c r="GN43" s="478"/>
      <c r="GO43" s="478"/>
      <c r="GP43" s="478"/>
      <c r="GQ43" s="478"/>
      <c r="GR43" s="478"/>
      <c r="GS43" s="478"/>
      <c r="GT43" s="478"/>
      <c r="GU43" s="478"/>
      <c r="GV43" s="478"/>
      <c r="GW43" s="478"/>
      <c r="GX43" s="478"/>
      <c r="GY43" s="478"/>
      <c r="GZ43" s="478"/>
      <c r="HA43" s="478"/>
      <c r="HB43" s="478"/>
      <c r="HC43" s="478"/>
      <c r="HD43" s="478"/>
      <c r="HE43" s="478"/>
      <c r="HF43" s="478"/>
      <c r="HG43" s="478"/>
      <c r="HH43" s="478"/>
      <c r="HI43" s="478"/>
      <c r="HJ43" s="478"/>
      <c r="HK43" s="478"/>
      <c r="HL43" s="478"/>
      <c r="HM43" s="478"/>
      <c r="HN43" s="478"/>
      <c r="HO43" s="478"/>
      <c r="HP43" s="478"/>
      <c r="HQ43" s="478"/>
      <c r="HR43" s="478"/>
      <c r="HS43" s="478"/>
      <c r="HT43" s="478"/>
      <c r="HU43" s="478"/>
      <c r="HV43" s="478"/>
      <c r="HW43" s="478"/>
      <c r="HX43" s="478"/>
      <c r="HY43" s="478"/>
      <c r="HZ43" s="478"/>
      <c r="IA43" s="478"/>
      <c r="IB43" s="478"/>
      <c r="IC43" s="478"/>
      <c r="ID43" s="478"/>
      <c r="IE43" s="478"/>
      <c r="IF43" s="478"/>
      <c r="IG43" s="478"/>
      <c r="IH43" s="478"/>
      <c r="II43" s="478"/>
      <c r="IJ43" s="478"/>
      <c r="IK43" s="478"/>
      <c r="IL43" s="478"/>
      <c r="IM43" s="478"/>
      <c r="IN43" s="478"/>
      <c r="IO43" s="478"/>
      <c r="IP43" s="478"/>
      <c r="IQ43" s="478"/>
      <c r="IR43" s="478"/>
      <c r="IS43" s="478"/>
      <c r="IT43" s="478"/>
      <c r="IU43" s="478"/>
      <c r="IV43" s="478"/>
      <c r="IW43" s="478"/>
      <c r="IX43" s="478"/>
      <c r="IY43" s="478"/>
      <c r="IZ43" s="478"/>
      <c r="JA43" s="478"/>
      <c r="JB43" s="478"/>
      <c r="JC43" s="478"/>
      <c r="JD43" s="478"/>
      <c r="JE43" s="478"/>
      <c r="JF43" s="478"/>
      <c r="JG43" s="478"/>
      <c r="JH43" s="478"/>
      <c r="JI43" s="478"/>
      <c r="JJ43" s="478"/>
      <c r="JK43" s="478"/>
      <c r="JL43" s="478"/>
      <c r="JM43" s="478"/>
      <c r="JN43" s="478"/>
      <c r="JO43" s="478"/>
      <c r="JP43" s="478"/>
      <c r="JQ43" s="478"/>
      <c r="JR43" s="478"/>
      <c r="JS43" s="478"/>
      <c r="JT43" s="478"/>
      <c r="JU43" s="478"/>
      <c r="JV43" s="478"/>
      <c r="JW43" s="478"/>
      <c r="JX43" s="478"/>
      <c r="JY43" s="478"/>
      <c r="JZ43" s="478"/>
      <c r="KA43" s="478"/>
      <c r="KB43" s="478"/>
      <c r="KC43" s="478"/>
      <c r="KD43" s="478"/>
      <c r="KE43" s="478"/>
      <c r="KF43" s="478"/>
      <c r="KG43" s="478"/>
      <c r="KH43" s="478"/>
      <c r="KI43" s="478"/>
      <c r="KJ43" s="478"/>
      <c r="KK43" s="478"/>
      <c r="KL43" s="478"/>
      <c r="KM43" s="478"/>
      <c r="KN43" s="478"/>
      <c r="KO43" s="478"/>
      <c r="KP43" s="478"/>
      <c r="KQ43" s="478"/>
      <c r="KR43" s="478"/>
      <c r="KS43" s="478"/>
      <c r="KT43" s="478"/>
      <c r="KU43" s="478"/>
      <c r="KV43" s="478"/>
      <c r="KW43" s="478"/>
      <c r="KX43" s="478"/>
      <c r="KY43" s="478"/>
      <c r="KZ43" s="478"/>
      <c r="LA43" s="478"/>
      <c r="LB43" s="478"/>
      <c r="LC43" s="478"/>
      <c r="LD43" s="478"/>
      <c r="LE43" s="478"/>
      <c r="LF43" s="478"/>
      <c r="LG43" s="478"/>
      <c r="LH43" s="478"/>
      <c r="LI43" s="478"/>
      <c r="LJ43" s="478"/>
      <c r="LK43" s="478"/>
      <c r="LL43" s="478"/>
      <c r="LM43" s="478"/>
      <c r="LN43" s="478"/>
      <c r="LO43" s="478"/>
      <c r="LP43" s="478"/>
      <c r="LQ43" s="478"/>
      <c r="LR43" s="478"/>
      <c r="LS43" s="478"/>
      <c r="LT43" s="478"/>
      <c r="LU43" s="478"/>
      <c r="LV43" s="478"/>
      <c r="LW43" s="478"/>
      <c r="LX43" s="478"/>
      <c r="LY43" s="478"/>
      <c r="LZ43" s="478"/>
      <c r="MA43" s="478"/>
      <c r="MB43" s="478"/>
      <c r="MC43" s="478"/>
      <c r="MD43" s="478"/>
      <c r="ME43" s="478"/>
      <c r="MF43" s="478"/>
      <c r="MG43" s="478"/>
      <c r="MH43" s="478"/>
      <c r="MI43" s="478"/>
      <c r="MJ43" s="478"/>
      <c r="MK43" s="478"/>
      <c r="ML43" s="478"/>
      <c r="MM43" s="478"/>
      <c r="MN43" s="478"/>
      <c r="MO43" s="478"/>
      <c r="MP43" s="478"/>
      <c r="MQ43" s="478"/>
      <c r="MR43" s="478"/>
      <c r="MS43" s="478"/>
      <c r="MT43" s="478"/>
      <c r="MU43" s="478"/>
      <c r="MV43" s="478"/>
      <c r="MW43" s="478"/>
      <c r="MX43" s="478"/>
      <c r="MY43" s="478"/>
      <c r="MZ43" s="478"/>
      <c r="NA43" s="478"/>
      <c r="NB43" s="478"/>
      <c r="NC43" s="478"/>
      <c r="ND43" s="478"/>
      <c r="NE43" s="478"/>
      <c r="NF43" s="478"/>
      <c r="NG43" s="478"/>
      <c r="NH43" s="478"/>
      <c r="NI43" s="478"/>
      <c r="NJ43" s="478"/>
      <c r="NK43" s="478"/>
      <c r="NL43" s="478"/>
      <c r="NM43" s="478"/>
      <c r="NN43" s="478"/>
      <c r="NO43" s="478"/>
      <c r="NP43" s="478"/>
      <c r="NQ43" s="478"/>
      <c r="NR43" s="478"/>
      <c r="NS43" s="478"/>
      <c r="NT43" s="478"/>
      <c r="NU43" s="478"/>
      <c r="NV43" s="478"/>
      <c r="NW43" s="478"/>
      <c r="NX43" s="478"/>
      <c r="NY43" s="478"/>
      <c r="NZ43" s="478"/>
      <c r="OA43" s="478"/>
      <c r="OB43" s="478"/>
      <c r="OC43" s="478"/>
      <c r="OD43" s="478"/>
      <c r="OE43" s="478"/>
      <c r="OF43" s="478"/>
      <c r="OG43" s="478"/>
      <c r="OH43" s="478"/>
      <c r="OI43" s="478"/>
      <c r="OJ43" s="478"/>
      <c r="OK43" s="478"/>
      <c r="OL43" s="478"/>
      <c r="OM43" s="478"/>
      <c r="ON43" s="478"/>
      <c r="OO43" s="478"/>
      <c r="OP43" s="478"/>
      <c r="OQ43" s="478"/>
      <c r="OR43" s="478"/>
      <c r="OS43" s="478"/>
      <c r="OT43" s="478"/>
      <c r="OU43" s="478"/>
      <c r="OV43" s="478"/>
      <c r="OW43" s="478"/>
      <c r="OX43" s="478"/>
      <c r="OY43" s="478"/>
      <c r="OZ43" s="478"/>
      <c r="PA43" s="478"/>
      <c r="PB43" s="478"/>
      <c r="PC43" s="478"/>
      <c r="PD43" s="478"/>
      <c r="PE43" s="478"/>
      <c r="PF43" s="478"/>
      <c r="PG43" s="478"/>
      <c r="PH43" s="478"/>
      <c r="PI43" s="478"/>
      <c r="PJ43" s="478"/>
      <c r="PK43" s="478"/>
      <c r="PL43" s="478"/>
      <c r="PM43" s="478"/>
      <c r="PN43" s="478"/>
      <c r="PO43" s="478"/>
      <c r="PP43" s="478"/>
      <c r="PQ43" s="478"/>
      <c r="PR43" s="478"/>
      <c r="PS43" s="478"/>
      <c r="PT43" s="478"/>
      <c r="PU43" s="478"/>
      <c r="PV43" s="478"/>
      <c r="PW43" s="478"/>
      <c r="PX43" s="478"/>
      <c r="PY43" s="478"/>
      <c r="PZ43" s="478"/>
      <c r="QA43" s="478"/>
      <c r="QB43" s="478"/>
      <c r="QC43" s="478"/>
      <c r="QD43" s="478"/>
      <c r="QE43" s="478"/>
      <c r="QF43" s="478"/>
      <c r="QG43" s="478"/>
      <c r="QH43" s="478"/>
      <c r="QI43" s="478"/>
      <c r="QJ43" s="478"/>
      <c r="QK43" s="478"/>
      <c r="QL43" s="478"/>
      <c r="QM43" s="478"/>
      <c r="QN43" s="478"/>
      <c r="QO43" s="478"/>
      <c r="QP43" s="478"/>
      <c r="QQ43" s="478"/>
      <c r="QR43" s="478"/>
      <c r="QS43" s="478"/>
      <c r="QT43" s="478"/>
      <c r="QU43" s="478"/>
      <c r="QV43" s="478"/>
      <c r="QW43" s="478"/>
      <c r="QX43" s="478"/>
      <c r="QY43" s="478"/>
      <c r="QZ43" s="478"/>
      <c r="RA43" s="478"/>
      <c r="RB43" s="478"/>
      <c r="RC43" s="478"/>
      <c r="RD43" s="478"/>
      <c r="RE43" s="478"/>
      <c r="RF43" s="478"/>
      <c r="RG43" s="478"/>
      <c r="RH43" s="478"/>
      <c r="RI43" s="478"/>
      <c r="RJ43" s="478"/>
      <c r="RK43" s="478"/>
      <c r="RL43" s="478"/>
      <c r="RM43" s="478"/>
      <c r="RN43" s="478"/>
      <c r="RO43" s="478"/>
      <c r="RP43" s="478"/>
      <c r="RQ43" s="478"/>
      <c r="RR43" s="478"/>
      <c r="RS43" s="478"/>
      <c r="RT43" s="478"/>
      <c r="RU43" s="478"/>
      <c r="RV43" s="478"/>
      <c r="RW43" s="478"/>
      <c r="RX43" s="478"/>
      <c r="RY43" s="478"/>
      <c r="RZ43" s="478"/>
      <c r="SA43" s="478"/>
      <c r="SB43" s="478"/>
      <c r="SC43" s="478"/>
      <c r="SD43" s="478"/>
      <c r="SE43" s="478"/>
      <c r="SF43" s="478"/>
      <c r="SG43" s="478"/>
      <c r="SH43" s="478"/>
      <c r="SI43" s="478"/>
      <c r="SJ43" s="478"/>
      <c r="SK43" s="478"/>
      <c r="SL43" s="478"/>
      <c r="SM43" s="478"/>
      <c r="SN43" s="478"/>
      <c r="SO43" s="478"/>
      <c r="SP43" s="478"/>
      <c r="SQ43" s="478"/>
      <c r="SR43" s="478"/>
      <c r="SS43" s="478"/>
      <c r="ST43" s="478"/>
      <c r="SU43" s="478"/>
      <c r="SV43" s="478"/>
      <c r="SW43" s="478"/>
      <c r="SX43" s="478"/>
      <c r="SY43" s="478"/>
      <c r="SZ43" s="478"/>
      <c r="TA43" s="478"/>
      <c r="TB43" s="478"/>
      <c r="TC43" s="478"/>
      <c r="TD43" s="478"/>
      <c r="TE43" s="478"/>
      <c r="TF43" s="478"/>
      <c r="TG43" s="478"/>
      <c r="TH43" s="478"/>
      <c r="TI43" s="478"/>
      <c r="TJ43" s="478"/>
      <c r="TK43" s="478"/>
      <c r="TL43" s="478"/>
      <c r="TM43" s="478"/>
      <c r="TN43" s="478"/>
      <c r="TO43" s="478"/>
      <c r="TP43" s="478"/>
      <c r="TQ43" s="478"/>
      <c r="TR43" s="478"/>
      <c r="TS43" s="478"/>
      <c r="TT43" s="478"/>
      <c r="TU43" s="478"/>
      <c r="TV43" s="478"/>
      <c r="TW43" s="478"/>
      <c r="TX43" s="478"/>
      <c r="TY43" s="478"/>
      <c r="TZ43" s="478"/>
      <c r="UA43" s="478"/>
      <c r="UB43" s="478"/>
      <c r="UC43" s="478"/>
      <c r="UD43" s="478"/>
      <c r="UE43" s="478"/>
      <c r="UF43" s="478"/>
      <c r="UG43" s="478"/>
      <c r="UH43" s="478"/>
      <c r="UI43" s="478"/>
      <c r="UJ43" s="478"/>
      <c r="UK43" s="478"/>
      <c r="UL43" s="478"/>
      <c r="UM43" s="478"/>
      <c r="UN43" s="478"/>
      <c r="UO43" s="478"/>
      <c r="UP43" s="478"/>
      <c r="UQ43" s="478"/>
      <c r="UR43" s="478"/>
      <c r="US43" s="478"/>
      <c r="UT43" s="478"/>
      <c r="UU43" s="478"/>
      <c r="UV43" s="478"/>
      <c r="UW43" s="478"/>
      <c r="UX43" s="478"/>
      <c r="UY43" s="478"/>
      <c r="UZ43" s="478"/>
      <c r="VA43" s="478"/>
      <c r="VB43" s="478"/>
      <c r="VC43" s="478"/>
      <c r="VD43" s="478"/>
      <c r="VE43" s="478"/>
      <c r="VF43" s="478"/>
      <c r="VG43" s="478"/>
      <c r="VH43" s="478"/>
      <c r="VI43" s="478"/>
      <c r="VJ43" s="478"/>
      <c r="VK43" s="478"/>
      <c r="VL43" s="478"/>
      <c r="VM43" s="478"/>
      <c r="VN43" s="478"/>
      <c r="VO43" s="478"/>
      <c r="VP43" s="478"/>
      <c r="VQ43" s="478"/>
      <c r="VR43" s="478"/>
      <c r="VS43" s="478"/>
      <c r="VT43" s="478"/>
      <c r="VU43" s="478"/>
      <c r="VV43" s="478"/>
      <c r="VW43" s="478"/>
      <c r="VX43" s="478"/>
      <c r="VY43" s="478"/>
      <c r="VZ43" s="478"/>
      <c r="WA43" s="478"/>
      <c r="WB43" s="478"/>
      <c r="WC43" s="478"/>
      <c r="WD43" s="478"/>
      <c r="WE43" s="478"/>
      <c r="WF43" s="478"/>
      <c r="WG43" s="478"/>
      <c r="WH43" s="478"/>
      <c r="WI43" s="478"/>
      <c r="WJ43" s="478"/>
      <c r="WK43" s="478"/>
      <c r="WL43" s="478"/>
      <c r="WM43" s="478"/>
      <c r="WN43" s="478"/>
      <c r="WO43" s="478"/>
      <c r="WP43" s="478"/>
      <c r="WQ43" s="478"/>
      <c r="WR43" s="478"/>
      <c r="WS43" s="478"/>
      <c r="WT43" s="478"/>
      <c r="WU43" s="478"/>
      <c r="WV43" s="478"/>
      <c r="WW43" s="478"/>
      <c r="WX43" s="478"/>
      <c r="WY43" s="478"/>
      <c r="WZ43" s="478"/>
      <c r="XA43" s="478"/>
      <c r="XB43" s="478"/>
      <c r="XC43" s="478"/>
      <c r="XD43" s="478"/>
      <c r="XE43" s="478"/>
      <c r="XF43" s="478"/>
      <c r="XG43" s="478"/>
      <c r="XH43" s="478"/>
      <c r="XI43" s="478"/>
      <c r="XJ43" s="478"/>
      <c r="XK43" s="478"/>
      <c r="XL43" s="478"/>
      <c r="XM43" s="478"/>
      <c r="XN43" s="478"/>
      <c r="XO43" s="478"/>
      <c r="XP43" s="478"/>
      <c r="XQ43" s="478"/>
      <c r="XR43" s="478"/>
      <c r="XS43" s="478"/>
      <c r="XT43" s="478"/>
      <c r="XU43" s="478"/>
      <c r="XV43" s="478"/>
      <c r="XW43" s="478"/>
      <c r="XX43" s="478"/>
      <c r="XY43" s="478"/>
      <c r="XZ43" s="478"/>
      <c r="YA43" s="478"/>
      <c r="YB43" s="478"/>
      <c r="YC43" s="478"/>
      <c r="YD43" s="478"/>
      <c r="YE43" s="478"/>
      <c r="YF43" s="478"/>
      <c r="YG43" s="478"/>
      <c r="YH43" s="478"/>
      <c r="YI43" s="478"/>
      <c r="YJ43" s="478"/>
      <c r="YK43" s="478"/>
      <c r="YL43" s="478"/>
      <c r="YM43" s="478"/>
      <c r="YN43" s="478"/>
      <c r="YO43" s="478"/>
      <c r="YP43" s="478"/>
      <c r="YQ43" s="478"/>
      <c r="YR43" s="478"/>
      <c r="YS43" s="478"/>
      <c r="YT43" s="478"/>
      <c r="YU43" s="478"/>
      <c r="YV43" s="478"/>
      <c r="YW43" s="478"/>
      <c r="YX43" s="478"/>
      <c r="YY43" s="478"/>
      <c r="YZ43" s="478"/>
      <c r="ZA43" s="478"/>
      <c r="ZB43" s="478"/>
      <c r="ZC43" s="478"/>
      <c r="ZD43" s="478"/>
      <c r="ZE43" s="478"/>
      <c r="ZF43" s="478"/>
      <c r="ZG43" s="478"/>
      <c r="ZH43" s="478"/>
      <c r="ZI43" s="478"/>
      <c r="ZJ43" s="478"/>
      <c r="ZK43" s="478"/>
      <c r="ZL43" s="478"/>
      <c r="ZM43" s="478"/>
      <c r="ZN43" s="478"/>
      <c r="ZO43" s="478"/>
      <c r="ZP43" s="478"/>
      <c r="ZQ43" s="478"/>
      <c r="ZR43" s="478"/>
      <c r="ZS43" s="478"/>
      <c r="ZT43" s="478"/>
      <c r="ZU43" s="478"/>
      <c r="ZV43" s="478"/>
      <c r="ZW43" s="478"/>
      <c r="ZX43" s="478"/>
      <c r="ZY43" s="478"/>
      <c r="ZZ43" s="478"/>
      <c r="AAA43" s="478"/>
      <c r="AAB43" s="478"/>
      <c r="AAC43" s="478"/>
      <c r="AAD43" s="478"/>
      <c r="AAE43" s="478"/>
      <c r="AAF43" s="478"/>
      <c r="AAG43" s="478"/>
      <c r="AAH43" s="478"/>
      <c r="AAI43" s="478"/>
      <c r="AAJ43" s="478"/>
      <c r="AAK43" s="478"/>
      <c r="AAL43" s="478"/>
      <c r="AAM43" s="478"/>
      <c r="AAN43" s="478"/>
      <c r="AAO43" s="478"/>
      <c r="AAP43" s="478"/>
      <c r="AAQ43" s="478"/>
      <c r="AAR43" s="478"/>
      <c r="AAS43" s="478"/>
      <c r="AAT43" s="478"/>
      <c r="AAU43" s="478"/>
      <c r="AAV43" s="478"/>
      <c r="AAW43" s="478"/>
      <c r="AAX43" s="478"/>
      <c r="AAY43" s="478"/>
      <c r="AAZ43" s="478"/>
      <c r="ABA43" s="478"/>
      <c r="ABB43" s="478"/>
      <c r="ABC43" s="478"/>
      <c r="ABD43" s="478"/>
      <c r="ABE43" s="478"/>
      <c r="ABF43" s="478"/>
      <c r="ABG43" s="478"/>
      <c r="ABH43" s="478"/>
      <c r="ABI43" s="478"/>
      <c r="ABJ43" s="478"/>
      <c r="ABK43" s="478"/>
      <c r="ABL43" s="478"/>
      <c r="ABM43" s="478"/>
      <c r="ABN43" s="478"/>
      <c r="ABO43" s="478"/>
      <c r="ABP43" s="478"/>
      <c r="ABQ43" s="478"/>
      <c r="ABR43" s="478"/>
      <c r="ABS43" s="478"/>
      <c r="ABT43" s="478"/>
      <c r="ABU43" s="478"/>
      <c r="ABV43" s="478"/>
      <c r="ABW43" s="478"/>
      <c r="ABX43" s="478"/>
      <c r="ABY43" s="478"/>
      <c r="ABZ43" s="478"/>
      <c r="ACA43" s="478"/>
      <c r="ACB43" s="478"/>
      <c r="ACC43" s="478"/>
      <c r="ACD43" s="478"/>
      <c r="ACE43" s="478"/>
      <c r="ACF43" s="478"/>
      <c r="ACG43" s="478"/>
      <c r="ACH43" s="478"/>
      <c r="ACI43" s="478"/>
      <c r="ACJ43" s="478"/>
      <c r="ACK43" s="478"/>
      <c r="ACL43" s="478"/>
      <c r="ACM43" s="478"/>
      <c r="ACN43" s="478"/>
      <c r="ACO43" s="478"/>
      <c r="ACP43" s="478"/>
      <c r="ACQ43" s="478"/>
      <c r="ACR43" s="478"/>
      <c r="ACS43" s="478"/>
      <c r="ACT43" s="478"/>
      <c r="ACU43" s="478"/>
      <c r="ACV43" s="478"/>
      <c r="ACW43" s="478"/>
      <c r="ACX43" s="478"/>
      <c r="ACY43" s="478"/>
      <c r="ACZ43" s="478"/>
      <c r="ADA43" s="478"/>
      <c r="ADB43" s="478"/>
      <c r="ADC43" s="478"/>
      <c r="ADD43" s="478"/>
      <c r="ADE43" s="478"/>
      <c r="ADF43" s="478"/>
      <c r="ADG43" s="478"/>
      <c r="ADH43" s="478"/>
      <c r="ADI43" s="478"/>
      <c r="ADJ43" s="478"/>
      <c r="ADK43" s="478"/>
      <c r="ADL43" s="478"/>
      <c r="ADM43" s="478"/>
      <c r="ADN43" s="478"/>
      <c r="ADO43" s="478"/>
      <c r="ADP43" s="478"/>
      <c r="ADQ43" s="478"/>
      <c r="ADR43" s="478"/>
      <c r="ADS43" s="478"/>
      <c r="ADT43" s="478"/>
      <c r="ADU43" s="478"/>
      <c r="ADV43" s="478"/>
      <c r="ADW43" s="478"/>
      <c r="ADX43" s="478"/>
      <c r="ADY43" s="478"/>
      <c r="ADZ43" s="478"/>
      <c r="AEA43" s="478"/>
      <c r="AEB43" s="478"/>
      <c r="AEC43" s="478"/>
      <c r="AED43" s="478"/>
      <c r="AEE43" s="478"/>
      <c r="AEF43" s="478"/>
      <c r="AEG43" s="478"/>
      <c r="AEH43" s="478"/>
      <c r="AEI43" s="478"/>
      <c r="AEJ43" s="478"/>
      <c r="AEK43" s="478"/>
      <c r="AEL43" s="478"/>
      <c r="AEM43" s="478"/>
      <c r="AEN43" s="478"/>
      <c r="AEO43" s="478"/>
      <c r="AEP43" s="478"/>
      <c r="AEQ43" s="478"/>
      <c r="AER43" s="478"/>
      <c r="AES43" s="478"/>
      <c r="AET43" s="478"/>
      <c r="AEU43" s="478"/>
      <c r="AEV43" s="478"/>
      <c r="AEW43" s="478"/>
      <c r="AEX43" s="478"/>
      <c r="AEY43" s="478"/>
      <c r="AEZ43" s="478"/>
      <c r="AFA43" s="478"/>
      <c r="AFB43" s="478"/>
      <c r="AFC43" s="478"/>
      <c r="AFD43" s="478"/>
      <c r="AFE43" s="478"/>
      <c r="AFF43" s="478"/>
      <c r="AFG43" s="478"/>
      <c r="AFH43" s="478"/>
      <c r="AFI43" s="478"/>
      <c r="AFJ43" s="478"/>
      <c r="AFK43" s="478"/>
      <c r="AFL43" s="478"/>
      <c r="AFM43" s="478"/>
      <c r="AFN43" s="478"/>
      <c r="AFO43" s="478"/>
      <c r="AFP43" s="478"/>
      <c r="AFQ43" s="478"/>
      <c r="AFR43" s="478"/>
      <c r="AFS43" s="478"/>
      <c r="AFT43" s="478"/>
      <c r="AFU43" s="478"/>
      <c r="AFV43" s="478"/>
      <c r="AFW43" s="478"/>
      <c r="AFX43" s="478"/>
      <c r="AFY43" s="478"/>
      <c r="AFZ43" s="478"/>
      <c r="AGA43" s="478"/>
      <c r="AGB43" s="478"/>
      <c r="AGC43" s="478"/>
      <c r="AGD43" s="478"/>
      <c r="AGE43" s="478"/>
      <c r="AGF43" s="478"/>
      <c r="AGG43" s="478"/>
      <c r="AGH43" s="478"/>
      <c r="AGI43" s="478"/>
      <c r="AGJ43" s="478"/>
      <c r="AGK43" s="478"/>
      <c r="AGL43" s="478"/>
      <c r="AGM43" s="478"/>
      <c r="AGN43" s="478"/>
      <c r="AGO43" s="478"/>
      <c r="AGP43" s="478"/>
      <c r="AGQ43" s="478"/>
      <c r="AGR43" s="478"/>
      <c r="AGS43" s="478"/>
      <c r="AGT43" s="478"/>
      <c r="AGU43" s="478"/>
      <c r="AGV43" s="478"/>
      <c r="AGW43" s="478"/>
      <c r="AGX43" s="478"/>
      <c r="AGY43" s="478"/>
      <c r="AGZ43" s="478"/>
      <c r="AHA43" s="478"/>
      <c r="AHB43" s="478"/>
      <c r="AHC43" s="478"/>
      <c r="AHD43" s="478"/>
      <c r="AHE43" s="478"/>
      <c r="AHF43" s="478"/>
      <c r="AHG43" s="478"/>
      <c r="AHH43" s="478"/>
      <c r="AHI43" s="478"/>
      <c r="AHJ43" s="478"/>
      <c r="AHK43" s="478"/>
      <c r="AHL43" s="478"/>
      <c r="AHM43" s="478"/>
      <c r="AHN43" s="478"/>
      <c r="AHO43" s="478"/>
      <c r="AHP43" s="478"/>
      <c r="AHQ43" s="478"/>
      <c r="AHR43" s="478"/>
      <c r="AHS43" s="478"/>
      <c r="AHT43" s="478"/>
      <c r="AHU43" s="478"/>
      <c r="AHV43" s="478"/>
      <c r="AHW43" s="478"/>
      <c r="AHX43" s="478"/>
      <c r="AHY43" s="478"/>
      <c r="AHZ43" s="478"/>
      <c r="AIA43" s="478"/>
      <c r="AIB43" s="478"/>
      <c r="AIC43" s="478"/>
      <c r="AID43" s="478"/>
      <c r="AIE43" s="478"/>
      <c r="AIF43" s="478"/>
      <c r="AIG43" s="478"/>
      <c r="AIH43" s="478"/>
      <c r="AII43" s="478"/>
      <c r="AIJ43" s="478"/>
      <c r="AIK43" s="478"/>
      <c r="AIL43" s="478"/>
      <c r="AIM43" s="478"/>
      <c r="AIN43" s="478"/>
      <c r="AIO43" s="478"/>
      <c r="AIP43" s="478"/>
      <c r="AIQ43" s="478"/>
      <c r="AIR43" s="478"/>
      <c r="AIS43" s="478"/>
      <c r="AIT43" s="478"/>
      <c r="AIU43" s="478"/>
      <c r="AIV43" s="478"/>
      <c r="AIW43" s="478"/>
      <c r="AIX43" s="478"/>
      <c r="AIY43" s="478"/>
      <c r="AIZ43" s="478"/>
      <c r="AJA43" s="478"/>
      <c r="AJB43" s="478"/>
      <c r="AJC43" s="478"/>
      <c r="AJD43" s="478"/>
      <c r="AJE43" s="478"/>
      <c r="AJF43" s="478"/>
      <c r="AJG43" s="478"/>
      <c r="AJH43" s="478"/>
      <c r="AJI43" s="478"/>
      <c r="AJJ43" s="478"/>
      <c r="AJK43" s="478"/>
      <c r="AJL43" s="478"/>
      <c r="AJM43" s="478"/>
      <c r="AJN43" s="478"/>
      <c r="AJO43" s="478"/>
      <c r="AJP43" s="478"/>
      <c r="AJQ43" s="478"/>
      <c r="AJR43" s="478"/>
      <c r="AJS43" s="478"/>
      <c r="AJT43" s="478"/>
      <c r="AJU43" s="478"/>
      <c r="AJV43" s="478"/>
      <c r="AJW43" s="478"/>
      <c r="AJX43" s="478"/>
      <c r="AJY43" s="478"/>
      <c r="AJZ43" s="478"/>
      <c r="AKA43" s="478"/>
      <c r="AKB43" s="478"/>
      <c r="AKC43" s="478"/>
      <c r="AKD43" s="478"/>
      <c r="AKE43" s="478"/>
      <c r="AKF43" s="478"/>
      <c r="AKG43" s="478"/>
      <c r="AKH43" s="478"/>
      <c r="AKI43" s="478"/>
      <c r="AKJ43" s="478"/>
      <c r="AKK43" s="478"/>
      <c r="AKL43" s="478"/>
      <c r="AKM43" s="478"/>
      <c r="AKN43" s="478"/>
      <c r="AKO43" s="478"/>
      <c r="AKP43" s="478"/>
      <c r="AKQ43" s="478"/>
      <c r="AKR43" s="478"/>
      <c r="AKS43" s="478"/>
      <c r="AKT43" s="478"/>
      <c r="AKU43" s="478"/>
      <c r="AKV43" s="478"/>
      <c r="AKW43" s="478"/>
      <c r="AKX43" s="478"/>
      <c r="AKY43" s="478"/>
      <c r="AKZ43" s="478"/>
      <c r="ALA43" s="478"/>
      <c r="ALB43" s="478"/>
      <c r="ALC43" s="478"/>
      <c r="ALD43" s="478"/>
      <c r="ALE43" s="478"/>
      <c r="ALF43" s="478"/>
      <c r="ALG43" s="478"/>
      <c r="ALH43" s="478"/>
      <c r="ALI43" s="478"/>
      <c r="ALJ43" s="478"/>
      <c r="ALK43" s="478"/>
      <c r="ALL43" s="478"/>
      <c r="ALM43" s="478"/>
      <c r="ALN43" s="478"/>
      <c r="ALO43" s="478"/>
      <c r="ALP43" s="478"/>
      <c r="ALQ43" s="478"/>
      <c r="ALR43" s="478"/>
      <c r="ALS43" s="478"/>
      <c r="ALT43" s="478"/>
      <c r="ALU43" s="478"/>
      <c r="ALV43" s="478"/>
      <c r="ALW43" s="478"/>
      <c r="ALX43" s="478"/>
      <c r="ALY43" s="478"/>
      <c r="ALZ43" s="478"/>
      <c r="AMA43" s="478"/>
      <c r="AMB43" s="478"/>
      <c r="AMC43" s="478"/>
      <c r="AMD43" s="478"/>
      <c r="AME43" s="478"/>
      <c r="AMF43" s="478"/>
      <c r="AMG43" s="478"/>
      <c r="AMH43" s="478"/>
      <c r="AMI43" s="478"/>
      <c r="AMJ43" s="478"/>
      <c r="AMK43" s="478"/>
      <c r="AML43" s="478"/>
      <c r="AMM43" s="478"/>
      <c r="AMN43" s="478"/>
      <c r="AMO43" s="478"/>
      <c r="AMP43" s="478"/>
      <c r="AMQ43" s="478"/>
      <c r="AMR43" s="478"/>
      <c r="AMS43" s="478"/>
      <c r="AMT43" s="478"/>
      <c r="AMU43" s="478"/>
      <c r="AMV43" s="478"/>
      <c r="AMW43" s="478"/>
      <c r="AMX43" s="478"/>
      <c r="AMY43" s="478"/>
      <c r="AMZ43" s="478"/>
      <c r="ANA43" s="478"/>
      <c r="ANB43" s="478"/>
      <c r="ANC43" s="478"/>
      <c r="AND43" s="478"/>
      <c r="ANE43" s="478"/>
      <c r="ANF43" s="478"/>
      <c r="ANG43" s="478"/>
      <c r="ANH43" s="478"/>
      <c r="ANI43" s="478"/>
      <c r="ANJ43" s="478"/>
      <c r="ANK43" s="478"/>
      <c r="ANL43" s="478"/>
      <c r="ANM43" s="478"/>
      <c r="ANN43" s="478"/>
      <c r="ANO43" s="478"/>
      <c r="ANP43" s="478"/>
      <c r="ANQ43" s="478"/>
      <c r="ANR43" s="478"/>
      <c r="ANS43" s="478"/>
      <c r="ANT43" s="478"/>
      <c r="ANU43" s="478"/>
      <c r="ANV43" s="478"/>
      <c r="ANW43" s="478"/>
      <c r="ANX43" s="478"/>
      <c r="ANY43" s="478"/>
      <c r="ANZ43" s="478"/>
      <c r="AOA43" s="478"/>
      <c r="AOB43" s="478"/>
      <c r="AOC43" s="478"/>
      <c r="AOD43" s="478"/>
      <c r="AOE43" s="478"/>
      <c r="AOF43" s="478"/>
      <c r="AOG43" s="478"/>
      <c r="AOH43" s="478"/>
      <c r="AOI43" s="478"/>
      <c r="AOJ43" s="478"/>
      <c r="AOK43" s="478"/>
      <c r="AOL43" s="478"/>
      <c r="AOM43" s="478"/>
      <c r="AON43" s="478"/>
      <c r="AOO43" s="478"/>
      <c r="AOP43" s="478"/>
      <c r="AOQ43" s="478"/>
      <c r="AOR43" s="478"/>
      <c r="AOS43" s="478"/>
      <c r="AOT43" s="478"/>
      <c r="AOU43" s="478"/>
      <c r="AOV43" s="478"/>
      <c r="AOW43" s="478"/>
      <c r="AOX43" s="478"/>
      <c r="AOY43" s="478"/>
      <c r="AOZ43" s="478"/>
      <c r="APA43" s="478"/>
      <c r="APB43" s="478"/>
      <c r="APC43" s="478"/>
      <c r="APD43" s="478"/>
      <c r="APE43" s="478"/>
      <c r="APF43" s="478"/>
      <c r="APG43" s="478"/>
      <c r="APH43" s="478"/>
      <c r="API43" s="478"/>
      <c r="APJ43" s="478"/>
      <c r="APK43" s="478"/>
      <c r="APL43" s="478"/>
      <c r="APM43" s="478"/>
      <c r="APN43" s="478"/>
      <c r="APO43" s="478"/>
      <c r="APP43" s="478"/>
      <c r="APQ43" s="478"/>
      <c r="APR43" s="478"/>
      <c r="APS43" s="478"/>
      <c r="APT43" s="478"/>
      <c r="APU43" s="478"/>
      <c r="APV43" s="478"/>
      <c r="APW43" s="478"/>
      <c r="APX43" s="478"/>
      <c r="APY43" s="478"/>
      <c r="APZ43" s="478"/>
      <c r="AQA43" s="478"/>
      <c r="AQB43" s="478"/>
      <c r="AQC43" s="478"/>
      <c r="AQD43" s="478"/>
      <c r="AQE43" s="478"/>
      <c r="AQF43" s="478"/>
      <c r="AQG43" s="478"/>
      <c r="AQH43" s="478"/>
      <c r="AQI43" s="478"/>
      <c r="AQJ43" s="478"/>
      <c r="AQK43" s="478"/>
      <c r="AQL43" s="478"/>
      <c r="AQM43" s="478"/>
      <c r="AQN43" s="478"/>
      <c r="AQO43" s="478"/>
      <c r="AQP43" s="478"/>
      <c r="AQQ43" s="478"/>
      <c r="AQR43" s="478"/>
      <c r="AQS43" s="478"/>
      <c r="AQT43" s="478"/>
      <c r="AQU43" s="478"/>
      <c r="AQV43" s="478"/>
      <c r="AQW43" s="478"/>
      <c r="AQX43" s="478"/>
      <c r="AQY43" s="478"/>
      <c r="AQZ43" s="478"/>
      <c r="ARA43" s="478"/>
      <c r="ARB43" s="478"/>
      <c r="ARC43" s="478"/>
      <c r="ARD43" s="478"/>
      <c r="ARE43" s="478"/>
      <c r="ARF43" s="478"/>
      <c r="ARG43" s="478"/>
      <c r="ARH43" s="478"/>
      <c r="ARI43" s="478"/>
      <c r="ARJ43" s="478"/>
      <c r="ARK43" s="478"/>
      <c r="ARL43" s="478"/>
      <c r="ARM43" s="478"/>
      <c r="ARN43" s="478"/>
      <c r="ARO43" s="478"/>
      <c r="ARP43" s="478"/>
      <c r="ARQ43" s="478"/>
      <c r="ARR43" s="478"/>
      <c r="ARS43" s="478"/>
      <c r="ART43" s="478"/>
      <c r="ARU43" s="478"/>
      <c r="ARV43" s="478"/>
      <c r="ARW43" s="478"/>
      <c r="ARX43" s="478"/>
      <c r="ARY43" s="478"/>
      <c r="ARZ43" s="478"/>
      <c r="ASA43" s="478"/>
      <c r="ASB43" s="478"/>
      <c r="ASC43" s="478"/>
      <c r="ASD43" s="478"/>
      <c r="ASE43" s="478"/>
      <c r="ASF43" s="478"/>
      <c r="ASG43" s="478"/>
      <c r="ASH43" s="478"/>
      <c r="ASI43" s="478"/>
      <c r="ASJ43" s="478"/>
      <c r="ASK43" s="478"/>
      <c r="ASL43" s="478"/>
      <c r="ASM43" s="478"/>
      <c r="ASN43" s="478"/>
      <c r="ASO43" s="478"/>
      <c r="ASP43" s="478"/>
      <c r="ASQ43" s="478"/>
      <c r="ASR43" s="478"/>
      <c r="ASS43" s="478"/>
      <c r="AST43" s="478"/>
      <c r="ASU43" s="478"/>
      <c r="ASV43" s="478"/>
      <c r="ASW43" s="478"/>
      <c r="ASX43" s="478"/>
      <c r="ASY43" s="478"/>
      <c r="ASZ43" s="478"/>
      <c r="ATA43" s="478"/>
      <c r="ATB43" s="478"/>
      <c r="ATC43" s="478"/>
      <c r="ATD43" s="478"/>
      <c r="ATE43" s="478"/>
      <c r="ATF43" s="478"/>
      <c r="ATG43" s="478"/>
      <c r="ATH43" s="478"/>
      <c r="ATI43" s="478"/>
      <c r="ATJ43" s="478"/>
      <c r="ATK43" s="478"/>
      <c r="ATL43" s="478"/>
      <c r="ATM43" s="478"/>
      <c r="ATN43" s="478"/>
      <c r="ATO43" s="478"/>
      <c r="ATP43" s="478"/>
      <c r="ATQ43" s="478"/>
      <c r="ATR43" s="478"/>
      <c r="ATS43" s="478"/>
      <c r="ATT43" s="478"/>
      <c r="ATU43" s="478"/>
      <c r="ATV43" s="478"/>
      <c r="ATW43" s="478"/>
      <c r="ATX43" s="478"/>
      <c r="ATY43" s="478"/>
      <c r="ATZ43" s="478"/>
      <c r="AUA43" s="478"/>
      <c r="AUB43" s="478"/>
      <c r="AUC43" s="478"/>
      <c r="AUD43" s="478"/>
      <c r="AUE43" s="478"/>
      <c r="AUF43" s="478"/>
      <c r="AUG43" s="478"/>
      <c r="AUH43" s="478"/>
      <c r="AUI43" s="478"/>
      <c r="AUJ43" s="478"/>
      <c r="AUK43" s="478"/>
      <c r="AUL43" s="478"/>
      <c r="AUM43" s="478"/>
      <c r="AUN43" s="478"/>
      <c r="AUO43" s="478"/>
      <c r="AUP43" s="478"/>
      <c r="AUQ43" s="478"/>
      <c r="AUR43" s="478"/>
      <c r="AUS43" s="478"/>
      <c r="AUT43" s="478"/>
      <c r="AUU43" s="478"/>
      <c r="AUV43" s="478"/>
      <c r="AUW43" s="478"/>
      <c r="AUX43" s="478"/>
      <c r="AUY43" s="478"/>
      <c r="AUZ43" s="478"/>
      <c r="AVA43" s="478"/>
      <c r="AVB43" s="478"/>
      <c r="AVC43" s="478"/>
      <c r="AVD43" s="478"/>
      <c r="AVE43" s="478"/>
      <c r="AVF43" s="478"/>
      <c r="AVG43" s="478"/>
      <c r="AVH43" s="478"/>
      <c r="AVI43" s="478"/>
      <c r="AVJ43" s="478"/>
      <c r="AVK43" s="478"/>
      <c r="AVL43" s="478"/>
      <c r="AVM43" s="478"/>
      <c r="AVN43" s="478"/>
      <c r="AVO43" s="478"/>
      <c r="AVP43" s="478"/>
      <c r="AVQ43" s="478"/>
      <c r="AVR43" s="478"/>
      <c r="AVS43" s="478"/>
      <c r="AVT43" s="478"/>
      <c r="AVU43" s="478"/>
      <c r="AVV43" s="478"/>
      <c r="AVW43" s="478"/>
      <c r="AVX43" s="478"/>
      <c r="AVY43" s="478"/>
      <c r="AVZ43" s="478"/>
      <c r="AWA43" s="478"/>
      <c r="AWB43" s="478"/>
      <c r="AWC43" s="478"/>
      <c r="AWD43" s="478"/>
      <c r="AWE43" s="478"/>
      <c r="AWF43" s="478"/>
      <c r="AWG43" s="478"/>
      <c r="AWH43" s="478"/>
      <c r="AWI43" s="478"/>
      <c r="AWJ43" s="478"/>
      <c r="AWK43" s="478"/>
      <c r="AWL43" s="478"/>
      <c r="AWM43" s="478"/>
      <c r="AWN43" s="478"/>
      <c r="AWO43" s="478"/>
      <c r="AWP43" s="478"/>
      <c r="AWQ43" s="478"/>
      <c r="AWR43" s="478"/>
      <c r="AWS43" s="478"/>
      <c r="AWT43" s="478"/>
      <c r="AWU43" s="478"/>
      <c r="AWV43" s="478"/>
      <c r="AWW43" s="478"/>
      <c r="AWX43" s="478"/>
      <c r="AWY43" s="478"/>
      <c r="AWZ43" s="478"/>
      <c r="AXA43" s="478"/>
      <c r="AXB43" s="478"/>
      <c r="AXC43" s="478"/>
      <c r="AXD43" s="478"/>
      <c r="AXE43" s="478"/>
      <c r="AXF43" s="478"/>
      <c r="AXG43" s="478"/>
      <c r="AXH43" s="478"/>
      <c r="AXI43" s="478"/>
      <c r="AXJ43" s="478"/>
      <c r="AXK43" s="478"/>
      <c r="AXL43" s="478"/>
      <c r="AXM43" s="478"/>
      <c r="AXN43" s="478"/>
      <c r="AXO43" s="478"/>
      <c r="AXP43" s="478"/>
      <c r="AXQ43" s="478"/>
      <c r="AXR43" s="478"/>
      <c r="AXS43" s="478"/>
      <c r="AXT43" s="478"/>
      <c r="AXU43" s="478"/>
      <c r="AXV43" s="478"/>
      <c r="AXW43" s="478"/>
      <c r="AXX43" s="478"/>
      <c r="AXY43" s="478"/>
      <c r="AXZ43" s="478"/>
      <c r="AYA43" s="478"/>
      <c r="AYB43" s="478"/>
      <c r="AYC43" s="478"/>
      <c r="AYD43" s="478"/>
      <c r="AYE43" s="478"/>
      <c r="AYF43" s="478"/>
      <c r="AYG43" s="478"/>
      <c r="AYH43" s="478"/>
      <c r="AYI43" s="478"/>
      <c r="AYJ43" s="478"/>
      <c r="AYK43" s="478"/>
      <c r="AYL43" s="478"/>
      <c r="AYM43" s="478"/>
      <c r="AYN43" s="478"/>
      <c r="AYO43" s="478"/>
      <c r="AYP43" s="478"/>
      <c r="AYQ43" s="478"/>
      <c r="AYR43" s="478"/>
      <c r="AYS43" s="478"/>
      <c r="AYT43" s="478"/>
      <c r="AYU43" s="478"/>
      <c r="AYV43" s="478"/>
      <c r="AYW43" s="478"/>
      <c r="AYX43" s="478"/>
      <c r="AYY43" s="478"/>
      <c r="AYZ43" s="478"/>
      <c r="AZA43" s="478"/>
      <c r="AZB43" s="478"/>
      <c r="AZC43" s="478"/>
      <c r="AZD43" s="478"/>
      <c r="AZE43" s="478"/>
      <c r="AZF43" s="478"/>
      <c r="AZG43" s="478"/>
      <c r="AZH43" s="478"/>
      <c r="AZI43" s="478"/>
      <c r="AZJ43" s="478"/>
      <c r="AZK43" s="478"/>
      <c r="AZL43" s="478"/>
      <c r="AZM43" s="478"/>
      <c r="AZN43" s="478"/>
      <c r="AZO43" s="478"/>
      <c r="AZP43" s="478"/>
      <c r="AZQ43" s="478"/>
      <c r="AZR43" s="478"/>
      <c r="AZS43" s="478"/>
      <c r="AZT43" s="478"/>
      <c r="AZU43" s="478"/>
      <c r="AZV43" s="478"/>
      <c r="AZW43" s="478"/>
      <c r="AZX43" s="478"/>
      <c r="AZY43" s="478"/>
      <c r="AZZ43" s="478"/>
      <c r="BAA43" s="478"/>
      <c r="BAB43" s="478"/>
      <c r="BAC43" s="478"/>
      <c r="BAD43" s="478"/>
      <c r="BAE43" s="478"/>
      <c r="BAF43" s="478"/>
      <c r="BAG43" s="478"/>
      <c r="BAH43" s="478"/>
      <c r="BAI43" s="478"/>
      <c r="BAJ43" s="478"/>
      <c r="BAK43" s="478"/>
      <c r="BAL43" s="478"/>
      <c r="BAM43" s="478"/>
      <c r="BAN43" s="478"/>
      <c r="BAO43" s="478"/>
      <c r="BAP43" s="478"/>
      <c r="BAQ43" s="478"/>
      <c r="BAR43" s="478"/>
      <c r="BAS43" s="478"/>
      <c r="BAT43" s="478"/>
      <c r="BAU43" s="478"/>
      <c r="BAV43" s="478"/>
      <c r="BAW43" s="478"/>
      <c r="BAX43" s="478"/>
      <c r="BAY43" s="478"/>
      <c r="BAZ43" s="478"/>
      <c r="BBA43" s="478"/>
      <c r="BBB43" s="478"/>
      <c r="BBC43" s="478"/>
      <c r="BBD43" s="478"/>
      <c r="BBE43" s="478"/>
      <c r="BBF43" s="478"/>
      <c r="BBG43" s="478"/>
      <c r="BBH43" s="478"/>
      <c r="BBI43" s="478"/>
      <c r="BBJ43" s="478"/>
      <c r="BBK43" s="478"/>
      <c r="BBL43" s="478"/>
      <c r="BBM43" s="478"/>
      <c r="BBN43" s="478"/>
      <c r="BBO43" s="478"/>
      <c r="BBP43" s="478"/>
      <c r="BBQ43" s="478"/>
      <c r="BBR43" s="478"/>
      <c r="BBS43" s="478"/>
      <c r="BBT43" s="478"/>
      <c r="BBU43" s="478"/>
      <c r="BBV43" s="478"/>
      <c r="BBW43" s="478"/>
      <c r="BBX43" s="478"/>
      <c r="BBY43" s="478"/>
      <c r="BBZ43" s="478"/>
      <c r="BCA43" s="478"/>
      <c r="BCB43" s="478"/>
      <c r="BCC43" s="478"/>
      <c r="BCD43" s="478"/>
      <c r="BCE43" s="478"/>
      <c r="BCF43" s="478"/>
      <c r="BCG43" s="478"/>
      <c r="BCH43" s="478"/>
      <c r="BCI43" s="478"/>
      <c r="BCJ43" s="478"/>
      <c r="BCK43" s="478"/>
      <c r="BCL43" s="478"/>
      <c r="BCM43" s="478"/>
      <c r="BCN43" s="478"/>
      <c r="BCO43" s="478"/>
      <c r="BCP43" s="478"/>
      <c r="BCQ43" s="478"/>
      <c r="BCR43" s="478"/>
      <c r="BCS43" s="478"/>
      <c r="BCT43" s="478"/>
      <c r="BCU43" s="478"/>
      <c r="BCV43" s="478"/>
      <c r="BCW43" s="478"/>
      <c r="BCX43" s="478"/>
      <c r="BCY43" s="478"/>
      <c r="BCZ43" s="478"/>
      <c r="BDA43" s="478"/>
      <c r="BDB43" s="478"/>
      <c r="BDC43" s="478"/>
      <c r="BDD43" s="478"/>
      <c r="BDE43" s="478"/>
      <c r="BDF43" s="478"/>
      <c r="BDG43" s="478"/>
      <c r="BDH43" s="478"/>
      <c r="BDI43" s="478"/>
      <c r="BDJ43" s="478"/>
      <c r="BDK43" s="478"/>
      <c r="BDL43" s="478"/>
      <c r="BDM43" s="478"/>
      <c r="BDN43" s="478"/>
      <c r="BDO43" s="478"/>
      <c r="BDP43" s="478"/>
      <c r="BDQ43" s="478"/>
      <c r="BDR43" s="478"/>
      <c r="BDS43" s="478"/>
      <c r="BDT43" s="478"/>
      <c r="BDU43" s="478"/>
      <c r="BDV43" s="478"/>
      <c r="BDW43" s="478"/>
      <c r="BDX43" s="478"/>
      <c r="BDY43" s="478"/>
      <c r="BDZ43" s="478"/>
      <c r="BEA43" s="478"/>
      <c r="BEB43" s="478"/>
      <c r="BEC43" s="478"/>
      <c r="BED43" s="478"/>
      <c r="BEE43" s="478"/>
      <c r="BEF43" s="478"/>
      <c r="BEG43" s="478"/>
      <c r="BEH43" s="478"/>
      <c r="BEI43" s="478"/>
      <c r="BEJ43" s="478"/>
      <c r="BEK43" s="478"/>
      <c r="BEL43" s="478"/>
      <c r="BEM43" s="478"/>
      <c r="BEN43" s="478"/>
      <c r="BEO43" s="478"/>
      <c r="BEP43" s="478"/>
      <c r="BEQ43" s="478"/>
      <c r="BER43" s="478"/>
      <c r="BES43" s="478"/>
      <c r="BET43" s="478"/>
      <c r="BEU43" s="478"/>
      <c r="BEV43" s="478"/>
      <c r="BEW43" s="478"/>
      <c r="BEX43" s="478"/>
      <c r="BEY43" s="478"/>
      <c r="BEZ43" s="478"/>
      <c r="BFA43" s="478"/>
      <c r="BFB43" s="478"/>
      <c r="BFC43" s="478"/>
      <c r="BFD43" s="478"/>
      <c r="BFE43" s="478"/>
      <c r="BFF43" s="478"/>
      <c r="BFG43" s="478"/>
      <c r="BFH43" s="478"/>
      <c r="BFI43" s="478"/>
      <c r="BFJ43" s="478"/>
      <c r="BFK43" s="478"/>
      <c r="BFL43" s="478"/>
      <c r="BFM43" s="478"/>
      <c r="BFN43" s="478"/>
      <c r="BFO43" s="478"/>
      <c r="BFP43" s="478"/>
      <c r="BFQ43" s="478"/>
      <c r="BFR43" s="478"/>
      <c r="BFS43" s="478"/>
      <c r="BFT43" s="478"/>
      <c r="BFU43" s="478"/>
      <c r="BFV43" s="478"/>
      <c r="BFW43" s="478"/>
      <c r="BFX43" s="478"/>
      <c r="BFY43" s="478"/>
      <c r="BFZ43" s="478"/>
      <c r="BGA43" s="478"/>
      <c r="BGB43" s="478"/>
      <c r="BGC43" s="478"/>
      <c r="BGD43" s="478"/>
      <c r="BGE43" s="478"/>
      <c r="BGF43" s="478"/>
      <c r="BGG43" s="478"/>
      <c r="BGH43" s="478"/>
      <c r="BGI43" s="478"/>
      <c r="BGJ43" s="478"/>
      <c r="BGK43" s="478"/>
      <c r="BGL43" s="478"/>
      <c r="BGM43" s="478"/>
      <c r="BGN43" s="478"/>
      <c r="BGO43" s="478"/>
      <c r="BGP43" s="478"/>
      <c r="BGQ43" s="478"/>
      <c r="BGR43" s="478"/>
      <c r="BGS43" s="478"/>
      <c r="BGT43" s="478"/>
      <c r="BGU43" s="478"/>
      <c r="BGV43" s="478"/>
      <c r="BGW43" s="478"/>
      <c r="BGX43" s="478"/>
      <c r="BGY43" s="478"/>
      <c r="BGZ43" s="478"/>
      <c r="BHA43" s="478"/>
      <c r="BHB43" s="478"/>
      <c r="BHC43" s="478"/>
      <c r="BHD43" s="478"/>
      <c r="BHE43" s="478"/>
      <c r="BHF43" s="478"/>
      <c r="BHG43" s="478"/>
      <c r="BHH43" s="478"/>
      <c r="BHI43" s="478"/>
      <c r="BHJ43" s="478"/>
      <c r="BHK43" s="478"/>
      <c r="BHL43" s="478"/>
      <c r="BHM43" s="478"/>
      <c r="BHN43" s="478"/>
      <c r="BHO43" s="478"/>
      <c r="BHP43" s="478"/>
      <c r="BHQ43" s="478"/>
      <c r="BHR43" s="478"/>
      <c r="BHS43" s="478"/>
      <c r="BHT43" s="478"/>
      <c r="BHU43" s="478"/>
      <c r="BHV43" s="478"/>
      <c r="BHW43" s="478"/>
      <c r="BHX43" s="478"/>
      <c r="BHY43" s="478"/>
      <c r="BHZ43" s="478"/>
      <c r="BIA43" s="478"/>
      <c r="BIB43" s="478"/>
      <c r="BIC43" s="478"/>
      <c r="BID43" s="478"/>
      <c r="BIE43" s="478"/>
      <c r="BIF43" s="478"/>
      <c r="BIG43" s="478"/>
      <c r="BIH43" s="478"/>
      <c r="BII43" s="478"/>
      <c r="BIJ43" s="478"/>
      <c r="BIK43" s="478"/>
      <c r="BIL43" s="478"/>
      <c r="BIM43" s="478"/>
      <c r="BIN43" s="478"/>
      <c r="BIO43" s="478"/>
      <c r="BIP43" s="478"/>
      <c r="BIQ43" s="478"/>
      <c r="BIR43" s="478"/>
      <c r="BIS43" s="478"/>
      <c r="BIT43" s="478"/>
      <c r="BIU43" s="478"/>
      <c r="BIV43" s="478"/>
      <c r="BIW43" s="478"/>
      <c r="BIX43" s="478"/>
      <c r="BIY43" s="478"/>
      <c r="BIZ43" s="478"/>
      <c r="BJA43" s="478"/>
      <c r="BJB43" s="478"/>
      <c r="BJC43" s="478"/>
      <c r="BJD43" s="478"/>
      <c r="BJE43" s="478"/>
      <c r="BJF43" s="478"/>
      <c r="BJG43" s="478"/>
      <c r="BJH43" s="478"/>
      <c r="BJI43" s="478"/>
      <c r="BJJ43" s="478"/>
      <c r="BJK43" s="478"/>
      <c r="BJL43" s="478"/>
      <c r="BJM43" s="478"/>
      <c r="BJN43" s="478"/>
      <c r="BJO43" s="478"/>
      <c r="BJP43" s="478"/>
      <c r="BJQ43" s="478"/>
      <c r="BJR43" s="478"/>
      <c r="BJS43" s="478"/>
      <c r="BJT43" s="478"/>
      <c r="BJU43" s="478"/>
      <c r="BJV43" s="478"/>
      <c r="BJW43" s="478"/>
      <c r="BJX43" s="478"/>
      <c r="BJY43" s="478"/>
      <c r="BJZ43" s="478"/>
      <c r="BKA43" s="478"/>
      <c r="BKB43" s="478"/>
      <c r="BKC43" s="478"/>
      <c r="BKD43" s="478"/>
      <c r="BKE43" s="478"/>
      <c r="BKF43" s="478"/>
      <c r="BKG43" s="478"/>
      <c r="BKH43" s="478"/>
      <c r="BKI43" s="478"/>
      <c r="BKJ43" s="478"/>
      <c r="BKK43" s="478"/>
      <c r="BKL43" s="478"/>
      <c r="BKM43" s="478"/>
      <c r="BKN43" s="478"/>
      <c r="BKO43" s="478"/>
      <c r="BKP43" s="478"/>
      <c r="BKQ43" s="478"/>
      <c r="BKR43" s="478"/>
      <c r="BKS43" s="478"/>
      <c r="BKT43" s="478"/>
      <c r="BKU43" s="478"/>
      <c r="BKV43" s="478"/>
      <c r="BKW43" s="478"/>
      <c r="BKX43" s="478"/>
      <c r="BKY43" s="478"/>
      <c r="BKZ43" s="478"/>
      <c r="BLA43" s="478"/>
      <c r="BLB43" s="478"/>
      <c r="BLC43" s="478"/>
      <c r="BLD43" s="478"/>
      <c r="BLE43" s="478"/>
      <c r="BLF43" s="478"/>
      <c r="BLG43" s="478"/>
      <c r="BLH43" s="478"/>
      <c r="BLI43" s="478"/>
      <c r="BLJ43" s="478"/>
      <c r="BLK43" s="478"/>
      <c r="BLL43" s="478"/>
      <c r="BLM43" s="478"/>
      <c r="BLN43" s="478"/>
      <c r="BLO43" s="478"/>
      <c r="BLP43" s="478"/>
      <c r="BLQ43" s="478"/>
      <c r="BLR43" s="478"/>
      <c r="BLS43" s="478"/>
      <c r="BLT43" s="478"/>
      <c r="BLU43" s="478"/>
      <c r="BLV43" s="478"/>
      <c r="BLW43" s="478"/>
      <c r="BLX43" s="478"/>
      <c r="BLY43" s="478"/>
      <c r="BLZ43" s="478"/>
      <c r="BMA43" s="478"/>
      <c r="BMB43" s="478"/>
      <c r="BMC43" s="478"/>
      <c r="BMD43" s="478"/>
      <c r="BME43" s="478"/>
      <c r="BMF43" s="478"/>
      <c r="BMG43" s="478"/>
      <c r="BMH43" s="478"/>
      <c r="BMI43" s="478"/>
      <c r="BMJ43" s="478"/>
      <c r="BMK43" s="478"/>
      <c r="BML43" s="478"/>
      <c r="BMM43" s="478"/>
      <c r="BMN43" s="478"/>
      <c r="BMO43" s="478"/>
      <c r="BMP43" s="478"/>
      <c r="BMQ43" s="478"/>
      <c r="BMR43" s="478"/>
      <c r="BMS43" s="478"/>
      <c r="BMT43" s="478"/>
      <c r="BMU43" s="478"/>
      <c r="BMV43" s="478"/>
      <c r="BMW43" s="478"/>
      <c r="BMX43" s="478"/>
      <c r="BMY43" s="478"/>
      <c r="BMZ43" s="478"/>
      <c r="BNA43" s="478"/>
      <c r="BNB43" s="478"/>
      <c r="BNC43" s="478"/>
      <c r="BND43" s="478"/>
      <c r="BNE43" s="478"/>
      <c r="BNF43" s="478"/>
      <c r="BNG43" s="478"/>
      <c r="BNH43" s="478"/>
      <c r="BNI43" s="478"/>
      <c r="BNJ43" s="478"/>
      <c r="BNK43" s="478"/>
      <c r="BNL43" s="478"/>
      <c r="BNM43" s="478"/>
      <c r="BNN43" s="478"/>
      <c r="BNO43" s="478"/>
      <c r="BNP43" s="478"/>
      <c r="BNQ43" s="478"/>
      <c r="BNR43" s="478"/>
      <c r="BNS43" s="478"/>
      <c r="BNT43" s="478"/>
      <c r="BNU43" s="478"/>
      <c r="BNV43" s="478"/>
      <c r="BNW43" s="478"/>
      <c r="BNX43" s="478"/>
      <c r="BNY43" s="478"/>
      <c r="BNZ43" s="478"/>
      <c r="BOA43" s="478"/>
      <c r="BOB43" s="478"/>
      <c r="BOC43" s="478"/>
      <c r="BOD43" s="478"/>
      <c r="BOE43" s="478"/>
      <c r="BOF43" s="478"/>
      <c r="BOG43" s="478"/>
      <c r="BOH43" s="478"/>
      <c r="BOI43" s="478"/>
      <c r="BOJ43" s="478"/>
      <c r="BOK43" s="478"/>
      <c r="BOL43" s="478"/>
      <c r="BOM43" s="478"/>
      <c r="BON43" s="478"/>
      <c r="BOO43" s="478"/>
      <c r="BOP43" s="478"/>
      <c r="BOQ43" s="478"/>
      <c r="BOR43" s="478"/>
      <c r="BOS43" s="478"/>
      <c r="BOT43" s="478"/>
      <c r="BOU43" s="478"/>
      <c r="BOV43" s="478"/>
      <c r="BOW43" s="478"/>
      <c r="BOX43" s="478"/>
      <c r="BOY43" s="478"/>
      <c r="BOZ43" s="478"/>
      <c r="BPA43" s="478"/>
      <c r="BPB43" s="478"/>
      <c r="BPC43" s="478"/>
      <c r="BPD43" s="478"/>
      <c r="BPE43" s="478"/>
      <c r="BPF43" s="478"/>
      <c r="BPG43" s="478"/>
      <c r="BPH43" s="478"/>
      <c r="BPI43" s="478"/>
      <c r="BPJ43" s="478"/>
      <c r="BPK43" s="478"/>
      <c r="BPL43" s="478"/>
      <c r="BPM43" s="478"/>
      <c r="BPN43" s="478"/>
      <c r="BPO43" s="478"/>
      <c r="BPP43" s="478"/>
      <c r="BPQ43" s="478"/>
      <c r="BPR43" s="478"/>
      <c r="BPS43" s="478"/>
      <c r="BPT43" s="478"/>
      <c r="BPU43" s="478"/>
      <c r="BPV43" s="478"/>
      <c r="BPW43" s="478"/>
      <c r="BPX43" s="478"/>
      <c r="BPY43" s="478"/>
      <c r="BPZ43" s="478"/>
      <c r="BQA43" s="478"/>
      <c r="BQB43" s="478"/>
      <c r="BQC43" s="478"/>
      <c r="BQD43" s="478"/>
      <c r="BQE43" s="478"/>
      <c r="BQF43" s="478"/>
      <c r="BQG43" s="478"/>
      <c r="BQH43" s="478"/>
      <c r="BQI43" s="478"/>
      <c r="BQJ43" s="478"/>
      <c r="BQK43" s="478"/>
      <c r="BQL43" s="478"/>
      <c r="BQM43" s="478"/>
      <c r="BQN43" s="478"/>
      <c r="BQO43" s="478"/>
      <c r="BQP43" s="478"/>
      <c r="BQQ43" s="478"/>
      <c r="BQR43" s="478"/>
      <c r="BQS43" s="478"/>
      <c r="BQT43" s="478"/>
      <c r="BQU43" s="478"/>
      <c r="BQV43" s="478"/>
      <c r="BQW43" s="478"/>
      <c r="BQX43" s="478"/>
      <c r="BQY43" s="478"/>
      <c r="BQZ43" s="478"/>
      <c r="BRA43" s="478"/>
      <c r="BRB43" s="478"/>
      <c r="BRC43" s="478"/>
      <c r="BRD43" s="478"/>
      <c r="BRE43" s="478"/>
      <c r="BRF43" s="478"/>
      <c r="BRG43" s="478"/>
      <c r="BRH43" s="478"/>
      <c r="BRI43" s="478"/>
      <c r="BRJ43" s="478"/>
      <c r="BRK43" s="478"/>
      <c r="BRL43" s="478"/>
      <c r="BRM43" s="478"/>
      <c r="BRN43" s="478"/>
      <c r="BRO43" s="478"/>
      <c r="BRP43" s="478"/>
      <c r="BRQ43" s="478"/>
      <c r="BRR43" s="478"/>
      <c r="BRS43" s="478"/>
      <c r="BRT43" s="478"/>
      <c r="BRU43" s="478"/>
      <c r="BRV43" s="478"/>
      <c r="BRW43" s="478"/>
      <c r="BRX43" s="478"/>
      <c r="BRY43" s="478"/>
      <c r="BRZ43" s="478"/>
      <c r="BSA43" s="478"/>
      <c r="BSB43" s="478"/>
      <c r="BSC43" s="478"/>
      <c r="BSD43" s="478"/>
      <c r="BSE43" s="478"/>
      <c r="BSF43" s="478"/>
      <c r="BSG43" s="478"/>
      <c r="BSH43" s="478"/>
      <c r="BSI43" s="478"/>
      <c r="BSJ43" s="478"/>
      <c r="BSK43" s="478"/>
      <c r="BSL43" s="478"/>
      <c r="BSM43" s="478"/>
      <c r="BSN43" s="478"/>
      <c r="BSO43" s="478"/>
      <c r="BSP43" s="478"/>
      <c r="BSQ43" s="478"/>
      <c r="BSR43" s="478"/>
      <c r="BSS43" s="478"/>
      <c r="BST43" s="478"/>
      <c r="BSU43" s="478"/>
      <c r="BSV43" s="478"/>
      <c r="BSW43" s="478"/>
      <c r="BSX43" s="478"/>
      <c r="BSY43" s="478"/>
      <c r="BSZ43" s="478"/>
      <c r="BTA43" s="478"/>
      <c r="BTB43" s="478"/>
      <c r="BTC43" s="478"/>
      <c r="BTD43" s="478"/>
      <c r="BTE43" s="478"/>
      <c r="BTF43" s="478"/>
      <c r="BTG43" s="478"/>
      <c r="BTH43" s="478"/>
      <c r="BTI43" s="478"/>
      <c r="BTJ43" s="478"/>
      <c r="BTK43" s="478"/>
      <c r="BTL43" s="478"/>
      <c r="BTM43" s="478"/>
      <c r="BTN43" s="478"/>
      <c r="BTO43" s="478"/>
      <c r="BTP43" s="478"/>
      <c r="BTQ43" s="478"/>
      <c r="BTR43" s="478"/>
      <c r="BTS43" s="478"/>
      <c r="BTT43" s="478"/>
      <c r="BTU43" s="478"/>
      <c r="BTV43" s="478"/>
      <c r="BTW43" s="478"/>
      <c r="BTX43" s="478"/>
      <c r="BTY43" s="478"/>
      <c r="BTZ43" s="478"/>
      <c r="BUA43" s="478"/>
      <c r="BUB43" s="478"/>
      <c r="BUC43" s="478"/>
      <c r="BUD43" s="478"/>
      <c r="BUE43" s="478"/>
      <c r="BUF43" s="478"/>
      <c r="BUG43" s="478"/>
      <c r="BUH43" s="478"/>
      <c r="BUI43" s="478"/>
      <c r="BUJ43" s="478"/>
      <c r="BUK43" s="478"/>
      <c r="BUL43" s="478"/>
      <c r="BUM43" s="478"/>
      <c r="BUN43" s="478"/>
      <c r="BUO43" s="478"/>
      <c r="BUP43" s="478"/>
      <c r="BUQ43" s="478"/>
      <c r="BUR43" s="478"/>
      <c r="BUS43" s="478"/>
      <c r="BUT43" s="478"/>
      <c r="BUU43" s="478"/>
      <c r="BUV43" s="478"/>
      <c r="BUW43" s="478"/>
      <c r="BUX43" s="478"/>
      <c r="BUY43" s="478"/>
      <c r="BUZ43" s="478"/>
      <c r="BVA43" s="478"/>
      <c r="BVB43" s="478"/>
      <c r="BVC43" s="478"/>
      <c r="BVD43" s="478"/>
      <c r="BVE43" s="478"/>
      <c r="BVF43" s="478"/>
      <c r="BVG43" s="478"/>
      <c r="BVH43" s="478"/>
      <c r="BVI43" s="478"/>
      <c r="BVJ43" s="478"/>
      <c r="BVK43" s="478"/>
      <c r="BVL43" s="478"/>
      <c r="BVM43" s="478"/>
      <c r="BVN43" s="478"/>
      <c r="BVO43" s="478"/>
      <c r="BVP43" s="478"/>
      <c r="BVQ43" s="478"/>
      <c r="BVR43" s="478"/>
      <c r="BVS43" s="478"/>
      <c r="BVT43" s="478"/>
      <c r="BVU43" s="478"/>
      <c r="BVV43" s="478"/>
      <c r="BVW43" s="478"/>
      <c r="BVX43" s="478"/>
      <c r="BVY43" s="478"/>
      <c r="BVZ43" s="478"/>
      <c r="BWA43" s="478"/>
      <c r="BWB43" s="478"/>
      <c r="BWC43" s="478"/>
      <c r="BWD43" s="478"/>
      <c r="BWE43" s="478"/>
      <c r="BWF43" s="478"/>
      <c r="BWG43" s="478"/>
      <c r="BWH43" s="478"/>
      <c r="BWI43" s="478"/>
      <c r="BWJ43" s="478"/>
      <c r="BWK43" s="478"/>
      <c r="BWL43" s="478"/>
      <c r="BWM43" s="478"/>
      <c r="BWN43" s="478"/>
      <c r="BWO43" s="478"/>
      <c r="BWP43" s="478"/>
      <c r="BWQ43" s="478"/>
      <c r="BWR43" s="478"/>
      <c r="BWS43" s="478"/>
      <c r="BWT43" s="478"/>
      <c r="BWU43" s="478"/>
      <c r="BWV43" s="478"/>
      <c r="BWW43" s="478"/>
      <c r="BWX43" s="478"/>
      <c r="BWY43" s="478"/>
      <c r="BWZ43" s="478"/>
      <c r="BXA43" s="478"/>
      <c r="BXB43" s="478"/>
      <c r="BXC43" s="478"/>
      <c r="BXD43" s="478"/>
      <c r="BXE43" s="478"/>
      <c r="BXF43" s="478"/>
      <c r="BXG43" s="478"/>
      <c r="BXH43" s="478"/>
      <c r="BXI43" s="478"/>
      <c r="BXJ43" s="478"/>
      <c r="BXK43" s="478"/>
      <c r="BXL43" s="478"/>
      <c r="BXM43" s="478"/>
      <c r="BXN43" s="478"/>
      <c r="BXO43" s="478"/>
      <c r="BXP43" s="478"/>
      <c r="BXQ43" s="478"/>
      <c r="BXR43" s="478"/>
      <c r="BXS43" s="478"/>
      <c r="BXT43" s="478"/>
      <c r="BXU43" s="478"/>
      <c r="BXV43" s="478"/>
      <c r="BXW43" s="478"/>
      <c r="BXX43" s="478"/>
      <c r="BXY43" s="478"/>
      <c r="BXZ43" s="478"/>
      <c r="BYA43" s="478"/>
      <c r="BYB43" s="478"/>
      <c r="BYC43" s="478"/>
      <c r="BYD43" s="478"/>
      <c r="BYE43" s="478"/>
      <c r="BYF43" s="478"/>
      <c r="BYG43" s="478"/>
      <c r="BYH43" s="478"/>
      <c r="BYI43" s="478"/>
      <c r="BYJ43" s="478"/>
      <c r="BYK43" s="478"/>
      <c r="BYL43" s="478"/>
      <c r="BYM43" s="478"/>
      <c r="BYN43" s="478"/>
      <c r="BYO43" s="478"/>
      <c r="BYP43" s="478"/>
      <c r="BYQ43" s="478"/>
      <c r="BYR43" s="478"/>
      <c r="BYS43" s="478"/>
      <c r="BYT43" s="478"/>
      <c r="BYU43" s="478"/>
      <c r="BYV43" s="478"/>
      <c r="BYW43" s="478"/>
      <c r="BYX43" s="478"/>
      <c r="BYY43" s="478"/>
      <c r="BYZ43" s="478"/>
      <c r="BZA43" s="478"/>
      <c r="BZB43" s="478"/>
      <c r="BZC43" s="478"/>
      <c r="BZD43" s="478"/>
      <c r="BZE43" s="478"/>
      <c r="BZF43" s="478"/>
      <c r="BZG43" s="478"/>
      <c r="BZH43" s="478"/>
      <c r="BZI43" s="478"/>
      <c r="BZJ43" s="478"/>
      <c r="BZK43" s="478"/>
      <c r="BZL43" s="478"/>
      <c r="BZM43" s="478"/>
      <c r="BZN43" s="478"/>
      <c r="BZO43" s="478"/>
      <c r="BZP43" s="478"/>
      <c r="BZQ43" s="478"/>
      <c r="BZR43" s="478"/>
      <c r="BZS43" s="478"/>
      <c r="BZT43" s="478"/>
      <c r="BZU43" s="478"/>
      <c r="BZV43" s="478"/>
      <c r="BZW43" s="478"/>
      <c r="BZX43" s="478"/>
      <c r="BZY43" s="478"/>
      <c r="BZZ43" s="478"/>
      <c r="CAA43" s="478"/>
      <c r="CAB43" s="478"/>
      <c r="CAC43" s="478"/>
      <c r="CAD43" s="478"/>
      <c r="CAE43" s="478"/>
      <c r="CAF43" s="478"/>
      <c r="CAG43" s="478"/>
      <c r="CAH43" s="478"/>
      <c r="CAI43" s="478"/>
      <c r="CAJ43" s="478"/>
      <c r="CAK43" s="478"/>
      <c r="CAL43" s="478"/>
      <c r="CAM43" s="478"/>
      <c r="CAN43" s="478"/>
      <c r="CAO43" s="478"/>
      <c r="CAP43" s="478"/>
      <c r="CAQ43" s="478"/>
      <c r="CAR43" s="478"/>
      <c r="CAS43" s="478"/>
      <c r="CAT43" s="478"/>
      <c r="CAU43" s="478"/>
      <c r="CAV43" s="478"/>
      <c r="CAW43" s="478"/>
      <c r="CAX43" s="478"/>
      <c r="CAY43" s="478"/>
      <c r="CAZ43" s="478"/>
      <c r="CBA43" s="478"/>
      <c r="CBB43" s="478"/>
      <c r="CBC43" s="478"/>
      <c r="CBD43" s="478"/>
      <c r="CBE43" s="478"/>
      <c r="CBF43" s="478"/>
      <c r="CBG43" s="478"/>
      <c r="CBH43" s="478"/>
      <c r="CBI43" s="478"/>
      <c r="CBJ43" s="478"/>
      <c r="CBK43" s="478"/>
      <c r="CBL43" s="478"/>
      <c r="CBM43" s="478"/>
      <c r="CBN43" s="478"/>
      <c r="CBO43" s="478"/>
      <c r="CBP43" s="478"/>
      <c r="CBQ43" s="478"/>
      <c r="CBR43" s="478"/>
      <c r="CBS43" s="478"/>
      <c r="CBT43" s="478"/>
      <c r="CBU43" s="478"/>
      <c r="CBV43" s="478"/>
      <c r="CBW43" s="478"/>
      <c r="CBX43" s="478"/>
      <c r="CBY43" s="478"/>
      <c r="CBZ43" s="478"/>
      <c r="CCA43" s="478"/>
      <c r="CCB43" s="478"/>
      <c r="CCC43" s="478"/>
      <c r="CCD43" s="478"/>
      <c r="CCE43" s="478"/>
      <c r="CCF43" s="478"/>
      <c r="CCG43" s="478"/>
      <c r="CCH43" s="478"/>
      <c r="CCI43" s="478"/>
      <c r="CCJ43" s="478"/>
      <c r="CCK43" s="478"/>
      <c r="CCL43" s="478"/>
      <c r="CCM43" s="478"/>
      <c r="CCN43" s="478"/>
      <c r="CCO43" s="478"/>
      <c r="CCP43" s="478"/>
      <c r="CCQ43" s="478"/>
      <c r="CCR43" s="478"/>
      <c r="CCS43" s="478"/>
      <c r="CCT43" s="478"/>
      <c r="CCU43" s="478"/>
      <c r="CCV43" s="478"/>
      <c r="CCW43" s="478"/>
      <c r="CCX43" s="478"/>
      <c r="CCY43" s="478"/>
      <c r="CCZ43" s="478"/>
      <c r="CDA43" s="478"/>
      <c r="CDB43" s="478"/>
      <c r="CDC43" s="478"/>
      <c r="CDD43" s="478"/>
      <c r="CDE43" s="478"/>
      <c r="CDF43" s="478"/>
      <c r="CDG43" s="478"/>
      <c r="CDH43" s="478"/>
      <c r="CDI43" s="478"/>
      <c r="CDJ43" s="478"/>
      <c r="CDK43" s="478"/>
      <c r="CDL43" s="478"/>
      <c r="CDM43" s="478"/>
      <c r="CDN43" s="478"/>
      <c r="CDO43" s="478"/>
      <c r="CDP43" s="478"/>
      <c r="CDQ43" s="478"/>
      <c r="CDR43" s="478"/>
      <c r="CDS43" s="478"/>
      <c r="CDT43" s="478"/>
      <c r="CDU43" s="478"/>
      <c r="CDV43" s="478"/>
      <c r="CDW43" s="478"/>
      <c r="CDX43" s="478"/>
      <c r="CDY43" s="478"/>
      <c r="CDZ43" s="478"/>
      <c r="CEA43" s="478"/>
      <c r="CEB43" s="478"/>
      <c r="CEC43" s="478"/>
      <c r="CED43" s="478"/>
      <c r="CEE43" s="478"/>
      <c r="CEF43" s="478"/>
      <c r="CEG43" s="478"/>
      <c r="CEH43" s="478"/>
      <c r="CEI43" s="478"/>
      <c r="CEJ43" s="478"/>
      <c r="CEK43" s="478"/>
      <c r="CEL43" s="478"/>
      <c r="CEM43" s="478"/>
      <c r="CEN43" s="478"/>
      <c r="CEO43" s="478"/>
      <c r="CEP43" s="478"/>
      <c r="CEQ43" s="478"/>
      <c r="CER43" s="478"/>
      <c r="CES43" s="478"/>
      <c r="CET43" s="478"/>
      <c r="CEU43" s="478"/>
      <c r="CEV43" s="478"/>
      <c r="CEW43" s="478"/>
      <c r="CEX43" s="478"/>
      <c r="CEY43" s="478"/>
      <c r="CEZ43" s="478"/>
      <c r="CFA43" s="478"/>
      <c r="CFB43" s="478"/>
      <c r="CFC43" s="478"/>
      <c r="CFD43" s="478"/>
      <c r="CFE43" s="478"/>
      <c r="CFF43" s="478"/>
      <c r="CFG43" s="478"/>
      <c r="CFH43" s="478"/>
      <c r="CFI43" s="478"/>
      <c r="CFJ43" s="478"/>
      <c r="CFK43" s="478"/>
      <c r="CFL43" s="478"/>
      <c r="CFM43" s="478"/>
      <c r="CFN43" s="478"/>
      <c r="CFO43" s="478"/>
      <c r="CFP43" s="478"/>
      <c r="CFQ43" s="478"/>
      <c r="CFR43" s="478"/>
      <c r="CFS43" s="478"/>
      <c r="CFT43" s="478"/>
      <c r="CFU43" s="478"/>
      <c r="CFV43" s="478"/>
      <c r="CFW43" s="478"/>
      <c r="CFX43" s="478"/>
      <c r="CFY43" s="478"/>
      <c r="CFZ43" s="478"/>
      <c r="CGA43" s="478"/>
      <c r="CGB43" s="478"/>
      <c r="CGC43" s="478"/>
      <c r="CGD43" s="478"/>
      <c r="CGE43" s="478"/>
      <c r="CGF43" s="478"/>
      <c r="CGG43" s="478"/>
      <c r="CGH43" s="478"/>
      <c r="CGI43" s="478"/>
      <c r="CGJ43" s="478"/>
      <c r="CGK43" s="478"/>
      <c r="CGL43" s="478"/>
      <c r="CGM43" s="478"/>
      <c r="CGN43" s="478"/>
      <c r="CGO43" s="478"/>
      <c r="CGP43" s="478"/>
      <c r="CGQ43" s="478"/>
      <c r="CGR43" s="478"/>
      <c r="CGS43" s="478"/>
      <c r="CGT43" s="478"/>
      <c r="CGU43" s="478"/>
      <c r="CGV43" s="478"/>
      <c r="CGW43" s="478"/>
      <c r="CGX43" s="478"/>
      <c r="CGY43" s="478"/>
      <c r="CGZ43" s="478"/>
      <c r="CHA43" s="478"/>
      <c r="CHB43" s="478"/>
      <c r="CHC43" s="478"/>
      <c r="CHD43" s="478"/>
      <c r="CHE43" s="478"/>
      <c r="CHF43" s="478"/>
      <c r="CHG43" s="478"/>
      <c r="CHH43" s="478"/>
      <c r="CHI43" s="478"/>
      <c r="CHJ43" s="478"/>
      <c r="CHK43" s="478"/>
      <c r="CHL43" s="478"/>
      <c r="CHM43" s="478"/>
      <c r="CHN43" s="478"/>
      <c r="CHO43" s="478"/>
      <c r="CHP43" s="478"/>
      <c r="CHQ43" s="478"/>
      <c r="CHR43" s="478"/>
      <c r="CHS43" s="478"/>
      <c r="CHT43" s="478"/>
      <c r="CHU43" s="478"/>
      <c r="CHV43" s="478"/>
      <c r="CHW43" s="478"/>
      <c r="CHX43" s="478"/>
      <c r="CHY43" s="478"/>
      <c r="CHZ43" s="478"/>
      <c r="CIA43" s="478"/>
      <c r="CIB43" s="478"/>
      <c r="CIC43" s="478"/>
      <c r="CID43" s="478"/>
      <c r="CIE43" s="478"/>
      <c r="CIF43" s="478"/>
      <c r="CIG43" s="478"/>
      <c r="CIH43" s="478"/>
      <c r="CII43" s="478"/>
      <c r="CIJ43" s="478"/>
      <c r="CIK43" s="478"/>
      <c r="CIL43" s="478"/>
      <c r="CIM43" s="478"/>
      <c r="CIN43" s="478"/>
      <c r="CIO43" s="478"/>
      <c r="CIP43" s="478"/>
      <c r="CIQ43" s="478"/>
      <c r="CIR43" s="478"/>
      <c r="CIS43" s="478"/>
      <c r="CIT43" s="478"/>
      <c r="CIU43" s="478"/>
      <c r="CIV43" s="478"/>
      <c r="CIW43" s="478"/>
      <c r="CIX43" s="478"/>
      <c r="CIY43" s="478"/>
      <c r="CIZ43" s="478"/>
      <c r="CJA43" s="478"/>
      <c r="CJB43" s="478"/>
      <c r="CJC43" s="478"/>
      <c r="CJD43" s="478"/>
      <c r="CJE43" s="478"/>
      <c r="CJF43" s="478"/>
      <c r="CJG43" s="478"/>
      <c r="CJH43" s="478"/>
      <c r="CJI43" s="478"/>
      <c r="CJJ43" s="478"/>
      <c r="CJK43" s="478"/>
      <c r="CJL43" s="478"/>
      <c r="CJM43" s="478"/>
      <c r="CJN43" s="478"/>
      <c r="CJO43" s="478"/>
      <c r="CJP43" s="478"/>
      <c r="CJQ43" s="478"/>
      <c r="CJR43" s="478"/>
      <c r="CJS43" s="478"/>
      <c r="CJT43" s="478"/>
      <c r="CJU43" s="478"/>
      <c r="CJV43" s="478"/>
      <c r="CJW43" s="478"/>
      <c r="CJX43" s="478"/>
      <c r="CJY43" s="478"/>
      <c r="CJZ43" s="478"/>
      <c r="CKA43" s="478"/>
      <c r="CKB43" s="478"/>
      <c r="CKC43" s="478"/>
      <c r="CKD43" s="478"/>
      <c r="CKE43" s="478"/>
      <c r="CKF43" s="478"/>
      <c r="CKG43" s="478"/>
      <c r="CKH43" s="478"/>
      <c r="CKI43" s="478"/>
      <c r="CKJ43" s="478"/>
      <c r="CKK43" s="478"/>
      <c r="CKL43" s="478"/>
      <c r="CKM43" s="478"/>
      <c r="CKN43" s="478"/>
      <c r="CKO43" s="478"/>
      <c r="CKP43" s="478"/>
      <c r="CKQ43" s="478"/>
      <c r="CKR43" s="478"/>
      <c r="CKS43" s="478"/>
      <c r="CKT43" s="478"/>
      <c r="CKU43" s="478"/>
      <c r="CKV43" s="478"/>
      <c r="CKW43" s="478"/>
      <c r="CKX43" s="478"/>
      <c r="CKY43" s="478"/>
      <c r="CKZ43" s="478"/>
      <c r="CLA43" s="478"/>
      <c r="CLB43" s="478"/>
      <c r="CLC43" s="478"/>
      <c r="CLD43" s="478"/>
      <c r="CLE43" s="478"/>
      <c r="CLF43" s="478"/>
      <c r="CLG43" s="478"/>
      <c r="CLH43" s="478"/>
      <c r="CLI43" s="478"/>
      <c r="CLJ43" s="478"/>
      <c r="CLK43" s="478"/>
      <c r="CLL43" s="478"/>
      <c r="CLM43" s="478"/>
      <c r="CLN43" s="478"/>
      <c r="CLO43" s="478"/>
      <c r="CLP43" s="478"/>
      <c r="CLQ43" s="478"/>
      <c r="CLR43" s="478"/>
      <c r="CLS43" s="478"/>
      <c r="CLT43" s="478"/>
      <c r="CLU43" s="478"/>
      <c r="CLV43" s="478"/>
      <c r="CLW43" s="478"/>
      <c r="CLX43" s="478"/>
      <c r="CLY43" s="478"/>
      <c r="CLZ43" s="478"/>
      <c r="CMA43" s="478"/>
      <c r="CMB43" s="478"/>
      <c r="CMC43" s="478"/>
      <c r="CMD43" s="478"/>
      <c r="CME43" s="478"/>
      <c r="CMF43" s="478"/>
      <c r="CMG43" s="478"/>
      <c r="CMH43" s="478"/>
      <c r="CMI43" s="478"/>
      <c r="CMJ43" s="478"/>
      <c r="CMK43" s="478"/>
      <c r="CML43" s="478"/>
      <c r="CMM43" s="478"/>
      <c r="CMN43" s="478"/>
      <c r="CMO43" s="478"/>
      <c r="CMP43" s="478"/>
      <c r="CMQ43" s="478"/>
      <c r="CMR43" s="478"/>
      <c r="CMS43" s="478"/>
      <c r="CMT43" s="478"/>
      <c r="CMU43" s="478"/>
      <c r="CMV43" s="478"/>
      <c r="CMW43" s="478"/>
      <c r="CMX43" s="478"/>
      <c r="CMY43" s="478"/>
      <c r="CMZ43" s="478"/>
      <c r="CNA43" s="478"/>
      <c r="CNB43" s="478"/>
      <c r="CNC43" s="478"/>
      <c r="CND43" s="478"/>
      <c r="CNE43" s="478"/>
      <c r="CNF43" s="478"/>
      <c r="CNG43" s="478"/>
      <c r="CNH43" s="478"/>
      <c r="CNI43" s="478"/>
      <c r="CNJ43" s="478"/>
      <c r="CNK43" s="478"/>
      <c r="CNL43" s="478"/>
      <c r="CNM43" s="478"/>
      <c r="CNN43" s="478"/>
      <c r="CNO43" s="478"/>
      <c r="CNP43" s="478"/>
      <c r="CNQ43" s="478"/>
      <c r="CNR43" s="478"/>
      <c r="CNS43" s="478"/>
      <c r="CNT43" s="478"/>
      <c r="CNU43" s="478"/>
      <c r="CNV43" s="478"/>
      <c r="CNW43" s="478"/>
      <c r="CNX43" s="478"/>
      <c r="CNY43" s="478"/>
      <c r="CNZ43" s="478"/>
      <c r="COA43" s="478"/>
      <c r="COB43" s="478"/>
      <c r="COC43" s="478"/>
      <c r="COD43" s="478"/>
      <c r="COE43" s="478"/>
      <c r="COF43" s="478"/>
      <c r="COG43" s="478"/>
      <c r="COH43" s="478"/>
      <c r="COI43" s="478"/>
      <c r="COJ43" s="478"/>
      <c r="COK43" s="478"/>
      <c r="COL43" s="478"/>
      <c r="COM43" s="478"/>
      <c r="CON43" s="478"/>
      <c r="COO43" s="478"/>
      <c r="COP43" s="478"/>
      <c r="COQ43" s="478"/>
      <c r="COR43" s="478"/>
      <c r="COS43" s="478"/>
      <c r="COT43" s="478"/>
      <c r="COU43" s="478"/>
      <c r="COV43" s="478"/>
      <c r="COW43" s="478"/>
      <c r="COX43" s="478"/>
      <c r="COY43" s="478"/>
      <c r="COZ43" s="478"/>
      <c r="CPA43" s="478"/>
      <c r="CPB43" s="478"/>
      <c r="CPC43" s="478"/>
      <c r="CPD43" s="478"/>
      <c r="CPE43" s="478"/>
      <c r="CPF43" s="478"/>
      <c r="CPG43" s="478"/>
      <c r="CPH43" s="478"/>
      <c r="CPI43" s="478"/>
      <c r="CPJ43" s="478"/>
      <c r="CPK43" s="478"/>
      <c r="CPL43" s="478"/>
      <c r="CPM43" s="478"/>
      <c r="CPN43" s="478"/>
      <c r="CPO43" s="478"/>
      <c r="CPP43" s="478"/>
      <c r="CPQ43" s="478"/>
      <c r="CPR43" s="478"/>
      <c r="CPS43" s="478"/>
      <c r="CPT43" s="478"/>
      <c r="CPU43" s="478"/>
      <c r="CPV43" s="478"/>
      <c r="CPW43" s="478"/>
      <c r="CPX43" s="478"/>
      <c r="CPY43" s="478"/>
      <c r="CPZ43" s="478"/>
      <c r="CQA43" s="478"/>
      <c r="CQB43" s="478"/>
      <c r="CQC43" s="478"/>
      <c r="CQD43" s="478"/>
      <c r="CQE43" s="478"/>
      <c r="CQF43" s="478"/>
      <c r="CQG43" s="478"/>
      <c r="CQH43" s="478"/>
      <c r="CQI43" s="478"/>
      <c r="CQJ43" s="478"/>
      <c r="CQK43" s="478"/>
      <c r="CQL43" s="478"/>
      <c r="CQM43" s="478"/>
      <c r="CQN43" s="478"/>
      <c r="CQO43" s="478"/>
      <c r="CQP43" s="478"/>
      <c r="CQQ43" s="478"/>
      <c r="CQR43" s="478"/>
      <c r="CQS43" s="478"/>
      <c r="CQT43" s="478"/>
      <c r="CQU43" s="478"/>
      <c r="CQV43" s="478"/>
      <c r="CQW43" s="478"/>
      <c r="CQX43" s="478"/>
      <c r="CQY43" s="478"/>
      <c r="CQZ43" s="478"/>
      <c r="CRA43" s="478"/>
      <c r="CRB43" s="478"/>
      <c r="CRC43" s="478"/>
      <c r="CRD43" s="478"/>
      <c r="CRE43" s="478"/>
      <c r="CRF43" s="478"/>
      <c r="CRG43" s="478"/>
      <c r="CRH43" s="478"/>
      <c r="CRI43" s="478"/>
      <c r="CRJ43" s="478"/>
      <c r="CRK43" s="478"/>
      <c r="CRL43" s="478"/>
      <c r="CRM43" s="478"/>
      <c r="CRN43" s="478"/>
      <c r="CRO43" s="478"/>
      <c r="CRP43" s="478"/>
      <c r="CRQ43" s="478"/>
      <c r="CRR43" s="478"/>
      <c r="CRS43" s="478"/>
      <c r="CRT43" s="478"/>
      <c r="CRU43" s="478"/>
      <c r="CRV43" s="478"/>
      <c r="CRW43" s="478"/>
      <c r="CRX43" s="478"/>
      <c r="CRY43" s="478"/>
      <c r="CRZ43" s="478"/>
      <c r="CSA43" s="478"/>
      <c r="CSB43" s="478"/>
      <c r="CSC43" s="478"/>
      <c r="CSD43" s="478"/>
      <c r="CSE43" s="478"/>
      <c r="CSF43" s="478"/>
      <c r="CSG43" s="478"/>
      <c r="CSH43" s="478"/>
      <c r="CSI43" s="478"/>
      <c r="CSJ43" s="478"/>
      <c r="CSK43" s="478"/>
      <c r="CSL43" s="478"/>
      <c r="CSM43" s="478"/>
      <c r="CSN43" s="478"/>
      <c r="CSO43" s="478"/>
      <c r="CSP43" s="478"/>
      <c r="CSQ43" s="478"/>
      <c r="CSR43" s="478"/>
      <c r="CSS43" s="478"/>
      <c r="CST43" s="478"/>
      <c r="CSU43" s="478"/>
      <c r="CSV43" s="478"/>
      <c r="CSW43" s="478"/>
      <c r="CSX43" s="478"/>
      <c r="CSY43" s="478"/>
      <c r="CSZ43" s="478"/>
      <c r="CTA43" s="478"/>
      <c r="CTB43" s="478"/>
      <c r="CTC43" s="478"/>
      <c r="CTD43" s="478"/>
      <c r="CTE43" s="478"/>
      <c r="CTF43" s="478"/>
      <c r="CTG43" s="478"/>
      <c r="CTH43" s="478"/>
      <c r="CTI43" s="478"/>
      <c r="CTJ43" s="478"/>
      <c r="CTK43" s="478"/>
      <c r="CTL43" s="478"/>
      <c r="CTM43" s="478"/>
      <c r="CTN43" s="478"/>
      <c r="CTO43" s="478"/>
      <c r="CTP43" s="478"/>
      <c r="CTQ43" s="478"/>
      <c r="CTR43" s="478"/>
      <c r="CTS43" s="478"/>
      <c r="CTT43" s="478"/>
      <c r="CTU43" s="478"/>
      <c r="CTV43" s="478"/>
      <c r="CTW43" s="478"/>
      <c r="CTX43" s="478"/>
      <c r="CTY43" s="478"/>
      <c r="CTZ43" s="478"/>
      <c r="CUA43" s="478"/>
      <c r="CUB43" s="478"/>
      <c r="CUC43" s="478"/>
      <c r="CUD43" s="478"/>
      <c r="CUE43" s="478"/>
      <c r="CUF43" s="478"/>
      <c r="CUG43" s="478"/>
      <c r="CUH43" s="478"/>
      <c r="CUI43" s="478"/>
      <c r="CUJ43" s="478"/>
      <c r="CUK43" s="478"/>
      <c r="CUL43" s="478"/>
      <c r="CUM43" s="478"/>
      <c r="CUN43" s="478"/>
      <c r="CUO43" s="478"/>
      <c r="CUP43" s="478"/>
      <c r="CUQ43" s="478"/>
      <c r="CUR43" s="478"/>
      <c r="CUS43" s="478"/>
      <c r="CUT43" s="478"/>
      <c r="CUU43" s="478"/>
      <c r="CUV43" s="478"/>
      <c r="CUW43" s="478"/>
      <c r="CUX43" s="478"/>
      <c r="CUY43" s="478"/>
      <c r="CUZ43" s="478"/>
      <c r="CVA43" s="478"/>
      <c r="CVB43" s="478"/>
      <c r="CVC43" s="478"/>
      <c r="CVD43" s="478"/>
      <c r="CVE43" s="478"/>
      <c r="CVF43" s="478"/>
      <c r="CVG43" s="478"/>
      <c r="CVH43" s="478"/>
      <c r="CVI43" s="478"/>
      <c r="CVJ43" s="478"/>
      <c r="CVK43" s="478"/>
      <c r="CVL43" s="478"/>
      <c r="CVM43" s="478"/>
      <c r="CVN43" s="478"/>
      <c r="CVO43" s="478"/>
      <c r="CVP43" s="478"/>
      <c r="CVQ43" s="478"/>
      <c r="CVR43" s="478"/>
      <c r="CVS43" s="478"/>
      <c r="CVT43" s="478"/>
      <c r="CVU43" s="478"/>
      <c r="CVV43" s="478"/>
      <c r="CVW43" s="478"/>
      <c r="CVX43" s="478"/>
      <c r="CVY43" s="478"/>
      <c r="CVZ43" s="478"/>
      <c r="CWA43" s="478"/>
      <c r="CWB43" s="478"/>
      <c r="CWC43" s="478"/>
      <c r="CWD43" s="478"/>
      <c r="CWE43" s="478"/>
      <c r="CWF43" s="478"/>
      <c r="CWG43" s="478"/>
      <c r="CWH43" s="478"/>
      <c r="CWI43" s="478"/>
      <c r="CWJ43" s="478"/>
      <c r="CWK43" s="478"/>
      <c r="CWL43" s="478"/>
      <c r="CWM43" s="478"/>
      <c r="CWN43" s="478"/>
      <c r="CWO43" s="478"/>
      <c r="CWP43" s="478"/>
      <c r="CWQ43" s="478"/>
      <c r="CWR43" s="478"/>
      <c r="CWS43" s="478"/>
      <c r="CWT43" s="478"/>
      <c r="CWU43" s="478"/>
      <c r="CWV43" s="478"/>
      <c r="CWW43" s="478"/>
      <c r="CWX43" s="478"/>
      <c r="CWY43" s="478"/>
      <c r="CWZ43" s="478"/>
      <c r="CXA43" s="478"/>
      <c r="CXB43" s="478"/>
      <c r="CXC43" s="478"/>
      <c r="CXD43" s="478"/>
      <c r="CXE43" s="478"/>
      <c r="CXF43" s="478"/>
      <c r="CXG43" s="478"/>
      <c r="CXH43" s="478"/>
      <c r="CXI43" s="478"/>
      <c r="CXJ43" s="478"/>
      <c r="CXK43" s="478"/>
      <c r="CXL43" s="478"/>
      <c r="CXM43" s="478"/>
      <c r="CXN43" s="478"/>
      <c r="CXO43" s="478"/>
      <c r="CXP43" s="478"/>
      <c r="CXQ43" s="478"/>
      <c r="CXR43" s="478"/>
      <c r="CXS43" s="478"/>
      <c r="CXT43" s="478"/>
      <c r="CXU43" s="478"/>
      <c r="CXV43" s="478"/>
      <c r="CXW43" s="478"/>
      <c r="CXX43" s="478"/>
      <c r="CXY43" s="478"/>
      <c r="CXZ43" s="478"/>
      <c r="CYA43" s="478"/>
      <c r="CYB43" s="478"/>
      <c r="CYC43" s="478"/>
      <c r="CYD43" s="478"/>
      <c r="CYE43" s="478"/>
      <c r="CYF43" s="478"/>
      <c r="CYG43" s="478"/>
      <c r="CYH43" s="478"/>
      <c r="CYI43" s="478"/>
      <c r="CYJ43" s="478"/>
      <c r="CYK43" s="478"/>
      <c r="CYL43" s="478"/>
      <c r="CYM43" s="478"/>
      <c r="CYN43" s="478"/>
      <c r="CYO43" s="478"/>
      <c r="CYP43" s="478"/>
      <c r="CYQ43" s="478"/>
      <c r="CYR43" s="478"/>
      <c r="CYS43" s="478"/>
      <c r="CYT43" s="478"/>
      <c r="CYU43" s="478"/>
      <c r="CYV43" s="478"/>
      <c r="CYW43" s="478"/>
      <c r="CYX43" s="478"/>
      <c r="CYY43" s="478"/>
      <c r="CYZ43" s="478"/>
      <c r="CZA43" s="478"/>
      <c r="CZB43" s="478"/>
      <c r="CZC43" s="478"/>
      <c r="CZD43" s="478"/>
      <c r="CZE43" s="478"/>
      <c r="CZF43" s="478"/>
      <c r="CZG43" s="478"/>
      <c r="CZH43" s="478"/>
      <c r="CZI43" s="478"/>
      <c r="CZJ43" s="478"/>
      <c r="CZK43" s="478"/>
      <c r="CZL43" s="478"/>
      <c r="CZM43" s="478"/>
      <c r="CZN43" s="478"/>
      <c r="CZO43" s="478"/>
      <c r="CZP43" s="478"/>
      <c r="CZQ43" s="478"/>
      <c r="CZR43" s="478"/>
      <c r="CZS43" s="478"/>
      <c r="CZT43" s="478"/>
      <c r="CZU43" s="478"/>
      <c r="CZV43" s="478"/>
      <c r="CZW43" s="478"/>
      <c r="CZX43" s="478"/>
      <c r="CZY43" s="478"/>
      <c r="CZZ43" s="478"/>
      <c r="DAA43" s="478"/>
      <c r="DAB43" s="478"/>
      <c r="DAC43" s="478"/>
      <c r="DAD43" s="478"/>
      <c r="DAE43" s="478"/>
      <c r="DAF43" s="478"/>
      <c r="DAG43" s="478"/>
      <c r="DAH43" s="478"/>
      <c r="DAI43" s="478"/>
      <c r="DAJ43" s="478"/>
      <c r="DAK43" s="478"/>
      <c r="DAL43" s="478"/>
      <c r="DAM43" s="478"/>
      <c r="DAN43" s="478"/>
      <c r="DAO43" s="478"/>
      <c r="DAP43" s="478"/>
      <c r="DAQ43" s="478"/>
      <c r="DAR43" s="478"/>
      <c r="DAS43" s="478"/>
      <c r="DAT43" s="478"/>
      <c r="DAU43" s="478"/>
      <c r="DAV43" s="478"/>
      <c r="DAW43" s="478"/>
      <c r="DAX43" s="478"/>
      <c r="DAY43" s="478"/>
      <c r="DAZ43" s="478"/>
      <c r="DBA43" s="478"/>
      <c r="DBB43" s="478"/>
      <c r="DBC43" s="478"/>
      <c r="DBD43" s="478"/>
      <c r="DBE43" s="478"/>
      <c r="DBF43" s="478"/>
      <c r="DBG43" s="478"/>
      <c r="DBH43" s="478"/>
      <c r="DBI43" s="478"/>
      <c r="DBJ43" s="478"/>
      <c r="DBK43" s="478"/>
      <c r="DBL43" s="478"/>
      <c r="DBM43" s="478"/>
      <c r="DBN43" s="478"/>
      <c r="DBO43" s="478"/>
      <c r="DBP43" s="478"/>
      <c r="DBQ43" s="478"/>
      <c r="DBR43" s="478"/>
      <c r="DBS43" s="478"/>
      <c r="DBT43" s="478"/>
      <c r="DBU43" s="478"/>
      <c r="DBV43" s="478"/>
      <c r="DBW43" s="478"/>
      <c r="DBX43" s="478"/>
      <c r="DBY43" s="478"/>
      <c r="DBZ43" s="478"/>
      <c r="DCA43" s="478"/>
      <c r="DCB43" s="478"/>
      <c r="DCC43" s="478"/>
      <c r="DCD43" s="478"/>
      <c r="DCE43" s="478"/>
      <c r="DCF43" s="478"/>
      <c r="DCG43" s="478"/>
      <c r="DCH43" s="478"/>
      <c r="DCI43" s="478"/>
      <c r="DCJ43" s="478"/>
      <c r="DCK43" s="478"/>
      <c r="DCL43" s="478"/>
      <c r="DCM43" s="478"/>
      <c r="DCN43" s="478"/>
      <c r="DCO43" s="478"/>
      <c r="DCP43" s="478"/>
      <c r="DCQ43" s="478"/>
      <c r="DCR43" s="478"/>
      <c r="DCS43" s="478"/>
      <c r="DCT43" s="478"/>
      <c r="DCU43" s="478"/>
      <c r="DCV43" s="478"/>
      <c r="DCW43" s="478"/>
      <c r="DCX43" s="478"/>
      <c r="DCY43" s="478"/>
      <c r="DCZ43" s="478"/>
      <c r="DDA43" s="478"/>
      <c r="DDB43" s="478"/>
      <c r="DDC43" s="478"/>
      <c r="DDD43" s="478"/>
      <c r="DDE43" s="478"/>
      <c r="DDF43" s="478"/>
      <c r="DDG43" s="478"/>
      <c r="DDH43" s="478"/>
      <c r="DDI43" s="478"/>
      <c r="DDJ43" s="478"/>
      <c r="DDK43" s="478"/>
      <c r="DDL43" s="478"/>
      <c r="DDM43" s="478"/>
      <c r="DDN43" s="478"/>
      <c r="DDO43" s="478"/>
      <c r="DDP43" s="478"/>
      <c r="DDQ43" s="478"/>
      <c r="DDR43" s="478"/>
      <c r="DDS43" s="478"/>
      <c r="DDT43" s="478"/>
      <c r="DDU43" s="478"/>
      <c r="DDV43" s="478"/>
      <c r="DDW43" s="478"/>
      <c r="DDX43" s="478"/>
      <c r="DDY43" s="478"/>
      <c r="DDZ43" s="478"/>
      <c r="DEA43" s="478"/>
      <c r="DEB43" s="478"/>
      <c r="DEC43" s="478"/>
      <c r="DED43" s="478"/>
      <c r="DEE43" s="478"/>
      <c r="DEF43" s="478"/>
      <c r="DEG43" s="478"/>
      <c r="DEH43" s="478"/>
      <c r="DEI43" s="478"/>
      <c r="DEJ43" s="478"/>
      <c r="DEK43" s="478"/>
      <c r="DEL43" s="478"/>
      <c r="DEM43" s="478"/>
      <c r="DEN43" s="478"/>
      <c r="DEO43" s="478"/>
      <c r="DEP43" s="478"/>
      <c r="DEQ43" s="478"/>
      <c r="DER43" s="478"/>
      <c r="DES43" s="478"/>
      <c r="DET43" s="478"/>
      <c r="DEU43" s="478"/>
      <c r="DEV43" s="478"/>
      <c r="DEW43" s="478"/>
      <c r="DEX43" s="478"/>
      <c r="DEY43" s="478"/>
      <c r="DEZ43" s="478"/>
      <c r="DFA43" s="478"/>
      <c r="DFB43" s="478"/>
      <c r="DFC43" s="478"/>
      <c r="DFD43" s="478"/>
      <c r="DFE43" s="478"/>
      <c r="DFF43" s="478"/>
      <c r="DFG43" s="478"/>
      <c r="DFH43" s="478"/>
      <c r="DFI43" s="478"/>
      <c r="DFJ43" s="478"/>
      <c r="DFK43" s="478"/>
      <c r="DFL43" s="478"/>
      <c r="DFM43" s="478"/>
      <c r="DFN43" s="478"/>
      <c r="DFO43" s="478"/>
      <c r="DFP43" s="478"/>
      <c r="DFQ43" s="478"/>
      <c r="DFR43" s="478"/>
      <c r="DFS43" s="478"/>
      <c r="DFT43" s="478"/>
      <c r="DFU43" s="478"/>
      <c r="DFV43" s="478"/>
      <c r="DFW43" s="478"/>
      <c r="DFX43" s="478"/>
      <c r="DFY43" s="478"/>
      <c r="DFZ43" s="478"/>
      <c r="DGA43" s="478"/>
      <c r="DGB43" s="478"/>
      <c r="DGC43" s="478"/>
      <c r="DGD43" s="478"/>
      <c r="DGE43" s="478"/>
      <c r="DGF43" s="478"/>
      <c r="DGG43" s="478"/>
      <c r="DGH43" s="478"/>
      <c r="DGI43" s="478"/>
      <c r="DGJ43" s="478"/>
      <c r="DGK43" s="478"/>
      <c r="DGL43" s="478"/>
      <c r="DGM43" s="478"/>
      <c r="DGN43" s="478"/>
      <c r="DGO43" s="478"/>
      <c r="DGP43" s="478"/>
      <c r="DGQ43" s="478"/>
      <c r="DGR43" s="478"/>
      <c r="DGS43" s="478"/>
      <c r="DGT43" s="478"/>
      <c r="DGU43" s="478"/>
      <c r="DGV43" s="478"/>
      <c r="DGW43" s="478"/>
      <c r="DGX43" s="478"/>
      <c r="DGY43" s="478"/>
      <c r="DGZ43" s="478"/>
      <c r="DHA43" s="478"/>
      <c r="DHB43" s="478"/>
      <c r="DHC43" s="478"/>
      <c r="DHD43" s="478"/>
      <c r="DHE43" s="478"/>
      <c r="DHF43" s="478"/>
      <c r="DHG43" s="478"/>
      <c r="DHH43" s="478"/>
      <c r="DHI43" s="478"/>
      <c r="DHJ43" s="478"/>
      <c r="DHK43" s="478"/>
      <c r="DHL43" s="478"/>
      <c r="DHM43" s="478"/>
      <c r="DHN43" s="478"/>
      <c r="DHO43" s="478"/>
      <c r="DHP43" s="478"/>
      <c r="DHQ43" s="478"/>
      <c r="DHR43" s="478"/>
      <c r="DHS43" s="478"/>
      <c r="DHT43" s="478"/>
      <c r="DHU43" s="478"/>
      <c r="DHV43" s="478"/>
      <c r="DHW43" s="478"/>
      <c r="DHX43" s="478"/>
      <c r="DHY43" s="478"/>
      <c r="DHZ43" s="478"/>
      <c r="DIA43" s="478"/>
      <c r="DIB43" s="478"/>
      <c r="DIC43" s="478"/>
      <c r="DID43" s="478"/>
      <c r="DIE43" s="478"/>
      <c r="DIF43" s="478"/>
      <c r="DIG43" s="478"/>
      <c r="DIH43" s="478"/>
      <c r="DII43" s="478"/>
      <c r="DIJ43" s="478"/>
      <c r="DIK43" s="478"/>
      <c r="DIL43" s="478"/>
      <c r="DIM43" s="478"/>
      <c r="DIN43" s="478"/>
      <c r="DIO43" s="478"/>
      <c r="DIP43" s="478"/>
      <c r="DIQ43" s="478"/>
      <c r="DIR43" s="478"/>
      <c r="DIS43" s="478"/>
      <c r="DIT43" s="478"/>
      <c r="DIU43" s="478"/>
      <c r="DIV43" s="478"/>
      <c r="DIW43" s="478"/>
      <c r="DIX43" s="478"/>
      <c r="DIY43" s="478"/>
      <c r="DIZ43" s="478"/>
      <c r="DJA43" s="478"/>
      <c r="DJB43" s="478"/>
      <c r="DJC43" s="478"/>
      <c r="DJD43" s="478"/>
      <c r="DJE43" s="478"/>
      <c r="DJF43" s="478"/>
      <c r="DJG43" s="478"/>
      <c r="DJH43" s="478"/>
      <c r="DJI43" s="478"/>
      <c r="DJJ43" s="478"/>
      <c r="DJK43" s="478"/>
      <c r="DJL43" s="478"/>
      <c r="DJM43" s="478"/>
      <c r="DJN43" s="478"/>
      <c r="DJO43" s="478"/>
      <c r="DJP43" s="478"/>
      <c r="DJQ43" s="478"/>
      <c r="DJR43" s="478"/>
      <c r="DJS43" s="478"/>
      <c r="DJT43" s="478"/>
      <c r="DJU43" s="478"/>
      <c r="DJV43" s="478"/>
      <c r="DJW43" s="478"/>
      <c r="DJX43" s="478"/>
      <c r="DJY43" s="478"/>
      <c r="DJZ43" s="478"/>
      <c r="DKA43" s="478"/>
      <c r="DKB43" s="478"/>
      <c r="DKC43" s="478"/>
      <c r="DKD43" s="478"/>
      <c r="DKE43" s="478"/>
      <c r="DKF43" s="478"/>
      <c r="DKG43" s="478"/>
      <c r="DKH43" s="478"/>
      <c r="DKI43" s="478"/>
      <c r="DKJ43" s="478"/>
      <c r="DKK43" s="478"/>
      <c r="DKL43" s="478"/>
      <c r="DKM43" s="478"/>
      <c r="DKN43" s="478"/>
      <c r="DKO43" s="478"/>
      <c r="DKP43" s="478"/>
      <c r="DKQ43" s="478"/>
      <c r="DKR43" s="478"/>
      <c r="DKS43" s="478"/>
      <c r="DKT43" s="478"/>
      <c r="DKU43" s="478"/>
      <c r="DKV43" s="478"/>
      <c r="DKW43" s="478"/>
      <c r="DKX43" s="478"/>
      <c r="DKY43" s="478"/>
      <c r="DKZ43" s="478"/>
      <c r="DLA43" s="478"/>
      <c r="DLB43" s="478"/>
      <c r="DLC43" s="478"/>
      <c r="DLD43" s="478"/>
      <c r="DLE43" s="478"/>
      <c r="DLF43" s="478"/>
      <c r="DLG43" s="478"/>
      <c r="DLH43" s="478"/>
      <c r="DLI43" s="478"/>
      <c r="DLJ43" s="478"/>
      <c r="DLK43" s="478"/>
      <c r="DLL43" s="478"/>
      <c r="DLM43" s="478"/>
      <c r="DLN43" s="478"/>
      <c r="DLO43" s="478"/>
      <c r="DLP43" s="478"/>
      <c r="DLQ43" s="478"/>
      <c r="DLR43" s="478"/>
      <c r="DLS43" s="478"/>
      <c r="DLT43" s="478"/>
      <c r="DLU43" s="478"/>
      <c r="DLV43" s="478"/>
      <c r="DLW43" s="478"/>
      <c r="DLX43" s="478"/>
      <c r="DLY43" s="478"/>
      <c r="DLZ43" s="478"/>
      <c r="DMA43" s="478"/>
      <c r="DMB43" s="478"/>
      <c r="DMC43" s="478"/>
      <c r="DMD43" s="478"/>
      <c r="DME43" s="478"/>
      <c r="DMF43" s="478"/>
      <c r="DMG43" s="478"/>
      <c r="DMH43" s="478"/>
      <c r="DMI43" s="478"/>
      <c r="DMJ43" s="478"/>
      <c r="DMK43" s="478"/>
      <c r="DML43" s="478"/>
      <c r="DMM43" s="478"/>
      <c r="DMN43" s="478"/>
      <c r="DMO43" s="478"/>
      <c r="DMP43" s="478"/>
      <c r="DMQ43" s="478"/>
      <c r="DMR43" s="478"/>
      <c r="DMS43" s="478"/>
      <c r="DMT43" s="478"/>
      <c r="DMU43" s="478"/>
      <c r="DMV43" s="478"/>
      <c r="DMW43" s="478"/>
      <c r="DMX43" s="478"/>
      <c r="DMY43" s="478"/>
      <c r="DMZ43" s="478"/>
      <c r="DNA43" s="478"/>
      <c r="DNB43" s="478"/>
      <c r="DNC43" s="478"/>
      <c r="DND43" s="478"/>
      <c r="DNE43" s="478"/>
      <c r="DNF43" s="478"/>
      <c r="DNG43" s="478"/>
      <c r="DNH43" s="478"/>
      <c r="DNI43" s="478"/>
      <c r="DNJ43" s="478"/>
      <c r="DNK43" s="478"/>
      <c r="DNL43" s="478"/>
      <c r="DNM43" s="478"/>
      <c r="DNN43" s="478"/>
      <c r="DNO43" s="478"/>
      <c r="DNP43" s="478"/>
      <c r="DNQ43" s="478"/>
      <c r="DNR43" s="478"/>
      <c r="DNS43" s="478"/>
      <c r="DNT43" s="478"/>
      <c r="DNU43" s="478"/>
      <c r="DNV43" s="478"/>
      <c r="DNW43" s="478"/>
      <c r="DNX43" s="478"/>
      <c r="DNY43" s="478"/>
      <c r="DNZ43" s="478"/>
      <c r="DOA43" s="478"/>
      <c r="DOB43" s="478"/>
      <c r="DOC43" s="478"/>
      <c r="DOD43" s="478"/>
      <c r="DOE43" s="478"/>
      <c r="DOF43" s="478"/>
      <c r="DOG43" s="478"/>
      <c r="DOH43" s="478"/>
      <c r="DOI43" s="478"/>
      <c r="DOJ43" s="478"/>
      <c r="DOK43" s="478"/>
      <c r="DOL43" s="478"/>
      <c r="DOM43" s="478"/>
      <c r="DON43" s="478"/>
      <c r="DOO43" s="478"/>
      <c r="DOP43" s="478"/>
      <c r="DOQ43" s="478"/>
      <c r="DOR43" s="478"/>
      <c r="DOS43" s="478"/>
      <c r="DOT43" s="478"/>
      <c r="DOU43" s="478"/>
      <c r="DOV43" s="478"/>
      <c r="DOW43" s="478"/>
      <c r="DOX43" s="478"/>
      <c r="DOY43" s="478"/>
      <c r="DOZ43" s="478"/>
      <c r="DPA43" s="478"/>
      <c r="DPB43" s="478"/>
      <c r="DPC43" s="478"/>
      <c r="DPD43" s="478"/>
      <c r="DPE43" s="478"/>
      <c r="DPF43" s="478"/>
      <c r="DPG43" s="478"/>
      <c r="DPH43" s="478"/>
      <c r="DPI43" s="478"/>
      <c r="DPJ43" s="478"/>
      <c r="DPK43" s="478"/>
      <c r="DPL43" s="478"/>
      <c r="DPM43" s="478"/>
      <c r="DPN43" s="478"/>
      <c r="DPO43" s="478"/>
      <c r="DPP43" s="478"/>
      <c r="DPQ43" s="478"/>
      <c r="DPR43" s="478"/>
      <c r="DPS43" s="478"/>
      <c r="DPT43" s="478"/>
      <c r="DPU43" s="478"/>
      <c r="DPV43" s="478"/>
      <c r="DPW43" s="478"/>
      <c r="DPX43" s="478"/>
      <c r="DPY43" s="478"/>
      <c r="DPZ43" s="478"/>
      <c r="DQA43" s="478"/>
      <c r="DQB43" s="478"/>
      <c r="DQC43" s="478"/>
      <c r="DQD43" s="478"/>
      <c r="DQE43" s="478"/>
      <c r="DQF43" s="478"/>
      <c r="DQG43" s="478"/>
      <c r="DQH43" s="478"/>
      <c r="DQI43" s="478"/>
      <c r="DQJ43" s="478"/>
      <c r="DQK43" s="478"/>
      <c r="DQL43" s="478"/>
      <c r="DQM43" s="478"/>
      <c r="DQN43" s="478"/>
      <c r="DQO43" s="478"/>
      <c r="DQP43" s="478"/>
      <c r="DQQ43" s="478"/>
      <c r="DQR43" s="478"/>
      <c r="DQS43" s="478"/>
      <c r="DQT43" s="478"/>
      <c r="DQU43" s="478"/>
      <c r="DQV43" s="478"/>
      <c r="DQW43" s="478"/>
      <c r="DQX43" s="478"/>
      <c r="DQY43" s="478"/>
      <c r="DQZ43" s="478"/>
      <c r="DRA43" s="478"/>
      <c r="DRB43" s="478"/>
      <c r="DRC43" s="478"/>
      <c r="DRD43" s="478"/>
      <c r="DRE43" s="478"/>
      <c r="DRF43" s="478"/>
      <c r="DRG43" s="478"/>
      <c r="DRH43" s="478"/>
      <c r="DRI43" s="478"/>
      <c r="DRJ43" s="478"/>
      <c r="DRK43" s="478"/>
      <c r="DRL43" s="478"/>
      <c r="DRM43" s="478"/>
      <c r="DRN43" s="478"/>
      <c r="DRO43" s="478"/>
      <c r="DRP43" s="478"/>
      <c r="DRQ43" s="478"/>
      <c r="DRR43" s="478"/>
      <c r="DRS43" s="478"/>
      <c r="DRT43" s="478"/>
      <c r="DRU43" s="478"/>
      <c r="DRV43" s="478"/>
      <c r="DRW43" s="478"/>
      <c r="DRX43" s="478"/>
      <c r="DRY43" s="478"/>
      <c r="DRZ43" s="478"/>
      <c r="DSA43" s="478"/>
      <c r="DSB43" s="478"/>
      <c r="DSC43" s="478"/>
      <c r="DSD43" s="478"/>
      <c r="DSE43" s="478"/>
      <c r="DSF43" s="478"/>
      <c r="DSG43" s="478"/>
      <c r="DSH43" s="478"/>
      <c r="DSI43" s="478"/>
      <c r="DSJ43" s="478"/>
      <c r="DSK43" s="478"/>
      <c r="DSL43" s="478"/>
      <c r="DSM43" s="478"/>
      <c r="DSN43" s="478"/>
      <c r="DSO43" s="478"/>
      <c r="DSP43" s="478"/>
      <c r="DSQ43" s="478"/>
      <c r="DSR43" s="478"/>
      <c r="DSS43" s="478"/>
      <c r="DST43" s="478"/>
      <c r="DSU43" s="478"/>
      <c r="DSV43" s="478"/>
      <c r="DSW43" s="478"/>
      <c r="DSX43" s="478"/>
      <c r="DSY43" s="478"/>
      <c r="DSZ43" s="478"/>
      <c r="DTA43" s="478"/>
      <c r="DTB43" s="478"/>
      <c r="DTC43" s="478"/>
      <c r="DTD43" s="478"/>
      <c r="DTE43" s="478"/>
      <c r="DTF43" s="478"/>
      <c r="DTG43" s="478"/>
      <c r="DTH43" s="478"/>
      <c r="DTI43" s="478"/>
      <c r="DTJ43" s="478"/>
      <c r="DTK43" s="478"/>
      <c r="DTL43" s="478"/>
      <c r="DTM43" s="478"/>
      <c r="DTN43" s="478"/>
      <c r="DTO43" s="478"/>
      <c r="DTP43" s="478"/>
      <c r="DTQ43" s="478"/>
      <c r="DTR43" s="478"/>
      <c r="DTS43" s="478"/>
      <c r="DTT43" s="478"/>
      <c r="DTU43" s="478"/>
      <c r="DTV43" s="478"/>
      <c r="DTW43" s="478"/>
      <c r="DTX43" s="478"/>
      <c r="DTY43" s="478"/>
      <c r="DTZ43" s="478"/>
      <c r="DUA43" s="478"/>
      <c r="DUB43" s="478"/>
      <c r="DUC43" s="478"/>
      <c r="DUD43" s="478"/>
      <c r="DUE43" s="478"/>
      <c r="DUF43" s="478"/>
      <c r="DUG43" s="478"/>
      <c r="DUH43" s="478"/>
      <c r="DUI43" s="478"/>
      <c r="DUJ43" s="478"/>
      <c r="DUK43" s="478"/>
      <c r="DUL43" s="478"/>
      <c r="DUM43" s="478"/>
      <c r="DUN43" s="478"/>
      <c r="DUO43" s="478"/>
      <c r="DUP43" s="478"/>
      <c r="DUQ43" s="478"/>
      <c r="DUR43" s="478"/>
      <c r="DUS43" s="478"/>
      <c r="DUT43" s="478"/>
      <c r="DUU43" s="478"/>
      <c r="DUV43" s="478"/>
      <c r="DUW43" s="478"/>
      <c r="DUX43" s="478"/>
      <c r="DUY43" s="478"/>
      <c r="DUZ43" s="478"/>
      <c r="DVA43" s="478"/>
      <c r="DVB43" s="478"/>
      <c r="DVC43" s="478"/>
      <c r="DVD43" s="478"/>
      <c r="DVE43" s="478"/>
      <c r="DVF43" s="478"/>
      <c r="DVG43" s="478"/>
      <c r="DVH43" s="478"/>
      <c r="DVI43" s="478"/>
      <c r="DVJ43" s="478"/>
      <c r="DVK43" s="478"/>
      <c r="DVL43" s="478"/>
      <c r="DVM43" s="478"/>
      <c r="DVN43" s="478"/>
      <c r="DVO43" s="478"/>
      <c r="DVP43" s="478"/>
      <c r="DVQ43" s="478"/>
      <c r="DVR43" s="478"/>
      <c r="DVS43" s="478"/>
      <c r="DVT43" s="478"/>
      <c r="DVU43" s="478"/>
      <c r="DVV43" s="478"/>
      <c r="DVW43" s="478"/>
      <c r="DVX43" s="478"/>
      <c r="DVY43" s="478"/>
      <c r="DVZ43" s="478"/>
      <c r="DWA43" s="478"/>
      <c r="DWB43" s="478"/>
      <c r="DWC43" s="478"/>
      <c r="DWD43" s="478"/>
      <c r="DWE43" s="478"/>
      <c r="DWF43" s="478"/>
      <c r="DWG43" s="478"/>
      <c r="DWH43" s="478"/>
      <c r="DWI43" s="478"/>
      <c r="DWJ43" s="478"/>
      <c r="DWK43" s="478"/>
      <c r="DWL43" s="478"/>
      <c r="DWM43" s="478"/>
      <c r="DWN43" s="478"/>
      <c r="DWO43" s="478"/>
      <c r="DWP43" s="478"/>
      <c r="DWQ43" s="478"/>
      <c r="DWR43" s="478"/>
      <c r="DWS43" s="478"/>
      <c r="DWT43" s="478"/>
      <c r="DWU43" s="478"/>
      <c r="DWV43" s="478"/>
      <c r="DWW43" s="478"/>
      <c r="DWX43" s="478"/>
      <c r="DWY43" s="478"/>
      <c r="DWZ43" s="478"/>
      <c r="DXA43" s="478"/>
      <c r="DXB43" s="478"/>
      <c r="DXC43" s="478"/>
      <c r="DXD43" s="478"/>
      <c r="DXE43" s="478"/>
      <c r="DXF43" s="478"/>
      <c r="DXG43" s="478"/>
      <c r="DXH43" s="478"/>
      <c r="DXI43" s="478"/>
      <c r="DXJ43" s="478"/>
      <c r="DXK43" s="478"/>
      <c r="DXL43" s="478"/>
      <c r="DXM43" s="478"/>
      <c r="DXN43" s="478"/>
      <c r="DXO43" s="478"/>
      <c r="DXP43" s="478"/>
      <c r="DXQ43" s="478"/>
      <c r="DXR43" s="478"/>
      <c r="DXS43" s="478"/>
      <c r="DXT43" s="478"/>
      <c r="DXU43" s="478"/>
      <c r="DXV43" s="478"/>
      <c r="DXW43" s="478"/>
      <c r="DXX43" s="478"/>
      <c r="DXY43" s="478"/>
      <c r="DXZ43" s="478"/>
      <c r="DYA43" s="478"/>
      <c r="DYB43" s="478"/>
      <c r="DYC43" s="478"/>
      <c r="DYD43" s="478"/>
      <c r="DYE43" s="478"/>
      <c r="DYF43" s="478"/>
      <c r="DYG43" s="478"/>
      <c r="DYH43" s="478"/>
      <c r="DYI43" s="478"/>
      <c r="DYJ43" s="478"/>
      <c r="DYK43" s="478"/>
      <c r="DYL43" s="478"/>
      <c r="DYM43" s="478"/>
      <c r="DYN43" s="478"/>
      <c r="DYO43" s="478"/>
      <c r="DYP43" s="478"/>
      <c r="DYQ43" s="478"/>
      <c r="DYR43" s="478"/>
      <c r="DYS43" s="478"/>
      <c r="DYT43" s="478"/>
      <c r="DYU43" s="478"/>
      <c r="DYV43" s="478"/>
      <c r="DYW43" s="478"/>
      <c r="DYX43" s="478"/>
      <c r="DYY43" s="478"/>
      <c r="DYZ43" s="478"/>
      <c r="DZA43" s="478"/>
      <c r="DZB43" s="478"/>
      <c r="DZC43" s="478"/>
      <c r="DZD43" s="478"/>
      <c r="DZE43" s="478"/>
      <c r="DZF43" s="478"/>
      <c r="DZG43" s="478"/>
      <c r="DZH43" s="478"/>
      <c r="DZI43" s="478"/>
      <c r="DZJ43" s="478"/>
      <c r="DZK43" s="478"/>
      <c r="DZL43" s="478"/>
      <c r="DZM43" s="478"/>
      <c r="DZN43" s="478"/>
      <c r="DZO43" s="478"/>
      <c r="DZP43" s="478"/>
      <c r="DZQ43" s="478"/>
      <c r="DZR43" s="478"/>
      <c r="DZS43" s="478"/>
      <c r="DZT43" s="478"/>
      <c r="DZU43" s="478"/>
      <c r="DZV43" s="478"/>
      <c r="DZW43" s="478"/>
      <c r="DZX43" s="478"/>
      <c r="DZY43" s="478"/>
      <c r="DZZ43" s="478"/>
      <c r="EAA43" s="478"/>
      <c r="EAB43" s="478"/>
      <c r="EAC43" s="478"/>
      <c r="EAD43" s="478"/>
      <c r="EAE43" s="478"/>
      <c r="EAF43" s="478"/>
      <c r="EAG43" s="478"/>
      <c r="EAH43" s="478"/>
      <c r="EAI43" s="478"/>
      <c r="EAJ43" s="478"/>
      <c r="EAK43" s="478"/>
      <c r="EAL43" s="478"/>
      <c r="EAM43" s="478"/>
      <c r="EAN43" s="478"/>
      <c r="EAO43" s="478"/>
      <c r="EAP43" s="478"/>
      <c r="EAQ43" s="478"/>
      <c r="EAR43" s="478"/>
      <c r="EAS43" s="478"/>
      <c r="EAT43" s="478"/>
      <c r="EAU43" s="478"/>
      <c r="EAV43" s="478"/>
      <c r="EAW43" s="478"/>
      <c r="EAX43" s="478"/>
      <c r="EAY43" s="478"/>
      <c r="EAZ43" s="478"/>
      <c r="EBA43" s="478"/>
      <c r="EBB43" s="478"/>
      <c r="EBC43" s="478"/>
      <c r="EBD43" s="478"/>
      <c r="EBE43" s="478"/>
      <c r="EBF43" s="478"/>
      <c r="EBG43" s="478"/>
      <c r="EBH43" s="478"/>
      <c r="EBI43" s="478"/>
      <c r="EBJ43" s="478"/>
      <c r="EBK43" s="478"/>
      <c r="EBL43" s="478"/>
      <c r="EBM43" s="478"/>
      <c r="EBN43" s="478"/>
      <c r="EBO43" s="478"/>
      <c r="EBP43" s="478"/>
      <c r="EBQ43" s="478"/>
      <c r="EBR43" s="478"/>
      <c r="EBS43" s="478"/>
      <c r="EBT43" s="478"/>
      <c r="EBU43" s="478"/>
      <c r="EBV43" s="478"/>
      <c r="EBW43" s="478"/>
      <c r="EBX43" s="478"/>
      <c r="EBY43" s="478"/>
      <c r="EBZ43" s="478"/>
      <c r="ECA43" s="478"/>
      <c r="ECB43" s="478"/>
      <c r="ECC43" s="478"/>
      <c r="ECD43" s="478"/>
      <c r="ECE43" s="478"/>
      <c r="ECF43" s="478"/>
      <c r="ECG43" s="478"/>
      <c r="ECH43" s="478"/>
      <c r="ECI43" s="478"/>
      <c r="ECJ43" s="478"/>
      <c r="ECK43" s="478"/>
      <c r="ECL43" s="478"/>
      <c r="ECM43" s="478"/>
      <c r="ECN43" s="478"/>
      <c r="ECO43" s="478"/>
      <c r="ECP43" s="478"/>
      <c r="ECQ43" s="478"/>
      <c r="ECR43" s="478"/>
      <c r="ECS43" s="478"/>
      <c r="ECT43" s="478"/>
      <c r="ECU43" s="478"/>
      <c r="ECV43" s="478"/>
      <c r="ECW43" s="478"/>
      <c r="ECX43" s="478"/>
      <c r="ECY43" s="478"/>
      <c r="ECZ43" s="478"/>
      <c r="EDA43" s="478"/>
      <c r="EDB43" s="478"/>
      <c r="EDC43" s="478"/>
      <c r="EDD43" s="478"/>
      <c r="EDE43" s="478"/>
      <c r="EDF43" s="478"/>
      <c r="EDG43" s="478"/>
      <c r="EDH43" s="478"/>
      <c r="EDI43" s="478"/>
      <c r="EDJ43" s="478"/>
      <c r="EDK43" s="478"/>
      <c r="EDL43" s="478"/>
      <c r="EDM43" s="478"/>
      <c r="EDN43" s="478"/>
      <c r="EDO43" s="478"/>
      <c r="EDP43" s="478"/>
      <c r="EDQ43" s="478"/>
      <c r="EDR43" s="478"/>
      <c r="EDS43" s="478"/>
      <c r="EDT43" s="478"/>
      <c r="EDU43" s="478"/>
      <c r="EDV43" s="478"/>
      <c r="EDW43" s="478"/>
      <c r="EDX43" s="478"/>
      <c r="EDY43" s="478"/>
      <c r="EDZ43" s="478"/>
      <c r="EEA43" s="478"/>
      <c r="EEB43" s="478"/>
      <c r="EEC43" s="478"/>
      <c r="EED43" s="478"/>
      <c r="EEE43" s="478"/>
      <c r="EEF43" s="478"/>
      <c r="EEG43" s="478"/>
      <c r="EEH43" s="478"/>
      <c r="EEI43" s="478"/>
      <c r="EEJ43" s="478"/>
      <c r="EEK43" s="478"/>
      <c r="EEL43" s="478"/>
      <c r="EEM43" s="478"/>
      <c r="EEN43" s="478"/>
      <c r="EEO43" s="478"/>
      <c r="EEP43" s="478"/>
      <c r="EEQ43" s="478"/>
      <c r="EER43" s="478"/>
      <c r="EES43" s="478"/>
      <c r="EET43" s="478"/>
      <c r="EEU43" s="478"/>
      <c r="EEV43" s="478"/>
      <c r="EEW43" s="478"/>
      <c r="EEX43" s="478"/>
      <c r="EEY43" s="478"/>
      <c r="EEZ43" s="478"/>
      <c r="EFA43" s="478"/>
      <c r="EFB43" s="478"/>
      <c r="EFC43" s="478"/>
      <c r="EFD43" s="478"/>
      <c r="EFE43" s="478"/>
      <c r="EFF43" s="478"/>
      <c r="EFG43" s="478"/>
      <c r="EFH43" s="478"/>
      <c r="EFI43" s="478"/>
      <c r="EFJ43" s="478"/>
      <c r="EFK43" s="478"/>
      <c r="EFL43" s="478"/>
      <c r="EFM43" s="478"/>
      <c r="EFN43" s="478"/>
      <c r="EFO43" s="478"/>
      <c r="EFP43" s="478"/>
      <c r="EFQ43" s="478"/>
      <c r="EFR43" s="478"/>
      <c r="EFS43" s="478"/>
      <c r="EFT43" s="478"/>
      <c r="EFU43" s="478"/>
      <c r="EFV43" s="478"/>
      <c r="EFW43" s="478"/>
      <c r="EFX43" s="478"/>
      <c r="EFY43" s="478"/>
      <c r="EFZ43" s="478"/>
      <c r="EGA43" s="478"/>
      <c r="EGB43" s="478"/>
      <c r="EGC43" s="478"/>
      <c r="EGD43" s="478"/>
      <c r="EGE43" s="478"/>
      <c r="EGF43" s="478"/>
      <c r="EGG43" s="478"/>
      <c r="EGH43" s="478"/>
      <c r="EGI43" s="478"/>
      <c r="EGJ43" s="478"/>
      <c r="EGK43" s="478"/>
      <c r="EGL43" s="478"/>
      <c r="EGM43" s="478"/>
      <c r="EGN43" s="478"/>
      <c r="EGO43" s="478"/>
      <c r="EGP43" s="478"/>
      <c r="EGQ43" s="478"/>
      <c r="EGR43" s="478"/>
      <c r="EGS43" s="478"/>
      <c r="EGT43" s="478"/>
      <c r="EGU43" s="478"/>
      <c r="EGV43" s="478"/>
      <c r="EGW43" s="478"/>
      <c r="EGX43" s="478"/>
      <c r="EGY43" s="478"/>
      <c r="EGZ43" s="478"/>
      <c r="EHA43" s="478"/>
      <c r="EHB43" s="478"/>
      <c r="EHC43" s="478"/>
      <c r="EHD43" s="478"/>
      <c r="EHE43" s="478"/>
      <c r="EHF43" s="478"/>
      <c r="EHG43" s="478"/>
      <c r="EHH43" s="478"/>
      <c r="EHI43" s="478"/>
      <c r="EHJ43" s="478"/>
      <c r="EHK43" s="478"/>
      <c r="EHL43" s="478"/>
      <c r="EHM43" s="478"/>
      <c r="EHN43" s="478"/>
      <c r="EHO43" s="478"/>
      <c r="EHP43" s="478"/>
      <c r="EHQ43" s="478"/>
      <c r="EHR43" s="478"/>
      <c r="EHS43" s="478"/>
      <c r="EHT43" s="478"/>
      <c r="EHU43" s="478"/>
      <c r="EHV43" s="478"/>
      <c r="EHW43" s="478"/>
      <c r="EHX43" s="478"/>
      <c r="EHY43" s="478"/>
      <c r="EHZ43" s="478"/>
      <c r="EIA43" s="478"/>
      <c r="EIB43" s="478"/>
      <c r="EIC43" s="478"/>
      <c r="EID43" s="478"/>
      <c r="EIE43" s="478"/>
      <c r="EIF43" s="478"/>
      <c r="EIG43" s="478"/>
      <c r="EIH43" s="478"/>
      <c r="EII43" s="478"/>
      <c r="EIJ43" s="478"/>
      <c r="EIK43" s="478"/>
      <c r="EIL43" s="478"/>
      <c r="EIM43" s="478"/>
      <c r="EIN43" s="478"/>
      <c r="EIO43" s="478"/>
      <c r="EIP43" s="478"/>
      <c r="EIQ43" s="478"/>
      <c r="EIR43" s="478"/>
      <c r="EIS43" s="478"/>
      <c r="EIT43" s="478"/>
      <c r="EIU43" s="478"/>
      <c r="EIV43" s="478"/>
      <c r="EIW43" s="478"/>
      <c r="EIX43" s="478"/>
      <c r="EIY43" s="478"/>
      <c r="EIZ43" s="478"/>
      <c r="EJA43" s="478"/>
      <c r="EJB43" s="478"/>
      <c r="EJC43" s="478"/>
      <c r="EJD43" s="478"/>
      <c r="EJE43" s="478"/>
      <c r="EJF43" s="478"/>
      <c r="EJG43" s="478"/>
      <c r="EJH43" s="478"/>
      <c r="EJI43" s="478"/>
      <c r="EJJ43" s="478"/>
      <c r="EJK43" s="478"/>
      <c r="EJL43" s="478"/>
      <c r="EJM43" s="478"/>
      <c r="EJN43" s="478"/>
      <c r="EJO43" s="478"/>
      <c r="EJP43" s="478"/>
      <c r="EJQ43" s="478"/>
      <c r="EJR43" s="478"/>
      <c r="EJS43" s="478"/>
      <c r="EJT43" s="478"/>
      <c r="EJU43" s="478"/>
      <c r="EJV43" s="478"/>
      <c r="EJW43" s="478"/>
      <c r="EJX43" s="478"/>
      <c r="EJY43" s="478"/>
      <c r="EJZ43" s="478"/>
      <c r="EKA43" s="478"/>
      <c r="EKB43" s="478"/>
      <c r="EKC43" s="478"/>
      <c r="EKD43" s="478"/>
      <c r="EKE43" s="478"/>
      <c r="EKF43" s="478"/>
      <c r="EKG43" s="478"/>
      <c r="EKH43" s="478"/>
      <c r="EKI43" s="478"/>
      <c r="EKJ43" s="478"/>
      <c r="EKK43" s="478"/>
      <c r="EKL43" s="478"/>
      <c r="EKM43" s="478"/>
      <c r="EKN43" s="478"/>
      <c r="EKO43" s="478"/>
      <c r="EKP43" s="478"/>
      <c r="EKQ43" s="478"/>
      <c r="EKR43" s="478"/>
      <c r="EKS43" s="478"/>
      <c r="EKT43" s="478"/>
      <c r="EKU43" s="478"/>
      <c r="EKV43" s="478"/>
      <c r="EKW43" s="478"/>
      <c r="EKX43" s="478"/>
      <c r="EKY43" s="478"/>
      <c r="EKZ43" s="478"/>
      <c r="ELA43" s="478"/>
      <c r="ELB43" s="478"/>
      <c r="ELC43" s="478"/>
      <c r="ELD43" s="478"/>
      <c r="ELE43" s="478"/>
      <c r="ELF43" s="478"/>
      <c r="ELG43" s="478"/>
      <c r="ELH43" s="478"/>
      <c r="ELI43" s="478"/>
      <c r="ELJ43" s="478"/>
      <c r="ELK43" s="478"/>
      <c r="ELL43" s="478"/>
      <c r="ELM43" s="478"/>
      <c r="ELN43" s="478"/>
      <c r="ELO43" s="478"/>
      <c r="ELP43" s="478"/>
      <c r="ELQ43" s="478"/>
      <c r="ELR43" s="478"/>
      <c r="ELS43" s="478"/>
      <c r="ELT43" s="478"/>
      <c r="ELU43" s="478"/>
      <c r="ELV43" s="478"/>
      <c r="ELW43" s="478"/>
      <c r="ELX43" s="478"/>
      <c r="ELY43" s="478"/>
      <c r="ELZ43" s="478"/>
      <c r="EMA43" s="478"/>
      <c r="EMB43" s="478"/>
      <c r="EMC43" s="478"/>
      <c r="EMD43" s="478"/>
      <c r="EME43" s="478"/>
      <c r="EMF43" s="478"/>
      <c r="EMG43" s="478"/>
      <c r="EMH43" s="478"/>
      <c r="EMI43" s="478"/>
      <c r="EMJ43" s="478"/>
      <c r="EMK43" s="478"/>
      <c r="EML43" s="478"/>
      <c r="EMM43" s="478"/>
      <c r="EMN43" s="478"/>
      <c r="EMO43" s="478"/>
      <c r="EMP43" s="478"/>
      <c r="EMQ43" s="478"/>
      <c r="EMR43" s="478"/>
      <c r="EMS43" s="478"/>
      <c r="EMT43" s="478"/>
      <c r="EMU43" s="478"/>
      <c r="EMV43" s="478"/>
      <c r="EMW43" s="478"/>
      <c r="EMX43" s="478"/>
      <c r="EMY43" s="478"/>
      <c r="EMZ43" s="478"/>
      <c r="ENA43" s="478"/>
      <c r="ENB43" s="478"/>
      <c r="ENC43" s="478"/>
      <c r="END43" s="478"/>
      <c r="ENE43" s="478"/>
      <c r="ENF43" s="478"/>
      <c r="ENG43" s="478"/>
      <c r="ENH43" s="478"/>
      <c r="ENI43" s="478"/>
      <c r="ENJ43" s="478"/>
      <c r="ENK43" s="478"/>
      <c r="ENL43" s="478"/>
      <c r="ENM43" s="478"/>
      <c r="ENN43" s="478"/>
      <c r="ENO43" s="478"/>
      <c r="ENP43" s="478"/>
      <c r="ENQ43" s="478"/>
      <c r="ENR43" s="478"/>
      <c r="ENS43" s="478"/>
      <c r="ENT43" s="478"/>
      <c r="ENU43" s="478"/>
      <c r="ENV43" s="478"/>
      <c r="ENW43" s="478"/>
      <c r="ENX43" s="478"/>
      <c r="ENY43" s="478"/>
      <c r="ENZ43" s="478"/>
      <c r="EOA43" s="478"/>
      <c r="EOB43" s="478"/>
      <c r="EOC43" s="478"/>
      <c r="EOD43" s="478"/>
      <c r="EOE43" s="478"/>
      <c r="EOF43" s="478"/>
      <c r="EOG43" s="478"/>
      <c r="EOH43" s="478"/>
      <c r="EOI43" s="478"/>
      <c r="EOJ43" s="478"/>
      <c r="EOK43" s="478"/>
      <c r="EOL43" s="478"/>
      <c r="EOM43" s="478"/>
      <c r="EON43" s="478"/>
      <c r="EOO43" s="478"/>
      <c r="EOP43" s="478"/>
      <c r="EOQ43" s="478"/>
      <c r="EOR43" s="478"/>
      <c r="EOS43" s="478"/>
      <c r="EOT43" s="478"/>
      <c r="EOU43" s="478"/>
      <c r="EOV43" s="478"/>
      <c r="EOW43" s="478"/>
      <c r="EOX43" s="478"/>
      <c r="EOY43" s="478"/>
      <c r="EOZ43" s="478"/>
      <c r="EPA43" s="478"/>
      <c r="EPB43" s="478"/>
      <c r="EPC43" s="478"/>
      <c r="EPD43" s="478"/>
      <c r="EPE43" s="478"/>
      <c r="EPF43" s="478"/>
      <c r="EPG43" s="478"/>
      <c r="EPH43" s="478"/>
      <c r="EPI43" s="478"/>
      <c r="EPJ43" s="478"/>
      <c r="EPK43" s="478"/>
      <c r="EPL43" s="478"/>
      <c r="EPM43" s="478"/>
      <c r="EPN43" s="478"/>
      <c r="EPO43" s="478"/>
      <c r="EPP43" s="478"/>
      <c r="EPQ43" s="478"/>
      <c r="EPR43" s="478"/>
      <c r="EPS43" s="478"/>
      <c r="EPT43" s="478"/>
      <c r="EPU43" s="478"/>
      <c r="EPV43" s="478"/>
      <c r="EPW43" s="478"/>
      <c r="EPX43" s="478"/>
      <c r="EPY43" s="478"/>
      <c r="EPZ43" s="478"/>
      <c r="EQA43" s="478"/>
      <c r="EQB43" s="478"/>
      <c r="EQC43" s="478"/>
      <c r="EQD43" s="478"/>
      <c r="EQE43" s="478"/>
      <c r="EQF43" s="478"/>
      <c r="EQG43" s="478"/>
      <c r="EQH43" s="478"/>
      <c r="EQI43" s="478"/>
      <c r="EQJ43" s="478"/>
      <c r="EQK43" s="478"/>
      <c r="EQL43" s="478"/>
      <c r="EQM43" s="478"/>
      <c r="EQN43" s="478"/>
      <c r="EQO43" s="478"/>
      <c r="EQP43" s="478"/>
      <c r="EQQ43" s="478"/>
      <c r="EQR43" s="478"/>
      <c r="EQS43" s="478"/>
      <c r="EQT43" s="478"/>
      <c r="EQU43" s="478"/>
      <c r="EQV43" s="478"/>
      <c r="EQW43" s="478"/>
      <c r="EQX43" s="478"/>
      <c r="EQY43" s="478"/>
      <c r="EQZ43" s="478"/>
      <c r="ERA43" s="478"/>
      <c r="ERB43" s="478"/>
      <c r="ERC43" s="478"/>
      <c r="ERD43" s="478"/>
      <c r="ERE43" s="478"/>
      <c r="ERF43" s="478"/>
      <c r="ERG43" s="478"/>
      <c r="ERH43" s="478"/>
      <c r="ERI43" s="478"/>
      <c r="ERJ43" s="478"/>
      <c r="ERK43" s="478"/>
      <c r="ERL43" s="478"/>
      <c r="ERM43" s="478"/>
      <c r="ERN43" s="478"/>
      <c r="ERO43" s="478"/>
      <c r="ERP43" s="478"/>
      <c r="ERQ43" s="478"/>
      <c r="ERR43" s="478"/>
      <c r="ERS43" s="478"/>
      <c r="ERT43" s="478"/>
      <c r="ERU43" s="478"/>
      <c r="ERV43" s="478"/>
      <c r="ERW43" s="478"/>
      <c r="ERX43" s="478"/>
      <c r="ERY43" s="478"/>
      <c r="ERZ43" s="478"/>
      <c r="ESA43" s="478"/>
      <c r="ESB43" s="478"/>
      <c r="ESC43" s="478"/>
      <c r="ESD43" s="478"/>
      <c r="ESE43" s="478"/>
      <c r="ESF43" s="478"/>
      <c r="ESG43" s="478"/>
      <c r="ESH43" s="478"/>
      <c r="ESI43" s="478"/>
      <c r="ESJ43" s="478"/>
      <c r="ESK43" s="478"/>
      <c r="ESL43" s="478"/>
      <c r="ESM43" s="478"/>
      <c r="ESN43" s="478"/>
      <c r="ESO43" s="478"/>
      <c r="ESP43" s="478"/>
      <c r="ESQ43" s="478"/>
      <c r="ESR43" s="478"/>
      <c r="ESS43" s="478"/>
      <c r="EST43" s="478"/>
      <c r="ESU43" s="478"/>
      <c r="ESV43" s="478"/>
      <c r="ESW43" s="478"/>
      <c r="ESX43" s="478"/>
      <c r="ESY43" s="478"/>
      <c r="ESZ43" s="478"/>
      <c r="ETA43" s="478"/>
      <c r="ETB43" s="478"/>
      <c r="ETC43" s="478"/>
      <c r="ETD43" s="478"/>
      <c r="ETE43" s="478"/>
      <c r="ETF43" s="478"/>
      <c r="ETG43" s="478"/>
      <c r="ETH43" s="478"/>
      <c r="ETI43" s="478"/>
      <c r="ETJ43" s="478"/>
      <c r="ETK43" s="478"/>
      <c r="ETL43" s="478"/>
      <c r="ETM43" s="478"/>
      <c r="ETN43" s="478"/>
      <c r="ETO43" s="478"/>
      <c r="ETP43" s="478"/>
      <c r="ETQ43" s="478"/>
      <c r="ETR43" s="478"/>
      <c r="ETS43" s="478"/>
      <c r="ETT43" s="478"/>
      <c r="ETU43" s="478"/>
      <c r="ETV43" s="478"/>
      <c r="ETW43" s="478"/>
      <c r="ETX43" s="478"/>
      <c r="ETY43" s="478"/>
      <c r="ETZ43" s="478"/>
      <c r="EUA43" s="478"/>
      <c r="EUB43" s="478"/>
      <c r="EUC43" s="478"/>
      <c r="EUD43" s="478"/>
      <c r="EUE43" s="478"/>
      <c r="EUF43" s="478"/>
      <c r="EUG43" s="478"/>
      <c r="EUH43" s="478"/>
      <c r="EUI43" s="478"/>
      <c r="EUJ43" s="478"/>
      <c r="EUK43" s="478"/>
      <c r="EUL43" s="478"/>
      <c r="EUM43" s="478"/>
      <c r="EUN43" s="478"/>
      <c r="EUO43" s="478"/>
      <c r="EUP43" s="478"/>
      <c r="EUQ43" s="478"/>
      <c r="EUR43" s="478"/>
      <c r="EUS43" s="478"/>
      <c r="EUT43" s="478"/>
      <c r="EUU43" s="478"/>
      <c r="EUV43" s="478"/>
      <c r="EUW43" s="478"/>
      <c r="EUX43" s="478"/>
      <c r="EUY43" s="478"/>
      <c r="EUZ43" s="478"/>
      <c r="EVA43" s="478"/>
      <c r="EVB43" s="478"/>
      <c r="EVC43" s="478"/>
      <c r="EVD43" s="478"/>
      <c r="EVE43" s="478"/>
      <c r="EVF43" s="478"/>
      <c r="EVG43" s="478"/>
      <c r="EVH43" s="478"/>
      <c r="EVI43" s="478"/>
      <c r="EVJ43" s="478"/>
      <c r="EVK43" s="478"/>
      <c r="EVL43" s="478"/>
      <c r="EVM43" s="478"/>
      <c r="EVN43" s="478"/>
      <c r="EVO43" s="478"/>
      <c r="EVP43" s="478"/>
      <c r="EVQ43" s="478"/>
      <c r="EVR43" s="478"/>
      <c r="EVS43" s="478"/>
      <c r="EVT43" s="478"/>
      <c r="EVU43" s="478"/>
      <c r="EVV43" s="478"/>
      <c r="EVW43" s="478"/>
      <c r="EVX43" s="478"/>
      <c r="EVY43" s="478"/>
      <c r="EVZ43" s="478"/>
      <c r="EWA43" s="478"/>
      <c r="EWB43" s="478"/>
      <c r="EWC43" s="478"/>
      <c r="EWD43" s="478"/>
      <c r="EWE43" s="478"/>
      <c r="EWF43" s="478"/>
      <c r="EWG43" s="478"/>
      <c r="EWH43" s="478"/>
      <c r="EWI43" s="478"/>
      <c r="EWJ43" s="478"/>
      <c r="EWK43" s="478"/>
      <c r="EWL43" s="478"/>
      <c r="EWM43" s="478"/>
      <c r="EWN43" s="478"/>
      <c r="EWO43" s="478"/>
      <c r="EWP43" s="478"/>
      <c r="EWQ43" s="478"/>
      <c r="EWR43" s="478"/>
      <c r="EWS43" s="478"/>
      <c r="EWT43" s="478"/>
      <c r="EWU43" s="478"/>
      <c r="EWV43" s="478"/>
      <c r="EWW43" s="478"/>
      <c r="EWX43" s="478"/>
      <c r="EWY43" s="478"/>
      <c r="EWZ43" s="478"/>
      <c r="EXA43" s="478"/>
      <c r="EXB43" s="478"/>
      <c r="EXC43" s="478"/>
      <c r="EXD43" s="478"/>
      <c r="EXE43" s="478"/>
      <c r="EXF43" s="478"/>
      <c r="EXG43" s="478"/>
      <c r="EXH43" s="478"/>
      <c r="EXI43" s="478"/>
      <c r="EXJ43" s="478"/>
      <c r="EXK43" s="478"/>
      <c r="EXL43" s="478"/>
      <c r="EXM43" s="478"/>
      <c r="EXN43" s="478"/>
      <c r="EXO43" s="478"/>
      <c r="EXP43" s="478"/>
      <c r="EXQ43" s="478"/>
      <c r="EXR43" s="478"/>
      <c r="EXS43" s="478"/>
      <c r="EXT43" s="478"/>
      <c r="EXU43" s="478"/>
      <c r="EXV43" s="478"/>
      <c r="EXW43" s="478"/>
      <c r="EXX43" s="478"/>
      <c r="EXY43" s="478"/>
      <c r="EXZ43" s="478"/>
      <c r="EYA43" s="478"/>
      <c r="EYB43" s="478"/>
      <c r="EYC43" s="478"/>
      <c r="EYD43" s="478"/>
      <c r="EYE43" s="478"/>
      <c r="EYF43" s="478"/>
      <c r="EYG43" s="478"/>
      <c r="EYH43" s="478"/>
      <c r="EYI43" s="478"/>
      <c r="EYJ43" s="478"/>
      <c r="EYK43" s="478"/>
      <c r="EYL43" s="478"/>
      <c r="EYM43" s="478"/>
      <c r="EYN43" s="478"/>
      <c r="EYO43" s="478"/>
      <c r="EYP43" s="478"/>
      <c r="EYQ43" s="478"/>
      <c r="EYR43" s="478"/>
      <c r="EYS43" s="478"/>
      <c r="EYT43" s="478"/>
      <c r="EYU43" s="478"/>
      <c r="EYV43" s="478"/>
      <c r="EYW43" s="478"/>
      <c r="EYX43" s="478"/>
      <c r="EYY43" s="478"/>
      <c r="EYZ43" s="478"/>
      <c r="EZA43" s="478"/>
      <c r="EZB43" s="478"/>
      <c r="EZC43" s="478"/>
      <c r="EZD43" s="478"/>
      <c r="EZE43" s="478"/>
      <c r="EZF43" s="478"/>
      <c r="EZG43" s="478"/>
      <c r="EZH43" s="478"/>
      <c r="EZI43" s="478"/>
      <c r="EZJ43" s="478"/>
      <c r="EZK43" s="478"/>
      <c r="EZL43" s="478"/>
      <c r="EZM43" s="478"/>
      <c r="EZN43" s="478"/>
      <c r="EZO43" s="478"/>
      <c r="EZP43" s="478"/>
      <c r="EZQ43" s="478"/>
      <c r="EZR43" s="478"/>
      <c r="EZS43" s="478"/>
      <c r="EZT43" s="478"/>
      <c r="EZU43" s="478"/>
      <c r="EZV43" s="478"/>
      <c r="EZW43" s="478"/>
      <c r="EZX43" s="478"/>
      <c r="EZY43" s="478"/>
      <c r="EZZ43" s="478"/>
      <c r="FAA43" s="478"/>
      <c r="FAB43" s="478"/>
      <c r="FAC43" s="478"/>
      <c r="FAD43" s="478"/>
      <c r="FAE43" s="478"/>
      <c r="FAF43" s="478"/>
      <c r="FAG43" s="478"/>
      <c r="FAH43" s="478"/>
      <c r="FAI43" s="478"/>
      <c r="FAJ43" s="478"/>
      <c r="FAK43" s="478"/>
      <c r="FAL43" s="478"/>
      <c r="FAM43" s="478"/>
      <c r="FAN43" s="478"/>
      <c r="FAO43" s="478"/>
      <c r="FAP43" s="478"/>
      <c r="FAQ43" s="478"/>
      <c r="FAR43" s="478"/>
      <c r="FAS43" s="478"/>
      <c r="FAT43" s="478"/>
      <c r="FAU43" s="478"/>
      <c r="FAV43" s="478"/>
      <c r="FAW43" s="478"/>
      <c r="FAX43" s="478"/>
      <c r="FAY43" s="478"/>
      <c r="FAZ43" s="478"/>
      <c r="FBA43" s="478"/>
      <c r="FBB43" s="478"/>
      <c r="FBC43" s="478"/>
      <c r="FBD43" s="478"/>
      <c r="FBE43" s="478"/>
      <c r="FBF43" s="478"/>
      <c r="FBG43" s="478"/>
      <c r="FBH43" s="478"/>
      <c r="FBI43" s="478"/>
      <c r="FBJ43" s="478"/>
      <c r="FBK43" s="478"/>
      <c r="FBL43" s="478"/>
      <c r="FBM43" s="478"/>
      <c r="FBN43" s="478"/>
      <c r="FBO43" s="478"/>
      <c r="FBP43" s="478"/>
      <c r="FBQ43" s="478"/>
      <c r="FBR43" s="478"/>
      <c r="FBS43" s="478"/>
      <c r="FBT43" s="478"/>
      <c r="FBU43" s="478"/>
      <c r="FBV43" s="478"/>
      <c r="FBW43" s="478"/>
      <c r="FBX43" s="478"/>
      <c r="FBY43" s="478"/>
      <c r="FBZ43" s="478"/>
      <c r="FCA43" s="478"/>
      <c r="FCB43" s="478"/>
      <c r="FCC43" s="478"/>
      <c r="FCD43" s="478"/>
      <c r="FCE43" s="478"/>
      <c r="FCF43" s="478"/>
      <c r="FCG43" s="478"/>
      <c r="FCH43" s="478"/>
      <c r="FCI43" s="478"/>
      <c r="FCJ43" s="478"/>
      <c r="FCK43" s="478"/>
      <c r="FCL43" s="478"/>
      <c r="FCM43" s="478"/>
      <c r="FCN43" s="478"/>
      <c r="FCO43" s="478"/>
      <c r="FCP43" s="478"/>
      <c r="FCQ43" s="478"/>
      <c r="FCR43" s="478"/>
      <c r="FCS43" s="478"/>
      <c r="FCT43" s="478"/>
      <c r="FCU43" s="478"/>
      <c r="FCV43" s="478"/>
      <c r="FCW43" s="478"/>
      <c r="FCX43" s="478"/>
      <c r="FCY43" s="478"/>
      <c r="FCZ43" s="478"/>
      <c r="FDA43" s="478"/>
      <c r="FDB43" s="478"/>
      <c r="FDC43" s="478"/>
      <c r="FDD43" s="478"/>
      <c r="FDE43" s="478"/>
      <c r="FDF43" s="478"/>
      <c r="FDG43" s="478"/>
      <c r="FDH43" s="478"/>
      <c r="FDI43" s="478"/>
      <c r="FDJ43" s="478"/>
      <c r="FDK43" s="478"/>
      <c r="FDL43" s="478"/>
      <c r="FDM43" s="478"/>
      <c r="FDN43" s="478"/>
      <c r="FDO43" s="478"/>
      <c r="FDP43" s="478"/>
      <c r="FDQ43" s="478"/>
      <c r="FDR43" s="478"/>
      <c r="FDS43" s="478"/>
      <c r="FDT43" s="478"/>
      <c r="FDU43" s="478"/>
      <c r="FDV43" s="478"/>
      <c r="FDW43" s="478"/>
      <c r="FDX43" s="478"/>
      <c r="FDY43" s="478"/>
      <c r="FDZ43" s="478"/>
      <c r="FEA43" s="478"/>
      <c r="FEB43" s="478"/>
      <c r="FEC43" s="478"/>
      <c r="FED43" s="478"/>
      <c r="FEE43" s="478"/>
      <c r="FEF43" s="478"/>
      <c r="FEG43" s="478"/>
      <c r="FEH43" s="478"/>
      <c r="FEI43" s="478"/>
      <c r="FEJ43" s="478"/>
      <c r="FEK43" s="478"/>
      <c r="FEL43" s="478"/>
      <c r="FEM43" s="478"/>
      <c r="FEN43" s="478"/>
      <c r="FEO43" s="478"/>
      <c r="FEP43" s="478"/>
      <c r="FEQ43" s="478"/>
      <c r="FER43" s="478"/>
      <c r="FES43" s="478"/>
      <c r="FET43" s="478"/>
      <c r="FEU43" s="478"/>
      <c r="FEV43" s="478"/>
      <c r="FEW43" s="478"/>
      <c r="FEX43" s="478"/>
      <c r="FEY43" s="478"/>
      <c r="FEZ43" s="478"/>
      <c r="FFA43" s="478"/>
      <c r="FFB43" s="478"/>
      <c r="FFC43" s="478"/>
      <c r="FFD43" s="478"/>
      <c r="FFE43" s="478"/>
      <c r="FFF43" s="478"/>
      <c r="FFG43" s="478"/>
      <c r="FFH43" s="478"/>
      <c r="FFI43" s="478"/>
      <c r="FFJ43" s="478"/>
      <c r="FFK43" s="478"/>
      <c r="FFL43" s="478"/>
      <c r="FFM43" s="478"/>
      <c r="FFN43" s="478"/>
      <c r="FFO43" s="478"/>
      <c r="FFP43" s="478"/>
      <c r="FFQ43" s="478"/>
      <c r="FFR43" s="478"/>
      <c r="FFS43" s="478"/>
      <c r="FFT43" s="478"/>
      <c r="FFU43" s="478"/>
      <c r="FFV43" s="478"/>
      <c r="FFW43" s="478"/>
      <c r="FFX43" s="478"/>
      <c r="FFY43" s="478"/>
      <c r="FFZ43" s="478"/>
      <c r="FGA43" s="478"/>
      <c r="FGB43" s="478"/>
      <c r="FGC43" s="478"/>
      <c r="FGD43" s="478"/>
      <c r="FGE43" s="478"/>
      <c r="FGF43" s="478"/>
      <c r="FGG43" s="478"/>
      <c r="FGH43" s="478"/>
      <c r="FGI43" s="478"/>
      <c r="FGJ43" s="478"/>
      <c r="FGK43" s="478"/>
      <c r="FGL43" s="478"/>
      <c r="FGM43" s="478"/>
      <c r="FGN43" s="478"/>
      <c r="FGO43" s="478"/>
      <c r="FGP43" s="478"/>
      <c r="FGQ43" s="478"/>
      <c r="FGR43" s="478"/>
      <c r="FGS43" s="478"/>
      <c r="FGT43" s="478"/>
      <c r="FGU43" s="478"/>
      <c r="FGV43" s="478"/>
      <c r="FGW43" s="478"/>
      <c r="FGX43" s="478"/>
      <c r="FGY43" s="478"/>
      <c r="FGZ43" s="478"/>
      <c r="FHA43" s="478"/>
      <c r="FHB43" s="478"/>
      <c r="FHC43" s="478"/>
      <c r="FHD43" s="478"/>
      <c r="FHE43" s="478"/>
      <c r="FHF43" s="478"/>
      <c r="FHG43" s="478"/>
      <c r="FHH43" s="478"/>
      <c r="FHI43" s="478"/>
      <c r="FHJ43" s="478"/>
      <c r="FHK43" s="478"/>
      <c r="FHL43" s="478"/>
      <c r="FHM43" s="478"/>
      <c r="FHN43" s="478"/>
      <c r="FHO43" s="478"/>
      <c r="FHP43" s="478"/>
      <c r="FHQ43" s="478"/>
      <c r="FHR43" s="478"/>
      <c r="FHS43" s="478"/>
      <c r="FHT43" s="478"/>
      <c r="FHU43" s="478"/>
      <c r="FHV43" s="478"/>
      <c r="FHW43" s="478"/>
      <c r="FHX43" s="478"/>
      <c r="FHY43" s="478"/>
      <c r="FHZ43" s="478"/>
      <c r="FIA43" s="478"/>
      <c r="FIB43" s="478"/>
      <c r="FIC43" s="478"/>
      <c r="FID43" s="478"/>
      <c r="FIE43" s="478"/>
      <c r="FIF43" s="478"/>
      <c r="FIG43" s="478"/>
      <c r="FIH43" s="478"/>
      <c r="FII43" s="478"/>
      <c r="FIJ43" s="478"/>
      <c r="FIK43" s="478"/>
      <c r="FIL43" s="478"/>
      <c r="FIM43" s="478"/>
      <c r="FIN43" s="478"/>
      <c r="FIO43" s="478"/>
      <c r="FIP43" s="478"/>
      <c r="FIQ43" s="478"/>
      <c r="FIR43" s="478"/>
      <c r="FIS43" s="478"/>
      <c r="FIT43" s="478"/>
      <c r="FIU43" s="478"/>
      <c r="FIV43" s="478"/>
      <c r="FIW43" s="478"/>
      <c r="FIX43" s="478"/>
      <c r="FIY43" s="478"/>
      <c r="FIZ43" s="478"/>
      <c r="FJA43" s="478"/>
      <c r="FJB43" s="478"/>
      <c r="FJC43" s="478"/>
      <c r="FJD43" s="478"/>
      <c r="FJE43" s="478"/>
      <c r="FJF43" s="478"/>
      <c r="FJG43" s="478"/>
      <c r="FJH43" s="478"/>
      <c r="FJI43" s="478"/>
      <c r="FJJ43" s="478"/>
      <c r="FJK43" s="478"/>
      <c r="FJL43" s="478"/>
      <c r="FJM43" s="478"/>
      <c r="FJN43" s="478"/>
      <c r="FJO43" s="478"/>
      <c r="FJP43" s="478"/>
      <c r="FJQ43" s="478"/>
      <c r="FJR43" s="478"/>
      <c r="FJS43" s="478"/>
      <c r="FJT43" s="478"/>
      <c r="FJU43" s="478"/>
      <c r="FJV43" s="478"/>
      <c r="FJW43" s="478"/>
      <c r="FJX43" s="478"/>
      <c r="FJY43" s="478"/>
      <c r="FJZ43" s="478"/>
      <c r="FKA43" s="478"/>
      <c r="FKB43" s="478"/>
      <c r="FKC43" s="478"/>
      <c r="FKD43" s="478"/>
      <c r="FKE43" s="478"/>
      <c r="FKF43" s="478"/>
      <c r="FKG43" s="478"/>
      <c r="FKH43" s="478"/>
      <c r="FKI43" s="478"/>
      <c r="FKJ43" s="478"/>
      <c r="FKK43" s="478"/>
      <c r="FKL43" s="478"/>
      <c r="FKM43" s="478"/>
      <c r="FKN43" s="478"/>
      <c r="FKO43" s="478"/>
      <c r="FKP43" s="478"/>
      <c r="FKQ43" s="478"/>
      <c r="FKR43" s="478"/>
      <c r="FKS43" s="478"/>
      <c r="FKT43" s="478"/>
      <c r="FKU43" s="478"/>
      <c r="FKV43" s="478"/>
      <c r="FKW43" s="478"/>
      <c r="FKX43" s="478"/>
      <c r="FKY43" s="478"/>
      <c r="FKZ43" s="478"/>
      <c r="FLA43" s="478"/>
      <c r="FLB43" s="478"/>
      <c r="FLC43" s="478"/>
      <c r="FLD43" s="478"/>
      <c r="FLE43" s="478"/>
      <c r="FLF43" s="478"/>
      <c r="FLG43" s="478"/>
      <c r="FLH43" s="478"/>
      <c r="FLI43" s="478"/>
      <c r="FLJ43" s="478"/>
      <c r="FLK43" s="478"/>
      <c r="FLL43" s="478"/>
      <c r="FLM43" s="478"/>
      <c r="FLN43" s="478"/>
      <c r="FLO43" s="478"/>
      <c r="FLP43" s="478"/>
      <c r="FLQ43" s="478"/>
      <c r="FLR43" s="478"/>
      <c r="FLS43" s="478"/>
      <c r="FLT43" s="478"/>
      <c r="FLU43" s="478"/>
      <c r="FLV43" s="478"/>
      <c r="FLW43" s="478"/>
      <c r="FLX43" s="478"/>
      <c r="FLY43" s="478"/>
      <c r="FLZ43" s="478"/>
      <c r="FMA43" s="478"/>
      <c r="FMB43" s="478"/>
      <c r="FMC43" s="478"/>
      <c r="FMD43" s="478"/>
      <c r="FME43" s="478"/>
      <c r="FMF43" s="478"/>
      <c r="FMG43" s="478"/>
      <c r="FMH43" s="478"/>
      <c r="FMI43" s="478"/>
      <c r="FMJ43" s="478"/>
      <c r="FMK43" s="478"/>
      <c r="FML43" s="478"/>
      <c r="FMM43" s="478"/>
      <c r="FMN43" s="478"/>
      <c r="FMO43" s="478"/>
      <c r="FMP43" s="478"/>
      <c r="FMQ43" s="478"/>
      <c r="FMR43" s="478"/>
      <c r="FMS43" s="478"/>
      <c r="FMT43" s="478"/>
      <c r="FMU43" s="478"/>
      <c r="FMV43" s="478"/>
      <c r="FMW43" s="478"/>
      <c r="FMX43" s="478"/>
      <c r="FMY43" s="478"/>
      <c r="FMZ43" s="478"/>
      <c r="FNA43" s="478"/>
      <c r="FNB43" s="478"/>
      <c r="FNC43" s="478"/>
      <c r="FND43" s="478"/>
      <c r="FNE43" s="478"/>
      <c r="FNF43" s="478"/>
      <c r="FNG43" s="478"/>
      <c r="FNH43" s="478"/>
      <c r="FNI43" s="478"/>
      <c r="FNJ43" s="478"/>
      <c r="FNK43" s="478"/>
      <c r="FNL43" s="478"/>
      <c r="FNM43" s="478"/>
      <c r="FNN43" s="478"/>
      <c r="FNO43" s="478"/>
      <c r="FNP43" s="478"/>
      <c r="FNQ43" s="478"/>
      <c r="FNR43" s="478"/>
      <c r="FNS43" s="478"/>
      <c r="FNT43" s="478"/>
      <c r="FNU43" s="478"/>
      <c r="FNV43" s="478"/>
      <c r="FNW43" s="478"/>
      <c r="FNX43" s="478"/>
      <c r="FNY43" s="478"/>
      <c r="FNZ43" s="478"/>
      <c r="FOA43" s="478"/>
      <c r="FOB43" s="478"/>
      <c r="FOC43" s="478"/>
      <c r="FOD43" s="478"/>
      <c r="FOE43" s="478"/>
      <c r="FOF43" s="478"/>
      <c r="FOG43" s="478"/>
      <c r="FOH43" s="478"/>
      <c r="FOI43" s="478"/>
      <c r="FOJ43" s="478"/>
      <c r="FOK43" s="478"/>
      <c r="FOL43" s="478"/>
      <c r="FOM43" s="478"/>
      <c r="FON43" s="478"/>
      <c r="FOO43" s="478"/>
      <c r="FOP43" s="478"/>
      <c r="FOQ43" s="478"/>
      <c r="FOR43" s="478"/>
      <c r="FOS43" s="478"/>
      <c r="FOT43" s="478"/>
      <c r="FOU43" s="478"/>
      <c r="FOV43" s="478"/>
      <c r="FOW43" s="478"/>
      <c r="FOX43" s="478"/>
      <c r="FOY43" s="478"/>
      <c r="FOZ43" s="478"/>
      <c r="FPA43" s="478"/>
      <c r="FPB43" s="478"/>
      <c r="FPC43" s="478"/>
      <c r="FPD43" s="478"/>
      <c r="FPE43" s="478"/>
      <c r="FPF43" s="478"/>
      <c r="FPG43" s="478"/>
      <c r="FPH43" s="478"/>
      <c r="FPI43" s="478"/>
      <c r="FPJ43" s="478"/>
      <c r="FPK43" s="478"/>
      <c r="FPL43" s="478"/>
      <c r="FPM43" s="478"/>
      <c r="FPN43" s="478"/>
      <c r="FPO43" s="478"/>
      <c r="FPP43" s="478"/>
      <c r="FPQ43" s="478"/>
      <c r="FPR43" s="478"/>
      <c r="FPS43" s="478"/>
      <c r="FPT43" s="478"/>
      <c r="FPU43" s="478"/>
      <c r="FPV43" s="478"/>
      <c r="FPW43" s="478"/>
      <c r="FPX43" s="478"/>
      <c r="FPY43" s="478"/>
      <c r="FPZ43" s="478"/>
      <c r="FQA43" s="478"/>
      <c r="FQB43" s="478"/>
      <c r="FQC43" s="478"/>
      <c r="FQD43" s="478"/>
      <c r="FQE43" s="478"/>
      <c r="FQF43" s="478"/>
      <c r="FQG43" s="478"/>
      <c r="FQH43" s="478"/>
      <c r="FQI43" s="478"/>
      <c r="FQJ43" s="478"/>
      <c r="FQK43" s="478"/>
      <c r="FQL43" s="478"/>
      <c r="FQM43" s="478"/>
      <c r="FQN43" s="478"/>
      <c r="FQO43" s="478"/>
      <c r="FQP43" s="478"/>
      <c r="FQQ43" s="478"/>
      <c r="FQR43" s="478"/>
      <c r="FQS43" s="478"/>
      <c r="FQT43" s="478"/>
      <c r="FQU43" s="478"/>
      <c r="FQV43" s="478"/>
      <c r="FQW43" s="478"/>
      <c r="FQX43" s="478"/>
      <c r="FQY43" s="478"/>
      <c r="FQZ43" s="478"/>
      <c r="FRA43" s="478"/>
      <c r="FRB43" s="478"/>
      <c r="FRC43" s="478"/>
      <c r="FRD43" s="478"/>
      <c r="FRE43" s="478"/>
      <c r="FRF43" s="478"/>
      <c r="FRG43" s="478"/>
      <c r="FRH43" s="478"/>
      <c r="FRI43" s="478"/>
      <c r="FRJ43" s="478"/>
      <c r="FRK43" s="478"/>
      <c r="FRL43" s="478"/>
      <c r="FRM43" s="478"/>
      <c r="FRN43" s="478"/>
      <c r="FRO43" s="478"/>
      <c r="FRP43" s="478"/>
      <c r="FRQ43" s="478"/>
      <c r="FRR43" s="478"/>
      <c r="FRS43" s="478"/>
      <c r="FRT43" s="478"/>
      <c r="FRU43" s="478"/>
      <c r="FRV43" s="478"/>
      <c r="FRW43" s="478"/>
      <c r="FRX43" s="478"/>
      <c r="FRY43" s="478"/>
      <c r="FRZ43" s="478"/>
      <c r="FSA43" s="478"/>
      <c r="FSB43" s="478"/>
      <c r="FSC43" s="478"/>
      <c r="FSD43" s="478"/>
      <c r="FSE43" s="478"/>
      <c r="FSF43" s="478"/>
      <c r="FSG43" s="478"/>
      <c r="FSH43" s="478"/>
      <c r="FSI43" s="478"/>
      <c r="FSJ43" s="478"/>
      <c r="FSK43" s="478"/>
      <c r="FSL43" s="478"/>
      <c r="FSM43" s="478"/>
      <c r="FSN43" s="478"/>
      <c r="FSO43" s="478"/>
      <c r="FSP43" s="478"/>
      <c r="FSQ43" s="478"/>
      <c r="FSR43" s="478"/>
      <c r="FSS43" s="478"/>
      <c r="FST43" s="478"/>
      <c r="FSU43" s="478"/>
      <c r="FSV43" s="478"/>
      <c r="FSW43" s="478"/>
      <c r="FSX43" s="478"/>
      <c r="FSY43" s="478"/>
      <c r="FSZ43" s="478"/>
      <c r="FTA43" s="478"/>
      <c r="FTB43" s="478"/>
      <c r="FTC43" s="478"/>
      <c r="FTD43" s="478"/>
      <c r="FTE43" s="478"/>
      <c r="FTF43" s="478"/>
      <c r="FTG43" s="478"/>
      <c r="FTH43" s="478"/>
      <c r="FTI43" s="478"/>
      <c r="FTJ43" s="478"/>
      <c r="FTK43" s="478"/>
      <c r="FTL43" s="478"/>
      <c r="FTM43" s="478"/>
      <c r="FTN43" s="478"/>
      <c r="FTO43" s="478"/>
      <c r="FTP43" s="478"/>
      <c r="FTQ43" s="478"/>
      <c r="FTR43" s="478"/>
      <c r="FTS43" s="478"/>
      <c r="FTT43" s="478"/>
      <c r="FTU43" s="478"/>
      <c r="FTV43" s="478"/>
      <c r="FTW43" s="478"/>
      <c r="FTX43" s="478"/>
      <c r="FTY43" s="478"/>
      <c r="FTZ43" s="478"/>
      <c r="FUA43" s="478"/>
      <c r="FUB43" s="478"/>
      <c r="FUC43" s="478"/>
      <c r="FUD43" s="478"/>
      <c r="FUE43" s="478"/>
      <c r="FUF43" s="478"/>
      <c r="FUG43" s="478"/>
      <c r="FUH43" s="478"/>
      <c r="FUI43" s="478"/>
      <c r="FUJ43" s="478"/>
      <c r="FUK43" s="478"/>
      <c r="FUL43" s="478"/>
      <c r="FUM43" s="478"/>
      <c r="FUN43" s="478"/>
      <c r="FUO43" s="478"/>
      <c r="FUP43" s="478"/>
      <c r="FUQ43" s="478"/>
      <c r="FUR43" s="478"/>
      <c r="FUS43" s="478"/>
      <c r="FUT43" s="478"/>
      <c r="FUU43" s="478"/>
      <c r="FUV43" s="478"/>
      <c r="FUW43" s="478"/>
      <c r="FUX43" s="478"/>
      <c r="FUY43" s="478"/>
      <c r="FUZ43" s="478"/>
      <c r="FVA43" s="478"/>
      <c r="FVB43" s="478"/>
      <c r="FVC43" s="478"/>
      <c r="FVD43" s="478"/>
      <c r="FVE43" s="478"/>
      <c r="FVF43" s="478"/>
      <c r="FVG43" s="478"/>
      <c r="FVH43" s="478"/>
      <c r="FVI43" s="478"/>
      <c r="FVJ43" s="478"/>
      <c r="FVK43" s="478"/>
      <c r="FVL43" s="478"/>
      <c r="FVM43" s="478"/>
      <c r="FVN43" s="478"/>
      <c r="FVO43" s="478"/>
      <c r="FVP43" s="478"/>
      <c r="FVQ43" s="478"/>
      <c r="FVR43" s="478"/>
      <c r="FVS43" s="478"/>
      <c r="FVT43" s="478"/>
      <c r="FVU43" s="478"/>
      <c r="FVV43" s="478"/>
      <c r="FVW43" s="478"/>
      <c r="FVX43" s="478"/>
      <c r="FVY43" s="478"/>
      <c r="FVZ43" s="478"/>
      <c r="FWA43" s="478"/>
      <c r="FWB43" s="478"/>
      <c r="FWC43" s="478"/>
      <c r="FWD43" s="478"/>
      <c r="FWE43" s="478"/>
      <c r="FWF43" s="478"/>
      <c r="FWG43" s="478"/>
      <c r="FWH43" s="478"/>
      <c r="FWI43" s="478"/>
      <c r="FWJ43" s="478"/>
      <c r="FWK43" s="478"/>
      <c r="FWL43" s="478"/>
      <c r="FWM43" s="478"/>
      <c r="FWN43" s="478"/>
      <c r="FWO43" s="478"/>
      <c r="FWP43" s="478"/>
      <c r="FWQ43" s="478"/>
      <c r="FWR43" s="478"/>
      <c r="FWS43" s="478"/>
      <c r="FWT43" s="478"/>
      <c r="FWU43" s="478"/>
      <c r="FWV43" s="478"/>
      <c r="FWW43" s="478"/>
      <c r="FWX43" s="478"/>
      <c r="FWY43" s="478"/>
      <c r="FWZ43" s="478"/>
      <c r="FXA43" s="478"/>
      <c r="FXB43" s="478"/>
      <c r="FXC43" s="478"/>
      <c r="FXD43" s="478"/>
      <c r="FXE43" s="478"/>
      <c r="FXF43" s="478"/>
      <c r="FXG43" s="478"/>
      <c r="FXH43" s="478"/>
      <c r="FXI43" s="478"/>
      <c r="FXJ43" s="478"/>
      <c r="FXK43" s="478"/>
      <c r="FXL43" s="478"/>
      <c r="FXM43" s="478"/>
      <c r="FXN43" s="478"/>
      <c r="FXO43" s="478"/>
      <c r="FXP43" s="478"/>
      <c r="FXQ43" s="478"/>
      <c r="FXR43" s="478"/>
      <c r="FXS43" s="478"/>
      <c r="FXT43" s="478"/>
      <c r="FXU43" s="478"/>
      <c r="FXV43" s="478"/>
      <c r="FXW43" s="478"/>
      <c r="FXX43" s="478"/>
      <c r="FXY43" s="478"/>
      <c r="FXZ43" s="478"/>
      <c r="FYA43" s="478"/>
      <c r="FYB43" s="478"/>
      <c r="FYC43" s="478"/>
      <c r="FYD43" s="478"/>
      <c r="FYE43" s="478"/>
      <c r="FYF43" s="478"/>
      <c r="FYG43" s="478"/>
      <c r="FYH43" s="478"/>
      <c r="FYI43" s="478"/>
      <c r="FYJ43" s="478"/>
      <c r="FYK43" s="478"/>
      <c r="FYL43" s="478"/>
      <c r="FYM43" s="478"/>
      <c r="FYN43" s="478"/>
      <c r="FYO43" s="478"/>
      <c r="FYP43" s="478"/>
      <c r="FYQ43" s="478"/>
      <c r="FYR43" s="478"/>
      <c r="FYS43" s="478"/>
      <c r="FYT43" s="478"/>
      <c r="FYU43" s="478"/>
      <c r="FYV43" s="478"/>
      <c r="FYW43" s="478"/>
      <c r="FYX43" s="478"/>
      <c r="FYY43" s="478"/>
      <c r="FYZ43" s="478"/>
      <c r="FZA43" s="478"/>
      <c r="FZB43" s="478"/>
      <c r="FZC43" s="478"/>
      <c r="FZD43" s="478"/>
      <c r="FZE43" s="478"/>
      <c r="FZF43" s="478"/>
      <c r="FZG43" s="478"/>
      <c r="FZH43" s="478"/>
      <c r="FZI43" s="478"/>
      <c r="FZJ43" s="478"/>
      <c r="FZK43" s="478"/>
      <c r="FZL43" s="478"/>
      <c r="FZM43" s="478"/>
      <c r="FZN43" s="478"/>
      <c r="FZO43" s="478"/>
      <c r="FZP43" s="478"/>
      <c r="FZQ43" s="478"/>
      <c r="FZR43" s="478"/>
      <c r="FZS43" s="478"/>
      <c r="FZT43" s="478"/>
      <c r="FZU43" s="478"/>
      <c r="FZV43" s="478"/>
      <c r="FZW43" s="478"/>
      <c r="FZX43" s="478"/>
      <c r="FZY43" s="478"/>
      <c r="FZZ43" s="478"/>
      <c r="GAA43" s="478"/>
      <c r="GAB43" s="478"/>
      <c r="GAC43" s="478"/>
      <c r="GAD43" s="478"/>
      <c r="GAE43" s="478"/>
      <c r="GAF43" s="478"/>
      <c r="GAG43" s="478"/>
      <c r="GAH43" s="478"/>
      <c r="GAI43" s="478"/>
      <c r="GAJ43" s="478"/>
      <c r="GAK43" s="478"/>
      <c r="GAL43" s="478"/>
      <c r="GAM43" s="478"/>
      <c r="GAN43" s="478"/>
      <c r="GAO43" s="478"/>
      <c r="GAP43" s="478"/>
      <c r="GAQ43" s="478"/>
      <c r="GAR43" s="478"/>
      <c r="GAS43" s="478"/>
      <c r="GAT43" s="478"/>
      <c r="GAU43" s="478"/>
      <c r="GAV43" s="478"/>
      <c r="GAW43" s="478"/>
      <c r="GAX43" s="478"/>
      <c r="GAY43" s="478"/>
      <c r="GAZ43" s="478"/>
      <c r="GBA43" s="478"/>
      <c r="GBB43" s="478"/>
      <c r="GBC43" s="478"/>
      <c r="GBD43" s="478"/>
      <c r="GBE43" s="478"/>
      <c r="GBF43" s="478"/>
      <c r="GBG43" s="478"/>
      <c r="GBH43" s="478"/>
      <c r="GBI43" s="478"/>
      <c r="GBJ43" s="478"/>
      <c r="GBK43" s="478"/>
      <c r="GBL43" s="478"/>
      <c r="GBM43" s="478"/>
      <c r="GBN43" s="478"/>
      <c r="GBO43" s="478"/>
      <c r="GBP43" s="478"/>
      <c r="GBQ43" s="478"/>
      <c r="GBR43" s="478"/>
      <c r="GBS43" s="478"/>
      <c r="GBT43" s="478"/>
      <c r="GBU43" s="478"/>
      <c r="GBV43" s="478"/>
      <c r="GBW43" s="478"/>
      <c r="GBX43" s="478"/>
      <c r="GBY43" s="478"/>
      <c r="GBZ43" s="478"/>
      <c r="GCA43" s="478"/>
      <c r="GCB43" s="478"/>
      <c r="GCC43" s="478"/>
      <c r="GCD43" s="478"/>
      <c r="GCE43" s="478"/>
      <c r="GCF43" s="478"/>
      <c r="GCG43" s="478"/>
      <c r="GCH43" s="478"/>
      <c r="GCI43" s="478"/>
      <c r="GCJ43" s="478"/>
      <c r="GCK43" s="478"/>
      <c r="GCL43" s="478"/>
      <c r="GCM43" s="478"/>
      <c r="GCN43" s="478"/>
      <c r="GCO43" s="478"/>
      <c r="GCP43" s="478"/>
      <c r="GCQ43" s="478"/>
      <c r="GCR43" s="478"/>
      <c r="GCS43" s="478"/>
      <c r="GCT43" s="478"/>
      <c r="GCU43" s="478"/>
      <c r="GCV43" s="478"/>
      <c r="GCW43" s="478"/>
      <c r="GCX43" s="478"/>
      <c r="GCY43" s="478"/>
      <c r="GCZ43" s="478"/>
      <c r="GDA43" s="478"/>
      <c r="GDB43" s="478"/>
      <c r="GDC43" s="478"/>
      <c r="GDD43" s="478"/>
      <c r="GDE43" s="478"/>
      <c r="GDF43" s="478"/>
      <c r="GDG43" s="478"/>
      <c r="GDH43" s="478"/>
      <c r="GDI43" s="478"/>
      <c r="GDJ43" s="478"/>
      <c r="GDK43" s="478"/>
      <c r="GDL43" s="478"/>
      <c r="GDM43" s="478"/>
      <c r="GDN43" s="478"/>
      <c r="GDO43" s="478"/>
      <c r="GDP43" s="478"/>
      <c r="GDQ43" s="478"/>
      <c r="GDR43" s="478"/>
      <c r="GDS43" s="478"/>
      <c r="GDT43" s="478"/>
      <c r="GDU43" s="478"/>
      <c r="GDV43" s="478"/>
      <c r="GDW43" s="478"/>
      <c r="GDX43" s="478"/>
      <c r="GDY43" s="478"/>
      <c r="GDZ43" s="478"/>
      <c r="GEA43" s="478"/>
      <c r="GEB43" s="478"/>
      <c r="GEC43" s="478"/>
      <c r="GED43" s="478"/>
      <c r="GEE43" s="478"/>
      <c r="GEF43" s="478"/>
      <c r="GEG43" s="478"/>
      <c r="GEH43" s="478"/>
      <c r="GEI43" s="478"/>
      <c r="GEJ43" s="478"/>
      <c r="GEK43" s="478"/>
      <c r="GEL43" s="478"/>
      <c r="GEM43" s="478"/>
      <c r="GEN43" s="478"/>
      <c r="GEO43" s="478"/>
      <c r="GEP43" s="478"/>
      <c r="GEQ43" s="478"/>
      <c r="GER43" s="478"/>
      <c r="GES43" s="478"/>
      <c r="GET43" s="478"/>
      <c r="GEU43" s="478"/>
      <c r="GEV43" s="478"/>
      <c r="GEW43" s="478"/>
      <c r="GEX43" s="478"/>
      <c r="GEY43" s="478"/>
      <c r="GEZ43" s="478"/>
      <c r="GFA43" s="478"/>
      <c r="GFB43" s="478"/>
      <c r="GFC43" s="478"/>
      <c r="GFD43" s="478"/>
      <c r="GFE43" s="478"/>
      <c r="GFF43" s="478"/>
      <c r="GFG43" s="478"/>
      <c r="GFH43" s="478"/>
      <c r="GFI43" s="478"/>
      <c r="GFJ43" s="478"/>
      <c r="GFK43" s="478"/>
      <c r="GFL43" s="478"/>
      <c r="GFM43" s="478"/>
      <c r="GFN43" s="478"/>
      <c r="GFO43" s="478"/>
      <c r="GFP43" s="478"/>
      <c r="GFQ43" s="478"/>
      <c r="GFR43" s="478"/>
      <c r="GFS43" s="478"/>
      <c r="GFT43" s="478"/>
      <c r="GFU43" s="478"/>
      <c r="GFV43" s="478"/>
      <c r="GFW43" s="478"/>
      <c r="GFX43" s="478"/>
      <c r="GFY43" s="478"/>
      <c r="GFZ43" s="478"/>
      <c r="GGA43" s="478"/>
      <c r="GGB43" s="478"/>
      <c r="GGC43" s="478"/>
      <c r="GGD43" s="478"/>
      <c r="GGE43" s="478"/>
      <c r="GGF43" s="478"/>
      <c r="GGG43" s="478"/>
      <c r="GGH43" s="478"/>
      <c r="GGI43" s="478"/>
      <c r="GGJ43" s="478"/>
      <c r="GGK43" s="478"/>
      <c r="GGL43" s="478"/>
      <c r="GGM43" s="478"/>
      <c r="GGN43" s="478"/>
      <c r="GGO43" s="478"/>
      <c r="GGP43" s="478"/>
      <c r="GGQ43" s="478"/>
      <c r="GGR43" s="478"/>
      <c r="GGS43" s="478"/>
      <c r="GGT43" s="478"/>
      <c r="GGU43" s="478"/>
      <c r="GGV43" s="478"/>
      <c r="GGW43" s="478"/>
      <c r="GGX43" s="478"/>
      <c r="GGY43" s="478"/>
      <c r="GGZ43" s="478"/>
      <c r="GHA43" s="478"/>
      <c r="GHB43" s="478"/>
      <c r="GHC43" s="478"/>
      <c r="GHD43" s="478"/>
      <c r="GHE43" s="478"/>
      <c r="GHF43" s="478"/>
      <c r="GHG43" s="478"/>
      <c r="GHH43" s="478"/>
      <c r="GHI43" s="478"/>
      <c r="GHJ43" s="478"/>
      <c r="GHK43" s="478"/>
      <c r="GHL43" s="478"/>
      <c r="GHM43" s="478"/>
      <c r="GHN43" s="478"/>
      <c r="GHO43" s="478"/>
      <c r="GHP43" s="478"/>
      <c r="GHQ43" s="478"/>
      <c r="GHR43" s="478"/>
      <c r="GHS43" s="478"/>
      <c r="GHT43" s="478"/>
      <c r="GHU43" s="478"/>
      <c r="GHV43" s="478"/>
      <c r="GHW43" s="478"/>
      <c r="GHX43" s="478"/>
      <c r="GHY43" s="478"/>
      <c r="GHZ43" s="478"/>
      <c r="GIA43" s="478"/>
      <c r="GIB43" s="478"/>
      <c r="GIC43" s="478"/>
      <c r="GID43" s="478"/>
      <c r="GIE43" s="478"/>
      <c r="GIF43" s="478"/>
      <c r="GIG43" s="478"/>
      <c r="GIH43" s="478"/>
      <c r="GII43" s="478"/>
      <c r="GIJ43" s="478"/>
      <c r="GIK43" s="478"/>
      <c r="GIL43" s="478"/>
      <c r="GIM43" s="478"/>
      <c r="GIN43" s="478"/>
      <c r="GIO43" s="478"/>
      <c r="GIP43" s="478"/>
      <c r="GIQ43" s="478"/>
      <c r="GIR43" s="478"/>
      <c r="GIS43" s="478"/>
      <c r="GIT43" s="478"/>
      <c r="GIU43" s="478"/>
      <c r="GIV43" s="478"/>
      <c r="GIW43" s="478"/>
      <c r="GIX43" s="478"/>
      <c r="GIY43" s="478"/>
      <c r="GIZ43" s="478"/>
      <c r="GJA43" s="478"/>
      <c r="GJB43" s="478"/>
      <c r="GJC43" s="478"/>
      <c r="GJD43" s="478"/>
      <c r="GJE43" s="478"/>
      <c r="GJF43" s="478"/>
      <c r="GJG43" s="478"/>
      <c r="GJH43" s="478"/>
      <c r="GJI43" s="478"/>
      <c r="GJJ43" s="478"/>
      <c r="GJK43" s="478"/>
      <c r="GJL43" s="478"/>
      <c r="GJM43" s="478"/>
      <c r="GJN43" s="478"/>
      <c r="GJO43" s="478"/>
      <c r="GJP43" s="478"/>
      <c r="GJQ43" s="478"/>
      <c r="GJR43" s="478"/>
      <c r="GJS43" s="478"/>
      <c r="GJT43" s="478"/>
      <c r="GJU43" s="478"/>
      <c r="GJV43" s="478"/>
      <c r="GJW43" s="478"/>
      <c r="GJX43" s="478"/>
      <c r="GJY43" s="478"/>
      <c r="GJZ43" s="478"/>
      <c r="GKA43" s="478"/>
      <c r="GKB43" s="478"/>
      <c r="GKC43" s="478"/>
      <c r="GKD43" s="478"/>
      <c r="GKE43" s="478"/>
      <c r="GKF43" s="478"/>
      <c r="GKG43" s="478"/>
      <c r="GKH43" s="478"/>
      <c r="GKI43" s="478"/>
      <c r="GKJ43" s="478"/>
      <c r="GKK43" s="478"/>
      <c r="GKL43" s="478"/>
      <c r="GKM43" s="478"/>
      <c r="GKN43" s="478"/>
      <c r="GKO43" s="478"/>
      <c r="GKP43" s="478"/>
      <c r="GKQ43" s="478"/>
      <c r="GKR43" s="478"/>
      <c r="GKS43" s="478"/>
      <c r="GKT43" s="478"/>
      <c r="GKU43" s="478"/>
      <c r="GKV43" s="478"/>
      <c r="GKW43" s="478"/>
      <c r="GKX43" s="478"/>
      <c r="GKY43" s="478"/>
      <c r="GKZ43" s="478"/>
      <c r="GLA43" s="478"/>
      <c r="GLB43" s="478"/>
      <c r="GLC43" s="478"/>
      <c r="GLD43" s="478"/>
      <c r="GLE43" s="478"/>
      <c r="GLF43" s="478"/>
      <c r="GLG43" s="478"/>
      <c r="GLH43" s="478"/>
      <c r="GLI43" s="478"/>
      <c r="GLJ43" s="478"/>
      <c r="GLK43" s="478"/>
      <c r="GLL43" s="478"/>
      <c r="GLM43" s="478"/>
      <c r="GLN43" s="478"/>
      <c r="GLO43" s="478"/>
      <c r="GLP43" s="478"/>
      <c r="GLQ43" s="478"/>
      <c r="GLR43" s="478"/>
      <c r="GLS43" s="478"/>
      <c r="GLT43" s="478"/>
      <c r="GLU43" s="478"/>
      <c r="GLV43" s="478"/>
      <c r="GLW43" s="478"/>
      <c r="GLX43" s="478"/>
      <c r="GLY43" s="478"/>
      <c r="GLZ43" s="478"/>
      <c r="GMA43" s="478"/>
      <c r="GMB43" s="478"/>
      <c r="GMC43" s="478"/>
      <c r="GMD43" s="478"/>
      <c r="GME43" s="478"/>
      <c r="GMF43" s="478"/>
      <c r="GMG43" s="478"/>
      <c r="GMH43" s="478"/>
      <c r="GMI43" s="478"/>
      <c r="GMJ43" s="478"/>
      <c r="GMK43" s="478"/>
      <c r="GML43" s="478"/>
      <c r="GMM43" s="478"/>
      <c r="GMN43" s="478"/>
      <c r="GMO43" s="478"/>
      <c r="GMP43" s="478"/>
      <c r="GMQ43" s="478"/>
      <c r="GMR43" s="478"/>
      <c r="GMS43" s="478"/>
      <c r="GMT43" s="478"/>
      <c r="GMU43" s="478"/>
      <c r="GMV43" s="478"/>
      <c r="GMW43" s="478"/>
      <c r="GMX43" s="478"/>
      <c r="GMY43" s="478"/>
      <c r="GMZ43" s="478"/>
      <c r="GNA43" s="478"/>
      <c r="GNB43" s="478"/>
      <c r="GNC43" s="478"/>
      <c r="GND43" s="478"/>
      <c r="GNE43" s="478"/>
      <c r="GNF43" s="478"/>
      <c r="GNG43" s="478"/>
      <c r="GNH43" s="478"/>
      <c r="GNI43" s="478"/>
      <c r="GNJ43" s="478"/>
      <c r="GNK43" s="478"/>
      <c r="GNL43" s="478"/>
      <c r="GNM43" s="478"/>
      <c r="GNN43" s="478"/>
      <c r="GNO43" s="478"/>
      <c r="GNP43" s="478"/>
      <c r="GNQ43" s="478"/>
      <c r="GNR43" s="478"/>
      <c r="GNS43" s="478"/>
      <c r="GNT43" s="478"/>
      <c r="GNU43" s="478"/>
      <c r="GNV43" s="478"/>
      <c r="GNW43" s="478"/>
      <c r="GNX43" s="478"/>
      <c r="GNY43" s="478"/>
      <c r="GNZ43" s="478"/>
      <c r="GOA43" s="478"/>
      <c r="GOB43" s="478"/>
      <c r="GOC43" s="478"/>
      <c r="GOD43" s="478"/>
      <c r="GOE43" s="478"/>
      <c r="GOF43" s="478"/>
      <c r="GOG43" s="478"/>
      <c r="GOH43" s="478"/>
      <c r="GOI43" s="478"/>
      <c r="GOJ43" s="478"/>
      <c r="GOK43" s="478"/>
      <c r="GOL43" s="478"/>
      <c r="GOM43" s="478"/>
      <c r="GON43" s="478"/>
      <c r="GOO43" s="478"/>
      <c r="GOP43" s="478"/>
      <c r="GOQ43" s="478"/>
      <c r="GOR43" s="478"/>
      <c r="GOS43" s="478"/>
      <c r="GOT43" s="478"/>
      <c r="GOU43" s="478"/>
      <c r="GOV43" s="478"/>
      <c r="GOW43" s="478"/>
      <c r="GOX43" s="478"/>
      <c r="GOY43" s="478"/>
      <c r="GOZ43" s="478"/>
      <c r="GPA43" s="478"/>
      <c r="GPB43" s="478"/>
      <c r="GPC43" s="478"/>
      <c r="GPD43" s="478"/>
      <c r="GPE43" s="478"/>
      <c r="GPF43" s="478"/>
      <c r="GPG43" s="478"/>
      <c r="GPH43" s="478"/>
      <c r="GPI43" s="478"/>
      <c r="GPJ43" s="478"/>
      <c r="GPK43" s="478"/>
      <c r="GPL43" s="478"/>
      <c r="GPM43" s="478"/>
      <c r="GPN43" s="478"/>
      <c r="GPO43" s="478"/>
      <c r="GPP43" s="478"/>
      <c r="GPQ43" s="478"/>
      <c r="GPR43" s="478"/>
      <c r="GPS43" s="478"/>
      <c r="GPT43" s="478"/>
      <c r="GPU43" s="478"/>
      <c r="GPV43" s="478"/>
      <c r="GPW43" s="478"/>
      <c r="GPX43" s="478"/>
      <c r="GPY43" s="478"/>
      <c r="GPZ43" s="478"/>
      <c r="GQA43" s="478"/>
      <c r="GQB43" s="478"/>
      <c r="GQC43" s="478"/>
      <c r="GQD43" s="478"/>
      <c r="GQE43" s="478"/>
      <c r="GQF43" s="478"/>
      <c r="GQG43" s="478"/>
      <c r="GQH43" s="478"/>
      <c r="GQI43" s="478"/>
      <c r="GQJ43" s="478"/>
      <c r="GQK43" s="478"/>
      <c r="GQL43" s="478"/>
      <c r="GQM43" s="478"/>
      <c r="GQN43" s="478"/>
      <c r="GQO43" s="478"/>
      <c r="GQP43" s="478"/>
      <c r="GQQ43" s="478"/>
      <c r="GQR43" s="478"/>
      <c r="GQS43" s="478"/>
      <c r="GQT43" s="478"/>
      <c r="GQU43" s="478"/>
      <c r="GQV43" s="478"/>
      <c r="GQW43" s="478"/>
      <c r="GQX43" s="478"/>
      <c r="GQY43" s="478"/>
      <c r="GQZ43" s="478"/>
      <c r="GRA43" s="478"/>
      <c r="GRB43" s="478"/>
      <c r="GRC43" s="478"/>
      <c r="GRD43" s="478"/>
      <c r="GRE43" s="478"/>
      <c r="GRF43" s="478"/>
      <c r="GRG43" s="478"/>
      <c r="GRH43" s="478"/>
      <c r="GRI43" s="478"/>
      <c r="GRJ43" s="478"/>
      <c r="GRK43" s="478"/>
      <c r="GRL43" s="478"/>
      <c r="GRM43" s="478"/>
      <c r="GRN43" s="478"/>
      <c r="GRO43" s="478"/>
      <c r="GRP43" s="478"/>
      <c r="GRQ43" s="478"/>
      <c r="GRR43" s="478"/>
      <c r="GRS43" s="478"/>
      <c r="GRT43" s="478"/>
      <c r="GRU43" s="478"/>
      <c r="GRV43" s="478"/>
      <c r="GRW43" s="478"/>
      <c r="GRX43" s="478"/>
      <c r="GRY43" s="478"/>
      <c r="GRZ43" s="478"/>
      <c r="GSA43" s="478"/>
      <c r="GSB43" s="478"/>
      <c r="GSC43" s="478"/>
      <c r="GSD43" s="478"/>
      <c r="GSE43" s="478"/>
      <c r="GSF43" s="478"/>
      <c r="GSG43" s="478"/>
      <c r="GSH43" s="478"/>
      <c r="GSI43" s="478"/>
      <c r="GSJ43" s="478"/>
      <c r="GSK43" s="478"/>
      <c r="GSL43" s="478"/>
      <c r="GSM43" s="478"/>
      <c r="GSN43" s="478"/>
      <c r="GSO43" s="478"/>
      <c r="GSP43" s="478"/>
      <c r="GSQ43" s="478"/>
      <c r="GSR43" s="478"/>
      <c r="GSS43" s="478"/>
      <c r="GST43" s="478"/>
      <c r="GSU43" s="478"/>
      <c r="GSV43" s="478"/>
      <c r="GSW43" s="478"/>
      <c r="GSX43" s="478"/>
      <c r="GSY43" s="478"/>
      <c r="GSZ43" s="478"/>
      <c r="GTA43" s="478"/>
      <c r="GTB43" s="478"/>
      <c r="GTC43" s="478"/>
      <c r="GTD43" s="478"/>
      <c r="GTE43" s="478"/>
      <c r="GTF43" s="478"/>
      <c r="GTG43" s="478"/>
      <c r="GTH43" s="478"/>
      <c r="GTI43" s="478"/>
      <c r="GTJ43" s="478"/>
      <c r="GTK43" s="478"/>
      <c r="GTL43" s="478"/>
      <c r="GTM43" s="478"/>
      <c r="GTN43" s="478"/>
      <c r="GTO43" s="478"/>
      <c r="GTP43" s="478"/>
      <c r="GTQ43" s="478"/>
      <c r="GTR43" s="478"/>
      <c r="GTS43" s="478"/>
      <c r="GTT43" s="478"/>
      <c r="GTU43" s="478"/>
      <c r="GTV43" s="478"/>
      <c r="GTW43" s="478"/>
      <c r="GTX43" s="478"/>
      <c r="GTY43" s="478"/>
      <c r="GTZ43" s="478"/>
      <c r="GUA43" s="478"/>
      <c r="GUB43" s="478"/>
      <c r="GUC43" s="478"/>
      <c r="GUD43" s="478"/>
      <c r="GUE43" s="478"/>
      <c r="GUF43" s="478"/>
      <c r="GUG43" s="478"/>
      <c r="GUH43" s="478"/>
      <c r="GUI43" s="478"/>
      <c r="GUJ43" s="478"/>
      <c r="GUK43" s="478"/>
      <c r="GUL43" s="478"/>
      <c r="GUM43" s="478"/>
      <c r="GUN43" s="478"/>
      <c r="GUO43" s="478"/>
      <c r="GUP43" s="478"/>
      <c r="GUQ43" s="478"/>
      <c r="GUR43" s="478"/>
      <c r="GUS43" s="478"/>
      <c r="GUT43" s="478"/>
      <c r="GUU43" s="478"/>
      <c r="GUV43" s="478"/>
      <c r="GUW43" s="478"/>
      <c r="GUX43" s="478"/>
      <c r="GUY43" s="478"/>
      <c r="GUZ43" s="478"/>
      <c r="GVA43" s="478"/>
      <c r="GVB43" s="478"/>
      <c r="GVC43" s="478"/>
      <c r="GVD43" s="478"/>
      <c r="GVE43" s="478"/>
      <c r="GVF43" s="478"/>
      <c r="GVG43" s="478"/>
      <c r="GVH43" s="478"/>
      <c r="GVI43" s="478"/>
      <c r="GVJ43" s="478"/>
      <c r="GVK43" s="478"/>
      <c r="GVL43" s="478"/>
      <c r="GVM43" s="478"/>
      <c r="GVN43" s="478"/>
      <c r="GVO43" s="478"/>
      <c r="GVP43" s="478"/>
      <c r="GVQ43" s="478"/>
      <c r="GVR43" s="478"/>
      <c r="GVS43" s="478"/>
      <c r="GVT43" s="478"/>
      <c r="GVU43" s="478"/>
      <c r="GVV43" s="478"/>
      <c r="GVW43" s="478"/>
      <c r="GVX43" s="478"/>
      <c r="GVY43" s="478"/>
      <c r="GVZ43" s="478"/>
      <c r="GWA43" s="478"/>
      <c r="GWB43" s="478"/>
      <c r="GWC43" s="478"/>
      <c r="GWD43" s="478"/>
      <c r="GWE43" s="478"/>
      <c r="GWF43" s="478"/>
      <c r="GWG43" s="478"/>
      <c r="GWH43" s="478"/>
      <c r="GWI43" s="478"/>
      <c r="GWJ43" s="478"/>
      <c r="GWK43" s="478"/>
      <c r="GWL43" s="478"/>
      <c r="GWM43" s="478"/>
      <c r="GWN43" s="478"/>
      <c r="GWO43" s="478"/>
      <c r="GWP43" s="478"/>
      <c r="GWQ43" s="478"/>
      <c r="GWR43" s="478"/>
      <c r="GWS43" s="478"/>
      <c r="GWT43" s="478"/>
      <c r="GWU43" s="478"/>
      <c r="GWV43" s="478"/>
      <c r="GWW43" s="478"/>
      <c r="GWX43" s="478"/>
      <c r="GWY43" s="478"/>
      <c r="GWZ43" s="478"/>
      <c r="GXA43" s="478"/>
      <c r="GXB43" s="478"/>
      <c r="GXC43" s="478"/>
      <c r="GXD43" s="478"/>
      <c r="GXE43" s="478"/>
      <c r="GXF43" s="478"/>
      <c r="GXG43" s="478"/>
      <c r="GXH43" s="478"/>
      <c r="GXI43" s="478"/>
      <c r="GXJ43" s="478"/>
      <c r="GXK43" s="478"/>
      <c r="GXL43" s="478"/>
      <c r="GXM43" s="478"/>
      <c r="GXN43" s="478"/>
      <c r="GXO43" s="478"/>
      <c r="GXP43" s="478"/>
      <c r="GXQ43" s="478"/>
      <c r="GXR43" s="478"/>
      <c r="GXS43" s="478"/>
      <c r="GXT43" s="478"/>
      <c r="GXU43" s="478"/>
      <c r="GXV43" s="478"/>
      <c r="GXW43" s="478"/>
      <c r="GXX43" s="478"/>
      <c r="GXY43" s="478"/>
      <c r="GXZ43" s="478"/>
      <c r="GYA43" s="478"/>
      <c r="GYB43" s="478"/>
      <c r="GYC43" s="478"/>
      <c r="GYD43" s="478"/>
      <c r="GYE43" s="478"/>
      <c r="GYF43" s="478"/>
      <c r="GYG43" s="478"/>
      <c r="GYH43" s="478"/>
      <c r="GYI43" s="478"/>
      <c r="GYJ43" s="478"/>
      <c r="GYK43" s="478"/>
      <c r="GYL43" s="478"/>
      <c r="GYM43" s="478"/>
      <c r="GYN43" s="478"/>
      <c r="GYO43" s="478"/>
      <c r="GYP43" s="478"/>
      <c r="GYQ43" s="478"/>
      <c r="GYR43" s="478"/>
      <c r="GYS43" s="478"/>
      <c r="GYT43" s="478"/>
      <c r="GYU43" s="478"/>
      <c r="GYV43" s="478"/>
      <c r="GYW43" s="478"/>
      <c r="GYX43" s="478"/>
      <c r="GYY43" s="478"/>
      <c r="GYZ43" s="478"/>
      <c r="GZA43" s="478"/>
      <c r="GZB43" s="478"/>
      <c r="GZC43" s="478"/>
      <c r="GZD43" s="478"/>
      <c r="GZE43" s="478"/>
      <c r="GZF43" s="478"/>
      <c r="GZG43" s="478"/>
      <c r="GZH43" s="478"/>
      <c r="GZI43" s="478"/>
      <c r="GZJ43" s="478"/>
      <c r="GZK43" s="478"/>
      <c r="GZL43" s="478"/>
      <c r="GZM43" s="478"/>
      <c r="GZN43" s="478"/>
      <c r="GZO43" s="478"/>
      <c r="GZP43" s="478"/>
      <c r="GZQ43" s="478"/>
      <c r="GZR43" s="478"/>
      <c r="GZS43" s="478"/>
      <c r="GZT43" s="478"/>
      <c r="GZU43" s="478"/>
      <c r="GZV43" s="478"/>
      <c r="GZW43" s="478"/>
      <c r="GZX43" s="478"/>
      <c r="GZY43" s="478"/>
      <c r="GZZ43" s="478"/>
      <c r="HAA43" s="478"/>
      <c r="HAB43" s="478"/>
      <c r="HAC43" s="478"/>
      <c r="HAD43" s="478"/>
      <c r="HAE43" s="478"/>
      <c r="HAF43" s="478"/>
      <c r="HAG43" s="478"/>
      <c r="HAH43" s="478"/>
      <c r="HAI43" s="478"/>
      <c r="HAJ43" s="478"/>
      <c r="HAK43" s="478"/>
      <c r="HAL43" s="478"/>
      <c r="HAM43" s="478"/>
      <c r="HAN43" s="478"/>
      <c r="HAO43" s="478"/>
      <c r="HAP43" s="478"/>
      <c r="HAQ43" s="478"/>
      <c r="HAR43" s="478"/>
      <c r="HAS43" s="478"/>
      <c r="HAT43" s="478"/>
      <c r="HAU43" s="478"/>
      <c r="HAV43" s="478"/>
      <c r="HAW43" s="478"/>
      <c r="HAX43" s="478"/>
      <c r="HAY43" s="478"/>
      <c r="HAZ43" s="478"/>
      <c r="HBA43" s="478"/>
      <c r="HBB43" s="478"/>
      <c r="HBC43" s="478"/>
      <c r="HBD43" s="478"/>
      <c r="HBE43" s="478"/>
      <c r="HBF43" s="478"/>
      <c r="HBG43" s="478"/>
      <c r="HBH43" s="478"/>
      <c r="HBI43" s="478"/>
      <c r="HBJ43" s="478"/>
      <c r="HBK43" s="478"/>
      <c r="HBL43" s="478"/>
      <c r="HBM43" s="478"/>
      <c r="HBN43" s="478"/>
      <c r="HBO43" s="478"/>
      <c r="HBP43" s="478"/>
      <c r="HBQ43" s="478"/>
      <c r="HBR43" s="478"/>
      <c r="HBS43" s="478"/>
      <c r="HBT43" s="478"/>
      <c r="HBU43" s="478"/>
      <c r="HBV43" s="478"/>
      <c r="HBW43" s="478"/>
      <c r="HBX43" s="478"/>
      <c r="HBY43" s="478"/>
      <c r="HBZ43" s="478"/>
      <c r="HCA43" s="478"/>
      <c r="HCB43" s="478"/>
      <c r="HCC43" s="478"/>
      <c r="HCD43" s="478"/>
      <c r="HCE43" s="478"/>
      <c r="HCF43" s="478"/>
      <c r="HCG43" s="478"/>
      <c r="HCH43" s="478"/>
      <c r="HCI43" s="478"/>
      <c r="HCJ43" s="478"/>
      <c r="HCK43" s="478"/>
      <c r="HCL43" s="478"/>
      <c r="HCM43" s="478"/>
      <c r="HCN43" s="478"/>
      <c r="HCO43" s="478"/>
      <c r="HCP43" s="478"/>
      <c r="HCQ43" s="478"/>
      <c r="HCR43" s="478"/>
      <c r="HCS43" s="478"/>
      <c r="HCT43" s="478"/>
      <c r="HCU43" s="478"/>
      <c r="HCV43" s="478"/>
      <c r="HCW43" s="478"/>
      <c r="HCX43" s="478"/>
      <c r="HCY43" s="478"/>
      <c r="HCZ43" s="478"/>
      <c r="HDA43" s="478"/>
      <c r="HDB43" s="478"/>
      <c r="HDC43" s="478"/>
      <c r="HDD43" s="478"/>
      <c r="HDE43" s="478"/>
      <c r="HDF43" s="478"/>
      <c r="HDG43" s="478"/>
      <c r="HDH43" s="478"/>
      <c r="HDI43" s="478"/>
      <c r="HDJ43" s="478"/>
      <c r="HDK43" s="478"/>
      <c r="HDL43" s="478"/>
      <c r="HDM43" s="478"/>
      <c r="HDN43" s="478"/>
      <c r="HDO43" s="478"/>
      <c r="HDP43" s="478"/>
      <c r="HDQ43" s="478"/>
      <c r="HDR43" s="478"/>
      <c r="HDS43" s="478"/>
      <c r="HDT43" s="478"/>
      <c r="HDU43" s="478"/>
      <c r="HDV43" s="478"/>
      <c r="HDW43" s="478"/>
      <c r="HDX43" s="478"/>
      <c r="HDY43" s="478"/>
      <c r="HDZ43" s="478"/>
      <c r="HEA43" s="478"/>
      <c r="HEB43" s="478"/>
      <c r="HEC43" s="478"/>
      <c r="HED43" s="478"/>
      <c r="HEE43" s="478"/>
      <c r="HEF43" s="478"/>
      <c r="HEG43" s="478"/>
      <c r="HEH43" s="478"/>
      <c r="HEI43" s="478"/>
      <c r="HEJ43" s="478"/>
      <c r="HEK43" s="478"/>
      <c r="HEL43" s="478"/>
      <c r="HEM43" s="478"/>
      <c r="HEN43" s="478"/>
      <c r="HEO43" s="478"/>
      <c r="HEP43" s="478"/>
      <c r="HEQ43" s="478"/>
      <c r="HER43" s="478"/>
      <c r="HES43" s="478"/>
      <c r="HET43" s="478"/>
      <c r="HEU43" s="478"/>
      <c r="HEV43" s="478"/>
      <c r="HEW43" s="478"/>
      <c r="HEX43" s="478"/>
      <c r="HEY43" s="478"/>
      <c r="HEZ43" s="478"/>
      <c r="HFA43" s="478"/>
      <c r="HFB43" s="478"/>
      <c r="HFC43" s="478"/>
      <c r="HFD43" s="478"/>
      <c r="HFE43" s="478"/>
      <c r="HFF43" s="478"/>
      <c r="HFG43" s="478"/>
      <c r="HFH43" s="478"/>
      <c r="HFI43" s="478"/>
      <c r="HFJ43" s="478"/>
      <c r="HFK43" s="478"/>
      <c r="HFL43" s="478"/>
      <c r="HFM43" s="478"/>
      <c r="HFN43" s="478"/>
      <c r="HFO43" s="478"/>
      <c r="HFP43" s="478"/>
      <c r="HFQ43" s="478"/>
      <c r="HFR43" s="478"/>
      <c r="HFS43" s="478"/>
      <c r="HFT43" s="478"/>
      <c r="HFU43" s="478"/>
      <c r="HFV43" s="478"/>
      <c r="HFW43" s="478"/>
      <c r="HFX43" s="478"/>
      <c r="HFY43" s="478"/>
      <c r="HFZ43" s="478"/>
      <c r="HGA43" s="478"/>
      <c r="HGB43" s="478"/>
      <c r="HGC43" s="478"/>
      <c r="HGD43" s="478"/>
      <c r="HGE43" s="478"/>
      <c r="HGF43" s="478"/>
      <c r="HGG43" s="478"/>
      <c r="HGH43" s="478"/>
      <c r="HGI43" s="478"/>
      <c r="HGJ43" s="478"/>
      <c r="HGK43" s="478"/>
      <c r="HGL43" s="478"/>
      <c r="HGM43" s="478"/>
      <c r="HGN43" s="478"/>
      <c r="HGO43" s="478"/>
      <c r="HGP43" s="478"/>
      <c r="HGQ43" s="478"/>
      <c r="HGR43" s="478"/>
      <c r="HGS43" s="478"/>
      <c r="HGT43" s="478"/>
      <c r="HGU43" s="478"/>
      <c r="HGV43" s="478"/>
      <c r="HGW43" s="478"/>
      <c r="HGX43" s="478"/>
      <c r="HGY43" s="478"/>
      <c r="HGZ43" s="478"/>
      <c r="HHA43" s="478"/>
      <c r="HHB43" s="478"/>
      <c r="HHC43" s="478"/>
      <c r="HHD43" s="478"/>
      <c r="HHE43" s="478"/>
      <c r="HHF43" s="478"/>
      <c r="HHG43" s="478"/>
      <c r="HHH43" s="478"/>
      <c r="HHI43" s="478"/>
      <c r="HHJ43" s="478"/>
      <c r="HHK43" s="478"/>
      <c r="HHL43" s="478"/>
      <c r="HHM43" s="478"/>
      <c r="HHN43" s="478"/>
      <c r="HHO43" s="478"/>
      <c r="HHP43" s="478"/>
      <c r="HHQ43" s="478"/>
      <c r="HHR43" s="478"/>
      <c r="HHS43" s="478"/>
      <c r="HHT43" s="478"/>
      <c r="HHU43" s="478"/>
      <c r="HHV43" s="478"/>
      <c r="HHW43" s="478"/>
      <c r="HHX43" s="478"/>
      <c r="HHY43" s="478"/>
      <c r="HHZ43" s="478"/>
      <c r="HIA43" s="478"/>
      <c r="HIB43" s="478"/>
      <c r="HIC43" s="478"/>
      <c r="HID43" s="478"/>
      <c r="HIE43" s="478"/>
      <c r="HIF43" s="478"/>
      <c r="HIG43" s="478"/>
      <c r="HIH43" s="478"/>
      <c r="HII43" s="478"/>
      <c r="HIJ43" s="478"/>
      <c r="HIK43" s="478"/>
      <c r="HIL43" s="478"/>
      <c r="HIM43" s="478"/>
      <c r="HIN43" s="478"/>
      <c r="HIO43" s="478"/>
      <c r="HIP43" s="478"/>
      <c r="HIQ43" s="478"/>
      <c r="HIR43" s="478"/>
      <c r="HIS43" s="478"/>
      <c r="HIT43" s="478"/>
      <c r="HIU43" s="478"/>
      <c r="HIV43" s="478"/>
      <c r="HIW43" s="478"/>
      <c r="HIX43" s="478"/>
      <c r="HIY43" s="478"/>
      <c r="HIZ43" s="478"/>
      <c r="HJA43" s="478"/>
      <c r="HJB43" s="478"/>
      <c r="HJC43" s="478"/>
      <c r="HJD43" s="478"/>
      <c r="HJE43" s="478"/>
      <c r="HJF43" s="478"/>
      <c r="HJG43" s="478"/>
      <c r="HJH43" s="478"/>
      <c r="HJI43" s="478"/>
      <c r="HJJ43" s="478"/>
      <c r="HJK43" s="478"/>
      <c r="HJL43" s="478"/>
      <c r="HJM43" s="478"/>
      <c r="HJN43" s="478"/>
      <c r="HJO43" s="478"/>
      <c r="HJP43" s="478"/>
      <c r="HJQ43" s="478"/>
      <c r="HJR43" s="478"/>
      <c r="HJS43" s="478"/>
      <c r="HJT43" s="478"/>
      <c r="HJU43" s="478"/>
      <c r="HJV43" s="478"/>
      <c r="HJW43" s="478"/>
      <c r="HJX43" s="478"/>
      <c r="HJY43" s="478"/>
      <c r="HJZ43" s="478"/>
      <c r="HKA43" s="478"/>
      <c r="HKB43" s="478"/>
      <c r="HKC43" s="478"/>
      <c r="HKD43" s="478"/>
      <c r="HKE43" s="478"/>
      <c r="HKF43" s="478"/>
      <c r="HKG43" s="478"/>
      <c r="HKH43" s="478"/>
      <c r="HKI43" s="478"/>
      <c r="HKJ43" s="478"/>
      <c r="HKK43" s="478"/>
      <c r="HKL43" s="478"/>
      <c r="HKM43" s="478"/>
      <c r="HKN43" s="478"/>
      <c r="HKO43" s="478"/>
      <c r="HKP43" s="478"/>
      <c r="HKQ43" s="478"/>
      <c r="HKR43" s="478"/>
      <c r="HKS43" s="478"/>
      <c r="HKT43" s="478"/>
      <c r="HKU43" s="478"/>
      <c r="HKV43" s="478"/>
      <c r="HKW43" s="478"/>
      <c r="HKX43" s="478"/>
      <c r="HKY43" s="478"/>
      <c r="HKZ43" s="478"/>
      <c r="HLA43" s="478"/>
      <c r="HLB43" s="478"/>
      <c r="HLC43" s="478"/>
      <c r="HLD43" s="478"/>
      <c r="HLE43" s="478"/>
      <c r="HLF43" s="478"/>
      <c r="HLG43" s="478"/>
      <c r="HLH43" s="478"/>
      <c r="HLI43" s="478"/>
      <c r="HLJ43" s="478"/>
      <c r="HLK43" s="478"/>
      <c r="HLL43" s="478"/>
      <c r="HLM43" s="478"/>
      <c r="HLN43" s="478"/>
      <c r="HLO43" s="478"/>
      <c r="HLP43" s="478"/>
      <c r="HLQ43" s="478"/>
      <c r="HLR43" s="478"/>
      <c r="HLS43" s="478"/>
      <c r="HLT43" s="478"/>
      <c r="HLU43" s="478"/>
      <c r="HLV43" s="478"/>
      <c r="HLW43" s="478"/>
      <c r="HLX43" s="478"/>
      <c r="HLY43" s="478"/>
      <c r="HLZ43" s="478"/>
      <c r="HMA43" s="478"/>
      <c r="HMB43" s="478"/>
      <c r="HMC43" s="478"/>
      <c r="HMD43" s="478"/>
      <c r="HME43" s="478"/>
      <c r="HMF43" s="478"/>
      <c r="HMG43" s="478"/>
      <c r="HMH43" s="478"/>
      <c r="HMI43" s="478"/>
      <c r="HMJ43" s="478"/>
      <c r="HMK43" s="478"/>
      <c r="HML43" s="478"/>
      <c r="HMM43" s="478"/>
      <c r="HMN43" s="478"/>
      <c r="HMO43" s="478"/>
      <c r="HMP43" s="478"/>
      <c r="HMQ43" s="478"/>
      <c r="HMR43" s="478"/>
      <c r="HMS43" s="478"/>
      <c r="HMT43" s="478"/>
      <c r="HMU43" s="478"/>
      <c r="HMV43" s="478"/>
      <c r="HMW43" s="478"/>
      <c r="HMX43" s="478"/>
      <c r="HMY43" s="478"/>
      <c r="HMZ43" s="478"/>
      <c r="HNA43" s="478"/>
      <c r="HNB43" s="478"/>
      <c r="HNC43" s="478"/>
      <c r="HND43" s="478"/>
      <c r="HNE43" s="478"/>
      <c r="HNF43" s="478"/>
      <c r="HNG43" s="478"/>
      <c r="HNH43" s="478"/>
      <c r="HNI43" s="478"/>
      <c r="HNJ43" s="478"/>
      <c r="HNK43" s="478"/>
      <c r="HNL43" s="478"/>
      <c r="HNM43" s="478"/>
      <c r="HNN43" s="478"/>
      <c r="HNO43" s="478"/>
      <c r="HNP43" s="478"/>
      <c r="HNQ43" s="478"/>
      <c r="HNR43" s="478"/>
      <c r="HNS43" s="478"/>
      <c r="HNT43" s="478"/>
      <c r="HNU43" s="478"/>
      <c r="HNV43" s="478"/>
      <c r="HNW43" s="478"/>
      <c r="HNX43" s="478"/>
      <c r="HNY43" s="478"/>
      <c r="HNZ43" s="478"/>
      <c r="HOA43" s="478"/>
      <c r="HOB43" s="478"/>
      <c r="HOC43" s="478"/>
      <c r="HOD43" s="478"/>
      <c r="HOE43" s="478"/>
      <c r="HOF43" s="478"/>
      <c r="HOG43" s="478"/>
      <c r="HOH43" s="478"/>
      <c r="HOI43" s="478"/>
      <c r="HOJ43" s="478"/>
      <c r="HOK43" s="478"/>
      <c r="HOL43" s="478"/>
      <c r="HOM43" s="478"/>
      <c r="HON43" s="478"/>
      <c r="HOO43" s="478"/>
      <c r="HOP43" s="478"/>
      <c r="HOQ43" s="478"/>
      <c r="HOR43" s="478"/>
      <c r="HOS43" s="478"/>
      <c r="HOT43" s="478"/>
      <c r="HOU43" s="478"/>
      <c r="HOV43" s="478"/>
      <c r="HOW43" s="478"/>
      <c r="HOX43" s="478"/>
      <c r="HOY43" s="478"/>
      <c r="HOZ43" s="478"/>
      <c r="HPA43" s="478"/>
      <c r="HPB43" s="478"/>
      <c r="HPC43" s="478"/>
      <c r="HPD43" s="478"/>
      <c r="HPE43" s="478"/>
      <c r="HPF43" s="478"/>
      <c r="HPG43" s="478"/>
      <c r="HPH43" s="478"/>
      <c r="HPI43" s="478"/>
      <c r="HPJ43" s="478"/>
      <c r="HPK43" s="478"/>
      <c r="HPL43" s="478"/>
      <c r="HPM43" s="478"/>
      <c r="HPN43" s="478"/>
      <c r="HPO43" s="478"/>
      <c r="HPP43" s="478"/>
      <c r="HPQ43" s="478"/>
      <c r="HPR43" s="478"/>
      <c r="HPS43" s="478"/>
      <c r="HPT43" s="478"/>
      <c r="HPU43" s="478"/>
      <c r="HPV43" s="478"/>
      <c r="HPW43" s="478"/>
      <c r="HPX43" s="478"/>
      <c r="HPY43" s="478"/>
      <c r="HPZ43" s="478"/>
      <c r="HQA43" s="478"/>
      <c r="HQB43" s="478"/>
      <c r="HQC43" s="478"/>
      <c r="HQD43" s="478"/>
      <c r="HQE43" s="478"/>
      <c r="HQF43" s="478"/>
      <c r="HQG43" s="478"/>
      <c r="HQH43" s="478"/>
      <c r="HQI43" s="478"/>
      <c r="HQJ43" s="478"/>
      <c r="HQK43" s="478"/>
      <c r="HQL43" s="478"/>
      <c r="HQM43" s="478"/>
      <c r="HQN43" s="478"/>
      <c r="HQO43" s="478"/>
      <c r="HQP43" s="478"/>
      <c r="HQQ43" s="478"/>
      <c r="HQR43" s="478"/>
      <c r="HQS43" s="478"/>
      <c r="HQT43" s="478"/>
      <c r="HQU43" s="478"/>
      <c r="HQV43" s="478"/>
      <c r="HQW43" s="478"/>
      <c r="HQX43" s="478"/>
      <c r="HQY43" s="478"/>
      <c r="HQZ43" s="478"/>
      <c r="HRA43" s="478"/>
      <c r="HRB43" s="478"/>
      <c r="HRC43" s="478"/>
      <c r="HRD43" s="478"/>
      <c r="HRE43" s="478"/>
      <c r="HRF43" s="478"/>
      <c r="HRG43" s="478"/>
      <c r="HRH43" s="478"/>
      <c r="HRI43" s="478"/>
      <c r="HRJ43" s="478"/>
      <c r="HRK43" s="478"/>
      <c r="HRL43" s="478"/>
      <c r="HRM43" s="478"/>
      <c r="HRN43" s="478"/>
      <c r="HRO43" s="478"/>
      <c r="HRP43" s="478"/>
      <c r="HRQ43" s="478"/>
      <c r="HRR43" s="478"/>
      <c r="HRS43" s="478"/>
      <c r="HRT43" s="478"/>
      <c r="HRU43" s="478"/>
      <c r="HRV43" s="478"/>
      <c r="HRW43" s="478"/>
      <c r="HRX43" s="478"/>
      <c r="HRY43" s="478"/>
      <c r="HRZ43" s="478"/>
      <c r="HSA43" s="478"/>
      <c r="HSB43" s="478"/>
      <c r="HSC43" s="478"/>
      <c r="HSD43" s="478"/>
      <c r="HSE43" s="478"/>
      <c r="HSF43" s="478"/>
      <c r="HSG43" s="478"/>
      <c r="HSH43" s="478"/>
      <c r="HSI43" s="478"/>
      <c r="HSJ43" s="478"/>
      <c r="HSK43" s="478"/>
      <c r="HSL43" s="478"/>
      <c r="HSM43" s="478"/>
      <c r="HSN43" s="478"/>
      <c r="HSO43" s="478"/>
      <c r="HSP43" s="478"/>
      <c r="HSQ43" s="478"/>
      <c r="HSR43" s="478"/>
      <c r="HSS43" s="478"/>
      <c r="HST43" s="478"/>
      <c r="HSU43" s="478"/>
      <c r="HSV43" s="478"/>
      <c r="HSW43" s="478"/>
      <c r="HSX43" s="478"/>
      <c r="HSY43" s="478"/>
      <c r="HSZ43" s="478"/>
      <c r="HTA43" s="478"/>
      <c r="HTB43" s="478"/>
      <c r="HTC43" s="478"/>
      <c r="HTD43" s="478"/>
      <c r="HTE43" s="478"/>
      <c r="HTF43" s="478"/>
      <c r="HTG43" s="478"/>
      <c r="HTH43" s="478"/>
      <c r="HTI43" s="478"/>
      <c r="HTJ43" s="478"/>
      <c r="HTK43" s="478"/>
      <c r="HTL43" s="478"/>
      <c r="HTM43" s="478"/>
      <c r="HTN43" s="478"/>
      <c r="HTO43" s="478"/>
      <c r="HTP43" s="478"/>
      <c r="HTQ43" s="478"/>
      <c r="HTR43" s="478"/>
      <c r="HTS43" s="478"/>
      <c r="HTT43" s="478"/>
      <c r="HTU43" s="478"/>
      <c r="HTV43" s="478"/>
      <c r="HTW43" s="478"/>
      <c r="HTX43" s="478"/>
      <c r="HTY43" s="478"/>
      <c r="HTZ43" s="478"/>
      <c r="HUA43" s="478"/>
      <c r="HUB43" s="478"/>
      <c r="HUC43" s="478"/>
      <c r="HUD43" s="478"/>
      <c r="HUE43" s="478"/>
      <c r="HUF43" s="478"/>
      <c r="HUG43" s="478"/>
      <c r="HUH43" s="478"/>
      <c r="HUI43" s="478"/>
      <c r="HUJ43" s="478"/>
      <c r="HUK43" s="478"/>
      <c r="HUL43" s="478"/>
      <c r="HUM43" s="478"/>
      <c r="HUN43" s="478"/>
      <c r="HUO43" s="478"/>
      <c r="HUP43" s="478"/>
      <c r="HUQ43" s="478"/>
      <c r="HUR43" s="478"/>
      <c r="HUS43" s="478"/>
      <c r="HUT43" s="478"/>
      <c r="HUU43" s="478"/>
      <c r="HUV43" s="478"/>
      <c r="HUW43" s="478"/>
      <c r="HUX43" s="478"/>
      <c r="HUY43" s="478"/>
      <c r="HUZ43" s="478"/>
      <c r="HVA43" s="478"/>
      <c r="HVB43" s="478"/>
      <c r="HVC43" s="478"/>
      <c r="HVD43" s="478"/>
      <c r="HVE43" s="478"/>
      <c r="HVF43" s="478"/>
      <c r="HVG43" s="478"/>
      <c r="HVH43" s="478"/>
      <c r="HVI43" s="478"/>
      <c r="HVJ43" s="478"/>
      <c r="HVK43" s="478"/>
      <c r="HVL43" s="478"/>
      <c r="HVM43" s="478"/>
      <c r="HVN43" s="478"/>
      <c r="HVO43" s="478"/>
      <c r="HVP43" s="478"/>
      <c r="HVQ43" s="478"/>
      <c r="HVR43" s="478"/>
      <c r="HVS43" s="478"/>
      <c r="HVT43" s="478"/>
      <c r="HVU43" s="478"/>
      <c r="HVV43" s="478"/>
      <c r="HVW43" s="478"/>
      <c r="HVX43" s="478"/>
      <c r="HVY43" s="478"/>
      <c r="HVZ43" s="478"/>
      <c r="HWA43" s="478"/>
      <c r="HWB43" s="478"/>
      <c r="HWC43" s="478"/>
      <c r="HWD43" s="478"/>
      <c r="HWE43" s="478"/>
      <c r="HWF43" s="478"/>
      <c r="HWG43" s="478"/>
      <c r="HWH43" s="478"/>
      <c r="HWI43" s="478"/>
      <c r="HWJ43" s="478"/>
      <c r="HWK43" s="478"/>
      <c r="HWL43" s="478"/>
      <c r="HWM43" s="478"/>
      <c r="HWN43" s="478"/>
      <c r="HWO43" s="478"/>
      <c r="HWP43" s="478"/>
      <c r="HWQ43" s="478"/>
      <c r="HWR43" s="478"/>
      <c r="HWS43" s="478"/>
      <c r="HWT43" s="478"/>
      <c r="HWU43" s="478"/>
      <c r="HWV43" s="478"/>
      <c r="HWW43" s="478"/>
      <c r="HWX43" s="478"/>
      <c r="HWY43" s="478"/>
      <c r="HWZ43" s="478"/>
      <c r="HXA43" s="478"/>
      <c r="HXB43" s="478"/>
      <c r="HXC43" s="478"/>
      <c r="HXD43" s="478"/>
      <c r="HXE43" s="478"/>
      <c r="HXF43" s="478"/>
      <c r="HXG43" s="478"/>
      <c r="HXH43" s="478"/>
      <c r="HXI43" s="478"/>
      <c r="HXJ43" s="478"/>
      <c r="HXK43" s="478"/>
      <c r="HXL43" s="478"/>
      <c r="HXM43" s="478"/>
      <c r="HXN43" s="478"/>
      <c r="HXO43" s="478"/>
      <c r="HXP43" s="478"/>
      <c r="HXQ43" s="478"/>
      <c r="HXR43" s="478"/>
      <c r="HXS43" s="478"/>
      <c r="HXT43" s="478"/>
      <c r="HXU43" s="478"/>
      <c r="HXV43" s="478"/>
      <c r="HXW43" s="478"/>
      <c r="HXX43" s="478"/>
      <c r="HXY43" s="478"/>
      <c r="HXZ43" s="478"/>
      <c r="HYA43" s="478"/>
      <c r="HYB43" s="478"/>
      <c r="HYC43" s="478"/>
      <c r="HYD43" s="478"/>
      <c r="HYE43" s="478"/>
      <c r="HYF43" s="478"/>
      <c r="HYG43" s="478"/>
      <c r="HYH43" s="478"/>
      <c r="HYI43" s="478"/>
      <c r="HYJ43" s="478"/>
      <c r="HYK43" s="478"/>
      <c r="HYL43" s="478"/>
      <c r="HYM43" s="478"/>
      <c r="HYN43" s="478"/>
      <c r="HYO43" s="478"/>
      <c r="HYP43" s="478"/>
      <c r="HYQ43" s="478"/>
      <c r="HYR43" s="478"/>
      <c r="HYS43" s="478"/>
      <c r="HYT43" s="478"/>
      <c r="HYU43" s="478"/>
      <c r="HYV43" s="478"/>
      <c r="HYW43" s="478"/>
      <c r="HYX43" s="478"/>
      <c r="HYY43" s="478"/>
      <c r="HYZ43" s="478"/>
      <c r="HZA43" s="478"/>
      <c r="HZB43" s="478"/>
      <c r="HZC43" s="478"/>
      <c r="HZD43" s="478"/>
      <c r="HZE43" s="478"/>
      <c r="HZF43" s="478"/>
      <c r="HZG43" s="478"/>
      <c r="HZH43" s="478"/>
      <c r="HZI43" s="478"/>
      <c r="HZJ43" s="478"/>
      <c r="HZK43" s="478"/>
      <c r="HZL43" s="478"/>
      <c r="HZM43" s="478"/>
      <c r="HZN43" s="478"/>
      <c r="HZO43" s="478"/>
      <c r="HZP43" s="478"/>
      <c r="HZQ43" s="478"/>
      <c r="HZR43" s="478"/>
      <c r="HZS43" s="478"/>
      <c r="HZT43" s="478"/>
      <c r="HZU43" s="478"/>
      <c r="HZV43" s="478"/>
      <c r="HZW43" s="478"/>
      <c r="HZX43" s="478"/>
      <c r="HZY43" s="478"/>
      <c r="HZZ43" s="478"/>
      <c r="IAA43" s="478"/>
      <c r="IAB43" s="478"/>
      <c r="IAC43" s="478"/>
      <c r="IAD43" s="478"/>
      <c r="IAE43" s="478"/>
      <c r="IAF43" s="478"/>
      <c r="IAG43" s="478"/>
      <c r="IAH43" s="478"/>
      <c r="IAI43" s="478"/>
      <c r="IAJ43" s="478"/>
      <c r="IAK43" s="478"/>
      <c r="IAL43" s="478"/>
      <c r="IAM43" s="478"/>
      <c r="IAN43" s="478"/>
      <c r="IAO43" s="478"/>
      <c r="IAP43" s="478"/>
      <c r="IAQ43" s="478"/>
      <c r="IAR43" s="478"/>
      <c r="IAS43" s="478"/>
      <c r="IAT43" s="478"/>
      <c r="IAU43" s="478"/>
      <c r="IAV43" s="478"/>
      <c r="IAW43" s="478"/>
      <c r="IAX43" s="478"/>
      <c r="IAY43" s="478"/>
      <c r="IAZ43" s="478"/>
      <c r="IBA43" s="478"/>
      <c r="IBB43" s="478"/>
      <c r="IBC43" s="478"/>
      <c r="IBD43" s="478"/>
      <c r="IBE43" s="478"/>
      <c r="IBF43" s="478"/>
      <c r="IBG43" s="478"/>
      <c r="IBH43" s="478"/>
      <c r="IBI43" s="478"/>
      <c r="IBJ43" s="478"/>
      <c r="IBK43" s="478"/>
      <c r="IBL43" s="478"/>
      <c r="IBM43" s="478"/>
      <c r="IBN43" s="478"/>
      <c r="IBO43" s="478"/>
      <c r="IBP43" s="478"/>
      <c r="IBQ43" s="478"/>
      <c r="IBR43" s="478"/>
      <c r="IBS43" s="478"/>
      <c r="IBT43" s="478"/>
      <c r="IBU43" s="478"/>
      <c r="IBV43" s="478"/>
      <c r="IBW43" s="478"/>
      <c r="IBX43" s="478"/>
      <c r="IBY43" s="478"/>
      <c r="IBZ43" s="478"/>
      <c r="ICA43" s="478"/>
      <c r="ICB43" s="478"/>
      <c r="ICC43" s="478"/>
      <c r="ICD43" s="478"/>
      <c r="ICE43" s="478"/>
      <c r="ICF43" s="478"/>
      <c r="ICG43" s="478"/>
      <c r="ICH43" s="478"/>
      <c r="ICI43" s="478"/>
      <c r="ICJ43" s="478"/>
      <c r="ICK43" s="478"/>
      <c r="ICL43" s="478"/>
      <c r="ICM43" s="478"/>
      <c r="ICN43" s="478"/>
      <c r="ICO43" s="478"/>
      <c r="ICP43" s="478"/>
      <c r="ICQ43" s="478"/>
      <c r="ICR43" s="478"/>
      <c r="ICS43" s="478"/>
      <c r="ICT43" s="478"/>
      <c r="ICU43" s="478"/>
      <c r="ICV43" s="478"/>
      <c r="ICW43" s="478"/>
      <c r="ICX43" s="478"/>
      <c r="ICY43" s="478"/>
      <c r="ICZ43" s="478"/>
      <c r="IDA43" s="478"/>
      <c r="IDB43" s="478"/>
      <c r="IDC43" s="478"/>
      <c r="IDD43" s="478"/>
      <c r="IDE43" s="478"/>
      <c r="IDF43" s="478"/>
      <c r="IDG43" s="478"/>
      <c r="IDH43" s="478"/>
      <c r="IDI43" s="478"/>
      <c r="IDJ43" s="478"/>
      <c r="IDK43" s="478"/>
      <c r="IDL43" s="478"/>
      <c r="IDM43" s="478"/>
      <c r="IDN43" s="478"/>
      <c r="IDO43" s="478"/>
      <c r="IDP43" s="478"/>
      <c r="IDQ43" s="478"/>
      <c r="IDR43" s="478"/>
      <c r="IDS43" s="478"/>
      <c r="IDT43" s="478"/>
      <c r="IDU43" s="478"/>
      <c r="IDV43" s="478"/>
      <c r="IDW43" s="478"/>
      <c r="IDX43" s="478"/>
      <c r="IDY43" s="478"/>
      <c r="IDZ43" s="478"/>
      <c r="IEA43" s="478"/>
      <c r="IEB43" s="478"/>
      <c r="IEC43" s="478"/>
      <c r="IED43" s="478"/>
      <c r="IEE43" s="478"/>
      <c r="IEF43" s="478"/>
      <c r="IEG43" s="478"/>
      <c r="IEH43" s="478"/>
      <c r="IEI43" s="478"/>
      <c r="IEJ43" s="478"/>
      <c r="IEK43" s="478"/>
      <c r="IEL43" s="478"/>
      <c r="IEM43" s="478"/>
      <c r="IEN43" s="478"/>
      <c r="IEO43" s="478"/>
      <c r="IEP43" s="478"/>
      <c r="IEQ43" s="478"/>
      <c r="IER43" s="478"/>
      <c r="IES43" s="478"/>
      <c r="IET43" s="478"/>
      <c r="IEU43" s="478"/>
      <c r="IEV43" s="478"/>
      <c r="IEW43" s="478"/>
      <c r="IEX43" s="478"/>
      <c r="IEY43" s="478"/>
      <c r="IEZ43" s="478"/>
      <c r="IFA43" s="478"/>
      <c r="IFB43" s="478"/>
      <c r="IFC43" s="478"/>
      <c r="IFD43" s="478"/>
      <c r="IFE43" s="478"/>
      <c r="IFF43" s="478"/>
      <c r="IFG43" s="478"/>
      <c r="IFH43" s="478"/>
      <c r="IFI43" s="478"/>
      <c r="IFJ43" s="478"/>
      <c r="IFK43" s="478"/>
      <c r="IFL43" s="478"/>
      <c r="IFM43" s="478"/>
      <c r="IFN43" s="478"/>
      <c r="IFO43" s="478"/>
      <c r="IFP43" s="478"/>
      <c r="IFQ43" s="478"/>
      <c r="IFR43" s="478"/>
      <c r="IFS43" s="478"/>
      <c r="IFT43" s="478"/>
      <c r="IFU43" s="478"/>
      <c r="IFV43" s="478"/>
      <c r="IFW43" s="478"/>
      <c r="IFX43" s="478"/>
      <c r="IFY43" s="478"/>
      <c r="IFZ43" s="478"/>
      <c r="IGA43" s="478"/>
      <c r="IGB43" s="478"/>
      <c r="IGC43" s="478"/>
      <c r="IGD43" s="478"/>
      <c r="IGE43" s="478"/>
      <c r="IGF43" s="478"/>
      <c r="IGG43" s="478"/>
      <c r="IGH43" s="478"/>
      <c r="IGI43" s="478"/>
      <c r="IGJ43" s="478"/>
      <c r="IGK43" s="478"/>
      <c r="IGL43" s="478"/>
      <c r="IGM43" s="478"/>
      <c r="IGN43" s="478"/>
      <c r="IGO43" s="478"/>
      <c r="IGP43" s="478"/>
      <c r="IGQ43" s="478"/>
      <c r="IGR43" s="478"/>
      <c r="IGS43" s="478"/>
      <c r="IGT43" s="478"/>
      <c r="IGU43" s="478"/>
      <c r="IGV43" s="478"/>
      <c r="IGW43" s="478"/>
      <c r="IGX43" s="478"/>
      <c r="IGY43" s="478"/>
      <c r="IGZ43" s="478"/>
      <c r="IHA43" s="478"/>
      <c r="IHB43" s="478"/>
      <c r="IHC43" s="478"/>
      <c r="IHD43" s="478"/>
      <c r="IHE43" s="478"/>
      <c r="IHF43" s="478"/>
      <c r="IHG43" s="478"/>
      <c r="IHH43" s="478"/>
      <c r="IHI43" s="478"/>
      <c r="IHJ43" s="478"/>
      <c r="IHK43" s="478"/>
      <c r="IHL43" s="478"/>
      <c r="IHM43" s="478"/>
      <c r="IHN43" s="478"/>
      <c r="IHO43" s="478"/>
      <c r="IHP43" s="478"/>
      <c r="IHQ43" s="478"/>
      <c r="IHR43" s="478"/>
      <c r="IHS43" s="478"/>
      <c r="IHT43" s="478"/>
      <c r="IHU43" s="478"/>
      <c r="IHV43" s="478"/>
      <c r="IHW43" s="478"/>
      <c r="IHX43" s="478"/>
      <c r="IHY43" s="478"/>
      <c r="IHZ43" s="478"/>
      <c r="IIA43" s="478"/>
      <c r="IIB43" s="478"/>
      <c r="IIC43" s="478"/>
      <c r="IID43" s="478"/>
      <c r="IIE43" s="478"/>
      <c r="IIF43" s="478"/>
      <c r="IIG43" s="478"/>
      <c r="IIH43" s="478"/>
      <c r="III43" s="478"/>
      <c r="IIJ43" s="478"/>
      <c r="IIK43" s="478"/>
      <c r="IIL43" s="478"/>
      <c r="IIM43" s="478"/>
      <c r="IIN43" s="478"/>
      <c r="IIO43" s="478"/>
      <c r="IIP43" s="478"/>
      <c r="IIQ43" s="478"/>
      <c r="IIR43" s="478"/>
      <c r="IIS43" s="478"/>
      <c r="IIT43" s="478"/>
      <c r="IIU43" s="478"/>
      <c r="IIV43" s="478"/>
      <c r="IIW43" s="478"/>
      <c r="IIX43" s="478"/>
      <c r="IIY43" s="478"/>
      <c r="IIZ43" s="478"/>
      <c r="IJA43" s="478"/>
      <c r="IJB43" s="478"/>
      <c r="IJC43" s="478"/>
      <c r="IJD43" s="478"/>
      <c r="IJE43" s="478"/>
      <c r="IJF43" s="478"/>
      <c r="IJG43" s="478"/>
      <c r="IJH43" s="478"/>
      <c r="IJI43" s="478"/>
      <c r="IJJ43" s="478"/>
      <c r="IJK43" s="478"/>
      <c r="IJL43" s="478"/>
      <c r="IJM43" s="478"/>
      <c r="IJN43" s="478"/>
      <c r="IJO43" s="478"/>
      <c r="IJP43" s="478"/>
      <c r="IJQ43" s="478"/>
      <c r="IJR43" s="478"/>
      <c r="IJS43" s="478"/>
      <c r="IJT43" s="478"/>
      <c r="IJU43" s="478"/>
      <c r="IJV43" s="478"/>
      <c r="IJW43" s="478"/>
      <c r="IJX43" s="478"/>
      <c r="IJY43" s="478"/>
      <c r="IJZ43" s="478"/>
      <c r="IKA43" s="478"/>
      <c r="IKB43" s="478"/>
      <c r="IKC43" s="478"/>
      <c r="IKD43" s="478"/>
      <c r="IKE43" s="478"/>
      <c r="IKF43" s="478"/>
      <c r="IKG43" s="478"/>
      <c r="IKH43" s="478"/>
      <c r="IKI43" s="478"/>
      <c r="IKJ43" s="478"/>
      <c r="IKK43" s="478"/>
      <c r="IKL43" s="478"/>
      <c r="IKM43" s="478"/>
      <c r="IKN43" s="478"/>
      <c r="IKO43" s="478"/>
      <c r="IKP43" s="478"/>
      <c r="IKQ43" s="478"/>
      <c r="IKR43" s="478"/>
      <c r="IKS43" s="478"/>
      <c r="IKT43" s="478"/>
      <c r="IKU43" s="478"/>
      <c r="IKV43" s="478"/>
      <c r="IKW43" s="478"/>
      <c r="IKX43" s="478"/>
      <c r="IKY43" s="478"/>
      <c r="IKZ43" s="478"/>
      <c r="ILA43" s="478"/>
      <c r="ILB43" s="478"/>
      <c r="ILC43" s="478"/>
      <c r="ILD43" s="478"/>
      <c r="ILE43" s="478"/>
      <c r="ILF43" s="478"/>
      <c r="ILG43" s="478"/>
      <c r="ILH43" s="478"/>
      <c r="ILI43" s="478"/>
      <c r="ILJ43" s="478"/>
      <c r="ILK43" s="478"/>
      <c r="ILL43" s="478"/>
      <c r="ILM43" s="478"/>
      <c r="ILN43" s="478"/>
      <c r="ILO43" s="478"/>
      <c r="ILP43" s="478"/>
      <c r="ILQ43" s="478"/>
      <c r="ILR43" s="478"/>
      <c r="ILS43" s="478"/>
      <c r="ILT43" s="478"/>
      <c r="ILU43" s="478"/>
      <c r="ILV43" s="478"/>
      <c r="ILW43" s="478"/>
      <c r="ILX43" s="478"/>
      <c r="ILY43" s="478"/>
      <c r="ILZ43" s="478"/>
      <c r="IMA43" s="478"/>
      <c r="IMB43" s="478"/>
      <c r="IMC43" s="478"/>
      <c r="IMD43" s="478"/>
      <c r="IME43" s="478"/>
      <c r="IMF43" s="478"/>
      <c r="IMG43" s="478"/>
      <c r="IMH43" s="478"/>
      <c r="IMI43" s="478"/>
      <c r="IMJ43" s="478"/>
      <c r="IMK43" s="478"/>
      <c r="IML43" s="478"/>
      <c r="IMM43" s="478"/>
      <c r="IMN43" s="478"/>
      <c r="IMO43" s="478"/>
      <c r="IMP43" s="478"/>
      <c r="IMQ43" s="478"/>
      <c r="IMR43" s="478"/>
      <c r="IMS43" s="478"/>
      <c r="IMT43" s="478"/>
      <c r="IMU43" s="478"/>
      <c r="IMV43" s="478"/>
      <c r="IMW43" s="478"/>
      <c r="IMX43" s="478"/>
      <c r="IMY43" s="478"/>
      <c r="IMZ43" s="478"/>
      <c r="INA43" s="478"/>
      <c r="INB43" s="478"/>
      <c r="INC43" s="478"/>
      <c r="IND43" s="478"/>
      <c r="INE43" s="478"/>
      <c r="INF43" s="478"/>
      <c r="ING43" s="478"/>
      <c r="INH43" s="478"/>
      <c r="INI43" s="478"/>
      <c r="INJ43" s="478"/>
      <c r="INK43" s="478"/>
      <c r="INL43" s="478"/>
      <c r="INM43" s="478"/>
      <c r="INN43" s="478"/>
      <c r="INO43" s="478"/>
      <c r="INP43" s="478"/>
      <c r="INQ43" s="478"/>
      <c r="INR43" s="478"/>
      <c r="INS43" s="478"/>
      <c r="INT43" s="478"/>
      <c r="INU43" s="478"/>
      <c r="INV43" s="478"/>
      <c r="INW43" s="478"/>
      <c r="INX43" s="478"/>
      <c r="INY43" s="478"/>
      <c r="INZ43" s="478"/>
      <c r="IOA43" s="478"/>
      <c r="IOB43" s="478"/>
      <c r="IOC43" s="478"/>
      <c r="IOD43" s="478"/>
      <c r="IOE43" s="478"/>
      <c r="IOF43" s="478"/>
      <c r="IOG43" s="478"/>
      <c r="IOH43" s="478"/>
      <c r="IOI43" s="478"/>
      <c r="IOJ43" s="478"/>
      <c r="IOK43" s="478"/>
      <c r="IOL43" s="478"/>
      <c r="IOM43" s="478"/>
      <c r="ION43" s="478"/>
      <c r="IOO43" s="478"/>
      <c r="IOP43" s="478"/>
      <c r="IOQ43" s="478"/>
      <c r="IOR43" s="478"/>
      <c r="IOS43" s="478"/>
      <c r="IOT43" s="478"/>
      <c r="IOU43" s="478"/>
      <c r="IOV43" s="478"/>
      <c r="IOW43" s="478"/>
      <c r="IOX43" s="478"/>
      <c r="IOY43" s="478"/>
      <c r="IOZ43" s="478"/>
      <c r="IPA43" s="478"/>
      <c r="IPB43" s="478"/>
      <c r="IPC43" s="478"/>
      <c r="IPD43" s="478"/>
      <c r="IPE43" s="478"/>
      <c r="IPF43" s="478"/>
      <c r="IPG43" s="478"/>
      <c r="IPH43" s="478"/>
      <c r="IPI43" s="478"/>
      <c r="IPJ43" s="478"/>
      <c r="IPK43" s="478"/>
      <c r="IPL43" s="478"/>
      <c r="IPM43" s="478"/>
      <c r="IPN43" s="478"/>
      <c r="IPO43" s="478"/>
      <c r="IPP43" s="478"/>
      <c r="IPQ43" s="478"/>
      <c r="IPR43" s="478"/>
      <c r="IPS43" s="478"/>
      <c r="IPT43" s="478"/>
      <c r="IPU43" s="478"/>
      <c r="IPV43" s="478"/>
      <c r="IPW43" s="478"/>
      <c r="IPX43" s="478"/>
      <c r="IPY43" s="478"/>
      <c r="IPZ43" s="478"/>
      <c r="IQA43" s="478"/>
      <c r="IQB43" s="478"/>
      <c r="IQC43" s="478"/>
      <c r="IQD43" s="478"/>
      <c r="IQE43" s="478"/>
      <c r="IQF43" s="478"/>
      <c r="IQG43" s="478"/>
      <c r="IQH43" s="478"/>
      <c r="IQI43" s="478"/>
      <c r="IQJ43" s="478"/>
      <c r="IQK43" s="478"/>
      <c r="IQL43" s="478"/>
      <c r="IQM43" s="478"/>
      <c r="IQN43" s="478"/>
      <c r="IQO43" s="478"/>
      <c r="IQP43" s="478"/>
      <c r="IQQ43" s="478"/>
      <c r="IQR43" s="478"/>
      <c r="IQS43" s="478"/>
      <c r="IQT43" s="478"/>
      <c r="IQU43" s="478"/>
      <c r="IQV43" s="478"/>
      <c r="IQW43" s="478"/>
      <c r="IQX43" s="478"/>
      <c r="IQY43" s="478"/>
      <c r="IQZ43" s="478"/>
      <c r="IRA43" s="478"/>
      <c r="IRB43" s="478"/>
      <c r="IRC43" s="478"/>
      <c r="IRD43" s="478"/>
      <c r="IRE43" s="478"/>
      <c r="IRF43" s="478"/>
      <c r="IRG43" s="478"/>
      <c r="IRH43" s="478"/>
      <c r="IRI43" s="478"/>
      <c r="IRJ43" s="478"/>
      <c r="IRK43" s="478"/>
      <c r="IRL43" s="478"/>
      <c r="IRM43" s="478"/>
      <c r="IRN43" s="478"/>
      <c r="IRO43" s="478"/>
      <c r="IRP43" s="478"/>
      <c r="IRQ43" s="478"/>
      <c r="IRR43" s="478"/>
      <c r="IRS43" s="478"/>
      <c r="IRT43" s="478"/>
      <c r="IRU43" s="478"/>
      <c r="IRV43" s="478"/>
      <c r="IRW43" s="478"/>
      <c r="IRX43" s="478"/>
      <c r="IRY43" s="478"/>
      <c r="IRZ43" s="478"/>
      <c r="ISA43" s="478"/>
      <c r="ISB43" s="478"/>
      <c r="ISC43" s="478"/>
      <c r="ISD43" s="478"/>
      <c r="ISE43" s="478"/>
      <c r="ISF43" s="478"/>
      <c r="ISG43" s="478"/>
      <c r="ISH43" s="478"/>
      <c r="ISI43" s="478"/>
      <c r="ISJ43" s="478"/>
      <c r="ISK43" s="478"/>
      <c r="ISL43" s="478"/>
      <c r="ISM43" s="478"/>
      <c r="ISN43" s="478"/>
      <c r="ISO43" s="478"/>
      <c r="ISP43" s="478"/>
      <c r="ISQ43" s="478"/>
      <c r="ISR43" s="478"/>
      <c r="ISS43" s="478"/>
      <c r="IST43" s="478"/>
      <c r="ISU43" s="478"/>
      <c r="ISV43" s="478"/>
      <c r="ISW43" s="478"/>
      <c r="ISX43" s="478"/>
      <c r="ISY43" s="478"/>
      <c r="ISZ43" s="478"/>
      <c r="ITA43" s="478"/>
      <c r="ITB43" s="478"/>
      <c r="ITC43" s="478"/>
      <c r="ITD43" s="478"/>
      <c r="ITE43" s="478"/>
      <c r="ITF43" s="478"/>
      <c r="ITG43" s="478"/>
      <c r="ITH43" s="478"/>
      <c r="ITI43" s="478"/>
      <c r="ITJ43" s="478"/>
      <c r="ITK43" s="478"/>
      <c r="ITL43" s="478"/>
      <c r="ITM43" s="478"/>
      <c r="ITN43" s="478"/>
      <c r="ITO43" s="478"/>
      <c r="ITP43" s="478"/>
      <c r="ITQ43" s="478"/>
      <c r="ITR43" s="478"/>
      <c r="ITS43" s="478"/>
      <c r="ITT43" s="478"/>
      <c r="ITU43" s="478"/>
      <c r="ITV43" s="478"/>
      <c r="ITW43" s="478"/>
      <c r="ITX43" s="478"/>
      <c r="ITY43" s="478"/>
      <c r="ITZ43" s="478"/>
      <c r="IUA43" s="478"/>
      <c r="IUB43" s="478"/>
      <c r="IUC43" s="478"/>
      <c r="IUD43" s="478"/>
      <c r="IUE43" s="478"/>
      <c r="IUF43" s="478"/>
      <c r="IUG43" s="478"/>
      <c r="IUH43" s="478"/>
      <c r="IUI43" s="478"/>
      <c r="IUJ43" s="478"/>
      <c r="IUK43" s="478"/>
      <c r="IUL43" s="478"/>
      <c r="IUM43" s="478"/>
      <c r="IUN43" s="478"/>
      <c r="IUO43" s="478"/>
      <c r="IUP43" s="478"/>
      <c r="IUQ43" s="478"/>
      <c r="IUR43" s="478"/>
      <c r="IUS43" s="478"/>
      <c r="IUT43" s="478"/>
      <c r="IUU43" s="478"/>
      <c r="IUV43" s="478"/>
      <c r="IUW43" s="478"/>
      <c r="IUX43" s="478"/>
      <c r="IUY43" s="478"/>
      <c r="IUZ43" s="478"/>
      <c r="IVA43" s="478"/>
      <c r="IVB43" s="478"/>
      <c r="IVC43" s="478"/>
      <c r="IVD43" s="478"/>
      <c r="IVE43" s="478"/>
      <c r="IVF43" s="478"/>
      <c r="IVG43" s="478"/>
      <c r="IVH43" s="478"/>
      <c r="IVI43" s="478"/>
      <c r="IVJ43" s="478"/>
      <c r="IVK43" s="478"/>
      <c r="IVL43" s="478"/>
      <c r="IVM43" s="478"/>
      <c r="IVN43" s="478"/>
      <c r="IVO43" s="478"/>
      <c r="IVP43" s="478"/>
      <c r="IVQ43" s="478"/>
      <c r="IVR43" s="478"/>
      <c r="IVS43" s="478"/>
      <c r="IVT43" s="478"/>
      <c r="IVU43" s="478"/>
      <c r="IVV43" s="478"/>
      <c r="IVW43" s="478"/>
      <c r="IVX43" s="478"/>
      <c r="IVY43" s="478"/>
      <c r="IVZ43" s="478"/>
      <c r="IWA43" s="478"/>
      <c r="IWB43" s="478"/>
      <c r="IWC43" s="478"/>
      <c r="IWD43" s="478"/>
      <c r="IWE43" s="478"/>
      <c r="IWF43" s="478"/>
      <c r="IWG43" s="478"/>
      <c r="IWH43" s="478"/>
      <c r="IWI43" s="478"/>
      <c r="IWJ43" s="478"/>
      <c r="IWK43" s="478"/>
      <c r="IWL43" s="478"/>
      <c r="IWM43" s="478"/>
      <c r="IWN43" s="478"/>
      <c r="IWO43" s="478"/>
      <c r="IWP43" s="478"/>
      <c r="IWQ43" s="478"/>
      <c r="IWR43" s="478"/>
      <c r="IWS43" s="478"/>
      <c r="IWT43" s="478"/>
      <c r="IWU43" s="478"/>
      <c r="IWV43" s="478"/>
      <c r="IWW43" s="478"/>
      <c r="IWX43" s="478"/>
      <c r="IWY43" s="478"/>
      <c r="IWZ43" s="478"/>
      <c r="IXA43" s="478"/>
      <c r="IXB43" s="478"/>
      <c r="IXC43" s="478"/>
      <c r="IXD43" s="478"/>
      <c r="IXE43" s="478"/>
      <c r="IXF43" s="478"/>
      <c r="IXG43" s="478"/>
      <c r="IXH43" s="478"/>
      <c r="IXI43" s="478"/>
      <c r="IXJ43" s="478"/>
      <c r="IXK43" s="478"/>
      <c r="IXL43" s="478"/>
      <c r="IXM43" s="478"/>
      <c r="IXN43" s="478"/>
      <c r="IXO43" s="478"/>
      <c r="IXP43" s="478"/>
      <c r="IXQ43" s="478"/>
      <c r="IXR43" s="478"/>
      <c r="IXS43" s="478"/>
      <c r="IXT43" s="478"/>
      <c r="IXU43" s="478"/>
      <c r="IXV43" s="478"/>
      <c r="IXW43" s="478"/>
      <c r="IXX43" s="478"/>
      <c r="IXY43" s="478"/>
      <c r="IXZ43" s="478"/>
      <c r="IYA43" s="478"/>
      <c r="IYB43" s="478"/>
      <c r="IYC43" s="478"/>
      <c r="IYD43" s="478"/>
      <c r="IYE43" s="478"/>
      <c r="IYF43" s="478"/>
      <c r="IYG43" s="478"/>
      <c r="IYH43" s="478"/>
      <c r="IYI43" s="478"/>
      <c r="IYJ43" s="478"/>
      <c r="IYK43" s="478"/>
      <c r="IYL43" s="478"/>
      <c r="IYM43" s="478"/>
      <c r="IYN43" s="478"/>
      <c r="IYO43" s="478"/>
      <c r="IYP43" s="478"/>
      <c r="IYQ43" s="478"/>
      <c r="IYR43" s="478"/>
      <c r="IYS43" s="478"/>
      <c r="IYT43" s="478"/>
      <c r="IYU43" s="478"/>
      <c r="IYV43" s="478"/>
      <c r="IYW43" s="478"/>
      <c r="IYX43" s="478"/>
      <c r="IYY43" s="478"/>
      <c r="IYZ43" s="478"/>
      <c r="IZA43" s="478"/>
      <c r="IZB43" s="478"/>
      <c r="IZC43" s="478"/>
      <c r="IZD43" s="478"/>
      <c r="IZE43" s="478"/>
      <c r="IZF43" s="478"/>
      <c r="IZG43" s="478"/>
      <c r="IZH43" s="478"/>
      <c r="IZI43" s="478"/>
      <c r="IZJ43" s="478"/>
      <c r="IZK43" s="478"/>
      <c r="IZL43" s="478"/>
      <c r="IZM43" s="478"/>
      <c r="IZN43" s="478"/>
      <c r="IZO43" s="478"/>
      <c r="IZP43" s="478"/>
      <c r="IZQ43" s="478"/>
      <c r="IZR43" s="478"/>
      <c r="IZS43" s="478"/>
      <c r="IZT43" s="478"/>
      <c r="IZU43" s="478"/>
      <c r="IZV43" s="478"/>
      <c r="IZW43" s="478"/>
      <c r="IZX43" s="478"/>
      <c r="IZY43" s="478"/>
      <c r="IZZ43" s="478"/>
      <c r="JAA43" s="478"/>
      <c r="JAB43" s="478"/>
      <c r="JAC43" s="478"/>
      <c r="JAD43" s="478"/>
      <c r="JAE43" s="478"/>
      <c r="JAF43" s="478"/>
      <c r="JAG43" s="478"/>
      <c r="JAH43" s="478"/>
      <c r="JAI43" s="478"/>
      <c r="JAJ43" s="478"/>
      <c r="JAK43" s="478"/>
      <c r="JAL43" s="478"/>
      <c r="JAM43" s="478"/>
      <c r="JAN43" s="478"/>
      <c r="JAO43" s="478"/>
      <c r="JAP43" s="478"/>
      <c r="JAQ43" s="478"/>
      <c r="JAR43" s="478"/>
      <c r="JAS43" s="478"/>
      <c r="JAT43" s="478"/>
      <c r="JAU43" s="478"/>
      <c r="JAV43" s="478"/>
      <c r="JAW43" s="478"/>
      <c r="JAX43" s="478"/>
      <c r="JAY43" s="478"/>
      <c r="JAZ43" s="478"/>
      <c r="JBA43" s="478"/>
      <c r="JBB43" s="478"/>
      <c r="JBC43" s="478"/>
      <c r="JBD43" s="478"/>
      <c r="JBE43" s="478"/>
      <c r="JBF43" s="478"/>
      <c r="JBG43" s="478"/>
      <c r="JBH43" s="478"/>
      <c r="JBI43" s="478"/>
      <c r="JBJ43" s="478"/>
      <c r="JBK43" s="478"/>
      <c r="JBL43" s="478"/>
      <c r="JBM43" s="478"/>
      <c r="JBN43" s="478"/>
      <c r="JBO43" s="478"/>
      <c r="JBP43" s="478"/>
      <c r="JBQ43" s="478"/>
      <c r="JBR43" s="478"/>
      <c r="JBS43" s="478"/>
      <c r="JBT43" s="478"/>
      <c r="JBU43" s="478"/>
      <c r="JBV43" s="478"/>
      <c r="JBW43" s="478"/>
      <c r="JBX43" s="478"/>
      <c r="JBY43" s="478"/>
      <c r="JBZ43" s="478"/>
      <c r="JCA43" s="478"/>
      <c r="JCB43" s="478"/>
      <c r="JCC43" s="478"/>
      <c r="JCD43" s="478"/>
      <c r="JCE43" s="478"/>
      <c r="JCF43" s="478"/>
      <c r="JCG43" s="478"/>
      <c r="JCH43" s="478"/>
      <c r="JCI43" s="478"/>
      <c r="JCJ43" s="478"/>
      <c r="JCK43" s="478"/>
      <c r="JCL43" s="478"/>
      <c r="JCM43" s="478"/>
      <c r="JCN43" s="478"/>
      <c r="JCO43" s="478"/>
      <c r="JCP43" s="478"/>
      <c r="JCQ43" s="478"/>
      <c r="JCR43" s="478"/>
      <c r="JCS43" s="478"/>
      <c r="JCT43" s="478"/>
      <c r="JCU43" s="478"/>
      <c r="JCV43" s="478"/>
      <c r="JCW43" s="478"/>
      <c r="JCX43" s="478"/>
      <c r="JCY43" s="478"/>
      <c r="JCZ43" s="478"/>
      <c r="JDA43" s="478"/>
      <c r="JDB43" s="478"/>
      <c r="JDC43" s="478"/>
      <c r="JDD43" s="478"/>
      <c r="JDE43" s="478"/>
      <c r="JDF43" s="478"/>
      <c r="JDG43" s="478"/>
      <c r="JDH43" s="478"/>
      <c r="JDI43" s="478"/>
      <c r="JDJ43" s="478"/>
      <c r="JDK43" s="478"/>
      <c r="JDL43" s="478"/>
      <c r="JDM43" s="478"/>
      <c r="JDN43" s="478"/>
      <c r="JDO43" s="478"/>
      <c r="JDP43" s="478"/>
      <c r="JDQ43" s="478"/>
      <c r="JDR43" s="478"/>
      <c r="JDS43" s="478"/>
      <c r="JDT43" s="478"/>
      <c r="JDU43" s="478"/>
      <c r="JDV43" s="478"/>
      <c r="JDW43" s="478"/>
      <c r="JDX43" s="478"/>
      <c r="JDY43" s="478"/>
      <c r="JDZ43" s="478"/>
      <c r="JEA43" s="478"/>
      <c r="JEB43" s="478"/>
      <c r="JEC43" s="478"/>
      <c r="JED43" s="478"/>
      <c r="JEE43" s="478"/>
      <c r="JEF43" s="478"/>
      <c r="JEG43" s="478"/>
      <c r="JEH43" s="478"/>
      <c r="JEI43" s="478"/>
      <c r="JEJ43" s="478"/>
      <c r="JEK43" s="478"/>
      <c r="JEL43" s="478"/>
      <c r="JEM43" s="478"/>
      <c r="JEN43" s="478"/>
      <c r="JEO43" s="478"/>
      <c r="JEP43" s="478"/>
      <c r="JEQ43" s="478"/>
      <c r="JER43" s="478"/>
      <c r="JES43" s="478"/>
      <c r="JET43" s="478"/>
      <c r="JEU43" s="478"/>
      <c r="JEV43" s="478"/>
      <c r="JEW43" s="478"/>
      <c r="JEX43" s="478"/>
      <c r="JEY43" s="478"/>
      <c r="JEZ43" s="478"/>
      <c r="JFA43" s="478"/>
      <c r="JFB43" s="478"/>
      <c r="JFC43" s="478"/>
      <c r="JFD43" s="478"/>
      <c r="JFE43" s="478"/>
      <c r="JFF43" s="478"/>
      <c r="JFG43" s="478"/>
      <c r="JFH43" s="478"/>
      <c r="JFI43" s="478"/>
      <c r="JFJ43" s="478"/>
      <c r="JFK43" s="478"/>
      <c r="JFL43" s="478"/>
      <c r="JFM43" s="478"/>
      <c r="JFN43" s="478"/>
      <c r="JFO43" s="478"/>
      <c r="JFP43" s="478"/>
      <c r="JFQ43" s="478"/>
      <c r="JFR43" s="478"/>
      <c r="JFS43" s="478"/>
      <c r="JFT43" s="478"/>
      <c r="JFU43" s="478"/>
      <c r="JFV43" s="478"/>
      <c r="JFW43" s="478"/>
      <c r="JFX43" s="478"/>
      <c r="JFY43" s="478"/>
      <c r="JFZ43" s="478"/>
      <c r="JGA43" s="478"/>
      <c r="JGB43" s="478"/>
      <c r="JGC43" s="478"/>
      <c r="JGD43" s="478"/>
      <c r="JGE43" s="478"/>
      <c r="JGF43" s="478"/>
      <c r="JGG43" s="478"/>
      <c r="JGH43" s="478"/>
      <c r="JGI43" s="478"/>
      <c r="JGJ43" s="478"/>
      <c r="JGK43" s="478"/>
      <c r="JGL43" s="478"/>
      <c r="JGM43" s="478"/>
      <c r="JGN43" s="478"/>
      <c r="JGO43" s="478"/>
      <c r="JGP43" s="478"/>
      <c r="JGQ43" s="478"/>
      <c r="JGR43" s="478"/>
      <c r="JGS43" s="478"/>
      <c r="JGT43" s="478"/>
      <c r="JGU43" s="478"/>
      <c r="JGV43" s="478"/>
      <c r="JGW43" s="478"/>
      <c r="JGX43" s="478"/>
      <c r="JGY43" s="478"/>
      <c r="JGZ43" s="478"/>
      <c r="JHA43" s="478"/>
      <c r="JHB43" s="478"/>
      <c r="JHC43" s="478"/>
      <c r="JHD43" s="478"/>
      <c r="JHE43" s="478"/>
      <c r="JHF43" s="478"/>
      <c r="JHG43" s="478"/>
      <c r="JHH43" s="478"/>
      <c r="JHI43" s="478"/>
      <c r="JHJ43" s="478"/>
      <c r="JHK43" s="478"/>
      <c r="JHL43" s="478"/>
      <c r="JHM43" s="478"/>
      <c r="JHN43" s="478"/>
      <c r="JHO43" s="478"/>
      <c r="JHP43" s="478"/>
      <c r="JHQ43" s="478"/>
      <c r="JHR43" s="478"/>
      <c r="JHS43" s="478"/>
      <c r="JHT43" s="478"/>
      <c r="JHU43" s="478"/>
      <c r="JHV43" s="478"/>
      <c r="JHW43" s="478"/>
      <c r="JHX43" s="478"/>
      <c r="JHY43" s="478"/>
      <c r="JHZ43" s="478"/>
      <c r="JIA43" s="478"/>
      <c r="JIB43" s="478"/>
      <c r="JIC43" s="478"/>
      <c r="JID43" s="478"/>
      <c r="JIE43" s="478"/>
      <c r="JIF43" s="478"/>
      <c r="JIG43" s="478"/>
      <c r="JIH43" s="478"/>
      <c r="JII43" s="478"/>
      <c r="JIJ43" s="478"/>
      <c r="JIK43" s="478"/>
      <c r="JIL43" s="478"/>
      <c r="JIM43" s="478"/>
      <c r="JIN43" s="478"/>
      <c r="JIO43" s="478"/>
      <c r="JIP43" s="478"/>
      <c r="JIQ43" s="478"/>
      <c r="JIR43" s="478"/>
      <c r="JIS43" s="478"/>
      <c r="JIT43" s="478"/>
      <c r="JIU43" s="478"/>
      <c r="JIV43" s="478"/>
      <c r="JIW43" s="478"/>
      <c r="JIX43" s="478"/>
      <c r="JIY43" s="478"/>
      <c r="JIZ43" s="478"/>
      <c r="JJA43" s="478"/>
      <c r="JJB43" s="478"/>
      <c r="JJC43" s="478"/>
      <c r="JJD43" s="478"/>
      <c r="JJE43" s="478"/>
      <c r="JJF43" s="478"/>
      <c r="JJG43" s="478"/>
      <c r="JJH43" s="478"/>
      <c r="JJI43" s="478"/>
      <c r="JJJ43" s="478"/>
      <c r="JJK43" s="478"/>
      <c r="JJL43" s="478"/>
      <c r="JJM43" s="478"/>
      <c r="JJN43" s="478"/>
      <c r="JJO43" s="478"/>
      <c r="JJP43" s="478"/>
      <c r="JJQ43" s="478"/>
      <c r="JJR43" s="478"/>
      <c r="JJS43" s="478"/>
      <c r="JJT43" s="478"/>
      <c r="JJU43" s="478"/>
      <c r="JJV43" s="478"/>
      <c r="JJW43" s="478"/>
      <c r="JJX43" s="478"/>
      <c r="JJY43" s="478"/>
      <c r="JJZ43" s="478"/>
      <c r="JKA43" s="478"/>
      <c r="JKB43" s="478"/>
      <c r="JKC43" s="478"/>
      <c r="JKD43" s="478"/>
      <c r="JKE43" s="478"/>
      <c r="JKF43" s="478"/>
      <c r="JKG43" s="478"/>
      <c r="JKH43" s="478"/>
      <c r="JKI43" s="478"/>
      <c r="JKJ43" s="478"/>
      <c r="JKK43" s="478"/>
      <c r="JKL43" s="478"/>
      <c r="JKM43" s="478"/>
      <c r="JKN43" s="478"/>
      <c r="JKO43" s="478"/>
      <c r="JKP43" s="478"/>
      <c r="JKQ43" s="478"/>
      <c r="JKR43" s="478"/>
      <c r="JKS43" s="478"/>
      <c r="JKT43" s="478"/>
      <c r="JKU43" s="478"/>
      <c r="JKV43" s="478"/>
      <c r="JKW43" s="478"/>
      <c r="JKX43" s="478"/>
      <c r="JKY43" s="478"/>
      <c r="JKZ43" s="478"/>
      <c r="JLA43" s="478"/>
      <c r="JLB43" s="478"/>
      <c r="JLC43" s="478"/>
      <c r="JLD43" s="478"/>
      <c r="JLE43" s="478"/>
      <c r="JLF43" s="478"/>
      <c r="JLG43" s="478"/>
      <c r="JLH43" s="478"/>
      <c r="JLI43" s="478"/>
      <c r="JLJ43" s="478"/>
      <c r="JLK43" s="478"/>
      <c r="JLL43" s="478"/>
      <c r="JLM43" s="478"/>
      <c r="JLN43" s="478"/>
      <c r="JLO43" s="478"/>
      <c r="JLP43" s="478"/>
      <c r="JLQ43" s="478"/>
      <c r="JLR43" s="478"/>
      <c r="JLS43" s="478"/>
      <c r="JLT43" s="478"/>
      <c r="JLU43" s="478"/>
      <c r="JLV43" s="478"/>
      <c r="JLW43" s="478"/>
      <c r="JLX43" s="478"/>
      <c r="JLY43" s="478"/>
      <c r="JLZ43" s="478"/>
      <c r="JMA43" s="478"/>
      <c r="JMB43" s="478"/>
      <c r="JMC43" s="478"/>
      <c r="JMD43" s="478"/>
      <c r="JME43" s="478"/>
      <c r="JMF43" s="478"/>
      <c r="JMG43" s="478"/>
      <c r="JMH43" s="478"/>
      <c r="JMI43" s="478"/>
      <c r="JMJ43" s="478"/>
      <c r="JMK43" s="478"/>
      <c r="JML43" s="478"/>
      <c r="JMM43" s="478"/>
      <c r="JMN43" s="478"/>
      <c r="JMO43" s="478"/>
      <c r="JMP43" s="478"/>
      <c r="JMQ43" s="478"/>
      <c r="JMR43" s="478"/>
      <c r="JMS43" s="478"/>
      <c r="JMT43" s="478"/>
      <c r="JMU43" s="478"/>
      <c r="JMV43" s="478"/>
      <c r="JMW43" s="478"/>
      <c r="JMX43" s="478"/>
      <c r="JMY43" s="478"/>
      <c r="JMZ43" s="478"/>
      <c r="JNA43" s="478"/>
      <c r="JNB43" s="478"/>
      <c r="JNC43" s="478"/>
      <c r="JND43" s="478"/>
      <c r="JNE43" s="478"/>
      <c r="JNF43" s="478"/>
      <c r="JNG43" s="478"/>
      <c r="JNH43" s="478"/>
      <c r="JNI43" s="478"/>
      <c r="JNJ43" s="478"/>
      <c r="JNK43" s="478"/>
      <c r="JNL43" s="478"/>
      <c r="JNM43" s="478"/>
      <c r="JNN43" s="478"/>
      <c r="JNO43" s="478"/>
      <c r="JNP43" s="478"/>
      <c r="JNQ43" s="478"/>
      <c r="JNR43" s="478"/>
      <c r="JNS43" s="478"/>
      <c r="JNT43" s="478"/>
      <c r="JNU43" s="478"/>
      <c r="JNV43" s="478"/>
      <c r="JNW43" s="478"/>
      <c r="JNX43" s="478"/>
      <c r="JNY43" s="478"/>
      <c r="JNZ43" s="478"/>
      <c r="JOA43" s="478"/>
      <c r="JOB43" s="478"/>
      <c r="JOC43" s="478"/>
      <c r="JOD43" s="478"/>
      <c r="JOE43" s="478"/>
      <c r="JOF43" s="478"/>
      <c r="JOG43" s="478"/>
      <c r="JOH43" s="478"/>
      <c r="JOI43" s="478"/>
      <c r="JOJ43" s="478"/>
      <c r="JOK43" s="478"/>
      <c r="JOL43" s="478"/>
      <c r="JOM43" s="478"/>
      <c r="JON43" s="478"/>
      <c r="JOO43" s="478"/>
      <c r="JOP43" s="478"/>
      <c r="JOQ43" s="478"/>
      <c r="JOR43" s="478"/>
      <c r="JOS43" s="478"/>
      <c r="JOT43" s="478"/>
      <c r="JOU43" s="478"/>
      <c r="JOV43" s="478"/>
      <c r="JOW43" s="478"/>
      <c r="JOX43" s="478"/>
      <c r="JOY43" s="478"/>
      <c r="JOZ43" s="478"/>
      <c r="JPA43" s="478"/>
      <c r="JPB43" s="478"/>
      <c r="JPC43" s="478"/>
      <c r="JPD43" s="478"/>
      <c r="JPE43" s="478"/>
      <c r="JPF43" s="478"/>
      <c r="JPG43" s="478"/>
      <c r="JPH43" s="478"/>
      <c r="JPI43" s="478"/>
      <c r="JPJ43" s="478"/>
      <c r="JPK43" s="478"/>
      <c r="JPL43" s="478"/>
      <c r="JPM43" s="478"/>
      <c r="JPN43" s="478"/>
      <c r="JPO43" s="478"/>
      <c r="JPP43" s="478"/>
      <c r="JPQ43" s="478"/>
      <c r="JPR43" s="478"/>
      <c r="JPS43" s="478"/>
      <c r="JPT43" s="478"/>
      <c r="JPU43" s="478"/>
      <c r="JPV43" s="478"/>
      <c r="JPW43" s="478"/>
      <c r="JPX43" s="478"/>
      <c r="JPY43" s="478"/>
      <c r="JPZ43" s="478"/>
      <c r="JQA43" s="478"/>
      <c r="JQB43" s="478"/>
      <c r="JQC43" s="478"/>
      <c r="JQD43" s="478"/>
      <c r="JQE43" s="478"/>
      <c r="JQF43" s="478"/>
      <c r="JQG43" s="478"/>
      <c r="JQH43" s="478"/>
      <c r="JQI43" s="478"/>
      <c r="JQJ43" s="478"/>
      <c r="JQK43" s="478"/>
      <c r="JQL43" s="478"/>
      <c r="JQM43" s="478"/>
      <c r="JQN43" s="478"/>
      <c r="JQO43" s="478"/>
      <c r="JQP43" s="478"/>
      <c r="JQQ43" s="478"/>
      <c r="JQR43" s="478"/>
      <c r="JQS43" s="478"/>
      <c r="JQT43" s="478"/>
      <c r="JQU43" s="478"/>
      <c r="JQV43" s="478"/>
      <c r="JQW43" s="478"/>
      <c r="JQX43" s="478"/>
      <c r="JQY43" s="478"/>
      <c r="JQZ43" s="478"/>
      <c r="JRA43" s="478"/>
      <c r="JRB43" s="478"/>
      <c r="JRC43" s="478"/>
      <c r="JRD43" s="478"/>
      <c r="JRE43" s="478"/>
      <c r="JRF43" s="478"/>
      <c r="JRG43" s="478"/>
      <c r="JRH43" s="478"/>
      <c r="JRI43" s="478"/>
      <c r="JRJ43" s="478"/>
      <c r="JRK43" s="478"/>
      <c r="JRL43" s="478"/>
      <c r="JRM43" s="478"/>
      <c r="JRN43" s="478"/>
      <c r="JRO43" s="478"/>
      <c r="JRP43" s="478"/>
      <c r="JRQ43" s="478"/>
      <c r="JRR43" s="478"/>
      <c r="JRS43" s="478"/>
      <c r="JRT43" s="478"/>
      <c r="JRU43" s="478"/>
      <c r="JRV43" s="478"/>
      <c r="JRW43" s="478"/>
      <c r="JRX43" s="478"/>
      <c r="JRY43" s="478"/>
      <c r="JRZ43" s="478"/>
      <c r="JSA43" s="478"/>
      <c r="JSB43" s="478"/>
      <c r="JSC43" s="478"/>
      <c r="JSD43" s="478"/>
      <c r="JSE43" s="478"/>
      <c r="JSF43" s="478"/>
      <c r="JSG43" s="478"/>
      <c r="JSH43" s="478"/>
      <c r="JSI43" s="478"/>
      <c r="JSJ43" s="478"/>
      <c r="JSK43" s="478"/>
      <c r="JSL43" s="478"/>
      <c r="JSM43" s="478"/>
      <c r="JSN43" s="478"/>
      <c r="JSO43" s="478"/>
      <c r="JSP43" s="478"/>
      <c r="JSQ43" s="478"/>
      <c r="JSR43" s="478"/>
      <c r="JSS43" s="478"/>
      <c r="JST43" s="478"/>
      <c r="JSU43" s="478"/>
      <c r="JSV43" s="478"/>
      <c r="JSW43" s="478"/>
      <c r="JSX43" s="478"/>
      <c r="JSY43" s="478"/>
      <c r="JSZ43" s="478"/>
      <c r="JTA43" s="478"/>
      <c r="JTB43" s="478"/>
      <c r="JTC43" s="478"/>
      <c r="JTD43" s="478"/>
      <c r="JTE43" s="478"/>
      <c r="JTF43" s="478"/>
      <c r="JTG43" s="478"/>
      <c r="JTH43" s="478"/>
      <c r="JTI43" s="478"/>
      <c r="JTJ43" s="478"/>
      <c r="JTK43" s="478"/>
      <c r="JTL43" s="478"/>
      <c r="JTM43" s="478"/>
      <c r="JTN43" s="478"/>
      <c r="JTO43" s="478"/>
      <c r="JTP43" s="478"/>
      <c r="JTQ43" s="478"/>
      <c r="JTR43" s="478"/>
      <c r="JTS43" s="478"/>
      <c r="JTT43" s="478"/>
      <c r="JTU43" s="478"/>
      <c r="JTV43" s="478"/>
      <c r="JTW43" s="478"/>
      <c r="JTX43" s="478"/>
      <c r="JTY43" s="478"/>
      <c r="JTZ43" s="478"/>
      <c r="JUA43" s="478"/>
      <c r="JUB43" s="478"/>
      <c r="JUC43" s="478"/>
      <c r="JUD43" s="478"/>
      <c r="JUE43" s="478"/>
      <c r="JUF43" s="478"/>
      <c r="JUG43" s="478"/>
      <c r="JUH43" s="478"/>
      <c r="JUI43" s="478"/>
      <c r="JUJ43" s="478"/>
      <c r="JUK43" s="478"/>
      <c r="JUL43" s="478"/>
      <c r="JUM43" s="478"/>
      <c r="JUN43" s="478"/>
      <c r="JUO43" s="478"/>
      <c r="JUP43" s="478"/>
      <c r="JUQ43" s="478"/>
      <c r="JUR43" s="478"/>
      <c r="JUS43" s="478"/>
      <c r="JUT43" s="478"/>
      <c r="JUU43" s="478"/>
      <c r="JUV43" s="478"/>
      <c r="JUW43" s="478"/>
      <c r="JUX43" s="478"/>
      <c r="JUY43" s="478"/>
      <c r="JUZ43" s="478"/>
      <c r="JVA43" s="478"/>
      <c r="JVB43" s="478"/>
      <c r="JVC43" s="478"/>
      <c r="JVD43" s="478"/>
      <c r="JVE43" s="478"/>
      <c r="JVF43" s="478"/>
      <c r="JVG43" s="478"/>
      <c r="JVH43" s="478"/>
      <c r="JVI43" s="478"/>
      <c r="JVJ43" s="478"/>
      <c r="JVK43" s="478"/>
      <c r="JVL43" s="478"/>
      <c r="JVM43" s="478"/>
      <c r="JVN43" s="478"/>
      <c r="JVO43" s="478"/>
      <c r="JVP43" s="478"/>
      <c r="JVQ43" s="478"/>
      <c r="JVR43" s="478"/>
      <c r="JVS43" s="478"/>
      <c r="JVT43" s="478"/>
      <c r="JVU43" s="478"/>
      <c r="JVV43" s="478"/>
      <c r="JVW43" s="478"/>
      <c r="JVX43" s="478"/>
      <c r="JVY43" s="478"/>
      <c r="JVZ43" s="478"/>
      <c r="JWA43" s="478"/>
      <c r="JWB43" s="478"/>
      <c r="JWC43" s="478"/>
      <c r="JWD43" s="478"/>
      <c r="JWE43" s="478"/>
      <c r="JWF43" s="478"/>
      <c r="JWG43" s="478"/>
      <c r="JWH43" s="478"/>
      <c r="JWI43" s="478"/>
      <c r="JWJ43" s="478"/>
      <c r="JWK43" s="478"/>
      <c r="JWL43" s="478"/>
      <c r="JWM43" s="478"/>
      <c r="JWN43" s="478"/>
      <c r="JWO43" s="478"/>
      <c r="JWP43" s="478"/>
      <c r="JWQ43" s="478"/>
      <c r="JWR43" s="478"/>
      <c r="JWS43" s="478"/>
      <c r="JWT43" s="478"/>
      <c r="JWU43" s="478"/>
      <c r="JWV43" s="478"/>
      <c r="JWW43" s="478"/>
      <c r="JWX43" s="478"/>
      <c r="JWY43" s="478"/>
      <c r="JWZ43" s="478"/>
      <c r="JXA43" s="478"/>
      <c r="JXB43" s="478"/>
      <c r="JXC43" s="478"/>
      <c r="JXD43" s="478"/>
      <c r="JXE43" s="478"/>
      <c r="JXF43" s="478"/>
      <c r="JXG43" s="478"/>
      <c r="JXH43" s="478"/>
      <c r="JXI43" s="478"/>
      <c r="JXJ43" s="478"/>
      <c r="JXK43" s="478"/>
      <c r="JXL43" s="478"/>
      <c r="JXM43" s="478"/>
      <c r="JXN43" s="478"/>
      <c r="JXO43" s="478"/>
      <c r="JXP43" s="478"/>
      <c r="JXQ43" s="478"/>
      <c r="JXR43" s="478"/>
      <c r="JXS43" s="478"/>
      <c r="JXT43" s="478"/>
      <c r="JXU43" s="478"/>
      <c r="JXV43" s="478"/>
      <c r="JXW43" s="478"/>
      <c r="JXX43" s="478"/>
      <c r="JXY43" s="478"/>
      <c r="JXZ43" s="478"/>
      <c r="JYA43" s="478"/>
      <c r="JYB43" s="478"/>
      <c r="JYC43" s="478"/>
      <c r="JYD43" s="478"/>
      <c r="JYE43" s="478"/>
      <c r="JYF43" s="478"/>
      <c r="JYG43" s="478"/>
      <c r="JYH43" s="478"/>
      <c r="JYI43" s="478"/>
      <c r="JYJ43" s="478"/>
      <c r="JYK43" s="478"/>
      <c r="JYL43" s="478"/>
      <c r="JYM43" s="478"/>
      <c r="JYN43" s="478"/>
      <c r="JYO43" s="478"/>
      <c r="JYP43" s="478"/>
      <c r="JYQ43" s="478"/>
      <c r="JYR43" s="478"/>
      <c r="JYS43" s="478"/>
      <c r="JYT43" s="478"/>
      <c r="JYU43" s="478"/>
      <c r="JYV43" s="478"/>
      <c r="JYW43" s="478"/>
      <c r="JYX43" s="478"/>
      <c r="JYY43" s="478"/>
      <c r="JYZ43" s="478"/>
      <c r="JZA43" s="478"/>
      <c r="JZB43" s="478"/>
      <c r="JZC43" s="478"/>
      <c r="JZD43" s="478"/>
      <c r="JZE43" s="478"/>
      <c r="JZF43" s="478"/>
      <c r="JZG43" s="478"/>
      <c r="JZH43" s="478"/>
      <c r="JZI43" s="478"/>
      <c r="JZJ43" s="478"/>
      <c r="JZK43" s="478"/>
      <c r="JZL43" s="478"/>
      <c r="JZM43" s="478"/>
      <c r="JZN43" s="478"/>
      <c r="JZO43" s="478"/>
      <c r="JZP43" s="478"/>
      <c r="JZQ43" s="478"/>
      <c r="JZR43" s="478"/>
      <c r="JZS43" s="478"/>
      <c r="JZT43" s="478"/>
      <c r="JZU43" s="478"/>
      <c r="JZV43" s="478"/>
      <c r="JZW43" s="478"/>
      <c r="JZX43" s="478"/>
      <c r="JZY43" s="478"/>
      <c r="JZZ43" s="478"/>
      <c r="KAA43" s="478"/>
      <c r="KAB43" s="478"/>
      <c r="KAC43" s="478"/>
      <c r="KAD43" s="478"/>
      <c r="KAE43" s="478"/>
      <c r="KAF43" s="478"/>
      <c r="KAG43" s="478"/>
      <c r="KAH43" s="478"/>
      <c r="KAI43" s="478"/>
      <c r="KAJ43" s="478"/>
      <c r="KAK43" s="478"/>
      <c r="KAL43" s="478"/>
      <c r="KAM43" s="478"/>
      <c r="KAN43" s="478"/>
      <c r="KAO43" s="478"/>
      <c r="KAP43" s="478"/>
      <c r="KAQ43" s="478"/>
      <c r="KAR43" s="478"/>
      <c r="KAS43" s="478"/>
      <c r="KAT43" s="478"/>
      <c r="KAU43" s="478"/>
      <c r="KAV43" s="478"/>
      <c r="KAW43" s="478"/>
      <c r="KAX43" s="478"/>
      <c r="KAY43" s="478"/>
      <c r="KAZ43" s="478"/>
      <c r="KBA43" s="478"/>
      <c r="KBB43" s="478"/>
      <c r="KBC43" s="478"/>
      <c r="KBD43" s="478"/>
      <c r="KBE43" s="478"/>
      <c r="KBF43" s="478"/>
      <c r="KBG43" s="478"/>
      <c r="KBH43" s="478"/>
      <c r="KBI43" s="478"/>
      <c r="KBJ43" s="478"/>
      <c r="KBK43" s="478"/>
      <c r="KBL43" s="478"/>
      <c r="KBM43" s="478"/>
      <c r="KBN43" s="478"/>
      <c r="KBO43" s="478"/>
      <c r="KBP43" s="478"/>
      <c r="KBQ43" s="478"/>
      <c r="KBR43" s="478"/>
      <c r="KBS43" s="478"/>
      <c r="KBT43" s="478"/>
      <c r="KBU43" s="478"/>
      <c r="KBV43" s="478"/>
      <c r="KBW43" s="478"/>
      <c r="KBX43" s="478"/>
      <c r="KBY43" s="478"/>
      <c r="KBZ43" s="478"/>
      <c r="KCA43" s="478"/>
      <c r="KCB43" s="478"/>
      <c r="KCC43" s="478"/>
      <c r="KCD43" s="478"/>
      <c r="KCE43" s="478"/>
      <c r="KCF43" s="478"/>
      <c r="KCG43" s="478"/>
      <c r="KCH43" s="478"/>
      <c r="KCI43" s="478"/>
      <c r="KCJ43" s="478"/>
      <c r="KCK43" s="478"/>
      <c r="KCL43" s="478"/>
      <c r="KCM43" s="478"/>
      <c r="KCN43" s="478"/>
      <c r="KCO43" s="478"/>
      <c r="KCP43" s="478"/>
      <c r="KCQ43" s="478"/>
      <c r="KCR43" s="478"/>
      <c r="KCS43" s="478"/>
      <c r="KCT43" s="478"/>
      <c r="KCU43" s="478"/>
      <c r="KCV43" s="478"/>
      <c r="KCW43" s="478"/>
      <c r="KCX43" s="478"/>
      <c r="KCY43" s="478"/>
      <c r="KCZ43" s="478"/>
      <c r="KDA43" s="478"/>
      <c r="KDB43" s="478"/>
      <c r="KDC43" s="478"/>
      <c r="KDD43" s="478"/>
      <c r="KDE43" s="478"/>
      <c r="KDF43" s="478"/>
      <c r="KDG43" s="478"/>
      <c r="KDH43" s="478"/>
      <c r="KDI43" s="478"/>
      <c r="KDJ43" s="478"/>
      <c r="KDK43" s="478"/>
      <c r="KDL43" s="478"/>
      <c r="KDM43" s="478"/>
      <c r="KDN43" s="478"/>
      <c r="KDO43" s="478"/>
      <c r="KDP43" s="478"/>
      <c r="KDQ43" s="478"/>
      <c r="KDR43" s="478"/>
      <c r="KDS43" s="478"/>
      <c r="KDT43" s="478"/>
      <c r="KDU43" s="478"/>
      <c r="KDV43" s="478"/>
      <c r="KDW43" s="478"/>
      <c r="KDX43" s="478"/>
      <c r="KDY43" s="478"/>
      <c r="KDZ43" s="478"/>
      <c r="KEA43" s="478"/>
      <c r="KEB43" s="478"/>
      <c r="KEC43" s="478"/>
      <c r="KED43" s="478"/>
      <c r="KEE43" s="478"/>
      <c r="KEF43" s="478"/>
      <c r="KEG43" s="478"/>
      <c r="KEH43" s="478"/>
      <c r="KEI43" s="478"/>
      <c r="KEJ43" s="478"/>
      <c r="KEK43" s="478"/>
      <c r="KEL43" s="478"/>
      <c r="KEM43" s="478"/>
      <c r="KEN43" s="478"/>
      <c r="KEO43" s="478"/>
      <c r="KEP43" s="478"/>
      <c r="KEQ43" s="478"/>
      <c r="KER43" s="478"/>
      <c r="KES43" s="478"/>
      <c r="KET43" s="478"/>
      <c r="KEU43" s="478"/>
      <c r="KEV43" s="478"/>
      <c r="KEW43" s="478"/>
      <c r="KEX43" s="478"/>
      <c r="KEY43" s="478"/>
      <c r="KEZ43" s="478"/>
      <c r="KFA43" s="478"/>
      <c r="KFB43" s="478"/>
      <c r="KFC43" s="478"/>
      <c r="KFD43" s="478"/>
      <c r="KFE43" s="478"/>
      <c r="KFF43" s="478"/>
      <c r="KFG43" s="478"/>
      <c r="KFH43" s="478"/>
      <c r="KFI43" s="478"/>
      <c r="KFJ43" s="478"/>
      <c r="KFK43" s="478"/>
      <c r="KFL43" s="478"/>
      <c r="KFM43" s="478"/>
      <c r="KFN43" s="478"/>
      <c r="KFO43" s="478"/>
      <c r="KFP43" s="478"/>
      <c r="KFQ43" s="478"/>
      <c r="KFR43" s="478"/>
      <c r="KFS43" s="478"/>
      <c r="KFT43" s="478"/>
      <c r="KFU43" s="478"/>
      <c r="KFV43" s="478"/>
      <c r="KFW43" s="478"/>
      <c r="KFX43" s="478"/>
      <c r="KFY43" s="478"/>
      <c r="KFZ43" s="478"/>
      <c r="KGA43" s="478"/>
      <c r="KGB43" s="478"/>
      <c r="KGC43" s="478"/>
      <c r="KGD43" s="478"/>
      <c r="KGE43" s="478"/>
      <c r="KGF43" s="478"/>
      <c r="KGG43" s="478"/>
      <c r="KGH43" s="478"/>
      <c r="KGI43" s="478"/>
      <c r="KGJ43" s="478"/>
      <c r="KGK43" s="478"/>
      <c r="KGL43" s="478"/>
      <c r="KGM43" s="478"/>
      <c r="KGN43" s="478"/>
      <c r="KGO43" s="478"/>
      <c r="KGP43" s="478"/>
      <c r="KGQ43" s="478"/>
      <c r="KGR43" s="478"/>
      <c r="KGS43" s="478"/>
      <c r="KGT43" s="478"/>
      <c r="KGU43" s="478"/>
      <c r="KGV43" s="478"/>
      <c r="KGW43" s="478"/>
      <c r="KGX43" s="478"/>
      <c r="KGY43" s="478"/>
      <c r="KGZ43" s="478"/>
      <c r="KHA43" s="478"/>
      <c r="KHB43" s="478"/>
      <c r="KHC43" s="478"/>
      <c r="KHD43" s="478"/>
      <c r="KHE43" s="478"/>
      <c r="KHF43" s="478"/>
      <c r="KHG43" s="478"/>
      <c r="KHH43" s="478"/>
      <c r="KHI43" s="478"/>
      <c r="KHJ43" s="478"/>
      <c r="KHK43" s="478"/>
      <c r="KHL43" s="478"/>
      <c r="KHM43" s="478"/>
      <c r="KHN43" s="478"/>
      <c r="KHO43" s="478"/>
      <c r="KHP43" s="478"/>
      <c r="KHQ43" s="478"/>
      <c r="KHR43" s="478"/>
      <c r="KHS43" s="478"/>
      <c r="KHT43" s="478"/>
      <c r="KHU43" s="478"/>
      <c r="KHV43" s="478"/>
      <c r="KHW43" s="478"/>
      <c r="KHX43" s="478"/>
      <c r="KHY43" s="478"/>
      <c r="KHZ43" s="478"/>
      <c r="KIA43" s="478"/>
      <c r="KIB43" s="478"/>
      <c r="KIC43" s="478"/>
      <c r="KID43" s="478"/>
      <c r="KIE43" s="478"/>
      <c r="KIF43" s="478"/>
      <c r="KIG43" s="478"/>
      <c r="KIH43" s="478"/>
      <c r="KII43" s="478"/>
      <c r="KIJ43" s="478"/>
      <c r="KIK43" s="478"/>
      <c r="KIL43" s="478"/>
      <c r="KIM43" s="478"/>
      <c r="KIN43" s="478"/>
      <c r="KIO43" s="478"/>
      <c r="KIP43" s="478"/>
      <c r="KIQ43" s="478"/>
      <c r="KIR43" s="478"/>
      <c r="KIS43" s="478"/>
      <c r="KIT43" s="478"/>
      <c r="KIU43" s="478"/>
      <c r="KIV43" s="478"/>
      <c r="KIW43" s="478"/>
      <c r="KIX43" s="478"/>
      <c r="KIY43" s="478"/>
      <c r="KIZ43" s="478"/>
      <c r="KJA43" s="478"/>
      <c r="KJB43" s="478"/>
      <c r="KJC43" s="478"/>
      <c r="KJD43" s="478"/>
      <c r="KJE43" s="478"/>
      <c r="KJF43" s="478"/>
      <c r="KJG43" s="478"/>
      <c r="KJH43" s="478"/>
      <c r="KJI43" s="478"/>
      <c r="KJJ43" s="478"/>
      <c r="KJK43" s="478"/>
      <c r="KJL43" s="478"/>
      <c r="KJM43" s="478"/>
      <c r="KJN43" s="478"/>
      <c r="KJO43" s="478"/>
      <c r="KJP43" s="478"/>
      <c r="KJQ43" s="478"/>
      <c r="KJR43" s="478"/>
      <c r="KJS43" s="478"/>
      <c r="KJT43" s="478"/>
      <c r="KJU43" s="478"/>
      <c r="KJV43" s="478"/>
      <c r="KJW43" s="478"/>
      <c r="KJX43" s="478"/>
      <c r="KJY43" s="478"/>
      <c r="KJZ43" s="478"/>
      <c r="KKA43" s="478"/>
      <c r="KKB43" s="478"/>
      <c r="KKC43" s="478"/>
      <c r="KKD43" s="478"/>
      <c r="KKE43" s="478"/>
      <c r="KKF43" s="478"/>
      <c r="KKG43" s="478"/>
      <c r="KKH43" s="478"/>
      <c r="KKI43" s="478"/>
      <c r="KKJ43" s="478"/>
      <c r="KKK43" s="478"/>
      <c r="KKL43" s="478"/>
      <c r="KKM43" s="478"/>
      <c r="KKN43" s="478"/>
      <c r="KKO43" s="478"/>
      <c r="KKP43" s="478"/>
      <c r="KKQ43" s="478"/>
      <c r="KKR43" s="478"/>
      <c r="KKS43" s="478"/>
      <c r="KKT43" s="478"/>
      <c r="KKU43" s="478"/>
      <c r="KKV43" s="478"/>
      <c r="KKW43" s="478"/>
      <c r="KKX43" s="478"/>
      <c r="KKY43" s="478"/>
      <c r="KKZ43" s="478"/>
      <c r="KLA43" s="478"/>
      <c r="KLB43" s="478"/>
      <c r="KLC43" s="478"/>
      <c r="KLD43" s="478"/>
      <c r="KLE43" s="478"/>
      <c r="KLF43" s="478"/>
      <c r="KLG43" s="478"/>
      <c r="KLH43" s="478"/>
      <c r="KLI43" s="478"/>
      <c r="KLJ43" s="478"/>
      <c r="KLK43" s="478"/>
      <c r="KLL43" s="478"/>
      <c r="KLM43" s="478"/>
      <c r="KLN43" s="478"/>
      <c r="KLO43" s="478"/>
      <c r="KLP43" s="478"/>
      <c r="KLQ43" s="478"/>
      <c r="KLR43" s="478"/>
      <c r="KLS43" s="478"/>
      <c r="KLT43" s="478"/>
      <c r="KLU43" s="478"/>
      <c r="KLV43" s="478"/>
      <c r="KLW43" s="478"/>
      <c r="KLX43" s="478"/>
      <c r="KLY43" s="478"/>
      <c r="KLZ43" s="478"/>
      <c r="KMA43" s="478"/>
      <c r="KMB43" s="478"/>
      <c r="KMC43" s="478"/>
      <c r="KMD43" s="478"/>
      <c r="KME43" s="478"/>
      <c r="KMF43" s="478"/>
      <c r="KMG43" s="478"/>
      <c r="KMH43" s="478"/>
      <c r="KMI43" s="478"/>
      <c r="KMJ43" s="478"/>
      <c r="KMK43" s="478"/>
      <c r="KML43" s="478"/>
      <c r="KMM43" s="478"/>
      <c r="KMN43" s="478"/>
      <c r="KMO43" s="478"/>
      <c r="KMP43" s="478"/>
      <c r="KMQ43" s="478"/>
      <c r="KMR43" s="478"/>
      <c r="KMS43" s="478"/>
      <c r="KMT43" s="478"/>
      <c r="KMU43" s="478"/>
      <c r="KMV43" s="478"/>
      <c r="KMW43" s="478"/>
      <c r="KMX43" s="478"/>
      <c r="KMY43" s="478"/>
      <c r="KMZ43" s="478"/>
      <c r="KNA43" s="478"/>
      <c r="KNB43" s="478"/>
      <c r="KNC43" s="478"/>
      <c r="KND43" s="478"/>
      <c r="KNE43" s="478"/>
      <c r="KNF43" s="478"/>
      <c r="KNG43" s="478"/>
      <c r="KNH43" s="478"/>
      <c r="KNI43" s="478"/>
      <c r="KNJ43" s="478"/>
      <c r="KNK43" s="478"/>
      <c r="KNL43" s="478"/>
      <c r="KNM43" s="478"/>
      <c r="KNN43" s="478"/>
      <c r="KNO43" s="478"/>
      <c r="KNP43" s="478"/>
      <c r="KNQ43" s="478"/>
      <c r="KNR43" s="478"/>
      <c r="KNS43" s="478"/>
      <c r="KNT43" s="478"/>
      <c r="KNU43" s="478"/>
      <c r="KNV43" s="478"/>
      <c r="KNW43" s="478"/>
      <c r="KNX43" s="478"/>
      <c r="KNY43" s="478"/>
      <c r="KNZ43" s="478"/>
      <c r="KOA43" s="478"/>
      <c r="KOB43" s="478"/>
      <c r="KOC43" s="478"/>
      <c r="KOD43" s="478"/>
      <c r="KOE43" s="478"/>
      <c r="KOF43" s="478"/>
      <c r="KOG43" s="478"/>
      <c r="KOH43" s="478"/>
      <c r="KOI43" s="478"/>
      <c r="KOJ43" s="478"/>
      <c r="KOK43" s="478"/>
      <c r="KOL43" s="478"/>
      <c r="KOM43" s="478"/>
      <c r="KON43" s="478"/>
      <c r="KOO43" s="478"/>
      <c r="KOP43" s="478"/>
      <c r="KOQ43" s="478"/>
      <c r="KOR43" s="478"/>
      <c r="KOS43" s="478"/>
      <c r="KOT43" s="478"/>
      <c r="KOU43" s="478"/>
      <c r="KOV43" s="478"/>
      <c r="KOW43" s="478"/>
      <c r="KOX43" s="478"/>
      <c r="KOY43" s="478"/>
      <c r="KOZ43" s="478"/>
      <c r="KPA43" s="478"/>
      <c r="KPB43" s="478"/>
      <c r="KPC43" s="478"/>
      <c r="KPD43" s="478"/>
      <c r="KPE43" s="478"/>
      <c r="KPF43" s="478"/>
      <c r="KPG43" s="478"/>
      <c r="KPH43" s="478"/>
      <c r="KPI43" s="478"/>
      <c r="KPJ43" s="478"/>
      <c r="KPK43" s="478"/>
      <c r="KPL43" s="478"/>
      <c r="KPM43" s="478"/>
      <c r="KPN43" s="478"/>
      <c r="KPO43" s="478"/>
      <c r="KPP43" s="478"/>
      <c r="KPQ43" s="478"/>
      <c r="KPR43" s="478"/>
      <c r="KPS43" s="478"/>
      <c r="KPT43" s="478"/>
      <c r="KPU43" s="478"/>
      <c r="KPV43" s="478"/>
      <c r="KPW43" s="478"/>
      <c r="KPX43" s="478"/>
      <c r="KPY43" s="478"/>
      <c r="KPZ43" s="478"/>
      <c r="KQA43" s="478"/>
      <c r="KQB43" s="478"/>
      <c r="KQC43" s="478"/>
      <c r="KQD43" s="478"/>
      <c r="KQE43" s="478"/>
      <c r="KQF43" s="478"/>
      <c r="KQG43" s="478"/>
      <c r="KQH43" s="478"/>
      <c r="KQI43" s="478"/>
      <c r="KQJ43" s="478"/>
      <c r="KQK43" s="478"/>
      <c r="KQL43" s="478"/>
      <c r="KQM43" s="478"/>
      <c r="KQN43" s="478"/>
      <c r="KQO43" s="478"/>
      <c r="KQP43" s="478"/>
      <c r="KQQ43" s="478"/>
      <c r="KQR43" s="478"/>
      <c r="KQS43" s="478"/>
      <c r="KQT43" s="478"/>
      <c r="KQU43" s="478"/>
      <c r="KQV43" s="478"/>
      <c r="KQW43" s="478"/>
      <c r="KQX43" s="478"/>
      <c r="KQY43" s="478"/>
      <c r="KQZ43" s="478"/>
      <c r="KRA43" s="478"/>
      <c r="KRB43" s="478"/>
      <c r="KRC43" s="478"/>
      <c r="KRD43" s="478"/>
      <c r="KRE43" s="478"/>
      <c r="KRF43" s="478"/>
      <c r="KRG43" s="478"/>
      <c r="KRH43" s="478"/>
      <c r="KRI43" s="478"/>
      <c r="KRJ43" s="478"/>
      <c r="KRK43" s="478"/>
      <c r="KRL43" s="478"/>
      <c r="KRM43" s="478"/>
      <c r="KRN43" s="478"/>
      <c r="KRO43" s="478"/>
      <c r="KRP43" s="478"/>
      <c r="KRQ43" s="478"/>
      <c r="KRR43" s="478"/>
      <c r="KRS43" s="478"/>
      <c r="KRT43" s="478"/>
      <c r="KRU43" s="478"/>
      <c r="KRV43" s="478"/>
      <c r="KRW43" s="478"/>
      <c r="KRX43" s="478"/>
      <c r="KRY43" s="478"/>
      <c r="KRZ43" s="478"/>
      <c r="KSA43" s="478"/>
      <c r="KSB43" s="478"/>
      <c r="KSC43" s="478"/>
      <c r="KSD43" s="478"/>
      <c r="KSE43" s="478"/>
      <c r="KSF43" s="478"/>
      <c r="KSG43" s="478"/>
      <c r="KSH43" s="478"/>
      <c r="KSI43" s="478"/>
      <c r="KSJ43" s="478"/>
      <c r="KSK43" s="478"/>
      <c r="KSL43" s="478"/>
      <c r="KSM43" s="478"/>
      <c r="KSN43" s="478"/>
      <c r="KSO43" s="478"/>
      <c r="KSP43" s="478"/>
      <c r="KSQ43" s="478"/>
      <c r="KSR43" s="478"/>
      <c r="KSS43" s="478"/>
      <c r="KST43" s="478"/>
      <c r="KSU43" s="478"/>
      <c r="KSV43" s="478"/>
      <c r="KSW43" s="478"/>
      <c r="KSX43" s="478"/>
      <c r="KSY43" s="478"/>
      <c r="KSZ43" s="478"/>
      <c r="KTA43" s="478"/>
      <c r="KTB43" s="478"/>
      <c r="KTC43" s="478"/>
      <c r="KTD43" s="478"/>
      <c r="KTE43" s="478"/>
      <c r="KTF43" s="478"/>
      <c r="KTG43" s="478"/>
      <c r="KTH43" s="478"/>
      <c r="KTI43" s="478"/>
      <c r="KTJ43" s="478"/>
      <c r="KTK43" s="478"/>
      <c r="KTL43" s="478"/>
      <c r="KTM43" s="478"/>
      <c r="KTN43" s="478"/>
      <c r="KTO43" s="478"/>
      <c r="KTP43" s="478"/>
      <c r="KTQ43" s="478"/>
      <c r="KTR43" s="478"/>
      <c r="KTS43" s="478"/>
      <c r="KTT43" s="478"/>
      <c r="KTU43" s="478"/>
      <c r="KTV43" s="478"/>
      <c r="KTW43" s="478"/>
      <c r="KTX43" s="478"/>
      <c r="KTY43" s="478"/>
      <c r="KTZ43" s="478"/>
      <c r="KUA43" s="478"/>
      <c r="KUB43" s="478"/>
      <c r="KUC43" s="478"/>
      <c r="KUD43" s="478"/>
      <c r="KUE43" s="478"/>
      <c r="KUF43" s="478"/>
      <c r="KUG43" s="478"/>
      <c r="KUH43" s="478"/>
      <c r="KUI43" s="478"/>
      <c r="KUJ43" s="478"/>
      <c r="KUK43" s="478"/>
      <c r="KUL43" s="478"/>
      <c r="KUM43" s="478"/>
      <c r="KUN43" s="478"/>
      <c r="KUO43" s="478"/>
      <c r="KUP43" s="478"/>
      <c r="KUQ43" s="478"/>
      <c r="KUR43" s="478"/>
      <c r="KUS43" s="478"/>
      <c r="KUT43" s="478"/>
      <c r="KUU43" s="478"/>
      <c r="KUV43" s="478"/>
      <c r="KUW43" s="478"/>
      <c r="KUX43" s="478"/>
      <c r="KUY43" s="478"/>
      <c r="KUZ43" s="478"/>
      <c r="KVA43" s="478"/>
      <c r="KVB43" s="478"/>
      <c r="KVC43" s="478"/>
      <c r="KVD43" s="478"/>
      <c r="KVE43" s="478"/>
      <c r="KVF43" s="478"/>
      <c r="KVG43" s="478"/>
      <c r="KVH43" s="478"/>
      <c r="KVI43" s="478"/>
      <c r="KVJ43" s="478"/>
      <c r="KVK43" s="478"/>
      <c r="KVL43" s="478"/>
      <c r="KVM43" s="478"/>
      <c r="KVN43" s="478"/>
      <c r="KVO43" s="478"/>
      <c r="KVP43" s="478"/>
      <c r="KVQ43" s="478"/>
      <c r="KVR43" s="478"/>
      <c r="KVS43" s="478"/>
      <c r="KVT43" s="478"/>
      <c r="KVU43" s="478"/>
      <c r="KVV43" s="478"/>
      <c r="KVW43" s="478"/>
      <c r="KVX43" s="478"/>
      <c r="KVY43" s="478"/>
      <c r="KVZ43" s="478"/>
      <c r="KWA43" s="478"/>
      <c r="KWB43" s="478"/>
      <c r="KWC43" s="478"/>
      <c r="KWD43" s="478"/>
      <c r="KWE43" s="478"/>
      <c r="KWF43" s="478"/>
      <c r="KWG43" s="478"/>
      <c r="KWH43" s="478"/>
      <c r="KWI43" s="478"/>
      <c r="KWJ43" s="478"/>
      <c r="KWK43" s="478"/>
      <c r="KWL43" s="478"/>
      <c r="KWM43" s="478"/>
      <c r="KWN43" s="478"/>
      <c r="KWO43" s="478"/>
      <c r="KWP43" s="478"/>
      <c r="KWQ43" s="478"/>
      <c r="KWR43" s="478"/>
      <c r="KWS43" s="478"/>
      <c r="KWT43" s="478"/>
      <c r="KWU43" s="478"/>
      <c r="KWV43" s="478"/>
      <c r="KWW43" s="478"/>
      <c r="KWX43" s="478"/>
      <c r="KWY43" s="478"/>
      <c r="KWZ43" s="478"/>
      <c r="KXA43" s="478"/>
      <c r="KXB43" s="478"/>
      <c r="KXC43" s="478"/>
      <c r="KXD43" s="478"/>
      <c r="KXE43" s="478"/>
      <c r="KXF43" s="478"/>
      <c r="KXG43" s="478"/>
      <c r="KXH43" s="478"/>
      <c r="KXI43" s="478"/>
      <c r="KXJ43" s="478"/>
      <c r="KXK43" s="478"/>
      <c r="KXL43" s="478"/>
      <c r="KXM43" s="478"/>
      <c r="KXN43" s="478"/>
      <c r="KXO43" s="478"/>
      <c r="KXP43" s="478"/>
      <c r="KXQ43" s="478"/>
      <c r="KXR43" s="478"/>
      <c r="KXS43" s="478"/>
      <c r="KXT43" s="478"/>
      <c r="KXU43" s="478"/>
      <c r="KXV43" s="478"/>
      <c r="KXW43" s="478"/>
      <c r="KXX43" s="478"/>
      <c r="KXY43" s="478"/>
      <c r="KXZ43" s="478"/>
      <c r="KYA43" s="478"/>
      <c r="KYB43" s="478"/>
      <c r="KYC43" s="478"/>
      <c r="KYD43" s="478"/>
      <c r="KYE43" s="478"/>
      <c r="KYF43" s="478"/>
      <c r="KYG43" s="478"/>
      <c r="KYH43" s="478"/>
      <c r="KYI43" s="478"/>
      <c r="KYJ43" s="478"/>
      <c r="KYK43" s="478"/>
      <c r="KYL43" s="478"/>
      <c r="KYM43" s="478"/>
      <c r="KYN43" s="478"/>
      <c r="KYO43" s="478"/>
      <c r="KYP43" s="478"/>
      <c r="KYQ43" s="478"/>
      <c r="KYR43" s="478"/>
      <c r="KYS43" s="478"/>
      <c r="KYT43" s="478"/>
      <c r="KYU43" s="478"/>
      <c r="KYV43" s="478"/>
      <c r="KYW43" s="478"/>
      <c r="KYX43" s="478"/>
      <c r="KYY43" s="478"/>
      <c r="KYZ43" s="478"/>
      <c r="KZA43" s="478"/>
      <c r="KZB43" s="478"/>
      <c r="KZC43" s="478"/>
      <c r="KZD43" s="478"/>
      <c r="KZE43" s="478"/>
      <c r="KZF43" s="478"/>
      <c r="KZG43" s="478"/>
      <c r="KZH43" s="478"/>
      <c r="KZI43" s="478"/>
      <c r="KZJ43" s="478"/>
      <c r="KZK43" s="478"/>
      <c r="KZL43" s="478"/>
      <c r="KZM43" s="478"/>
      <c r="KZN43" s="478"/>
      <c r="KZO43" s="478"/>
      <c r="KZP43" s="478"/>
      <c r="KZQ43" s="478"/>
      <c r="KZR43" s="478"/>
      <c r="KZS43" s="478"/>
      <c r="KZT43" s="478"/>
      <c r="KZU43" s="478"/>
      <c r="KZV43" s="478"/>
      <c r="KZW43" s="478"/>
      <c r="KZX43" s="478"/>
      <c r="KZY43" s="478"/>
      <c r="KZZ43" s="478"/>
      <c r="LAA43" s="478"/>
      <c r="LAB43" s="478"/>
      <c r="LAC43" s="478"/>
      <c r="LAD43" s="478"/>
      <c r="LAE43" s="478"/>
      <c r="LAF43" s="478"/>
      <c r="LAG43" s="478"/>
      <c r="LAH43" s="478"/>
      <c r="LAI43" s="478"/>
      <c r="LAJ43" s="478"/>
      <c r="LAK43" s="478"/>
      <c r="LAL43" s="478"/>
      <c r="LAM43" s="478"/>
      <c r="LAN43" s="478"/>
      <c r="LAO43" s="478"/>
      <c r="LAP43" s="478"/>
      <c r="LAQ43" s="478"/>
      <c r="LAR43" s="478"/>
      <c r="LAS43" s="478"/>
      <c r="LAT43" s="478"/>
      <c r="LAU43" s="478"/>
      <c r="LAV43" s="478"/>
      <c r="LAW43" s="478"/>
      <c r="LAX43" s="478"/>
      <c r="LAY43" s="478"/>
      <c r="LAZ43" s="478"/>
      <c r="LBA43" s="478"/>
      <c r="LBB43" s="478"/>
      <c r="LBC43" s="478"/>
      <c r="LBD43" s="478"/>
      <c r="LBE43" s="478"/>
      <c r="LBF43" s="478"/>
      <c r="LBG43" s="478"/>
      <c r="LBH43" s="478"/>
      <c r="LBI43" s="478"/>
      <c r="LBJ43" s="478"/>
      <c r="LBK43" s="478"/>
      <c r="LBL43" s="478"/>
      <c r="LBM43" s="478"/>
      <c r="LBN43" s="478"/>
      <c r="LBO43" s="478"/>
      <c r="LBP43" s="478"/>
      <c r="LBQ43" s="478"/>
      <c r="LBR43" s="478"/>
      <c r="LBS43" s="478"/>
      <c r="LBT43" s="478"/>
      <c r="LBU43" s="478"/>
      <c r="LBV43" s="478"/>
      <c r="LBW43" s="478"/>
      <c r="LBX43" s="478"/>
      <c r="LBY43" s="478"/>
      <c r="LBZ43" s="478"/>
      <c r="LCA43" s="478"/>
      <c r="LCB43" s="478"/>
      <c r="LCC43" s="478"/>
      <c r="LCD43" s="478"/>
      <c r="LCE43" s="478"/>
      <c r="LCF43" s="478"/>
      <c r="LCG43" s="478"/>
      <c r="LCH43" s="478"/>
      <c r="LCI43" s="478"/>
      <c r="LCJ43" s="478"/>
      <c r="LCK43" s="478"/>
      <c r="LCL43" s="478"/>
      <c r="LCM43" s="478"/>
      <c r="LCN43" s="478"/>
      <c r="LCO43" s="478"/>
      <c r="LCP43" s="478"/>
      <c r="LCQ43" s="478"/>
      <c r="LCR43" s="478"/>
      <c r="LCS43" s="478"/>
      <c r="LCT43" s="478"/>
      <c r="LCU43" s="478"/>
      <c r="LCV43" s="478"/>
      <c r="LCW43" s="478"/>
      <c r="LCX43" s="478"/>
      <c r="LCY43" s="478"/>
      <c r="LCZ43" s="478"/>
      <c r="LDA43" s="478"/>
      <c r="LDB43" s="478"/>
      <c r="LDC43" s="478"/>
      <c r="LDD43" s="478"/>
      <c r="LDE43" s="478"/>
      <c r="LDF43" s="478"/>
      <c r="LDG43" s="478"/>
      <c r="LDH43" s="478"/>
      <c r="LDI43" s="478"/>
      <c r="LDJ43" s="478"/>
      <c r="LDK43" s="478"/>
      <c r="LDL43" s="478"/>
      <c r="LDM43" s="478"/>
      <c r="LDN43" s="478"/>
      <c r="LDO43" s="478"/>
      <c r="LDP43" s="478"/>
      <c r="LDQ43" s="478"/>
      <c r="LDR43" s="478"/>
      <c r="LDS43" s="478"/>
      <c r="LDT43" s="478"/>
      <c r="LDU43" s="478"/>
      <c r="LDV43" s="478"/>
      <c r="LDW43" s="478"/>
      <c r="LDX43" s="478"/>
      <c r="LDY43" s="478"/>
      <c r="LDZ43" s="478"/>
      <c r="LEA43" s="478"/>
      <c r="LEB43" s="478"/>
      <c r="LEC43" s="478"/>
      <c r="LED43" s="478"/>
      <c r="LEE43" s="478"/>
      <c r="LEF43" s="478"/>
      <c r="LEG43" s="478"/>
      <c r="LEH43" s="478"/>
      <c r="LEI43" s="478"/>
      <c r="LEJ43" s="478"/>
      <c r="LEK43" s="478"/>
      <c r="LEL43" s="478"/>
      <c r="LEM43" s="478"/>
      <c r="LEN43" s="478"/>
      <c r="LEO43" s="478"/>
      <c r="LEP43" s="478"/>
      <c r="LEQ43" s="478"/>
      <c r="LER43" s="478"/>
      <c r="LES43" s="478"/>
      <c r="LET43" s="478"/>
      <c r="LEU43" s="478"/>
      <c r="LEV43" s="478"/>
      <c r="LEW43" s="478"/>
      <c r="LEX43" s="478"/>
      <c r="LEY43" s="478"/>
      <c r="LEZ43" s="478"/>
      <c r="LFA43" s="478"/>
      <c r="LFB43" s="478"/>
      <c r="LFC43" s="478"/>
      <c r="LFD43" s="478"/>
      <c r="LFE43" s="478"/>
      <c r="LFF43" s="478"/>
      <c r="LFG43" s="478"/>
      <c r="LFH43" s="478"/>
      <c r="LFI43" s="478"/>
      <c r="LFJ43" s="478"/>
      <c r="LFK43" s="478"/>
      <c r="LFL43" s="478"/>
      <c r="LFM43" s="478"/>
      <c r="LFN43" s="478"/>
      <c r="LFO43" s="478"/>
      <c r="LFP43" s="478"/>
      <c r="LFQ43" s="478"/>
      <c r="LFR43" s="478"/>
      <c r="LFS43" s="478"/>
      <c r="LFT43" s="478"/>
      <c r="LFU43" s="478"/>
      <c r="LFV43" s="478"/>
      <c r="LFW43" s="478"/>
      <c r="LFX43" s="478"/>
      <c r="LFY43" s="478"/>
      <c r="LFZ43" s="478"/>
      <c r="LGA43" s="478"/>
      <c r="LGB43" s="478"/>
      <c r="LGC43" s="478"/>
      <c r="LGD43" s="478"/>
      <c r="LGE43" s="478"/>
      <c r="LGF43" s="478"/>
      <c r="LGG43" s="478"/>
      <c r="LGH43" s="478"/>
      <c r="LGI43" s="478"/>
      <c r="LGJ43" s="478"/>
      <c r="LGK43" s="478"/>
      <c r="LGL43" s="478"/>
      <c r="LGM43" s="478"/>
      <c r="LGN43" s="478"/>
      <c r="LGO43" s="478"/>
      <c r="LGP43" s="478"/>
      <c r="LGQ43" s="478"/>
      <c r="LGR43" s="478"/>
      <c r="LGS43" s="478"/>
      <c r="LGT43" s="478"/>
      <c r="LGU43" s="478"/>
      <c r="LGV43" s="478"/>
      <c r="LGW43" s="478"/>
      <c r="LGX43" s="478"/>
      <c r="LGY43" s="478"/>
      <c r="LGZ43" s="478"/>
      <c r="LHA43" s="478"/>
      <c r="LHB43" s="478"/>
      <c r="LHC43" s="478"/>
      <c r="LHD43" s="478"/>
      <c r="LHE43" s="478"/>
      <c r="LHF43" s="478"/>
      <c r="LHG43" s="478"/>
      <c r="LHH43" s="478"/>
      <c r="LHI43" s="478"/>
      <c r="LHJ43" s="478"/>
      <c r="LHK43" s="478"/>
      <c r="LHL43" s="478"/>
      <c r="LHM43" s="478"/>
      <c r="LHN43" s="478"/>
      <c r="LHO43" s="478"/>
      <c r="LHP43" s="478"/>
      <c r="LHQ43" s="478"/>
      <c r="LHR43" s="478"/>
      <c r="LHS43" s="478"/>
      <c r="LHT43" s="478"/>
      <c r="LHU43" s="478"/>
      <c r="LHV43" s="478"/>
      <c r="LHW43" s="478"/>
      <c r="LHX43" s="478"/>
      <c r="LHY43" s="478"/>
      <c r="LHZ43" s="478"/>
      <c r="LIA43" s="478"/>
      <c r="LIB43" s="478"/>
      <c r="LIC43" s="478"/>
      <c r="LID43" s="478"/>
      <c r="LIE43" s="478"/>
      <c r="LIF43" s="478"/>
      <c r="LIG43" s="478"/>
      <c r="LIH43" s="478"/>
      <c r="LII43" s="478"/>
      <c r="LIJ43" s="478"/>
      <c r="LIK43" s="478"/>
      <c r="LIL43" s="478"/>
      <c r="LIM43" s="478"/>
      <c r="LIN43" s="478"/>
      <c r="LIO43" s="478"/>
      <c r="LIP43" s="478"/>
      <c r="LIQ43" s="478"/>
      <c r="LIR43" s="478"/>
      <c r="LIS43" s="478"/>
      <c r="LIT43" s="478"/>
      <c r="LIU43" s="478"/>
      <c r="LIV43" s="478"/>
      <c r="LIW43" s="478"/>
      <c r="LIX43" s="478"/>
      <c r="LIY43" s="478"/>
      <c r="LIZ43" s="478"/>
      <c r="LJA43" s="478"/>
      <c r="LJB43" s="478"/>
      <c r="LJC43" s="478"/>
      <c r="LJD43" s="478"/>
      <c r="LJE43" s="478"/>
      <c r="LJF43" s="478"/>
      <c r="LJG43" s="478"/>
      <c r="LJH43" s="478"/>
      <c r="LJI43" s="478"/>
      <c r="LJJ43" s="478"/>
      <c r="LJK43" s="478"/>
      <c r="LJL43" s="478"/>
      <c r="LJM43" s="478"/>
      <c r="LJN43" s="478"/>
      <c r="LJO43" s="478"/>
      <c r="LJP43" s="478"/>
      <c r="LJQ43" s="478"/>
      <c r="LJR43" s="478"/>
      <c r="LJS43" s="478"/>
      <c r="LJT43" s="478"/>
      <c r="LJU43" s="478"/>
      <c r="LJV43" s="478"/>
      <c r="LJW43" s="478"/>
      <c r="LJX43" s="478"/>
      <c r="LJY43" s="478"/>
      <c r="LJZ43" s="478"/>
      <c r="LKA43" s="478"/>
      <c r="LKB43" s="478"/>
      <c r="LKC43" s="478"/>
      <c r="LKD43" s="478"/>
      <c r="LKE43" s="478"/>
      <c r="LKF43" s="478"/>
      <c r="LKG43" s="478"/>
      <c r="LKH43" s="478"/>
      <c r="LKI43" s="478"/>
      <c r="LKJ43" s="478"/>
      <c r="LKK43" s="478"/>
      <c r="LKL43" s="478"/>
      <c r="LKM43" s="478"/>
      <c r="LKN43" s="478"/>
      <c r="LKO43" s="478"/>
      <c r="LKP43" s="478"/>
      <c r="LKQ43" s="478"/>
      <c r="LKR43" s="478"/>
      <c r="LKS43" s="478"/>
      <c r="LKT43" s="478"/>
      <c r="LKU43" s="478"/>
      <c r="LKV43" s="478"/>
      <c r="LKW43" s="478"/>
      <c r="LKX43" s="478"/>
      <c r="LKY43" s="478"/>
      <c r="LKZ43" s="478"/>
      <c r="LLA43" s="478"/>
      <c r="LLB43" s="478"/>
      <c r="LLC43" s="478"/>
      <c r="LLD43" s="478"/>
      <c r="LLE43" s="478"/>
      <c r="LLF43" s="478"/>
      <c r="LLG43" s="478"/>
      <c r="LLH43" s="478"/>
      <c r="LLI43" s="478"/>
      <c r="LLJ43" s="478"/>
      <c r="LLK43" s="478"/>
      <c r="LLL43" s="478"/>
      <c r="LLM43" s="478"/>
      <c r="LLN43" s="478"/>
      <c r="LLO43" s="478"/>
      <c r="LLP43" s="478"/>
      <c r="LLQ43" s="478"/>
      <c r="LLR43" s="478"/>
      <c r="LLS43" s="478"/>
      <c r="LLT43" s="478"/>
      <c r="LLU43" s="478"/>
      <c r="LLV43" s="478"/>
      <c r="LLW43" s="478"/>
      <c r="LLX43" s="478"/>
      <c r="LLY43" s="478"/>
      <c r="LLZ43" s="478"/>
      <c r="LMA43" s="478"/>
      <c r="LMB43" s="478"/>
      <c r="LMC43" s="478"/>
      <c r="LMD43" s="478"/>
      <c r="LME43" s="478"/>
      <c r="LMF43" s="478"/>
      <c r="LMG43" s="478"/>
      <c r="LMH43" s="478"/>
      <c r="LMI43" s="478"/>
      <c r="LMJ43" s="478"/>
      <c r="LMK43" s="478"/>
      <c r="LML43" s="478"/>
      <c r="LMM43" s="478"/>
      <c r="LMN43" s="478"/>
      <c r="LMO43" s="478"/>
      <c r="LMP43" s="478"/>
      <c r="LMQ43" s="478"/>
      <c r="LMR43" s="478"/>
      <c r="LMS43" s="478"/>
      <c r="LMT43" s="478"/>
      <c r="LMU43" s="478"/>
      <c r="LMV43" s="478"/>
      <c r="LMW43" s="478"/>
      <c r="LMX43" s="478"/>
      <c r="LMY43" s="478"/>
      <c r="LMZ43" s="478"/>
      <c r="LNA43" s="478"/>
      <c r="LNB43" s="478"/>
      <c r="LNC43" s="478"/>
      <c r="LND43" s="478"/>
      <c r="LNE43" s="478"/>
      <c r="LNF43" s="478"/>
      <c r="LNG43" s="478"/>
      <c r="LNH43" s="478"/>
      <c r="LNI43" s="478"/>
      <c r="LNJ43" s="478"/>
      <c r="LNK43" s="478"/>
      <c r="LNL43" s="478"/>
      <c r="LNM43" s="478"/>
      <c r="LNN43" s="478"/>
      <c r="LNO43" s="478"/>
      <c r="LNP43" s="478"/>
      <c r="LNQ43" s="478"/>
      <c r="LNR43" s="478"/>
      <c r="LNS43" s="478"/>
      <c r="LNT43" s="478"/>
      <c r="LNU43" s="478"/>
      <c r="LNV43" s="478"/>
      <c r="LNW43" s="478"/>
      <c r="LNX43" s="478"/>
      <c r="LNY43" s="478"/>
      <c r="LNZ43" s="478"/>
      <c r="LOA43" s="478"/>
      <c r="LOB43" s="478"/>
      <c r="LOC43" s="478"/>
      <c r="LOD43" s="478"/>
      <c r="LOE43" s="478"/>
      <c r="LOF43" s="478"/>
      <c r="LOG43" s="478"/>
      <c r="LOH43" s="478"/>
      <c r="LOI43" s="478"/>
      <c r="LOJ43" s="478"/>
      <c r="LOK43" s="478"/>
      <c r="LOL43" s="478"/>
      <c r="LOM43" s="478"/>
      <c r="LON43" s="478"/>
      <c r="LOO43" s="478"/>
      <c r="LOP43" s="478"/>
      <c r="LOQ43" s="478"/>
      <c r="LOR43" s="478"/>
      <c r="LOS43" s="478"/>
      <c r="LOT43" s="478"/>
      <c r="LOU43" s="478"/>
      <c r="LOV43" s="478"/>
      <c r="LOW43" s="478"/>
      <c r="LOX43" s="478"/>
      <c r="LOY43" s="478"/>
      <c r="LOZ43" s="478"/>
      <c r="LPA43" s="478"/>
      <c r="LPB43" s="478"/>
      <c r="LPC43" s="478"/>
      <c r="LPD43" s="478"/>
      <c r="LPE43" s="478"/>
      <c r="LPF43" s="478"/>
      <c r="LPG43" s="478"/>
      <c r="LPH43" s="478"/>
      <c r="LPI43" s="478"/>
      <c r="LPJ43" s="478"/>
      <c r="LPK43" s="478"/>
      <c r="LPL43" s="478"/>
      <c r="LPM43" s="478"/>
      <c r="LPN43" s="478"/>
      <c r="LPO43" s="478"/>
      <c r="LPP43" s="478"/>
      <c r="LPQ43" s="478"/>
      <c r="LPR43" s="478"/>
      <c r="LPS43" s="478"/>
      <c r="LPT43" s="478"/>
      <c r="LPU43" s="478"/>
      <c r="LPV43" s="478"/>
      <c r="LPW43" s="478"/>
      <c r="LPX43" s="478"/>
      <c r="LPY43" s="478"/>
      <c r="LPZ43" s="478"/>
      <c r="LQA43" s="478"/>
      <c r="LQB43" s="478"/>
      <c r="LQC43" s="478"/>
      <c r="LQD43" s="478"/>
      <c r="LQE43" s="478"/>
      <c r="LQF43" s="478"/>
      <c r="LQG43" s="478"/>
      <c r="LQH43" s="478"/>
      <c r="LQI43" s="478"/>
      <c r="LQJ43" s="478"/>
      <c r="LQK43" s="478"/>
      <c r="LQL43" s="478"/>
      <c r="LQM43" s="478"/>
      <c r="LQN43" s="478"/>
      <c r="LQO43" s="478"/>
      <c r="LQP43" s="478"/>
      <c r="LQQ43" s="478"/>
      <c r="LQR43" s="478"/>
      <c r="LQS43" s="478"/>
      <c r="LQT43" s="478"/>
      <c r="LQU43" s="478"/>
      <c r="LQV43" s="478"/>
      <c r="LQW43" s="478"/>
      <c r="LQX43" s="478"/>
      <c r="LQY43" s="478"/>
      <c r="LQZ43" s="478"/>
      <c r="LRA43" s="478"/>
      <c r="LRB43" s="478"/>
      <c r="LRC43" s="478"/>
      <c r="LRD43" s="478"/>
      <c r="LRE43" s="478"/>
      <c r="LRF43" s="478"/>
      <c r="LRG43" s="478"/>
      <c r="LRH43" s="478"/>
      <c r="LRI43" s="478"/>
      <c r="LRJ43" s="478"/>
      <c r="LRK43" s="478"/>
      <c r="LRL43" s="478"/>
      <c r="LRM43" s="478"/>
      <c r="LRN43" s="478"/>
      <c r="LRO43" s="478"/>
      <c r="LRP43" s="478"/>
      <c r="LRQ43" s="478"/>
      <c r="LRR43" s="478"/>
      <c r="LRS43" s="478"/>
      <c r="LRT43" s="478"/>
      <c r="LRU43" s="478"/>
      <c r="LRV43" s="478"/>
      <c r="LRW43" s="478"/>
      <c r="LRX43" s="478"/>
      <c r="LRY43" s="478"/>
      <c r="LRZ43" s="478"/>
      <c r="LSA43" s="478"/>
      <c r="LSB43" s="478"/>
      <c r="LSC43" s="478"/>
      <c r="LSD43" s="478"/>
      <c r="LSE43" s="478"/>
      <c r="LSF43" s="478"/>
      <c r="LSG43" s="478"/>
      <c r="LSH43" s="478"/>
      <c r="LSI43" s="478"/>
      <c r="LSJ43" s="478"/>
      <c r="LSK43" s="478"/>
      <c r="LSL43" s="478"/>
      <c r="LSM43" s="478"/>
      <c r="LSN43" s="478"/>
      <c r="LSO43" s="478"/>
      <c r="LSP43" s="478"/>
      <c r="LSQ43" s="478"/>
      <c r="LSR43" s="478"/>
      <c r="LSS43" s="478"/>
      <c r="LST43" s="478"/>
      <c r="LSU43" s="478"/>
      <c r="LSV43" s="478"/>
      <c r="LSW43" s="478"/>
      <c r="LSX43" s="478"/>
      <c r="LSY43" s="478"/>
      <c r="LSZ43" s="478"/>
      <c r="LTA43" s="478"/>
      <c r="LTB43" s="478"/>
      <c r="LTC43" s="478"/>
      <c r="LTD43" s="478"/>
      <c r="LTE43" s="478"/>
      <c r="LTF43" s="478"/>
      <c r="LTG43" s="478"/>
      <c r="LTH43" s="478"/>
      <c r="LTI43" s="478"/>
      <c r="LTJ43" s="478"/>
      <c r="LTK43" s="478"/>
      <c r="LTL43" s="478"/>
      <c r="LTM43" s="478"/>
      <c r="LTN43" s="478"/>
      <c r="LTO43" s="478"/>
      <c r="LTP43" s="478"/>
      <c r="LTQ43" s="478"/>
      <c r="LTR43" s="478"/>
      <c r="LTS43" s="478"/>
      <c r="LTT43" s="478"/>
      <c r="LTU43" s="478"/>
      <c r="LTV43" s="478"/>
      <c r="LTW43" s="478"/>
      <c r="LTX43" s="478"/>
      <c r="LTY43" s="478"/>
      <c r="LTZ43" s="478"/>
      <c r="LUA43" s="478"/>
      <c r="LUB43" s="478"/>
      <c r="LUC43" s="478"/>
      <c r="LUD43" s="478"/>
      <c r="LUE43" s="478"/>
      <c r="LUF43" s="478"/>
      <c r="LUG43" s="478"/>
      <c r="LUH43" s="478"/>
      <c r="LUI43" s="478"/>
      <c r="LUJ43" s="478"/>
      <c r="LUK43" s="478"/>
      <c r="LUL43" s="478"/>
      <c r="LUM43" s="478"/>
      <c r="LUN43" s="478"/>
      <c r="LUO43" s="478"/>
      <c r="LUP43" s="478"/>
      <c r="LUQ43" s="478"/>
      <c r="LUR43" s="478"/>
      <c r="LUS43" s="478"/>
      <c r="LUT43" s="478"/>
      <c r="LUU43" s="478"/>
      <c r="LUV43" s="478"/>
      <c r="LUW43" s="478"/>
      <c r="LUX43" s="478"/>
      <c r="LUY43" s="478"/>
      <c r="LUZ43" s="478"/>
      <c r="LVA43" s="478"/>
      <c r="LVB43" s="478"/>
      <c r="LVC43" s="478"/>
      <c r="LVD43" s="478"/>
      <c r="LVE43" s="478"/>
      <c r="LVF43" s="478"/>
      <c r="LVG43" s="478"/>
      <c r="LVH43" s="478"/>
      <c r="LVI43" s="478"/>
      <c r="LVJ43" s="478"/>
      <c r="LVK43" s="478"/>
      <c r="LVL43" s="478"/>
      <c r="LVM43" s="478"/>
      <c r="LVN43" s="478"/>
      <c r="LVO43" s="478"/>
      <c r="LVP43" s="478"/>
      <c r="LVQ43" s="478"/>
      <c r="LVR43" s="478"/>
      <c r="LVS43" s="478"/>
      <c r="LVT43" s="478"/>
      <c r="LVU43" s="478"/>
      <c r="LVV43" s="478"/>
      <c r="LVW43" s="478"/>
      <c r="LVX43" s="478"/>
      <c r="LVY43" s="478"/>
      <c r="LVZ43" s="478"/>
      <c r="LWA43" s="478"/>
      <c r="LWB43" s="478"/>
      <c r="LWC43" s="478"/>
      <c r="LWD43" s="478"/>
      <c r="LWE43" s="478"/>
      <c r="LWF43" s="478"/>
      <c r="LWG43" s="478"/>
      <c r="LWH43" s="478"/>
      <c r="LWI43" s="478"/>
      <c r="LWJ43" s="478"/>
      <c r="LWK43" s="478"/>
      <c r="LWL43" s="478"/>
      <c r="LWM43" s="478"/>
      <c r="LWN43" s="478"/>
      <c r="LWO43" s="478"/>
      <c r="LWP43" s="478"/>
      <c r="LWQ43" s="478"/>
      <c r="LWR43" s="478"/>
      <c r="LWS43" s="478"/>
      <c r="LWT43" s="478"/>
      <c r="LWU43" s="478"/>
      <c r="LWV43" s="478"/>
      <c r="LWW43" s="478"/>
      <c r="LWX43" s="478"/>
      <c r="LWY43" s="478"/>
      <c r="LWZ43" s="478"/>
      <c r="LXA43" s="478"/>
      <c r="LXB43" s="478"/>
      <c r="LXC43" s="478"/>
      <c r="LXD43" s="478"/>
      <c r="LXE43" s="478"/>
      <c r="LXF43" s="478"/>
      <c r="LXG43" s="478"/>
      <c r="LXH43" s="478"/>
      <c r="LXI43" s="478"/>
      <c r="LXJ43" s="478"/>
      <c r="LXK43" s="478"/>
      <c r="LXL43" s="478"/>
      <c r="LXM43" s="478"/>
      <c r="LXN43" s="478"/>
      <c r="LXO43" s="478"/>
      <c r="LXP43" s="478"/>
      <c r="LXQ43" s="478"/>
      <c r="LXR43" s="478"/>
      <c r="LXS43" s="478"/>
      <c r="LXT43" s="478"/>
      <c r="LXU43" s="478"/>
      <c r="LXV43" s="478"/>
      <c r="LXW43" s="478"/>
      <c r="LXX43" s="478"/>
      <c r="LXY43" s="478"/>
      <c r="LXZ43" s="478"/>
      <c r="LYA43" s="478"/>
      <c r="LYB43" s="478"/>
      <c r="LYC43" s="478"/>
      <c r="LYD43" s="478"/>
      <c r="LYE43" s="478"/>
      <c r="LYF43" s="478"/>
      <c r="LYG43" s="478"/>
      <c r="LYH43" s="478"/>
      <c r="LYI43" s="478"/>
      <c r="LYJ43" s="478"/>
      <c r="LYK43" s="478"/>
      <c r="LYL43" s="478"/>
      <c r="LYM43" s="478"/>
      <c r="LYN43" s="478"/>
      <c r="LYO43" s="478"/>
      <c r="LYP43" s="478"/>
      <c r="LYQ43" s="478"/>
      <c r="LYR43" s="478"/>
      <c r="LYS43" s="478"/>
      <c r="LYT43" s="478"/>
      <c r="LYU43" s="478"/>
      <c r="LYV43" s="478"/>
      <c r="LYW43" s="478"/>
      <c r="LYX43" s="478"/>
      <c r="LYY43" s="478"/>
      <c r="LYZ43" s="478"/>
      <c r="LZA43" s="478"/>
      <c r="LZB43" s="478"/>
      <c r="LZC43" s="478"/>
      <c r="LZD43" s="478"/>
      <c r="LZE43" s="478"/>
      <c r="LZF43" s="478"/>
      <c r="LZG43" s="478"/>
      <c r="LZH43" s="478"/>
      <c r="LZI43" s="478"/>
      <c r="LZJ43" s="478"/>
      <c r="LZK43" s="478"/>
      <c r="LZL43" s="478"/>
      <c r="LZM43" s="478"/>
      <c r="LZN43" s="478"/>
      <c r="LZO43" s="478"/>
      <c r="LZP43" s="478"/>
      <c r="LZQ43" s="478"/>
      <c r="LZR43" s="478"/>
      <c r="LZS43" s="478"/>
      <c r="LZT43" s="478"/>
      <c r="LZU43" s="478"/>
      <c r="LZV43" s="478"/>
      <c r="LZW43" s="478"/>
      <c r="LZX43" s="478"/>
      <c r="LZY43" s="478"/>
      <c r="LZZ43" s="478"/>
      <c r="MAA43" s="478"/>
      <c r="MAB43" s="478"/>
      <c r="MAC43" s="478"/>
      <c r="MAD43" s="478"/>
      <c r="MAE43" s="478"/>
      <c r="MAF43" s="478"/>
      <c r="MAG43" s="478"/>
      <c r="MAH43" s="478"/>
      <c r="MAI43" s="478"/>
      <c r="MAJ43" s="478"/>
      <c r="MAK43" s="478"/>
      <c r="MAL43" s="478"/>
      <c r="MAM43" s="478"/>
      <c r="MAN43" s="478"/>
      <c r="MAO43" s="478"/>
      <c r="MAP43" s="478"/>
      <c r="MAQ43" s="478"/>
      <c r="MAR43" s="478"/>
      <c r="MAS43" s="478"/>
      <c r="MAT43" s="478"/>
      <c r="MAU43" s="478"/>
      <c r="MAV43" s="478"/>
      <c r="MAW43" s="478"/>
      <c r="MAX43" s="478"/>
      <c r="MAY43" s="478"/>
      <c r="MAZ43" s="478"/>
      <c r="MBA43" s="478"/>
      <c r="MBB43" s="478"/>
      <c r="MBC43" s="478"/>
      <c r="MBD43" s="478"/>
      <c r="MBE43" s="478"/>
      <c r="MBF43" s="478"/>
      <c r="MBG43" s="478"/>
      <c r="MBH43" s="478"/>
      <c r="MBI43" s="478"/>
      <c r="MBJ43" s="478"/>
      <c r="MBK43" s="478"/>
      <c r="MBL43" s="478"/>
      <c r="MBM43" s="478"/>
      <c r="MBN43" s="478"/>
      <c r="MBO43" s="478"/>
      <c r="MBP43" s="478"/>
      <c r="MBQ43" s="478"/>
      <c r="MBR43" s="478"/>
      <c r="MBS43" s="478"/>
      <c r="MBT43" s="478"/>
      <c r="MBU43" s="478"/>
      <c r="MBV43" s="478"/>
      <c r="MBW43" s="478"/>
      <c r="MBX43" s="478"/>
      <c r="MBY43" s="478"/>
      <c r="MBZ43" s="478"/>
      <c r="MCA43" s="478"/>
      <c r="MCB43" s="478"/>
      <c r="MCC43" s="478"/>
      <c r="MCD43" s="478"/>
      <c r="MCE43" s="478"/>
      <c r="MCF43" s="478"/>
      <c r="MCG43" s="478"/>
      <c r="MCH43" s="478"/>
      <c r="MCI43" s="478"/>
      <c r="MCJ43" s="478"/>
      <c r="MCK43" s="478"/>
      <c r="MCL43" s="478"/>
      <c r="MCM43" s="478"/>
      <c r="MCN43" s="478"/>
      <c r="MCO43" s="478"/>
      <c r="MCP43" s="478"/>
      <c r="MCQ43" s="478"/>
      <c r="MCR43" s="478"/>
      <c r="MCS43" s="478"/>
      <c r="MCT43" s="478"/>
      <c r="MCU43" s="478"/>
      <c r="MCV43" s="478"/>
      <c r="MCW43" s="478"/>
      <c r="MCX43" s="478"/>
      <c r="MCY43" s="478"/>
      <c r="MCZ43" s="478"/>
      <c r="MDA43" s="478"/>
      <c r="MDB43" s="478"/>
      <c r="MDC43" s="478"/>
      <c r="MDD43" s="478"/>
      <c r="MDE43" s="478"/>
      <c r="MDF43" s="478"/>
      <c r="MDG43" s="478"/>
      <c r="MDH43" s="478"/>
      <c r="MDI43" s="478"/>
      <c r="MDJ43" s="478"/>
      <c r="MDK43" s="478"/>
      <c r="MDL43" s="478"/>
      <c r="MDM43" s="478"/>
      <c r="MDN43" s="478"/>
      <c r="MDO43" s="478"/>
      <c r="MDP43" s="478"/>
      <c r="MDQ43" s="478"/>
      <c r="MDR43" s="478"/>
      <c r="MDS43" s="478"/>
      <c r="MDT43" s="478"/>
      <c r="MDU43" s="478"/>
      <c r="MDV43" s="478"/>
      <c r="MDW43" s="478"/>
      <c r="MDX43" s="478"/>
      <c r="MDY43" s="478"/>
      <c r="MDZ43" s="478"/>
      <c r="MEA43" s="478"/>
      <c r="MEB43" s="478"/>
      <c r="MEC43" s="478"/>
      <c r="MED43" s="478"/>
      <c r="MEE43" s="478"/>
      <c r="MEF43" s="478"/>
      <c r="MEG43" s="478"/>
      <c r="MEH43" s="478"/>
      <c r="MEI43" s="478"/>
      <c r="MEJ43" s="478"/>
      <c r="MEK43" s="478"/>
      <c r="MEL43" s="478"/>
      <c r="MEM43" s="478"/>
      <c r="MEN43" s="478"/>
      <c r="MEO43" s="478"/>
      <c r="MEP43" s="478"/>
      <c r="MEQ43" s="478"/>
      <c r="MER43" s="478"/>
      <c r="MES43" s="478"/>
      <c r="MET43" s="478"/>
      <c r="MEU43" s="478"/>
      <c r="MEV43" s="478"/>
      <c r="MEW43" s="478"/>
      <c r="MEX43" s="478"/>
      <c r="MEY43" s="478"/>
      <c r="MEZ43" s="478"/>
      <c r="MFA43" s="478"/>
      <c r="MFB43" s="478"/>
      <c r="MFC43" s="478"/>
      <c r="MFD43" s="478"/>
      <c r="MFE43" s="478"/>
      <c r="MFF43" s="478"/>
      <c r="MFG43" s="478"/>
      <c r="MFH43" s="478"/>
      <c r="MFI43" s="478"/>
      <c r="MFJ43" s="478"/>
      <c r="MFK43" s="478"/>
      <c r="MFL43" s="478"/>
      <c r="MFM43" s="478"/>
      <c r="MFN43" s="478"/>
      <c r="MFO43" s="478"/>
      <c r="MFP43" s="478"/>
      <c r="MFQ43" s="478"/>
      <c r="MFR43" s="478"/>
      <c r="MFS43" s="478"/>
      <c r="MFT43" s="478"/>
      <c r="MFU43" s="478"/>
      <c r="MFV43" s="478"/>
      <c r="MFW43" s="478"/>
      <c r="MFX43" s="478"/>
      <c r="MFY43" s="478"/>
      <c r="MFZ43" s="478"/>
      <c r="MGA43" s="478"/>
      <c r="MGB43" s="478"/>
      <c r="MGC43" s="478"/>
      <c r="MGD43" s="478"/>
      <c r="MGE43" s="478"/>
      <c r="MGF43" s="478"/>
      <c r="MGG43" s="478"/>
      <c r="MGH43" s="478"/>
      <c r="MGI43" s="478"/>
      <c r="MGJ43" s="478"/>
      <c r="MGK43" s="478"/>
      <c r="MGL43" s="478"/>
      <c r="MGM43" s="478"/>
      <c r="MGN43" s="478"/>
      <c r="MGO43" s="478"/>
      <c r="MGP43" s="478"/>
      <c r="MGQ43" s="478"/>
      <c r="MGR43" s="478"/>
      <c r="MGS43" s="478"/>
      <c r="MGT43" s="478"/>
      <c r="MGU43" s="478"/>
      <c r="MGV43" s="478"/>
      <c r="MGW43" s="478"/>
      <c r="MGX43" s="478"/>
      <c r="MGY43" s="478"/>
      <c r="MGZ43" s="478"/>
      <c r="MHA43" s="478"/>
      <c r="MHB43" s="478"/>
      <c r="MHC43" s="478"/>
      <c r="MHD43" s="478"/>
      <c r="MHE43" s="478"/>
      <c r="MHF43" s="478"/>
      <c r="MHG43" s="478"/>
      <c r="MHH43" s="478"/>
      <c r="MHI43" s="478"/>
      <c r="MHJ43" s="478"/>
      <c r="MHK43" s="478"/>
      <c r="MHL43" s="478"/>
      <c r="MHM43" s="478"/>
      <c r="MHN43" s="478"/>
      <c r="MHO43" s="478"/>
      <c r="MHP43" s="478"/>
      <c r="MHQ43" s="478"/>
      <c r="MHR43" s="478"/>
      <c r="MHS43" s="478"/>
      <c r="MHT43" s="478"/>
      <c r="MHU43" s="478"/>
      <c r="MHV43" s="478"/>
      <c r="MHW43" s="478"/>
      <c r="MHX43" s="478"/>
      <c r="MHY43" s="478"/>
      <c r="MHZ43" s="478"/>
      <c r="MIA43" s="478"/>
      <c r="MIB43" s="478"/>
      <c r="MIC43" s="478"/>
      <c r="MID43" s="478"/>
      <c r="MIE43" s="478"/>
      <c r="MIF43" s="478"/>
      <c r="MIG43" s="478"/>
      <c r="MIH43" s="478"/>
      <c r="MII43" s="478"/>
      <c r="MIJ43" s="478"/>
      <c r="MIK43" s="478"/>
      <c r="MIL43" s="478"/>
      <c r="MIM43" s="478"/>
      <c r="MIN43" s="478"/>
      <c r="MIO43" s="478"/>
      <c r="MIP43" s="478"/>
      <c r="MIQ43" s="478"/>
      <c r="MIR43" s="478"/>
      <c r="MIS43" s="478"/>
      <c r="MIT43" s="478"/>
      <c r="MIU43" s="478"/>
      <c r="MIV43" s="478"/>
      <c r="MIW43" s="478"/>
      <c r="MIX43" s="478"/>
      <c r="MIY43" s="478"/>
      <c r="MIZ43" s="478"/>
      <c r="MJA43" s="478"/>
      <c r="MJB43" s="478"/>
      <c r="MJC43" s="478"/>
      <c r="MJD43" s="478"/>
      <c r="MJE43" s="478"/>
      <c r="MJF43" s="478"/>
      <c r="MJG43" s="478"/>
      <c r="MJH43" s="478"/>
      <c r="MJI43" s="478"/>
      <c r="MJJ43" s="478"/>
      <c r="MJK43" s="478"/>
      <c r="MJL43" s="478"/>
      <c r="MJM43" s="478"/>
      <c r="MJN43" s="478"/>
      <c r="MJO43" s="478"/>
      <c r="MJP43" s="478"/>
      <c r="MJQ43" s="478"/>
      <c r="MJR43" s="478"/>
      <c r="MJS43" s="478"/>
      <c r="MJT43" s="478"/>
      <c r="MJU43" s="478"/>
      <c r="MJV43" s="478"/>
      <c r="MJW43" s="478"/>
      <c r="MJX43" s="478"/>
      <c r="MJY43" s="478"/>
      <c r="MJZ43" s="478"/>
      <c r="MKA43" s="478"/>
      <c r="MKB43" s="478"/>
      <c r="MKC43" s="478"/>
      <c r="MKD43" s="478"/>
      <c r="MKE43" s="478"/>
      <c r="MKF43" s="478"/>
      <c r="MKG43" s="478"/>
      <c r="MKH43" s="478"/>
      <c r="MKI43" s="478"/>
      <c r="MKJ43" s="478"/>
      <c r="MKK43" s="478"/>
      <c r="MKL43" s="478"/>
      <c r="MKM43" s="478"/>
      <c r="MKN43" s="478"/>
      <c r="MKO43" s="478"/>
      <c r="MKP43" s="478"/>
      <c r="MKQ43" s="478"/>
      <c r="MKR43" s="478"/>
      <c r="MKS43" s="478"/>
      <c r="MKT43" s="478"/>
      <c r="MKU43" s="478"/>
      <c r="MKV43" s="478"/>
      <c r="MKW43" s="478"/>
      <c r="MKX43" s="478"/>
      <c r="MKY43" s="478"/>
      <c r="MKZ43" s="478"/>
      <c r="MLA43" s="478"/>
      <c r="MLB43" s="478"/>
      <c r="MLC43" s="478"/>
      <c r="MLD43" s="478"/>
      <c r="MLE43" s="478"/>
      <c r="MLF43" s="478"/>
      <c r="MLG43" s="478"/>
      <c r="MLH43" s="478"/>
      <c r="MLI43" s="478"/>
      <c r="MLJ43" s="478"/>
      <c r="MLK43" s="478"/>
      <c r="MLL43" s="478"/>
      <c r="MLM43" s="478"/>
      <c r="MLN43" s="478"/>
      <c r="MLO43" s="478"/>
      <c r="MLP43" s="478"/>
      <c r="MLQ43" s="478"/>
      <c r="MLR43" s="478"/>
      <c r="MLS43" s="478"/>
      <c r="MLT43" s="478"/>
      <c r="MLU43" s="478"/>
      <c r="MLV43" s="478"/>
      <c r="MLW43" s="478"/>
      <c r="MLX43" s="478"/>
      <c r="MLY43" s="478"/>
      <c r="MLZ43" s="478"/>
      <c r="MMA43" s="478"/>
      <c r="MMB43" s="478"/>
      <c r="MMC43" s="478"/>
      <c r="MMD43" s="478"/>
      <c r="MME43" s="478"/>
      <c r="MMF43" s="478"/>
      <c r="MMG43" s="478"/>
      <c r="MMH43" s="478"/>
      <c r="MMI43" s="478"/>
      <c r="MMJ43" s="478"/>
      <c r="MMK43" s="478"/>
      <c r="MML43" s="478"/>
      <c r="MMM43" s="478"/>
      <c r="MMN43" s="478"/>
      <c r="MMO43" s="478"/>
      <c r="MMP43" s="478"/>
      <c r="MMQ43" s="478"/>
      <c r="MMR43" s="478"/>
      <c r="MMS43" s="478"/>
      <c r="MMT43" s="478"/>
      <c r="MMU43" s="478"/>
      <c r="MMV43" s="478"/>
      <c r="MMW43" s="478"/>
      <c r="MMX43" s="478"/>
      <c r="MMY43" s="478"/>
      <c r="MMZ43" s="478"/>
      <c r="MNA43" s="478"/>
      <c r="MNB43" s="478"/>
      <c r="MNC43" s="478"/>
      <c r="MND43" s="478"/>
      <c r="MNE43" s="478"/>
      <c r="MNF43" s="478"/>
      <c r="MNG43" s="478"/>
      <c r="MNH43" s="478"/>
      <c r="MNI43" s="478"/>
      <c r="MNJ43" s="478"/>
      <c r="MNK43" s="478"/>
      <c r="MNL43" s="478"/>
      <c r="MNM43" s="478"/>
      <c r="MNN43" s="478"/>
      <c r="MNO43" s="478"/>
      <c r="MNP43" s="478"/>
      <c r="MNQ43" s="478"/>
      <c r="MNR43" s="478"/>
      <c r="MNS43" s="478"/>
      <c r="MNT43" s="478"/>
      <c r="MNU43" s="478"/>
      <c r="MNV43" s="478"/>
      <c r="MNW43" s="478"/>
      <c r="MNX43" s="478"/>
      <c r="MNY43" s="478"/>
      <c r="MNZ43" s="478"/>
      <c r="MOA43" s="478"/>
      <c r="MOB43" s="478"/>
      <c r="MOC43" s="478"/>
      <c r="MOD43" s="478"/>
      <c r="MOE43" s="478"/>
      <c r="MOF43" s="478"/>
      <c r="MOG43" s="478"/>
      <c r="MOH43" s="478"/>
      <c r="MOI43" s="478"/>
      <c r="MOJ43" s="478"/>
      <c r="MOK43" s="478"/>
      <c r="MOL43" s="478"/>
      <c r="MOM43" s="478"/>
      <c r="MON43" s="478"/>
      <c r="MOO43" s="478"/>
      <c r="MOP43" s="478"/>
      <c r="MOQ43" s="478"/>
      <c r="MOR43" s="478"/>
      <c r="MOS43" s="478"/>
      <c r="MOT43" s="478"/>
      <c r="MOU43" s="478"/>
      <c r="MOV43" s="478"/>
      <c r="MOW43" s="478"/>
      <c r="MOX43" s="478"/>
      <c r="MOY43" s="478"/>
      <c r="MOZ43" s="478"/>
      <c r="MPA43" s="478"/>
      <c r="MPB43" s="478"/>
      <c r="MPC43" s="478"/>
      <c r="MPD43" s="478"/>
      <c r="MPE43" s="478"/>
      <c r="MPF43" s="478"/>
      <c r="MPG43" s="478"/>
      <c r="MPH43" s="478"/>
      <c r="MPI43" s="478"/>
      <c r="MPJ43" s="478"/>
      <c r="MPK43" s="478"/>
      <c r="MPL43" s="478"/>
      <c r="MPM43" s="478"/>
      <c r="MPN43" s="478"/>
      <c r="MPO43" s="478"/>
      <c r="MPP43" s="478"/>
      <c r="MPQ43" s="478"/>
      <c r="MPR43" s="478"/>
      <c r="MPS43" s="478"/>
      <c r="MPT43" s="478"/>
      <c r="MPU43" s="478"/>
      <c r="MPV43" s="478"/>
      <c r="MPW43" s="478"/>
      <c r="MPX43" s="478"/>
      <c r="MPY43" s="478"/>
      <c r="MPZ43" s="478"/>
      <c r="MQA43" s="478"/>
      <c r="MQB43" s="478"/>
      <c r="MQC43" s="478"/>
      <c r="MQD43" s="478"/>
      <c r="MQE43" s="478"/>
      <c r="MQF43" s="478"/>
      <c r="MQG43" s="478"/>
      <c r="MQH43" s="478"/>
      <c r="MQI43" s="478"/>
      <c r="MQJ43" s="478"/>
      <c r="MQK43" s="478"/>
      <c r="MQL43" s="478"/>
      <c r="MQM43" s="478"/>
      <c r="MQN43" s="478"/>
      <c r="MQO43" s="478"/>
      <c r="MQP43" s="478"/>
      <c r="MQQ43" s="478"/>
      <c r="MQR43" s="478"/>
      <c r="MQS43" s="478"/>
      <c r="MQT43" s="478"/>
      <c r="MQU43" s="478"/>
      <c r="MQV43" s="478"/>
      <c r="MQW43" s="478"/>
      <c r="MQX43" s="478"/>
      <c r="MQY43" s="478"/>
      <c r="MQZ43" s="478"/>
      <c r="MRA43" s="478"/>
      <c r="MRB43" s="478"/>
      <c r="MRC43" s="478"/>
      <c r="MRD43" s="478"/>
      <c r="MRE43" s="478"/>
      <c r="MRF43" s="478"/>
      <c r="MRG43" s="478"/>
      <c r="MRH43" s="478"/>
      <c r="MRI43" s="478"/>
      <c r="MRJ43" s="478"/>
      <c r="MRK43" s="478"/>
      <c r="MRL43" s="478"/>
      <c r="MRM43" s="478"/>
      <c r="MRN43" s="478"/>
      <c r="MRO43" s="478"/>
      <c r="MRP43" s="478"/>
      <c r="MRQ43" s="478"/>
      <c r="MRR43" s="478"/>
      <c r="MRS43" s="478"/>
      <c r="MRT43" s="478"/>
      <c r="MRU43" s="478"/>
      <c r="MRV43" s="478"/>
      <c r="MRW43" s="478"/>
      <c r="MRX43" s="478"/>
      <c r="MRY43" s="478"/>
      <c r="MRZ43" s="478"/>
      <c r="MSA43" s="478"/>
      <c r="MSB43" s="478"/>
      <c r="MSC43" s="478"/>
      <c r="MSD43" s="478"/>
      <c r="MSE43" s="478"/>
      <c r="MSF43" s="478"/>
      <c r="MSG43" s="478"/>
      <c r="MSH43" s="478"/>
      <c r="MSI43" s="478"/>
      <c r="MSJ43" s="478"/>
      <c r="MSK43" s="478"/>
      <c r="MSL43" s="478"/>
      <c r="MSM43" s="478"/>
      <c r="MSN43" s="478"/>
      <c r="MSO43" s="478"/>
      <c r="MSP43" s="478"/>
      <c r="MSQ43" s="478"/>
      <c r="MSR43" s="478"/>
      <c r="MSS43" s="478"/>
      <c r="MST43" s="478"/>
      <c r="MSU43" s="478"/>
      <c r="MSV43" s="478"/>
      <c r="MSW43" s="478"/>
      <c r="MSX43" s="478"/>
      <c r="MSY43" s="478"/>
      <c r="MSZ43" s="478"/>
      <c r="MTA43" s="478"/>
      <c r="MTB43" s="478"/>
      <c r="MTC43" s="478"/>
      <c r="MTD43" s="478"/>
      <c r="MTE43" s="478"/>
      <c r="MTF43" s="478"/>
      <c r="MTG43" s="478"/>
      <c r="MTH43" s="478"/>
      <c r="MTI43" s="478"/>
      <c r="MTJ43" s="478"/>
      <c r="MTK43" s="478"/>
      <c r="MTL43" s="478"/>
      <c r="MTM43" s="478"/>
      <c r="MTN43" s="478"/>
      <c r="MTO43" s="478"/>
      <c r="MTP43" s="478"/>
      <c r="MTQ43" s="478"/>
      <c r="MTR43" s="478"/>
      <c r="MTS43" s="478"/>
      <c r="MTT43" s="478"/>
      <c r="MTU43" s="478"/>
      <c r="MTV43" s="478"/>
      <c r="MTW43" s="478"/>
      <c r="MTX43" s="478"/>
      <c r="MTY43" s="478"/>
      <c r="MTZ43" s="478"/>
      <c r="MUA43" s="478"/>
      <c r="MUB43" s="478"/>
      <c r="MUC43" s="478"/>
      <c r="MUD43" s="478"/>
      <c r="MUE43" s="478"/>
      <c r="MUF43" s="478"/>
      <c r="MUG43" s="478"/>
      <c r="MUH43" s="478"/>
      <c r="MUI43" s="478"/>
      <c r="MUJ43" s="478"/>
      <c r="MUK43" s="478"/>
      <c r="MUL43" s="478"/>
      <c r="MUM43" s="478"/>
      <c r="MUN43" s="478"/>
      <c r="MUO43" s="478"/>
      <c r="MUP43" s="478"/>
      <c r="MUQ43" s="478"/>
      <c r="MUR43" s="478"/>
      <c r="MUS43" s="478"/>
      <c r="MUT43" s="478"/>
      <c r="MUU43" s="478"/>
      <c r="MUV43" s="478"/>
      <c r="MUW43" s="478"/>
      <c r="MUX43" s="478"/>
      <c r="MUY43" s="478"/>
      <c r="MUZ43" s="478"/>
      <c r="MVA43" s="478"/>
      <c r="MVB43" s="478"/>
      <c r="MVC43" s="478"/>
      <c r="MVD43" s="478"/>
      <c r="MVE43" s="478"/>
      <c r="MVF43" s="478"/>
      <c r="MVG43" s="478"/>
      <c r="MVH43" s="478"/>
      <c r="MVI43" s="478"/>
      <c r="MVJ43" s="478"/>
      <c r="MVK43" s="478"/>
      <c r="MVL43" s="478"/>
      <c r="MVM43" s="478"/>
      <c r="MVN43" s="478"/>
      <c r="MVO43" s="478"/>
      <c r="MVP43" s="478"/>
      <c r="MVQ43" s="478"/>
      <c r="MVR43" s="478"/>
      <c r="MVS43" s="478"/>
      <c r="MVT43" s="478"/>
      <c r="MVU43" s="478"/>
      <c r="MVV43" s="478"/>
      <c r="MVW43" s="478"/>
      <c r="MVX43" s="478"/>
      <c r="MVY43" s="478"/>
      <c r="MVZ43" s="478"/>
      <c r="MWA43" s="478"/>
      <c r="MWB43" s="478"/>
      <c r="MWC43" s="478"/>
      <c r="MWD43" s="478"/>
      <c r="MWE43" s="478"/>
      <c r="MWF43" s="478"/>
      <c r="MWG43" s="478"/>
      <c r="MWH43" s="478"/>
      <c r="MWI43" s="478"/>
      <c r="MWJ43" s="478"/>
      <c r="MWK43" s="478"/>
      <c r="MWL43" s="478"/>
      <c r="MWM43" s="478"/>
      <c r="MWN43" s="478"/>
      <c r="MWO43" s="478"/>
      <c r="MWP43" s="478"/>
      <c r="MWQ43" s="478"/>
      <c r="MWR43" s="478"/>
      <c r="MWS43" s="478"/>
      <c r="MWT43" s="478"/>
      <c r="MWU43" s="478"/>
      <c r="MWV43" s="478"/>
      <c r="MWW43" s="478"/>
      <c r="MWX43" s="478"/>
      <c r="MWY43" s="478"/>
      <c r="MWZ43" s="478"/>
      <c r="MXA43" s="478"/>
      <c r="MXB43" s="478"/>
      <c r="MXC43" s="478"/>
      <c r="MXD43" s="478"/>
      <c r="MXE43" s="478"/>
      <c r="MXF43" s="478"/>
      <c r="MXG43" s="478"/>
      <c r="MXH43" s="478"/>
      <c r="MXI43" s="478"/>
      <c r="MXJ43" s="478"/>
      <c r="MXK43" s="478"/>
      <c r="MXL43" s="478"/>
      <c r="MXM43" s="478"/>
      <c r="MXN43" s="478"/>
      <c r="MXO43" s="478"/>
      <c r="MXP43" s="478"/>
      <c r="MXQ43" s="478"/>
      <c r="MXR43" s="478"/>
      <c r="MXS43" s="478"/>
      <c r="MXT43" s="478"/>
      <c r="MXU43" s="478"/>
      <c r="MXV43" s="478"/>
      <c r="MXW43" s="478"/>
      <c r="MXX43" s="478"/>
      <c r="MXY43" s="478"/>
      <c r="MXZ43" s="478"/>
      <c r="MYA43" s="478"/>
      <c r="MYB43" s="478"/>
      <c r="MYC43" s="478"/>
      <c r="MYD43" s="478"/>
      <c r="MYE43" s="478"/>
      <c r="MYF43" s="478"/>
      <c r="MYG43" s="478"/>
      <c r="MYH43" s="478"/>
      <c r="MYI43" s="478"/>
      <c r="MYJ43" s="478"/>
      <c r="MYK43" s="478"/>
      <c r="MYL43" s="478"/>
      <c r="MYM43" s="478"/>
      <c r="MYN43" s="478"/>
      <c r="MYO43" s="478"/>
      <c r="MYP43" s="478"/>
      <c r="MYQ43" s="478"/>
      <c r="MYR43" s="478"/>
      <c r="MYS43" s="478"/>
      <c r="MYT43" s="478"/>
      <c r="MYU43" s="478"/>
      <c r="MYV43" s="478"/>
      <c r="MYW43" s="478"/>
      <c r="MYX43" s="478"/>
      <c r="MYY43" s="478"/>
      <c r="MYZ43" s="478"/>
      <c r="MZA43" s="478"/>
      <c r="MZB43" s="478"/>
      <c r="MZC43" s="478"/>
      <c r="MZD43" s="478"/>
      <c r="MZE43" s="478"/>
      <c r="MZF43" s="478"/>
      <c r="MZG43" s="478"/>
      <c r="MZH43" s="478"/>
      <c r="MZI43" s="478"/>
      <c r="MZJ43" s="478"/>
      <c r="MZK43" s="478"/>
      <c r="MZL43" s="478"/>
      <c r="MZM43" s="478"/>
      <c r="MZN43" s="478"/>
      <c r="MZO43" s="478"/>
      <c r="MZP43" s="478"/>
      <c r="MZQ43" s="478"/>
      <c r="MZR43" s="478"/>
      <c r="MZS43" s="478"/>
      <c r="MZT43" s="478"/>
      <c r="MZU43" s="478"/>
      <c r="MZV43" s="478"/>
      <c r="MZW43" s="478"/>
      <c r="MZX43" s="478"/>
      <c r="MZY43" s="478"/>
      <c r="MZZ43" s="478"/>
      <c r="NAA43" s="478"/>
      <c r="NAB43" s="478"/>
      <c r="NAC43" s="478"/>
      <c r="NAD43" s="478"/>
      <c r="NAE43" s="478"/>
      <c r="NAF43" s="478"/>
      <c r="NAG43" s="478"/>
      <c r="NAH43" s="478"/>
      <c r="NAI43" s="478"/>
      <c r="NAJ43" s="478"/>
      <c r="NAK43" s="478"/>
      <c r="NAL43" s="478"/>
      <c r="NAM43" s="478"/>
      <c r="NAN43" s="478"/>
      <c r="NAO43" s="478"/>
      <c r="NAP43" s="478"/>
      <c r="NAQ43" s="478"/>
      <c r="NAR43" s="478"/>
      <c r="NAS43" s="478"/>
      <c r="NAT43" s="478"/>
      <c r="NAU43" s="478"/>
      <c r="NAV43" s="478"/>
      <c r="NAW43" s="478"/>
      <c r="NAX43" s="478"/>
      <c r="NAY43" s="478"/>
      <c r="NAZ43" s="478"/>
      <c r="NBA43" s="478"/>
      <c r="NBB43" s="478"/>
      <c r="NBC43" s="478"/>
      <c r="NBD43" s="478"/>
      <c r="NBE43" s="478"/>
      <c r="NBF43" s="478"/>
      <c r="NBG43" s="478"/>
      <c r="NBH43" s="478"/>
      <c r="NBI43" s="478"/>
      <c r="NBJ43" s="478"/>
      <c r="NBK43" s="478"/>
      <c r="NBL43" s="478"/>
      <c r="NBM43" s="478"/>
      <c r="NBN43" s="478"/>
      <c r="NBO43" s="478"/>
      <c r="NBP43" s="478"/>
      <c r="NBQ43" s="478"/>
      <c r="NBR43" s="478"/>
      <c r="NBS43" s="478"/>
      <c r="NBT43" s="478"/>
      <c r="NBU43" s="478"/>
      <c r="NBV43" s="478"/>
      <c r="NBW43" s="478"/>
      <c r="NBX43" s="478"/>
      <c r="NBY43" s="478"/>
      <c r="NBZ43" s="478"/>
      <c r="NCA43" s="478"/>
      <c r="NCB43" s="478"/>
      <c r="NCC43" s="478"/>
      <c r="NCD43" s="478"/>
      <c r="NCE43" s="478"/>
      <c r="NCF43" s="478"/>
      <c r="NCG43" s="478"/>
      <c r="NCH43" s="478"/>
      <c r="NCI43" s="478"/>
      <c r="NCJ43" s="478"/>
      <c r="NCK43" s="478"/>
      <c r="NCL43" s="478"/>
      <c r="NCM43" s="478"/>
      <c r="NCN43" s="478"/>
      <c r="NCO43" s="478"/>
      <c r="NCP43" s="478"/>
      <c r="NCQ43" s="478"/>
      <c r="NCR43" s="478"/>
      <c r="NCS43" s="478"/>
      <c r="NCT43" s="478"/>
      <c r="NCU43" s="478"/>
      <c r="NCV43" s="478"/>
      <c r="NCW43" s="478"/>
      <c r="NCX43" s="478"/>
      <c r="NCY43" s="478"/>
      <c r="NCZ43" s="478"/>
      <c r="NDA43" s="478"/>
      <c r="NDB43" s="478"/>
      <c r="NDC43" s="478"/>
      <c r="NDD43" s="478"/>
      <c r="NDE43" s="478"/>
      <c r="NDF43" s="478"/>
      <c r="NDG43" s="478"/>
      <c r="NDH43" s="478"/>
      <c r="NDI43" s="478"/>
      <c r="NDJ43" s="478"/>
      <c r="NDK43" s="478"/>
      <c r="NDL43" s="478"/>
      <c r="NDM43" s="478"/>
      <c r="NDN43" s="478"/>
      <c r="NDO43" s="478"/>
      <c r="NDP43" s="478"/>
      <c r="NDQ43" s="478"/>
      <c r="NDR43" s="478"/>
      <c r="NDS43" s="478"/>
      <c r="NDT43" s="478"/>
      <c r="NDU43" s="478"/>
      <c r="NDV43" s="478"/>
      <c r="NDW43" s="478"/>
      <c r="NDX43" s="478"/>
      <c r="NDY43" s="478"/>
      <c r="NDZ43" s="478"/>
      <c r="NEA43" s="478"/>
      <c r="NEB43" s="478"/>
      <c r="NEC43" s="478"/>
      <c r="NED43" s="478"/>
      <c r="NEE43" s="478"/>
      <c r="NEF43" s="478"/>
      <c r="NEG43" s="478"/>
      <c r="NEH43" s="478"/>
      <c r="NEI43" s="478"/>
      <c r="NEJ43" s="478"/>
      <c r="NEK43" s="478"/>
      <c r="NEL43" s="478"/>
      <c r="NEM43" s="478"/>
      <c r="NEN43" s="478"/>
      <c r="NEO43" s="478"/>
      <c r="NEP43" s="478"/>
      <c r="NEQ43" s="478"/>
      <c r="NER43" s="478"/>
      <c r="NES43" s="478"/>
      <c r="NET43" s="478"/>
      <c r="NEU43" s="478"/>
      <c r="NEV43" s="478"/>
      <c r="NEW43" s="478"/>
      <c r="NEX43" s="478"/>
      <c r="NEY43" s="478"/>
      <c r="NEZ43" s="478"/>
      <c r="NFA43" s="478"/>
      <c r="NFB43" s="478"/>
      <c r="NFC43" s="478"/>
      <c r="NFD43" s="478"/>
      <c r="NFE43" s="478"/>
      <c r="NFF43" s="478"/>
      <c r="NFG43" s="478"/>
      <c r="NFH43" s="478"/>
      <c r="NFI43" s="478"/>
      <c r="NFJ43" s="478"/>
      <c r="NFK43" s="478"/>
      <c r="NFL43" s="478"/>
      <c r="NFM43" s="478"/>
      <c r="NFN43" s="478"/>
      <c r="NFO43" s="478"/>
      <c r="NFP43" s="478"/>
      <c r="NFQ43" s="478"/>
      <c r="NFR43" s="478"/>
      <c r="NFS43" s="478"/>
      <c r="NFT43" s="478"/>
      <c r="NFU43" s="478"/>
      <c r="NFV43" s="478"/>
      <c r="NFW43" s="478"/>
      <c r="NFX43" s="478"/>
      <c r="NFY43" s="478"/>
      <c r="NFZ43" s="478"/>
      <c r="NGA43" s="478"/>
      <c r="NGB43" s="478"/>
      <c r="NGC43" s="478"/>
      <c r="NGD43" s="478"/>
      <c r="NGE43" s="478"/>
      <c r="NGF43" s="478"/>
      <c r="NGG43" s="478"/>
      <c r="NGH43" s="478"/>
      <c r="NGI43" s="478"/>
      <c r="NGJ43" s="478"/>
      <c r="NGK43" s="478"/>
      <c r="NGL43" s="478"/>
      <c r="NGM43" s="478"/>
      <c r="NGN43" s="478"/>
      <c r="NGO43" s="478"/>
      <c r="NGP43" s="478"/>
      <c r="NGQ43" s="478"/>
      <c r="NGR43" s="478"/>
      <c r="NGS43" s="478"/>
      <c r="NGT43" s="478"/>
      <c r="NGU43" s="478"/>
      <c r="NGV43" s="478"/>
      <c r="NGW43" s="478"/>
      <c r="NGX43" s="478"/>
      <c r="NGY43" s="478"/>
      <c r="NGZ43" s="478"/>
      <c r="NHA43" s="478"/>
      <c r="NHB43" s="478"/>
      <c r="NHC43" s="478"/>
      <c r="NHD43" s="478"/>
      <c r="NHE43" s="478"/>
      <c r="NHF43" s="478"/>
      <c r="NHG43" s="478"/>
      <c r="NHH43" s="478"/>
      <c r="NHI43" s="478"/>
      <c r="NHJ43" s="478"/>
      <c r="NHK43" s="478"/>
      <c r="NHL43" s="478"/>
      <c r="NHM43" s="478"/>
      <c r="NHN43" s="478"/>
      <c r="NHO43" s="478"/>
      <c r="NHP43" s="478"/>
      <c r="NHQ43" s="478"/>
      <c r="NHR43" s="478"/>
      <c r="NHS43" s="478"/>
      <c r="NHT43" s="478"/>
      <c r="NHU43" s="478"/>
      <c r="NHV43" s="478"/>
      <c r="NHW43" s="478"/>
      <c r="NHX43" s="478"/>
      <c r="NHY43" s="478"/>
      <c r="NHZ43" s="478"/>
      <c r="NIA43" s="478"/>
      <c r="NIB43" s="478"/>
      <c r="NIC43" s="478"/>
      <c r="NID43" s="478"/>
      <c r="NIE43" s="478"/>
      <c r="NIF43" s="478"/>
      <c r="NIG43" s="478"/>
      <c r="NIH43" s="478"/>
      <c r="NII43" s="478"/>
      <c r="NIJ43" s="478"/>
      <c r="NIK43" s="478"/>
      <c r="NIL43" s="478"/>
      <c r="NIM43" s="478"/>
      <c r="NIN43" s="478"/>
      <c r="NIO43" s="478"/>
      <c r="NIP43" s="478"/>
      <c r="NIQ43" s="478"/>
      <c r="NIR43" s="478"/>
      <c r="NIS43" s="478"/>
      <c r="NIT43" s="478"/>
      <c r="NIU43" s="478"/>
      <c r="NIV43" s="478"/>
      <c r="NIW43" s="478"/>
      <c r="NIX43" s="478"/>
      <c r="NIY43" s="478"/>
      <c r="NIZ43" s="478"/>
      <c r="NJA43" s="478"/>
      <c r="NJB43" s="478"/>
      <c r="NJC43" s="478"/>
      <c r="NJD43" s="478"/>
      <c r="NJE43" s="478"/>
      <c r="NJF43" s="478"/>
      <c r="NJG43" s="478"/>
      <c r="NJH43" s="478"/>
      <c r="NJI43" s="478"/>
      <c r="NJJ43" s="478"/>
      <c r="NJK43" s="478"/>
      <c r="NJL43" s="478"/>
      <c r="NJM43" s="478"/>
      <c r="NJN43" s="478"/>
      <c r="NJO43" s="478"/>
      <c r="NJP43" s="478"/>
      <c r="NJQ43" s="478"/>
      <c r="NJR43" s="478"/>
      <c r="NJS43" s="478"/>
      <c r="NJT43" s="478"/>
      <c r="NJU43" s="478"/>
      <c r="NJV43" s="478"/>
      <c r="NJW43" s="478"/>
      <c r="NJX43" s="478"/>
      <c r="NJY43" s="478"/>
      <c r="NJZ43" s="478"/>
      <c r="NKA43" s="478"/>
      <c r="NKB43" s="478"/>
      <c r="NKC43" s="478"/>
      <c r="NKD43" s="478"/>
      <c r="NKE43" s="478"/>
      <c r="NKF43" s="478"/>
      <c r="NKG43" s="478"/>
      <c r="NKH43" s="478"/>
      <c r="NKI43" s="478"/>
      <c r="NKJ43" s="478"/>
      <c r="NKK43" s="478"/>
      <c r="NKL43" s="478"/>
      <c r="NKM43" s="478"/>
      <c r="NKN43" s="478"/>
      <c r="NKO43" s="478"/>
      <c r="NKP43" s="478"/>
      <c r="NKQ43" s="478"/>
      <c r="NKR43" s="478"/>
      <c r="NKS43" s="478"/>
      <c r="NKT43" s="478"/>
      <c r="NKU43" s="478"/>
      <c r="NKV43" s="478"/>
      <c r="NKW43" s="478"/>
      <c r="NKX43" s="478"/>
      <c r="NKY43" s="478"/>
      <c r="NKZ43" s="478"/>
      <c r="NLA43" s="478"/>
      <c r="NLB43" s="478"/>
      <c r="NLC43" s="478"/>
      <c r="NLD43" s="478"/>
      <c r="NLE43" s="478"/>
      <c r="NLF43" s="478"/>
      <c r="NLG43" s="478"/>
      <c r="NLH43" s="478"/>
      <c r="NLI43" s="478"/>
      <c r="NLJ43" s="478"/>
      <c r="NLK43" s="478"/>
      <c r="NLL43" s="478"/>
      <c r="NLM43" s="478"/>
      <c r="NLN43" s="478"/>
      <c r="NLO43" s="478"/>
      <c r="NLP43" s="478"/>
      <c r="NLQ43" s="478"/>
      <c r="NLR43" s="478"/>
      <c r="NLS43" s="478"/>
      <c r="NLT43" s="478"/>
      <c r="NLU43" s="478"/>
      <c r="NLV43" s="478"/>
      <c r="NLW43" s="478"/>
      <c r="NLX43" s="478"/>
      <c r="NLY43" s="478"/>
      <c r="NLZ43" s="478"/>
      <c r="NMA43" s="478"/>
      <c r="NMB43" s="478"/>
      <c r="NMC43" s="478"/>
      <c r="NMD43" s="478"/>
      <c r="NME43" s="478"/>
      <c r="NMF43" s="478"/>
      <c r="NMG43" s="478"/>
      <c r="NMH43" s="478"/>
      <c r="NMI43" s="478"/>
      <c r="NMJ43" s="478"/>
      <c r="NMK43" s="478"/>
      <c r="NML43" s="478"/>
      <c r="NMM43" s="478"/>
      <c r="NMN43" s="478"/>
      <c r="NMO43" s="478"/>
      <c r="NMP43" s="478"/>
      <c r="NMQ43" s="478"/>
      <c r="NMR43" s="478"/>
      <c r="NMS43" s="478"/>
      <c r="NMT43" s="478"/>
      <c r="NMU43" s="478"/>
      <c r="NMV43" s="478"/>
      <c r="NMW43" s="478"/>
      <c r="NMX43" s="478"/>
      <c r="NMY43" s="478"/>
      <c r="NMZ43" s="478"/>
      <c r="NNA43" s="478"/>
      <c r="NNB43" s="478"/>
      <c r="NNC43" s="478"/>
      <c r="NND43" s="478"/>
      <c r="NNE43" s="478"/>
      <c r="NNF43" s="478"/>
      <c r="NNG43" s="478"/>
      <c r="NNH43" s="478"/>
      <c r="NNI43" s="478"/>
      <c r="NNJ43" s="478"/>
      <c r="NNK43" s="478"/>
      <c r="NNL43" s="478"/>
      <c r="NNM43" s="478"/>
      <c r="NNN43" s="478"/>
      <c r="NNO43" s="478"/>
      <c r="NNP43" s="478"/>
      <c r="NNQ43" s="478"/>
      <c r="NNR43" s="478"/>
      <c r="NNS43" s="478"/>
      <c r="NNT43" s="478"/>
      <c r="NNU43" s="478"/>
      <c r="NNV43" s="478"/>
      <c r="NNW43" s="478"/>
      <c r="NNX43" s="478"/>
      <c r="NNY43" s="478"/>
      <c r="NNZ43" s="478"/>
      <c r="NOA43" s="478"/>
      <c r="NOB43" s="478"/>
      <c r="NOC43" s="478"/>
      <c r="NOD43" s="478"/>
      <c r="NOE43" s="478"/>
      <c r="NOF43" s="478"/>
      <c r="NOG43" s="478"/>
      <c r="NOH43" s="478"/>
      <c r="NOI43" s="478"/>
      <c r="NOJ43" s="478"/>
      <c r="NOK43" s="478"/>
      <c r="NOL43" s="478"/>
      <c r="NOM43" s="478"/>
      <c r="NON43" s="478"/>
      <c r="NOO43" s="478"/>
      <c r="NOP43" s="478"/>
      <c r="NOQ43" s="478"/>
      <c r="NOR43" s="478"/>
      <c r="NOS43" s="478"/>
      <c r="NOT43" s="478"/>
      <c r="NOU43" s="478"/>
      <c r="NOV43" s="478"/>
      <c r="NOW43" s="478"/>
      <c r="NOX43" s="478"/>
      <c r="NOY43" s="478"/>
      <c r="NOZ43" s="478"/>
      <c r="NPA43" s="478"/>
      <c r="NPB43" s="478"/>
      <c r="NPC43" s="478"/>
      <c r="NPD43" s="478"/>
      <c r="NPE43" s="478"/>
      <c r="NPF43" s="478"/>
      <c r="NPG43" s="478"/>
      <c r="NPH43" s="478"/>
      <c r="NPI43" s="478"/>
      <c r="NPJ43" s="478"/>
      <c r="NPK43" s="478"/>
      <c r="NPL43" s="478"/>
      <c r="NPM43" s="478"/>
      <c r="NPN43" s="478"/>
      <c r="NPO43" s="478"/>
      <c r="NPP43" s="478"/>
      <c r="NPQ43" s="478"/>
      <c r="NPR43" s="478"/>
      <c r="NPS43" s="478"/>
      <c r="NPT43" s="478"/>
      <c r="NPU43" s="478"/>
      <c r="NPV43" s="478"/>
      <c r="NPW43" s="478"/>
      <c r="NPX43" s="478"/>
      <c r="NPY43" s="478"/>
      <c r="NPZ43" s="478"/>
      <c r="NQA43" s="478"/>
      <c r="NQB43" s="478"/>
      <c r="NQC43" s="478"/>
      <c r="NQD43" s="478"/>
      <c r="NQE43" s="478"/>
      <c r="NQF43" s="478"/>
      <c r="NQG43" s="478"/>
      <c r="NQH43" s="478"/>
      <c r="NQI43" s="478"/>
      <c r="NQJ43" s="478"/>
      <c r="NQK43" s="478"/>
      <c r="NQL43" s="478"/>
      <c r="NQM43" s="478"/>
      <c r="NQN43" s="478"/>
      <c r="NQO43" s="478"/>
      <c r="NQP43" s="478"/>
      <c r="NQQ43" s="478"/>
      <c r="NQR43" s="478"/>
      <c r="NQS43" s="478"/>
      <c r="NQT43" s="478"/>
      <c r="NQU43" s="478"/>
      <c r="NQV43" s="478"/>
      <c r="NQW43" s="478"/>
      <c r="NQX43" s="478"/>
      <c r="NQY43" s="478"/>
      <c r="NQZ43" s="478"/>
      <c r="NRA43" s="478"/>
      <c r="NRB43" s="478"/>
      <c r="NRC43" s="478"/>
      <c r="NRD43" s="478"/>
      <c r="NRE43" s="478"/>
      <c r="NRF43" s="478"/>
      <c r="NRG43" s="478"/>
      <c r="NRH43" s="478"/>
      <c r="NRI43" s="478"/>
      <c r="NRJ43" s="478"/>
      <c r="NRK43" s="478"/>
      <c r="NRL43" s="478"/>
      <c r="NRM43" s="478"/>
      <c r="NRN43" s="478"/>
      <c r="NRO43" s="478"/>
      <c r="NRP43" s="478"/>
      <c r="NRQ43" s="478"/>
      <c r="NRR43" s="478"/>
      <c r="NRS43" s="478"/>
      <c r="NRT43" s="478"/>
      <c r="NRU43" s="478"/>
      <c r="NRV43" s="478"/>
      <c r="NRW43" s="478"/>
      <c r="NRX43" s="478"/>
      <c r="NRY43" s="478"/>
      <c r="NRZ43" s="478"/>
      <c r="NSA43" s="478"/>
      <c r="NSB43" s="478"/>
      <c r="NSC43" s="478"/>
      <c r="NSD43" s="478"/>
      <c r="NSE43" s="478"/>
      <c r="NSF43" s="478"/>
      <c r="NSG43" s="478"/>
      <c r="NSH43" s="478"/>
      <c r="NSI43" s="478"/>
      <c r="NSJ43" s="478"/>
      <c r="NSK43" s="478"/>
      <c r="NSL43" s="478"/>
      <c r="NSM43" s="478"/>
      <c r="NSN43" s="478"/>
      <c r="NSO43" s="478"/>
      <c r="NSP43" s="478"/>
      <c r="NSQ43" s="478"/>
      <c r="NSR43" s="478"/>
      <c r="NSS43" s="478"/>
      <c r="NST43" s="478"/>
      <c r="NSU43" s="478"/>
      <c r="NSV43" s="478"/>
      <c r="NSW43" s="478"/>
      <c r="NSX43" s="478"/>
      <c r="NSY43" s="478"/>
      <c r="NSZ43" s="478"/>
      <c r="NTA43" s="478"/>
      <c r="NTB43" s="478"/>
      <c r="NTC43" s="478"/>
      <c r="NTD43" s="478"/>
      <c r="NTE43" s="478"/>
      <c r="NTF43" s="478"/>
      <c r="NTG43" s="478"/>
      <c r="NTH43" s="478"/>
      <c r="NTI43" s="478"/>
      <c r="NTJ43" s="478"/>
      <c r="NTK43" s="478"/>
      <c r="NTL43" s="478"/>
      <c r="NTM43" s="478"/>
      <c r="NTN43" s="478"/>
      <c r="NTO43" s="478"/>
      <c r="NTP43" s="478"/>
      <c r="NTQ43" s="478"/>
      <c r="NTR43" s="478"/>
      <c r="NTS43" s="478"/>
      <c r="NTT43" s="478"/>
      <c r="NTU43" s="478"/>
      <c r="NTV43" s="478"/>
      <c r="NTW43" s="478"/>
      <c r="NTX43" s="478"/>
      <c r="NTY43" s="478"/>
      <c r="NTZ43" s="478"/>
      <c r="NUA43" s="478"/>
      <c r="NUB43" s="478"/>
      <c r="NUC43" s="478"/>
      <c r="NUD43" s="478"/>
      <c r="NUE43" s="478"/>
      <c r="NUF43" s="478"/>
      <c r="NUG43" s="478"/>
      <c r="NUH43" s="478"/>
      <c r="NUI43" s="478"/>
      <c r="NUJ43" s="478"/>
      <c r="NUK43" s="478"/>
      <c r="NUL43" s="478"/>
      <c r="NUM43" s="478"/>
      <c r="NUN43" s="478"/>
      <c r="NUO43" s="478"/>
      <c r="NUP43" s="478"/>
      <c r="NUQ43" s="478"/>
      <c r="NUR43" s="478"/>
      <c r="NUS43" s="478"/>
      <c r="NUT43" s="478"/>
      <c r="NUU43" s="478"/>
      <c r="NUV43" s="478"/>
      <c r="NUW43" s="478"/>
      <c r="NUX43" s="478"/>
      <c r="NUY43" s="478"/>
      <c r="NUZ43" s="478"/>
      <c r="NVA43" s="478"/>
      <c r="NVB43" s="478"/>
      <c r="NVC43" s="478"/>
      <c r="NVD43" s="478"/>
      <c r="NVE43" s="478"/>
      <c r="NVF43" s="478"/>
      <c r="NVG43" s="478"/>
      <c r="NVH43" s="478"/>
      <c r="NVI43" s="478"/>
      <c r="NVJ43" s="478"/>
      <c r="NVK43" s="478"/>
      <c r="NVL43" s="478"/>
      <c r="NVM43" s="478"/>
      <c r="NVN43" s="478"/>
      <c r="NVO43" s="478"/>
      <c r="NVP43" s="478"/>
      <c r="NVQ43" s="478"/>
      <c r="NVR43" s="478"/>
      <c r="NVS43" s="478"/>
      <c r="NVT43" s="478"/>
      <c r="NVU43" s="478"/>
      <c r="NVV43" s="478"/>
      <c r="NVW43" s="478"/>
      <c r="NVX43" s="478"/>
      <c r="NVY43" s="478"/>
      <c r="NVZ43" s="478"/>
      <c r="NWA43" s="478"/>
      <c r="NWB43" s="478"/>
      <c r="NWC43" s="478"/>
      <c r="NWD43" s="478"/>
      <c r="NWE43" s="478"/>
      <c r="NWF43" s="478"/>
      <c r="NWG43" s="478"/>
      <c r="NWH43" s="478"/>
      <c r="NWI43" s="478"/>
      <c r="NWJ43" s="478"/>
      <c r="NWK43" s="478"/>
      <c r="NWL43" s="478"/>
      <c r="NWM43" s="478"/>
      <c r="NWN43" s="478"/>
      <c r="NWO43" s="478"/>
      <c r="NWP43" s="478"/>
      <c r="NWQ43" s="478"/>
      <c r="NWR43" s="478"/>
      <c r="NWS43" s="478"/>
      <c r="NWT43" s="478"/>
      <c r="NWU43" s="478"/>
      <c r="NWV43" s="478"/>
      <c r="NWW43" s="478"/>
      <c r="NWX43" s="478"/>
      <c r="NWY43" s="478"/>
      <c r="NWZ43" s="478"/>
      <c r="NXA43" s="478"/>
      <c r="NXB43" s="478"/>
      <c r="NXC43" s="478"/>
      <c r="NXD43" s="478"/>
      <c r="NXE43" s="478"/>
      <c r="NXF43" s="478"/>
      <c r="NXG43" s="478"/>
      <c r="NXH43" s="478"/>
      <c r="NXI43" s="478"/>
      <c r="NXJ43" s="478"/>
      <c r="NXK43" s="478"/>
      <c r="NXL43" s="478"/>
      <c r="NXM43" s="478"/>
      <c r="NXN43" s="478"/>
      <c r="NXO43" s="478"/>
      <c r="NXP43" s="478"/>
      <c r="NXQ43" s="478"/>
      <c r="NXR43" s="478"/>
      <c r="NXS43" s="478"/>
      <c r="NXT43" s="478"/>
      <c r="NXU43" s="478"/>
      <c r="NXV43" s="478"/>
      <c r="NXW43" s="478"/>
      <c r="NXX43" s="478"/>
      <c r="NXY43" s="478"/>
      <c r="NXZ43" s="478"/>
      <c r="NYA43" s="478"/>
      <c r="NYB43" s="478"/>
      <c r="NYC43" s="478"/>
      <c r="NYD43" s="478"/>
      <c r="NYE43" s="478"/>
      <c r="NYF43" s="478"/>
      <c r="NYG43" s="478"/>
      <c r="NYH43" s="478"/>
      <c r="NYI43" s="478"/>
      <c r="NYJ43" s="478"/>
      <c r="NYK43" s="478"/>
      <c r="NYL43" s="478"/>
      <c r="NYM43" s="478"/>
      <c r="NYN43" s="478"/>
      <c r="NYO43" s="478"/>
      <c r="NYP43" s="478"/>
      <c r="NYQ43" s="478"/>
      <c r="NYR43" s="478"/>
      <c r="NYS43" s="478"/>
      <c r="NYT43" s="478"/>
      <c r="NYU43" s="478"/>
      <c r="NYV43" s="478"/>
      <c r="NYW43" s="478"/>
      <c r="NYX43" s="478"/>
      <c r="NYY43" s="478"/>
      <c r="NYZ43" s="478"/>
      <c r="NZA43" s="478"/>
      <c r="NZB43" s="478"/>
      <c r="NZC43" s="478"/>
      <c r="NZD43" s="478"/>
      <c r="NZE43" s="478"/>
      <c r="NZF43" s="478"/>
      <c r="NZG43" s="478"/>
      <c r="NZH43" s="478"/>
      <c r="NZI43" s="478"/>
      <c r="NZJ43" s="478"/>
      <c r="NZK43" s="478"/>
      <c r="NZL43" s="478"/>
      <c r="NZM43" s="478"/>
      <c r="NZN43" s="478"/>
      <c r="NZO43" s="478"/>
      <c r="NZP43" s="478"/>
      <c r="NZQ43" s="478"/>
      <c r="NZR43" s="478"/>
      <c r="NZS43" s="478"/>
      <c r="NZT43" s="478"/>
      <c r="NZU43" s="478"/>
      <c r="NZV43" s="478"/>
      <c r="NZW43" s="478"/>
      <c r="NZX43" s="478"/>
      <c r="NZY43" s="478"/>
      <c r="NZZ43" s="478"/>
      <c r="OAA43" s="478"/>
      <c r="OAB43" s="478"/>
      <c r="OAC43" s="478"/>
      <c r="OAD43" s="478"/>
      <c r="OAE43" s="478"/>
      <c r="OAF43" s="478"/>
      <c r="OAG43" s="478"/>
      <c r="OAH43" s="478"/>
      <c r="OAI43" s="478"/>
      <c r="OAJ43" s="478"/>
      <c r="OAK43" s="478"/>
      <c r="OAL43" s="478"/>
      <c r="OAM43" s="478"/>
      <c r="OAN43" s="478"/>
      <c r="OAO43" s="478"/>
      <c r="OAP43" s="478"/>
      <c r="OAQ43" s="478"/>
      <c r="OAR43" s="478"/>
      <c r="OAS43" s="478"/>
      <c r="OAT43" s="478"/>
      <c r="OAU43" s="478"/>
      <c r="OAV43" s="478"/>
      <c r="OAW43" s="478"/>
      <c r="OAX43" s="478"/>
      <c r="OAY43" s="478"/>
      <c r="OAZ43" s="478"/>
      <c r="OBA43" s="478"/>
      <c r="OBB43" s="478"/>
      <c r="OBC43" s="478"/>
      <c r="OBD43" s="478"/>
      <c r="OBE43" s="478"/>
      <c r="OBF43" s="478"/>
      <c r="OBG43" s="478"/>
      <c r="OBH43" s="478"/>
      <c r="OBI43" s="478"/>
      <c r="OBJ43" s="478"/>
      <c r="OBK43" s="478"/>
      <c r="OBL43" s="478"/>
      <c r="OBM43" s="478"/>
      <c r="OBN43" s="478"/>
      <c r="OBO43" s="478"/>
      <c r="OBP43" s="478"/>
      <c r="OBQ43" s="478"/>
      <c r="OBR43" s="478"/>
      <c r="OBS43" s="478"/>
      <c r="OBT43" s="478"/>
      <c r="OBU43" s="478"/>
      <c r="OBV43" s="478"/>
      <c r="OBW43" s="478"/>
      <c r="OBX43" s="478"/>
      <c r="OBY43" s="478"/>
      <c r="OBZ43" s="478"/>
      <c r="OCA43" s="478"/>
      <c r="OCB43" s="478"/>
      <c r="OCC43" s="478"/>
      <c r="OCD43" s="478"/>
      <c r="OCE43" s="478"/>
      <c r="OCF43" s="478"/>
      <c r="OCG43" s="478"/>
      <c r="OCH43" s="478"/>
      <c r="OCI43" s="478"/>
      <c r="OCJ43" s="478"/>
      <c r="OCK43" s="478"/>
      <c r="OCL43" s="478"/>
      <c r="OCM43" s="478"/>
      <c r="OCN43" s="478"/>
      <c r="OCO43" s="478"/>
      <c r="OCP43" s="478"/>
      <c r="OCQ43" s="478"/>
      <c r="OCR43" s="478"/>
      <c r="OCS43" s="478"/>
      <c r="OCT43" s="478"/>
      <c r="OCU43" s="478"/>
      <c r="OCV43" s="478"/>
      <c r="OCW43" s="478"/>
      <c r="OCX43" s="478"/>
      <c r="OCY43" s="478"/>
      <c r="OCZ43" s="478"/>
      <c r="ODA43" s="478"/>
      <c r="ODB43" s="478"/>
      <c r="ODC43" s="478"/>
      <c r="ODD43" s="478"/>
      <c r="ODE43" s="478"/>
      <c r="ODF43" s="478"/>
      <c r="ODG43" s="478"/>
      <c r="ODH43" s="478"/>
      <c r="ODI43" s="478"/>
      <c r="ODJ43" s="478"/>
      <c r="ODK43" s="478"/>
      <c r="ODL43" s="478"/>
      <c r="ODM43" s="478"/>
      <c r="ODN43" s="478"/>
      <c r="ODO43" s="478"/>
      <c r="ODP43" s="478"/>
      <c r="ODQ43" s="478"/>
      <c r="ODR43" s="478"/>
      <c r="ODS43" s="478"/>
      <c r="ODT43" s="478"/>
      <c r="ODU43" s="478"/>
      <c r="ODV43" s="478"/>
      <c r="ODW43" s="478"/>
      <c r="ODX43" s="478"/>
      <c r="ODY43" s="478"/>
      <c r="ODZ43" s="478"/>
      <c r="OEA43" s="478"/>
      <c r="OEB43" s="478"/>
      <c r="OEC43" s="478"/>
      <c r="OED43" s="478"/>
      <c r="OEE43" s="478"/>
      <c r="OEF43" s="478"/>
      <c r="OEG43" s="478"/>
      <c r="OEH43" s="478"/>
      <c r="OEI43" s="478"/>
      <c r="OEJ43" s="478"/>
      <c r="OEK43" s="478"/>
      <c r="OEL43" s="478"/>
      <c r="OEM43" s="478"/>
      <c r="OEN43" s="478"/>
      <c r="OEO43" s="478"/>
      <c r="OEP43" s="478"/>
      <c r="OEQ43" s="478"/>
      <c r="OER43" s="478"/>
      <c r="OES43" s="478"/>
      <c r="OET43" s="478"/>
      <c r="OEU43" s="478"/>
      <c r="OEV43" s="478"/>
      <c r="OEW43" s="478"/>
      <c r="OEX43" s="478"/>
      <c r="OEY43" s="478"/>
      <c r="OEZ43" s="478"/>
      <c r="OFA43" s="478"/>
      <c r="OFB43" s="478"/>
      <c r="OFC43" s="478"/>
      <c r="OFD43" s="478"/>
      <c r="OFE43" s="478"/>
      <c r="OFF43" s="478"/>
      <c r="OFG43" s="478"/>
      <c r="OFH43" s="478"/>
      <c r="OFI43" s="478"/>
      <c r="OFJ43" s="478"/>
      <c r="OFK43" s="478"/>
      <c r="OFL43" s="478"/>
      <c r="OFM43" s="478"/>
      <c r="OFN43" s="478"/>
      <c r="OFO43" s="478"/>
      <c r="OFP43" s="478"/>
      <c r="OFQ43" s="478"/>
      <c r="OFR43" s="478"/>
      <c r="OFS43" s="478"/>
      <c r="OFT43" s="478"/>
      <c r="OFU43" s="478"/>
      <c r="OFV43" s="478"/>
      <c r="OFW43" s="478"/>
      <c r="OFX43" s="478"/>
      <c r="OFY43" s="478"/>
      <c r="OFZ43" s="478"/>
      <c r="OGA43" s="478"/>
      <c r="OGB43" s="478"/>
      <c r="OGC43" s="478"/>
      <c r="OGD43" s="478"/>
      <c r="OGE43" s="478"/>
      <c r="OGF43" s="478"/>
      <c r="OGG43" s="478"/>
      <c r="OGH43" s="478"/>
      <c r="OGI43" s="478"/>
      <c r="OGJ43" s="478"/>
      <c r="OGK43" s="478"/>
      <c r="OGL43" s="478"/>
      <c r="OGM43" s="478"/>
      <c r="OGN43" s="478"/>
      <c r="OGO43" s="478"/>
      <c r="OGP43" s="478"/>
      <c r="OGQ43" s="478"/>
      <c r="OGR43" s="478"/>
      <c r="OGS43" s="478"/>
      <c r="OGT43" s="478"/>
      <c r="OGU43" s="478"/>
      <c r="OGV43" s="478"/>
      <c r="OGW43" s="478"/>
      <c r="OGX43" s="478"/>
      <c r="OGY43" s="478"/>
      <c r="OGZ43" s="478"/>
      <c r="OHA43" s="478"/>
      <c r="OHB43" s="478"/>
      <c r="OHC43" s="478"/>
      <c r="OHD43" s="478"/>
      <c r="OHE43" s="478"/>
      <c r="OHF43" s="478"/>
      <c r="OHG43" s="478"/>
      <c r="OHH43" s="478"/>
      <c r="OHI43" s="478"/>
      <c r="OHJ43" s="478"/>
      <c r="OHK43" s="478"/>
      <c r="OHL43" s="478"/>
      <c r="OHM43" s="478"/>
      <c r="OHN43" s="478"/>
      <c r="OHO43" s="478"/>
      <c r="OHP43" s="478"/>
      <c r="OHQ43" s="478"/>
      <c r="OHR43" s="478"/>
      <c r="OHS43" s="478"/>
      <c r="OHT43" s="478"/>
      <c r="OHU43" s="478"/>
      <c r="OHV43" s="478"/>
      <c r="OHW43" s="478"/>
      <c r="OHX43" s="478"/>
      <c r="OHY43" s="478"/>
      <c r="OHZ43" s="478"/>
      <c r="OIA43" s="478"/>
      <c r="OIB43" s="478"/>
      <c r="OIC43" s="478"/>
      <c r="OID43" s="478"/>
      <c r="OIE43" s="478"/>
      <c r="OIF43" s="478"/>
      <c r="OIG43" s="478"/>
      <c r="OIH43" s="478"/>
      <c r="OII43" s="478"/>
      <c r="OIJ43" s="478"/>
      <c r="OIK43" s="478"/>
      <c r="OIL43" s="478"/>
      <c r="OIM43" s="478"/>
      <c r="OIN43" s="478"/>
      <c r="OIO43" s="478"/>
      <c r="OIP43" s="478"/>
      <c r="OIQ43" s="478"/>
      <c r="OIR43" s="478"/>
      <c r="OIS43" s="478"/>
      <c r="OIT43" s="478"/>
      <c r="OIU43" s="478"/>
      <c r="OIV43" s="478"/>
      <c r="OIW43" s="478"/>
      <c r="OIX43" s="478"/>
      <c r="OIY43" s="478"/>
      <c r="OIZ43" s="478"/>
      <c r="OJA43" s="478"/>
      <c r="OJB43" s="478"/>
      <c r="OJC43" s="478"/>
      <c r="OJD43" s="478"/>
      <c r="OJE43" s="478"/>
      <c r="OJF43" s="478"/>
      <c r="OJG43" s="478"/>
      <c r="OJH43" s="478"/>
      <c r="OJI43" s="478"/>
      <c r="OJJ43" s="478"/>
      <c r="OJK43" s="478"/>
      <c r="OJL43" s="478"/>
      <c r="OJM43" s="478"/>
      <c r="OJN43" s="478"/>
      <c r="OJO43" s="478"/>
      <c r="OJP43" s="478"/>
      <c r="OJQ43" s="478"/>
      <c r="OJR43" s="478"/>
      <c r="OJS43" s="478"/>
      <c r="OJT43" s="478"/>
      <c r="OJU43" s="478"/>
      <c r="OJV43" s="478"/>
      <c r="OJW43" s="478"/>
      <c r="OJX43" s="478"/>
      <c r="OJY43" s="478"/>
      <c r="OJZ43" s="478"/>
      <c r="OKA43" s="478"/>
      <c r="OKB43" s="478"/>
      <c r="OKC43" s="478"/>
      <c r="OKD43" s="478"/>
      <c r="OKE43" s="478"/>
      <c r="OKF43" s="478"/>
      <c r="OKG43" s="478"/>
      <c r="OKH43" s="478"/>
      <c r="OKI43" s="478"/>
      <c r="OKJ43" s="478"/>
      <c r="OKK43" s="478"/>
      <c r="OKL43" s="478"/>
      <c r="OKM43" s="478"/>
      <c r="OKN43" s="478"/>
      <c r="OKO43" s="478"/>
      <c r="OKP43" s="478"/>
      <c r="OKQ43" s="478"/>
      <c r="OKR43" s="478"/>
      <c r="OKS43" s="478"/>
      <c r="OKT43" s="478"/>
      <c r="OKU43" s="478"/>
      <c r="OKV43" s="478"/>
      <c r="OKW43" s="478"/>
      <c r="OKX43" s="478"/>
      <c r="OKY43" s="478"/>
      <c r="OKZ43" s="478"/>
      <c r="OLA43" s="478"/>
      <c r="OLB43" s="478"/>
      <c r="OLC43" s="478"/>
      <c r="OLD43" s="478"/>
      <c r="OLE43" s="478"/>
      <c r="OLF43" s="478"/>
      <c r="OLG43" s="478"/>
      <c r="OLH43" s="478"/>
      <c r="OLI43" s="478"/>
      <c r="OLJ43" s="478"/>
      <c r="OLK43" s="478"/>
      <c r="OLL43" s="478"/>
      <c r="OLM43" s="478"/>
      <c r="OLN43" s="478"/>
      <c r="OLO43" s="478"/>
      <c r="OLP43" s="478"/>
      <c r="OLQ43" s="478"/>
      <c r="OLR43" s="478"/>
      <c r="OLS43" s="478"/>
      <c r="OLT43" s="478"/>
      <c r="OLU43" s="478"/>
      <c r="OLV43" s="478"/>
      <c r="OLW43" s="478"/>
      <c r="OLX43" s="478"/>
      <c r="OLY43" s="478"/>
      <c r="OLZ43" s="478"/>
      <c r="OMA43" s="478"/>
      <c r="OMB43" s="478"/>
      <c r="OMC43" s="478"/>
      <c r="OMD43" s="478"/>
      <c r="OME43" s="478"/>
      <c r="OMF43" s="478"/>
      <c r="OMG43" s="478"/>
      <c r="OMH43" s="478"/>
      <c r="OMI43" s="478"/>
      <c r="OMJ43" s="478"/>
      <c r="OMK43" s="478"/>
      <c r="OML43" s="478"/>
      <c r="OMM43" s="478"/>
      <c r="OMN43" s="478"/>
      <c r="OMO43" s="478"/>
      <c r="OMP43" s="478"/>
      <c r="OMQ43" s="478"/>
      <c r="OMR43" s="478"/>
      <c r="OMS43" s="478"/>
      <c r="OMT43" s="478"/>
      <c r="OMU43" s="478"/>
      <c r="OMV43" s="478"/>
      <c r="OMW43" s="478"/>
      <c r="OMX43" s="478"/>
      <c r="OMY43" s="478"/>
      <c r="OMZ43" s="478"/>
      <c r="ONA43" s="478"/>
      <c r="ONB43" s="478"/>
      <c r="ONC43" s="478"/>
      <c r="OND43" s="478"/>
      <c r="ONE43" s="478"/>
      <c r="ONF43" s="478"/>
      <c r="ONG43" s="478"/>
      <c r="ONH43" s="478"/>
      <c r="ONI43" s="478"/>
      <c r="ONJ43" s="478"/>
      <c r="ONK43" s="478"/>
      <c r="ONL43" s="478"/>
      <c r="ONM43" s="478"/>
      <c r="ONN43" s="478"/>
      <c r="ONO43" s="478"/>
      <c r="ONP43" s="478"/>
      <c r="ONQ43" s="478"/>
      <c r="ONR43" s="478"/>
      <c r="ONS43" s="478"/>
      <c r="ONT43" s="478"/>
      <c r="ONU43" s="478"/>
      <c r="ONV43" s="478"/>
      <c r="ONW43" s="478"/>
      <c r="ONX43" s="478"/>
      <c r="ONY43" s="478"/>
      <c r="ONZ43" s="478"/>
      <c r="OOA43" s="478"/>
      <c r="OOB43" s="478"/>
      <c r="OOC43" s="478"/>
      <c r="OOD43" s="478"/>
      <c r="OOE43" s="478"/>
      <c r="OOF43" s="478"/>
      <c r="OOG43" s="478"/>
      <c r="OOH43" s="478"/>
      <c r="OOI43" s="478"/>
      <c r="OOJ43" s="478"/>
      <c r="OOK43" s="478"/>
      <c r="OOL43" s="478"/>
      <c r="OOM43" s="478"/>
      <c r="OON43" s="478"/>
      <c r="OOO43" s="478"/>
      <c r="OOP43" s="478"/>
      <c r="OOQ43" s="478"/>
      <c r="OOR43" s="478"/>
      <c r="OOS43" s="478"/>
      <c r="OOT43" s="478"/>
      <c r="OOU43" s="478"/>
      <c r="OOV43" s="478"/>
      <c r="OOW43" s="478"/>
      <c r="OOX43" s="478"/>
      <c r="OOY43" s="478"/>
      <c r="OOZ43" s="478"/>
      <c r="OPA43" s="478"/>
      <c r="OPB43" s="478"/>
      <c r="OPC43" s="478"/>
      <c r="OPD43" s="478"/>
      <c r="OPE43" s="478"/>
      <c r="OPF43" s="478"/>
      <c r="OPG43" s="478"/>
      <c r="OPH43" s="478"/>
      <c r="OPI43" s="478"/>
      <c r="OPJ43" s="478"/>
      <c r="OPK43" s="478"/>
      <c r="OPL43" s="478"/>
      <c r="OPM43" s="478"/>
      <c r="OPN43" s="478"/>
      <c r="OPO43" s="478"/>
      <c r="OPP43" s="478"/>
      <c r="OPQ43" s="478"/>
      <c r="OPR43" s="478"/>
      <c r="OPS43" s="478"/>
      <c r="OPT43" s="478"/>
      <c r="OPU43" s="478"/>
      <c r="OPV43" s="478"/>
      <c r="OPW43" s="478"/>
      <c r="OPX43" s="478"/>
      <c r="OPY43" s="478"/>
      <c r="OPZ43" s="478"/>
      <c r="OQA43" s="478"/>
      <c r="OQB43" s="478"/>
      <c r="OQC43" s="478"/>
      <c r="OQD43" s="478"/>
      <c r="OQE43" s="478"/>
      <c r="OQF43" s="478"/>
      <c r="OQG43" s="478"/>
      <c r="OQH43" s="478"/>
      <c r="OQI43" s="478"/>
      <c r="OQJ43" s="478"/>
      <c r="OQK43" s="478"/>
      <c r="OQL43" s="478"/>
      <c r="OQM43" s="478"/>
      <c r="OQN43" s="478"/>
      <c r="OQO43" s="478"/>
      <c r="OQP43" s="478"/>
      <c r="OQQ43" s="478"/>
      <c r="OQR43" s="478"/>
      <c r="OQS43" s="478"/>
      <c r="OQT43" s="478"/>
      <c r="OQU43" s="478"/>
      <c r="OQV43" s="478"/>
      <c r="OQW43" s="478"/>
      <c r="OQX43" s="478"/>
      <c r="OQY43" s="478"/>
      <c r="OQZ43" s="478"/>
      <c r="ORA43" s="478"/>
      <c r="ORB43" s="478"/>
      <c r="ORC43" s="478"/>
      <c r="ORD43" s="478"/>
      <c r="ORE43" s="478"/>
      <c r="ORF43" s="478"/>
      <c r="ORG43" s="478"/>
      <c r="ORH43" s="478"/>
      <c r="ORI43" s="478"/>
      <c r="ORJ43" s="478"/>
      <c r="ORK43" s="478"/>
      <c r="ORL43" s="478"/>
      <c r="ORM43" s="478"/>
      <c r="ORN43" s="478"/>
      <c r="ORO43" s="478"/>
      <c r="ORP43" s="478"/>
      <c r="ORQ43" s="478"/>
      <c r="ORR43" s="478"/>
      <c r="ORS43" s="478"/>
      <c r="ORT43" s="478"/>
      <c r="ORU43" s="478"/>
      <c r="ORV43" s="478"/>
      <c r="ORW43" s="478"/>
      <c r="ORX43" s="478"/>
      <c r="ORY43" s="478"/>
      <c r="ORZ43" s="478"/>
      <c r="OSA43" s="478"/>
      <c r="OSB43" s="478"/>
      <c r="OSC43" s="478"/>
      <c r="OSD43" s="478"/>
      <c r="OSE43" s="478"/>
      <c r="OSF43" s="478"/>
      <c r="OSG43" s="478"/>
      <c r="OSH43" s="478"/>
      <c r="OSI43" s="478"/>
      <c r="OSJ43" s="478"/>
      <c r="OSK43" s="478"/>
      <c r="OSL43" s="478"/>
      <c r="OSM43" s="478"/>
      <c r="OSN43" s="478"/>
      <c r="OSO43" s="478"/>
      <c r="OSP43" s="478"/>
      <c r="OSQ43" s="478"/>
      <c r="OSR43" s="478"/>
      <c r="OSS43" s="478"/>
      <c r="OST43" s="478"/>
      <c r="OSU43" s="478"/>
      <c r="OSV43" s="478"/>
      <c r="OSW43" s="478"/>
      <c r="OSX43" s="478"/>
      <c r="OSY43" s="478"/>
      <c r="OSZ43" s="478"/>
      <c r="OTA43" s="478"/>
      <c r="OTB43" s="478"/>
      <c r="OTC43" s="478"/>
      <c r="OTD43" s="478"/>
      <c r="OTE43" s="478"/>
      <c r="OTF43" s="478"/>
      <c r="OTG43" s="478"/>
      <c r="OTH43" s="478"/>
      <c r="OTI43" s="478"/>
      <c r="OTJ43" s="478"/>
      <c r="OTK43" s="478"/>
      <c r="OTL43" s="478"/>
      <c r="OTM43" s="478"/>
      <c r="OTN43" s="478"/>
      <c r="OTO43" s="478"/>
      <c r="OTP43" s="478"/>
      <c r="OTQ43" s="478"/>
      <c r="OTR43" s="478"/>
      <c r="OTS43" s="478"/>
      <c r="OTT43" s="478"/>
      <c r="OTU43" s="478"/>
      <c r="OTV43" s="478"/>
      <c r="OTW43" s="478"/>
      <c r="OTX43" s="478"/>
      <c r="OTY43" s="478"/>
      <c r="OTZ43" s="478"/>
      <c r="OUA43" s="478"/>
      <c r="OUB43" s="478"/>
      <c r="OUC43" s="478"/>
      <c r="OUD43" s="478"/>
      <c r="OUE43" s="478"/>
      <c r="OUF43" s="478"/>
      <c r="OUG43" s="478"/>
      <c r="OUH43" s="478"/>
      <c r="OUI43" s="478"/>
      <c r="OUJ43" s="478"/>
      <c r="OUK43" s="478"/>
      <c r="OUL43" s="478"/>
      <c r="OUM43" s="478"/>
      <c r="OUN43" s="478"/>
      <c r="OUO43" s="478"/>
      <c r="OUP43" s="478"/>
      <c r="OUQ43" s="478"/>
      <c r="OUR43" s="478"/>
      <c r="OUS43" s="478"/>
      <c r="OUT43" s="478"/>
      <c r="OUU43" s="478"/>
      <c r="OUV43" s="478"/>
      <c r="OUW43" s="478"/>
      <c r="OUX43" s="478"/>
      <c r="OUY43" s="478"/>
      <c r="OUZ43" s="478"/>
      <c r="OVA43" s="478"/>
      <c r="OVB43" s="478"/>
      <c r="OVC43" s="478"/>
      <c r="OVD43" s="478"/>
      <c r="OVE43" s="478"/>
      <c r="OVF43" s="478"/>
      <c r="OVG43" s="478"/>
      <c r="OVH43" s="478"/>
      <c r="OVI43" s="478"/>
      <c r="OVJ43" s="478"/>
      <c r="OVK43" s="478"/>
      <c r="OVL43" s="478"/>
      <c r="OVM43" s="478"/>
      <c r="OVN43" s="478"/>
      <c r="OVO43" s="478"/>
      <c r="OVP43" s="478"/>
      <c r="OVQ43" s="478"/>
      <c r="OVR43" s="478"/>
      <c r="OVS43" s="478"/>
      <c r="OVT43" s="478"/>
      <c r="OVU43" s="478"/>
      <c r="OVV43" s="478"/>
      <c r="OVW43" s="478"/>
      <c r="OVX43" s="478"/>
      <c r="OVY43" s="478"/>
      <c r="OVZ43" s="478"/>
      <c r="OWA43" s="478"/>
      <c r="OWB43" s="478"/>
      <c r="OWC43" s="478"/>
      <c r="OWD43" s="478"/>
      <c r="OWE43" s="478"/>
      <c r="OWF43" s="478"/>
      <c r="OWG43" s="478"/>
      <c r="OWH43" s="478"/>
      <c r="OWI43" s="478"/>
      <c r="OWJ43" s="478"/>
      <c r="OWK43" s="478"/>
      <c r="OWL43" s="478"/>
      <c r="OWM43" s="478"/>
      <c r="OWN43" s="478"/>
      <c r="OWO43" s="478"/>
      <c r="OWP43" s="478"/>
      <c r="OWQ43" s="478"/>
      <c r="OWR43" s="478"/>
      <c r="OWS43" s="478"/>
      <c r="OWT43" s="478"/>
      <c r="OWU43" s="478"/>
      <c r="OWV43" s="478"/>
      <c r="OWW43" s="478"/>
      <c r="OWX43" s="478"/>
      <c r="OWY43" s="478"/>
      <c r="OWZ43" s="478"/>
      <c r="OXA43" s="478"/>
      <c r="OXB43" s="478"/>
      <c r="OXC43" s="478"/>
      <c r="OXD43" s="478"/>
      <c r="OXE43" s="478"/>
      <c r="OXF43" s="478"/>
      <c r="OXG43" s="478"/>
      <c r="OXH43" s="478"/>
      <c r="OXI43" s="478"/>
      <c r="OXJ43" s="478"/>
      <c r="OXK43" s="478"/>
      <c r="OXL43" s="478"/>
      <c r="OXM43" s="478"/>
      <c r="OXN43" s="478"/>
      <c r="OXO43" s="478"/>
      <c r="OXP43" s="478"/>
      <c r="OXQ43" s="478"/>
      <c r="OXR43" s="478"/>
      <c r="OXS43" s="478"/>
      <c r="OXT43" s="478"/>
      <c r="OXU43" s="478"/>
      <c r="OXV43" s="478"/>
      <c r="OXW43" s="478"/>
      <c r="OXX43" s="478"/>
      <c r="OXY43" s="478"/>
      <c r="OXZ43" s="478"/>
      <c r="OYA43" s="478"/>
      <c r="OYB43" s="478"/>
      <c r="OYC43" s="478"/>
      <c r="OYD43" s="478"/>
      <c r="OYE43" s="478"/>
      <c r="OYF43" s="478"/>
      <c r="OYG43" s="478"/>
      <c r="OYH43" s="478"/>
      <c r="OYI43" s="478"/>
      <c r="OYJ43" s="478"/>
      <c r="OYK43" s="478"/>
      <c r="OYL43" s="478"/>
      <c r="OYM43" s="478"/>
      <c r="OYN43" s="478"/>
      <c r="OYO43" s="478"/>
      <c r="OYP43" s="478"/>
      <c r="OYQ43" s="478"/>
      <c r="OYR43" s="478"/>
      <c r="OYS43" s="478"/>
      <c r="OYT43" s="478"/>
      <c r="OYU43" s="478"/>
      <c r="OYV43" s="478"/>
      <c r="OYW43" s="478"/>
      <c r="OYX43" s="478"/>
      <c r="OYY43" s="478"/>
      <c r="OYZ43" s="478"/>
      <c r="OZA43" s="478"/>
      <c r="OZB43" s="478"/>
      <c r="OZC43" s="478"/>
      <c r="OZD43" s="478"/>
      <c r="OZE43" s="478"/>
      <c r="OZF43" s="478"/>
      <c r="OZG43" s="478"/>
      <c r="OZH43" s="478"/>
      <c r="OZI43" s="478"/>
      <c r="OZJ43" s="478"/>
      <c r="OZK43" s="478"/>
      <c r="OZL43" s="478"/>
      <c r="OZM43" s="478"/>
      <c r="OZN43" s="478"/>
      <c r="OZO43" s="478"/>
      <c r="OZP43" s="478"/>
      <c r="OZQ43" s="478"/>
      <c r="OZR43" s="478"/>
      <c r="OZS43" s="478"/>
      <c r="OZT43" s="478"/>
      <c r="OZU43" s="478"/>
      <c r="OZV43" s="478"/>
      <c r="OZW43" s="478"/>
      <c r="OZX43" s="478"/>
      <c r="OZY43" s="478"/>
      <c r="OZZ43" s="478"/>
      <c r="PAA43" s="478"/>
      <c r="PAB43" s="478"/>
      <c r="PAC43" s="478"/>
      <c r="PAD43" s="478"/>
      <c r="PAE43" s="478"/>
      <c r="PAF43" s="478"/>
      <c r="PAG43" s="478"/>
      <c r="PAH43" s="478"/>
      <c r="PAI43" s="478"/>
      <c r="PAJ43" s="478"/>
      <c r="PAK43" s="478"/>
      <c r="PAL43" s="478"/>
      <c r="PAM43" s="478"/>
      <c r="PAN43" s="478"/>
      <c r="PAO43" s="478"/>
      <c r="PAP43" s="478"/>
      <c r="PAQ43" s="478"/>
      <c r="PAR43" s="478"/>
      <c r="PAS43" s="478"/>
      <c r="PAT43" s="478"/>
      <c r="PAU43" s="478"/>
      <c r="PAV43" s="478"/>
      <c r="PAW43" s="478"/>
      <c r="PAX43" s="478"/>
      <c r="PAY43" s="478"/>
      <c r="PAZ43" s="478"/>
      <c r="PBA43" s="478"/>
      <c r="PBB43" s="478"/>
      <c r="PBC43" s="478"/>
      <c r="PBD43" s="478"/>
      <c r="PBE43" s="478"/>
      <c r="PBF43" s="478"/>
      <c r="PBG43" s="478"/>
      <c r="PBH43" s="478"/>
      <c r="PBI43" s="478"/>
      <c r="PBJ43" s="478"/>
      <c r="PBK43" s="478"/>
      <c r="PBL43" s="478"/>
      <c r="PBM43" s="478"/>
      <c r="PBN43" s="478"/>
      <c r="PBO43" s="478"/>
      <c r="PBP43" s="478"/>
      <c r="PBQ43" s="478"/>
      <c r="PBR43" s="478"/>
      <c r="PBS43" s="478"/>
      <c r="PBT43" s="478"/>
      <c r="PBU43" s="478"/>
      <c r="PBV43" s="478"/>
      <c r="PBW43" s="478"/>
      <c r="PBX43" s="478"/>
      <c r="PBY43" s="478"/>
      <c r="PBZ43" s="478"/>
      <c r="PCA43" s="478"/>
      <c r="PCB43" s="478"/>
      <c r="PCC43" s="478"/>
      <c r="PCD43" s="478"/>
      <c r="PCE43" s="478"/>
      <c r="PCF43" s="478"/>
      <c r="PCG43" s="478"/>
      <c r="PCH43" s="478"/>
      <c r="PCI43" s="478"/>
      <c r="PCJ43" s="478"/>
      <c r="PCK43" s="478"/>
      <c r="PCL43" s="478"/>
      <c r="PCM43" s="478"/>
      <c r="PCN43" s="478"/>
      <c r="PCO43" s="478"/>
      <c r="PCP43" s="478"/>
      <c r="PCQ43" s="478"/>
      <c r="PCR43" s="478"/>
      <c r="PCS43" s="478"/>
      <c r="PCT43" s="478"/>
      <c r="PCU43" s="478"/>
      <c r="PCV43" s="478"/>
      <c r="PCW43" s="478"/>
      <c r="PCX43" s="478"/>
      <c r="PCY43" s="478"/>
      <c r="PCZ43" s="478"/>
      <c r="PDA43" s="478"/>
      <c r="PDB43" s="478"/>
      <c r="PDC43" s="478"/>
      <c r="PDD43" s="478"/>
      <c r="PDE43" s="478"/>
      <c r="PDF43" s="478"/>
      <c r="PDG43" s="478"/>
      <c r="PDH43" s="478"/>
      <c r="PDI43" s="478"/>
      <c r="PDJ43" s="478"/>
      <c r="PDK43" s="478"/>
      <c r="PDL43" s="478"/>
      <c r="PDM43" s="478"/>
      <c r="PDN43" s="478"/>
      <c r="PDO43" s="478"/>
      <c r="PDP43" s="478"/>
      <c r="PDQ43" s="478"/>
      <c r="PDR43" s="478"/>
      <c r="PDS43" s="478"/>
      <c r="PDT43" s="478"/>
      <c r="PDU43" s="478"/>
      <c r="PDV43" s="478"/>
      <c r="PDW43" s="478"/>
      <c r="PDX43" s="478"/>
      <c r="PDY43" s="478"/>
      <c r="PDZ43" s="478"/>
      <c r="PEA43" s="478"/>
      <c r="PEB43" s="478"/>
      <c r="PEC43" s="478"/>
      <c r="PED43" s="478"/>
      <c r="PEE43" s="478"/>
      <c r="PEF43" s="478"/>
      <c r="PEG43" s="478"/>
      <c r="PEH43" s="478"/>
      <c r="PEI43" s="478"/>
      <c r="PEJ43" s="478"/>
      <c r="PEK43" s="478"/>
      <c r="PEL43" s="478"/>
      <c r="PEM43" s="478"/>
      <c r="PEN43" s="478"/>
      <c r="PEO43" s="478"/>
      <c r="PEP43" s="478"/>
      <c r="PEQ43" s="478"/>
      <c r="PER43" s="478"/>
      <c r="PES43" s="478"/>
      <c r="PET43" s="478"/>
      <c r="PEU43" s="478"/>
      <c r="PEV43" s="478"/>
      <c r="PEW43" s="478"/>
      <c r="PEX43" s="478"/>
      <c r="PEY43" s="478"/>
      <c r="PEZ43" s="478"/>
      <c r="PFA43" s="478"/>
      <c r="PFB43" s="478"/>
      <c r="PFC43" s="478"/>
      <c r="PFD43" s="478"/>
      <c r="PFE43" s="478"/>
      <c r="PFF43" s="478"/>
      <c r="PFG43" s="478"/>
      <c r="PFH43" s="478"/>
      <c r="PFI43" s="478"/>
      <c r="PFJ43" s="478"/>
      <c r="PFK43" s="478"/>
      <c r="PFL43" s="478"/>
      <c r="PFM43" s="478"/>
      <c r="PFN43" s="478"/>
      <c r="PFO43" s="478"/>
      <c r="PFP43" s="478"/>
      <c r="PFQ43" s="478"/>
      <c r="PFR43" s="478"/>
      <c r="PFS43" s="478"/>
      <c r="PFT43" s="478"/>
      <c r="PFU43" s="478"/>
      <c r="PFV43" s="478"/>
      <c r="PFW43" s="478"/>
      <c r="PFX43" s="478"/>
      <c r="PFY43" s="478"/>
      <c r="PFZ43" s="478"/>
      <c r="PGA43" s="478"/>
      <c r="PGB43" s="478"/>
      <c r="PGC43" s="478"/>
      <c r="PGD43" s="478"/>
      <c r="PGE43" s="478"/>
      <c r="PGF43" s="478"/>
      <c r="PGG43" s="478"/>
      <c r="PGH43" s="478"/>
      <c r="PGI43" s="478"/>
      <c r="PGJ43" s="478"/>
      <c r="PGK43" s="478"/>
      <c r="PGL43" s="478"/>
      <c r="PGM43" s="478"/>
      <c r="PGN43" s="478"/>
      <c r="PGO43" s="478"/>
      <c r="PGP43" s="478"/>
      <c r="PGQ43" s="478"/>
      <c r="PGR43" s="478"/>
      <c r="PGS43" s="478"/>
      <c r="PGT43" s="478"/>
      <c r="PGU43" s="478"/>
      <c r="PGV43" s="478"/>
      <c r="PGW43" s="478"/>
      <c r="PGX43" s="478"/>
      <c r="PGY43" s="478"/>
      <c r="PGZ43" s="478"/>
      <c r="PHA43" s="478"/>
      <c r="PHB43" s="478"/>
      <c r="PHC43" s="478"/>
      <c r="PHD43" s="478"/>
      <c r="PHE43" s="478"/>
      <c r="PHF43" s="478"/>
      <c r="PHG43" s="478"/>
      <c r="PHH43" s="478"/>
      <c r="PHI43" s="478"/>
      <c r="PHJ43" s="478"/>
      <c r="PHK43" s="478"/>
      <c r="PHL43" s="478"/>
      <c r="PHM43" s="478"/>
      <c r="PHN43" s="478"/>
      <c r="PHO43" s="478"/>
      <c r="PHP43" s="478"/>
      <c r="PHQ43" s="478"/>
      <c r="PHR43" s="478"/>
      <c r="PHS43" s="478"/>
      <c r="PHT43" s="478"/>
      <c r="PHU43" s="478"/>
      <c r="PHV43" s="478"/>
      <c r="PHW43" s="478"/>
      <c r="PHX43" s="478"/>
      <c r="PHY43" s="478"/>
      <c r="PHZ43" s="478"/>
      <c r="PIA43" s="478"/>
      <c r="PIB43" s="478"/>
      <c r="PIC43" s="478"/>
      <c r="PID43" s="478"/>
      <c r="PIE43" s="478"/>
      <c r="PIF43" s="478"/>
      <c r="PIG43" s="478"/>
      <c r="PIH43" s="478"/>
      <c r="PII43" s="478"/>
      <c r="PIJ43" s="478"/>
      <c r="PIK43" s="478"/>
      <c r="PIL43" s="478"/>
      <c r="PIM43" s="478"/>
      <c r="PIN43" s="478"/>
      <c r="PIO43" s="478"/>
      <c r="PIP43" s="478"/>
      <c r="PIQ43" s="478"/>
      <c r="PIR43" s="478"/>
      <c r="PIS43" s="478"/>
      <c r="PIT43" s="478"/>
      <c r="PIU43" s="478"/>
      <c r="PIV43" s="478"/>
      <c r="PIW43" s="478"/>
      <c r="PIX43" s="478"/>
      <c r="PIY43" s="478"/>
      <c r="PIZ43" s="478"/>
      <c r="PJA43" s="478"/>
      <c r="PJB43" s="478"/>
      <c r="PJC43" s="478"/>
      <c r="PJD43" s="478"/>
      <c r="PJE43" s="478"/>
      <c r="PJF43" s="478"/>
      <c r="PJG43" s="478"/>
      <c r="PJH43" s="478"/>
      <c r="PJI43" s="478"/>
      <c r="PJJ43" s="478"/>
      <c r="PJK43" s="478"/>
      <c r="PJL43" s="478"/>
      <c r="PJM43" s="478"/>
      <c r="PJN43" s="478"/>
      <c r="PJO43" s="478"/>
      <c r="PJP43" s="478"/>
      <c r="PJQ43" s="478"/>
      <c r="PJR43" s="478"/>
      <c r="PJS43" s="478"/>
      <c r="PJT43" s="478"/>
      <c r="PJU43" s="478"/>
      <c r="PJV43" s="478"/>
      <c r="PJW43" s="478"/>
      <c r="PJX43" s="478"/>
      <c r="PJY43" s="478"/>
      <c r="PJZ43" s="478"/>
      <c r="PKA43" s="478"/>
      <c r="PKB43" s="478"/>
      <c r="PKC43" s="478"/>
      <c r="PKD43" s="478"/>
      <c r="PKE43" s="478"/>
      <c r="PKF43" s="478"/>
      <c r="PKG43" s="478"/>
      <c r="PKH43" s="478"/>
      <c r="PKI43" s="478"/>
      <c r="PKJ43" s="478"/>
      <c r="PKK43" s="478"/>
      <c r="PKL43" s="478"/>
      <c r="PKM43" s="478"/>
      <c r="PKN43" s="478"/>
      <c r="PKO43" s="478"/>
      <c r="PKP43" s="478"/>
      <c r="PKQ43" s="478"/>
      <c r="PKR43" s="478"/>
      <c r="PKS43" s="478"/>
      <c r="PKT43" s="478"/>
      <c r="PKU43" s="478"/>
      <c r="PKV43" s="478"/>
      <c r="PKW43" s="478"/>
      <c r="PKX43" s="478"/>
      <c r="PKY43" s="478"/>
      <c r="PKZ43" s="478"/>
      <c r="PLA43" s="478"/>
      <c r="PLB43" s="478"/>
      <c r="PLC43" s="478"/>
      <c r="PLD43" s="478"/>
      <c r="PLE43" s="478"/>
      <c r="PLF43" s="478"/>
      <c r="PLG43" s="478"/>
      <c r="PLH43" s="478"/>
      <c r="PLI43" s="478"/>
      <c r="PLJ43" s="478"/>
      <c r="PLK43" s="478"/>
      <c r="PLL43" s="478"/>
      <c r="PLM43" s="478"/>
      <c r="PLN43" s="478"/>
      <c r="PLO43" s="478"/>
      <c r="PLP43" s="478"/>
      <c r="PLQ43" s="478"/>
      <c r="PLR43" s="478"/>
      <c r="PLS43" s="478"/>
      <c r="PLT43" s="478"/>
      <c r="PLU43" s="478"/>
      <c r="PLV43" s="478"/>
      <c r="PLW43" s="478"/>
      <c r="PLX43" s="478"/>
      <c r="PLY43" s="478"/>
      <c r="PLZ43" s="478"/>
      <c r="PMA43" s="478"/>
      <c r="PMB43" s="478"/>
      <c r="PMC43" s="478"/>
      <c r="PMD43" s="478"/>
      <c r="PME43" s="478"/>
      <c r="PMF43" s="478"/>
      <c r="PMG43" s="478"/>
      <c r="PMH43" s="478"/>
      <c r="PMI43" s="478"/>
      <c r="PMJ43" s="478"/>
      <c r="PMK43" s="478"/>
      <c r="PML43" s="478"/>
      <c r="PMM43" s="478"/>
      <c r="PMN43" s="478"/>
      <c r="PMO43" s="478"/>
      <c r="PMP43" s="478"/>
      <c r="PMQ43" s="478"/>
      <c r="PMR43" s="478"/>
      <c r="PMS43" s="478"/>
      <c r="PMT43" s="478"/>
      <c r="PMU43" s="478"/>
      <c r="PMV43" s="478"/>
      <c r="PMW43" s="478"/>
      <c r="PMX43" s="478"/>
      <c r="PMY43" s="478"/>
      <c r="PMZ43" s="478"/>
      <c r="PNA43" s="478"/>
      <c r="PNB43" s="478"/>
      <c r="PNC43" s="478"/>
      <c r="PND43" s="478"/>
      <c r="PNE43" s="478"/>
      <c r="PNF43" s="478"/>
      <c r="PNG43" s="478"/>
      <c r="PNH43" s="478"/>
      <c r="PNI43" s="478"/>
      <c r="PNJ43" s="478"/>
      <c r="PNK43" s="478"/>
      <c r="PNL43" s="478"/>
      <c r="PNM43" s="478"/>
      <c r="PNN43" s="478"/>
      <c r="PNO43" s="478"/>
      <c r="PNP43" s="478"/>
      <c r="PNQ43" s="478"/>
      <c r="PNR43" s="478"/>
      <c r="PNS43" s="478"/>
      <c r="PNT43" s="478"/>
      <c r="PNU43" s="478"/>
      <c r="PNV43" s="478"/>
      <c r="PNW43" s="478"/>
      <c r="PNX43" s="478"/>
      <c r="PNY43" s="478"/>
      <c r="PNZ43" s="478"/>
      <c r="POA43" s="478"/>
      <c r="POB43" s="478"/>
      <c r="POC43" s="478"/>
      <c r="POD43" s="478"/>
      <c r="POE43" s="478"/>
      <c r="POF43" s="478"/>
      <c r="POG43" s="478"/>
      <c r="POH43" s="478"/>
      <c r="POI43" s="478"/>
      <c r="POJ43" s="478"/>
      <c r="POK43" s="478"/>
      <c r="POL43" s="478"/>
      <c r="POM43" s="478"/>
      <c r="PON43" s="478"/>
      <c r="POO43" s="478"/>
      <c r="POP43" s="478"/>
      <c r="POQ43" s="478"/>
      <c r="POR43" s="478"/>
      <c r="POS43" s="478"/>
      <c r="POT43" s="478"/>
      <c r="POU43" s="478"/>
      <c r="POV43" s="478"/>
      <c r="POW43" s="478"/>
      <c r="POX43" s="478"/>
      <c r="POY43" s="478"/>
      <c r="POZ43" s="478"/>
      <c r="PPA43" s="478"/>
      <c r="PPB43" s="478"/>
      <c r="PPC43" s="478"/>
      <c r="PPD43" s="478"/>
      <c r="PPE43" s="478"/>
      <c r="PPF43" s="478"/>
      <c r="PPG43" s="478"/>
      <c r="PPH43" s="478"/>
      <c r="PPI43" s="478"/>
      <c r="PPJ43" s="478"/>
      <c r="PPK43" s="478"/>
      <c r="PPL43" s="478"/>
      <c r="PPM43" s="478"/>
      <c r="PPN43" s="478"/>
      <c r="PPO43" s="478"/>
      <c r="PPP43" s="478"/>
      <c r="PPQ43" s="478"/>
      <c r="PPR43" s="478"/>
      <c r="PPS43" s="478"/>
      <c r="PPT43" s="478"/>
      <c r="PPU43" s="478"/>
      <c r="PPV43" s="478"/>
      <c r="PPW43" s="478"/>
      <c r="PPX43" s="478"/>
      <c r="PPY43" s="478"/>
      <c r="PPZ43" s="478"/>
      <c r="PQA43" s="478"/>
      <c r="PQB43" s="478"/>
      <c r="PQC43" s="478"/>
      <c r="PQD43" s="478"/>
      <c r="PQE43" s="478"/>
      <c r="PQF43" s="478"/>
      <c r="PQG43" s="478"/>
      <c r="PQH43" s="478"/>
      <c r="PQI43" s="478"/>
      <c r="PQJ43" s="478"/>
      <c r="PQK43" s="478"/>
      <c r="PQL43" s="478"/>
      <c r="PQM43" s="478"/>
      <c r="PQN43" s="478"/>
      <c r="PQO43" s="478"/>
      <c r="PQP43" s="478"/>
      <c r="PQQ43" s="478"/>
      <c r="PQR43" s="478"/>
      <c r="PQS43" s="478"/>
      <c r="PQT43" s="478"/>
      <c r="PQU43" s="478"/>
      <c r="PQV43" s="478"/>
      <c r="PQW43" s="478"/>
      <c r="PQX43" s="478"/>
      <c r="PQY43" s="478"/>
      <c r="PQZ43" s="478"/>
      <c r="PRA43" s="478"/>
      <c r="PRB43" s="478"/>
      <c r="PRC43" s="478"/>
      <c r="PRD43" s="478"/>
      <c r="PRE43" s="478"/>
      <c r="PRF43" s="478"/>
      <c r="PRG43" s="478"/>
      <c r="PRH43" s="478"/>
      <c r="PRI43" s="478"/>
      <c r="PRJ43" s="478"/>
      <c r="PRK43" s="478"/>
      <c r="PRL43" s="478"/>
      <c r="PRM43" s="478"/>
      <c r="PRN43" s="478"/>
      <c r="PRO43" s="478"/>
      <c r="PRP43" s="478"/>
      <c r="PRQ43" s="478"/>
      <c r="PRR43" s="478"/>
      <c r="PRS43" s="478"/>
      <c r="PRT43" s="478"/>
      <c r="PRU43" s="478"/>
      <c r="PRV43" s="478"/>
      <c r="PRW43" s="478"/>
      <c r="PRX43" s="478"/>
      <c r="PRY43" s="478"/>
      <c r="PRZ43" s="478"/>
      <c r="PSA43" s="478"/>
      <c r="PSB43" s="478"/>
      <c r="PSC43" s="478"/>
      <c r="PSD43" s="478"/>
      <c r="PSE43" s="478"/>
      <c r="PSF43" s="478"/>
      <c r="PSG43" s="478"/>
      <c r="PSH43" s="478"/>
      <c r="PSI43" s="478"/>
      <c r="PSJ43" s="478"/>
      <c r="PSK43" s="478"/>
      <c r="PSL43" s="478"/>
      <c r="PSM43" s="478"/>
      <c r="PSN43" s="478"/>
      <c r="PSO43" s="478"/>
      <c r="PSP43" s="478"/>
      <c r="PSQ43" s="478"/>
      <c r="PSR43" s="478"/>
      <c r="PSS43" s="478"/>
      <c r="PST43" s="478"/>
      <c r="PSU43" s="478"/>
      <c r="PSV43" s="478"/>
      <c r="PSW43" s="478"/>
      <c r="PSX43" s="478"/>
      <c r="PSY43" s="478"/>
      <c r="PSZ43" s="478"/>
      <c r="PTA43" s="478"/>
      <c r="PTB43" s="478"/>
      <c r="PTC43" s="478"/>
      <c r="PTD43" s="478"/>
      <c r="PTE43" s="478"/>
      <c r="PTF43" s="478"/>
      <c r="PTG43" s="478"/>
      <c r="PTH43" s="478"/>
      <c r="PTI43" s="478"/>
      <c r="PTJ43" s="478"/>
      <c r="PTK43" s="478"/>
      <c r="PTL43" s="478"/>
      <c r="PTM43" s="478"/>
      <c r="PTN43" s="478"/>
      <c r="PTO43" s="478"/>
      <c r="PTP43" s="478"/>
      <c r="PTQ43" s="478"/>
      <c r="PTR43" s="478"/>
      <c r="PTS43" s="478"/>
      <c r="PTT43" s="478"/>
      <c r="PTU43" s="478"/>
      <c r="PTV43" s="478"/>
      <c r="PTW43" s="478"/>
      <c r="PTX43" s="478"/>
      <c r="PTY43" s="478"/>
      <c r="PTZ43" s="478"/>
      <c r="PUA43" s="478"/>
      <c r="PUB43" s="478"/>
      <c r="PUC43" s="478"/>
      <c r="PUD43" s="478"/>
      <c r="PUE43" s="478"/>
      <c r="PUF43" s="478"/>
      <c r="PUG43" s="478"/>
      <c r="PUH43" s="478"/>
      <c r="PUI43" s="478"/>
      <c r="PUJ43" s="478"/>
      <c r="PUK43" s="478"/>
      <c r="PUL43" s="478"/>
      <c r="PUM43" s="478"/>
      <c r="PUN43" s="478"/>
      <c r="PUO43" s="478"/>
      <c r="PUP43" s="478"/>
      <c r="PUQ43" s="478"/>
      <c r="PUR43" s="478"/>
      <c r="PUS43" s="478"/>
      <c r="PUT43" s="478"/>
      <c r="PUU43" s="478"/>
      <c r="PUV43" s="478"/>
      <c r="PUW43" s="478"/>
      <c r="PUX43" s="478"/>
      <c r="PUY43" s="478"/>
      <c r="PUZ43" s="478"/>
      <c r="PVA43" s="478"/>
      <c r="PVB43" s="478"/>
      <c r="PVC43" s="478"/>
      <c r="PVD43" s="478"/>
      <c r="PVE43" s="478"/>
      <c r="PVF43" s="478"/>
      <c r="PVG43" s="478"/>
      <c r="PVH43" s="478"/>
      <c r="PVI43" s="478"/>
      <c r="PVJ43" s="478"/>
      <c r="PVK43" s="478"/>
      <c r="PVL43" s="478"/>
      <c r="PVM43" s="478"/>
      <c r="PVN43" s="478"/>
      <c r="PVO43" s="478"/>
      <c r="PVP43" s="478"/>
      <c r="PVQ43" s="478"/>
      <c r="PVR43" s="478"/>
      <c r="PVS43" s="478"/>
      <c r="PVT43" s="478"/>
      <c r="PVU43" s="478"/>
      <c r="PVV43" s="478"/>
      <c r="PVW43" s="478"/>
      <c r="PVX43" s="478"/>
      <c r="PVY43" s="478"/>
      <c r="PVZ43" s="478"/>
      <c r="PWA43" s="478"/>
      <c r="PWB43" s="478"/>
      <c r="PWC43" s="478"/>
      <c r="PWD43" s="478"/>
      <c r="PWE43" s="478"/>
      <c r="PWF43" s="478"/>
      <c r="PWG43" s="478"/>
      <c r="PWH43" s="478"/>
      <c r="PWI43" s="478"/>
      <c r="PWJ43" s="478"/>
      <c r="PWK43" s="478"/>
      <c r="PWL43" s="478"/>
      <c r="PWM43" s="478"/>
      <c r="PWN43" s="478"/>
      <c r="PWO43" s="478"/>
      <c r="PWP43" s="478"/>
      <c r="PWQ43" s="478"/>
      <c r="PWR43" s="478"/>
      <c r="PWS43" s="478"/>
      <c r="PWT43" s="478"/>
      <c r="PWU43" s="478"/>
      <c r="PWV43" s="478"/>
      <c r="PWW43" s="478"/>
      <c r="PWX43" s="478"/>
      <c r="PWY43" s="478"/>
      <c r="PWZ43" s="478"/>
      <c r="PXA43" s="478"/>
      <c r="PXB43" s="478"/>
      <c r="PXC43" s="478"/>
      <c r="PXD43" s="478"/>
      <c r="PXE43" s="478"/>
      <c r="PXF43" s="478"/>
      <c r="PXG43" s="478"/>
      <c r="PXH43" s="478"/>
      <c r="PXI43" s="478"/>
      <c r="PXJ43" s="478"/>
      <c r="PXK43" s="478"/>
      <c r="PXL43" s="478"/>
      <c r="PXM43" s="478"/>
      <c r="PXN43" s="478"/>
      <c r="PXO43" s="478"/>
      <c r="PXP43" s="478"/>
      <c r="PXQ43" s="478"/>
      <c r="PXR43" s="478"/>
      <c r="PXS43" s="478"/>
      <c r="PXT43" s="478"/>
      <c r="PXU43" s="478"/>
      <c r="PXV43" s="478"/>
      <c r="PXW43" s="478"/>
      <c r="PXX43" s="478"/>
      <c r="PXY43" s="478"/>
      <c r="PXZ43" s="478"/>
      <c r="PYA43" s="478"/>
      <c r="PYB43" s="478"/>
      <c r="PYC43" s="478"/>
      <c r="PYD43" s="478"/>
      <c r="PYE43" s="478"/>
      <c r="PYF43" s="478"/>
      <c r="PYG43" s="478"/>
      <c r="PYH43" s="478"/>
      <c r="PYI43" s="478"/>
      <c r="PYJ43" s="478"/>
      <c r="PYK43" s="478"/>
      <c r="PYL43" s="478"/>
      <c r="PYM43" s="478"/>
      <c r="PYN43" s="478"/>
      <c r="PYO43" s="478"/>
      <c r="PYP43" s="478"/>
      <c r="PYQ43" s="478"/>
      <c r="PYR43" s="478"/>
      <c r="PYS43" s="478"/>
      <c r="PYT43" s="478"/>
      <c r="PYU43" s="478"/>
      <c r="PYV43" s="478"/>
      <c r="PYW43" s="478"/>
      <c r="PYX43" s="478"/>
      <c r="PYY43" s="478"/>
      <c r="PYZ43" s="478"/>
      <c r="PZA43" s="478"/>
      <c r="PZB43" s="478"/>
      <c r="PZC43" s="478"/>
      <c r="PZD43" s="478"/>
      <c r="PZE43" s="478"/>
      <c r="PZF43" s="478"/>
      <c r="PZG43" s="478"/>
      <c r="PZH43" s="478"/>
      <c r="PZI43" s="478"/>
      <c r="PZJ43" s="478"/>
      <c r="PZK43" s="478"/>
      <c r="PZL43" s="478"/>
      <c r="PZM43" s="478"/>
      <c r="PZN43" s="478"/>
      <c r="PZO43" s="478"/>
      <c r="PZP43" s="478"/>
      <c r="PZQ43" s="478"/>
      <c r="PZR43" s="478"/>
      <c r="PZS43" s="478"/>
      <c r="PZT43" s="478"/>
      <c r="PZU43" s="478"/>
      <c r="PZV43" s="478"/>
      <c r="PZW43" s="478"/>
      <c r="PZX43" s="478"/>
      <c r="PZY43" s="478"/>
      <c r="PZZ43" s="478"/>
      <c r="QAA43" s="478"/>
      <c r="QAB43" s="478"/>
      <c r="QAC43" s="478"/>
      <c r="QAD43" s="478"/>
      <c r="QAE43" s="478"/>
      <c r="QAF43" s="478"/>
      <c r="QAG43" s="478"/>
      <c r="QAH43" s="478"/>
      <c r="QAI43" s="478"/>
      <c r="QAJ43" s="478"/>
      <c r="QAK43" s="478"/>
      <c r="QAL43" s="478"/>
      <c r="QAM43" s="478"/>
      <c r="QAN43" s="478"/>
      <c r="QAO43" s="478"/>
      <c r="QAP43" s="478"/>
      <c r="QAQ43" s="478"/>
      <c r="QAR43" s="478"/>
      <c r="QAS43" s="478"/>
      <c r="QAT43" s="478"/>
      <c r="QAU43" s="478"/>
      <c r="QAV43" s="478"/>
      <c r="QAW43" s="478"/>
      <c r="QAX43" s="478"/>
      <c r="QAY43" s="478"/>
      <c r="QAZ43" s="478"/>
      <c r="QBA43" s="478"/>
      <c r="QBB43" s="478"/>
      <c r="QBC43" s="478"/>
      <c r="QBD43" s="478"/>
      <c r="QBE43" s="478"/>
      <c r="QBF43" s="478"/>
      <c r="QBG43" s="478"/>
      <c r="QBH43" s="478"/>
      <c r="QBI43" s="478"/>
      <c r="QBJ43" s="478"/>
      <c r="QBK43" s="478"/>
      <c r="QBL43" s="478"/>
      <c r="QBM43" s="478"/>
      <c r="QBN43" s="478"/>
      <c r="QBO43" s="478"/>
      <c r="QBP43" s="478"/>
      <c r="QBQ43" s="478"/>
      <c r="QBR43" s="478"/>
      <c r="QBS43" s="478"/>
      <c r="QBT43" s="478"/>
      <c r="QBU43" s="478"/>
      <c r="QBV43" s="478"/>
      <c r="QBW43" s="478"/>
      <c r="QBX43" s="478"/>
      <c r="QBY43" s="478"/>
      <c r="QBZ43" s="478"/>
      <c r="QCA43" s="478"/>
      <c r="QCB43" s="478"/>
      <c r="QCC43" s="478"/>
      <c r="QCD43" s="478"/>
      <c r="QCE43" s="478"/>
      <c r="QCF43" s="478"/>
      <c r="QCG43" s="478"/>
      <c r="QCH43" s="478"/>
      <c r="QCI43" s="478"/>
      <c r="QCJ43" s="478"/>
      <c r="QCK43" s="478"/>
      <c r="QCL43" s="478"/>
      <c r="QCM43" s="478"/>
      <c r="QCN43" s="478"/>
      <c r="QCO43" s="478"/>
      <c r="QCP43" s="478"/>
      <c r="QCQ43" s="478"/>
      <c r="QCR43" s="478"/>
      <c r="QCS43" s="478"/>
      <c r="QCT43" s="478"/>
      <c r="QCU43" s="478"/>
      <c r="QCV43" s="478"/>
      <c r="QCW43" s="478"/>
      <c r="QCX43" s="478"/>
      <c r="QCY43" s="478"/>
      <c r="QCZ43" s="478"/>
      <c r="QDA43" s="478"/>
      <c r="QDB43" s="478"/>
      <c r="QDC43" s="478"/>
      <c r="QDD43" s="478"/>
      <c r="QDE43" s="478"/>
      <c r="QDF43" s="478"/>
      <c r="QDG43" s="478"/>
      <c r="QDH43" s="478"/>
      <c r="QDI43" s="478"/>
      <c r="QDJ43" s="478"/>
      <c r="QDK43" s="478"/>
      <c r="QDL43" s="478"/>
      <c r="QDM43" s="478"/>
      <c r="QDN43" s="478"/>
      <c r="QDO43" s="478"/>
      <c r="QDP43" s="478"/>
      <c r="QDQ43" s="478"/>
      <c r="QDR43" s="478"/>
      <c r="QDS43" s="478"/>
      <c r="QDT43" s="478"/>
      <c r="QDU43" s="478"/>
      <c r="QDV43" s="478"/>
      <c r="QDW43" s="478"/>
      <c r="QDX43" s="478"/>
      <c r="QDY43" s="478"/>
      <c r="QDZ43" s="478"/>
      <c r="QEA43" s="478"/>
      <c r="QEB43" s="478"/>
      <c r="QEC43" s="478"/>
      <c r="QED43" s="478"/>
      <c r="QEE43" s="478"/>
      <c r="QEF43" s="478"/>
      <c r="QEG43" s="478"/>
      <c r="QEH43" s="478"/>
      <c r="QEI43" s="478"/>
      <c r="QEJ43" s="478"/>
      <c r="QEK43" s="478"/>
      <c r="QEL43" s="478"/>
      <c r="QEM43" s="478"/>
      <c r="QEN43" s="478"/>
      <c r="QEO43" s="478"/>
      <c r="QEP43" s="478"/>
      <c r="QEQ43" s="478"/>
      <c r="QER43" s="478"/>
      <c r="QES43" s="478"/>
      <c r="QET43" s="478"/>
      <c r="QEU43" s="478"/>
      <c r="QEV43" s="478"/>
      <c r="QEW43" s="478"/>
      <c r="QEX43" s="478"/>
      <c r="QEY43" s="478"/>
      <c r="QEZ43" s="478"/>
      <c r="QFA43" s="478"/>
      <c r="QFB43" s="478"/>
      <c r="QFC43" s="478"/>
      <c r="QFD43" s="478"/>
      <c r="QFE43" s="478"/>
      <c r="QFF43" s="478"/>
      <c r="QFG43" s="478"/>
      <c r="QFH43" s="478"/>
      <c r="QFI43" s="478"/>
      <c r="QFJ43" s="478"/>
      <c r="QFK43" s="478"/>
      <c r="QFL43" s="478"/>
      <c r="QFM43" s="478"/>
      <c r="QFN43" s="478"/>
      <c r="QFO43" s="478"/>
      <c r="QFP43" s="478"/>
      <c r="QFQ43" s="478"/>
      <c r="QFR43" s="478"/>
      <c r="QFS43" s="478"/>
      <c r="QFT43" s="478"/>
      <c r="QFU43" s="478"/>
      <c r="QFV43" s="478"/>
      <c r="QFW43" s="478"/>
      <c r="QFX43" s="478"/>
      <c r="QFY43" s="478"/>
      <c r="QFZ43" s="478"/>
      <c r="QGA43" s="478"/>
      <c r="QGB43" s="478"/>
      <c r="QGC43" s="478"/>
      <c r="QGD43" s="478"/>
      <c r="QGE43" s="478"/>
      <c r="QGF43" s="478"/>
      <c r="QGG43" s="478"/>
      <c r="QGH43" s="478"/>
      <c r="QGI43" s="478"/>
      <c r="QGJ43" s="478"/>
      <c r="QGK43" s="478"/>
      <c r="QGL43" s="478"/>
      <c r="QGM43" s="478"/>
      <c r="QGN43" s="478"/>
      <c r="QGO43" s="478"/>
      <c r="QGP43" s="478"/>
      <c r="QGQ43" s="478"/>
      <c r="QGR43" s="478"/>
      <c r="QGS43" s="478"/>
      <c r="QGT43" s="478"/>
      <c r="QGU43" s="478"/>
      <c r="QGV43" s="478"/>
      <c r="QGW43" s="478"/>
      <c r="QGX43" s="478"/>
      <c r="QGY43" s="478"/>
      <c r="QGZ43" s="478"/>
      <c r="QHA43" s="478"/>
      <c r="QHB43" s="478"/>
      <c r="QHC43" s="478"/>
      <c r="QHD43" s="478"/>
      <c r="QHE43" s="478"/>
      <c r="QHF43" s="478"/>
      <c r="QHG43" s="478"/>
      <c r="QHH43" s="478"/>
      <c r="QHI43" s="478"/>
      <c r="QHJ43" s="478"/>
      <c r="QHK43" s="478"/>
      <c r="QHL43" s="478"/>
      <c r="QHM43" s="478"/>
      <c r="QHN43" s="478"/>
      <c r="QHO43" s="478"/>
      <c r="QHP43" s="478"/>
      <c r="QHQ43" s="478"/>
      <c r="QHR43" s="478"/>
      <c r="QHS43" s="478"/>
      <c r="QHT43" s="478"/>
      <c r="QHU43" s="478"/>
      <c r="QHV43" s="478"/>
      <c r="QHW43" s="478"/>
      <c r="QHX43" s="478"/>
      <c r="QHY43" s="478"/>
      <c r="QHZ43" s="478"/>
      <c r="QIA43" s="478"/>
      <c r="QIB43" s="478"/>
      <c r="QIC43" s="478"/>
      <c r="QID43" s="478"/>
      <c r="QIE43" s="478"/>
      <c r="QIF43" s="478"/>
      <c r="QIG43" s="478"/>
      <c r="QIH43" s="478"/>
      <c r="QII43" s="478"/>
      <c r="QIJ43" s="478"/>
      <c r="QIK43" s="478"/>
      <c r="QIL43" s="478"/>
      <c r="QIM43" s="478"/>
      <c r="QIN43" s="478"/>
      <c r="QIO43" s="478"/>
      <c r="QIP43" s="478"/>
      <c r="QIQ43" s="478"/>
      <c r="QIR43" s="478"/>
      <c r="QIS43" s="478"/>
      <c r="QIT43" s="478"/>
      <c r="QIU43" s="478"/>
      <c r="QIV43" s="478"/>
      <c r="QIW43" s="478"/>
      <c r="QIX43" s="478"/>
      <c r="QIY43" s="478"/>
      <c r="QIZ43" s="478"/>
      <c r="QJA43" s="478"/>
      <c r="QJB43" s="478"/>
      <c r="QJC43" s="478"/>
      <c r="QJD43" s="478"/>
      <c r="QJE43" s="478"/>
      <c r="QJF43" s="478"/>
      <c r="QJG43" s="478"/>
      <c r="QJH43" s="478"/>
      <c r="QJI43" s="478"/>
      <c r="QJJ43" s="478"/>
      <c r="QJK43" s="478"/>
      <c r="QJL43" s="478"/>
      <c r="QJM43" s="478"/>
      <c r="QJN43" s="478"/>
      <c r="QJO43" s="478"/>
      <c r="QJP43" s="478"/>
      <c r="QJQ43" s="478"/>
      <c r="QJR43" s="478"/>
      <c r="QJS43" s="478"/>
      <c r="QJT43" s="478"/>
      <c r="QJU43" s="478"/>
      <c r="QJV43" s="478"/>
      <c r="QJW43" s="478"/>
      <c r="QJX43" s="478"/>
      <c r="QJY43" s="478"/>
      <c r="QJZ43" s="478"/>
      <c r="QKA43" s="478"/>
      <c r="QKB43" s="478"/>
      <c r="QKC43" s="478"/>
      <c r="QKD43" s="478"/>
      <c r="QKE43" s="478"/>
      <c r="QKF43" s="478"/>
      <c r="QKG43" s="478"/>
      <c r="QKH43" s="478"/>
      <c r="QKI43" s="478"/>
      <c r="QKJ43" s="478"/>
      <c r="QKK43" s="478"/>
      <c r="QKL43" s="478"/>
      <c r="QKM43" s="478"/>
      <c r="QKN43" s="478"/>
      <c r="QKO43" s="478"/>
      <c r="QKP43" s="478"/>
      <c r="QKQ43" s="478"/>
      <c r="QKR43" s="478"/>
      <c r="QKS43" s="478"/>
      <c r="QKT43" s="478"/>
      <c r="QKU43" s="478"/>
      <c r="QKV43" s="478"/>
      <c r="QKW43" s="478"/>
      <c r="QKX43" s="478"/>
      <c r="QKY43" s="478"/>
      <c r="QKZ43" s="478"/>
      <c r="QLA43" s="478"/>
      <c r="QLB43" s="478"/>
      <c r="QLC43" s="478"/>
      <c r="QLD43" s="478"/>
      <c r="QLE43" s="478"/>
      <c r="QLF43" s="478"/>
      <c r="QLG43" s="478"/>
      <c r="QLH43" s="478"/>
      <c r="QLI43" s="478"/>
      <c r="QLJ43" s="478"/>
      <c r="QLK43" s="478"/>
      <c r="QLL43" s="478"/>
      <c r="QLM43" s="478"/>
      <c r="QLN43" s="478"/>
      <c r="QLO43" s="478"/>
      <c r="QLP43" s="478"/>
      <c r="QLQ43" s="478"/>
      <c r="QLR43" s="478"/>
      <c r="QLS43" s="478"/>
      <c r="QLT43" s="478"/>
      <c r="QLU43" s="478"/>
      <c r="QLV43" s="478"/>
      <c r="QLW43" s="478"/>
      <c r="QLX43" s="478"/>
      <c r="QLY43" s="478"/>
      <c r="QLZ43" s="478"/>
      <c r="QMA43" s="478"/>
      <c r="QMB43" s="478"/>
      <c r="QMC43" s="478"/>
      <c r="QMD43" s="478"/>
      <c r="QME43" s="478"/>
      <c r="QMF43" s="478"/>
      <c r="QMG43" s="478"/>
      <c r="QMH43" s="478"/>
      <c r="QMI43" s="478"/>
      <c r="QMJ43" s="478"/>
      <c r="QMK43" s="478"/>
      <c r="QML43" s="478"/>
      <c r="QMM43" s="478"/>
      <c r="QMN43" s="478"/>
      <c r="QMO43" s="478"/>
      <c r="QMP43" s="478"/>
      <c r="QMQ43" s="478"/>
      <c r="QMR43" s="478"/>
      <c r="QMS43" s="478"/>
      <c r="QMT43" s="478"/>
      <c r="QMU43" s="478"/>
      <c r="QMV43" s="478"/>
      <c r="QMW43" s="478"/>
      <c r="QMX43" s="478"/>
      <c r="QMY43" s="478"/>
      <c r="QMZ43" s="478"/>
      <c r="QNA43" s="478"/>
      <c r="QNB43" s="478"/>
      <c r="QNC43" s="478"/>
      <c r="QND43" s="478"/>
      <c r="QNE43" s="478"/>
      <c r="QNF43" s="478"/>
      <c r="QNG43" s="478"/>
      <c r="QNH43" s="478"/>
      <c r="QNI43" s="478"/>
      <c r="QNJ43" s="478"/>
      <c r="QNK43" s="478"/>
      <c r="QNL43" s="478"/>
      <c r="QNM43" s="478"/>
      <c r="QNN43" s="478"/>
      <c r="QNO43" s="478"/>
      <c r="QNP43" s="478"/>
      <c r="QNQ43" s="478"/>
      <c r="QNR43" s="478"/>
      <c r="QNS43" s="478"/>
      <c r="QNT43" s="478"/>
      <c r="QNU43" s="478"/>
      <c r="QNV43" s="478"/>
      <c r="QNW43" s="478"/>
      <c r="QNX43" s="478"/>
      <c r="QNY43" s="478"/>
      <c r="QNZ43" s="478"/>
      <c r="QOA43" s="478"/>
      <c r="QOB43" s="478"/>
      <c r="QOC43" s="478"/>
      <c r="QOD43" s="478"/>
      <c r="QOE43" s="478"/>
      <c r="QOF43" s="478"/>
      <c r="QOG43" s="478"/>
      <c r="QOH43" s="478"/>
      <c r="QOI43" s="478"/>
      <c r="QOJ43" s="478"/>
      <c r="QOK43" s="478"/>
      <c r="QOL43" s="478"/>
      <c r="QOM43" s="478"/>
      <c r="QON43" s="478"/>
      <c r="QOO43" s="478"/>
      <c r="QOP43" s="478"/>
      <c r="QOQ43" s="478"/>
      <c r="QOR43" s="478"/>
      <c r="QOS43" s="478"/>
      <c r="QOT43" s="478"/>
      <c r="QOU43" s="478"/>
      <c r="QOV43" s="478"/>
      <c r="QOW43" s="478"/>
      <c r="QOX43" s="478"/>
      <c r="QOY43" s="478"/>
      <c r="QOZ43" s="478"/>
      <c r="QPA43" s="478"/>
      <c r="QPB43" s="478"/>
      <c r="QPC43" s="478"/>
      <c r="QPD43" s="478"/>
      <c r="QPE43" s="478"/>
      <c r="QPF43" s="478"/>
      <c r="QPG43" s="478"/>
      <c r="QPH43" s="478"/>
      <c r="QPI43" s="478"/>
      <c r="QPJ43" s="478"/>
      <c r="QPK43" s="478"/>
      <c r="QPL43" s="478"/>
      <c r="QPM43" s="478"/>
      <c r="QPN43" s="478"/>
      <c r="QPO43" s="478"/>
      <c r="QPP43" s="478"/>
      <c r="QPQ43" s="478"/>
      <c r="QPR43" s="478"/>
      <c r="QPS43" s="478"/>
      <c r="QPT43" s="478"/>
      <c r="QPU43" s="478"/>
      <c r="QPV43" s="478"/>
      <c r="QPW43" s="478"/>
      <c r="QPX43" s="478"/>
      <c r="QPY43" s="478"/>
      <c r="QPZ43" s="478"/>
      <c r="QQA43" s="478"/>
      <c r="QQB43" s="478"/>
      <c r="QQC43" s="478"/>
      <c r="QQD43" s="478"/>
      <c r="QQE43" s="478"/>
      <c r="QQF43" s="478"/>
      <c r="QQG43" s="478"/>
      <c r="QQH43" s="478"/>
      <c r="QQI43" s="478"/>
      <c r="QQJ43" s="478"/>
      <c r="QQK43" s="478"/>
      <c r="QQL43" s="478"/>
      <c r="QQM43" s="478"/>
      <c r="QQN43" s="478"/>
      <c r="QQO43" s="478"/>
      <c r="QQP43" s="478"/>
      <c r="QQQ43" s="478"/>
      <c r="QQR43" s="478"/>
      <c r="QQS43" s="478"/>
      <c r="QQT43" s="478"/>
      <c r="QQU43" s="478"/>
      <c r="QQV43" s="478"/>
      <c r="QQW43" s="478"/>
      <c r="QQX43" s="478"/>
      <c r="QQY43" s="478"/>
      <c r="QQZ43" s="478"/>
      <c r="QRA43" s="478"/>
      <c r="QRB43" s="478"/>
      <c r="QRC43" s="478"/>
      <c r="QRD43" s="478"/>
      <c r="QRE43" s="478"/>
      <c r="QRF43" s="478"/>
      <c r="QRG43" s="478"/>
      <c r="QRH43" s="478"/>
      <c r="QRI43" s="478"/>
      <c r="QRJ43" s="478"/>
      <c r="QRK43" s="478"/>
      <c r="QRL43" s="478"/>
      <c r="QRM43" s="478"/>
      <c r="QRN43" s="478"/>
      <c r="QRO43" s="478"/>
      <c r="QRP43" s="478"/>
      <c r="QRQ43" s="478"/>
      <c r="QRR43" s="478"/>
      <c r="QRS43" s="478"/>
      <c r="QRT43" s="478"/>
      <c r="QRU43" s="478"/>
      <c r="QRV43" s="478"/>
      <c r="QRW43" s="478"/>
      <c r="QRX43" s="478"/>
      <c r="QRY43" s="478"/>
      <c r="QRZ43" s="478"/>
      <c r="QSA43" s="478"/>
      <c r="QSB43" s="478"/>
      <c r="QSC43" s="478"/>
      <c r="QSD43" s="478"/>
      <c r="QSE43" s="478"/>
      <c r="QSF43" s="478"/>
      <c r="QSG43" s="478"/>
      <c r="QSH43" s="478"/>
      <c r="QSI43" s="478"/>
      <c r="QSJ43" s="478"/>
      <c r="QSK43" s="478"/>
      <c r="QSL43" s="478"/>
      <c r="QSM43" s="478"/>
      <c r="QSN43" s="478"/>
      <c r="QSO43" s="478"/>
      <c r="QSP43" s="478"/>
      <c r="QSQ43" s="478"/>
      <c r="QSR43" s="478"/>
      <c r="QSS43" s="478"/>
      <c r="QST43" s="478"/>
      <c r="QSU43" s="478"/>
      <c r="QSV43" s="478"/>
      <c r="QSW43" s="478"/>
      <c r="QSX43" s="478"/>
      <c r="QSY43" s="478"/>
      <c r="QSZ43" s="478"/>
      <c r="QTA43" s="478"/>
      <c r="QTB43" s="478"/>
      <c r="QTC43" s="478"/>
      <c r="QTD43" s="478"/>
      <c r="QTE43" s="478"/>
      <c r="QTF43" s="478"/>
      <c r="QTG43" s="478"/>
      <c r="QTH43" s="478"/>
      <c r="QTI43" s="478"/>
      <c r="QTJ43" s="478"/>
      <c r="QTK43" s="478"/>
      <c r="QTL43" s="478"/>
      <c r="QTM43" s="478"/>
      <c r="QTN43" s="478"/>
      <c r="QTO43" s="478"/>
      <c r="QTP43" s="478"/>
      <c r="QTQ43" s="478"/>
      <c r="QTR43" s="478"/>
      <c r="QTS43" s="478"/>
      <c r="QTT43" s="478"/>
      <c r="QTU43" s="478"/>
      <c r="QTV43" s="478"/>
      <c r="QTW43" s="478"/>
      <c r="QTX43" s="478"/>
      <c r="QTY43" s="478"/>
      <c r="QTZ43" s="478"/>
      <c r="QUA43" s="478"/>
      <c r="QUB43" s="478"/>
      <c r="QUC43" s="478"/>
      <c r="QUD43" s="478"/>
      <c r="QUE43" s="478"/>
      <c r="QUF43" s="478"/>
      <c r="QUG43" s="478"/>
      <c r="QUH43" s="478"/>
      <c r="QUI43" s="478"/>
      <c r="QUJ43" s="478"/>
      <c r="QUK43" s="478"/>
      <c r="QUL43" s="478"/>
      <c r="QUM43" s="478"/>
      <c r="QUN43" s="478"/>
      <c r="QUO43" s="478"/>
      <c r="QUP43" s="478"/>
      <c r="QUQ43" s="478"/>
      <c r="QUR43" s="478"/>
      <c r="QUS43" s="478"/>
      <c r="QUT43" s="478"/>
      <c r="QUU43" s="478"/>
      <c r="QUV43" s="478"/>
      <c r="QUW43" s="478"/>
      <c r="QUX43" s="478"/>
      <c r="QUY43" s="478"/>
      <c r="QUZ43" s="478"/>
      <c r="QVA43" s="478"/>
      <c r="QVB43" s="478"/>
      <c r="QVC43" s="478"/>
      <c r="QVD43" s="478"/>
      <c r="QVE43" s="478"/>
      <c r="QVF43" s="478"/>
      <c r="QVG43" s="478"/>
      <c r="QVH43" s="478"/>
      <c r="QVI43" s="478"/>
      <c r="QVJ43" s="478"/>
      <c r="QVK43" s="478"/>
      <c r="QVL43" s="478"/>
      <c r="QVM43" s="478"/>
      <c r="QVN43" s="478"/>
      <c r="QVO43" s="478"/>
      <c r="QVP43" s="478"/>
      <c r="QVQ43" s="478"/>
      <c r="QVR43" s="478"/>
      <c r="QVS43" s="478"/>
      <c r="QVT43" s="478"/>
      <c r="QVU43" s="478"/>
      <c r="QVV43" s="478"/>
      <c r="QVW43" s="478"/>
      <c r="QVX43" s="478"/>
      <c r="QVY43" s="478"/>
      <c r="QVZ43" s="478"/>
      <c r="QWA43" s="478"/>
      <c r="QWB43" s="478"/>
      <c r="QWC43" s="478"/>
      <c r="QWD43" s="478"/>
      <c r="QWE43" s="478"/>
      <c r="QWF43" s="478"/>
      <c r="QWG43" s="478"/>
      <c r="QWH43" s="478"/>
      <c r="QWI43" s="478"/>
      <c r="QWJ43" s="478"/>
      <c r="QWK43" s="478"/>
      <c r="QWL43" s="478"/>
      <c r="QWM43" s="478"/>
      <c r="QWN43" s="478"/>
      <c r="QWO43" s="478"/>
      <c r="QWP43" s="478"/>
      <c r="QWQ43" s="478"/>
      <c r="QWR43" s="478"/>
      <c r="QWS43" s="478"/>
      <c r="QWT43" s="478"/>
      <c r="QWU43" s="478"/>
      <c r="QWV43" s="478"/>
      <c r="QWW43" s="478"/>
      <c r="QWX43" s="478"/>
      <c r="QWY43" s="478"/>
      <c r="QWZ43" s="478"/>
      <c r="QXA43" s="478"/>
      <c r="QXB43" s="478"/>
      <c r="QXC43" s="478"/>
      <c r="QXD43" s="478"/>
      <c r="QXE43" s="478"/>
      <c r="QXF43" s="478"/>
      <c r="QXG43" s="478"/>
      <c r="QXH43" s="478"/>
      <c r="QXI43" s="478"/>
      <c r="QXJ43" s="478"/>
      <c r="QXK43" s="478"/>
      <c r="QXL43" s="478"/>
      <c r="QXM43" s="478"/>
      <c r="QXN43" s="478"/>
      <c r="QXO43" s="478"/>
      <c r="QXP43" s="478"/>
      <c r="QXQ43" s="478"/>
      <c r="QXR43" s="478"/>
      <c r="QXS43" s="478"/>
      <c r="QXT43" s="478"/>
      <c r="QXU43" s="478"/>
      <c r="QXV43" s="478"/>
      <c r="QXW43" s="478"/>
      <c r="QXX43" s="478"/>
      <c r="QXY43" s="478"/>
      <c r="QXZ43" s="478"/>
      <c r="QYA43" s="478"/>
      <c r="QYB43" s="478"/>
      <c r="QYC43" s="478"/>
      <c r="QYD43" s="478"/>
      <c r="QYE43" s="478"/>
      <c r="QYF43" s="478"/>
      <c r="QYG43" s="478"/>
      <c r="QYH43" s="478"/>
      <c r="QYI43" s="478"/>
      <c r="QYJ43" s="478"/>
      <c r="QYK43" s="478"/>
      <c r="QYL43" s="478"/>
      <c r="QYM43" s="478"/>
      <c r="QYN43" s="478"/>
      <c r="QYO43" s="478"/>
      <c r="QYP43" s="478"/>
      <c r="QYQ43" s="478"/>
      <c r="QYR43" s="478"/>
      <c r="QYS43" s="478"/>
      <c r="QYT43" s="478"/>
      <c r="QYU43" s="478"/>
      <c r="QYV43" s="478"/>
      <c r="QYW43" s="478"/>
      <c r="QYX43" s="478"/>
      <c r="QYY43" s="478"/>
      <c r="QYZ43" s="478"/>
      <c r="QZA43" s="478"/>
      <c r="QZB43" s="478"/>
      <c r="QZC43" s="478"/>
      <c r="QZD43" s="478"/>
      <c r="QZE43" s="478"/>
      <c r="QZF43" s="478"/>
      <c r="QZG43" s="478"/>
      <c r="QZH43" s="478"/>
      <c r="QZI43" s="478"/>
      <c r="QZJ43" s="478"/>
      <c r="QZK43" s="478"/>
      <c r="QZL43" s="478"/>
      <c r="QZM43" s="478"/>
      <c r="QZN43" s="478"/>
      <c r="QZO43" s="478"/>
      <c r="QZP43" s="478"/>
      <c r="QZQ43" s="478"/>
      <c r="QZR43" s="478"/>
      <c r="QZS43" s="478"/>
      <c r="QZT43" s="478"/>
      <c r="QZU43" s="478"/>
      <c r="QZV43" s="478"/>
      <c r="QZW43" s="478"/>
      <c r="QZX43" s="478"/>
      <c r="QZY43" s="478"/>
      <c r="QZZ43" s="478"/>
      <c r="RAA43" s="478"/>
      <c r="RAB43" s="478"/>
      <c r="RAC43" s="478"/>
      <c r="RAD43" s="478"/>
      <c r="RAE43" s="478"/>
      <c r="RAF43" s="478"/>
      <c r="RAG43" s="478"/>
      <c r="RAH43" s="478"/>
      <c r="RAI43" s="478"/>
      <c r="RAJ43" s="478"/>
      <c r="RAK43" s="478"/>
      <c r="RAL43" s="478"/>
      <c r="RAM43" s="478"/>
      <c r="RAN43" s="478"/>
      <c r="RAO43" s="478"/>
      <c r="RAP43" s="478"/>
      <c r="RAQ43" s="478"/>
      <c r="RAR43" s="478"/>
      <c r="RAS43" s="478"/>
      <c r="RAT43" s="478"/>
      <c r="RAU43" s="478"/>
      <c r="RAV43" s="478"/>
      <c r="RAW43" s="478"/>
      <c r="RAX43" s="478"/>
      <c r="RAY43" s="478"/>
      <c r="RAZ43" s="478"/>
      <c r="RBA43" s="478"/>
      <c r="RBB43" s="478"/>
      <c r="RBC43" s="478"/>
      <c r="RBD43" s="478"/>
      <c r="RBE43" s="478"/>
      <c r="RBF43" s="478"/>
      <c r="RBG43" s="478"/>
      <c r="RBH43" s="478"/>
      <c r="RBI43" s="478"/>
      <c r="RBJ43" s="478"/>
      <c r="RBK43" s="478"/>
      <c r="RBL43" s="478"/>
      <c r="RBM43" s="478"/>
      <c r="RBN43" s="478"/>
      <c r="RBO43" s="478"/>
      <c r="RBP43" s="478"/>
      <c r="RBQ43" s="478"/>
      <c r="RBR43" s="478"/>
      <c r="RBS43" s="478"/>
      <c r="RBT43" s="478"/>
      <c r="RBU43" s="478"/>
      <c r="RBV43" s="478"/>
      <c r="RBW43" s="478"/>
      <c r="RBX43" s="478"/>
      <c r="RBY43" s="478"/>
      <c r="RBZ43" s="478"/>
      <c r="RCA43" s="478"/>
      <c r="RCB43" s="478"/>
      <c r="RCC43" s="478"/>
      <c r="RCD43" s="478"/>
      <c r="RCE43" s="478"/>
      <c r="RCF43" s="478"/>
      <c r="RCG43" s="478"/>
      <c r="RCH43" s="478"/>
      <c r="RCI43" s="478"/>
      <c r="RCJ43" s="478"/>
      <c r="RCK43" s="478"/>
      <c r="RCL43" s="478"/>
      <c r="RCM43" s="478"/>
      <c r="RCN43" s="478"/>
      <c r="RCO43" s="478"/>
      <c r="RCP43" s="478"/>
      <c r="RCQ43" s="478"/>
      <c r="RCR43" s="478"/>
      <c r="RCS43" s="478"/>
      <c r="RCT43" s="478"/>
      <c r="RCU43" s="478"/>
      <c r="RCV43" s="478"/>
      <c r="RCW43" s="478"/>
      <c r="RCX43" s="478"/>
      <c r="RCY43" s="478"/>
      <c r="RCZ43" s="478"/>
      <c r="RDA43" s="478"/>
      <c r="RDB43" s="478"/>
      <c r="RDC43" s="478"/>
      <c r="RDD43" s="478"/>
      <c r="RDE43" s="478"/>
      <c r="RDF43" s="478"/>
      <c r="RDG43" s="478"/>
      <c r="RDH43" s="478"/>
      <c r="RDI43" s="478"/>
      <c r="RDJ43" s="478"/>
      <c r="RDK43" s="478"/>
      <c r="RDL43" s="478"/>
      <c r="RDM43" s="478"/>
      <c r="RDN43" s="478"/>
      <c r="RDO43" s="478"/>
      <c r="RDP43" s="478"/>
      <c r="RDQ43" s="478"/>
      <c r="RDR43" s="478"/>
      <c r="RDS43" s="478"/>
      <c r="RDT43" s="478"/>
      <c r="RDU43" s="478"/>
      <c r="RDV43" s="478"/>
      <c r="RDW43" s="478"/>
      <c r="RDX43" s="478"/>
      <c r="RDY43" s="478"/>
      <c r="RDZ43" s="478"/>
      <c r="REA43" s="478"/>
      <c r="REB43" s="478"/>
      <c r="REC43" s="478"/>
      <c r="RED43" s="478"/>
      <c r="REE43" s="478"/>
      <c r="REF43" s="478"/>
      <c r="REG43" s="478"/>
      <c r="REH43" s="478"/>
      <c r="REI43" s="478"/>
      <c r="REJ43" s="478"/>
      <c r="REK43" s="478"/>
      <c r="REL43" s="478"/>
      <c r="REM43" s="478"/>
      <c r="REN43" s="478"/>
      <c r="REO43" s="478"/>
      <c r="REP43" s="478"/>
      <c r="REQ43" s="478"/>
      <c r="RER43" s="478"/>
      <c r="RES43" s="478"/>
      <c r="RET43" s="478"/>
      <c r="REU43" s="478"/>
      <c r="REV43" s="478"/>
      <c r="REW43" s="478"/>
      <c r="REX43" s="478"/>
      <c r="REY43" s="478"/>
      <c r="REZ43" s="478"/>
      <c r="RFA43" s="478"/>
      <c r="RFB43" s="478"/>
      <c r="RFC43" s="478"/>
      <c r="RFD43" s="478"/>
      <c r="RFE43" s="478"/>
      <c r="RFF43" s="478"/>
      <c r="RFG43" s="478"/>
      <c r="RFH43" s="478"/>
      <c r="RFI43" s="478"/>
      <c r="RFJ43" s="478"/>
      <c r="RFK43" s="478"/>
      <c r="RFL43" s="478"/>
      <c r="RFM43" s="478"/>
      <c r="RFN43" s="478"/>
      <c r="RFO43" s="478"/>
      <c r="RFP43" s="478"/>
      <c r="RFQ43" s="478"/>
      <c r="RFR43" s="478"/>
      <c r="RFS43" s="478"/>
      <c r="RFT43" s="478"/>
      <c r="RFU43" s="478"/>
      <c r="RFV43" s="478"/>
      <c r="RFW43" s="478"/>
      <c r="RFX43" s="478"/>
      <c r="RFY43" s="478"/>
      <c r="RFZ43" s="478"/>
      <c r="RGA43" s="478"/>
      <c r="RGB43" s="478"/>
      <c r="RGC43" s="478"/>
      <c r="RGD43" s="478"/>
      <c r="RGE43" s="478"/>
      <c r="RGF43" s="478"/>
      <c r="RGG43" s="478"/>
      <c r="RGH43" s="478"/>
      <c r="RGI43" s="478"/>
      <c r="RGJ43" s="478"/>
      <c r="RGK43" s="478"/>
      <c r="RGL43" s="478"/>
      <c r="RGM43" s="478"/>
      <c r="RGN43" s="478"/>
      <c r="RGO43" s="478"/>
      <c r="RGP43" s="478"/>
      <c r="RGQ43" s="478"/>
      <c r="RGR43" s="478"/>
      <c r="RGS43" s="478"/>
      <c r="RGT43" s="478"/>
      <c r="RGU43" s="478"/>
      <c r="RGV43" s="478"/>
      <c r="RGW43" s="478"/>
      <c r="RGX43" s="478"/>
      <c r="RGY43" s="478"/>
      <c r="RGZ43" s="478"/>
      <c r="RHA43" s="478"/>
      <c r="RHB43" s="478"/>
      <c r="RHC43" s="478"/>
      <c r="RHD43" s="478"/>
      <c r="RHE43" s="478"/>
      <c r="RHF43" s="478"/>
      <c r="RHG43" s="478"/>
      <c r="RHH43" s="478"/>
      <c r="RHI43" s="478"/>
      <c r="RHJ43" s="478"/>
      <c r="RHK43" s="478"/>
      <c r="RHL43" s="478"/>
      <c r="RHM43" s="478"/>
      <c r="RHN43" s="478"/>
      <c r="RHO43" s="478"/>
      <c r="RHP43" s="478"/>
      <c r="RHQ43" s="478"/>
      <c r="RHR43" s="478"/>
      <c r="RHS43" s="478"/>
      <c r="RHT43" s="478"/>
      <c r="RHU43" s="478"/>
      <c r="RHV43" s="478"/>
      <c r="RHW43" s="478"/>
      <c r="RHX43" s="478"/>
      <c r="RHY43" s="478"/>
      <c r="RHZ43" s="478"/>
      <c r="RIA43" s="478"/>
      <c r="RIB43" s="478"/>
      <c r="RIC43" s="478"/>
      <c r="RID43" s="478"/>
      <c r="RIE43" s="478"/>
      <c r="RIF43" s="478"/>
      <c r="RIG43" s="478"/>
      <c r="RIH43" s="478"/>
      <c r="RII43" s="478"/>
      <c r="RIJ43" s="478"/>
      <c r="RIK43" s="478"/>
      <c r="RIL43" s="478"/>
      <c r="RIM43" s="478"/>
      <c r="RIN43" s="478"/>
      <c r="RIO43" s="478"/>
      <c r="RIP43" s="478"/>
      <c r="RIQ43" s="478"/>
      <c r="RIR43" s="478"/>
      <c r="RIS43" s="478"/>
      <c r="RIT43" s="478"/>
      <c r="RIU43" s="478"/>
      <c r="RIV43" s="478"/>
      <c r="RIW43" s="478"/>
      <c r="RIX43" s="478"/>
      <c r="RIY43" s="478"/>
      <c r="RIZ43" s="478"/>
      <c r="RJA43" s="478"/>
      <c r="RJB43" s="478"/>
      <c r="RJC43" s="478"/>
      <c r="RJD43" s="478"/>
      <c r="RJE43" s="478"/>
      <c r="RJF43" s="478"/>
      <c r="RJG43" s="478"/>
      <c r="RJH43" s="478"/>
      <c r="RJI43" s="478"/>
      <c r="RJJ43" s="478"/>
      <c r="RJK43" s="478"/>
      <c r="RJL43" s="478"/>
      <c r="RJM43" s="478"/>
      <c r="RJN43" s="478"/>
      <c r="RJO43" s="478"/>
      <c r="RJP43" s="478"/>
      <c r="RJQ43" s="478"/>
      <c r="RJR43" s="478"/>
      <c r="RJS43" s="478"/>
      <c r="RJT43" s="478"/>
      <c r="RJU43" s="478"/>
      <c r="RJV43" s="478"/>
      <c r="RJW43" s="478"/>
      <c r="RJX43" s="478"/>
      <c r="RJY43" s="478"/>
      <c r="RJZ43" s="478"/>
      <c r="RKA43" s="478"/>
      <c r="RKB43" s="478"/>
      <c r="RKC43" s="478"/>
      <c r="RKD43" s="478"/>
      <c r="RKE43" s="478"/>
      <c r="RKF43" s="478"/>
      <c r="RKG43" s="478"/>
      <c r="RKH43" s="478"/>
      <c r="RKI43" s="478"/>
      <c r="RKJ43" s="478"/>
      <c r="RKK43" s="478"/>
      <c r="RKL43" s="478"/>
      <c r="RKM43" s="478"/>
      <c r="RKN43" s="478"/>
      <c r="RKO43" s="478"/>
      <c r="RKP43" s="478"/>
      <c r="RKQ43" s="478"/>
      <c r="RKR43" s="478"/>
      <c r="RKS43" s="478"/>
      <c r="RKT43" s="478"/>
      <c r="RKU43" s="478"/>
      <c r="RKV43" s="478"/>
      <c r="RKW43" s="478"/>
      <c r="RKX43" s="478"/>
      <c r="RKY43" s="478"/>
      <c r="RKZ43" s="478"/>
      <c r="RLA43" s="478"/>
      <c r="RLB43" s="478"/>
      <c r="RLC43" s="478"/>
      <c r="RLD43" s="478"/>
      <c r="RLE43" s="478"/>
      <c r="RLF43" s="478"/>
      <c r="RLG43" s="478"/>
      <c r="RLH43" s="478"/>
      <c r="RLI43" s="478"/>
      <c r="RLJ43" s="478"/>
      <c r="RLK43" s="478"/>
      <c r="RLL43" s="478"/>
      <c r="RLM43" s="478"/>
      <c r="RLN43" s="478"/>
      <c r="RLO43" s="478"/>
      <c r="RLP43" s="478"/>
      <c r="RLQ43" s="478"/>
      <c r="RLR43" s="478"/>
      <c r="RLS43" s="478"/>
      <c r="RLT43" s="478"/>
      <c r="RLU43" s="478"/>
      <c r="RLV43" s="478"/>
      <c r="RLW43" s="478"/>
      <c r="RLX43" s="478"/>
      <c r="RLY43" s="478"/>
      <c r="RLZ43" s="478"/>
      <c r="RMA43" s="478"/>
      <c r="RMB43" s="478"/>
      <c r="RMC43" s="478"/>
      <c r="RMD43" s="478"/>
      <c r="RME43" s="478"/>
      <c r="RMF43" s="478"/>
      <c r="RMG43" s="478"/>
      <c r="RMH43" s="478"/>
      <c r="RMI43" s="478"/>
      <c r="RMJ43" s="478"/>
      <c r="RMK43" s="478"/>
      <c r="RML43" s="478"/>
      <c r="RMM43" s="478"/>
      <c r="RMN43" s="478"/>
      <c r="RMO43" s="478"/>
      <c r="RMP43" s="478"/>
      <c r="RMQ43" s="478"/>
      <c r="RMR43" s="478"/>
      <c r="RMS43" s="478"/>
      <c r="RMT43" s="478"/>
      <c r="RMU43" s="478"/>
      <c r="RMV43" s="478"/>
      <c r="RMW43" s="478"/>
      <c r="RMX43" s="478"/>
      <c r="RMY43" s="478"/>
      <c r="RMZ43" s="478"/>
      <c r="RNA43" s="478"/>
      <c r="RNB43" s="478"/>
      <c r="RNC43" s="478"/>
      <c r="RND43" s="478"/>
      <c r="RNE43" s="478"/>
      <c r="RNF43" s="478"/>
      <c r="RNG43" s="478"/>
      <c r="RNH43" s="478"/>
      <c r="RNI43" s="478"/>
      <c r="RNJ43" s="478"/>
      <c r="RNK43" s="478"/>
      <c r="RNL43" s="478"/>
      <c r="RNM43" s="478"/>
      <c r="RNN43" s="478"/>
      <c r="RNO43" s="478"/>
      <c r="RNP43" s="478"/>
      <c r="RNQ43" s="478"/>
      <c r="RNR43" s="478"/>
      <c r="RNS43" s="478"/>
      <c r="RNT43" s="478"/>
      <c r="RNU43" s="478"/>
      <c r="RNV43" s="478"/>
      <c r="RNW43" s="478"/>
      <c r="RNX43" s="478"/>
      <c r="RNY43" s="478"/>
      <c r="RNZ43" s="478"/>
      <c r="ROA43" s="478"/>
      <c r="ROB43" s="478"/>
      <c r="ROC43" s="478"/>
      <c r="ROD43" s="478"/>
      <c r="ROE43" s="478"/>
      <c r="ROF43" s="478"/>
      <c r="ROG43" s="478"/>
      <c r="ROH43" s="478"/>
      <c r="ROI43" s="478"/>
      <c r="ROJ43" s="478"/>
      <c r="ROK43" s="478"/>
      <c r="ROL43" s="478"/>
      <c r="ROM43" s="478"/>
      <c r="RON43" s="478"/>
      <c r="ROO43" s="478"/>
      <c r="ROP43" s="478"/>
      <c r="ROQ43" s="478"/>
      <c r="ROR43" s="478"/>
      <c r="ROS43" s="478"/>
      <c r="ROT43" s="478"/>
      <c r="ROU43" s="478"/>
      <c r="ROV43" s="478"/>
      <c r="ROW43" s="478"/>
      <c r="ROX43" s="478"/>
      <c r="ROY43" s="478"/>
      <c r="ROZ43" s="478"/>
      <c r="RPA43" s="478"/>
      <c r="RPB43" s="478"/>
      <c r="RPC43" s="478"/>
      <c r="RPD43" s="478"/>
      <c r="RPE43" s="478"/>
      <c r="RPF43" s="478"/>
      <c r="RPG43" s="478"/>
      <c r="RPH43" s="478"/>
      <c r="RPI43" s="478"/>
      <c r="RPJ43" s="478"/>
      <c r="RPK43" s="478"/>
      <c r="RPL43" s="478"/>
      <c r="RPM43" s="478"/>
      <c r="RPN43" s="478"/>
      <c r="RPO43" s="478"/>
      <c r="RPP43" s="478"/>
      <c r="RPQ43" s="478"/>
      <c r="RPR43" s="478"/>
      <c r="RPS43" s="478"/>
      <c r="RPT43" s="478"/>
      <c r="RPU43" s="478"/>
      <c r="RPV43" s="478"/>
      <c r="RPW43" s="478"/>
      <c r="RPX43" s="478"/>
      <c r="RPY43" s="478"/>
      <c r="RPZ43" s="478"/>
      <c r="RQA43" s="478"/>
      <c r="RQB43" s="478"/>
      <c r="RQC43" s="478"/>
      <c r="RQD43" s="478"/>
      <c r="RQE43" s="478"/>
      <c r="RQF43" s="478"/>
      <c r="RQG43" s="478"/>
      <c r="RQH43" s="478"/>
      <c r="RQI43" s="478"/>
      <c r="RQJ43" s="478"/>
      <c r="RQK43" s="478"/>
      <c r="RQL43" s="478"/>
      <c r="RQM43" s="478"/>
      <c r="RQN43" s="478"/>
      <c r="RQO43" s="478"/>
      <c r="RQP43" s="478"/>
      <c r="RQQ43" s="478"/>
      <c r="RQR43" s="478"/>
      <c r="RQS43" s="478"/>
      <c r="RQT43" s="478"/>
      <c r="RQU43" s="478"/>
      <c r="RQV43" s="478"/>
      <c r="RQW43" s="478"/>
      <c r="RQX43" s="478"/>
      <c r="RQY43" s="478"/>
      <c r="RQZ43" s="478"/>
      <c r="RRA43" s="478"/>
      <c r="RRB43" s="478"/>
      <c r="RRC43" s="478"/>
      <c r="RRD43" s="478"/>
      <c r="RRE43" s="478"/>
      <c r="RRF43" s="478"/>
      <c r="RRG43" s="478"/>
      <c r="RRH43" s="478"/>
      <c r="RRI43" s="478"/>
      <c r="RRJ43" s="478"/>
      <c r="RRK43" s="478"/>
      <c r="RRL43" s="478"/>
      <c r="RRM43" s="478"/>
      <c r="RRN43" s="478"/>
      <c r="RRO43" s="478"/>
      <c r="RRP43" s="478"/>
      <c r="RRQ43" s="478"/>
      <c r="RRR43" s="478"/>
      <c r="RRS43" s="478"/>
      <c r="RRT43" s="478"/>
      <c r="RRU43" s="478"/>
      <c r="RRV43" s="478"/>
      <c r="RRW43" s="478"/>
      <c r="RRX43" s="478"/>
      <c r="RRY43" s="478"/>
      <c r="RRZ43" s="478"/>
      <c r="RSA43" s="478"/>
      <c r="RSB43" s="478"/>
      <c r="RSC43" s="478"/>
      <c r="RSD43" s="478"/>
      <c r="RSE43" s="478"/>
      <c r="RSF43" s="478"/>
      <c r="RSG43" s="478"/>
      <c r="RSH43" s="478"/>
      <c r="RSI43" s="478"/>
      <c r="RSJ43" s="478"/>
      <c r="RSK43" s="478"/>
      <c r="RSL43" s="478"/>
      <c r="RSM43" s="478"/>
      <c r="RSN43" s="478"/>
      <c r="RSO43" s="478"/>
      <c r="RSP43" s="478"/>
      <c r="RSQ43" s="478"/>
      <c r="RSR43" s="478"/>
      <c r="RSS43" s="478"/>
      <c r="RST43" s="478"/>
      <c r="RSU43" s="478"/>
      <c r="RSV43" s="478"/>
      <c r="RSW43" s="478"/>
      <c r="RSX43" s="478"/>
      <c r="RSY43" s="478"/>
      <c r="RSZ43" s="478"/>
      <c r="RTA43" s="478"/>
      <c r="RTB43" s="478"/>
      <c r="RTC43" s="478"/>
      <c r="RTD43" s="478"/>
      <c r="RTE43" s="478"/>
      <c r="RTF43" s="478"/>
      <c r="RTG43" s="478"/>
      <c r="RTH43" s="478"/>
      <c r="RTI43" s="478"/>
      <c r="RTJ43" s="478"/>
      <c r="RTK43" s="478"/>
      <c r="RTL43" s="478"/>
      <c r="RTM43" s="478"/>
      <c r="RTN43" s="478"/>
      <c r="RTO43" s="478"/>
      <c r="RTP43" s="478"/>
      <c r="RTQ43" s="478"/>
      <c r="RTR43" s="478"/>
      <c r="RTS43" s="478"/>
      <c r="RTT43" s="478"/>
      <c r="RTU43" s="478"/>
      <c r="RTV43" s="478"/>
      <c r="RTW43" s="478"/>
      <c r="RTX43" s="478"/>
      <c r="RTY43" s="478"/>
      <c r="RTZ43" s="478"/>
      <c r="RUA43" s="478"/>
      <c r="RUB43" s="478"/>
      <c r="RUC43" s="478"/>
      <c r="RUD43" s="478"/>
      <c r="RUE43" s="478"/>
      <c r="RUF43" s="478"/>
      <c r="RUG43" s="478"/>
      <c r="RUH43" s="478"/>
      <c r="RUI43" s="478"/>
      <c r="RUJ43" s="478"/>
      <c r="RUK43" s="478"/>
      <c r="RUL43" s="478"/>
      <c r="RUM43" s="478"/>
      <c r="RUN43" s="478"/>
      <c r="RUO43" s="478"/>
      <c r="RUP43" s="478"/>
      <c r="RUQ43" s="478"/>
      <c r="RUR43" s="478"/>
      <c r="RUS43" s="478"/>
      <c r="RUT43" s="478"/>
      <c r="RUU43" s="478"/>
      <c r="RUV43" s="478"/>
      <c r="RUW43" s="478"/>
      <c r="RUX43" s="478"/>
      <c r="RUY43" s="478"/>
      <c r="RUZ43" s="478"/>
      <c r="RVA43" s="478"/>
      <c r="RVB43" s="478"/>
      <c r="RVC43" s="478"/>
      <c r="RVD43" s="478"/>
      <c r="RVE43" s="478"/>
      <c r="RVF43" s="478"/>
      <c r="RVG43" s="478"/>
      <c r="RVH43" s="478"/>
      <c r="RVI43" s="478"/>
      <c r="RVJ43" s="478"/>
      <c r="RVK43" s="478"/>
      <c r="RVL43" s="478"/>
      <c r="RVM43" s="478"/>
      <c r="RVN43" s="478"/>
      <c r="RVO43" s="478"/>
      <c r="RVP43" s="478"/>
      <c r="RVQ43" s="478"/>
      <c r="RVR43" s="478"/>
      <c r="RVS43" s="478"/>
      <c r="RVT43" s="478"/>
      <c r="RVU43" s="478"/>
      <c r="RVV43" s="478"/>
      <c r="RVW43" s="478"/>
      <c r="RVX43" s="478"/>
      <c r="RVY43" s="478"/>
      <c r="RVZ43" s="478"/>
      <c r="RWA43" s="478"/>
      <c r="RWB43" s="478"/>
      <c r="RWC43" s="478"/>
      <c r="RWD43" s="478"/>
      <c r="RWE43" s="478"/>
      <c r="RWF43" s="478"/>
      <c r="RWG43" s="478"/>
      <c r="RWH43" s="478"/>
      <c r="RWI43" s="478"/>
      <c r="RWJ43" s="478"/>
      <c r="RWK43" s="478"/>
      <c r="RWL43" s="478"/>
      <c r="RWM43" s="478"/>
      <c r="RWN43" s="478"/>
      <c r="RWO43" s="478"/>
      <c r="RWP43" s="478"/>
      <c r="RWQ43" s="478"/>
      <c r="RWR43" s="478"/>
      <c r="RWS43" s="478"/>
      <c r="RWT43" s="478"/>
      <c r="RWU43" s="478"/>
      <c r="RWV43" s="478"/>
      <c r="RWW43" s="478"/>
      <c r="RWX43" s="478"/>
      <c r="RWY43" s="478"/>
      <c r="RWZ43" s="478"/>
      <c r="RXA43" s="478"/>
      <c r="RXB43" s="478"/>
      <c r="RXC43" s="478"/>
      <c r="RXD43" s="478"/>
      <c r="RXE43" s="478"/>
      <c r="RXF43" s="478"/>
      <c r="RXG43" s="478"/>
      <c r="RXH43" s="478"/>
      <c r="RXI43" s="478"/>
      <c r="RXJ43" s="478"/>
      <c r="RXK43" s="478"/>
      <c r="RXL43" s="478"/>
      <c r="RXM43" s="478"/>
      <c r="RXN43" s="478"/>
      <c r="RXO43" s="478"/>
      <c r="RXP43" s="478"/>
      <c r="RXQ43" s="478"/>
      <c r="RXR43" s="478"/>
      <c r="RXS43" s="478"/>
      <c r="RXT43" s="478"/>
      <c r="RXU43" s="478"/>
      <c r="RXV43" s="478"/>
      <c r="RXW43" s="478"/>
      <c r="RXX43" s="478"/>
      <c r="RXY43" s="478"/>
      <c r="RXZ43" s="478"/>
      <c r="RYA43" s="478"/>
      <c r="RYB43" s="478"/>
      <c r="RYC43" s="478"/>
      <c r="RYD43" s="478"/>
      <c r="RYE43" s="478"/>
      <c r="RYF43" s="478"/>
      <c r="RYG43" s="478"/>
      <c r="RYH43" s="478"/>
      <c r="RYI43" s="478"/>
      <c r="RYJ43" s="478"/>
      <c r="RYK43" s="478"/>
      <c r="RYL43" s="478"/>
      <c r="RYM43" s="478"/>
      <c r="RYN43" s="478"/>
      <c r="RYO43" s="478"/>
      <c r="RYP43" s="478"/>
      <c r="RYQ43" s="478"/>
      <c r="RYR43" s="478"/>
      <c r="RYS43" s="478"/>
      <c r="RYT43" s="478"/>
      <c r="RYU43" s="478"/>
      <c r="RYV43" s="478"/>
      <c r="RYW43" s="478"/>
      <c r="RYX43" s="478"/>
      <c r="RYY43" s="478"/>
      <c r="RYZ43" s="478"/>
      <c r="RZA43" s="478"/>
      <c r="RZB43" s="478"/>
      <c r="RZC43" s="478"/>
      <c r="RZD43" s="478"/>
      <c r="RZE43" s="478"/>
      <c r="RZF43" s="478"/>
      <c r="RZG43" s="478"/>
      <c r="RZH43" s="478"/>
      <c r="RZI43" s="478"/>
      <c r="RZJ43" s="478"/>
      <c r="RZK43" s="478"/>
      <c r="RZL43" s="478"/>
      <c r="RZM43" s="478"/>
      <c r="RZN43" s="478"/>
      <c r="RZO43" s="478"/>
      <c r="RZP43" s="478"/>
      <c r="RZQ43" s="478"/>
      <c r="RZR43" s="478"/>
      <c r="RZS43" s="478"/>
      <c r="RZT43" s="478"/>
      <c r="RZU43" s="478"/>
      <c r="RZV43" s="478"/>
      <c r="RZW43" s="478"/>
      <c r="RZX43" s="478"/>
      <c r="RZY43" s="478"/>
      <c r="RZZ43" s="478"/>
      <c r="SAA43" s="478"/>
      <c r="SAB43" s="478"/>
      <c r="SAC43" s="478"/>
      <c r="SAD43" s="478"/>
      <c r="SAE43" s="478"/>
      <c r="SAF43" s="478"/>
      <c r="SAG43" s="478"/>
      <c r="SAH43" s="478"/>
      <c r="SAI43" s="478"/>
      <c r="SAJ43" s="478"/>
      <c r="SAK43" s="478"/>
      <c r="SAL43" s="478"/>
      <c r="SAM43" s="478"/>
      <c r="SAN43" s="478"/>
      <c r="SAO43" s="478"/>
      <c r="SAP43" s="478"/>
      <c r="SAQ43" s="478"/>
      <c r="SAR43" s="478"/>
      <c r="SAS43" s="478"/>
      <c r="SAT43" s="478"/>
      <c r="SAU43" s="478"/>
      <c r="SAV43" s="478"/>
      <c r="SAW43" s="478"/>
      <c r="SAX43" s="478"/>
      <c r="SAY43" s="478"/>
      <c r="SAZ43" s="478"/>
      <c r="SBA43" s="478"/>
      <c r="SBB43" s="478"/>
      <c r="SBC43" s="478"/>
      <c r="SBD43" s="478"/>
      <c r="SBE43" s="478"/>
      <c r="SBF43" s="478"/>
      <c r="SBG43" s="478"/>
      <c r="SBH43" s="478"/>
      <c r="SBI43" s="478"/>
      <c r="SBJ43" s="478"/>
      <c r="SBK43" s="478"/>
      <c r="SBL43" s="478"/>
      <c r="SBM43" s="478"/>
      <c r="SBN43" s="478"/>
      <c r="SBO43" s="478"/>
      <c r="SBP43" s="478"/>
      <c r="SBQ43" s="478"/>
      <c r="SBR43" s="478"/>
      <c r="SBS43" s="478"/>
      <c r="SBT43" s="478"/>
      <c r="SBU43" s="478"/>
      <c r="SBV43" s="478"/>
      <c r="SBW43" s="478"/>
      <c r="SBX43" s="478"/>
      <c r="SBY43" s="478"/>
      <c r="SBZ43" s="478"/>
      <c r="SCA43" s="478"/>
      <c r="SCB43" s="478"/>
      <c r="SCC43" s="478"/>
      <c r="SCD43" s="478"/>
      <c r="SCE43" s="478"/>
      <c r="SCF43" s="478"/>
      <c r="SCG43" s="478"/>
      <c r="SCH43" s="478"/>
      <c r="SCI43" s="478"/>
      <c r="SCJ43" s="478"/>
      <c r="SCK43" s="478"/>
      <c r="SCL43" s="478"/>
      <c r="SCM43" s="478"/>
      <c r="SCN43" s="478"/>
      <c r="SCO43" s="478"/>
      <c r="SCP43" s="478"/>
      <c r="SCQ43" s="478"/>
      <c r="SCR43" s="478"/>
      <c r="SCS43" s="478"/>
      <c r="SCT43" s="478"/>
      <c r="SCU43" s="478"/>
      <c r="SCV43" s="478"/>
      <c r="SCW43" s="478"/>
      <c r="SCX43" s="478"/>
      <c r="SCY43" s="478"/>
      <c r="SCZ43" s="478"/>
      <c r="SDA43" s="478"/>
      <c r="SDB43" s="478"/>
      <c r="SDC43" s="478"/>
      <c r="SDD43" s="478"/>
      <c r="SDE43" s="478"/>
      <c r="SDF43" s="478"/>
      <c r="SDG43" s="478"/>
      <c r="SDH43" s="478"/>
      <c r="SDI43" s="478"/>
      <c r="SDJ43" s="478"/>
      <c r="SDK43" s="478"/>
      <c r="SDL43" s="478"/>
      <c r="SDM43" s="478"/>
      <c r="SDN43" s="478"/>
      <c r="SDO43" s="478"/>
      <c r="SDP43" s="478"/>
      <c r="SDQ43" s="478"/>
      <c r="SDR43" s="478"/>
      <c r="SDS43" s="478"/>
      <c r="SDT43" s="478"/>
      <c r="SDU43" s="478"/>
      <c r="SDV43" s="478"/>
      <c r="SDW43" s="478"/>
      <c r="SDX43" s="478"/>
      <c r="SDY43" s="478"/>
      <c r="SDZ43" s="478"/>
      <c r="SEA43" s="478"/>
      <c r="SEB43" s="478"/>
      <c r="SEC43" s="478"/>
      <c r="SED43" s="478"/>
      <c r="SEE43" s="478"/>
      <c r="SEF43" s="478"/>
      <c r="SEG43" s="478"/>
      <c r="SEH43" s="478"/>
      <c r="SEI43" s="478"/>
      <c r="SEJ43" s="478"/>
      <c r="SEK43" s="478"/>
      <c r="SEL43" s="478"/>
      <c r="SEM43" s="478"/>
      <c r="SEN43" s="478"/>
      <c r="SEO43" s="478"/>
      <c r="SEP43" s="478"/>
      <c r="SEQ43" s="478"/>
      <c r="SER43" s="478"/>
      <c r="SES43" s="478"/>
      <c r="SET43" s="478"/>
      <c r="SEU43" s="478"/>
      <c r="SEV43" s="478"/>
      <c r="SEW43" s="478"/>
      <c r="SEX43" s="478"/>
      <c r="SEY43" s="478"/>
      <c r="SEZ43" s="478"/>
      <c r="SFA43" s="478"/>
      <c r="SFB43" s="478"/>
      <c r="SFC43" s="478"/>
      <c r="SFD43" s="478"/>
      <c r="SFE43" s="478"/>
      <c r="SFF43" s="478"/>
      <c r="SFG43" s="478"/>
      <c r="SFH43" s="478"/>
      <c r="SFI43" s="478"/>
      <c r="SFJ43" s="478"/>
      <c r="SFK43" s="478"/>
      <c r="SFL43" s="478"/>
      <c r="SFM43" s="478"/>
      <c r="SFN43" s="478"/>
      <c r="SFO43" s="478"/>
      <c r="SFP43" s="478"/>
      <c r="SFQ43" s="478"/>
      <c r="SFR43" s="478"/>
      <c r="SFS43" s="478"/>
      <c r="SFT43" s="478"/>
      <c r="SFU43" s="478"/>
      <c r="SFV43" s="478"/>
      <c r="SFW43" s="478"/>
      <c r="SFX43" s="478"/>
      <c r="SFY43" s="478"/>
      <c r="SFZ43" s="478"/>
      <c r="SGA43" s="478"/>
      <c r="SGB43" s="478"/>
      <c r="SGC43" s="478"/>
      <c r="SGD43" s="478"/>
      <c r="SGE43" s="478"/>
      <c r="SGF43" s="478"/>
      <c r="SGG43" s="478"/>
      <c r="SGH43" s="478"/>
      <c r="SGI43" s="478"/>
      <c r="SGJ43" s="478"/>
      <c r="SGK43" s="478"/>
      <c r="SGL43" s="478"/>
      <c r="SGM43" s="478"/>
      <c r="SGN43" s="478"/>
      <c r="SGO43" s="478"/>
      <c r="SGP43" s="478"/>
      <c r="SGQ43" s="478"/>
      <c r="SGR43" s="478"/>
      <c r="SGS43" s="478"/>
      <c r="SGT43" s="478"/>
      <c r="SGU43" s="478"/>
      <c r="SGV43" s="478"/>
      <c r="SGW43" s="478"/>
      <c r="SGX43" s="478"/>
      <c r="SGY43" s="478"/>
      <c r="SGZ43" s="478"/>
      <c r="SHA43" s="478"/>
      <c r="SHB43" s="478"/>
      <c r="SHC43" s="478"/>
      <c r="SHD43" s="478"/>
      <c r="SHE43" s="478"/>
      <c r="SHF43" s="478"/>
      <c r="SHG43" s="478"/>
      <c r="SHH43" s="478"/>
      <c r="SHI43" s="478"/>
      <c r="SHJ43" s="478"/>
      <c r="SHK43" s="478"/>
      <c r="SHL43" s="478"/>
      <c r="SHM43" s="478"/>
      <c r="SHN43" s="478"/>
      <c r="SHO43" s="478"/>
      <c r="SHP43" s="478"/>
      <c r="SHQ43" s="478"/>
      <c r="SHR43" s="478"/>
      <c r="SHS43" s="478"/>
      <c r="SHT43" s="478"/>
      <c r="SHU43" s="478"/>
      <c r="SHV43" s="478"/>
      <c r="SHW43" s="478"/>
      <c r="SHX43" s="478"/>
      <c r="SHY43" s="478"/>
      <c r="SHZ43" s="478"/>
      <c r="SIA43" s="478"/>
      <c r="SIB43" s="478"/>
      <c r="SIC43" s="478"/>
      <c r="SID43" s="478"/>
      <c r="SIE43" s="478"/>
      <c r="SIF43" s="478"/>
      <c r="SIG43" s="478"/>
      <c r="SIH43" s="478"/>
      <c r="SII43" s="478"/>
      <c r="SIJ43" s="478"/>
      <c r="SIK43" s="478"/>
      <c r="SIL43" s="478"/>
      <c r="SIM43" s="478"/>
      <c r="SIN43" s="478"/>
      <c r="SIO43" s="478"/>
      <c r="SIP43" s="478"/>
      <c r="SIQ43" s="478"/>
      <c r="SIR43" s="478"/>
      <c r="SIS43" s="478"/>
      <c r="SIT43" s="478"/>
      <c r="SIU43" s="478"/>
      <c r="SIV43" s="478"/>
      <c r="SIW43" s="478"/>
      <c r="SIX43" s="478"/>
      <c r="SIY43" s="478"/>
      <c r="SIZ43" s="478"/>
      <c r="SJA43" s="478"/>
      <c r="SJB43" s="478"/>
      <c r="SJC43" s="478"/>
      <c r="SJD43" s="478"/>
      <c r="SJE43" s="478"/>
      <c r="SJF43" s="478"/>
      <c r="SJG43" s="478"/>
      <c r="SJH43" s="478"/>
      <c r="SJI43" s="478"/>
      <c r="SJJ43" s="478"/>
      <c r="SJK43" s="478"/>
      <c r="SJL43" s="478"/>
      <c r="SJM43" s="478"/>
      <c r="SJN43" s="478"/>
      <c r="SJO43" s="478"/>
      <c r="SJP43" s="478"/>
      <c r="SJQ43" s="478"/>
      <c r="SJR43" s="478"/>
      <c r="SJS43" s="478"/>
      <c r="SJT43" s="478"/>
      <c r="SJU43" s="478"/>
      <c r="SJV43" s="478"/>
      <c r="SJW43" s="478"/>
      <c r="SJX43" s="478"/>
      <c r="SJY43" s="478"/>
      <c r="SJZ43" s="478"/>
      <c r="SKA43" s="478"/>
      <c r="SKB43" s="478"/>
      <c r="SKC43" s="478"/>
      <c r="SKD43" s="478"/>
      <c r="SKE43" s="478"/>
      <c r="SKF43" s="478"/>
      <c r="SKG43" s="478"/>
      <c r="SKH43" s="478"/>
      <c r="SKI43" s="478"/>
      <c r="SKJ43" s="478"/>
      <c r="SKK43" s="478"/>
      <c r="SKL43" s="478"/>
      <c r="SKM43" s="478"/>
      <c r="SKN43" s="478"/>
      <c r="SKO43" s="478"/>
      <c r="SKP43" s="478"/>
      <c r="SKQ43" s="478"/>
      <c r="SKR43" s="478"/>
      <c r="SKS43" s="478"/>
      <c r="SKT43" s="478"/>
      <c r="SKU43" s="478"/>
      <c r="SKV43" s="478"/>
      <c r="SKW43" s="478"/>
      <c r="SKX43" s="478"/>
      <c r="SKY43" s="478"/>
      <c r="SKZ43" s="478"/>
      <c r="SLA43" s="478"/>
      <c r="SLB43" s="478"/>
      <c r="SLC43" s="478"/>
      <c r="SLD43" s="478"/>
      <c r="SLE43" s="478"/>
      <c r="SLF43" s="478"/>
      <c r="SLG43" s="478"/>
      <c r="SLH43" s="478"/>
      <c r="SLI43" s="478"/>
      <c r="SLJ43" s="478"/>
      <c r="SLK43" s="478"/>
      <c r="SLL43" s="478"/>
      <c r="SLM43" s="478"/>
      <c r="SLN43" s="478"/>
      <c r="SLO43" s="478"/>
      <c r="SLP43" s="478"/>
      <c r="SLQ43" s="478"/>
      <c r="SLR43" s="478"/>
      <c r="SLS43" s="478"/>
      <c r="SLT43" s="478"/>
      <c r="SLU43" s="478"/>
      <c r="SLV43" s="478"/>
      <c r="SLW43" s="478"/>
      <c r="SLX43" s="478"/>
      <c r="SLY43" s="478"/>
      <c r="SLZ43" s="478"/>
      <c r="SMA43" s="478"/>
      <c r="SMB43" s="478"/>
      <c r="SMC43" s="478"/>
      <c r="SMD43" s="478"/>
      <c r="SME43" s="478"/>
      <c r="SMF43" s="478"/>
      <c r="SMG43" s="478"/>
      <c r="SMH43" s="478"/>
      <c r="SMI43" s="478"/>
      <c r="SMJ43" s="478"/>
      <c r="SMK43" s="478"/>
      <c r="SML43" s="478"/>
      <c r="SMM43" s="478"/>
      <c r="SMN43" s="478"/>
      <c r="SMO43" s="478"/>
      <c r="SMP43" s="478"/>
      <c r="SMQ43" s="478"/>
      <c r="SMR43" s="478"/>
      <c r="SMS43" s="478"/>
      <c r="SMT43" s="478"/>
      <c r="SMU43" s="478"/>
      <c r="SMV43" s="478"/>
      <c r="SMW43" s="478"/>
      <c r="SMX43" s="478"/>
      <c r="SMY43" s="478"/>
      <c r="SMZ43" s="478"/>
      <c r="SNA43" s="478"/>
      <c r="SNB43" s="478"/>
      <c r="SNC43" s="478"/>
      <c r="SND43" s="478"/>
      <c r="SNE43" s="478"/>
      <c r="SNF43" s="478"/>
      <c r="SNG43" s="478"/>
      <c r="SNH43" s="478"/>
      <c r="SNI43" s="478"/>
      <c r="SNJ43" s="478"/>
      <c r="SNK43" s="478"/>
      <c r="SNL43" s="478"/>
      <c r="SNM43" s="478"/>
      <c r="SNN43" s="478"/>
      <c r="SNO43" s="478"/>
      <c r="SNP43" s="478"/>
      <c r="SNQ43" s="478"/>
      <c r="SNR43" s="478"/>
      <c r="SNS43" s="478"/>
      <c r="SNT43" s="478"/>
      <c r="SNU43" s="478"/>
      <c r="SNV43" s="478"/>
      <c r="SNW43" s="478"/>
      <c r="SNX43" s="478"/>
      <c r="SNY43" s="478"/>
      <c r="SNZ43" s="478"/>
      <c r="SOA43" s="478"/>
      <c r="SOB43" s="478"/>
      <c r="SOC43" s="478"/>
      <c r="SOD43" s="478"/>
      <c r="SOE43" s="478"/>
      <c r="SOF43" s="478"/>
      <c r="SOG43" s="478"/>
      <c r="SOH43" s="478"/>
      <c r="SOI43" s="478"/>
      <c r="SOJ43" s="478"/>
      <c r="SOK43" s="478"/>
      <c r="SOL43" s="478"/>
      <c r="SOM43" s="478"/>
      <c r="SON43" s="478"/>
      <c r="SOO43" s="478"/>
      <c r="SOP43" s="478"/>
      <c r="SOQ43" s="478"/>
      <c r="SOR43" s="478"/>
      <c r="SOS43" s="478"/>
      <c r="SOT43" s="478"/>
      <c r="SOU43" s="478"/>
      <c r="SOV43" s="478"/>
      <c r="SOW43" s="478"/>
      <c r="SOX43" s="478"/>
      <c r="SOY43" s="478"/>
      <c r="SOZ43" s="478"/>
      <c r="SPA43" s="478"/>
      <c r="SPB43" s="478"/>
      <c r="SPC43" s="478"/>
      <c r="SPD43" s="478"/>
      <c r="SPE43" s="478"/>
      <c r="SPF43" s="478"/>
      <c r="SPG43" s="478"/>
      <c r="SPH43" s="478"/>
      <c r="SPI43" s="478"/>
      <c r="SPJ43" s="478"/>
      <c r="SPK43" s="478"/>
      <c r="SPL43" s="478"/>
      <c r="SPM43" s="478"/>
      <c r="SPN43" s="478"/>
      <c r="SPO43" s="478"/>
      <c r="SPP43" s="478"/>
      <c r="SPQ43" s="478"/>
      <c r="SPR43" s="478"/>
      <c r="SPS43" s="478"/>
      <c r="SPT43" s="478"/>
      <c r="SPU43" s="478"/>
      <c r="SPV43" s="478"/>
      <c r="SPW43" s="478"/>
      <c r="SPX43" s="478"/>
      <c r="SPY43" s="478"/>
      <c r="SPZ43" s="478"/>
      <c r="SQA43" s="478"/>
      <c r="SQB43" s="478"/>
      <c r="SQC43" s="478"/>
      <c r="SQD43" s="478"/>
      <c r="SQE43" s="478"/>
      <c r="SQF43" s="478"/>
      <c r="SQG43" s="478"/>
      <c r="SQH43" s="478"/>
      <c r="SQI43" s="478"/>
      <c r="SQJ43" s="478"/>
      <c r="SQK43" s="478"/>
      <c r="SQL43" s="478"/>
      <c r="SQM43" s="478"/>
      <c r="SQN43" s="478"/>
      <c r="SQO43" s="478"/>
      <c r="SQP43" s="478"/>
      <c r="SQQ43" s="478"/>
      <c r="SQR43" s="478"/>
      <c r="SQS43" s="478"/>
      <c r="SQT43" s="478"/>
      <c r="SQU43" s="478"/>
      <c r="SQV43" s="478"/>
      <c r="SQW43" s="478"/>
      <c r="SQX43" s="478"/>
      <c r="SQY43" s="478"/>
      <c r="SQZ43" s="478"/>
      <c r="SRA43" s="478"/>
      <c r="SRB43" s="478"/>
      <c r="SRC43" s="478"/>
      <c r="SRD43" s="478"/>
      <c r="SRE43" s="478"/>
      <c r="SRF43" s="478"/>
      <c r="SRG43" s="478"/>
      <c r="SRH43" s="478"/>
      <c r="SRI43" s="478"/>
      <c r="SRJ43" s="478"/>
      <c r="SRK43" s="478"/>
      <c r="SRL43" s="478"/>
      <c r="SRM43" s="478"/>
      <c r="SRN43" s="478"/>
      <c r="SRO43" s="478"/>
      <c r="SRP43" s="478"/>
      <c r="SRQ43" s="478"/>
      <c r="SRR43" s="478"/>
      <c r="SRS43" s="478"/>
      <c r="SRT43" s="478"/>
      <c r="SRU43" s="478"/>
      <c r="SRV43" s="478"/>
      <c r="SRW43" s="478"/>
      <c r="SRX43" s="478"/>
      <c r="SRY43" s="478"/>
      <c r="SRZ43" s="478"/>
      <c r="SSA43" s="478"/>
      <c r="SSB43" s="478"/>
      <c r="SSC43" s="478"/>
      <c r="SSD43" s="478"/>
      <c r="SSE43" s="478"/>
      <c r="SSF43" s="478"/>
      <c r="SSG43" s="478"/>
      <c r="SSH43" s="478"/>
      <c r="SSI43" s="478"/>
      <c r="SSJ43" s="478"/>
      <c r="SSK43" s="478"/>
      <c r="SSL43" s="478"/>
      <c r="SSM43" s="478"/>
      <c r="SSN43" s="478"/>
      <c r="SSO43" s="478"/>
      <c r="SSP43" s="478"/>
      <c r="SSQ43" s="478"/>
      <c r="SSR43" s="478"/>
      <c r="SSS43" s="478"/>
      <c r="SST43" s="478"/>
      <c r="SSU43" s="478"/>
      <c r="SSV43" s="478"/>
      <c r="SSW43" s="478"/>
      <c r="SSX43" s="478"/>
      <c r="SSY43" s="478"/>
      <c r="SSZ43" s="478"/>
      <c r="STA43" s="478"/>
      <c r="STB43" s="478"/>
      <c r="STC43" s="478"/>
      <c r="STD43" s="478"/>
      <c r="STE43" s="478"/>
      <c r="STF43" s="478"/>
      <c r="STG43" s="478"/>
      <c r="STH43" s="478"/>
      <c r="STI43" s="478"/>
      <c r="STJ43" s="478"/>
      <c r="STK43" s="478"/>
      <c r="STL43" s="478"/>
      <c r="STM43" s="478"/>
      <c r="STN43" s="478"/>
      <c r="STO43" s="478"/>
      <c r="STP43" s="478"/>
      <c r="STQ43" s="478"/>
      <c r="STR43" s="478"/>
      <c r="STS43" s="478"/>
      <c r="STT43" s="478"/>
      <c r="STU43" s="478"/>
      <c r="STV43" s="478"/>
      <c r="STW43" s="478"/>
      <c r="STX43" s="478"/>
      <c r="STY43" s="478"/>
      <c r="STZ43" s="478"/>
      <c r="SUA43" s="478"/>
      <c r="SUB43" s="478"/>
      <c r="SUC43" s="478"/>
      <c r="SUD43" s="478"/>
      <c r="SUE43" s="478"/>
      <c r="SUF43" s="478"/>
      <c r="SUG43" s="478"/>
      <c r="SUH43" s="478"/>
      <c r="SUI43" s="478"/>
      <c r="SUJ43" s="478"/>
      <c r="SUK43" s="478"/>
      <c r="SUL43" s="478"/>
      <c r="SUM43" s="478"/>
      <c r="SUN43" s="478"/>
      <c r="SUO43" s="478"/>
      <c r="SUP43" s="478"/>
      <c r="SUQ43" s="478"/>
      <c r="SUR43" s="478"/>
      <c r="SUS43" s="478"/>
      <c r="SUT43" s="478"/>
      <c r="SUU43" s="478"/>
      <c r="SUV43" s="478"/>
      <c r="SUW43" s="478"/>
      <c r="SUX43" s="478"/>
      <c r="SUY43" s="478"/>
      <c r="SUZ43" s="478"/>
      <c r="SVA43" s="478"/>
      <c r="SVB43" s="478"/>
      <c r="SVC43" s="478"/>
      <c r="SVD43" s="478"/>
      <c r="SVE43" s="478"/>
      <c r="SVF43" s="478"/>
      <c r="SVG43" s="478"/>
      <c r="SVH43" s="478"/>
      <c r="SVI43" s="478"/>
      <c r="SVJ43" s="478"/>
      <c r="SVK43" s="478"/>
      <c r="SVL43" s="478"/>
      <c r="SVM43" s="478"/>
      <c r="SVN43" s="478"/>
      <c r="SVO43" s="478"/>
      <c r="SVP43" s="478"/>
      <c r="SVQ43" s="478"/>
      <c r="SVR43" s="478"/>
      <c r="SVS43" s="478"/>
      <c r="SVT43" s="478"/>
      <c r="SVU43" s="478"/>
      <c r="SVV43" s="478"/>
      <c r="SVW43" s="478"/>
      <c r="SVX43" s="478"/>
      <c r="SVY43" s="478"/>
      <c r="SVZ43" s="478"/>
      <c r="SWA43" s="478"/>
      <c r="SWB43" s="478"/>
      <c r="SWC43" s="478"/>
      <c r="SWD43" s="478"/>
      <c r="SWE43" s="478"/>
      <c r="SWF43" s="478"/>
      <c r="SWG43" s="478"/>
      <c r="SWH43" s="478"/>
      <c r="SWI43" s="478"/>
      <c r="SWJ43" s="478"/>
      <c r="SWK43" s="478"/>
      <c r="SWL43" s="478"/>
      <c r="SWM43" s="478"/>
      <c r="SWN43" s="478"/>
      <c r="SWO43" s="478"/>
      <c r="SWP43" s="478"/>
      <c r="SWQ43" s="478"/>
      <c r="SWR43" s="478"/>
      <c r="SWS43" s="478"/>
      <c r="SWT43" s="478"/>
      <c r="SWU43" s="478"/>
      <c r="SWV43" s="478"/>
      <c r="SWW43" s="478"/>
      <c r="SWX43" s="478"/>
      <c r="SWY43" s="478"/>
      <c r="SWZ43" s="478"/>
      <c r="SXA43" s="478"/>
      <c r="SXB43" s="478"/>
      <c r="SXC43" s="478"/>
      <c r="SXD43" s="478"/>
      <c r="SXE43" s="478"/>
      <c r="SXF43" s="478"/>
      <c r="SXG43" s="478"/>
      <c r="SXH43" s="478"/>
      <c r="SXI43" s="478"/>
      <c r="SXJ43" s="478"/>
      <c r="SXK43" s="478"/>
      <c r="SXL43" s="478"/>
      <c r="SXM43" s="478"/>
      <c r="SXN43" s="478"/>
      <c r="SXO43" s="478"/>
      <c r="SXP43" s="478"/>
      <c r="SXQ43" s="478"/>
      <c r="SXR43" s="478"/>
      <c r="SXS43" s="478"/>
      <c r="SXT43" s="478"/>
      <c r="SXU43" s="478"/>
      <c r="SXV43" s="478"/>
      <c r="SXW43" s="478"/>
      <c r="SXX43" s="478"/>
      <c r="SXY43" s="478"/>
      <c r="SXZ43" s="478"/>
      <c r="SYA43" s="478"/>
      <c r="SYB43" s="478"/>
      <c r="SYC43" s="478"/>
      <c r="SYD43" s="478"/>
      <c r="SYE43" s="478"/>
      <c r="SYF43" s="478"/>
      <c r="SYG43" s="478"/>
      <c r="SYH43" s="478"/>
      <c r="SYI43" s="478"/>
      <c r="SYJ43" s="478"/>
      <c r="SYK43" s="478"/>
      <c r="SYL43" s="478"/>
      <c r="SYM43" s="478"/>
      <c r="SYN43" s="478"/>
      <c r="SYO43" s="478"/>
      <c r="SYP43" s="478"/>
      <c r="SYQ43" s="478"/>
      <c r="SYR43" s="478"/>
      <c r="SYS43" s="478"/>
      <c r="SYT43" s="478"/>
      <c r="SYU43" s="478"/>
      <c r="SYV43" s="478"/>
      <c r="SYW43" s="478"/>
      <c r="SYX43" s="478"/>
      <c r="SYY43" s="478"/>
      <c r="SYZ43" s="478"/>
      <c r="SZA43" s="478"/>
      <c r="SZB43" s="478"/>
      <c r="SZC43" s="478"/>
      <c r="SZD43" s="478"/>
      <c r="SZE43" s="478"/>
      <c r="SZF43" s="478"/>
      <c r="SZG43" s="478"/>
      <c r="SZH43" s="478"/>
      <c r="SZI43" s="478"/>
      <c r="SZJ43" s="478"/>
      <c r="SZK43" s="478"/>
      <c r="SZL43" s="478"/>
      <c r="SZM43" s="478"/>
      <c r="SZN43" s="478"/>
      <c r="SZO43" s="478"/>
      <c r="SZP43" s="478"/>
      <c r="SZQ43" s="478"/>
      <c r="SZR43" s="478"/>
      <c r="SZS43" s="478"/>
      <c r="SZT43" s="478"/>
      <c r="SZU43" s="478"/>
      <c r="SZV43" s="478"/>
      <c r="SZW43" s="478"/>
      <c r="SZX43" s="478"/>
      <c r="SZY43" s="478"/>
      <c r="SZZ43" s="478"/>
      <c r="TAA43" s="478"/>
      <c r="TAB43" s="478"/>
      <c r="TAC43" s="478"/>
      <c r="TAD43" s="478"/>
      <c r="TAE43" s="478"/>
      <c r="TAF43" s="478"/>
      <c r="TAG43" s="478"/>
      <c r="TAH43" s="478"/>
      <c r="TAI43" s="478"/>
      <c r="TAJ43" s="478"/>
      <c r="TAK43" s="478"/>
      <c r="TAL43" s="478"/>
      <c r="TAM43" s="478"/>
      <c r="TAN43" s="478"/>
      <c r="TAO43" s="478"/>
      <c r="TAP43" s="478"/>
      <c r="TAQ43" s="478"/>
      <c r="TAR43" s="478"/>
      <c r="TAS43" s="478"/>
      <c r="TAT43" s="478"/>
      <c r="TAU43" s="478"/>
      <c r="TAV43" s="478"/>
      <c r="TAW43" s="478"/>
      <c r="TAX43" s="478"/>
      <c r="TAY43" s="478"/>
      <c r="TAZ43" s="478"/>
      <c r="TBA43" s="478"/>
      <c r="TBB43" s="478"/>
      <c r="TBC43" s="478"/>
      <c r="TBD43" s="478"/>
      <c r="TBE43" s="478"/>
      <c r="TBF43" s="478"/>
      <c r="TBG43" s="478"/>
      <c r="TBH43" s="478"/>
      <c r="TBI43" s="478"/>
      <c r="TBJ43" s="478"/>
      <c r="TBK43" s="478"/>
      <c r="TBL43" s="478"/>
      <c r="TBM43" s="478"/>
      <c r="TBN43" s="478"/>
      <c r="TBO43" s="478"/>
      <c r="TBP43" s="478"/>
      <c r="TBQ43" s="478"/>
      <c r="TBR43" s="478"/>
      <c r="TBS43" s="478"/>
      <c r="TBT43" s="478"/>
      <c r="TBU43" s="478"/>
      <c r="TBV43" s="478"/>
      <c r="TBW43" s="478"/>
      <c r="TBX43" s="478"/>
      <c r="TBY43" s="478"/>
      <c r="TBZ43" s="478"/>
      <c r="TCA43" s="478"/>
      <c r="TCB43" s="478"/>
      <c r="TCC43" s="478"/>
      <c r="TCD43" s="478"/>
      <c r="TCE43" s="478"/>
      <c r="TCF43" s="478"/>
      <c r="TCG43" s="478"/>
      <c r="TCH43" s="478"/>
      <c r="TCI43" s="478"/>
      <c r="TCJ43" s="478"/>
      <c r="TCK43" s="478"/>
      <c r="TCL43" s="478"/>
      <c r="TCM43" s="478"/>
      <c r="TCN43" s="478"/>
      <c r="TCO43" s="478"/>
      <c r="TCP43" s="478"/>
      <c r="TCQ43" s="478"/>
      <c r="TCR43" s="478"/>
      <c r="TCS43" s="478"/>
      <c r="TCT43" s="478"/>
      <c r="TCU43" s="478"/>
      <c r="TCV43" s="478"/>
      <c r="TCW43" s="478"/>
      <c r="TCX43" s="478"/>
      <c r="TCY43" s="478"/>
      <c r="TCZ43" s="478"/>
      <c r="TDA43" s="478"/>
      <c r="TDB43" s="478"/>
      <c r="TDC43" s="478"/>
      <c r="TDD43" s="478"/>
      <c r="TDE43" s="478"/>
      <c r="TDF43" s="478"/>
      <c r="TDG43" s="478"/>
      <c r="TDH43" s="478"/>
      <c r="TDI43" s="478"/>
      <c r="TDJ43" s="478"/>
      <c r="TDK43" s="478"/>
      <c r="TDL43" s="478"/>
      <c r="TDM43" s="478"/>
      <c r="TDN43" s="478"/>
      <c r="TDO43" s="478"/>
      <c r="TDP43" s="478"/>
      <c r="TDQ43" s="478"/>
      <c r="TDR43" s="478"/>
      <c r="TDS43" s="478"/>
      <c r="TDT43" s="478"/>
      <c r="TDU43" s="478"/>
      <c r="TDV43" s="478"/>
      <c r="TDW43" s="478"/>
      <c r="TDX43" s="478"/>
      <c r="TDY43" s="478"/>
      <c r="TDZ43" s="478"/>
      <c r="TEA43" s="478"/>
      <c r="TEB43" s="478"/>
      <c r="TEC43" s="478"/>
      <c r="TED43" s="478"/>
      <c r="TEE43" s="478"/>
      <c r="TEF43" s="478"/>
      <c r="TEG43" s="478"/>
      <c r="TEH43" s="478"/>
      <c r="TEI43" s="478"/>
      <c r="TEJ43" s="478"/>
      <c r="TEK43" s="478"/>
      <c r="TEL43" s="478"/>
      <c r="TEM43" s="478"/>
      <c r="TEN43" s="478"/>
      <c r="TEO43" s="478"/>
      <c r="TEP43" s="478"/>
      <c r="TEQ43" s="478"/>
      <c r="TER43" s="478"/>
      <c r="TES43" s="478"/>
      <c r="TET43" s="478"/>
      <c r="TEU43" s="478"/>
      <c r="TEV43" s="478"/>
      <c r="TEW43" s="478"/>
      <c r="TEX43" s="478"/>
      <c r="TEY43" s="478"/>
      <c r="TEZ43" s="478"/>
      <c r="TFA43" s="478"/>
      <c r="TFB43" s="478"/>
      <c r="TFC43" s="478"/>
      <c r="TFD43" s="478"/>
      <c r="TFE43" s="478"/>
      <c r="TFF43" s="478"/>
      <c r="TFG43" s="478"/>
      <c r="TFH43" s="478"/>
      <c r="TFI43" s="478"/>
      <c r="TFJ43" s="478"/>
      <c r="TFK43" s="478"/>
      <c r="TFL43" s="478"/>
      <c r="TFM43" s="478"/>
      <c r="TFN43" s="478"/>
      <c r="TFO43" s="478"/>
      <c r="TFP43" s="478"/>
      <c r="TFQ43" s="478"/>
      <c r="TFR43" s="478"/>
      <c r="TFS43" s="478"/>
      <c r="TFT43" s="478"/>
      <c r="TFU43" s="478"/>
      <c r="TFV43" s="478"/>
      <c r="TFW43" s="478"/>
      <c r="TFX43" s="478"/>
      <c r="TFY43" s="478"/>
      <c r="TFZ43" s="478"/>
      <c r="TGA43" s="478"/>
      <c r="TGB43" s="478"/>
      <c r="TGC43" s="478"/>
      <c r="TGD43" s="478"/>
      <c r="TGE43" s="478"/>
      <c r="TGF43" s="478"/>
      <c r="TGG43" s="478"/>
      <c r="TGH43" s="478"/>
      <c r="TGI43" s="478"/>
      <c r="TGJ43" s="478"/>
      <c r="TGK43" s="478"/>
      <c r="TGL43" s="478"/>
      <c r="TGM43" s="478"/>
      <c r="TGN43" s="478"/>
      <c r="TGO43" s="478"/>
      <c r="TGP43" s="478"/>
      <c r="TGQ43" s="478"/>
      <c r="TGR43" s="478"/>
      <c r="TGS43" s="478"/>
      <c r="TGT43" s="478"/>
      <c r="TGU43" s="478"/>
      <c r="TGV43" s="478"/>
      <c r="TGW43" s="478"/>
      <c r="TGX43" s="478"/>
      <c r="TGY43" s="478"/>
      <c r="TGZ43" s="478"/>
      <c r="THA43" s="478"/>
      <c r="THB43" s="478"/>
      <c r="THC43" s="478"/>
      <c r="THD43" s="478"/>
      <c r="THE43" s="478"/>
      <c r="THF43" s="478"/>
      <c r="THG43" s="478"/>
      <c r="THH43" s="478"/>
      <c r="THI43" s="478"/>
      <c r="THJ43" s="478"/>
      <c r="THK43" s="478"/>
      <c r="THL43" s="478"/>
      <c r="THM43" s="478"/>
      <c r="THN43" s="478"/>
      <c r="THO43" s="478"/>
      <c r="THP43" s="478"/>
      <c r="THQ43" s="478"/>
      <c r="THR43" s="478"/>
      <c r="THS43" s="478"/>
      <c r="THT43" s="478"/>
      <c r="THU43" s="478"/>
      <c r="THV43" s="478"/>
      <c r="THW43" s="478"/>
      <c r="THX43" s="478"/>
      <c r="THY43" s="478"/>
      <c r="THZ43" s="478"/>
      <c r="TIA43" s="478"/>
      <c r="TIB43" s="478"/>
      <c r="TIC43" s="478"/>
      <c r="TID43" s="478"/>
      <c r="TIE43" s="478"/>
      <c r="TIF43" s="478"/>
      <c r="TIG43" s="478"/>
      <c r="TIH43" s="478"/>
      <c r="TII43" s="478"/>
      <c r="TIJ43" s="478"/>
      <c r="TIK43" s="478"/>
      <c r="TIL43" s="478"/>
      <c r="TIM43" s="478"/>
      <c r="TIN43" s="478"/>
      <c r="TIO43" s="478"/>
      <c r="TIP43" s="478"/>
      <c r="TIQ43" s="478"/>
      <c r="TIR43" s="478"/>
      <c r="TIS43" s="478"/>
      <c r="TIT43" s="478"/>
      <c r="TIU43" s="478"/>
      <c r="TIV43" s="478"/>
      <c r="TIW43" s="478"/>
      <c r="TIX43" s="478"/>
      <c r="TIY43" s="478"/>
      <c r="TIZ43" s="478"/>
      <c r="TJA43" s="478"/>
      <c r="TJB43" s="478"/>
      <c r="TJC43" s="478"/>
      <c r="TJD43" s="478"/>
      <c r="TJE43" s="478"/>
      <c r="TJF43" s="478"/>
      <c r="TJG43" s="478"/>
      <c r="TJH43" s="478"/>
      <c r="TJI43" s="478"/>
      <c r="TJJ43" s="478"/>
      <c r="TJK43" s="478"/>
      <c r="TJL43" s="478"/>
      <c r="TJM43" s="478"/>
      <c r="TJN43" s="478"/>
      <c r="TJO43" s="478"/>
      <c r="TJP43" s="478"/>
      <c r="TJQ43" s="478"/>
      <c r="TJR43" s="478"/>
      <c r="TJS43" s="478"/>
      <c r="TJT43" s="478"/>
      <c r="TJU43" s="478"/>
      <c r="TJV43" s="478"/>
      <c r="TJW43" s="478"/>
      <c r="TJX43" s="478"/>
      <c r="TJY43" s="478"/>
      <c r="TJZ43" s="478"/>
      <c r="TKA43" s="478"/>
      <c r="TKB43" s="478"/>
      <c r="TKC43" s="478"/>
      <c r="TKD43" s="478"/>
      <c r="TKE43" s="478"/>
      <c r="TKF43" s="478"/>
      <c r="TKG43" s="478"/>
      <c r="TKH43" s="478"/>
      <c r="TKI43" s="478"/>
      <c r="TKJ43" s="478"/>
      <c r="TKK43" s="478"/>
      <c r="TKL43" s="478"/>
      <c r="TKM43" s="478"/>
      <c r="TKN43" s="478"/>
      <c r="TKO43" s="478"/>
      <c r="TKP43" s="478"/>
      <c r="TKQ43" s="478"/>
      <c r="TKR43" s="478"/>
      <c r="TKS43" s="478"/>
      <c r="TKT43" s="478"/>
      <c r="TKU43" s="478"/>
      <c r="TKV43" s="478"/>
      <c r="TKW43" s="478"/>
      <c r="TKX43" s="478"/>
      <c r="TKY43" s="478"/>
      <c r="TKZ43" s="478"/>
      <c r="TLA43" s="478"/>
      <c r="TLB43" s="478"/>
      <c r="TLC43" s="478"/>
      <c r="TLD43" s="478"/>
      <c r="TLE43" s="478"/>
      <c r="TLF43" s="478"/>
      <c r="TLG43" s="478"/>
      <c r="TLH43" s="478"/>
      <c r="TLI43" s="478"/>
      <c r="TLJ43" s="478"/>
      <c r="TLK43" s="478"/>
      <c r="TLL43" s="478"/>
      <c r="TLM43" s="478"/>
      <c r="TLN43" s="478"/>
      <c r="TLO43" s="478"/>
      <c r="TLP43" s="478"/>
      <c r="TLQ43" s="478"/>
      <c r="TLR43" s="478"/>
      <c r="TLS43" s="478"/>
      <c r="TLT43" s="478"/>
      <c r="TLU43" s="478"/>
      <c r="TLV43" s="478"/>
      <c r="TLW43" s="478"/>
      <c r="TLX43" s="478"/>
      <c r="TLY43" s="478"/>
      <c r="TLZ43" s="478"/>
      <c r="TMA43" s="478"/>
      <c r="TMB43" s="478"/>
      <c r="TMC43" s="478"/>
      <c r="TMD43" s="478"/>
      <c r="TME43" s="478"/>
      <c r="TMF43" s="478"/>
      <c r="TMG43" s="478"/>
      <c r="TMH43" s="478"/>
      <c r="TMI43" s="478"/>
      <c r="TMJ43" s="478"/>
      <c r="TMK43" s="478"/>
      <c r="TML43" s="478"/>
      <c r="TMM43" s="478"/>
      <c r="TMN43" s="478"/>
      <c r="TMO43" s="478"/>
      <c r="TMP43" s="478"/>
      <c r="TMQ43" s="478"/>
      <c r="TMR43" s="478"/>
      <c r="TMS43" s="478"/>
      <c r="TMT43" s="478"/>
      <c r="TMU43" s="478"/>
      <c r="TMV43" s="478"/>
      <c r="TMW43" s="478"/>
      <c r="TMX43" s="478"/>
      <c r="TMY43" s="478"/>
      <c r="TMZ43" s="478"/>
      <c r="TNA43" s="478"/>
      <c r="TNB43" s="478"/>
      <c r="TNC43" s="478"/>
      <c r="TND43" s="478"/>
      <c r="TNE43" s="478"/>
      <c r="TNF43" s="478"/>
      <c r="TNG43" s="478"/>
      <c r="TNH43" s="478"/>
      <c r="TNI43" s="478"/>
      <c r="TNJ43" s="478"/>
      <c r="TNK43" s="478"/>
      <c r="TNL43" s="478"/>
      <c r="TNM43" s="478"/>
      <c r="TNN43" s="478"/>
      <c r="TNO43" s="478"/>
      <c r="TNP43" s="478"/>
      <c r="TNQ43" s="478"/>
      <c r="TNR43" s="478"/>
      <c r="TNS43" s="478"/>
      <c r="TNT43" s="478"/>
      <c r="TNU43" s="478"/>
      <c r="TNV43" s="478"/>
      <c r="TNW43" s="478"/>
      <c r="TNX43" s="478"/>
      <c r="TNY43" s="478"/>
      <c r="TNZ43" s="478"/>
      <c r="TOA43" s="478"/>
      <c r="TOB43" s="478"/>
      <c r="TOC43" s="478"/>
      <c r="TOD43" s="478"/>
      <c r="TOE43" s="478"/>
      <c r="TOF43" s="478"/>
      <c r="TOG43" s="478"/>
      <c r="TOH43" s="478"/>
      <c r="TOI43" s="478"/>
      <c r="TOJ43" s="478"/>
      <c r="TOK43" s="478"/>
      <c r="TOL43" s="478"/>
      <c r="TOM43" s="478"/>
      <c r="TON43" s="478"/>
      <c r="TOO43" s="478"/>
      <c r="TOP43" s="478"/>
      <c r="TOQ43" s="478"/>
      <c r="TOR43" s="478"/>
      <c r="TOS43" s="478"/>
      <c r="TOT43" s="478"/>
      <c r="TOU43" s="478"/>
      <c r="TOV43" s="478"/>
      <c r="TOW43" s="478"/>
      <c r="TOX43" s="478"/>
      <c r="TOY43" s="478"/>
      <c r="TOZ43" s="478"/>
      <c r="TPA43" s="478"/>
      <c r="TPB43" s="478"/>
      <c r="TPC43" s="478"/>
      <c r="TPD43" s="478"/>
      <c r="TPE43" s="478"/>
      <c r="TPF43" s="478"/>
      <c r="TPG43" s="478"/>
      <c r="TPH43" s="478"/>
      <c r="TPI43" s="478"/>
      <c r="TPJ43" s="478"/>
      <c r="TPK43" s="478"/>
      <c r="TPL43" s="478"/>
      <c r="TPM43" s="478"/>
      <c r="TPN43" s="478"/>
      <c r="TPO43" s="478"/>
      <c r="TPP43" s="478"/>
      <c r="TPQ43" s="478"/>
      <c r="TPR43" s="478"/>
      <c r="TPS43" s="478"/>
      <c r="TPT43" s="478"/>
      <c r="TPU43" s="478"/>
      <c r="TPV43" s="478"/>
      <c r="TPW43" s="478"/>
      <c r="TPX43" s="478"/>
      <c r="TPY43" s="478"/>
      <c r="TPZ43" s="478"/>
      <c r="TQA43" s="478"/>
      <c r="TQB43" s="478"/>
      <c r="TQC43" s="478"/>
      <c r="TQD43" s="478"/>
      <c r="TQE43" s="478"/>
      <c r="TQF43" s="478"/>
      <c r="TQG43" s="478"/>
      <c r="TQH43" s="478"/>
      <c r="TQI43" s="478"/>
      <c r="TQJ43" s="478"/>
      <c r="TQK43" s="478"/>
      <c r="TQL43" s="478"/>
      <c r="TQM43" s="478"/>
      <c r="TQN43" s="478"/>
      <c r="TQO43" s="478"/>
      <c r="TQP43" s="478"/>
      <c r="TQQ43" s="478"/>
      <c r="TQR43" s="478"/>
      <c r="TQS43" s="478"/>
      <c r="TQT43" s="478"/>
      <c r="TQU43" s="478"/>
      <c r="TQV43" s="478"/>
      <c r="TQW43" s="478"/>
      <c r="TQX43" s="478"/>
      <c r="TQY43" s="478"/>
      <c r="TQZ43" s="478"/>
      <c r="TRA43" s="478"/>
      <c r="TRB43" s="478"/>
      <c r="TRC43" s="478"/>
      <c r="TRD43" s="478"/>
      <c r="TRE43" s="478"/>
      <c r="TRF43" s="478"/>
      <c r="TRG43" s="478"/>
      <c r="TRH43" s="478"/>
      <c r="TRI43" s="478"/>
      <c r="TRJ43" s="478"/>
      <c r="TRK43" s="478"/>
      <c r="TRL43" s="478"/>
      <c r="TRM43" s="478"/>
      <c r="TRN43" s="478"/>
      <c r="TRO43" s="478"/>
      <c r="TRP43" s="478"/>
      <c r="TRQ43" s="478"/>
      <c r="TRR43" s="478"/>
      <c r="TRS43" s="478"/>
      <c r="TRT43" s="478"/>
      <c r="TRU43" s="478"/>
      <c r="TRV43" s="478"/>
      <c r="TRW43" s="478"/>
      <c r="TRX43" s="478"/>
      <c r="TRY43" s="478"/>
      <c r="TRZ43" s="478"/>
      <c r="TSA43" s="478"/>
      <c r="TSB43" s="478"/>
      <c r="TSC43" s="478"/>
      <c r="TSD43" s="478"/>
      <c r="TSE43" s="478"/>
      <c r="TSF43" s="478"/>
      <c r="TSG43" s="478"/>
      <c r="TSH43" s="478"/>
      <c r="TSI43" s="478"/>
      <c r="TSJ43" s="478"/>
      <c r="TSK43" s="478"/>
      <c r="TSL43" s="478"/>
      <c r="TSM43" s="478"/>
      <c r="TSN43" s="478"/>
      <c r="TSO43" s="478"/>
      <c r="TSP43" s="478"/>
      <c r="TSQ43" s="478"/>
      <c r="TSR43" s="478"/>
      <c r="TSS43" s="478"/>
      <c r="TST43" s="478"/>
      <c r="TSU43" s="478"/>
      <c r="TSV43" s="478"/>
      <c r="TSW43" s="478"/>
      <c r="TSX43" s="478"/>
      <c r="TSY43" s="478"/>
      <c r="TSZ43" s="478"/>
      <c r="TTA43" s="478"/>
      <c r="TTB43" s="478"/>
      <c r="TTC43" s="478"/>
      <c r="TTD43" s="478"/>
      <c r="TTE43" s="478"/>
      <c r="TTF43" s="478"/>
      <c r="TTG43" s="478"/>
      <c r="TTH43" s="478"/>
      <c r="TTI43" s="478"/>
      <c r="TTJ43" s="478"/>
      <c r="TTK43" s="478"/>
      <c r="TTL43" s="478"/>
      <c r="TTM43" s="478"/>
      <c r="TTN43" s="478"/>
      <c r="TTO43" s="478"/>
      <c r="TTP43" s="478"/>
      <c r="TTQ43" s="478"/>
      <c r="TTR43" s="478"/>
      <c r="TTS43" s="478"/>
      <c r="TTT43" s="478"/>
      <c r="TTU43" s="478"/>
      <c r="TTV43" s="478"/>
      <c r="TTW43" s="478"/>
      <c r="TTX43" s="478"/>
      <c r="TTY43" s="478"/>
      <c r="TTZ43" s="478"/>
      <c r="TUA43" s="478"/>
      <c r="TUB43" s="478"/>
      <c r="TUC43" s="478"/>
      <c r="TUD43" s="478"/>
      <c r="TUE43" s="478"/>
      <c r="TUF43" s="478"/>
      <c r="TUG43" s="478"/>
      <c r="TUH43" s="478"/>
      <c r="TUI43" s="478"/>
      <c r="TUJ43" s="478"/>
      <c r="TUK43" s="478"/>
      <c r="TUL43" s="478"/>
      <c r="TUM43" s="478"/>
      <c r="TUN43" s="478"/>
      <c r="TUO43" s="478"/>
      <c r="TUP43" s="478"/>
      <c r="TUQ43" s="478"/>
      <c r="TUR43" s="478"/>
      <c r="TUS43" s="478"/>
      <c r="TUT43" s="478"/>
      <c r="TUU43" s="478"/>
      <c r="TUV43" s="478"/>
      <c r="TUW43" s="478"/>
      <c r="TUX43" s="478"/>
      <c r="TUY43" s="478"/>
      <c r="TUZ43" s="478"/>
      <c r="TVA43" s="478"/>
      <c r="TVB43" s="478"/>
      <c r="TVC43" s="478"/>
      <c r="TVD43" s="478"/>
      <c r="TVE43" s="478"/>
      <c r="TVF43" s="478"/>
      <c r="TVG43" s="478"/>
      <c r="TVH43" s="478"/>
      <c r="TVI43" s="478"/>
      <c r="TVJ43" s="478"/>
      <c r="TVK43" s="478"/>
      <c r="TVL43" s="478"/>
      <c r="TVM43" s="478"/>
      <c r="TVN43" s="478"/>
      <c r="TVO43" s="478"/>
      <c r="TVP43" s="478"/>
      <c r="TVQ43" s="478"/>
      <c r="TVR43" s="478"/>
      <c r="TVS43" s="478"/>
      <c r="TVT43" s="478"/>
      <c r="TVU43" s="478"/>
      <c r="TVV43" s="478"/>
      <c r="TVW43" s="478"/>
      <c r="TVX43" s="478"/>
      <c r="TVY43" s="478"/>
      <c r="TVZ43" s="478"/>
      <c r="TWA43" s="478"/>
      <c r="TWB43" s="478"/>
      <c r="TWC43" s="478"/>
      <c r="TWD43" s="478"/>
      <c r="TWE43" s="478"/>
      <c r="TWF43" s="478"/>
      <c r="TWG43" s="478"/>
      <c r="TWH43" s="478"/>
      <c r="TWI43" s="478"/>
      <c r="TWJ43" s="478"/>
      <c r="TWK43" s="478"/>
      <c r="TWL43" s="478"/>
      <c r="TWM43" s="478"/>
      <c r="TWN43" s="478"/>
      <c r="TWO43" s="478"/>
      <c r="TWP43" s="478"/>
      <c r="TWQ43" s="478"/>
      <c r="TWR43" s="478"/>
      <c r="TWS43" s="478"/>
      <c r="TWT43" s="478"/>
      <c r="TWU43" s="478"/>
      <c r="TWV43" s="478"/>
      <c r="TWW43" s="478"/>
      <c r="TWX43" s="478"/>
      <c r="TWY43" s="478"/>
      <c r="TWZ43" s="478"/>
      <c r="TXA43" s="478"/>
      <c r="TXB43" s="478"/>
      <c r="TXC43" s="478"/>
      <c r="TXD43" s="478"/>
      <c r="TXE43" s="478"/>
      <c r="TXF43" s="478"/>
      <c r="TXG43" s="478"/>
      <c r="TXH43" s="478"/>
      <c r="TXI43" s="478"/>
      <c r="TXJ43" s="478"/>
      <c r="TXK43" s="478"/>
      <c r="TXL43" s="478"/>
      <c r="TXM43" s="478"/>
      <c r="TXN43" s="478"/>
      <c r="TXO43" s="478"/>
      <c r="TXP43" s="478"/>
      <c r="TXQ43" s="478"/>
      <c r="TXR43" s="478"/>
      <c r="TXS43" s="478"/>
      <c r="TXT43" s="478"/>
      <c r="TXU43" s="478"/>
      <c r="TXV43" s="478"/>
      <c r="TXW43" s="478"/>
      <c r="TXX43" s="478"/>
      <c r="TXY43" s="478"/>
      <c r="TXZ43" s="478"/>
      <c r="TYA43" s="478"/>
      <c r="TYB43" s="478"/>
      <c r="TYC43" s="478"/>
      <c r="TYD43" s="478"/>
      <c r="TYE43" s="478"/>
      <c r="TYF43" s="478"/>
      <c r="TYG43" s="478"/>
      <c r="TYH43" s="478"/>
      <c r="TYI43" s="478"/>
      <c r="TYJ43" s="478"/>
      <c r="TYK43" s="478"/>
      <c r="TYL43" s="478"/>
      <c r="TYM43" s="478"/>
      <c r="TYN43" s="478"/>
      <c r="TYO43" s="478"/>
      <c r="TYP43" s="478"/>
      <c r="TYQ43" s="478"/>
      <c r="TYR43" s="478"/>
      <c r="TYS43" s="478"/>
      <c r="TYT43" s="478"/>
      <c r="TYU43" s="478"/>
      <c r="TYV43" s="478"/>
      <c r="TYW43" s="478"/>
      <c r="TYX43" s="478"/>
      <c r="TYY43" s="478"/>
      <c r="TYZ43" s="478"/>
      <c r="TZA43" s="478"/>
      <c r="TZB43" s="478"/>
      <c r="TZC43" s="478"/>
      <c r="TZD43" s="478"/>
      <c r="TZE43" s="478"/>
      <c r="TZF43" s="478"/>
      <c r="TZG43" s="478"/>
      <c r="TZH43" s="478"/>
      <c r="TZI43" s="478"/>
      <c r="TZJ43" s="478"/>
      <c r="TZK43" s="478"/>
      <c r="TZL43" s="478"/>
      <c r="TZM43" s="478"/>
      <c r="TZN43" s="478"/>
      <c r="TZO43" s="478"/>
      <c r="TZP43" s="478"/>
      <c r="TZQ43" s="478"/>
      <c r="TZR43" s="478"/>
      <c r="TZS43" s="478"/>
      <c r="TZT43" s="478"/>
      <c r="TZU43" s="478"/>
      <c r="TZV43" s="478"/>
      <c r="TZW43" s="478"/>
      <c r="TZX43" s="478"/>
      <c r="TZY43" s="478"/>
      <c r="TZZ43" s="478"/>
      <c r="UAA43" s="478"/>
      <c r="UAB43" s="478"/>
      <c r="UAC43" s="478"/>
      <c r="UAD43" s="478"/>
      <c r="UAE43" s="478"/>
      <c r="UAF43" s="478"/>
      <c r="UAG43" s="478"/>
      <c r="UAH43" s="478"/>
      <c r="UAI43" s="478"/>
      <c r="UAJ43" s="478"/>
      <c r="UAK43" s="478"/>
      <c r="UAL43" s="478"/>
      <c r="UAM43" s="478"/>
      <c r="UAN43" s="478"/>
      <c r="UAO43" s="478"/>
      <c r="UAP43" s="478"/>
      <c r="UAQ43" s="478"/>
      <c r="UAR43" s="478"/>
      <c r="UAS43" s="478"/>
      <c r="UAT43" s="478"/>
      <c r="UAU43" s="478"/>
      <c r="UAV43" s="478"/>
      <c r="UAW43" s="478"/>
      <c r="UAX43" s="478"/>
      <c r="UAY43" s="478"/>
      <c r="UAZ43" s="478"/>
      <c r="UBA43" s="478"/>
      <c r="UBB43" s="478"/>
      <c r="UBC43" s="478"/>
      <c r="UBD43" s="478"/>
      <c r="UBE43" s="478"/>
      <c r="UBF43" s="478"/>
      <c r="UBG43" s="478"/>
      <c r="UBH43" s="478"/>
      <c r="UBI43" s="478"/>
      <c r="UBJ43" s="478"/>
      <c r="UBK43" s="478"/>
      <c r="UBL43" s="478"/>
      <c r="UBM43" s="478"/>
      <c r="UBN43" s="478"/>
      <c r="UBO43" s="478"/>
      <c r="UBP43" s="478"/>
      <c r="UBQ43" s="478"/>
      <c r="UBR43" s="478"/>
      <c r="UBS43" s="478"/>
      <c r="UBT43" s="478"/>
      <c r="UBU43" s="478"/>
      <c r="UBV43" s="478"/>
      <c r="UBW43" s="478"/>
      <c r="UBX43" s="478"/>
      <c r="UBY43" s="478"/>
      <c r="UBZ43" s="478"/>
      <c r="UCA43" s="478"/>
      <c r="UCB43" s="478"/>
      <c r="UCC43" s="478"/>
      <c r="UCD43" s="478"/>
      <c r="UCE43" s="478"/>
      <c r="UCF43" s="478"/>
      <c r="UCG43" s="478"/>
      <c r="UCH43" s="478"/>
      <c r="UCI43" s="478"/>
      <c r="UCJ43" s="478"/>
      <c r="UCK43" s="478"/>
      <c r="UCL43" s="478"/>
      <c r="UCM43" s="478"/>
      <c r="UCN43" s="478"/>
      <c r="UCO43" s="478"/>
      <c r="UCP43" s="478"/>
      <c r="UCQ43" s="478"/>
      <c r="UCR43" s="478"/>
      <c r="UCS43" s="478"/>
      <c r="UCT43" s="478"/>
      <c r="UCU43" s="478"/>
      <c r="UCV43" s="478"/>
      <c r="UCW43" s="478"/>
      <c r="UCX43" s="478"/>
      <c r="UCY43" s="478"/>
      <c r="UCZ43" s="478"/>
      <c r="UDA43" s="478"/>
      <c r="UDB43" s="478"/>
      <c r="UDC43" s="478"/>
      <c r="UDD43" s="478"/>
      <c r="UDE43" s="478"/>
      <c r="UDF43" s="478"/>
      <c r="UDG43" s="478"/>
      <c r="UDH43" s="478"/>
      <c r="UDI43" s="478"/>
      <c r="UDJ43" s="478"/>
      <c r="UDK43" s="478"/>
      <c r="UDL43" s="478"/>
      <c r="UDM43" s="478"/>
      <c r="UDN43" s="478"/>
      <c r="UDO43" s="478"/>
      <c r="UDP43" s="478"/>
      <c r="UDQ43" s="478"/>
      <c r="UDR43" s="478"/>
      <c r="UDS43" s="478"/>
      <c r="UDT43" s="478"/>
      <c r="UDU43" s="478"/>
      <c r="UDV43" s="478"/>
      <c r="UDW43" s="478"/>
      <c r="UDX43" s="478"/>
      <c r="UDY43" s="478"/>
      <c r="UDZ43" s="478"/>
      <c r="UEA43" s="478"/>
      <c r="UEB43" s="478"/>
      <c r="UEC43" s="478"/>
      <c r="UED43" s="478"/>
      <c r="UEE43" s="478"/>
      <c r="UEF43" s="478"/>
      <c r="UEG43" s="478"/>
      <c r="UEH43" s="478"/>
      <c r="UEI43" s="478"/>
      <c r="UEJ43" s="478"/>
      <c r="UEK43" s="478"/>
      <c r="UEL43" s="478"/>
      <c r="UEM43" s="478"/>
      <c r="UEN43" s="478"/>
      <c r="UEO43" s="478"/>
      <c r="UEP43" s="478"/>
      <c r="UEQ43" s="478"/>
      <c r="UER43" s="478"/>
      <c r="UES43" s="478"/>
      <c r="UET43" s="478"/>
      <c r="UEU43" s="478"/>
      <c r="UEV43" s="478"/>
      <c r="UEW43" s="478"/>
      <c r="UEX43" s="478"/>
      <c r="UEY43" s="478"/>
      <c r="UEZ43" s="478"/>
      <c r="UFA43" s="478"/>
      <c r="UFB43" s="478"/>
      <c r="UFC43" s="478"/>
      <c r="UFD43" s="478"/>
      <c r="UFE43" s="478"/>
      <c r="UFF43" s="478"/>
      <c r="UFG43" s="478"/>
      <c r="UFH43" s="478"/>
      <c r="UFI43" s="478"/>
      <c r="UFJ43" s="478"/>
      <c r="UFK43" s="478"/>
      <c r="UFL43" s="478"/>
      <c r="UFM43" s="478"/>
      <c r="UFN43" s="478"/>
      <c r="UFO43" s="478"/>
      <c r="UFP43" s="478"/>
      <c r="UFQ43" s="478"/>
      <c r="UFR43" s="478"/>
      <c r="UFS43" s="478"/>
      <c r="UFT43" s="478"/>
      <c r="UFU43" s="478"/>
      <c r="UFV43" s="478"/>
      <c r="UFW43" s="478"/>
      <c r="UFX43" s="478"/>
      <c r="UFY43" s="478"/>
      <c r="UFZ43" s="478"/>
      <c r="UGA43" s="478"/>
      <c r="UGB43" s="478"/>
      <c r="UGC43" s="478"/>
      <c r="UGD43" s="478"/>
      <c r="UGE43" s="478"/>
      <c r="UGF43" s="478"/>
      <c r="UGG43" s="478"/>
      <c r="UGH43" s="478"/>
      <c r="UGI43" s="478"/>
      <c r="UGJ43" s="478"/>
      <c r="UGK43" s="478"/>
      <c r="UGL43" s="478"/>
      <c r="UGM43" s="478"/>
      <c r="UGN43" s="478"/>
      <c r="UGO43" s="478"/>
      <c r="UGP43" s="478"/>
      <c r="UGQ43" s="478"/>
      <c r="UGR43" s="478"/>
      <c r="UGS43" s="478"/>
      <c r="UGT43" s="478"/>
      <c r="UGU43" s="478"/>
      <c r="UGV43" s="478"/>
      <c r="UGW43" s="478"/>
      <c r="UGX43" s="478"/>
      <c r="UGY43" s="478"/>
      <c r="UGZ43" s="478"/>
      <c r="UHA43" s="478"/>
      <c r="UHB43" s="478"/>
      <c r="UHC43" s="478"/>
      <c r="UHD43" s="478"/>
      <c r="UHE43" s="478"/>
      <c r="UHF43" s="478"/>
      <c r="UHG43" s="478"/>
      <c r="UHH43" s="478"/>
      <c r="UHI43" s="478"/>
      <c r="UHJ43" s="478"/>
      <c r="UHK43" s="478"/>
      <c r="UHL43" s="478"/>
      <c r="UHM43" s="478"/>
      <c r="UHN43" s="478"/>
      <c r="UHO43" s="478"/>
      <c r="UHP43" s="478"/>
      <c r="UHQ43" s="478"/>
      <c r="UHR43" s="478"/>
      <c r="UHS43" s="478"/>
      <c r="UHT43" s="478"/>
      <c r="UHU43" s="478"/>
      <c r="UHV43" s="478"/>
      <c r="UHW43" s="478"/>
      <c r="UHX43" s="478"/>
      <c r="UHY43" s="478"/>
      <c r="UHZ43" s="478"/>
      <c r="UIA43" s="478"/>
      <c r="UIB43" s="478"/>
      <c r="UIC43" s="478"/>
      <c r="UID43" s="478"/>
      <c r="UIE43" s="478"/>
      <c r="UIF43" s="478"/>
      <c r="UIG43" s="478"/>
      <c r="UIH43" s="478"/>
      <c r="UII43" s="478"/>
      <c r="UIJ43" s="478"/>
      <c r="UIK43" s="478"/>
      <c r="UIL43" s="478"/>
      <c r="UIM43" s="478"/>
      <c r="UIN43" s="478"/>
      <c r="UIO43" s="478"/>
      <c r="UIP43" s="478"/>
      <c r="UIQ43" s="478"/>
      <c r="UIR43" s="478"/>
      <c r="UIS43" s="478"/>
      <c r="UIT43" s="478"/>
      <c r="UIU43" s="478"/>
      <c r="UIV43" s="478"/>
      <c r="UIW43" s="478"/>
      <c r="UIX43" s="478"/>
      <c r="UIY43" s="478"/>
      <c r="UIZ43" s="478"/>
      <c r="UJA43" s="478"/>
      <c r="UJB43" s="478"/>
      <c r="UJC43" s="478"/>
      <c r="UJD43" s="478"/>
      <c r="UJE43" s="478"/>
      <c r="UJF43" s="478"/>
      <c r="UJG43" s="478"/>
      <c r="UJH43" s="478"/>
      <c r="UJI43" s="478"/>
      <c r="UJJ43" s="478"/>
      <c r="UJK43" s="478"/>
      <c r="UJL43" s="478"/>
      <c r="UJM43" s="478"/>
      <c r="UJN43" s="478"/>
      <c r="UJO43" s="478"/>
      <c r="UJP43" s="478"/>
      <c r="UJQ43" s="478"/>
      <c r="UJR43" s="478"/>
      <c r="UJS43" s="478"/>
      <c r="UJT43" s="478"/>
      <c r="UJU43" s="478"/>
      <c r="UJV43" s="478"/>
      <c r="UJW43" s="478"/>
      <c r="UJX43" s="478"/>
      <c r="UJY43" s="478"/>
      <c r="UJZ43" s="478"/>
      <c r="UKA43" s="478"/>
      <c r="UKB43" s="478"/>
      <c r="UKC43" s="478"/>
      <c r="UKD43" s="478"/>
      <c r="UKE43" s="478"/>
      <c r="UKF43" s="478"/>
      <c r="UKG43" s="478"/>
      <c r="UKH43" s="478"/>
      <c r="UKI43" s="478"/>
      <c r="UKJ43" s="478"/>
      <c r="UKK43" s="478"/>
      <c r="UKL43" s="478"/>
      <c r="UKM43" s="478"/>
      <c r="UKN43" s="478"/>
      <c r="UKO43" s="478"/>
      <c r="UKP43" s="478"/>
      <c r="UKQ43" s="478"/>
      <c r="UKR43" s="478"/>
      <c r="UKS43" s="478"/>
      <c r="UKT43" s="478"/>
      <c r="UKU43" s="478"/>
      <c r="UKV43" s="478"/>
      <c r="UKW43" s="478"/>
      <c r="UKX43" s="478"/>
      <c r="UKY43" s="478"/>
      <c r="UKZ43" s="478"/>
      <c r="ULA43" s="478"/>
      <c r="ULB43" s="478"/>
      <c r="ULC43" s="478"/>
      <c r="ULD43" s="478"/>
      <c r="ULE43" s="478"/>
      <c r="ULF43" s="478"/>
      <c r="ULG43" s="478"/>
      <c r="ULH43" s="478"/>
      <c r="ULI43" s="478"/>
      <c r="ULJ43" s="478"/>
      <c r="ULK43" s="478"/>
      <c r="ULL43" s="478"/>
      <c r="ULM43" s="478"/>
      <c r="ULN43" s="478"/>
      <c r="ULO43" s="478"/>
      <c r="ULP43" s="478"/>
      <c r="ULQ43" s="478"/>
      <c r="ULR43" s="478"/>
      <c r="ULS43" s="478"/>
      <c r="ULT43" s="478"/>
      <c r="ULU43" s="478"/>
      <c r="ULV43" s="478"/>
      <c r="ULW43" s="478"/>
      <c r="ULX43" s="478"/>
      <c r="ULY43" s="478"/>
      <c r="ULZ43" s="478"/>
      <c r="UMA43" s="478"/>
      <c r="UMB43" s="478"/>
      <c r="UMC43" s="478"/>
      <c r="UMD43" s="478"/>
      <c r="UME43" s="478"/>
      <c r="UMF43" s="478"/>
      <c r="UMG43" s="478"/>
      <c r="UMH43" s="478"/>
      <c r="UMI43" s="478"/>
      <c r="UMJ43" s="478"/>
      <c r="UMK43" s="478"/>
      <c r="UML43" s="478"/>
      <c r="UMM43" s="478"/>
      <c r="UMN43" s="478"/>
      <c r="UMO43" s="478"/>
      <c r="UMP43" s="478"/>
      <c r="UMQ43" s="478"/>
      <c r="UMR43" s="478"/>
      <c r="UMS43" s="478"/>
      <c r="UMT43" s="478"/>
      <c r="UMU43" s="478"/>
      <c r="UMV43" s="478"/>
      <c r="UMW43" s="478"/>
      <c r="UMX43" s="478"/>
      <c r="UMY43" s="478"/>
      <c r="UMZ43" s="478"/>
      <c r="UNA43" s="478"/>
      <c r="UNB43" s="478"/>
      <c r="UNC43" s="478"/>
      <c r="UND43" s="478"/>
      <c r="UNE43" s="478"/>
      <c r="UNF43" s="478"/>
      <c r="UNG43" s="478"/>
      <c r="UNH43" s="478"/>
      <c r="UNI43" s="478"/>
      <c r="UNJ43" s="478"/>
      <c r="UNK43" s="478"/>
      <c r="UNL43" s="478"/>
      <c r="UNM43" s="478"/>
      <c r="UNN43" s="478"/>
      <c r="UNO43" s="478"/>
      <c r="UNP43" s="478"/>
      <c r="UNQ43" s="478"/>
      <c r="UNR43" s="478"/>
      <c r="UNS43" s="478"/>
      <c r="UNT43" s="478"/>
      <c r="UNU43" s="478"/>
      <c r="UNV43" s="478"/>
      <c r="UNW43" s="478"/>
      <c r="UNX43" s="478"/>
      <c r="UNY43" s="478"/>
      <c r="UNZ43" s="478"/>
      <c r="UOA43" s="478"/>
      <c r="UOB43" s="478"/>
      <c r="UOC43" s="478"/>
      <c r="UOD43" s="478"/>
      <c r="UOE43" s="478"/>
      <c r="UOF43" s="478"/>
      <c r="UOG43" s="478"/>
      <c r="UOH43" s="478"/>
      <c r="UOI43" s="478"/>
      <c r="UOJ43" s="478"/>
      <c r="UOK43" s="478"/>
      <c r="UOL43" s="478"/>
      <c r="UOM43" s="478"/>
      <c r="UON43" s="478"/>
      <c r="UOO43" s="478"/>
      <c r="UOP43" s="478"/>
      <c r="UOQ43" s="478"/>
      <c r="UOR43" s="478"/>
      <c r="UOS43" s="478"/>
      <c r="UOT43" s="478"/>
      <c r="UOU43" s="478"/>
      <c r="UOV43" s="478"/>
      <c r="UOW43" s="478"/>
      <c r="UOX43" s="478"/>
      <c r="UOY43" s="478"/>
      <c r="UOZ43" s="478"/>
      <c r="UPA43" s="478"/>
      <c r="UPB43" s="478"/>
      <c r="UPC43" s="478"/>
      <c r="UPD43" s="478"/>
      <c r="UPE43" s="478"/>
      <c r="UPF43" s="478"/>
      <c r="UPG43" s="478"/>
      <c r="UPH43" s="478"/>
      <c r="UPI43" s="478"/>
      <c r="UPJ43" s="478"/>
      <c r="UPK43" s="478"/>
      <c r="UPL43" s="478"/>
      <c r="UPM43" s="478"/>
      <c r="UPN43" s="478"/>
      <c r="UPO43" s="478"/>
      <c r="UPP43" s="478"/>
      <c r="UPQ43" s="478"/>
      <c r="UPR43" s="478"/>
      <c r="UPS43" s="478"/>
      <c r="UPT43" s="478"/>
      <c r="UPU43" s="478"/>
      <c r="UPV43" s="478"/>
      <c r="UPW43" s="478"/>
      <c r="UPX43" s="478"/>
      <c r="UPY43" s="478"/>
      <c r="UPZ43" s="478"/>
      <c r="UQA43" s="478"/>
      <c r="UQB43" s="478"/>
      <c r="UQC43" s="478"/>
      <c r="UQD43" s="478"/>
      <c r="UQE43" s="478"/>
      <c r="UQF43" s="478"/>
      <c r="UQG43" s="478"/>
      <c r="UQH43" s="478"/>
      <c r="UQI43" s="478"/>
      <c r="UQJ43" s="478"/>
      <c r="UQK43" s="478"/>
      <c r="UQL43" s="478"/>
      <c r="UQM43" s="478"/>
      <c r="UQN43" s="478"/>
      <c r="UQO43" s="478"/>
      <c r="UQP43" s="478"/>
      <c r="UQQ43" s="478"/>
      <c r="UQR43" s="478"/>
      <c r="UQS43" s="478"/>
      <c r="UQT43" s="478"/>
      <c r="UQU43" s="478"/>
      <c r="UQV43" s="478"/>
      <c r="UQW43" s="478"/>
      <c r="UQX43" s="478"/>
      <c r="UQY43" s="478"/>
      <c r="UQZ43" s="478"/>
      <c r="URA43" s="478"/>
      <c r="URB43" s="478"/>
      <c r="URC43" s="478"/>
      <c r="URD43" s="478"/>
      <c r="URE43" s="478"/>
      <c r="URF43" s="478"/>
      <c r="URG43" s="478"/>
      <c r="URH43" s="478"/>
      <c r="URI43" s="478"/>
      <c r="URJ43" s="478"/>
      <c r="URK43" s="478"/>
      <c r="URL43" s="478"/>
      <c r="URM43" s="478"/>
      <c r="URN43" s="478"/>
      <c r="URO43" s="478"/>
      <c r="URP43" s="478"/>
      <c r="URQ43" s="478"/>
      <c r="URR43" s="478"/>
      <c r="URS43" s="478"/>
      <c r="URT43" s="478"/>
      <c r="URU43" s="478"/>
      <c r="URV43" s="478"/>
      <c r="URW43" s="478"/>
      <c r="URX43" s="478"/>
      <c r="URY43" s="478"/>
      <c r="URZ43" s="478"/>
      <c r="USA43" s="478"/>
      <c r="USB43" s="478"/>
      <c r="USC43" s="478"/>
      <c r="USD43" s="478"/>
      <c r="USE43" s="478"/>
      <c r="USF43" s="478"/>
      <c r="USG43" s="478"/>
      <c r="USH43" s="478"/>
      <c r="USI43" s="478"/>
      <c r="USJ43" s="478"/>
      <c r="USK43" s="478"/>
      <c r="USL43" s="478"/>
      <c r="USM43" s="478"/>
      <c r="USN43" s="478"/>
      <c r="USO43" s="478"/>
      <c r="USP43" s="478"/>
      <c r="USQ43" s="478"/>
      <c r="USR43" s="478"/>
      <c r="USS43" s="478"/>
      <c r="UST43" s="478"/>
      <c r="USU43" s="478"/>
      <c r="USV43" s="478"/>
      <c r="USW43" s="478"/>
      <c r="USX43" s="478"/>
      <c r="USY43" s="478"/>
      <c r="USZ43" s="478"/>
      <c r="UTA43" s="478"/>
      <c r="UTB43" s="478"/>
      <c r="UTC43" s="478"/>
      <c r="UTD43" s="478"/>
      <c r="UTE43" s="478"/>
      <c r="UTF43" s="478"/>
      <c r="UTG43" s="478"/>
      <c r="UTH43" s="478"/>
      <c r="UTI43" s="478"/>
      <c r="UTJ43" s="478"/>
      <c r="UTK43" s="478"/>
      <c r="UTL43" s="478"/>
      <c r="UTM43" s="478"/>
      <c r="UTN43" s="478"/>
      <c r="UTO43" s="478"/>
      <c r="UTP43" s="478"/>
      <c r="UTQ43" s="478"/>
      <c r="UTR43" s="478"/>
      <c r="UTS43" s="478"/>
      <c r="UTT43" s="478"/>
      <c r="UTU43" s="478"/>
      <c r="UTV43" s="478"/>
      <c r="UTW43" s="478"/>
      <c r="UTX43" s="478"/>
      <c r="UTY43" s="478"/>
      <c r="UTZ43" s="478"/>
      <c r="UUA43" s="478"/>
      <c r="UUB43" s="478"/>
      <c r="UUC43" s="478"/>
      <c r="UUD43" s="478"/>
      <c r="UUE43" s="478"/>
      <c r="UUF43" s="478"/>
      <c r="UUG43" s="478"/>
      <c r="UUH43" s="478"/>
      <c r="UUI43" s="478"/>
      <c r="UUJ43" s="478"/>
      <c r="UUK43" s="478"/>
      <c r="UUL43" s="478"/>
      <c r="UUM43" s="478"/>
      <c r="UUN43" s="478"/>
      <c r="UUO43" s="478"/>
      <c r="UUP43" s="478"/>
      <c r="UUQ43" s="478"/>
      <c r="UUR43" s="478"/>
      <c r="UUS43" s="478"/>
      <c r="UUT43" s="478"/>
      <c r="UUU43" s="478"/>
      <c r="UUV43" s="478"/>
      <c r="UUW43" s="478"/>
      <c r="UUX43" s="478"/>
      <c r="UUY43" s="478"/>
      <c r="UUZ43" s="478"/>
      <c r="UVA43" s="478"/>
      <c r="UVB43" s="478"/>
      <c r="UVC43" s="478"/>
      <c r="UVD43" s="478"/>
      <c r="UVE43" s="478"/>
      <c r="UVF43" s="478"/>
      <c r="UVG43" s="478"/>
      <c r="UVH43" s="478"/>
      <c r="UVI43" s="478"/>
      <c r="UVJ43" s="478"/>
      <c r="UVK43" s="478"/>
      <c r="UVL43" s="478"/>
      <c r="UVM43" s="478"/>
      <c r="UVN43" s="478"/>
      <c r="UVO43" s="478"/>
      <c r="UVP43" s="478"/>
      <c r="UVQ43" s="478"/>
      <c r="UVR43" s="478"/>
      <c r="UVS43" s="478"/>
      <c r="UVT43" s="478"/>
      <c r="UVU43" s="478"/>
      <c r="UVV43" s="478"/>
      <c r="UVW43" s="478"/>
      <c r="UVX43" s="478"/>
      <c r="UVY43" s="478"/>
      <c r="UVZ43" s="478"/>
      <c r="UWA43" s="478"/>
      <c r="UWB43" s="478"/>
      <c r="UWC43" s="478"/>
      <c r="UWD43" s="478"/>
      <c r="UWE43" s="478"/>
      <c r="UWF43" s="478"/>
      <c r="UWG43" s="478"/>
      <c r="UWH43" s="478"/>
      <c r="UWI43" s="478"/>
      <c r="UWJ43" s="478"/>
      <c r="UWK43" s="478"/>
      <c r="UWL43" s="478"/>
      <c r="UWM43" s="478"/>
      <c r="UWN43" s="478"/>
      <c r="UWO43" s="478"/>
      <c r="UWP43" s="478"/>
      <c r="UWQ43" s="478"/>
      <c r="UWR43" s="478"/>
      <c r="UWS43" s="478"/>
      <c r="UWT43" s="478"/>
      <c r="UWU43" s="478"/>
      <c r="UWV43" s="478"/>
      <c r="UWW43" s="478"/>
      <c r="UWX43" s="478"/>
      <c r="UWY43" s="478"/>
      <c r="UWZ43" s="478"/>
      <c r="UXA43" s="478"/>
      <c r="UXB43" s="478"/>
      <c r="UXC43" s="478"/>
      <c r="UXD43" s="478"/>
      <c r="UXE43" s="478"/>
      <c r="UXF43" s="478"/>
      <c r="UXG43" s="478"/>
      <c r="UXH43" s="478"/>
      <c r="UXI43" s="478"/>
      <c r="UXJ43" s="478"/>
      <c r="UXK43" s="478"/>
      <c r="UXL43" s="478"/>
      <c r="UXM43" s="478"/>
      <c r="UXN43" s="478"/>
      <c r="UXO43" s="478"/>
      <c r="UXP43" s="478"/>
      <c r="UXQ43" s="478"/>
      <c r="UXR43" s="478"/>
      <c r="UXS43" s="478"/>
      <c r="UXT43" s="478"/>
      <c r="UXU43" s="478"/>
      <c r="UXV43" s="478"/>
      <c r="UXW43" s="478"/>
      <c r="UXX43" s="478"/>
      <c r="UXY43" s="478"/>
      <c r="UXZ43" s="478"/>
      <c r="UYA43" s="478"/>
      <c r="UYB43" s="478"/>
      <c r="UYC43" s="478"/>
      <c r="UYD43" s="478"/>
      <c r="UYE43" s="478"/>
      <c r="UYF43" s="478"/>
      <c r="UYG43" s="478"/>
      <c r="UYH43" s="478"/>
      <c r="UYI43" s="478"/>
      <c r="UYJ43" s="478"/>
      <c r="UYK43" s="478"/>
      <c r="UYL43" s="478"/>
      <c r="UYM43" s="478"/>
      <c r="UYN43" s="478"/>
      <c r="UYO43" s="478"/>
      <c r="UYP43" s="478"/>
      <c r="UYQ43" s="478"/>
      <c r="UYR43" s="478"/>
      <c r="UYS43" s="478"/>
      <c r="UYT43" s="478"/>
      <c r="UYU43" s="478"/>
      <c r="UYV43" s="478"/>
      <c r="UYW43" s="478"/>
      <c r="UYX43" s="478"/>
      <c r="UYY43" s="478"/>
      <c r="UYZ43" s="478"/>
      <c r="UZA43" s="478"/>
      <c r="UZB43" s="478"/>
      <c r="UZC43" s="478"/>
      <c r="UZD43" s="478"/>
      <c r="UZE43" s="478"/>
      <c r="UZF43" s="478"/>
      <c r="UZG43" s="478"/>
      <c r="UZH43" s="478"/>
      <c r="UZI43" s="478"/>
      <c r="UZJ43" s="478"/>
      <c r="UZK43" s="478"/>
      <c r="UZL43" s="478"/>
      <c r="UZM43" s="478"/>
      <c r="UZN43" s="478"/>
      <c r="UZO43" s="478"/>
      <c r="UZP43" s="478"/>
      <c r="UZQ43" s="478"/>
      <c r="UZR43" s="478"/>
      <c r="UZS43" s="478"/>
      <c r="UZT43" s="478"/>
      <c r="UZU43" s="478"/>
      <c r="UZV43" s="478"/>
      <c r="UZW43" s="478"/>
      <c r="UZX43" s="478"/>
      <c r="UZY43" s="478"/>
      <c r="UZZ43" s="478"/>
      <c r="VAA43" s="478"/>
      <c r="VAB43" s="478"/>
      <c r="VAC43" s="478"/>
      <c r="VAD43" s="478"/>
      <c r="VAE43" s="478"/>
      <c r="VAF43" s="478"/>
      <c r="VAG43" s="478"/>
      <c r="VAH43" s="478"/>
      <c r="VAI43" s="478"/>
      <c r="VAJ43" s="478"/>
      <c r="VAK43" s="478"/>
      <c r="VAL43" s="478"/>
      <c r="VAM43" s="478"/>
      <c r="VAN43" s="478"/>
      <c r="VAO43" s="478"/>
      <c r="VAP43" s="478"/>
      <c r="VAQ43" s="478"/>
      <c r="VAR43" s="478"/>
      <c r="VAS43" s="478"/>
      <c r="VAT43" s="478"/>
      <c r="VAU43" s="478"/>
      <c r="VAV43" s="478"/>
      <c r="VAW43" s="478"/>
      <c r="VAX43" s="478"/>
      <c r="VAY43" s="478"/>
      <c r="VAZ43" s="478"/>
      <c r="VBA43" s="478"/>
      <c r="VBB43" s="478"/>
      <c r="VBC43" s="478"/>
      <c r="VBD43" s="478"/>
      <c r="VBE43" s="478"/>
      <c r="VBF43" s="478"/>
      <c r="VBG43" s="478"/>
      <c r="VBH43" s="478"/>
      <c r="VBI43" s="478"/>
      <c r="VBJ43" s="478"/>
      <c r="VBK43" s="478"/>
      <c r="VBL43" s="478"/>
      <c r="VBM43" s="478"/>
      <c r="VBN43" s="478"/>
      <c r="VBO43" s="478"/>
      <c r="VBP43" s="478"/>
      <c r="VBQ43" s="478"/>
      <c r="VBR43" s="478"/>
      <c r="VBS43" s="478"/>
      <c r="VBT43" s="478"/>
      <c r="VBU43" s="478"/>
      <c r="VBV43" s="478"/>
      <c r="VBW43" s="478"/>
      <c r="VBX43" s="478"/>
      <c r="VBY43" s="478"/>
      <c r="VBZ43" s="478"/>
      <c r="VCA43" s="478"/>
      <c r="VCB43" s="478"/>
      <c r="VCC43" s="478"/>
      <c r="VCD43" s="478"/>
      <c r="VCE43" s="478"/>
      <c r="VCF43" s="478"/>
      <c r="VCG43" s="478"/>
      <c r="VCH43" s="478"/>
      <c r="VCI43" s="478"/>
      <c r="VCJ43" s="478"/>
      <c r="VCK43" s="478"/>
      <c r="VCL43" s="478"/>
      <c r="VCM43" s="478"/>
      <c r="VCN43" s="478"/>
      <c r="VCO43" s="478"/>
      <c r="VCP43" s="478"/>
      <c r="VCQ43" s="478"/>
      <c r="VCR43" s="478"/>
      <c r="VCS43" s="478"/>
      <c r="VCT43" s="478"/>
      <c r="VCU43" s="478"/>
      <c r="VCV43" s="478"/>
      <c r="VCW43" s="478"/>
      <c r="VCX43" s="478"/>
      <c r="VCY43" s="478"/>
      <c r="VCZ43" s="478"/>
      <c r="VDA43" s="478"/>
      <c r="VDB43" s="478"/>
      <c r="VDC43" s="478"/>
      <c r="VDD43" s="478"/>
      <c r="VDE43" s="478"/>
      <c r="VDF43" s="478"/>
      <c r="VDG43" s="478"/>
      <c r="VDH43" s="478"/>
      <c r="VDI43" s="478"/>
      <c r="VDJ43" s="478"/>
      <c r="VDK43" s="478"/>
      <c r="VDL43" s="478"/>
      <c r="VDM43" s="478"/>
      <c r="VDN43" s="478"/>
      <c r="VDO43" s="478"/>
      <c r="VDP43" s="478"/>
      <c r="VDQ43" s="478"/>
      <c r="VDR43" s="478"/>
      <c r="VDS43" s="478"/>
      <c r="VDT43" s="478"/>
      <c r="VDU43" s="478"/>
      <c r="VDV43" s="478"/>
      <c r="VDW43" s="478"/>
      <c r="VDX43" s="478"/>
      <c r="VDY43" s="478"/>
      <c r="VDZ43" s="478"/>
      <c r="VEA43" s="478"/>
      <c r="VEB43" s="478"/>
      <c r="VEC43" s="478"/>
      <c r="VED43" s="478"/>
      <c r="VEE43" s="478"/>
      <c r="VEF43" s="478"/>
      <c r="VEG43" s="478"/>
      <c r="VEH43" s="478"/>
      <c r="VEI43" s="478"/>
      <c r="VEJ43" s="478"/>
      <c r="VEK43" s="478"/>
      <c r="VEL43" s="478"/>
      <c r="VEM43" s="478"/>
      <c r="VEN43" s="478"/>
      <c r="VEO43" s="478"/>
      <c r="VEP43" s="478"/>
      <c r="VEQ43" s="478"/>
      <c r="VER43" s="478"/>
      <c r="VES43" s="478"/>
      <c r="VET43" s="478"/>
      <c r="VEU43" s="478"/>
      <c r="VEV43" s="478"/>
      <c r="VEW43" s="478"/>
      <c r="VEX43" s="478"/>
      <c r="VEY43" s="478"/>
      <c r="VEZ43" s="478"/>
      <c r="VFA43" s="478"/>
      <c r="VFB43" s="478"/>
      <c r="VFC43" s="478"/>
      <c r="VFD43" s="478"/>
      <c r="VFE43" s="478"/>
      <c r="VFF43" s="478"/>
      <c r="VFG43" s="478"/>
      <c r="VFH43" s="478"/>
      <c r="VFI43" s="478"/>
      <c r="VFJ43" s="478"/>
      <c r="VFK43" s="478"/>
      <c r="VFL43" s="478"/>
      <c r="VFM43" s="478"/>
      <c r="VFN43" s="478"/>
      <c r="VFO43" s="478"/>
      <c r="VFP43" s="478"/>
      <c r="VFQ43" s="478"/>
      <c r="VFR43" s="478"/>
      <c r="VFS43" s="478"/>
      <c r="VFT43" s="478"/>
      <c r="VFU43" s="478"/>
      <c r="VFV43" s="478"/>
      <c r="VFW43" s="478"/>
      <c r="VFX43" s="478"/>
      <c r="VFY43" s="478"/>
      <c r="VFZ43" s="478"/>
      <c r="VGA43" s="478"/>
      <c r="VGB43" s="478"/>
      <c r="VGC43" s="478"/>
      <c r="VGD43" s="478"/>
      <c r="VGE43" s="478"/>
      <c r="VGF43" s="478"/>
      <c r="VGG43" s="478"/>
      <c r="VGH43" s="478"/>
      <c r="VGI43" s="478"/>
      <c r="VGJ43" s="478"/>
      <c r="VGK43" s="478"/>
      <c r="VGL43" s="478"/>
      <c r="VGM43" s="478"/>
      <c r="VGN43" s="478"/>
      <c r="VGO43" s="478"/>
      <c r="VGP43" s="478"/>
      <c r="VGQ43" s="478"/>
      <c r="VGR43" s="478"/>
      <c r="VGS43" s="478"/>
      <c r="VGT43" s="478"/>
      <c r="VGU43" s="478"/>
      <c r="VGV43" s="478"/>
      <c r="VGW43" s="478"/>
      <c r="VGX43" s="478"/>
      <c r="VGY43" s="478"/>
      <c r="VGZ43" s="478"/>
      <c r="VHA43" s="478"/>
      <c r="VHB43" s="478"/>
      <c r="VHC43" s="478"/>
      <c r="VHD43" s="478"/>
      <c r="VHE43" s="478"/>
      <c r="VHF43" s="478"/>
      <c r="VHG43" s="478"/>
      <c r="VHH43" s="478"/>
      <c r="VHI43" s="478"/>
      <c r="VHJ43" s="478"/>
      <c r="VHK43" s="478"/>
      <c r="VHL43" s="478"/>
      <c r="VHM43" s="478"/>
      <c r="VHN43" s="478"/>
      <c r="VHO43" s="478"/>
      <c r="VHP43" s="478"/>
      <c r="VHQ43" s="478"/>
      <c r="VHR43" s="478"/>
      <c r="VHS43" s="478"/>
      <c r="VHT43" s="478"/>
      <c r="VHU43" s="478"/>
      <c r="VHV43" s="478"/>
      <c r="VHW43" s="478"/>
      <c r="VHX43" s="478"/>
      <c r="VHY43" s="478"/>
      <c r="VHZ43" s="478"/>
      <c r="VIA43" s="478"/>
      <c r="VIB43" s="478"/>
      <c r="VIC43" s="478"/>
      <c r="VID43" s="478"/>
      <c r="VIE43" s="478"/>
      <c r="VIF43" s="478"/>
      <c r="VIG43" s="478"/>
      <c r="VIH43" s="478"/>
      <c r="VII43" s="478"/>
      <c r="VIJ43" s="478"/>
      <c r="VIK43" s="478"/>
      <c r="VIL43" s="478"/>
      <c r="VIM43" s="478"/>
      <c r="VIN43" s="478"/>
      <c r="VIO43" s="478"/>
      <c r="VIP43" s="478"/>
      <c r="VIQ43" s="478"/>
      <c r="VIR43" s="478"/>
      <c r="VIS43" s="478"/>
      <c r="VIT43" s="478"/>
      <c r="VIU43" s="478"/>
      <c r="VIV43" s="478"/>
      <c r="VIW43" s="478"/>
      <c r="VIX43" s="478"/>
      <c r="VIY43" s="478"/>
      <c r="VIZ43" s="478"/>
      <c r="VJA43" s="478"/>
      <c r="VJB43" s="478"/>
      <c r="VJC43" s="478"/>
      <c r="VJD43" s="478"/>
      <c r="VJE43" s="478"/>
      <c r="VJF43" s="478"/>
      <c r="VJG43" s="478"/>
      <c r="VJH43" s="478"/>
      <c r="VJI43" s="478"/>
      <c r="VJJ43" s="478"/>
      <c r="VJK43" s="478"/>
      <c r="VJL43" s="478"/>
      <c r="VJM43" s="478"/>
      <c r="VJN43" s="478"/>
      <c r="VJO43" s="478"/>
      <c r="VJP43" s="478"/>
      <c r="VJQ43" s="478"/>
      <c r="VJR43" s="478"/>
      <c r="VJS43" s="478"/>
      <c r="VJT43" s="478"/>
      <c r="VJU43" s="478"/>
      <c r="VJV43" s="478"/>
      <c r="VJW43" s="478"/>
      <c r="VJX43" s="478"/>
      <c r="VJY43" s="478"/>
      <c r="VJZ43" s="478"/>
      <c r="VKA43" s="478"/>
      <c r="VKB43" s="478"/>
      <c r="VKC43" s="478"/>
      <c r="VKD43" s="478"/>
      <c r="VKE43" s="478"/>
      <c r="VKF43" s="478"/>
      <c r="VKG43" s="478"/>
      <c r="VKH43" s="478"/>
      <c r="VKI43" s="478"/>
      <c r="VKJ43" s="478"/>
      <c r="VKK43" s="478"/>
      <c r="VKL43" s="478"/>
      <c r="VKM43" s="478"/>
      <c r="VKN43" s="478"/>
      <c r="VKO43" s="478"/>
      <c r="VKP43" s="478"/>
      <c r="VKQ43" s="478"/>
      <c r="VKR43" s="478"/>
      <c r="VKS43" s="478"/>
      <c r="VKT43" s="478"/>
      <c r="VKU43" s="478"/>
      <c r="VKV43" s="478"/>
      <c r="VKW43" s="478"/>
      <c r="VKX43" s="478"/>
      <c r="VKY43" s="478"/>
      <c r="VKZ43" s="478"/>
      <c r="VLA43" s="478"/>
      <c r="VLB43" s="478"/>
      <c r="VLC43" s="478"/>
      <c r="VLD43" s="478"/>
      <c r="VLE43" s="478"/>
      <c r="VLF43" s="478"/>
      <c r="VLG43" s="478"/>
      <c r="VLH43" s="478"/>
      <c r="VLI43" s="478"/>
      <c r="VLJ43" s="478"/>
      <c r="VLK43" s="478"/>
      <c r="VLL43" s="478"/>
      <c r="VLM43" s="478"/>
      <c r="VLN43" s="478"/>
      <c r="VLO43" s="478"/>
      <c r="VLP43" s="478"/>
      <c r="VLQ43" s="478"/>
      <c r="VLR43" s="478"/>
      <c r="VLS43" s="478"/>
      <c r="VLT43" s="478"/>
      <c r="VLU43" s="478"/>
      <c r="VLV43" s="478"/>
      <c r="VLW43" s="478"/>
      <c r="VLX43" s="478"/>
      <c r="VLY43" s="478"/>
      <c r="VLZ43" s="478"/>
      <c r="VMA43" s="478"/>
      <c r="VMB43" s="478"/>
      <c r="VMC43" s="478"/>
      <c r="VMD43" s="478"/>
      <c r="VME43" s="478"/>
      <c r="VMF43" s="478"/>
      <c r="VMG43" s="478"/>
      <c r="VMH43" s="478"/>
      <c r="VMI43" s="478"/>
      <c r="VMJ43" s="478"/>
      <c r="VMK43" s="478"/>
      <c r="VML43" s="478"/>
      <c r="VMM43" s="478"/>
      <c r="VMN43" s="478"/>
      <c r="VMO43" s="478"/>
      <c r="VMP43" s="478"/>
      <c r="VMQ43" s="478"/>
      <c r="VMR43" s="478"/>
      <c r="VMS43" s="478"/>
      <c r="VMT43" s="478"/>
      <c r="VMU43" s="478"/>
      <c r="VMV43" s="478"/>
      <c r="VMW43" s="478"/>
      <c r="VMX43" s="478"/>
      <c r="VMY43" s="478"/>
      <c r="VMZ43" s="478"/>
      <c r="VNA43" s="478"/>
      <c r="VNB43" s="478"/>
      <c r="VNC43" s="478"/>
      <c r="VND43" s="478"/>
      <c r="VNE43" s="478"/>
      <c r="VNF43" s="478"/>
      <c r="VNG43" s="478"/>
      <c r="VNH43" s="478"/>
      <c r="VNI43" s="478"/>
      <c r="VNJ43" s="478"/>
      <c r="VNK43" s="478"/>
      <c r="VNL43" s="478"/>
      <c r="VNM43" s="478"/>
      <c r="VNN43" s="478"/>
      <c r="VNO43" s="478"/>
      <c r="VNP43" s="478"/>
      <c r="VNQ43" s="478"/>
      <c r="VNR43" s="478"/>
      <c r="VNS43" s="478"/>
      <c r="VNT43" s="478"/>
      <c r="VNU43" s="478"/>
      <c r="VNV43" s="478"/>
      <c r="VNW43" s="478"/>
      <c r="VNX43" s="478"/>
      <c r="VNY43" s="478"/>
      <c r="VNZ43" s="478"/>
      <c r="VOA43" s="478"/>
      <c r="VOB43" s="478"/>
      <c r="VOC43" s="478"/>
      <c r="VOD43" s="478"/>
      <c r="VOE43" s="478"/>
      <c r="VOF43" s="478"/>
      <c r="VOG43" s="478"/>
      <c r="VOH43" s="478"/>
      <c r="VOI43" s="478"/>
      <c r="VOJ43" s="478"/>
      <c r="VOK43" s="478"/>
      <c r="VOL43" s="478"/>
      <c r="VOM43" s="478"/>
      <c r="VON43" s="478"/>
      <c r="VOO43" s="478"/>
      <c r="VOP43" s="478"/>
      <c r="VOQ43" s="478"/>
      <c r="VOR43" s="478"/>
      <c r="VOS43" s="478"/>
      <c r="VOT43" s="478"/>
      <c r="VOU43" s="478"/>
      <c r="VOV43" s="478"/>
      <c r="VOW43" s="478"/>
      <c r="VOX43" s="478"/>
      <c r="VOY43" s="478"/>
      <c r="VOZ43" s="478"/>
      <c r="VPA43" s="478"/>
      <c r="VPB43" s="478"/>
      <c r="VPC43" s="478"/>
      <c r="VPD43" s="478"/>
      <c r="VPE43" s="478"/>
      <c r="VPF43" s="478"/>
      <c r="VPG43" s="478"/>
      <c r="VPH43" s="478"/>
      <c r="VPI43" s="478"/>
      <c r="VPJ43" s="478"/>
      <c r="VPK43" s="478"/>
      <c r="VPL43" s="478"/>
      <c r="VPM43" s="478"/>
      <c r="VPN43" s="478"/>
      <c r="VPO43" s="478"/>
      <c r="VPP43" s="478"/>
      <c r="VPQ43" s="478"/>
      <c r="VPR43" s="478"/>
      <c r="VPS43" s="478"/>
      <c r="VPT43" s="478"/>
      <c r="VPU43" s="478"/>
      <c r="VPV43" s="478"/>
      <c r="VPW43" s="478"/>
      <c r="VPX43" s="478"/>
      <c r="VPY43" s="478"/>
      <c r="VPZ43" s="478"/>
      <c r="VQA43" s="478"/>
      <c r="VQB43" s="478"/>
      <c r="VQC43" s="478"/>
      <c r="VQD43" s="478"/>
      <c r="VQE43" s="478"/>
      <c r="VQF43" s="478"/>
      <c r="VQG43" s="478"/>
      <c r="VQH43" s="478"/>
      <c r="VQI43" s="478"/>
      <c r="VQJ43" s="478"/>
      <c r="VQK43" s="478"/>
      <c r="VQL43" s="478"/>
      <c r="VQM43" s="478"/>
      <c r="VQN43" s="478"/>
      <c r="VQO43" s="478"/>
      <c r="VQP43" s="478"/>
      <c r="VQQ43" s="478"/>
      <c r="VQR43" s="478"/>
      <c r="VQS43" s="478"/>
      <c r="VQT43" s="478"/>
      <c r="VQU43" s="478"/>
      <c r="VQV43" s="478"/>
      <c r="VQW43" s="478"/>
      <c r="VQX43" s="478"/>
      <c r="VQY43" s="478"/>
      <c r="VQZ43" s="478"/>
      <c r="VRA43" s="478"/>
      <c r="VRB43" s="478"/>
      <c r="VRC43" s="478"/>
      <c r="VRD43" s="478"/>
      <c r="VRE43" s="478"/>
      <c r="VRF43" s="478"/>
      <c r="VRG43" s="478"/>
      <c r="VRH43" s="478"/>
      <c r="VRI43" s="478"/>
      <c r="VRJ43" s="478"/>
      <c r="VRK43" s="478"/>
      <c r="VRL43" s="478"/>
      <c r="VRM43" s="478"/>
      <c r="VRN43" s="478"/>
      <c r="VRO43" s="478"/>
      <c r="VRP43" s="478"/>
      <c r="VRQ43" s="478"/>
      <c r="VRR43" s="478"/>
      <c r="VRS43" s="478"/>
      <c r="VRT43" s="478"/>
      <c r="VRU43" s="478"/>
      <c r="VRV43" s="478"/>
      <c r="VRW43" s="478"/>
      <c r="VRX43" s="478"/>
      <c r="VRY43" s="478"/>
      <c r="VRZ43" s="478"/>
      <c r="VSA43" s="478"/>
      <c r="VSB43" s="478"/>
      <c r="VSC43" s="478"/>
      <c r="VSD43" s="478"/>
      <c r="VSE43" s="478"/>
      <c r="VSF43" s="478"/>
      <c r="VSG43" s="478"/>
      <c r="VSH43" s="478"/>
      <c r="VSI43" s="478"/>
      <c r="VSJ43" s="478"/>
      <c r="VSK43" s="478"/>
      <c r="VSL43" s="478"/>
      <c r="VSM43" s="478"/>
      <c r="VSN43" s="478"/>
      <c r="VSO43" s="478"/>
      <c r="VSP43" s="478"/>
      <c r="VSQ43" s="478"/>
      <c r="VSR43" s="478"/>
      <c r="VSS43" s="478"/>
      <c r="VST43" s="478"/>
      <c r="VSU43" s="478"/>
      <c r="VSV43" s="478"/>
      <c r="VSW43" s="478"/>
      <c r="VSX43" s="478"/>
      <c r="VSY43" s="478"/>
      <c r="VSZ43" s="478"/>
      <c r="VTA43" s="478"/>
      <c r="VTB43" s="478"/>
      <c r="VTC43" s="478"/>
      <c r="VTD43" s="478"/>
      <c r="VTE43" s="478"/>
      <c r="VTF43" s="478"/>
      <c r="VTG43" s="478"/>
      <c r="VTH43" s="478"/>
      <c r="VTI43" s="478"/>
      <c r="VTJ43" s="478"/>
      <c r="VTK43" s="478"/>
      <c r="VTL43" s="478"/>
      <c r="VTM43" s="478"/>
      <c r="VTN43" s="478"/>
      <c r="VTO43" s="478"/>
      <c r="VTP43" s="478"/>
      <c r="VTQ43" s="478"/>
      <c r="VTR43" s="478"/>
      <c r="VTS43" s="478"/>
      <c r="VTT43" s="478"/>
      <c r="VTU43" s="478"/>
      <c r="VTV43" s="478"/>
      <c r="VTW43" s="478"/>
      <c r="VTX43" s="478"/>
      <c r="VTY43" s="478"/>
      <c r="VTZ43" s="478"/>
      <c r="VUA43" s="478"/>
      <c r="VUB43" s="478"/>
      <c r="VUC43" s="478"/>
      <c r="VUD43" s="478"/>
      <c r="VUE43" s="478"/>
      <c r="VUF43" s="478"/>
      <c r="VUG43" s="478"/>
      <c r="VUH43" s="478"/>
      <c r="VUI43" s="478"/>
      <c r="VUJ43" s="478"/>
      <c r="VUK43" s="478"/>
      <c r="VUL43" s="478"/>
      <c r="VUM43" s="478"/>
      <c r="VUN43" s="478"/>
      <c r="VUO43" s="478"/>
      <c r="VUP43" s="478"/>
      <c r="VUQ43" s="478"/>
      <c r="VUR43" s="478"/>
      <c r="VUS43" s="478"/>
      <c r="VUT43" s="478"/>
      <c r="VUU43" s="478"/>
      <c r="VUV43" s="478"/>
      <c r="VUW43" s="478"/>
      <c r="VUX43" s="478"/>
      <c r="VUY43" s="478"/>
      <c r="VUZ43" s="478"/>
      <c r="VVA43" s="478"/>
      <c r="VVB43" s="478"/>
      <c r="VVC43" s="478"/>
      <c r="VVD43" s="478"/>
      <c r="VVE43" s="478"/>
      <c r="VVF43" s="478"/>
      <c r="VVG43" s="478"/>
      <c r="VVH43" s="478"/>
      <c r="VVI43" s="478"/>
      <c r="VVJ43" s="478"/>
      <c r="VVK43" s="478"/>
      <c r="VVL43" s="478"/>
      <c r="VVM43" s="478"/>
      <c r="VVN43" s="478"/>
      <c r="VVO43" s="478"/>
      <c r="VVP43" s="478"/>
      <c r="VVQ43" s="478"/>
      <c r="VVR43" s="478"/>
      <c r="VVS43" s="478"/>
      <c r="VVT43" s="478"/>
      <c r="VVU43" s="478"/>
      <c r="VVV43" s="478"/>
      <c r="VVW43" s="478"/>
      <c r="VVX43" s="478"/>
      <c r="VVY43" s="478"/>
      <c r="VVZ43" s="478"/>
      <c r="VWA43" s="478"/>
      <c r="VWB43" s="478"/>
      <c r="VWC43" s="478"/>
      <c r="VWD43" s="478"/>
      <c r="VWE43" s="478"/>
      <c r="VWF43" s="478"/>
      <c r="VWG43" s="478"/>
      <c r="VWH43" s="478"/>
      <c r="VWI43" s="478"/>
      <c r="VWJ43" s="478"/>
      <c r="VWK43" s="478"/>
      <c r="VWL43" s="478"/>
      <c r="VWM43" s="478"/>
      <c r="VWN43" s="478"/>
      <c r="VWO43" s="478"/>
      <c r="VWP43" s="478"/>
      <c r="VWQ43" s="478"/>
      <c r="VWR43" s="478"/>
      <c r="VWS43" s="478"/>
      <c r="VWT43" s="478"/>
      <c r="VWU43" s="478"/>
      <c r="VWV43" s="478"/>
      <c r="VWW43" s="478"/>
      <c r="VWX43" s="478"/>
      <c r="VWY43" s="478"/>
      <c r="VWZ43" s="478"/>
      <c r="VXA43" s="478"/>
      <c r="VXB43" s="478"/>
      <c r="VXC43" s="478"/>
      <c r="VXD43" s="478"/>
      <c r="VXE43" s="478"/>
      <c r="VXF43" s="478"/>
      <c r="VXG43" s="478"/>
      <c r="VXH43" s="478"/>
      <c r="VXI43" s="478"/>
      <c r="VXJ43" s="478"/>
      <c r="VXK43" s="478"/>
      <c r="VXL43" s="478"/>
      <c r="VXM43" s="478"/>
      <c r="VXN43" s="478"/>
      <c r="VXO43" s="478"/>
      <c r="VXP43" s="478"/>
      <c r="VXQ43" s="478"/>
      <c r="VXR43" s="478"/>
      <c r="VXS43" s="478"/>
      <c r="VXT43" s="478"/>
      <c r="VXU43" s="478"/>
      <c r="VXV43" s="478"/>
      <c r="VXW43" s="478"/>
      <c r="VXX43" s="478"/>
      <c r="VXY43" s="478"/>
      <c r="VXZ43" s="478"/>
      <c r="VYA43" s="478"/>
      <c r="VYB43" s="478"/>
      <c r="VYC43" s="478"/>
      <c r="VYD43" s="478"/>
      <c r="VYE43" s="478"/>
      <c r="VYF43" s="478"/>
      <c r="VYG43" s="478"/>
      <c r="VYH43" s="478"/>
      <c r="VYI43" s="478"/>
      <c r="VYJ43" s="478"/>
      <c r="VYK43" s="478"/>
      <c r="VYL43" s="478"/>
      <c r="VYM43" s="478"/>
      <c r="VYN43" s="478"/>
      <c r="VYO43" s="478"/>
      <c r="VYP43" s="478"/>
      <c r="VYQ43" s="478"/>
      <c r="VYR43" s="478"/>
      <c r="VYS43" s="478"/>
      <c r="VYT43" s="478"/>
      <c r="VYU43" s="478"/>
      <c r="VYV43" s="478"/>
      <c r="VYW43" s="478"/>
      <c r="VYX43" s="478"/>
      <c r="VYY43" s="478"/>
      <c r="VYZ43" s="478"/>
      <c r="VZA43" s="478"/>
      <c r="VZB43" s="478"/>
      <c r="VZC43" s="478"/>
      <c r="VZD43" s="478"/>
      <c r="VZE43" s="478"/>
      <c r="VZF43" s="478"/>
      <c r="VZG43" s="478"/>
      <c r="VZH43" s="478"/>
      <c r="VZI43" s="478"/>
      <c r="VZJ43" s="478"/>
      <c r="VZK43" s="478"/>
      <c r="VZL43" s="478"/>
      <c r="VZM43" s="478"/>
      <c r="VZN43" s="478"/>
      <c r="VZO43" s="478"/>
      <c r="VZP43" s="478"/>
      <c r="VZQ43" s="478"/>
      <c r="VZR43" s="478"/>
      <c r="VZS43" s="478"/>
      <c r="VZT43" s="478"/>
      <c r="VZU43" s="478"/>
      <c r="VZV43" s="478"/>
      <c r="VZW43" s="478"/>
      <c r="VZX43" s="478"/>
      <c r="VZY43" s="478"/>
      <c r="VZZ43" s="478"/>
      <c r="WAA43" s="478"/>
      <c r="WAB43" s="478"/>
      <c r="WAC43" s="478"/>
      <c r="WAD43" s="478"/>
      <c r="WAE43" s="478"/>
      <c r="WAF43" s="478"/>
      <c r="WAG43" s="478"/>
      <c r="WAH43" s="478"/>
      <c r="WAI43" s="478"/>
      <c r="WAJ43" s="478"/>
      <c r="WAK43" s="478"/>
      <c r="WAL43" s="478"/>
      <c r="WAM43" s="478"/>
      <c r="WAN43" s="478"/>
      <c r="WAO43" s="478"/>
      <c r="WAP43" s="478"/>
      <c r="WAQ43" s="478"/>
      <c r="WAR43" s="478"/>
      <c r="WAS43" s="478"/>
      <c r="WAT43" s="478"/>
      <c r="WAU43" s="478"/>
      <c r="WAV43" s="478"/>
      <c r="WAW43" s="478"/>
      <c r="WAX43" s="478"/>
      <c r="WAY43" s="478"/>
      <c r="WAZ43" s="478"/>
      <c r="WBA43" s="478"/>
      <c r="WBB43" s="478"/>
      <c r="WBC43" s="478"/>
      <c r="WBD43" s="478"/>
      <c r="WBE43" s="478"/>
      <c r="WBF43" s="478"/>
      <c r="WBG43" s="478"/>
      <c r="WBH43" s="478"/>
      <c r="WBI43" s="478"/>
      <c r="WBJ43" s="478"/>
      <c r="WBK43" s="478"/>
      <c r="WBL43" s="478"/>
      <c r="WBM43" s="478"/>
      <c r="WBN43" s="478"/>
      <c r="WBO43" s="478"/>
      <c r="WBP43" s="478"/>
      <c r="WBQ43" s="478"/>
      <c r="WBR43" s="478"/>
      <c r="WBS43" s="478"/>
      <c r="WBT43" s="478"/>
      <c r="WBU43" s="478"/>
      <c r="WBV43" s="478"/>
      <c r="WBW43" s="478"/>
      <c r="WBX43" s="478"/>
      <c r="WBY43" s="478"/>
      <c r="WBZ43" s="478"/>
      <c r="WCA43" s="478"/>
      <c r="WCB43" s="478"/>
      <c r="WCC43" s="478"/>
      <c r="WCD43" s="478"/>
      <c r="WCE43" s="478"/>
      <c r="WCF43" s="478"/>
      <c r="WCG43" s="478"/>
      <c r="WCH43" s="478"/>
      <c r="WCI43" s="478"/>
      <c r="WCJ43" s="478"/>
      <c r="WCK43" s="478"/>
      <c r="WCL43" s="478"/>
      <c r="WCM43" s="478"/>
      <c r="WCN43" s="478"/>
      <c r="WCO43" s="478"/>
      <c r="WCP43" s="478"/>
      <c r="WCQ43" s="478"/>
      <c r="WCR43" s="478"/>
      <c r="WCS43" s="478"/>
      <c r="WCT43" s="478"/>
      <c r="WCU43" s="478"/>
      <c r="WCV43" s="478"/>
      <c r="WCW43" s="478"/>
      <c r="WCX43" s="478"/>
      <c r="WCY43" s="478"/>
      <c r="WCZ43" s="478"/>
      <c r="WDA43" s="478"/>
      <c r="WDB43" s="478"/>
      <c r="WDC43" s="478"/>
      <c r="WDD43" s="478"/>
      <c r="WDE43" s="478"/>
      <c r="WDF43" s="478"/>
      <c r="WDG43" s="478"/>
      <c r="WDH43" s="478"/>
      <c r="WDI43" s="478"/>
      <c r="WDJ43" s="478"/>
      <c r="WDK43" s="478"/>
      <c r="WDL43" s="478"/>
      <c r="WDM43" s="478"/>
      <c r="WDN43" s="478"/>
      <c r="WDO43" s="478"/>
      <c r="WDP43" s="478"/>
      <c r="WDQ43" s="478"/>
      <c r="WDR43" s="478"/>
      <c r="WDS43" s="478"/>
      <c r="WDT43" s="478"/>
      <c r="WDU43" s="478"/>
      <c r="WDV43" s="478"/>
      <c r="WDW43" s="478"/>
      <c r="WDX43" s="478"/>
      <c r="WDY43" s="478"/>
      <c r="WDZ43" s="478"/>
      <c r="WEA43" s="478"/>
      <c r="WEB43" s="478"/>
      <c r="WEC43" s="478"/>
      <c r="WED43" s="478"/>
      <c r="WEE43" s="478"/>
      <c r="WEF43" s="478"/>
      <c r="WEG43" s="478"/>
      <c r="WEH43" s="478"/>
      <c r="WEI43" s="478"/>
      <c r="WEJ43" s="478"/>
      <c r="WEK43" s="478"/>
      <c r="WEL43" s="478"/>
      <c r="WEM43" s="478"/>
      <c r="WEN43" s="478"/>
      <c r="WEO43" s="478"/>
      <c r="WEP43" s="478"/>
      <c r="WEQ43" s="478"/>
      <c r="WER43" s="478"/>
      <c r="WES43" s="478"/>
      <c r="WET43" s="478"/>
      <c r="WEU43" s="478"/>
      <c r="WEV43" s="478"/>
      <c r="WEW43" s="478"/>
      <c r="WEX43" s="478"/>
      <c r="WEY43" s="478"/>
      <c r="WEZ43" s="478"/>
      <c r="WFA43" s="478"/>
      <c r="WFB43" s="478"/>
      <c r="WFC43" s="478"/>
      <c r="WFD43" s="478"/>
      <c r="WFE43" s="478"/>
      <c r="WFF43" s="478"/>
      <c r="WFG43" s="478"/>
      <c r="WFH43" s="478"/>
      <c r="WFI43" s="478"/>
      <c r="WFJ43" s="478"/>
      <c r="WFK43" s="478"/>
      <c r="WFL43" s="478"/>
      <c r="WFM43" s="478"/>
      <c r="WFN43" s="478"/>
      <c r="WFO43" s="478"/>
      <c r="WFP43" s="478"/>
      <c r="WFQ43" s="478"/>
      <c r="WFR43" s="478"/>
      <c r="WFS43" s="478"/>
      <c r="WFT43" s="478"/>
      <c r="WFU43" s="478"/>
      <c r="WFV43" s="478"/>
      <c r="WFW43" s="478"/>
      <c r="WFX43" s="478"/>
      <c r="WFY43" s="478"/>
      <c r="WFZ43" s="478"/>
      <c r="WGA43" s="478"/>
      <c r="WGB43" s="478"/>
      <c r="WGC43" s="478"/>
      <c r="WGD43" s="478"/>
      <c r="WGE43" s="478"/>
      <c r="WGF43" s="478"/>
      <c r="WGG43" s="478"/>
      <c r="WGH43" s="478"/>
      <c r="WGI43" s="478"/>
      <c r="WGJ43" s="478"/>
      <c r="WGK43" s="478"/>
      <c r="WGL43" s="478"/>
      <c r="WGM43" s="478"/>
      <c r="WGN43" s="478"/>
      <c r="WGO43" s="478"/>
      <c r="WGP43" s="478"/>
      <c r="WGQ43" s="478"/>
      <c r="WGR43" s="478"/>
      <c r="WGS43" s="478"/>
      <c r="WGT43" s="478"/>
      <c r="WGU43" s="478"/>
      <c r="WGV43" s="478"/>
      <c r="WGW43" s="478"/>
      <c r="WGX43" s="478"/>
      <c r="WGY43" s="478"/>
      <c r="WGZ43" s="478"/>
      <c r="WHA43" s="478"/>
      <c r="WHB43" s="478"/>
      <c r="WHC43" s="478"/>
      <c r="WHD43" s="478"/>
      <c r="WHE43" s="478"/>
      <c r="WHF43" s="478"/>
      <c r="WHG43" s="478"/>
      <c r="WHH43" s="478"/>
      <c r="WHI43" s="478"/>
      <c r="WHJ43" s="478"/>
      <c r="WHK43" s="478"/>
      <c r="WHL43" s="478"/>
      <c r="WHM43" s="478"/>
      <c r="WHN43" s="478"/>
      <c r="WHO43" s="478"/>
      <c r="WHP43" s="478"/>
      <c r="WHQ43" s="478"/>
      <c r="WHR43" s="478"/>
      <c r="WHS43" s="478"/>
      <c r="WHT43" s="478"/>
      <c r="WHU43" s="478"/>
      <c r="WHV43" s="478"/>
      <c r="WHW43" s="478"/>
      <c r="WHX43" s="478"/>
      <c r="WHY43" s="478"/>
      <c r="WHZ43" s="478"/>
      <c r="WIA43" s="478"/>
      <c r="WIB43" s="478"/>
      <c r="WIC43" s="478"/>
      <c r="WID43" s="478"/>
      <c r="WIE43" s="478"/>
      <c r="WIF43" s="478"/>
      <c r="WIG43" s="478"/>
      <c r="WIH43" s="478"/>
      <c r="WII43" s="478"/>
      <c r="WIJ43" s="478"/>
      <c r="WIK43" s="478"/>
      <c r="WIL43" s="478"/>
      <c r="WIM43" s="478"/>
      <c r="WIN43" s="478"/>
      <c r="WIO43" s="478"/>
      <c r="WIP43" s="478"/>
      <c r="WIQ43" s="478"/>
      <c r="WIR43" s="478"/>
      <c r="WIS43" s="478"/>
      <c r="WIT43" s="478"/>
      <c r="WIU43" s="478"/>
      <c r="WIV43" s="478"/>
      <c r="WIW43" s="478"/>
      <c r="WIX43" s="478"/>
      <c r="WIY43" s="478"/>
      <c r="WIZ43" s="478"/>
      <c r="WJA43" s="478"/>
      <c r="WJB43" s="478"/>
      <c r="WJC43" s="478"/>
      <c r="WJD43" s="478"/>
      <c r="WJE43" s="478"/>
      <c r="WJF43" s="478"/>
      <c r="WJG43" s="478"/>
      <c r="WJH43" s="478"/>
      <c r="WJI43" s="478"/>
      <c r="WJJ43" s="478"/>
      <c r="WJK43" s="478"/>
      <c r="WJL43" s="478"/>
      <c r="WJM43" s="478"/>
      <c r="WJN43" s="478"/>
      <c r="WJO43" s="478"/>
      <c r="WJP43" s="478"/>
      <c r="WJQ43" s="478"/>
      <c r="WJR43" s="478"/>
      <c r="WJS43" s="478"/>
      <c r="WJT43" s="478"/>
      <c r="WJU43" s="478"/>
      <c r="WJV43" s="478"/>
      <c r="WJW43" s="478"/>
      <c r="WJX43" s="478"/>
      <c r="WJY43" s="478"/>
      <c r="WJZ43" s="478"/>
      <c r="WKA43" s="478"/>
      <c r="WKB43" s="478"/>
      <c r="WKC43" s="478"/>
      <c r="WKD43" s="478"/>
      <c r="WKE43" s="478"/>
      <c r="WKF43" s="478"/>
      <c r="WKG43" s="478"/>
      <c r="WKH43" s="478"/>
      <c r="WKI43" s="478"/>
      <c r="WKJ43" s="478"/>
      <c r="WKK43" s="478"/>
      <c r="WKL43" s="478"/>
      <c r="WKM43" s="478"/>
      <c r="WKN43" s="478"/>
      <c r="WKO43" s="478"/>
      <c r="WKP43" s="478"/>
      <c r="WKQ43" s="478"/>
      <c r="WKR43" s="478"/>
      <c r="WKS43" s="478"/>
      <c r="WKT43" s="478"/>
      <c r="WKU43" s="478"/>
      <c r="WKV43" s="478"/>
      <c r="WKW43" s="478"/>
      <c r="WKX43" s="478"/>
      <c r="WKY43" s="478"/>
      <c r="WKZ43" s="478"/>
      <c r="WLA43" s="478"/>
      <c r="WLB43" s="478"/>
      <c r="WLC43" s="478"/>
      <c r="WLD43" s="478"/>
      <c r="WLE43" s="478"/>
      <c r="WLF43" s="478"/>
      <c r="WLG43" s="478"/>
      <c r="WLH43" s="478"/>
      <c r="WLI43" s="478"/>
      <c r="WLJ43" s="478"/>
      <c r="WLK43" s="478"/>
      <c r="WLL43" s="478"/>
      <c r="WLM43" s="478"/>
      <c r="WLN43" s="478"/>
      <c r="WLO43" s="478"/>
      <c r="WLP43" s="478"/>
      <c r="WLQ43" s="478"/>
      <c r="WLR43" s="478"/>
      <c r="WLS43" s="478"/>
      <c r="WLT43" s="478"/>
      <c r="WLU43" s="478"/>
      <c r="WLV43" s="478"/>
      <c r="WLW43" s="478"/>
      <c r="WLX43" s="478"/>
      <c r="WLY43" s="478"/>
      <c r="WLZ43" s="478"/>
      <c r="WMA43" s="478"/>
      <c r="WMB43" s="478"/>
      <c r="WMC43" s="478"/>
      <c r="WMD43" s="478"/>
      <c r="WME43" s="478"/>
      <c r="WMF43" s="478"/>
      <c r="WMG43" s="478"/>
      <c r="WMH43" s="478"/>
      <c r="WMI43" s="478"/>
      <c r="WMJ43" s="478"/>
      <c r="WMK43" s="478"/>
      <c r="WML43" s="478"/>
      <c r="WMM43" s="478"/>
      <c r="WMN43" s="478"/>
      <c r="WMO43" s="478"/>
      <c r="WMP43" s="478"/>
      <c r="WMQ43" s="478"/>
      <c r="WMR43" s="478"/>
      <c r="WMS43" s="478"/>
      <c r="WMT43" s="478"/>
      <c r="WMU43" s="478"/>
      <c r="WMV43" s="478"/>
      <c r="WMW43" s="478"/>
      <c r="WMX43" s="478"/>
      <c r="WMY43" s="478"/>
      <c r="WMZ43" s="478"/>
      <c r="WNA43" s="478"/>
      <c r="WNB43" s="478"/>
      <c r="WNC43" s="478"/>
      <c r="WND43" s="478"/>
      <c r="WNE43" s="478"/>
      <c r="WNF43" s="478"/>
      <c r="WNG43" s="478"/>
      <c r="WNH43" s="478"/>
      <c r="WNI43" s="478"/>
      <c r="WNJ43" s="478"/>
      <c r="WNK43" s="478"/>
      <c r="WNL43" s="478"/>
      <c r="WNM43" s="478"/>
      <c r="WNN43" s="478"/>
      <c r="WNO43" s="478"/>
      <c r="WNP43" s="478"/>
      <c r="WNQ43" s="478"/>
      <c r="WNR43" s="478"/>
      <c r="WNS43" s="478"/>
      <c r="WNT43" s="478"/>
      <c r="WNU43" s="478"/>
      <c r="WNV43" s="478"/>
      <c r="WNW43" s="478"/>
      <c r="WNX43" s="478"/>
      <c r="WNY43" s="478"/>
      <c r="WNZ43" s="478"/>
      <c r="WOA43" s="478"/>
      <c r="WOB43" s="478"/>
      <c r="WOC43" s="478"/>
      <c r="WOD43" s="478"/>
      <c r="WOE43" s="478"/>
      <c r="WOF43" s="478"/>
      <c r="WOG43" s="478"/>
      <c r="WOH43" s="478"/>
      <c r="WOI43" s="478"/>
      <c r="WOJ43" s="478"/>
      <c r="WOK43" s="478"/>
      <c r="WOL43" s="478"/>
      <c r="WOM43" s="478"/>
      <c r="WON43" s="478"/>
      <c r="WOO43" s="478"/>
      <c r="WOP43" s="478"/>
      <c r="WOQ43" s="478"/>
      <c r="WOR43" s="478"/>
      <c r="WOS43" s="478"/>
      <c r="WOT43" s="478"/>
      <c r="WOU43" s="478"/>
      <c r="WOV43" s="478"/>
      <c r="WOW43" s="478"/>
      <c r="WOX43" s="478"/>
      <c r="WOY43" s="478"/>
      <c r="WOZ43" s="478"/>
      <c r="WPA43" s="478"/>
      <c r="WPB43" s="478"/>
      <c r="WPC43" s="478"/>
      <c r="WPD43" s="478"/>
      <c r="WPE43" s="478"/>
      <c r="WPF43" s="478"/>
      <c r="WPG43" s="478"/>
      <c r="WPH43" s="478"/>
      <c r="WPI43" s="478"/>
      <c r="WPJ43" s="478"/>
      <c r="WPK43" s="478"/>
      <c r="WPL43" s="478"/>
      <c r="WPM43" s="478"/>
      <c r="WPN43" s="478"/>
      <c r="WPO43" s="478"/>
      <c r="WPP43" s="478"/>
      <c r="WPQ43" s="478"/>
      <c r="WPR43" s="478"/>
      <c r="WPS43" s="478"/>
      <c r="WPT43" s="478"/>
      <c r="WPU43" s="478"/>
      <c r="WPV43" s="478"/>
      <c r="WPW43" s="478"/>
      <c r="WPX43" s="478"/>
      <c r="WPY43" s="478"/>
      <c r="WPZ43" s="478"/>
      <c r="WQA43" s="478"/>
      <c r="WQB43" s="478"/>
      <c r="WQC43" s="478"/>
      <c r="WQD43" s="478"/>
      <c r="WQE43" s="478"/>
      <c r="WQF43" s="478"/>
      <c r="WQG43" s="478"/>
      <c r="WQH43" s="478"/>
      <c r="WQI43" s="478"/>
      <c r="WQJ43" s="478"/>
      <c r="WQK43" s="478"/>
      <c r="WQL43" s="478"/>
      <c r="WQM43" s="478"/>
      <c r="WQN43" s="478"/>
      <c r="WQO43" s="478"/>
      <c r="WQP43" s="478"/>
      <c r="WQQ43" s="478"/>
      <c r="WQR43" s="478"/>
      <c r="WQS43" s="478"/>
      <c r="WQT43" s="478"/>
      <c r="WQU43" s="478"/>
      <c r="WQV43" s="478"/>
      <c r="WQW43" s="478"/>
      <c r="WQX43" s="478"/>
      <c r="WQY43" s="478"/>
      <c r="WQZ43" s="478"/>
      <c r="WRA43" s="478"/>
      <c r="WRB43" s="478"/>
      <c r="WRC43" s="478"/>
      <c r="WRD43" s="478"/>
      <c r="WRE43" s="478"/>
      <c r="WRF43" s="478"/>
      <c r="WRG43" s="478"/>
      <c r="WRH43" s="478"/>
      <c r="WRI43" s="478"/>
      <c r="WRJ43" s="478"/>
      <c r="WRK43" s="478"/>
      <c r="WRL43" s="478"/>
      <c r="WRM43" s="478"/>
      <c r="WRN43" s="478"/>
      <c r="WRO43" s="478"/>
      <c r="WRP43" s="478"/>
      <c r="WRQ43" s="478"/>
      <c r="WRR43" s="478"/>
      <c r="WRS43" s="478"/>
      <c r="WRT43" s="478"/>
      <c r="WRU43" s="478"/>
      <c r="WRV43" s="478"/>
      <c r="WRW43" s="478"/>
      <c r="WRX43" s="478"/>
      <c r="WRY43" s="478"/>
      <c r="WRZ43" s="478"/>
      <c r="WSA43" s="478"/>
      <c r="WSB43" s="478"/>
      <c r="WSC43" s="478"/>
      <c r="WSD43" s="478"/>
      <c r="WSE43" s="478"/>
      <c r="WSF43" s="478"/>
      <c r="WSG43" s="478"/>
      <c r="WSH43" s="478"/>
      <c r="WSI43" s="478"/>
      <c r="WSJ43" s="478"/>
      <c r="WSK43" s="478"/>
      <c r="WSL43" s="478"/>
      <c r="WSM43" s="478"/>
      <c r="WSN43" s="478"/>
      <c r="WSO43" s="478"/>
      <c r="WSP43" s="478"/>
      <c r="WSQ43" s="478"/>
      <c r="WSR43" s="478"/>
      <c r="WSS43" s="478"/>
      <c r="WST43" s="478"/>
      <c r="WSU43" s="478"/>
      <c r="WSV43" s="478"/>
      <c r="WSW43" s="478"/>
      <c r="WSX43" s="478"/>
      <c r="WSY43" s="478"/>
      <c r="WSZ43" s="478"/>
      <c r="WTA43" s="478"/>
      <c r="WTB43" s="478"/>
      <c r="WTC43" s="478"/>
      <c r="WTD43" s="478"/>
      <c r="WTE43" s="478"/>
      <c r="WTF43" s="478"/>
      <c r="WTG43" s="478"/>
      <c r="WTH43" s="478"/>
      <c r="WTI43" s="478"/>
      <c r="WTJ43" s="478"/>
      <c r="WTK43" s="478"/>
      <c r="WTL43" s="478"/>
      <c r="WTM43" s="478"/>
      <c r="WTN43" s="478"/>
      <c r="WTO43" s="478"/>
      <c r="WTP43" s="478"/>
      <c r="WTQ43" s="478"/>
      <c r="WTR43" s="478"/>
      <c r="WTS43" s="478"/>
      <c r="WTT43" s="478"/>
      <c r="WTU43" s="478"/>
      <c r="WTV43" s="478"/>
      <c r="WTW43" s="478"/>
      <c r="WTX43" s="478"/>
      <c r="WTY43" s="478"/>
      <c r="WTZ43" s="478"/>
      <c r="WUA43" s="478"/>
      <c r="WUB43" s="478"/>
      <c r="WUC43" s="478"/>
      <c r="WUD43" s="478"/>
      <c r="WUE43" s="478"/>
      <c r="WUF43" s="478"/>
      <c r="WUG43" s="478"/>
      <c r="WUH43" s="478"/>
      <c r="WUI43" s="478"/>
      <c r="WUJ43" s="478"/>
      <c r="WUK43" s="478"/>
      <c r="WUL43" s="478"/>
      <c r="WUM43" s="478"/>
      <c r="WUN43" s="478"/>
      <c r="WUO43" s="478"/>
      <c r="WUP43" s="478"/>
      <c r="WUQ43" s="478"/>
      <c r="WUR43" s="478"/>
      <c r="WUS43" s="478"/>
      <c r="WUT43" s="478"/>
      <c r="WUU43" s="478"/>
      <c r="WUV43" s="478"/>
      <c r="WUW43" s="478"/>
      <c r="WUX43" s="478"/>
      <c r="WUY43" s="478"/>
      <c r="WUZ43" s="478"/>
      <c r="WVA43" s="478"/>
      <c r="WVB43" s="478"/>
      <c r="WVC43" s="478"/>
      <c r="WVD43" s="478"/>
      <c r="WVE43" s="478"/>
      <c r="WVF43" s="478"/>
      <c r="WVG43" s="478"/>
      <c r="WVH43" s="478"/>
      <c r="WVI43" s="478"/>
      <c r="WVJ43" s="478"/>
      <c r="WVK43" s="478"/>
      <c r="WVL43" s="478"/>
      <c r="WVM43" s="478"/>
      <c r="WVN43" s="478"/>
      <c r="WVO43" s="478"/>
      <c r="WVP43" s="478"/>
      <c r="WVQ43" s="478"/>
      <c r="WVR43" s="478"/>
      <c r="WVS43" s="478"/>
      <c r="WVT43" s="478"/>
      <c r="WVU43" s="478"/>
      <c r="WVV43" s="478"/>
      <c r="WVW43" s="478"/>
      <c r="WVX43" s="478"/>
      <c r="WVY43" s="478"/>
      <c r="WVZ43" s="478"/>
      <c r="WWA43" s="478"/>
      <c r="WWB43" s="478"/>
      <c r="WWC43" s="478"/>
      <c r="WWD43" s="478"/>
      <c r="WWE43" s="478"/>
      <c r="WWF43" s="478"/>
      <c r="WWG43" s="478"/>
      <c r="WWH43" s="478"/>
      <c r="WWI43" s="478"/>
      <c r="WWJ43" s="478"/>
      <c r="WWK43" s="478"/>
      <c r="WWL43" s="478"/>
      <c r="WWM43" s="478"/>
      <c r="WWN43" s="478"/>
      <c r="WWO43" s="478"/>
      <c r="WWP43" s="478"/>
      <c r="WWQ43" s="478"/>
      <c r="WWR43" s="478"/>
      <c r="WWS43" s="478"/>
      <c r="WWT43" s="478"/>
      <c r="WWU43" s="478"/>
      <c r="WWV43" s="478"/>
      <c r="WWW43" s="478"/>
      <c r="WWX43" s="478"/>
      <c r="WWY43" s="478"/>
      <c r="WWZ43" s="478"/>
      <c r="WXA43" s="478"/>
      <c r="WXB43" s="478"/>
      <c r="WXC43" s="478"/>
      <c r="WXD43" s="478"/>
      <c r="WXE43" s="478"/>
      <c r="WXF43" s="478"/>
      <c r="WXG43" s="478"/>
      <c r="WXH43" s="478"/>
      <c r="WXI43" s="478"/>
      <c r="WXJ43" s="478"/>
      <c r="WXK43" s="478"/>
      <c r="WXL43" s="478"/>
      <c r="WXM43" s="478"/>
      <c r="WXN43" s="478"/>
      <c r="WXO43" s="478"/>
      <c r="WXP43" s="478"/>
      <c r="WXQ43" s="478"/>
      <c r="WXR43" s="478"/>
      <c r="WXS43" s="478"/>
      <c r="WXT43" s="478"/>
      <c r="WXU43" s="478"/>
      <c r="WXV43" s="478"/>
      <c r="WXW43" s="478"/>
      <c r="WXX43" s="478"/>
      <c r="WXY43" s="478"/>
      <c r="WXZ43" s="478"/>
      <c r="WYA43" s="478"/>
      <c r="WYB43" s="478"/>
      <c r="WYC43" s="478"/>
      <c r="WYD43" s="478"/>
      <c r="WYE43" s="478"/>
      <c r="WYF43" s="478"/>
      <c r="WYG43" s="478"/>
      <c r="WYH43" s="478"/>
      <c r="WYI43" s="478"/>
      <c r="WYJ43" s="478"/>
      <c r="WYK43" s="478"/>
      <c r="WYL43" s="478"/>
      <c r="WYM43" s="478"/>
      <c r="WYN43" s="478"/>
      <c r="WYO43" s="478"/>
      <c r="WYP43" s="478"/>
      <c r="WYQ43" s="478"/>
      <c r="WYR43" s="478"/>
      <c r="WYS43" s="478"/>
      <c r="WYT43" s="478"/>
      <c r="WYU43" s="478"/>
      <c r="WYV43" s="478"/>
      <c r="WYW43" s="478"/>
      <c r="WYX43" s="478"/>
      <c r="WYY43" s="478"/>
      <c r="WYZ43" s="478"/>
      <c r="WZA43" s="478"/>
      <c r="WZB43" s="478"/>
      <c r="WZC43" s="478"/>
      <c r="WZD43" s="478"/>
      <c r="WZE43" s="478"/>
      <c r="WZF43" s="478"/>
      <c r="WZG43" s="478"/>
      <c r="WZH43" s="478"/>
      <c r="WZI43" s="478"/>
      <c r="WZJ43" s="478"/>
      <c r="WZK43" s="478"/>
      <c r="WZL43" s="478"/>
      <c r="WZM43" s="478"/>
      <c r="WZN43" s="478"/>
      <c r="WZO43" s="478"/>
      <c r="WZP43" s="478"/>
      <c r="WZQ43" s="478"/>
      <c r="WZR43" s="478"/>
      <c r="WZS43" s="478"/>
      <c r="WZT43" s="478"/>
      <c r="WZU43" s="478"/>
      <c r="WZV43" s="478"/>
      <c r="WZW43" s="478"/>
      <c r="WZX43" s="478"/>
      <c r="WZY43" s="478"/>
      <c r="WZZ43" s="478"/>
      <c r="XAA43" s="478"/>
      <c r="XAB43" s="478"/>
      <c r="XAC43" s="478"/>
      <c r="XAD43" s="478"/>
      <c r="XAE43" s="478"/>
      <c r="XAF43" s="478"/>
      <c r="XAG43" s="478"/>
      <c r="XAH43" s="478"/>
      <c r="XAI43" s="478"/>
      <c r="XAJ43" s="478"/>
      <c r="XAK43" s="478"/>
      <c r="XAL43" s="478"/>
      <c r="XAM43" s="478"/>
      <c r="XAN43" s="478"/>
      <c r="XAO43" s="478"/>
      <c r="XAP43" s="478"/>
      <c r="XAQ43" s="478"/>
      <c r="XAR43" s="478"/>
      <c r="XAS43" s="478"/>
      <c r="XAT43" s="478"/>
      <c r="XAU43" s="478"/>
      <c r="XAV43" s="478"/>
      <c r="XAW43" s="478"/>
      <c r="XAX43" s="478"/>
      <c r="XAY43" s="478"/>
      <c r="XAZ43" s="478"/>
      <c r="XBA43" s="478"/>
      <c r="XBB43" s="478"/>
      <c r="XBC43" s="478"/>
      <c r="XBD43" s="478"/>
      <c r="XBE43" s="478"/>
      <c r="XBF43" s="478"/>
      <c r="XBG43" s="478"/>
      <c r="XBH43" s="478"/>
      <c r="XBI43" s="478"/>
      <c r="XBJ43" s="478"/>
      <c r="XBK43" s="478"/>
      <c r="XBL43" s="478"/>
      <c r="XBM43" s="478"/>
      <c r="XBN43" s="478"/>
      <c r="XBO43" s="478"/>
      <c r="XBP43" s="478"/>
      <c r="XBQ43" s="478"/>
      <c r="XBR43" s="478"/>
      <c r="XBS43" s="478"/>
      <c r="XBT43" s="478"/>
      <c r="XBU43" s="478"/>
      <c r="XBV43" s="478"/>
      <c r="XBW43" s="478"/>
      <c r="XBX43" s="478"/>
      <c r="XBY43" s="478"/>
      <c r="XBZ43" s="478"/>
      <c r="XCA43" s="478"/>
      <c r="XCB43" s="478"/>
      <c r="XCC43" s="478"/>
      <c r="XCD43" s="478"/>
      <c r="XCE43" s="478"/>
      <c r="XCF43" s="478"/>
      <c r="XCG43" s="478"/>
      <c r="XCH43" s="478"/>
      <c r="XCI43" s="478"/>
      <c r="XCJ43" s="478"/>
      <c r="XCK43" s="478"/>
      <c r="XCL43" s="478"/>
      <c r="XCM43" s="478"/>
      <c r="XCN43" s="478"/>
      <c r="XCO43" s="478"/>
      <c r="XCP43" s="478"/>
      <c r="XCQ43" s="478"/>
      <c r="XCR43" s="478"/>
      <c r="XCS43" s="478"/>
      <c r="XCT43" s="478"/>
      <c r="XCU43" s="478"/>
      <c r="XCV43" s="478"/>
      <c r="XCW43" s="478"/>
      <c r="XCX43" s="478"/>
      <c r="XCY43" s="478"/>
      <c r="XCZ43" s="478"/>
      <c r="XDA43" s="478"/>
      <c r="XDB43" s="478"/>
      <c r="XDC43" s="478"/>
      <c r="XDD43" s="478"/>
      <c r="XDE43" s="478"/>
      <c r="XDF43" s="478"/>
      <c r="XDG43" s="478"/>
      <c r="XDH43" s="478"/>
      <c r="XDI43" s="478"/>
      <c r="XDJ43" s="478"/>
      <c r="XDK43" s="478"/>
      <c r="XDL43" s="478"/>
      <c r="XDM43" s="478"/>
      <c r="XDN43" s="478"/>
      <c r="XDO43" s="478"/>
      <c r="XDP43" s="478"/>
      <c r="XDQ43" s="478"/>
      <c r="XDR43" s="478"/>
      <c r="XDS43" s="478"/>
      <c r="XDT43" s="478"/>
      <c r="XDU43" s="478"/>
      <c r="XDV43" s="478"/>
      <c r="XDW43" s="478"/>
      <c r="XDX43" s="478"/>
      <c r="XDY43" s="478"/>
      <c r="XDZ43" s="478"/>
      <c r="XEA43" s="478"/>
      <c r="XEB43" s="478"/>
      <c r="XEC43" s="478"/>
      <c r="XED43" s="478"/>
      <c r="XEE43" s="478"/>
      <c r="XEF43" s="478"/>
      <c r="XEG43" s="478"/>
      <c r="XEH43" s="478"/>
      <c r="XEI43" s="478"/>
      <c r="XEJ43" s="478"/>
      <c r="XEK43" s="478"/>
      <c r="XEL43" s="478"/>
      <c r="XEM43" s="478"/>
      <c r="XEN43" s="478"/>
      <c r="XEO43" s="478"/>
      <c r="XEP43" s="478"/>
      <c r="XEQ43" s="478"/>
      <c r="XER43" s="478"/>
      <c r="XES43" s="478"/>
      <c r="XET43" s="478"/>
      <c r="XEU43" s="478"/>
      <c r="XEV43" s="478"/>
      <c r="XEW43" s="478"/>
      <c r="XEX43" s="478"/>
      <c r="XEY43" s="478"/>
      <c r="XEZ43" s="478"/>
      <c r="XFA43" s="478"/>
      <c r="XFB43" s="478"/>
      <c r="XFC43" s="478"/>
      <c r="XFD43" s="478"/>
    </row>
    <row r="44" s="347" customFormat="1" customHeight="1" spans="1:16384">
      <c r="A44" s="384" t="str">
        <f t="shared" si="28"/>
        <v>ZU4-1</v>
      </c>
      <c r="B44" s="385">
        <f t="shared" si="4"/>
        <v>170.03</v>
      </c>
      <c r="C44" s="385">
        <f t="shared" si="5"/>
        <v>190.03</v>
      </c>
      <c r="D44" s="386">
        <f t="shared" si="6"/>
        <v>20</v>
      </c>
      <c r="E44" s="387">
        <f t="shared" si="7"/>
        <v>3.348</v>
      </c>
      <c r="F44" s="387">
        <f t="shared" si="8"/>
        <v>3.348</v>
      </c>
      <c r="G44" s="387">
        <f t="shared" si="9"/>
        <v>0.04096</v>
      </c>
      <c r="H44" s="387">
        <f t="shared" si="10"/>
        <v>-0.55365</v>
      </c>
      <c r="I44" s="387">
        <f t="shared" si="11"/>
        <v>3.30704</v>
      </c>
      <c r="J44" s="418">
        <f t="shared" si="12"/>
        <v>3.90165</v>
      </c>
      <c r="K44" s="419">
        <f t="shared" si="13"/>
        <v>0.5</v>
      </c>
      <c r="L44" s="419">
        <f>LOOKUP(MAX(J44,I44),{0,3,4,5,6.5,7.5,9,10},{0.3,0.4,0.5,0.6,0.7,0.8,0.9})</f>
        <v>0.4</v>
      </c>
      <c r="M44" s="419">
        <f t="shared" si="14"/>
        <v>13.3</v>
      </c>
      <c r="N44" s="419">
        <f t="shared" si="15"/>
        <v>13.3</v>
      </c>
      <c r="O44" s="420">
        <f t="shared" si="16"/>
        <v>2.1445</v>
      </c>
      <c r="P44" s="421">
        <f t="shared" si="17"/>
        <v>2.23911</v>
      </c>
      <c r="Q44" s="421">
        <f t="shared" si="18"/>
        <v>1.75</v>
      </c>
      <c r="R44" s="386">
        <f t="shared" si="19"/>
        <v>1.75</v>
      </c>
      <c r="S44" s="459">
        <f t="shared" si="20"/>
        <v>0</v>
      </c>
      <c r="T44" s="460">
        <f t="shared" si="21"/>
        <v>2.50936</v>
      </c>
      <c r="U44" s="420">
        <f t="shared" si="22"/>
        <v>2.31397</v>
      </c>
      <c r="V44" s="420">
        <f t="shared" si="23"/>
        <v>0.45</v>
      </c>
      <c r="W44" s="460">
        <f t="shared" si="24"/>
        <v>0.45</v>
      </c>
      <c r="X44" s="461">
        <f t="shared" si="25"/>
        <v>0</v>
      </c>
      <c r="Y44" s="480">
        <f t="shared" si="26"/>
        <v>0</v>
      </c>
      <c r="Z44" s="480">
        <f t="shared" si="27"/>
        <v>0</v>
      </c>
      <c r="AA44" s="481"/>
      <c r="AB44" s="482"/>
      <c r="AC44" s="482"/>
      <c r="AD44" s="481"/>
      <c r="AE44" s="481"/>
      <c r="AF44" s="481"/>
      <c r="AG44" s="481"/>
      <c r="AH44" s="481"/>
      <c r="AI44" s="481"/>
      <c r="AJ44" s="481"/>
      <c r="AK44" s="481"/>
      <c r="AL44" s="481"/>
      <c r="AM44" s="481"/>
      <c r="AN44" s="481"/>
      <c r="AO44" s="481"/>
      <c r="AP44" s="481"/>
      <c r="AQ44" s="481"/>
      <c r="AR44" s="481"/>
      <c r="AS44" s="481"/>
      <c r="AT44" s="481"/>
      <c r="AU44" s="481"/>
      <c r="AV44" s="481"/>
      <c r="AW44" s="481"/>
      <c r="AX44" s="481"/>
      <c r="AY44" s="481"/>
      <c r="AZ44" s="481"/>
      <c r="BA44" s="481"/>
      <c r="BB44" s="481"/>
      <c r="BC44" s="481"/>
      <c r="BD44" s="481"/>
      <c r="BE44" s="481"/>
      <c r="BF44" s="481"/>
      <c r="BG44" s="481"/>
      <c r="BH44" s="481"/>
      <c r="BI44" s="481"/>
      <c r="BJ44" s="481"/>
      <c r="BK44" s="481"/>
      <c r="BL44" s="481"/>
      <c r="BM44" s="481"/>
      <c r="BN44" s="481"/>
      <c r="BO44" s="481"/>
      <c r="BP44" s="481"/>
      <c r="BQ44" s="481"/>
      <c r="BR44" s="481"/>
      <c r="BS44" s="481"/>
      <c r="BT44" s="481"/>
      <c r="BU44" s="481"/>
      <c r="BV44" s="481"/>
      <c r="BW44" s="481"/>
      <c r="BX44" s="481"/>
      <c r="BY44" s="481"/>
      <c r="BZ44" s="481"/>
      <c r="CA44" s="481"/>
      <c r="CB44" s="481"/>
      <c r="CC44" s="481"/>
      <c r="CD44" s="481"/>
      <c r="CE44" s="481"/>
      <c r="CF44" s="481"/>
      <c r="CG44" s="481"/>
      <c r="CH44" s="481"/>
      <c r="CI44" s="481"/>
      <c r="CJ44" s="481"/>
      <c r="CK44" s="481"/>
      <c r="CL44" s="481"/>
      <c r="CM44" s="481"/>
      <c r="CN44" s="481"/>
      <c r="CO44" s="481"/>
      <c r="CP44" s="481"/>
      <c r="CQ44" s="481"/>
      <c r="CR44" s="481"/>
      <c r="CS44" s="481"/>
      <c r="CT44" s="481"/>
      <c r="CU44" s="481"/>
      <c r="CV44" s="481"/>
      <c r="CW44" s="481"/>
      <c r="CX44" s="481"/>
      <c r="CY44" s="481"/>
      <c r="CZ44" s="481"/>
      <c r="DA44" s="481"/>
      <c r="DB44" s="481"/>
      <c r="DC44" s="481"/>
      <c r="DD44" s="481"/>
      <c r="DE44" s="481"/>
      <c r="DF44" s="481"/>
      <c r="DG44" s="481"/>
      <c r="DH44" s="481"/>
      <c r="DI44" s="481"/>
      <c r="DJ44" s="481"/>
      <c r="DK44" s="481"/>
      <c r="DL44" s="481"/>
      <c r="DM44" s="481"/>
      <c r="DN44" s="481"/>
      <c r="DO44" s="481"/>
      <c r="DP44" s="481"/>
      <c r="DQ44" s="481"/>
      <c r="DR44" s="481"/>
      <c r="DS44" s="481"/>
      <c r="DT44" s="481"/>
      <c r="DU44" s="481"/>
      <c r="DV44" s="481"/>
      <c r="DW44" s="481"/>
      <c r="DX44" s="481"/>
      <c r="DY44" s="481"/>
      <c r="DZ44" s="481"/>
      <c r="EA44" s="481"/>
      <c r="EB44" s="481"/>
      <c r="EC44" s="481"/>
      <c r="ED44" s="481"/>
      <c r="EE44" s="481"/>
      <c r="EF44" s="481"/>
      <c r="EG44" s="481"/>
      <c r="EH44" s="481"/>
      <c r="EI44" s="481"/>
      <c r="EJ44" s="481"/>
      <c r="EK44" s="481"/>
      <c r="EL44" s="481"/>
      <c r="EM44" s="481"/>
      <c r="EN44" s="481"/>
      <c r="EO44" s="481"/>
      <c r="EP44" s="481"/>
      <c r="EQ44" s="481"/>
      <c r="ER44" s="481"/>
      <c r="ES44" s="481"/>
      <c r="ET44" s="481"/>
      <c r="EU44" s="481"/>
      <c r="EV44" s="481"/>
      <c r="EW44" s="481"/>
      <c r="EX44" s="481"/>
      <c r="EY44" s="481"/>
      <c r="EZ44" s="481"/>
      <c r="FA44" s="481"/>
      <c r="FB44" s="481"/>
      <c r="FC44" s="481"/>
      <c r="FD44" s="481"/>
      <c r="FE44" s="481"/>
      <c r="FF44" s="481"/>
      <c r="FG44" s="481"/>
      <c r="FH44" s="481"/>
      <c r="FI44" s="481"/>
      <c r="FJ44" s="481"/>
      <c r="FK44" s="481"/>
      <c r="FL44" s="481"/>
      <c r="FM44" s="481"/>
      <c r="FN44" s="481"/>
      <c r="FO44" s="481"/>
      <c r="FP44" s="481"/>
      <c r="FQ44" s="481"/>
      <c r="FR44" s="481"/>
      <c r="FS44" s="481"/>
      <c r="FT44" s="481"/>
      <c r="FU44" s="481"/>
      <c r="FV44" s="481"/>
      <c r="FW44" s="481"/>
      <c r="FX44" s="481"/>
      <c r="FY44" s="481"/>
      <c r="FZ44" s="481"/>
      <c r="GA44" s="481"/>
      <c r="GB44" s="481"/>
      <c r="GC44" s="481"/>
      <c r="GD44" s="481"/>
      <c r="GE44" s="481"/>
      <c r="GF44" s="481"/>
      <c r="GG44" s="481"/>
      <c r="GH44" s="481"/>
      <c r="GI44" s="481"/>
      <c r="GJ44" s="481"/>
      <c r="GK44" s="481"/>
      <c r="GL44" s="481"/>
      <c r="GM44" s="481"/>
      <c r="GN44" s="481"/>
      <c r="GO44" s="481"/>
      <c r="GP44" s="481"/>
      <c r="GQ44" s="481"/>
      <c r="GR44" s="481"/>
      <c r="GS44" s="481"/>
      <c r="GT44" s="481"/>
      <c r="GU44" s="481"/>
      <c r="GV44" s="481"/>
      <c r="GW44" s="481"/>
      <c r="GX44" s="481"/>
      <c r="GY44" s="481"/>
      <c r="GZ44" s="481"/>
      <c r="HA44" s="481"/>
      <c r="HB44" s="481"/>
      <c r="HC44" s="481"/>
      <c r="HD44" s="481"/>
      <c r="HE44" s="481"/>
      <c r="HF44" s="481"/>
      <c r="HG44" s="481"/>
      <c r="HH44" s="481"/>
      <c r="HI44" s="481"/>
      <c r="HJ44" s="481"/>
      <c r="HK44" s="481"/>
      <c r="HL44" s="481"/>
      <c r="HM44" s="481"/>
      <c r="HN44" s="481"/>
      <c r="HO44" s="481"/>
      <c r="HP44" s="481"/>
      <c r="HQ44" s="481"/>
      <c r="HR44" s="481"/>
      <c r="HS44" s="481"/>
      <c r="HT44" s="481"/>
      <c r="HU44" s="481"/>
      <c r="HV44" s="481"/>
      <c r="HW44" s="481"/>
      <c r="HX44" s="481"/>
      <c r="HY44" s="481"/>
      <c r="HZ44" s="481"/>
      <c r="IA44" s="481"/>
      <c r="IB44" s="481"/>
      <c r="IC44" s="481"/>
      <c r="ID44" s="481"/>
      <c r="IE44" s="481"/>
      <c r="IF44" s="481"/>
      <c r="IG44" s="481"/>
      <c r="IH44" s="481"/>
      <c r="II44" s="481"/>
      <c r="IJ44" s="481"/>
      <c r="IK44" s="481"/>
      <c r="IL44" s="481"/>
      <c r="IM44" s="481"/>
      <c r="IN44" s="481"/>
      <c r="IO44" s="481"/>
      <c r="IP44" s="481"/>
      <c r="IQ44" s="481"/>
      <c r="IR44" s="481"/>
      <c r="IS44" s="481"/>
      <c r="IT44" s="481"/>
      <c r="IU44" s="481"/>
      <c r="IV44" s="481"/>
      <c r="IW44" s="481"/>
      <c r="IX44" s="481"/>
      <c r="IY44" s="481"/>
      <c r="IZ44" s="481"/>
      <c r="JA44" s="481"/>
      <c r="JB44" s="481"/>
      <c r="JC44" s="481"/>
      <c r="JD44" s="481"/>
      <c r="JE44" s="481"/>
      <c r="JF44" s="481"/>
      <c r="JG44" s="481"/>
      <c r="JH44" s="481"/>
      <c r="JI44" s="481"/>
      <c r="JJ44" s="481"/>
      <c r="JK44" s="481"/>
      <c r="JL44" s="481"/>
      <c r="JM44" s="481"/>
      <c r="JN44" s="481"/>
      <c r="JO44" s="481"/>
      <c r="JP44" s="481"/>
      <c r="JQ44" s="481"/>
      <c r="JR44" s="481"/>
      <c r="JS44" s="481"/>
      <c r="JT44" s="481"/>
      <c r="JU44" s="481"/>
      <c r="JV44" s="481"/>
      <c r="JW44" s="481"/>
      <c r="JX44" s="481"/>
      <c r="JY44" s="481"/>
      <c r="JZ44" s="481"/>
      <c r="KA44" s="481"/>
      <c r="KB44" s="481"/>
      <c r="KC44" s="481"/>
      <c r="KD44" s="481"/>
      <c r="KE44" s="481"/>
      <c r="KF44" s="481"/>
      <c r="KG44" s="481"/>
      <c r="KH44" s="481"/>
      <c r="KI44" s="481"/>
      <c r="KJ44" s="481"/>
      <c r="KK44" s="481"/>
      <c r="KL44" s="481"/>
      <c r="KM44" s="481"/>
      <c r="KN44" s="481"/>
      <c r="KO44" s="481"/>
      <c r="KP44" s="481"/>
      <c r="KQ44" s="481"/>
      <c r="KR44" s="481"/>
      <c r="KS44" s="481"/>
      <c r="KT44" s="481"/>
      <c r="KU44" s="481"/>
      <c r="KV44" s="481"/>
      <c r="KW44" s="481"/>
      <c r="KX44" s="481"/>
      <c r="KY44" s="481"/>
      <c r="KZ44" s="481"/>
      <c r="LA44" s="481"/>
      <c r="LB44" s="481"/>
      <c r="LC44" s="481"/>
      <c r="LD44" s="481"/>
      <c r="LE44" s="481"/>
      <c r="LF44" s="481"/>
      <c r="LG44" s="481"/>
      <c r="LH44" s="481"/>
      <c r="LI44" s="481"/>
      <c r="LJ44" s="481"/>
      <c r="LK44" s="481"/>
      <c r="LL44" s="481"/>
      <c r="LM44" s="481"/>
      <c r="LN44" s="481"/>
      <c r="LO44" s="481"/>
      <c r="LP44" s="481"/>
      <c r="LQ44" s="481"/>
      <c r="LR44" s="481"/>
      <c r="LS44" s="481"/>
      <c r="LT44" s="481"/>
      <c r="LU44" s="481"/>
      <c r="LV44" s="481"/>
      <c r="LW44" s="481"/>
      <c r="LX44" s="481"/>
      <c r="LY44" s="481"/>
      <c r="LZ44" s="481"/>
      <c r="MA44" s="481"/>
      <c r="MB44" s="481"/>
      <c r="MC44" s="481"/>
      <c r="MD44" s="481"/>
      <c r="ME44" s="481"/>
      <c r="MF44" s="481"/>
      <c r="MG44" s="481"/>
      <c r="MH44" s="481"/>
      <c r="MI44" s="481"/>
      <c r="MJ44" s="481"/>
      <c r="MK44" s="481"/>
      <c r="ML44" s="481"/>
      <c r="MM44" s="481"/>
      <c r="MN44" s="481"/>
      <c r="MO44" s="481"/>
      <c r="MP44" s="481"/>
      <c r="MQ44" s="481"/>
      <c r="MR44" s="481"/>
      <c r="MS44" s="481"/>
      <c r="MT44" s="481"/>
      <c r="MU44" s="481"/>
      <c r="MV44" s="481"/>
      <c r="MW44" s="481"/>
      <c r="MX44" s="481"/>
      <c r="MY44" s="481"/>
      <c r="MZ44" s="481"/>
      <c r="NA44" s="481"/>
      <c r="NB44" s="481"/>
      <c r="NC44" s="481"/>
      <c r="ND44" s="481"/>
      <c r="NE44" s="481"/>
      <c r="NF44" s="481"/>
      <c r="NG44" s="481"/>
      <c r="NH44" s="481"/>
      <c r="NI44" s="481"/>
      <c r="NJ44" s="481"/>
      <c r="NK44" s="481"/>
      <c r="NL44" s="481"/>
      <c r="NM44" s="481"/>
      <c r="NN44" s="481"/>
      <c r="NO44" s="481"/>
      <c r="NP44" s="481"/>
      <c r="NQ44" s="481"/>
      <c r="NR44" s="481"/>
      <c r="NS44" s="481"/>
      <c r="NT44" s="481"/>
      <c r="NU44" s="481"/>
      <c r="NV44" s="481"/>
      <c r="NW44" s="481"/>
      <c r="NX44" s="481"/>
      <c r="NY44" s="481"/>
      <c r="NZ44" s="481"/>
      <c r="OA44" s="481"/>
      <c r="OB44" s="481"/>
      <c r="OC44" s="481"/>
      <c r="OD44" s="481"/>
      <c r="OE44" s="481"/>
      <c r="OF44" s="481"/>
      <c r="OG44" s="481"/>
      <c r="OH44" s="481"/>
      <c r="OI44" s="481"/>
      <c r="OJ44" s="481"/>
      <c r="OK44" s="481"/>
      <c r="OL44" s="481"/>
      <c r="OM44" s="481"/>
      <c r="ON44" s="481"/>
      <c r="OO44" s="481"/>
      <c r="OP44" s="481"/>
      <c r="OQ44" s="481"/>
      <c r="OR44" s="481"/>
      <c r="OS44" s="481"/>
      <c r="OT44" s="481"/>
      <c r="OU44" s="481"/>
      <c r="OV44" s="481"/>
      <c r="OW44" s="481"/>
      <c r="OX44" s="481"/>
      <c r="OY44" s="481"/>
      <c r="OZ44" s="481"/>
      <c r="PA44" s="481"/>
      <c r="PB44" s="481"/>
      <c r="PC44" s="481"/>
      <c r="PD44" s="481"/>
      <c r="PE44" s="481"/>
      <c r="PF44" s="481"/>
      <c r="PG44" s="481"/>
      <c r="PH44" s="481"/>
      <c r="PI44" s="481"/>
      <c r="PJ44" s="481"/>
      <c r="PK44" s="481"/>
      <c r="PL44" s="481"/>
      <c r="PM44" s="481"/>
      <c r="PN44" s="481"/>
      <c r="PO44" s="481"/>
      <c r="PP44" s="481"/>
      <c r="PQ44" s="481"/>
      <c r="PR44" s="481"/>
      <c r="PS44" s="481"/>
      <c r="PT44" s="481"/>
      <c r="PU44" s="481"/>
      <c r="PV44" s="481"/>
      <c r="PW44" s="481"/>
      <c r="PX44" s="481"/>
      <c r="PY44" s="481"/>
      <c r="PZ44" s="481"/>
      <c r="QA44" s="481"/>
      <c r="QB44" s="481"/>
      <c r="QC44" s="481"/>
      <c r="QD44" s="481"/>
      <c r="QE44" s="481"/>
      <c r="QF44" s="481"/>
      <c r="QG44" s="481"/>
      <c r="QH44" s="481"/>
      <c r="QI44" s="481"/>
      <c r="QJ44" s="481"/>
      <c r="QK44" s="481"/>
      <c r="QL44" s="481"/>
      <c r="QM44" s="481"/>
      <c r="QN44" s="481"/>
      <c r="QO44" s="481"/>
      <c r="QP44" s="481"/>
      <c r="QQ44" s="481"/>
      <c r="QR44" s="481"/>
      <c r="QS44" s="481"/>
      <c r="QT44" s="481"/>
      <c r="QU44" s="481"/>
      <c r="QV44" s="481"/>
      <c r="QW44" s="481"/>
      <c r="QX44" s="481"/>
      <c r="QY44" s="481"/>
      <c r="QZ44" s="481"/>
      <c r="RA44" s="481"/>
      <c r="RB44" s="481"/>
      <c r="RC44" s="481"/>
      <c r="RD44" s="481"/>
      <c r="RE44" s="481"/>
      <c r="RF44" s="481"/>
      <c r="RG44" s="481"/>
      <c r="RH44" s="481"/>
      <c r="RI44" s="481"/>
      <c r="RJ44" s="481"/>
      <c r="RK44" s="481"/>
      <c r="RL44" s="481"/>
      <c r="RM44" s="481"/>
      <c r="RN44" s="481"/>
      <c r="RO44" s="481"/>
      <c r="RP44" s="481"/>
      <c r="RQ44" s="481"/>
      <c r="RR44" s="481"/>
      <c r="RS44" s="481"/>
      <c r="RT44" s="481"/>
      <c r="RU44" s="481"/>
      <c r="RV44" s="481"/>
      <c r="RW44" s="481"/>
      <c r="RX44" s="481"/>
      <c r="RY44" s="481"/>
      <c r="RZ44" s="481"/>
      <c r="SA44" s="481"/>
      <c r="SB44" s="481"/>
      <c r="SC44" s="481"/>
      <c r="SD44" s="481"/>
      <c r="SE44" s="481"/>
      <c r="SF44" s="481"/>
      <c r="SG44" s="481"/>
      <c r="SH44" s="481"/>
      <c r="SI44" s="481"/>
      <c r="SJ44" s="481"/>
      <c r="SK44" s="481"/>
      <c r="SL44" s="481"/>
      <c r="SM44" s="481"/>
      <c r="SN44" s="481"/>
      <c r="SO44" s="481"/>
      <c r="SP44" s="481"/>
      <c r="SQ44" s="481"/>
      <c r="SR44" s="481"/>
      <c r="SS44" s="481"/>
      <c r="ST44" s="481"/>
      <c r="SU44" s="481"/>
      <c r="SV44" s="481"/>
      <c r="SW44" s="481"/>
      <c r="SX44" s="481"/>
      <c r="SY44" s="481"/>
      <c r="SZ44" s="481"/>
      <c r="TA44" s="481"/>
      <c r="TB44" s="481"/>
      <c r="TC44" s="481"/>
      <c r="TD44" s="481"/>
      <c r="TE44" s="481"/>
      <c r="TF44" s="481"/>
      <c r="TG44" s="481"/>
      <c r="TH44" s="481"/>
      <c r="TI44" s="481"/>
      <c r="TJ44" s="481"/>
      <c r="TK44" s="481"/>
      <c r="TL44" s="481"/>
      <c r="TM44" s="481"/>
      <c r="TN44" s="481"/>
      <c r="TO44" s="481"/>
      <c r="TP44" s="481"/>
      <c r="TQ44" s="481"/>
      <c r="TR44" s="481"/>
      <c r="TS44" s="481"/>
      <c r="TT44" s="481"/>
      <c r="TU44" s="481"/>
      <c r="TV44" s="481"/>
      <c r="TW44" s="481"/>
      <c r="TX44" s="481"/>
      <c r="TY44" s="481"/>
      <c r="TZ44" s="481"/>
      <c r="UA44" s="481"/>
      <c r="UB44" s="481"/>
      <c r="UC44" s="481"/>
      <c r="UD44" s="481"/>
      <c r="UE44" s="481"/>
      <c r="UF44" s="481"/>
      <c r="UG44" s="481"/>
      <c r="UH44" s="481"/>
      <c r="UI44" s="481"/>
      <c r="UJ44" s="481"/>
      <c r="UK44" s="481"/>
      <c r="UL44" s="481"/>
      <c r="UM44" s="481"/>
      <c r="UN44" s="481"/>
      <c r="UO44" s="481"/>
      <c r="UP44" s="481"/>
      <c r="UQ44" s="481"/>
      <c r="UR44" s="481"/>
      <c r="US44" s="481"/>
      <c r="UT44" s="481"/>
      <c r="UU44" s="481"/>
      <c r="UV44" s="481"/>
      <c r="UW44" s="481"/>
      <c r="UX44" s="481"/>
      <c r="UY44" s="481"/>
      <c r="UZ44" s="481"/>
      <c r="VA44" s="481"/>
      <c r="VB44" s="481"/>
      <c r="VC44" s="481"/>
      <c r="VD44" s="481"/>
      <c r="VE44" s="481"/>
      <c r="VF44" s="481"/>
      <c r="VG44" s="481"/>
      <c r="VH44" s="481"/>
      <c r="VI44" s="481"/>
      <c r="VJ44" s="481"/>
      <c r="VK44" s="481"/>
      <c r="VL44" s="481"/>
      <c r="VM44" s="481"/>
      <c r="VN44" s="481"/>
      <c r="VO44" s="481"/>
      <c r="VP44" s="481"/>
      <c r="VQ44" s="481"/>
      <c r="VR44" s="481"/>
      <c r="VS44" s="481"/>
      <c r="VT44" s="481"/>
      <c r="VU44" s="481"/>
      <c r="VV44" s="481"/>
      <c r="VW44" s="481"/>
      <c r="VX44" s="481"/>
      <c r="VY44" s="481"/>
      <c r="VZ44" s="481"/>
      <c r="WA44" s="481"/>
      <c r="WB44" s="481"/>
      <c r="WC44" s="481"/>
      <c r="WD44" s="481"/>
      <c r="WE44" s="481"/>
      <c r="WF44" s="481"/>
      <c r="WG44" s="481"/>
      <c r="WH44" s="481"/>
      <c r="WI44" s="481"/>
      <c r="WJ44" s="481"/>
      <c r="WK44" s="481"/>
      <c r="WL44" s="481"/>
      <c r="WM44" s="481"/>
      <c r="WN44" s="481"/>
      <c r="WO44" s="481"/>
      <c r="WP44" s="481"/>
      <c r="WQ44" s="481"/>
      <c r="WR44" s="481"/>
      <c r="WS44" s="481"/>
      <c r="WT44" s="481"/>
      <c r="WU44" s="481"/>
      <c r="WV44" s="481"/>
      <c r="WW44" s="481"/>
      <c r="WX44" s="481"/>
      <c r="WY44" s="481"/>
      <c r="WZ44" s="481"/>
      <c r="XA44" s="481"/>
      <c r="XB44" s="481"/>
      <c r="XC44" s="481"/>
      <c r="XD44" s="481"/>
      <c r="XE44" s="481"/>
      <c r="XF44" s="481"/>
      <c r="XG44" s="481"/>
      <c r="XH44" s="481"/>
      <c r="XI44" s="481"/>
      <c r="XJ44" s="481"/>
      <c r="XK44" s="481"/>
      <c r="XL44" s="481"/>
      <c r="XM44" s="481"/>
      <c r="XN44" s="481"/>
      <c r="XO44" s="481"/>
      <c r="XP44" s="481"/>
      <c r="XQ44" s="481"/>
      <c r="XR44" s="481"/>
      <c r="XS44" s="481"/>
      <c r="XT44" s="481"/>
      <c r="XU44" s="481"/>
      <c r="XV44" s="481"/>
      <c r="XW44" s="481"/>
      <c r="XX44" s="481"/>
      <c r="XY44" s="481"/>
      <c r="XZ44" s="481"/>
      <c r="YA44" s="481"/>
      <c r="YB44" s="481"/>
      <c r="YC44" s="481"/>
      <c r="YD44" s="481"/>
      <c r="YE44" s="481"/>
      <c r="YF44" s="481"/>
      <c r="YG44" s="481"/>
      <c r="YH44" s="481"/>
      <c r="YI44" s="481"/>
      <c r="YJ44" s="481"/>
      <c r="YK44" s="481"/>
      <c r="YL44" s="481"/>
      <c r="YM44" s="481"/>
      <c r="YN44" s="481"/>
      <c r="YO44" s="481"/>
      <c r="YP44" s="481"/>
      <c r="YQ44" s="481"/>
      <c r="YR44" s="481"/>
      <c r="YS44" s="481"/>
      <c r="YT44" s="481"/>
      <c r="YU44" s="481"/>
      <c r="YV44" s="481"/>
      <c r="YW44" s="481"/>
      <c r="YX44" s="481"/>
      <c r="YY44" s="481"/>
      <c r="YZ44" s="481"/>
      <c r="ZA44" s="481"/>
      <c r="ZB44" s="481"/>
      <c r="ZC44" s="481"/>
      <c r="ZD44" s="481"/>
      <c r="ZE44" s="481"/>
      <c r="ZF44" s="481"/>
      <c r="ZG44" s="481"/>
      <c r="ZH44" s="481"/>
      <c r="ZI44" s="481"/>
      <c r="ZJ44" s="481"/>
      <c r="ZK44" s="481"/>
      <c r="ZL44" s="481"/>
      <c r="ZM44" s="481"/>
      <c r="ZN44" s="481"/>
      <c r="ZO44" s="481"/>
      <c r="ZP44" s="481"/>
      <c r="ZQ44" s="481"/>
      <c r="ZR44" s="481"/>
      <c r="ZS44" s="481"/>
      <c r="ZT44" s="481"/>
      <c r="ZU44" s="481"/>
      <c r="ZV44" s="481"/>
      <c r="ZW44" s="481"/>
      <c r="ZX44" s="481"/>
      <c r="ZY44" s="481"/>
      <c r="ZZ44" s="481"/>
      <c r="AAA44" s="481"/>
      <c r="AAB44" s="481"/>
      <c r="AAC44" s="481"/>
      <c r="AAD44" s="481"/>
      <c r="AAE44" s="481"/>
      <c r="AAF44" s="481"/>
      <c r="AAG44" s="481"/>
      <c r="AAH44" s="481"/>
      <c r="AAI44" s="481"/>
      <c r="AAJ44" s="481"/>
      <c r="AAK44" s="481"/>
      <c r="AAL44" s="481"/>
      <c r="AAM44" s="481"/>
      <c r="AAN44" s="481"/>
      <c r="AAO44" s="481"/>
      <c r="AAP44" s="481"/>
      <c r="AAQ44" s="481"/>
      <c r="AAR44" s="481"/>
      <c r="AAS44" s="481"/>
      <c r="AAT44" s="481"/>
      <c r="AAU44" s="481"/>
      <c r="AAV44" s="481"/>
      <c r="AAW44" s="481"/>
      <c r="AAX44" s="481"/>
      <c r="AAY44" s="481"/>
      <c r="AAZ44" s="481"/>
      <c r="ABA44" s="481"/>
      <c r="ABB44" s="481"/>
      <c r="ABC44" s="481"/>
      <c r="ABD44" s="481"/>
      <c r="ABE44" s="481"/>
      <c r="ABF44" s="481"/>
      <c r="ABG44" s="481"/>
      <c r="ABH44" s="481"/>
      <c r="ABI44" s="481"/>
      <c r="ABJ44" s="481"/>
      <c r="ABK44" s="481"/>
      <c r="ABL44" s="481"/>
      <c r="ABM44" s="481"/>
      <c r="ABN44" s="481"/>
      <c r="ABO44" s="481"/>
      <c r="ABP44" s="481"/>
      <c r="ABQ44" s="481"/>
      <c r="ABR44" s="481"/>
      <c r="ABS44" s="481"/>
      <c r="ABT44" s="481"/>
      <c r="ABU44" s="481"/>
      <c r="ABV44" s="481"/>
      <c r="ABW44" s="481"/>
      <c r="ABX44" s="481"/>
      <c r="ABY44" s="481"/>
      <c r="ABZ44" s="481"/>
      <c r="ACA44" s="481"/>
      <c r="ACB44" s="481"/>
      <c r="ACC44" s="481"/>
      <c r="ACD44" s="481"/>
      <c r="ACE44" s="481"/>
      <c r="ACF44" s="481"/>
      <c r="ACG44" s="481"/>
      <c r="ACH44" s="481"/>
      <c r="ACI44" s="481"/>
      <c r="ACJ44" s="481"/>
      <c r="ACK44" s="481"/>
      <c r="ACL44" s="481"/>
      <c r="ACM44" s="481"/>
      <c r="ACN44" s="481"/>
      <c r="ACO44" s="481"/>
      <c r="ACP44" s="481"/>
      <c r="ACQ44" s="481"/>
      <c r="ACR44" s="481"/>
      <c r="ACS44" s="481"/>
      <c r="ACT44" s="481"/>
      <c r="ACU44" s="481"/>
      <c r="ACV44" s="481"/>
      <c r="ACW44" s="481"/>
      <c r="ACX44" s="481"/>
      <c r="ACY44" s="481"/>
      <c r="ACZ44" s="481"/>
      <c r="ADA44" s="481"/>
      <c r="ADB44" s="481"/>
      <c r="ADC44" s="481"/>
      <c r="ADD44" s="481"/>
      <c r="ADE44" s="481"/>
      <c r="ADF44" s="481"/>
      <c r="ADG44" s="481"/>
      <c r="ADH44" s="481"/>
      <c r="ADI44" s="481"/>
      <c r="ADJ44" s="481"/>
      <c r="ADK44" s="481"/>
      <c r="ADL44" s="481"/>
      <c r="ADM44" s="481"/>
      <c r="ADN44" s="481"/>
      <c r="ADO44" s="481"/>
      <c r="ADP44" s="481"/>
      <c r="ADQ44" s="481"/>
      <c r="ADR44" s="481"/>
      <c r="ADS44" s="481"/>
      <c r="ADT44" s="481"/>
      <c r="ADU44" s="481"/>
      <c r="ADV44" s="481"/>
      <c r="ADW44" s="481"/>
      <c r="ADX44" s="481"/>
      <c r="ADY44" s="481"/>
      <c r="ADZ44" s="481"/>
      <c r="AEA44" s="481"/>
      <c r="AEB44" s="481"/>
      <c r="AEC44" s="481"/>
      <c r="AED44" s="481"/>
      <c r="AEE44" s="481"/>
      <c r="AEF44" s="481"/>
      <c r="AEG44" s="481"/>
      <c r="AEH44" s="481"/>
      <c r="AEI44" s="481"/>
      <c r="AEJ44" s="481"/>
      <c r="AEK44" s="481"/>
      <c r="AEL44" s="481"/>
      <c r="AEM44" s="481"/>
      <c r="AEN44" s="481"/>
      <c r="AEO44" s="481"/>
      <c r="AEP44" s="481"/>
      <c r="AEQ44" s="481"/>
      <c r="AER44" s="481"/>
      <c r="AES44" s="481"/>
      <c r="AET44" s="481"/>
      <c r="AEU44" s="481"/>
      <c r="AEV44" s="481"/>
      <c r="AEW44" s="481"/>
      <c r="AEX44" s="481"/>
      <c r="AEY44" s="481"/>
      <c r="AEZ44" s="481"/>
      <c r="AFA44" s="481"/>
      <c r="AFB44" s="481"/>
      <c r="AFC44" s="481"/>
      <c r="AFD44" s="481"/>
      <c r="AFE44" s="481"/>
      <c r="AFF44" s="481"/>
      <c r="AFG44" s="481"/>
      <c r="AFH44" s="481"/>
      <c r="AFI44" s="481"/>
      <c r="AFJ44" s="481"/>
      <c r="AFK44" s="481"/>
      <c r="AFL44" s="481"/>
      <c r="AFM44" s="481"/>
      <c r="AFN44" s="481"/>
      <c r="AFO44" s="481"/>
      <c r="AFP44" s="481"/>
      <c r="AFQ44" s="481"/>
      <c r="AFR44" s="481"/>
      <c r="AFS44" s="481"/>
      <c r="AFT44" s="481"/>
      <c r="AFU44" s="481"/>
      <c r="AFV44" s="481"/>
      <c r="AFW44" s="481"/>
      <c r="AFX44" s="481"/>
      <c r="AFY44" s="481"/>
      <c r="AFZ44" s="481"/>
      <c r="AGA44" s="481"/>
      <c r="AGB44" s="481"/>
      <c r="AGC44" s="481"/>
      <c r="AGD44" s="481"/>
      <c r="AGE44" s="481"/>
      <c r="AGF44" s="481"/>
      <c r="AGG44" s="481"/>
      <c r="AGH44" s="481"/>
      <c r="AGI44" s="481"/>
      <c r="AGJ44" s="481"/>
      <c r="AGK44" s="481"/>
      <c r="AGL44" s="481"/>
      <c r="AGM44" s="481"/>
      <c r="AGN44" s="481"/>
      <c r="AGO44" s="481"/>
      <c r="AGP44" s="481"/>
      <c r="AGQ44" s="481"/>
      <c r="AGR44" s="481"/>
      <c r="AGS44" s="481"/>
      <c r="AGT44" s="481"/>
      <c r="AGU44" s="481"/>
      <c r="AGV44" s="481"/>
      <c r="AGW44" s="481"/>
      <c r="AGX44" s="481"/>
      <c r="AGY44" s="481"/>
      <c r="AGZ44" s="481"/>
      <c r="AHA44" s="481"/>
      <c r="AHB44" s="481"/>
      <c r="AHC44" s="481"/>
      <c r="AHD44" s="481"/>
      <c r="AHE44" s="481"/>
      <c r="AHF44" s="481"/>
      <c r="AHG44" s="481"/>
      <c r="AHH44" s="481"/>
      <c r="AHI44" s="481"/>
      <c r="AHJ44" s="481"/>
      <c r="AHK44" s="481"/>
      <c r="AHL44" s="481"/>
      <c r="AHM44" s="481"/>
      <c r="AHN44" s="481"/>
      <c r="AHO44" s="481"/>
      <c r="AHP44" s="481"/>
      <c r="AHQ44" s="481"/>
      <c r="AHR44" s="481"/>
      <c r="AHS44" s="481"/>
      <c r="AHT44" s="481"/>
      <c r="AHU44" s="481"/>
      <c r="AHV44" s="481"/>
      <c r="AHW44" s="481"/>
      <c r="AHX44" s="481"/>
      <c r="AHY44" s="481"/>
      <c r="AHZ44" s="481"/>
      <c r="AIA44" s="481"/>
      <c r="AIB44" s="481"/>
      <c r="AIC44" s="481"/>
      <c r="AID44" s="481"/>
      <c r="AIE44" s="481"/>
      <c r="AIF44" s="481"/>
      <c r="AIG44" s="481"/>
      <c r="AIH44" s="481"/>
      <c r="AII44" s="481"/>
      <c r="AIJ44" s="481"/>
      <c r="AIK44" s="481"/>
      <c r="AIL44" s="481"/>
      <c r="AIM44" s="481"/>
      <c r="AIN44" s="481"/>
      <c r="AIO44" s="481"/>
      <c r="AIP44" s="481"/>
      <c r="AIQ44" s="481"/>
      <c r="AIR44" s="481"/>
      <c r="AIS44" s="481"/>
      <c r="AIT44" s="481"/>
      <c r="AIU44" s="481"/>
      <c r="AIV44" s="481"/>
      <c r="AIW44" s="481"/>
      <c r="AIX44" s="481"/>
      <c r="AIY44" s="481"/>
      <c r="AIZ44" s="481"/>
      <c r="AJA44" s="481"/>
      <c r="AJB44" s="481"/>
      <c r="AJC44" s="481"/>
      <c r="AJD44" s="481"/>
      <c r="AJE44" s="481"/>
      <c r="AJF44" s="481"/>
      <c r="AJG44" s="481"/>
      <c r="AJH44" s="481"/>
      <c r="AJI44" s="481"/>
      <c r="AJJ44" s="481"/>
      <c r="AJK44" s="481"/>
      <c r="AJL44" s="481"/>
      <c r="AJM44" s="481"/>
      <c r="AJN44" s="481"/>
      <c r="AJO44" s="481"/>
      <c r="AJP44" s="481"/>
      <c r="AJQ44" s="481"/>
      <c r="AJR44" s="481"/>
      <c r="AJS44" s="481"/>
      <c r="AJT44" s="481"/>
      <c r="AJU44" s="481"/>
      <c r="AJV44" s="481"/>
      <c r="AJW44" s="481"/>
      <c r="AJX44" s="481"/>
      <c r="AJY44" s="481"/>
      <c r="AJZ44" s="481"/>
      <c r="AKA44" s="481"/>
      <c r="AKB44" s="481"/>
      <c r="AKC44" s="481"/>
      <c r="AKD44" s="481"/>
      <c r="AKE44" s="481"/>
      <c r="AKF44" s="481"/>
      <c r="AKG44" s="481"/>
      <c r="AKH44" s="481"/>
      <c r="AKI44" s="481"/>
      <c r="AKJ44" s="481"/>
      <c r="AKK44" s="481"/>
      <c r="AKL44" s="481"/>
      <c r="AKM44" s="481"/>
      <c r="AKN44" s="481"/>
      <c r="AKO44" s="481"/>
      <c r="AKP44" s="481"/>
      <c r="AKQ44" s="481"/>
      <c r="AKR44" s="481"/>
      <c r="AKS44" s="481"/>
      <c r="AKT44" s="481"/>
      <c r="AKU44" s="481"/>
      <c r="AKV44" s="481"/>
      <c r="AKW44" s="481"/>
      <c r="AKX44" s="481"/>
      <c r="AKY44" s="481"/>
      <c r="AKZ44" s="481"/>
      <c r="ALA44" s="481"/>
      <c r="ALB44" s="481"/>
      <c r="ALC44" s="481"/>
      <c r="ALD44" s="481"/>
      <c r="ALE44" s="481"/>
      <c r="ALF44" s="481"/>
      <c r="ALG44" s="481"/>
      <c r="ALH44" s="481"/>
      <c r="ALI44" s="481"/>
      <c r="ALJ44" s="481"/>
      <c r="ALK44" s="481"/>
      <c r="ALL44" s="481"/>
      <c r="ALM44" s="481"/>
      <c r="ALN44" s="481"/>
      <c r="ALO44" s="481"/>
      <c r="ALP44" s="481"/>
      <c r="ALQ44" s="481"/>
      <c r="ALR44" s="481"/>
      <c r="ALS44" s="481"/>
      <c r="ALT44" s="481"/>
      <c r="ALU44" s="481"/>
      <c r="ALV44" s="481"/>
      <c r="ALW44" s="481"/>
      <c r="ALX44" s="481"/>
      <c r="ALY44" s="481"/>
      <c r="ALZ44" s="481"/>
      <c r="AMA44" s="481"/>
      <c r="AMB44" s="481"/>
      <c r="AMC44" s="481"/>
      <c r="AMD44" s="481"/>
      <c r="AME44" s="481"/>
      <c r="AMF44" s="481"/>
      <c r="AMG44" s="481"/>
      <c r="AMH44" s="481"/>
      <c r="AMI44" s="481"/>
      <c r="AMJ44" s="481"/>
      <c r="AMK44" s="481"/>
      <c r="AML44" s="481"/>
      <c r="AMM44" s="481"/>
      <c r="AMN44" s="481"/>
      <c r="AMO44" s="481"/>
      <c r="AMP44" s="481"/>
      <c r="AMQ44" s="481"/>
      <c r="AMR44" s="481"/>
      <c r="AMS44" s="481"/>
      <c r="AMT44" s="481"/>
      <c r="AMU44" s="481"/>
      <c r="AMV44" s="481"/>
      <c r="AMW44" s="481"/>
      <c r="AMX44" s="481"/>
      <c r="AMY44" s="481"/>
      <c r="AMZ44" s="481"/>
      <c r="ANA44" s="481"/>
      <c r="ANB44" s="481"/>
      <c r="ANC44" s="481"/>
      <c r="AND44" s="481"/>
      <c r="ANE44" s="481"/>
      <c r="ANF44" s="481"/>
      <c r="ANG44" s="481"/>
      <c r="ANH44" s="481"/>
      <c r="ANI44" s="481"/>
      <c r="ANJ44" s="481"/>
      <c r="ANK44" s="481"/>
      <c r="ANL44" s="481"/>
      <c r="ANM44" s="481"/>
      <c r="ANN44" s="481"/>
      <c r="ANO44" s="481"/>
      <c r="ANP44" s="481"/>
      <c r="ANQ44" s="481"/>
      <c r="ANR44" s="481"/>
      <c r="ANS44" s="481"/>
      <c r="ANT44" s="481"/>
      <c r="ANU44" s="481"/>
      <c r="ANV44" s="481"/>
      <c r="ANW44" s="481"/>
      <c r="ANX44" s="481"/>
      <c r="ANY44" s="481"/>
      <c r="ANZ44" s="481"/>
      <c r="AOA44" s="481"/>
      <c r="AOB44" s="481"/>
      <c r="AOC44" s="481"/>
      <c r="AOD44" s="481"/>
      <c r="AOE44" s="481"/>
      <c r="AOF44" s="481"/>
      <c r="AOG44" s="481"/>
      <c r="AOH44" s="481"/>
      <c r="AOI44" s="481"/>
      <c r="AOJ44" s="481"/>
      <c r="AOK44" s="481"/>
      <c r="AOL44" s="481"/>
      <c r="AOM44" s="481"/>
      <c r="AON44" s="481"/>
      <c r="AOO44" s="481"/>
      <c r="AOP44" s="481"/>
      <c r="AOQ44" s="481"/>
      <c r="AOR44" s="481"/>
      <c r="AOS44" s="481"/>
      <c r="AOT44" s="481"/>
      <c r="AOU44" s="481"/>
      <c r="AOV44" s="481"/>
      <c r="AOW44" s="481"/>
      <c r="AOX44" s="481"/>
      <c r="AOY44" s="481"/>
      <c r="AOZ44" s="481"/>
      <c r="APA44" s="481"/>
      <c r="APB44" s="481"/>
      <c r="APC44" s="481"/>
      <c r="APD44" s="481"/>
      <c r="APE44" s="481"/>
      <c r="APF44" s="481"/>
      <c r="APG44" s="481"/>
      <c r="APH44" s="481"/>
      <c r="API44" s="481"/>
      <c r="APJ44" s="481"/>
      <c r="APK44" s="481"/>
      <c r="APL44" s="481"/>
      <c r="APM44" s="481"/>
      <c r="APN44" s="481"/>
      <c r="APO44" s="481"/>
      <c r="APP44" s="481"/>
      <c r="APQ44" s="481"/>
      <c r="APR44" s="481"/>
      <c r="APS44" s="481"/>
      <c r="APT44" s="481"/>
      <c r="APU44" s="481"/>
      <c r="APV44" s="481"/>
      <c r="APW44" s="481"/>
      <c r="APX44" s="481"/>
      <c r="APY44" s="481"/>
      <c r="APZ44" s="481"/>
      <c r="AQA44" s="481"/>
      <c r="AQB44" s="481"/>
      <c r="AQC44" s="481"/>
      <c r="AQD44" s="481"/>
      <c r="AQE44" s="481"/>
      <c r="AQF44" s="481"/>
      <c r="AQG44" s="481"/>
      <c r="AQH44" s="481"/>
      <c r="AQI44" s="481"/>
      <c r="AQJ44" s="481"/>
      <c r="AQK44" s="481"/>
      <c r="AQL44" s="481"/>
      <c r="AQM44" s="481"/>
      <c r="AQN44" s="481"/>
      <c r="AQO44" s="481"/>
      <c r="AQP44" s="481"/>
      <c r="AQQ44" s="481"/>
      <c r="AQR44" s="481"/>
      <c r="AQS44" s="481"/>
      <c r="AQT44" s="481"/>
      <c r="AQU44" s="481"/>
      <c r="AQV44" s="481"/>
      <c r="AQW44" s="481"/>
      <c r="AQX44" s="481"/>
      <c r="AQY44" s="481"/>
      <c r="AQZ44" s="481"/>
      <c r="ARA44" s="481"/>
      <c r="ARB44" s="481"/>
      <c r="ARC44" s="481"/>
      <c r="ARD44" s="481"/>
      <c r="ARE44" s="481"/>
      <c r="ARF44" s="481"/>
      <c r="ARG44" s="481"/>
      <c r="ARH44" s="481"/>
      <c r="ARI44" s="481"/>
      <c r="ARJ44" s="481"/>
      <c r="ARK44" s="481"/>
      <c r="ARL44" s="481"/>
      <c r="ARM44" s="481"/>
      <c r="ARN44" s="481"/>
      <c r="ARO44" s="481"/>
      <c r="ARP44" s="481"/>
      <c r="ARQ44" s="481"/>
      <c r="ARR44" s="481"/>
      <c r="ARS44" s="481"/>
      <c r="ART44" s="481"/>
      <c r="ARU44" s="481"/>
      <c r="ARV44" s="481"/>
      <c r="ARW44" s="481"/>
      <c r="ARX44" s="481"/>
      <c r="ARY44" s="481"/>
      <c r="ARZ44" s="481"/>
      <c r="ASA44" s="481"/>
      <c r="ASB44" s="481"/>
      <c r="ASC44" s="481"/>
      <c r="ASD44" s="481"/>
      <c r="ASE44" s="481"/>
      <c r="ASF44" s="481"/>
      <c r="ASG44" s="481"/>
      <c r="ASH44" s="481"/>
      <c r="ASI44" s="481"/>
      <c r="ASJ44" s="481"/>
      <c r="ASK44" s="481"/>
      <c r="ASL44" s="481"/>
      <c r="ASM44" s="481"/>
      <c r="ASN44" s="481"/>
      <c r="ASO44" s="481"/>
      <c r="ASP44" s="481"/>
      <c r="ASQ44" s="481"/>
      <c r="ASR44" s="481"/>
      <c r="ASS44" s="481"/>
      <c r="AST44" s="481"/>
      <c r="ASU44" s="481"/>
      <c r="ASV44" s="481"/>
      <c r="ASW44" s="481"/>
      <c r="ASX44" s="481"/>
      <c r="ASY44" s="481"/>
      <c r="ASZ44" s="481"/>
      <c r="ATA44" s="481"/>
      <c r="ATB44" s="481"/>
      <c r="ATC44" s="481"/>
      <c r="ATD44" s="481"/>
      <c r="ATE44" s="481"/>
      <c r="ATF44" s="481"/>
      <c r="ATG44" s="481"/>
      <c r="ATH44" s="481"/>
      <c r="ATI44" s="481"/>
      <c r="ATJ44" s="481"/>
      <c r="ATK44" s="481"/>
      <c r="ATL44" s="481"/>
      <c r="ATM44" s="481"/>
      <c r="ATN44" s="481"/>
      <c r="ATO44" s="481"/>
      <c r="ATP44" s="481"/>
      <c r="ATQ44" s="481"/>
      <c r="ATR44" s="481"/>
      <c r="ATS44" s="481"/>
      <c r="ATT44" s="481"/>
      <c r="ATU44" s="481"/>
      <c r="ATV44" s="481"/>
      <c r="ATW44" s="481"/>
      <c r="ATX44" s="481"/>
      <c r="ATY44" s="481"/>
      <c r="ATZ44" s="481"/>
      <c r="AUA44" s="481"/>
      <c r="AUB44" s="481"/>
      <c r="AUC44" s="481"/>
      <c r="AUD44" s="481"/>
      <c r="AUE44" s="481"/>
      <c r="AUF44" s="481"/>
      <c r="AUG44" s="481"/>
      <c r="AUH44" s="481"/>
      <c r="AUI44" s="481"/>
      <c r="AUJ44" s="481"/>
      <c r="AUK44" s="481"/>
      <c r="AUL44" s="481"/>
      <c r="AUM44" s="481"/>
      <c r="AUN44" s="481"/>
      <c r="AUO44" s="481"/>
      <c r="AUP44" s="481"/>
      <c r="AUQ44" s="481"/>
      <c r="AUR44" s="481"/>
      <c r="AUS44" s="481"/>
      <c r="AUT44" s="481"/>
      <c r="AUU44" s="481"/>
      <c r="AUV44" s="481"/>
      <c r="AUW44" s="481"/>
      <c r="AUX44" s="481"/>
      <c r="AUY44" s="481"/>
      <c r="AUZ44" s="481"/>
      <c r="AVA44" s="481"/>
      <c r="AVB44" s="481"/>
      <c r="AVC44" s="481"/>
      <c r="AVD44" s="481"/>
      <c r="AVE44" s="481"/>
      <c r="AVF44" s="481"/>
      <c r="AVG44" s="481"/>
      <c r="AVH44" s="481"/>
      <c r="AVI44" s="481"/>
      <c r="AVJ44" s="481"/>
      <c r="AVK44" s="481"/>
      <c r="AVL44" s="481"/>
      <c r="AVM44" s="481"/>
      <c r="AVN44" s="481"/>
      <c r="AVO44" s="481"/>
      <c r="AVP44" s="481"/>
      <c r="AVQ44" s="481"/>
      <c r="AVR44" s="481"/>
      <c r="AVS44" s="481"/>
      <c r="AVT44" s="481"/>
      <c r="AVU44" s="481"/>
      <c r="AVV44" s="481"/>
      <c r="AVW44" s="481"/>
      <c r="AVX44" s="481"/>
      <c r="AVY44" s="481"/>
      <c r="AVZ44" s="481"/>
      <c r="AWA44" s="481"/>
      <c r="AWB44" s="481"/>
      <c r="AWC44" s="481"/>
      <c r="AWD44" s="481"/>
      <c r="AWE44" s="481"/>
      <c r="AWF44" s="481"/>
      <c r="AWG44" s="481"/>
      <c r="AWH44" s="481"/>
      <c r="AWI44" s="481"/>
      <c r="AWJ44" s="481"/>
      <c r="AWK44" s="481"/>
      <c r="AWL44" s="481"/>
      <c r="AWM44" s="481"/>
      <c r="AWN44" s="481"/>
      <c r="AWO44" s="481"/>
      <c r="AWP44" s="481"/>
      <c r="AWQ44" s="481"/>
      <c r="AWR44" s="481"/>
      <c r="AWS44" s="481"/>
      <c r="AWT44" s="481"/>
      <c r="AWU44" s="481"/>
      <c r="AWV44" s="481"/>
      <c r="AWW44" s="481"/>
      <c r="AWX44" s="481"/>
      <c r="AWY44" s="481"/>
      <c r="AWZ44" s="481"/>
      <c r="AXA44" s="481"/>
      <c r="AXB44" s="481"/>
      <c r="AXC44" s="481"/>
      <c r="AXD44" s="481"/>
      <c r="AXE44" s="481"/>
      <c r="AXF44" s="481"/>
      <c r="AXG44" s="481"/>
      <c r="AXH44" s="481"/>
      <c r="AXI44" s="481"/>
      <c r="AXJ44" s="481"/>
      <c r="AXK44" s="481"/>
      <c r="AXL44" s="481"/>
      <c r="AXM44" s="481"/>
      <c r="AXN44" s="481"/>
      <c r="AXO44" s="481"/>
      <c r="AXP44" s="481"/>
      <c r="AXQ44" s="481"/>
      <c r="AXR44" s="481"/>
      <c r="AXS44" s="481"/>
      <c r="AXT44" s="481"/>
      <c r="AXU44" s="481"/>
      <c r="AXV44" s="481"/>
      <c r="AXW44" s="481"/>
      <c r="AXX44" s="481"/>
      <c r="AXY44" s="481"/>
      <c r="AXZ44" s="481"/>
      <c r="AYA44" s="481"/>
      <c r="AYB44" s="481"/>
      <c r="AYC44" s="481"/>
      <c r="AYD44" s="481"/>
      <c r="AYE44" s="481"/>
      <c r="AYF44" s="481"/>
      <c r="AYG44" s="481"/>
      <c r="AYH44" s="481"/>
      <c r="AYI44" s="481"/>
      <c r="AYJ44" s="481"/>
      <c r="AYK44" s="481"/>
      <c r="AYL44" s="481"/>
      <c r="AYM44" s="481"/>
      <c r="AYN44" s="481"/>
      <c r="AYO44" s="481"/>
      <c r="AYP44" s="481"/>
      <c r="AYQ44" s="481"/>
      <c r="AYR44" s="481"/>
      <c r="AYS44" s="481"/>
      <c r="AYT44" s="481"/>
      <c r="AYU44" s="481"/>
      <c r="AYV44" s="481"/>
      <c r="AYW44" s="481"/>
      <c r="AYX44" s="481"/>
      <c r="AYY44" s="481"/>
      <c r="AYZ44" s="481"/>
      <c r="AZA44" s="481"/>
      <c r="AZB44" s="481"/>
      <c r="AZC44" s="481"/>
      <c r="AZD44" s="481"/>
      <c r="AZE44" s="481"/>
      <c r="AZF44" s="481"/>
      <c r="AZG44" s="481"/>
      <c r="AZH44" s="481"/>
      <c r="AZI44" s="481"/>
      <c r="AZJ44" s="481"/>
      <c r="AZK44" s="481"/>
      <c r="AZL44" s="481"/>
      <c r="AZM44" s="481"/>
      <c r="AZN44" s="481"/>
      <c r="AZO44" s="481"/>
      <c r="AZP44" s="481"/>
      <c r="AZQ44" s="481"/>
      <c r="AZR44" s="481"/>
      <c r="AZS44" s="481"/>
      <c r="AZT44" s="481"/>
      <c r="AZU44" s="481"/>
      <c r="AZV44" s="481"/>
      <c r="AZW44" s="481"/>
      <c r="AZX44" s="481"/>
      <c r="AZY44" s="481"/>
      <c r="AZZ44" s="481"/>
      <c r="BAA44" s="481"/>
      <c r="BAB44" s="481"/>
      <c r="BAC44" s="481"/>
      <c r="BAD44" s="481"/>
      <c r="BAE44" s="481"/>
      <c r="BAF44" s="481"/>
      <c r="BAG44" s="481"/>
      <c r="BAH44" s="481"/>
      <c r="BAI44" s="481"/>
      <c r="BAJ44" s="481"/>
      <c r="BAK44" s="481"/>
      <c r="BAL44" s="481"/>
      <c r="BAM44" s="481"/>
      <c r="BAN44" s="481"/>
      <c r="BAO44" s="481"/>
      <c r="BAP44" s="481"/>
      <c r="BAQ44" s="481"/>
      <c r="BAR44" s="481"/>
      <c r="BAS44" s="481"/>
      <c r="BAT44" s="481"/>
      <c r="BAU44" s="481"/>
      <c r="BAV44" s="481"/>
      <c r="BAW44" s="481"/>
      <c r="BAX44" s="481"/>
      <c r="BAY44" s="481"/>
      <c r="BAZ44" s="481"/>
      <c r="BBA44" s="481"/>
      <c r="BBB44" s="481"/>
      <c r="BBC44" s="481"/>
      <c r="BBD44" s="481"/>
      <c r="BBE44" s="481"/>
      <c r="BBF44" s="481"/>
      <c r="BBG44" s="481"/>
      <c r="BBH44" s="481"/>
      <c r="BBI44" s="481"/>
      <c r="BBJ44" s="481"/>
      <c r="BBK44" s="481"/>
      <c r="BBL44" s="481"/>
      <c r="BBM44" s="481"/>
      <c r="BBN44" s="481"/>
      <c r="BBO44" s="481"/>
      <c r="BBP44" s="481"/>
      <c r="BBQ44" s="481"/>
      <c r="BBR44" s="481"/>
      <c r="BBS44" s="481"/>
      <c r="BBT44" s="481"/>
      <c r="BBU44" s="481"/>
      <c r="BBV44" s="481"/>
      <c r="BBW44" s="481"/>
      <c r="BBX44" s="481"/>
      <c r="BBY44" s="481"/>
      <c r="BBZ44" s="481"/>
      <c r="BCA44" s="481"/>
      <c r="BCB44" s="481"/>
      <c r="BCC44" s="481"/>
      <c r="BCD44" s="481"/>
      <c r="BCE44" s="481"/>
      <c r="BCF44" s="481"/>
      <c r="BCG44" s="481"/>
      <c r="BCH44" s="481"/>
      <c r="BCI44" s="481"/>
      <c r="BCJ44" s="481"/>
      <c r="BCK44" s="481"/>
      <c r="BCL44" s="481"/>
      <c r="BCM44" s="481"/>
      <c r="BCN44" s="481"/>
      <c r="BCO44" s="481"/>
      <c r="BCP44" s="481"/>
      <c r="BCQ44" s="481"/>
      <c r="BCR44" s="481"/>
      <c r="BCS44" s="481"/>
      <c r="BCT44" s="481"/>
      <c r="BCU44" s="481"/>
      <c r="BCV44" s="481"/>
      <c r="BCW44" s="481"/>
      <c r="BCX44" s="481"/>
      <c r="BCY44" s="481"/>
      <c r="BCZ44" s="481"/>
      <c r="BDA44" s="481"/>
      <c r="BDB44" s="481"/>
      <c r="BDC44" s="481"/>
      <c r="BDD44" s="481"/>
      <c r="BDE44" s="481"/>
      <c r="BDF44" s="481"/>
      <c r="BDG44" s="481"/>
      <c r="BDH44" s="481"/>
      <c r="BDI44" s="481"/>
      <c r="BDJ44" s="481"/>
      <c r="BDK44" s="481"/>
      <c r="BDL44" s="481"/>
      <c r="BDM44" s="481"/>
      <c r="BDN44" s="481"/>
      <c r="BDO44" s="481"/>
      <c r="BDP44" s="481"/>
      <c r="BDQ44" s="481"/>
      <c r="BDR44" s="481"/>
      <c r="BDS44" s="481"/>
      <c r="BDT44" s="481"/>
      <c r="BDU44" s="481"/>
      <c r="BDV44" s="481"/>
      <c r="BDW44" s="481"/>
      <c r="BDX44" s="481"/>
      <c r="BDY44" s="481"/>
      <c r="BDZ44" s="481"/>
      <c r="BEA44" s="481"/>
      <c r="BEB44" s="481"/>
      <c r="BEC44" s="481"/>
      <c r="BED44" s="481"/>
      <c r="BEE44" s="481"/>
      <c r="BEF44" s="481"/>
      <c r="BEG44" s="481"/>
      <c r="BEH44" s="481"/>
      <c r="BEI44" s="481"/>
      <c r="BEJ44" s="481"/>
      <c r="BEK44" s="481"/>
      <c r="BEL44" s="481"/>
      <c r="BEM44" s="481"/>
      <c r="BEN44" s="481"/>
      <c r="BEO44" s="481"/>
      <c r="BEP44" s="481"/>
      <c r="BEQ44" s="481"/>
      <c r="BER44" s="481"/>
      <c r="BES44" s="481"/>
      <c r="BET44" s="481"/>
      <c r="BEU44" s="481"/>
      <c r="BEV44" s="481"/>
      <c r="BEW44" s="481"/>
      <c r="BEX44" s="481"/>
      <c r="BEY44" s="481"/>
      <c r="BEZ44" s="481"/>
      <c r="BFA44" s="481"/>
      <c r="BFB44" s="481"/>
      <c r="BFC44" s="481"/>
      <c r="BFD44" s="481"/>
      <c r="BFE44" s="481"/>
      <c r="BFF44" s="481"/>
      <c r="BFG44" s="481"/>
      <c r="BFH44" s="481"/>
      <c r="BFI44" s="481"/>
      <c r="BFJ44" s="481"/>
      <c r="BFK44" s="481"/>
      <c r="BFL44" s="481"/>
      <c r="BFM44" s="481"/>
      <c r="BFN44" s="481"/>
      <c r="BFO44" s="481"/>
      <c r="BFP44" s="481"/>
      <c r="BFQ44" s="481"/>
      <c r="BFR44" s="481"/>
      <c r="BFS44" s="481"/>
      <c r="BFT44" s="481"/>
      <c r="BFU44" s="481"/>
      <c r="BFV44" s="481"/>
      <c r="BFW44" s="481"/>
      <c r="BFX44" s="481"/>
      <c r="BFY44" s="481"/>
      <c r="BFZ44" s="481"/>
      <c r="BGA44" s="481"/>
      <c r="BGB44" s="481"/>
      <c r="BGC44" s="481"/>
      <c r="BGD44" s="481"/>
      <c r="BGE44" s="481"/>
      <c r="BGF44" s="481"/>
      <c r="BGG44" s="481"/>
      <c r="BGH44" s="481"/>
      <c r="BGI44" s="481"/>
      <c r="BGJ44" s="481"/>
      <c r="BGK44" s="481"/>
      <c r="BGL44" s="481"/>
      <c r="BGM44" s="481"/>
      <c r="BGN44" s="481"/>
      <c r="BGO44" s="481"/>
      <c r="BGP44" s="481"/>
      <c r="BGQ44" s="481"/>
      <c r="BGR44" s="481"/>
      <c r="BGS44" s="481"/>
      <c r="BGT44" s="481"/>
      <c r="BGU44" s="481"/>
      <c r="BGV44" s="481"/>
      <c r="BGW44" s="481"/>
      <c r="BGX44" s="481"/>
      <c r="BGY44" s="481"/>
      <c r="BGZ44" s="481"/>
      <c r="BHA44" s="481"/>
      <c r="BHB44" s="481"/>
      <c r="BHC44" s="481"/>
      <c r="BHD44" s="481"/>
      <c r="BHE44" s="481"/>
      <c r="BHF44" s="481"/>
      <c r="BHG44" s="481"/>
      <c r="BHH44" s="481"/>
      <c r="BHI44" s="481"/>
      <c r="BHJ44" s="481"/>
      <c r="BHK44" s="481"/>
      <c r="BHL44" s="481"/>
      <c r="BHM44" s="481"/>
      <c r="BHN44" s="481"/>
      <c r="BHO44" s="481"/>
      <c r="BHP44" s="481"/>
      <c r="BHQ44" s="481"/>
      <c r="BHR44" s="481"/>
      <c r="BHS44" s="481"/>
      <c r="BHT44" s="481"/>
      <c r="BHU44" s="481"/>
      <c r="BHV44" s="481"/>
      <c r="BHW44" s="481"/>
      <c r="BHX44" s="481"/>
      <c r="BHY44" s="481"/>
      <c r="BHZ44" s="481"/>
      <c r="BIA44" s="481"/>
      <c r="BIB44" s="481"/>
      <c r="BIC44" s="481"/>
      <c r="BID44" s="481"/>
      <c r="BIE44" s="481"/>
      <c r="BIF44" s="481"/>
      <c r="BIG44" s="481"/>
      <c r="BIH44" s="481"/>
      <c r="BII44" s="481"/>
      <c r="BIJ44" s="481"/>
      <c r="BIK44" s="481"/>
      <c r="BIL44" s="481"/>
      <c r="BIM44" s="481"/>
      <c r="BIN44" s="481"/>
      <c r="BIO44" s="481"/>
      <c r="BIP44" s="481"/>
      <c r="BIQ44" s="481"/>
      <c r="BIR44" s="481"/>
      <c r="BIS44" s="481"/>
      <c r="BIT44" s="481"/>
      <c r="BIU44" s="481"/>
      <c r="BIV44" s="481"/>
      <c r="BIW44" s="481"/>
      <c r="BIX44" s="481"/>
      <c r="BIY44" s="481"/>
      <c r="BIZ44" s="481"/>
      <c r="BJA44" s="481"/>
      <c r="BJB44" s="481"/>
      <c r="BJC44" s="481"/>
      <c r="BJD44" s="481"/>
      <c r="BJE44" s="481"/>
      <c r="BJF44" s="481"/>
      <c r="BJG44" s="481"/>
      <c r="BJH44" s="481"/>
      <c r="BJI44" s="481"/>
      <c r="BJJ44" s="481"/>
      <c r="BJK44" s="481"/>
      <c r="BJL44" s="481"/>
      <c r="BJM44" s="481"/>
      <c r="BJN44" s="481"/>
      <c r="BJO44" s="481"/>
      <c r="BJP44" s="481"/>
      <c r="BJQ44" s="481"/>
      <c r="BJR44" s="481"/>
      <c r="BJS44" s="481"/>
      <c r="BJT44" s="481"/>
      <c r="BJU44" s="481"/>
      <c r="BJV44" s="481"/>
      <c r="BJW44" s="481"/>
      <c r="BJX44" s="481"/>
      <c r="BJY44" s="481"/>
      <c r="BJZ44" s="481"/>
      <c r="BKA44" s="481"/>
      <c r="BKB44" s="481"/>
      <c r="BKC44" s="481"/>
      <c r="BKD44" s="481"/>
      <c r="BKE44" s="481"/>
      <c r="BKF44" s="481"/>
      <c r="BKG44" s="481"/>
      <c r="BKH44" s="481"/>
      <c r="BKI44" s="481"/>
      <c r="BKJ44" s="481"/>
      <c r="BKK44" s="481"/>
      <c r="BKL44" s="481"/>
      <c r="BKM44" s="481"/>
      <c r="BKN44" s="481"/>
      <c r="BKO44" s="481"/>
      <c r="BKP44" s="481"/>
      <c r="BKQ44" s="481"/>
      <c r="BKR44" s="481"/>
      <c r="BKS44" s="481"/>
      <c r="BKT44" s="481"/>
      <c r="BKU44" s="481"/>
      <c r="BKV44" s="481"/>
      <c r="BKW44" s="481"/>
      <c r="BKX44" s="481"/>
      <c r="BKY44" s="481"/>
      <c r="BKZ44" s="481"/>
      <c r="BLA44" s="481"/>
      <c r="BLB44" s="481"/>
      <c r="BLC44" s="481"/>
      <c r="BLD44" s="481"/>
      <c r="BLE44" s="481"/>
      <c r="BLF44" s="481"/>
      <c r="BLG44" s="481"/>
      <c r="BLH44" s="481"/>
      <c r="BLI44" s="481"/>
      <c r="BLJ44" s="481"/>
      <c r="BLK44" s="481"/>
      <c r="BLL44" s="481"/>
      <c r="BLM44" s="481"/>
      <c r="BLN44" s="481"/>
      <c r="BLO44" s="481"/>
      <c r="BLP44" s="481"/>
      <c r="BLQ44" s="481"/>
      <c r="BLR44" s="481"/>
      <c r="BLS44" s="481"/>
      <c r="BLT44" s="481"/>
      <c r="BLU44" s="481"/>
      <c r="BLV44" s="481"/>
      <c r="BLW44" s="481"/>
      <c r="BLX44" s="481"/>
      <c r="BLY44" s="481"/>
      <c r="BLZ44" s="481"/>
      <c r="BMA44" s="481"/>
      <c r="BMB44" s="481"/>
      <c r="BMC44" s="481"/>
      <c r="BMD44" s="481"/>
      <c r="BME44" s="481"/>
      <c r="BMF44" s="481"/>
      <c r="BMG44" s="481"/>
      <c r="BMH44" s="481"/>
      <c r="BMI44" s="481"/>
      <c r="BMJ44" s="481"/>
      <c r="BMK44" s="481"/>
      <c r="BML44" s="481"/>
      <c r="BMM44" s="481"/>
      <c r="BMN44" s="481"/>
      <c r="BMO44" s="481"/>
      <c r="BMP44" s="481"/>
      <c r="BMQ44" s="481"/>
      <c r="BMR44" s="481"/>
      <c r="BMS44" s="481"/>
      <c r="BMT44" s="481"/>
      <c r="BMU44" s="481"/>
      <c r="BMV44" s="481"/>
      <c r="BMW44" s="481"/>
      <c r="BMX44" s="481"/>
      <c r="BMY44" s="481"/>
      <c r="BMZ44" s="481"/>
      <c r="BNA44" s="481"/>
      <c r="BNB44" s="481"/>
      <c r="BNC44" s="481"/>
      <c r="BND44" s="481"/>
      <c r="BNE44" s="481"/>
      <c r="BNF44" s="481"/>
      <c r="BNG44" s="481"/>
      <c r="BNH44" s="481"/>
      <c r="BNI44" s="481"/>
      <c r="BNJ44" s="481"/>
      <c r="BNK44" s="481"/>
      <c r="BNL44" s="481"/>
      <c r="BNM44" s="481"/>
      <c r="BNN44" s="481"/>
      <c r="BNO44" s="481"/>
      <c r="BNP44" s="481"/>
      <c r="BNQ44" s="481"/>
      <c r="BNR44" s="481"/>
      <c r="BNS44" s="481"/>
      <c r="BNT44" s="481"/>
      <c r="BNU44" s="481"/>
      <c r="BNV44" s="481"/>
      <c r="BNW44" s="481"/>
      <c r="BNX44" s="481"/>
      <c r="BNY44" s="481"/>
      <c r="BNZ44" s="481"/>
      <c r="BOA44" s="481"/>
      <c r="BOB44" s="481"/>
      <c r="BOC44" s="481"/>
      <c r="BOD44" s="481"/>
      <c r="BOE44" s="481"/>
      <c r="BOF44" s="481"/>
      <c r="BOG44" s="481"/>
      <c r="BOH44" s="481"/>
      <c r="BOI44" s="481"/>
      <c r="BOJ44" s="481"/>
      <c r="BOK44" s="481"/>
      <c r="BOL44" s="481"/>
      <c r="BOM44" s="481"/>
      <c r="BON44" s="481"/>
      <c r="BOO44" s="481"/>
      <c r="BOP44" s="481"/>
      <c r="BOQ44" s="481"/>
      <c r="BOR44" s="481"/>
      <c r="BOS44" s="481"/>
      <c r="BOT44" s="481"/>
      <c r="BOU44" s="481"/>
      <c r="BOV44" s="481"/>
      <c r="BOW44" s="481"/>
      <c r="BOX44" s="481"/>
      <c r="BOY44" s="481"/>
      <c r="BOZ44" s="481"/>
      <c r="BPA44" s="481"/>
      <c r="BPB44" s="481"/>
      <c r="BPC44" s="481"/>
      <c r="BPD44" s="481"/>
      <c r="BPE44" s="481"/>
      <c r="BPF44" s="481"/>
      <c r="BPG44" s="481"/>
      <c r="BPH44" s="481"/>
      <c r="BPI44" s="481"/>
      <c r="BPJ44" s="481"/>
      <c r="BPK44" s="481"/>
      <c r="BPL44" s="481"/>
      <c r="BPM44" s="481"/>
      <c r="BPN44" s="481"/>
      <c r="BPO44" s="481"/>
      <c r="BPP44" s="481"/>
      <c r="BPQ44" s="481"/>
      <c r="BPR44" s="481"/>
      <c r="BPS44" s="481"/>
      <c r="BPT44" s="481"/>
      <c r="BPU44" s="481"/>
      <c r="BPV44" s="481"/>
      <c r="BPW44" s="481"/>
      <c r="BPX44" s="481"/>
      <c r="BPY44" s="481"/>
      <c r="BPZ44" s="481"/>
      <c r="BQA44" s="481"/>
      <c r="BQB44" s="481"/>
      <c r="BQC44" s="481"/>
      <c r="BQD44" s="481"/>
      <c r="BQE44" s="481"/>
      <c r="BQF44" s="481"/>
      <c r="BQG44" s="481"/>
      <c r="BQH44" s="481"/>
      <c r="BQI44" s="481"/>
      <c r="BQJ44" s="481"/>
      <c r="BQK44" s="481"/>
      <c r="BQL44" s="481"/>
      <c r="BQM44" s="481"/>
      <c r="BQN44" s="481"/>
      <c r="BQO44" s="481"/>
      <c r="BQP44" s="481"/>
      <c r="BQQ44" s="481"/>
      <c r="BQR44" s="481"/>
      <c r="BQS44" s="481"/>
      <c r="BQT44" s="481"/>
      <c r="BQU44" s="481"/>
      <c r="BQV44" s="481"/>
      <c r="BQW44" s="481"/>
      <c r="BQX44" s="481"/>
      <c r="BQY44" s="481"/>
      <c r="BQZ44" s="481"/>
      <c r="BRA44" s="481"/>
      <c r="BRB44" s="481"/>
      <c r="BRC44" s="481"/>
      <c r="BRD44" s="481"/>
      <c r="BRE44" s="481"/>
      <c r="BRF44" s="481"/>
      <c r="BRG44" s="481"/>
      <c r="BRH44" s="481"/>
      <c r="BRI44" s="481"/>
      <c r="BRJ44" s="481"/>
      <c r="BRK44" s="481"/>
      <c r="BRL44" s="481"/>
      <c r="BRM44" s="481"/>
      <c r="BRN44" s="481"/>
      <c r="BRO44" s="481"/>
      <c r="BRP44" s="481"/>
      <c r="BRQ44" s="481"/>
      <c r="BRR44" s="481"/>
      <c r="BRS44" s="481"/>
      <c r="BRT44" s="481"/>
      <c r="BRU44" s="481"/>
      <c r="BRV44" s="481"/>
      <c r="BRW44" s="481"/>
      <c r="BRX44" s="481"/>
      <c r="BRY44" s="481"/>
      <c r="BRZ44" s="481"/>
      <c r="BSA44" s="481"/>
      <c r="BSB44" s="481"/>
      <c r="BSC44" s="481"/>
      <c r="BSD44" s="481"/>
      <c r="BSE44" s="481"/>
      <c r="BSF44" s="481"/>
      <c r="BSG44" s="481"/>
      <c r="BSH44" s="481"/>
      <c r="BSI44" s="481"/>
      <c r="BSJ44" s="481"/>
      <c r="BSK44" s="481"/>
      <c r="BSL44" s="481"/>
      <c r="BSM44" s="481"/>
      <c r="BSN44" s="481"/>
      <c r="BSO44" s="481"/>
      <c r="BSP44" s="481"/>
      <c r="BSQ44" s="481"/>
      <c r="BSR44" s="481"/>
      <c r="BSS44" s="481"/>
      <c r="BST44" s="481"/>
      <c r="BSU44" s="481"/>
      <c r="BSV44" s="481"/>
      <c r="BSW44" s="481"/>
      <c r="BSX44" s="481"/>
      <c r="BSY44" s="481"/>
      <c r="BSZ44" s="481"/>
      <c r="BTA44" s="481"/>
      <c r="BTB44" s="481"/>
      <c r="BTC44" s="481"/>
      <c r="BTD44" s="481"/>
      <c r="BTE44" s="481"/>
      <c r="BTF44" s="481"/>
      <c r="BTG44" s="481"/>
      <c r="BTH44" s="481"/>
      <c r="BTI44" s="481"/>
      <c r="BTJ44" s="481"/>
      <c r="BTK44" s="481"/>
      <c r="BTL44" s="481"/>
      <c r="BTM44" s="481"/>
      <c r="BTN44" s="481"/>
      <c r="BTO44" s="481"/>
      <c r="BTP44" s="481"/>
      <c r="BTQ44" s="481"/>
      <c r="BTR44" s="481"/>
      <c r="BTS44" s="481"/>
      <c r="BTT44" s="481"/>
      <c r="BTU44" s="481"/>
      <c r="BTV44" s="481"/>
      <c r="BTW44" s="481"/>
      <c r="BTX44" s="481"/>
      <c r="BTY44" s="481"/>
      <c r="BTZ44" s="481"/>
      <c r="BUA44" s="481"/>
      <c r="BUB44" s="481"/>
      <c r="BUC44" s="481"/>
      <c r="BUD44" s="481"/>
      <c r="BUE44" s="481"/>
      <c r="BUF44" s="481"/>
      <c r="BUG44" s="481"/>
      <c r="BUH44" s="481"/>
      <c r="BUI44" s="481"/>
      <c r="BUJ44" s="481"/>
      <c r="BUK44" s="481"/>
      <c r="BUL44" s="481"/>
      <c r="BUM44" s="481"/>
      <c r="BUN44" s="481"/>
      <c r="BUO44" s="481"/>
      <c r="BUP44" s="481"/>
      <c r="BUQ44" s="481"/>
      <c r="BUR44" s="481"/>
      <c r="BUS44" s="481"/>
      <c r="BUT44" s="481"/>
      <c r="BUU44" s="481"/>
      <c r="BUV44" s="481"/>
      <c r="BUW44" s="481"/>
      <c r="BUX44" s="481"/>
      <c r="BUY44" s="481"/>
      <c r="BUZ44" s="481"/>
      <c r="BVA44" s="481"/>
      <c r="BVB44" s="481"/>
      <c r="BVC44" s="481"/>
      <c r="BVD44" s="481"/>
      <c r="BVE44" s="481"/>
      <c r="BVF44" s="481"/>
      <c r="BVG44" s="481"/>
      <c r="BVH44" s="481"/>
      <c r="BVI44" s="481"/>
      <c r="BVJ44" s="481"/>
      <c r="BVK44" s="481"/>
      <c r="BVL44" s="481"/>
      <c r="BVM44" s="481"/>
      <c r="BVN44" s="481"/>
      <c r="BVO44" s="481"/>
      <c r="BVP44" s="481"/>
      <c r="BVQ44" s="481"/>
      <c r="BVR44" s="481"/>
      <c r="BVS44" s="481"/>
      <c r="BVT44" s="481"/>
      <c r="BVU44" s="481"/>
      <c r="BVV44" s="481"/>
      <c r="BVW44" s="481"/>
      <c r="BVX44" s="481"/>
      <c r="BVY44" s="481"/>
      <c r="BVZ44" s="481"/>
      <c r="BWA44" s="481"/>
      <c r="BWB44" s="481"/>
      <c r="BWC44" s="481"/>
      <c r="BWD44" s="481"/>
      <c r="BWE44" s="481"/>
      <c r="BWF44" s="481"/>
      <c r="BWG44" s="481"/>
      <c r="BWH44" s="481"/>
      <c r="BWI44" s="481"/>
      <c r="BWJ44" s="481"/>
      <c r="BWK44" s="481"/>
      <c r="BWL44" s="481"/>
      <c r="BWM44" s="481"/>
      <c r="BWN44" s="481"/>
      <c r="BWO44" s="481"/>
      <c r="BWP44" s="481"/>
      <c r="BWQ44" s="481"/>
      <c r="BWR44" s="481"/>
      <c r="BWS44" s="481"/>
      <c r="BWT44" s="481"/>
      <c r="BWU44" s="481"/>
      <c r="BWV44" s="481"/>
      <c r="BWW44" s="481"/>
      <c r="BWX44" s="481"/>
      <c r="BWY44" s="481"/>
      <c r="BWZ44" s="481"/>
      <c r="BXA44" s="481"/>
      <c r="BXB44" s="481"/>
      <c r="BXC44" s="481"/>
      <c r="BXD44" s="481"/>
      <c r="BXE44" s="481"/>
      <c r="BXF44" s="481"/>
      <c r="BXG44" s="481"/>
      <c r="BXH44" s="481"/>
      <c r="BXI44" s="481"/>
      <c r="BXJ44" s="481"/>
      <c r="BXK44" s="481"/>
      <c r="BXL44" s="481"/>
      <c r="BXM44" s="481"/>
      <c r="BXN44" s="481"/>
      <c r="BXO44" s="481"/>
      <c r="BXP44" s="481"/>
      <c r="BXQ44" s="481"/>
      <c r="BXR44" s="481"/>
      <c r="BXS44" s="481"/>
      <c r="BXT44" s="481"/>
      <c r="BXU44" s="481"/>
      <c r="BXV44" s="481"/>
      <c r="BXW44" s="481"/>
      <c r="BXX44" s="481"/>
      <c r="BXY44" s="481"/>
      <c r="BXZ44" s="481"/>
      <c r="BYA44" s="481"/>
      <c r="BYB44" s="481"/>
      <c r="BYC44" s="481"/>
      <c r="BYD44" s="481"/>
      <c r="BYE44" s="481"/>
      <c r="BYF44" s="481"/>
      <c r="BYG44" s="481"/>
      <c r="BYH44" s="481"/>
      <c r="BYI44" s="481"/>
      <c r="BYJ44" s="481"/>
      <c r="BYK44" s="481"/>
      <c r="BYL44" s="481"/>
      <c r="BYM44" s="481"/>
      <c r="BYN44" s="481"/>
      <c r="BYO44" s="481"/>
      <c r="BYP44" s="481"/>
      <c r="BYQ44" s="481"/>
      <c r="BYR44" s="481"/>
      <c r="BYS44" s="481"/>
      <c r="BYT44" s="481"/>
      <c r="BYU44" s="481"/>
      <c r="BYV44" s="481"/>
      <c r="BYW44" s="481"/>
      <c r="BYX44" s="481"/>
      <c r="BYY44" s="481"/>
      <c r="BYZ44" s="481"/>
      <c r="BZA44" s="481"/>
      <c r="BZB44" s="481"/>
      <c r="BZC44" s="481"/>
      <c r="BZD44" s="481"/>
      <c r="BZE44" s="481"/>
      <c r="BZF44" s="481"/>
      <c r="BZG44" s="481"/>
      <c r="BZH44" s="481"/>
      <c r="BZI44" s="481"/>
      <c r="BZJ44" s="481"/>
      <c r="BZK44" s="481"/>
      <c r="BZL44" s="481"/>
      <c r="BZM44" s="481"/>
      <c r="BZN44" s="481"/>
      <c r="BZO44" s="481"/>
      <c r="BZP44" s="481"/>
      <c r="BZQ44" s="481"/>
      <c r="BZR44" s="481"/>
      <c r="BZS44" s="481"/>
      <c r="BZT44" s="481"/>
      <c r="BZU44" s="481"/>
      <c r="BZV44" s="481"/>
      <c r="BZW44" s="481"/>
      <c r="BZX44" s="481"/>
      <c r="BZY44" s="481"/>
      <c r="BZZ44" s="481"/>
      <c r="CAA44" s="481"/>
      <c r="CAB44" s="481"/>
      <c r="CAC44" s="481"/>
      <c r="CAD44" s="481"/>
      <c r="CAE44" s="481"/>
      <c r="CAF44" s="481"/>
      <c r="CAG44" s="481"/>
      <c r="CAH44" s="481"/>
      <c r="CAI44" s="481"/>
      <c r="CAJ44" s="481"/>
      <c r="CAK44" s="481"/>
      <c r="CAL44" s="481"/>
      <c r="CAM44" s="481"/>
      <c r="CAN44" s="481"/>
      <c r="CAO44" s="481"/>
      <c r="CAP44" s="481"/>
      <c r="CAQ44" s="481"/>
      <c r="CAR44" s="481"/>
      <c r="CAS44" s="481"/>
      <c r="CAT44" s="481"/>
      <c r="CAU44" s="481"/>
      <c r="CAV44" s="481"/>
      <c r="CAW44" s="481"/>
      <c r="CAX44" s="481"/>
      <c r="CAY44" s="481"/>
      <c r="CAZ44" s="481"/>
      <c r="CBA44" s="481"/>
      <c r="CBB44" s="481"/>
      <c r="CBC44" s="481"/>
      <c r="CBD44" s="481"/>
      <c r="CBE44" s="481"/>
      <c r="CBF44" s="481"/>
      <c r="CBG44" s="481"/>
      <c r="CBH44" s="481"/>
      <c r="CBI44" s="481"/>
      <c r="CBJ44" s="481"/>
      <c r="CBK44" s="481"/>
      <c r="CBL44" s="481"/>
      <c r="CBM44" s="481"/>
      <c r="CBN44" s="481"/>
      <c r="CBO44" s="481"/>
      <c r="CBP44" s="481"/>
      <c r="CBQ44" s="481"/>
      <c r="CBR44" s="481"/>
      <c r="CBS44" s="481"/>
      <c r="CBT44" s="481"/>
      <c r="CBU44" s="481"/>
      <c r="CBV44" s="481"/>
      <c r="CBW44" s="481"/>
      <c r="CBX44" s="481"/>
      <c r="CBY44" s="481"/>
      <c r="CBZ44" s="481"/>
      <c r="CCA44" s="481"/>
      <c r="CCB44" s="481"/>
      <c r="CCC44" s="481"/>
      <c r="CCD44" s="481"/>
      <c r="CCE44" s="481"/>
      <c r="CCF44" s="481"/>
      <c r="CCG44" s="481"/>
      <c r="CCH44" s="481"/>
      <c r="CCI44" s="481"/>
      <c r="CCJ44" s="481"/>
      <c r="CCK44" s="481"/>
      <c r="CCL44" s="481"/>
      <c r="CCM44" s="481"/>
      <c r="CCN44" s="481"/>
      <c r="CCO44" s="481"/>
      <c r="CCP44" s="481"/>
      <c r="CCQ44" s="481"/>
      <c r="CCR44" s="481"/>
      <c r="CCS44" s="481"/>
      <c r="CCT44" s="481"/>
      <c r="CCU44" s="481"/>
      <c r="CCV44" s="481"/>
      <c r="CCW44" s="481"/>
      <c r="CCX44" s="481"/>
      <c r="CCY44" s="481"/>
      <c r="CCZ44" s="481"/>
      <c r="CDA44" s="481"/>
      <c r="CDB44" s="481"/>
      <c r="CDC44" s="481"/>
      <c r="CDD44" s="481"/>
      <c r="CDE44" s="481"/>
      <c r="CDF44" s="481"/>
      <c r="CDG44" s="481"/>
      <c r="CDH44" s="481"/>
      <c r="CDI44" s="481"/>
      <c r="CDJ44" s="481"/>
      <c r="CDK44" s="481"/>
      <c r="CDL44" s="481"/>
      <c r="CDM44" s="481"/>
      <c r="CDN44" s="481"/>
      <c r="CDO44" s="481"/>
      <c r="CDP44" s="481"/>
      <c r="CDQ44" s="481"/>
      <c r="CDR44" s="481"/>
      <c r="CDS44" s="481"/>
      <c r="CDT44" s="481"/>
      <c r="CDU44" s="481"/>
      <c r="CDV44" s="481"/>
      <c r="CDW44" s="481"/>
      <c r="CDX44" s="481"/>
      <c r="CDY44" s="481"/>
      <c r="CDZ44" s="481"/>
      <c r="CEA44" s="481"/>
      <c r="CEB44" s="481"/>
      <c r="CEC44" s="481"/>
      <c r="CED44" s="481"/>
      <c r="CEE44" s="481"/>
      <c r="CEF44" s="481"/>
      <c r="CEG44" s="481"/>
      <c r="CEH44" s="481"/>
      <c r="CEI44" s="481"/>
      <c r="CEJ44" s="481"/>
      <c r="CEK44" s="481"/>
      <c r="CEL44" s="481"/>
      <c r="CEM44" s="481"/>
      <c r="CEN44" s="481"/>
      <c r="CEO44" s="481"/>
      <c r="CEP44" s="481"/>
      <c r="CEQ44" s="481"/>
      <c r="CER44" s="481"/>
      <c r="CES44" s="481"/>
      <c r="CET44" s="481"/>
      <c r="CEU44" s="481"/>
      <c r="CEV44" s="481"/>
      <c r="CEW44" s="481"/>
      <c r="CEX44" s="481"/>
      <c r="CEY44" s="481"/>
      <c r="CEZ44" s="481"/>
      <c r="CFA44" s="481"/>
      <c r="CFB44" s="481"/>
      <c r="CFC44" s="481"/>
      <c r="CFD44" s="481"/>
      <c r="CFE44" s="481"/>
      <c r="CFF44" s="481"/>
      <c r="CFG44" s="481"/>
      <c r="CFH44" s="481"/>
      <c r="CFI44" s="481"/>
      <c r="CFJ44" s="481"/>
      <c r="CFK44" s="481"/>
      <c r="CFL44" s="481"/>
      <c r="CFM44" s="481"/>
      <c r="CFN44" s="481"/>
      <c r="CFO44" s="481"/>
      <c r="CFP44" s="481"/>
      <c r="CFQ44" s="481"/>
      <c r="CFR44" s="481"/>
      <c r="CFS44" s="481"/>
      <c r="CFT44" s="481"/>
      <c r="CFU44" s="481"/>
      <c r="CFV44" s="481"/>
      <c r="CFW44" s="481"/>
      <c r="CFX44" s="481"/>
      <c r="CFY44" s="481"/>
      <c r="CFZ44" s="481"/>
      <c r="CGA44" s="481"/>
      <c r="CGB44" s="481"/>
      <c r="CGC44" s="481"/>
      <c r="CGD44" s="481"/>
      <c r="CGE44" s="481"/>
      <c r="CGF44" s="481"/>
      <c r="CGG44" s="481"/>
      <c r="CGH44" s="481"/>
      <c r="CGI44" s="481"/>
      <c r="CGJ44" s="481"/>
      <c r="CGK44" s="481"/>
      <c r="CGL44" s="481"/>
      <c r="CGM44" s="481"/>
      <c r="CGN44" s="481"/>
      <c r="CGO44" s="481"/>
      <c r="CGP44" s="481"/>
      <c r="CGQ44" s="481"/>
      <c r="CGR44" s="481"/>
      <c r="CGS44" s="481"/>
      <c r="CGT44" s="481"/>
      <c r="CGU44" s="481"/>
      <c r="CGV44" s="481"/>
      <c r="CGW44" s="481"/>
      <c r="CGX44" s="481"/>
      <c r="CGY44" s="481"/>
      <c r="CGZ44" s="481"/>
      <c r="CHA44" s="481"/>
      <c r="CHB44" s="481"/>
      <c r="CHC44" s="481"/>
      <c r="CHD44" s="481"/>
      <c r="CHE44" s="481"/>
      <c r="CHF44" s="481"/>
      <c r="CHG44" s="481"/>
      <c r="CHH44" s="481"/>
      <c r="CHI44" s="481"/>
      <c r="CHJ44" s="481"/>
      <c r="CHK44" s="481"/>
      <c r="CHL44" s="481"/>
      <c r="CHM44" s="481"/>
      <c r="CHN44" s="481"/>
      <c r="CHO44" s="481"/>
      <c r="CHP44" s="481"/>
      <c r="CHQ44" s="481"/>
      <c r="CHR44" s="481"/>
      <c r="CHS44" s="481"/>
      <c r="CHT44" s="481"/>
      <c r="CHU44" s="481"/>
      <c r="CHV44" s="481"/>
      <c r="CHW44" s="481"/>
      <c r="CHX44" s="481"/>
      <c r="CHY44" s="481"/>
      <c r="CHZ44" s="481"/>
      <c r="CIA44" s="481"/>
      <c r="CIB44" s="481"/>
      <c r="CIC44" s="481"/>
      <c r="CID44" s="481"/>
      <c r="CIE44" s="481"/>
      <c r="CIF44" s="481"/>
      <c r="CIG44" s="481"/>
      <c r="CIH44" s="481"/>
      <c r="CII44" s="481"/>
      <c r="CIJ44" s="481"/>
      <c r="CIK44" s="481"/>
      <c r="CIL44" s="481"/>
      <c r="CIM44" s="481"/>
      <c r="CIN44" s="481"/>
      <c r="CIO44" s="481"/>
      <c r="CIP44" s="481"/>
      <c r="CIQ44" s="481"/>
      <c r="CIR44" s="481"/>
      <c r="CIS44" s="481"/>
      <c r="CIT44" s="481"/>
      <c r="CIU44" s="481"/>
      <c r="CIV44" s="481"/>
      <c r="CIW44" s="481"/>
      <c r="CIX44" s="481"/>
      <c r="CIY44" s="481"/>
      <c r="CIZ44" s="481"/>
      <c r="CJA44" s="481"/>
      <c r="CJB44" s="481"/>
      <c r="CJC44" s="481"/>
      <c r="CJD44" s="481"/>
      <c r="CJE44" s="481"/>
      <c r="CJF44" s="481"/>
      <c r="CJG44" s="481"/>
      <c r="CJH44" s="481"/>
      <c r="CJI44" s="481"/>
      <c r="CJJ44" s="481"/>
      <c r="CJK44" s="481"/>
      <c r="CJL44" s="481"/>
      <c r="CJM44" s="481"/>
      <c r="CJN44" s="481"/>
      <c r="CJO44" s="481"/>
      <c r="CJP44" s="481"/>
      <c r="CJQ44" s="481"/>
      <c r="CJR44" s="481"/>
      <c r="CJS44" s="481"/>
      <c r="CJT44" s="481"/>
      <c r="CJU44" s="481"/>
      <c r="CJV44" s="481"/>
      <c r="CJW44" s="481"/>
      <c r="CJX44" s="481"/>
      <c r="CJY44" s="481"/>
      <c r="CJZ44" s="481"/>
      <c r="CKA44" s="481"/>
      <c r="CKB44" s="481"/>
      <c r="CKC44" s="481"/>
      <c r="CKD44" s="481"/>
      <c r="CKE44" s="481"/>
      <c r="CKF44" s="481"/>
      <c r="CKG44" s="481"/>
      <c r="CKH44" s="481"/>
      <c r="CKI44" s="481"/>
      <c r="CKJ44" s="481"/>
      <c r="CKK44" s="481"/>
      <c r="CKL44" s="481"/>
      <c r="CKM44" s="481"/>
      <c r="CKN44" s="481"/>
      <c r="CKO44" s="481"/>
      <c r="CKP44" s="481"/>
      <c r="CKQ44" s="481"/>
      <c r="CKR44" s="481"/>
      <c r="CKS44" s="481"/>
      <c r="CKT44" s="481"/>
      <c r="CKU44" s="481"/>
      <c r="CKV44" s="481"/>
      <c r="CKW44" s="481"/>
      <c r="CKX44" s="481"/>
      <c r="CKY44" s="481"/>
      <c r="CKZ44" s="481"/>
      <c r="CLA44" s="481"/>
      <c r="CLB44" s="481"/>
      <c r="CLC44" s="481"/>
      <c r="CLD44" s="481"/>
      <c r="CLE44" s="481"/>
      <c r="CLF44" s="481"/>
      <c r="CLG44" s="481"/>
      <c r="CLH44" s="481"/>
      <c r="CLI44" s="481"/>
      <c r="CLJ44" s="481"/>
      <c r="CLK44" s="481"/>
      <c r="CLL44" s="481"/>
      <c r="CLM44" s="481"/>
      <c r="CLN44" s="481"/>
      <c r="CLO44" s="481"/>
      <c r="CLP44" s="481"/>
      <c r="CLQ44" s="481"/>
      <c r="CLR44" s="481"/>
      <c r="CLS44" s="481"/>
      <c r="CLT44" s="481"/>
      <c r="CLU44" s="481"/>
      <c r="CLV44" s="481"/>
      <c r="CLW44" s="481"/>
      <c r="CLX44" s="481"/>
      <c r="CLY44" s="481"/>
      <c r="CLZ44" s="481"/>
      <c r="CMA44" s="481"/>
      <c r="CMB44" s="481"/>
      <c r="CMC44" s="481"/>
      <c r="CMD44" s="481"/>
      <c r="CME44" s="481"/>
      <c r="CMF44" s="481"/>
      <c r="CMG44" s="481"/>
      <c r="CMH44" s="481"/>
      <c r="CMI44" s="481"/>
      <c r="CMJ44" s="481"/>
      <c r="CMK44" s="481"/>
      <c r="CML44" s="481"/>
      <c r="CMM44" s="481"/>
      <c r="CMN44" s="481"/>
      <c r="CMO44" s="481"/>
      <c r="CMP44" s="481"/>
      <c r="CMQ44" s="481"/>
      <c r="CMR44" s="481"/>
      <c r="CMS44" s="481"/>
      <c r="CMT44" s="481"/>
      <c r="CMU44" s="481"/>
      <c r="CMV44" s="481"/>
      <c r="CMW44" s="481"/>
      <c r="CMX44" s="481"/>
      <c r="CMY44" s="481"/>
      <c r="CMZ44" s="481"/>
      <c r="CNA44" s="481"/>
      <c r="CNB44" s="481"/>
      <c r="CNC44" s="481"/>
      <c r="CND44" s="481"/>
      <c r="CNE44" s="481"/>
      <c r="CNF44" s="481"/>
      <c r="CNG44" s="481"/>
      <c r="CNH44" s="481"/>
      <c r="CNI44" s="481"/>
      <c r="CNJ44" s="481"/>
      <c r="CNK44" s="481"/>
      <c r="CNL44" s="481"/>
      <c r="CNM44" s="481"/>
      <c r="CNN44" s="481"/>
      <c r="CNO44" s="481"/>
      <c r="CNP44" s="481"/>
      <c r="CNQ44" s="481"/>
      <c r="CNR44" s="481"/>
      <c r="CNS44" s="481"/>
      <c r="CNT44" s="481"/>
      <c r="CNU44" s="481"/>
      <c r="CNV44" s="481"/>
      <c r="CNW44" s="481"/>
      <c r="CNX44" s="481"/>
      <c r="CNY44" s="481"/>
      <c r="CNZ44" s="481"/>
      <c r="COA44" s="481"/>
      <c r="COB44" s="481"/>
      <c r="COC44" s="481"/>
      <c r="COD44" s="481"/>
      <c r="COE44" s="481"/>
      <c r="COF44" s="481"/>
      <c r="COG44" s="481"/>
      <c r="COH44" s="481"/>
      <c r="COI44" s="481"/>
      <c r="COJ44" s="481"/>
      <c r="COK44" s="481"/>
      <c r="COL44" s="481"/>
      <c r="COM44" s="481"/>
      <c r="CON44" s="481"/>
      <c r="COO44" s="481"/>
      <c r="COP44" s="481"/>
      <c r="COQ44" s="481"/>
      <c r="COR44" s="481"/>
      <c r="COS44" s="481"/>
      <c r="COT44" s="481"/>
      <c r="COU44" s="481"/>
      <c r="COV44" s="481"/>
      <c r="COW44" s="481"/>
      <c r="COX44" s="481"/>
      <c r="COY44" s="481"/>
      <c r="COZ44" s="481"/>
      <c r="CPA44" s="481"/>
      <c r="CPB44" s="481"/>
      <c r="CPC44" s="481"/>
      <c r="CPD44" s="481"/>
      <c r="CPE44" s="481"/>
      <c r="CPF44" s="481"/>
      <c r="CPG44" s="481"/>
      <c r="CPH44" s="481"/>
      <c r="CPI44" s="481"/>
      <c r="CPJ44" s="481"/>
      <c r="CPK44" s="481"/>
      <c r="CPL44" s="481"/>
      <c r="CPM44" s="481"/>
      <c r="CPN44" s="481"/>
      <c r="CPO44" s="481"/>
      <c r="CPP44" s="481"/>
      <c r="CPQ44" s="481"/>
      <c r="CPR44" s="481"/>
      <c r="CPS44" s="481"/>
      <c r="CPT44" s="481"/>
      <c r="CPU44" s="481"/>
      <c r="CPV44" s="481"/>
      <c r="CPW44" s="481"/>
      <c r="CPX44" s="481"/>
      <c r="CPY44" s="481"/>
      <c r="CPZ44" s="481"/>
      <c r="CQA44" s="481"/>
      <c r="CQB44" s="481"/>
      <c r="CQC44" s="481"/>
      <c r="CQD44" s="481"/>
      <c r="CQE44" s="481"/>
      <c r="CQF44" s="481"/>
      <c r="CQG44" s="481"/>
      <c r="CQH44" s="481"/>
      <c r="CQI44" s="481"/>
      <c r="CQJ44" s="481"/>
      <c r="CQK44" s="481"/>
      <c r="CQL44" s="481"/>
      <c r="CQM44" s="481"/>
      <c r="CQN44" s="481"/>
      <c r="CQO44" s="481"/>
      <c r="CQP44" s="481"/>
      <c r="CQQ44" s="481"/>
      <c r="CQR44" s="481"/>
      <c r="CQS44" s="481"/>
      <c r="CQT44" s="481"/>
      <c r="CQU44" s="481"/>
      <c r="CQV44" s="481"/>
      <c r="CQW44" s="481"/>
      <c r="CQX44" s="481"/>
      <c r="CQY44" s="481"/>
      <c r="CQZ44" s="481"/>
      <c r="CRA44" s="481"/>
      <c r="CRB44" s="481"/>
      <c r="CRC44" s="481"/>
      <c r="CRD44" s="481"/>
      <c r="CRE44" s="481"/>
      <c r="CRF44" s="481"/>
      <c r="CRG44" s="481"/>
      <c r="CRH44" s="481"/>
      <c r="CRI44" s="481"/>
      <c r="CRJ44" s="481"/>
      <c r="CRK44" s="481"/>
      <c r="CRL44" s="481"/>
      <c r="CRM44" s="481"/>
      <c r="CRN44" s="481"/>
      <c r="CRO44" s="481"/>
      <c r="CRP44" s="481"/>
      <c r="CRQ44" s="481"/>
      <c r="CRR44" s="481"/>
      <c r="CRS44" s="481"/>
      <c r="CRT44" s="481"/>
      <c r="CRU44" s="481"/>
      <c r="CRV44" s="481"/>
      <c r="CRW44" s="481"/>
      <c r="CRX44" s="481"/>
      <c r="CRY44" s="481"/>
      <c r="CRZ44" s="481"/>
      <c r="CSA44" s="481"/>
      <c r="CSB44" s="481"/>
      <c r="CSC44" s="481"/>
      <c r="CSD44" s="481"/>
      <c r="CSE44" s="481"/>
      <c r="CSF44" s="481"/>
      <c r="CSG44" s="481"/>
      <c r="CSH44" s="481"/>
      <c r="CSI44" s="481"/>
      <c r="CSJ44" s="481"/>
      <c r="CSK44" s="481"/>
      <c r="CSL44" s="481"/>
      <c r="CSM44" s="481"/>
      <c r="CSN44" s="481"/>
      <c r="CSO44" s="481"/>
      <c r="CSP44" s="481"/>
      <c r="CSQ44" s="481"/>
      <c r="CSR44" s="481"/>
      <c r="CSS44" s="481"/>
      <c r="CST44" s="481"/>
      <c r="CSU44" s="481"/>
      <c r="CSV44" s="481"/>
      <c r="CSW44" s="481"/>
      <c r="CSX44" s="481"/>
      <c r="CSY44" s="481"/>
      <c r="CSZ44" s="481"/>
      <c r="CTA44" s="481"/>
      <c r="CTB44" s="481"/>
      <c r="CTC44" s="481"/>
      <c r="CTD44" s="481"/>
      <c r="CTE44" s="481"/>
      <c r="CTF44" s="481"/>
      <c r="CTG44" s="481"/>
      <c r="CTH44" s="481"/>
      <c r="CTI44" s="481"/>
      <c r="CTJ44" s="481"/>
      <c r="CTK44" s="481"/>
      <c r="CTL44" s="481"/>
      <c r="CTM44" s="481"/>
      <c r="CTN44" s="481"/>
      <c r="CTO44" s="481"/>
      <c r="CTP44" s="481"/>
      <c r="CTQ44" s="481"/>
      <c r="CTR44" s="481"/>
      <c r="CTS44" s="481"/>
      <c r="CTT44" s="481"/>
      <c r="CTU44" s="481"/>
      <c r="CTV44" s="481"/>
      <c r="CTW44" s="481"/>
      <c r="CTX44" s="481"/>
      <c r="CTY44" s="481"/>
      <c r="CTZ44" s="481"/>
      <c r="CUA44" s="481"/>
      <c r="CUB44" s="481"/>
      <c r="CUC44" s="481"/>
      <c r="CUD44" s="481"/>
      <c r="CUE44" s="481"/>
      <c r="CUF44" s="481"/>
      <c r="CUG44" s="481"/>
      <c r="CUH44" s="481"/>
      <c r="CUI44" s="481"/>
      <c r="CUJ44" s="481"/>
      <c r="CUK44" s="481"/>
      <c r="CUL44" s="481"/>
      <c r="CUM44" s="481"/>
      <c r="CUN44" s="481"/>
      <c r="CUO44" s="481"/>
      <c r="CUP44" s="481"/>
      <c r="CUQ44" s="481"/>
      <c r="CUR44" s="481"/>
      <c r="CUS44" s="481"/>
      <c r="CUT44" s="481"/>
      <c r="CUU44" s="481"/>
      <c r="CUV44" s="481"/>
      <c r="CUW44" s="481"/>
      <c r="CUX44" s="481"/>
      <c r="CUY44" s="481"/>
      <c r="CUZ44" s="481"/>
      <c r="CVA44" s="481"/>
      <c r="CVB44" s="481"/>
      <c r="CVC44" s="481"/>
      <c r="CVD44" s="481"/>
      <c r="CVE44" s="481"/>
      <c r="CVF44" s="481"/>
      <c r="CVG44" s="481"/>
      <c r="CVH44" s="481"/>
      <c r="CVI44" s="481"/>
      <c r="CVJ44" s="481"/>
      <c r="CVK44" s="481"/>
      <c r="CVL44" s="481"/>
      <c r="CVM44" s="481"/>
      <c r="CVN44" s="481"/>
      <c r="CVO44" s="481"/>
      <c r="CVP44" s="481"/>
      <c r="CVQ44" s="481"/>
      <c r="CVR44" s="481"/>
      <c r="CVS44" s="481"/>
      <c r="CVT44" s="481"/>
      <c r="CVU44" s="481"/>
      <c r="CVV44" s="481"/>
      <c r="CVW44" s="481"/>
      <c r="CVX44" s="481"/>
      <c r="CVY44" s="481"/>
      <c r="CVZ44" s="481"/>
      <c r="CWA44" s="481"/>
      <c r="CWB44" s="481"/>
      <c r="CWC44" s="481"/>
      <c r="CWD44" s="481"/>
      <c r="CWE44" s="481"/>
      <c r="CWF44" s="481"/>
      <c r="CWG44" s="481"/>
      <c r="CWH44" s="481"/>
      <c r="CWI44" s="481"/>
      <c r="CWJ44" s="481"/>
      <c r="CWK44" s="481"/>
      <c r="CWL44" s="481"/>
      <c r="CWM44" s="481"/>
      <c r="CWN44" s="481"/>
      <c r="CWO44" s="481"/>
      <c r="CWP44" s="481"/>
      <c r="CWQ44" s="481"/>
      <c r="CWR44" s="481"/>
      <c r="CWS44" s="481"/>
      <c r="CWT44" s="481"/>
      <c r="CWU44" s="481"/>
      <c r="CWV44" s="481"/>
      <c r="CWW44" s="481"/>
      <c r="CWX44" s="481"/>
      <c r="CWY44" s="481"/>
      <c r="CWZ44" s="481"/>
      <c r="CXA44" s="481"/>
      <c r="CXB44" s="481"/>
      <c r="CXC44" s="481"/>
      <c r="CXD44" s="481"/>
      <c r="CXE44" s="481"/>
      <c r="CXF44" s="481"/>
      <c r="CXG44" s="481"/>
      <c r="CXH44" s="481"/>
      <c r="CXI44" s="481"/>
      <c r="CXJ44" s="481"/>
      <c r="CXK44" s="481"/>
      <c r="CXL44" s="481"/>
      <c r="CXM44" s="481"/>
      <c r="CXN44" s="481"/>
      <c r="CXO44" s="481"/>
      <c r="CXP44" s="481"/>
      <c r="CXQ44" s="481"/>
      <c r="CXR44" s="481"/>
      <c r="CXS44" s="481"/>
      <c r="CXT44" s="481"/>
      <c r="CXU44" s="481"/>
      <c r="CXV44" s="481"/>
      <c r="CXW44" s="481"/>
      <c r="CXX44" s="481"/>
      <c r="CXY44" s="481"/>
      <c r="CXZ44" s="481"/>
      <c r="CYA44" s="481"/>
      <c r="CYB44" s="481"/>
      <c r="CYC44" s="481"/>
      <c r="CYD44" s="481"/>
      <c r="CYE44" s="481"/>
      <c r="CYF44" s="481"/>
      <c r="CYG44" s="481"/>
      <c r="CYH44" s="481"/>
      <c r="CYI44" s="481"/>
      <c r="CYJ44" s="481"/>
      <c r="CYK44" s="481"/>
      <c r="CYL44" s="481"/>
      <c r="CYM44" s="481"/>
      <c r="CYN44" s="481"/>
      <c r="CYO44" s="481"/>
      <c r="CYP44" s="481"/>
      <c r="CYQ44" s="481"/>
      <c r="CYR44" s="481"/>
      <c r="CYS44" s="481"/>
      <c r="CYT44" s="481"/>
      <c r="CYU44" s="481"/>
      <c r="CYV44" s="481"/>
      <c r="CYW44" s="481"/>
      <c r="CYX44" s="481"/>
      <c r="CYY44" s="481"/>
      <c r="CYZ44" s="481"/>
      <c r="CZA44" s="481"/>
      <c r="CZB44" s="481"/>
      <c r="CZC44" s="481"/>
      <c r="CZD44" s="481"/>
      <c r="CZE44" s="481"/>
      <c r="CZF44" s="481"/>
      <c r="CZG44" s="481"/>
      <c r="CZH44" s="481"/>
      <c r="CZI44" s="481"/>
      <c r="CZJ44" s="481"/>
      <c r="CZK44" s="481"/>
      <c r="CZL44" s="481"/>
      <c r="CZM44" s="481"/>
      <c r="CZN44" s="481"/>
      <c r="CZO44" s="481"/>
      <c r="CZP44" s="481"/>
      <c r="CZQ44" s="481"/>
      <c r="CZR44" s="481"/>
      <c r="CZS44" s="481"/>
      <c r="CZT44" s="481"/>
      <c r="CZU44" s="481"/>
      <c r="CZV44" s="481"/>
      <c r="CZW44" s="481"/>
      <c r="CZX44" s="481"/>
      <c r="CZY44" s="481"/>
      <c r="CZZ44" s="481"/>
      <c r="DAA44" s="481"/>
      <c r="DAB44" s="481"/>
      <c r="DAC44" s="481"/>
      <c r="DAD44" s="481"/>
      <c r="DAE44" s="481"/>
      <c r="DAF44" s="481"/>
      <c r="DAG44" s="481"/>
      <c r="DAH44" s="481"/>
      <c r="DAI44" s="481"/>
      <c r="DAJ44" s="481"/>
      <c r="DAK44" s="481"/>
      <c r="DAL44" s="481"/>
      <c r="DAM44" s="481"/>
      <c r="DAN44" s="481"/>
      <c r="DAO44" s="481"/>
      <c r="DAP44" s="481"/>
      <c r="DAQ44" s="481"/>
      <c r="DAR44" s="481"/>
      <c r="DAS44" s="481"/>
      <c r="DAT44" s="481"/>
      <c r="DAU44" s="481"/>
      <c r="DAV44" s="481"/>
      <c r="DAW44" s="481"/>
      <c r="DAX44" s="481"/>
      <c r="DAY44" s="481"/>
      <c r="DAZ44" s="481"/>
      <c r="DBA44" s="481"/>
      <c r="DBB44" s="481"/>
      <c r="DBC44" s="481"/>
      <c r="DBD44" s="481"/>
      <c r="DBE44" s="481"/>
      <c r="DBF44" s="481"/>
      <c r="DBG44" s="481"/>
      <c r="DBH44" s="481"/>
      <c r="DBI44" s="481"/>
      <c r="DBJ44" s="481"/>
      <c r="DBK44" s="481"/>
      <c r="DBL44" s="481"/>
      <c r="DBM44" s="481"/>
      <c r="DBN44" s="481"/>
      <c r="DBO44" s="481"/>
      <c r="DBP44" s="481"/>
      <c r="DBQ44" s="481"/>
      <c r="DBR44" s="481"/>
      <c r="DBS44" s="481"/>
      <c r="DBT44" s="481"/>
      <c r="DBU44" s="481"/>
      <c r="DBV44" s="481"/>
      <c r="DBW44" s="481"/>
      <c r="DBX44" s="481"/>
      <c r="DBY44" s="481"/>
      <c r="DBZ44" s="481"/>
      <c r="DCA44" s="481"/>
      <c r="DCB44" s="481"/>
      <c r="DCC44" s="481"/>
      <c r="DCD44" s="481"/>
      <c r="DCE44" s="481"/>
      <c r="DCF44" s="481"/>
      <c r="DCG44" s="481"/>
      <c r="DCH44" s="481"/>
      <c r="DCI44" s="481"/>
      <c r="DCJ44" s="481"/>
      <c r="DCK44" s="481"/>
      <c r="DCL44" s="481"/>
      <c r="DCM44" s="481"/>
      <c r="DCN44" s="481"/>
      <c r="DCO44" s="481"/>
      <c r="DCP44" s="481"/>
      <c r="DCQ44" s="481"/>
      <c r="DCR44" s="481"/>
      <c r="DCS44" s="481"/>
      <c r="DCT44" s="481"/>
      <c r="DCU44" s="481"/>
      <c r="DCV44" s="481"/>
      <c r="DCW44" s="481"/>
      <c r="DCX44" s="481"/>
      <c r="DCY44" s="481"/>
      <c r="DCZ44" s="481"/>
      <c r="DDA44" s="481"/>
      <c r="DDB44" s="481"/>
      <c r="DDC44" s="481"/>
      <c r="DDD44" s="481"/>
      <c r="DDE44" s="481"/>
      <c r="DDF44" s="481"/>
      <c r="DDG44" s="481"/>
      <c r="DDH44" s="481"/>
      <c r="DDI44" s="481"/>
      <c r="DDJ44" s="481"/>
      <c r="DDK44" s="481"/>
      <c r="DDL44" s="481"/>
      <c r="DDM44" s="481"/>
      <c r="DDN44" s="481"/>
      <c r="DDO44" s="481"/>
      <c r="DDP44" s="481"/>
      <c r="DDQ44" s="481"/>
      <c r="DDR44" s="481"/>
      <c r="DDS44" s="481"/>
      <c r="DDT44" s="481"/>
      <c r="DDU44" s="481"/>
      <c r="DDV44" s="481"/>
      <c r="DDW44" s="481"/>
      <c r="DDX44" s="481"/>
      <c r="DDY44" s="481"/>
      <c r="DDZ44" s="481"/>
      <c r="DEA44" s="481"/>
      <c r="DEB44" s="481"/>
      <c r="DEC44" s="481"/>
      <c r="DED44" s="481"/>
      <c r="DEE44" s="481"/>
      <c r="DEF44" s="481"/>
      <c r="DEG44" s="481"/>
      <c r="DEH44" s="481"/>
      <c r="DEI44" s="481"/>
      <c r="DEJ44" s="481"/>
      <c r="DEK44" s="481"/>
      <c r="DEL44" s="481"/>
      <c r="DEM44" s="481"/>
      <c r="DEN44" s="481"/>
      <c r="DEO44" s="481"/>
      <c r="DEP44" s="481"/>
      <c r="DEQ44" s="481"/>
      <c r="DER44" s="481"/>
      <c r="DES44" s="481"/>
      <c r="DET44" s="481"/>
      <c r="DEU44" s="481"/>
      <c r="DEV44" s="481"/>
      <c r="DEW44" s="481"/>
      <c r="DEX44" s="481"/>
      <c r="DEY44" s="481"/>
      <c r="DEZ44" s="481"/>
      <c r="DFA44" s="481"/>
      <c r="DFB44" s="481"/>
      <c r="DFC44" s="481"/>
      <c r="DFD44" s="481"/>
      <c r="DFE44" s="481"/>
      <c r="DFF44" s="481"/>
      <c r="DFG44" s="481"/>
      <c r="DFH44" s="481"/>
      <c r="DFI44" s="481"/>
      <c r="DFJ44" s="481"/>
      <c r="DFK44" s="481"/>
      <c r="DFL44" s="481"/>
      <c r="DFM44" s="481"/>
      <c r="DFN44" s="481"/>
      <c r="DFO44" s="481"/>
      <c r="DFP44" s="481"/>
      <c r="DFQ44" s="481"/>
      <c r="DFR44" s="481"/>
      <c r="DFS44" s="481"/>
      <c r="DFT44" s="481"/>
      <c r="DFU44" s="481"/>
      <c r="DFV44" s="481"/>
      <c r="DFW44" s="481"/>
      <c r="DFX44" s="481"/>
      <c r="DFY44" s="481"/>
      <c r="DFZ44" s="481"/>
      <c r="DGA44" s="481"/>
      <c r="DGB44" s="481"/>
      <c r="DGC44" s="481"/>
      <c r="DGD44" s="481"/>
      <c r="DGE44" s="481"/>
      <c r="DGF44" s="481"/>
      <c r="DGG44" s="481"/>
      <c r="DGH44" s="481"/>
      <c r="DGI44" s="481"/>
      <c r="DGJ44" s="481"/>
      <c r="DGK44" s="481"/>
      <c r="DGL44" s="481"/>
      <c r="DGM44" s="481"/>
      <c r="DGN44" s="481"/>
      <c r="DGO44" s="481"/>
      <c r="DGP44" s="481"/>
      <c r="DGQ44" s="481"/>
      <c r="DGR44" s="481"/>
      <c r="DGS44" s="481"/>
      <c r="DGT44" s="481"/>
      <c r="DGU44" s="481"/>
      <c r="DGV44" s="481"/>
      <c r="DGW44" s="481"/>
      <c r="DGX44" s="481"/>
      <c r="DGY44" s="481"/>
      <c r="DGZ44" s="481"/>
      <c r="DHA44" s="481"/>
      <c r="DHB44" s="481"/>
      <c r="DHC44" s="481"/>
      <c r="DHD44" s="481"/>
      <c r="DHE44" s="481"/>
      <c r="DHF44" s="481"/>
      <c r="DHG44" s="481"/>
      <c r="DHH44" s="481"/>
      <c r="DHI44" s="481"/>
      <c r="DHJ44" s="481"/>
      <c r="DHK44" s="481"/>
      <c r="DHL44" s="481"/>
      <c r="DHM44" s="481"/>
      <c r="DHN44" s="481"/>
      <c r="DHO44" s="481"/>
      <c r="DHP44" s="481"/>
      <c r="DHQ44" s="481"/>
      <c r="DHR44" s="481"/>
      <c r="DHS44" s="481"/>
      <c r="DHT44" s="481"/>
      <c r="DHU44" s="481"/>
      <c r="DHV44" s="481"/>
      <c r="DHW44" s="481"/>
      <c r="DHX44" s="481"/>
      <c r="DHY44" s="481"/>
      <c r="DHZ44" s="481"/>
      <c r="DIA44" s="481"/>
      <c r="DIB44" s="481"/>
      <c r="DIC44" s="481"/>
      <c r="DID44" s="481"/>
      <c r="DIE44" s="481"/>
      <c r="DIF44" s="481"/>
      <c r="DIG44" s="481"/>
      <c r="DIH44" s="481"/>
      <c r="DII44" s="481"/>
      <c r="DIJ44" s="481"/>
      <c r="DIK44" s="481"/>
      <c r="DIL44" s="481"/>
      <c r="DIM44" s="481"/>
      <c r="DIN44" s="481"/>
      <c r="DIO44" s="481"/>
      <c r="DIP44" s="481"/>
      <c r="DIQ44" s="481"/>
      <c r="DIR44" s="481"/>
      <c r="DIS44" s="481"/>
      <c r="DIT44" s="481"/>
      <c r="DIU44" s="481"/>
      <c r="DIV44" s="481"/>
      <c r="DIW44" s="481"/>
      <c r="DIX44" s="481"/>
      <c r="DIY44" s="481"/>
      <c r="DIZ44" s="481"/>
      <c r="DJA44" s="481"/>
      <c r="DJB44" s="481"/>
      <c r="DJC44" s="481"/>
      <c r="DJD44" s="481"/>
      <c r="DJE44" s="481"/>
      <c r="DJF44" s="481"/>
      <c r="DJG44" s="481"/>
      <c r="DJH44" s="481"/>
      <c r="DJI44" s="481"/>
      <c r="DJJ44" s="481"/>
      <c r="DJK44" s="481"/>
      <c r="DJL44" s="481"/>
      <c r="DJM44" s="481"/>
      <c r="DJN44" s="481"/>
      <c r="DJO44" s="481"/>
      <c r="DJP44" s="481"/>
      <c r="DJQ44" s="481"/>
      <c r="DJR44" s="481"/>
      <c r="DJS44" s="481"/>
      <c r="DJT44" s="481"/>
      <c r="DJU44" s="481"/>
      <c r="DJV44" s="481"/>
      <c r="DJW44" s="481"/>
      <c r="DJX44" s="481"/>
      <c r="DJY44" s="481"/>
      <c r="DJZ44" s="481"/>
      <c r="DKA44" s="481"/>
      <c r="DKB44" s="481"/>
      <c r="DKC44" s="481"/>
      <c r="DKD44" s="481"/>
      <c r="DKE44" s="481"/>
      <c r="DKF44" s="481"/>
      <c r="DKG44" s="481"/>
      <c r="DKH44" s="481"/>
      <c r="DKI44" s="481"/>
      <c r="DKJ44" s="481"/>
      <c r="DKK44" s="481"/>
      <c r="DKL44" s="481"/>
      <c r="DKM44" s="481"/>
      <c r="DKN44" s="481"/>
      <c r="DKO44" s="481"/>
      <c r="DKP44" s="481"/>
      <c r="DKQ44" s="481"/>
      <c r="DKR44" s="481"/>
      <c r="DKS44" s="481"/>
      <c r="DKT44" s="481"/>
      <c r="DKU44" s="481"/>
      <c r="DKV44" s="481"/>
      <c r="DKW44" s="481"/>
      <c r="DKX44" s="481"/>
      <c r="DKY44" s="481"/>
      <c r="DKZ44" s="481"/>
      <c r="DLA44" s="481"/>
      <c r="DLB44" s="481"/>
      <c r="DLC44" s="481"/>
      <c r="DLD44" s="481"/>
      <c r="DLE44" s="481"/>
      <c r="DLF44" s="481"/>
      <c r="DLG44" s="481"/>
      <c r="DLH44" s="481"/>
      <c r="DLI44" s="481"/>
      <c r="DLJ44" s="481"/>
      <c r="DLK44" s="481"/>
      <c r="DLL44" s="481"/>
      <c r="DLM44" s="481"/>
      <c r="DLN44" s="481"/>
      <c r="DLO44" s="481"/>
      <c r="DLP44" s="481"/>
      <c r="DLQ44" s="481"/>
      <c r="DLR44" s="481"/>
      <c r="DLS44" s="481"/>
      <c r="DLT44" s="481"/>
      <c r="DLU44" s="481"/>
      <c r="DLV44" s="481"/>
      <c r="DLW44" s="481"/>
      <c r="DLX44" s="481"/>
      <c r="DLY44" s="481"/>
      <c r="DLZ44" s="481"/>
      <c r="DMA44" s="481"/>
      <c r="DMB44" s="481"/>
      <c r="DMC44" s="481"/>
      <c r="DMD44" s="481"/>
      <c r="DME44" s="481"/>
      <c r="DMF44" s="481"/>
      <c r="DMG44" s="481"/>
      <c r="DMH44" s="481"/>
      <c r="DMI44" s="481"/>
      <c r="DMJ44" s="481"/>
      <c r="DMK44" s="481"/>
      <c r="DML44" s="481"/>
      <c r="DMM44" s="481"/>
      <c r="DMN44" s="481"/>
      <c r="DMO44" s="481"/>
      <c r="DMP44" s="481"/>
      <c r="DMQ44" s="481"/>
      <c r="DMR44" s="481"/>
      <c r="DMS44" s="481"/>
      <c r="DMT44" s="481"/>
      <c r="DMU44" s="481"/>
      <c r="DMV44" s="481"/>
      <c r="DMW44" s="481"/>
      <c r="DMX44" s="481"/>
      <c r="DMY44" s="481"/>
      <c r="DMZ44" s="481"/>
      <c r="DNA44" s="481"/>
      <c r="DNB44" s="481"/>
      <c r="DNC44" s="481"/>
      <c r="DND44" s="481"/>
      <c r="DNE44" s="481"/>
      <c r="DNF44" s="481"/>
      <c r="DNG44" s="481"/>
      <c r="DNH44" s="481"/>
      <c r="DNI44" s="481"/>
      <c r="DNJ44" s="481"/>
      <c r="DNK44" s="481"/>
      <c r="DNL44" s="481"/>
      <c r="DNM44" s="481"/>
      <c r="DNN44" s="481"/>
      <c r="DNO44" s="481"/>
      <c r="DNP44" s="481"/>
      <c r="DNQ44" s="481"/>
      <c r="DNR44" s="481"/>
      <c r="DNS44" s="481"/>
      <c r="DNT44" s="481"/>
      <c r="DNU44" s="481"/>
      <c r="DNV44" s="481"/>
      <c r="DNW44" s="481"/>
      <c r="DNX44" s="481"/>
      <c r="DNY44" s="481"/>
      <c r="DNZ44" s="481"/>
      <c r="DOA44" s="481"/>
      <c r="DOB44" s="481"/>
      <c r="DOC44" s="481"/>
      <c r="DOD44" s="481"/>
      <c r="DOE44" s="481"/>
      <c r="DOF44" s="481"/>
      <c r="DOG44" s="481"/>
      <c r="DOH44" s="481"/>
      <c r="DOI44" s="481"/>
      <c r="DOJ44" s="481"/>
      <c r="DOK44" s="481"/>
      <c r="DOL44" s="481"/>
      <c r="DOM44" s="481"/>
      <c r="DON44" s="481"/>
      <c r="DOO44" s="481"/>
      <c r="DOP44" s="481"/>
      <c r="DOQ44" s="481"/>
      <c r="DOR44" s="481"/>
      <c r="DOS44" s="481"/>
      <c r="DOT44" s="481"/>
      <c r="DOU44" s="481"/>
      <c r="DOV44" s="481"/>
      <c r="DOW44" s="481"/>
      <c r="DOX44" s="481"/>
      <c r="DOY44" s="481"/>
      <c r="DOZ44" s="481"/>
      <c r="DPA44" s="481"/>
      <c r="DPB44" s="481"/>
      <c r="DPC44" s="481"/>
      <c r="DPD44" s="481"/>
      <c r="DPE44" s="481"/>
      <c r="DPF44" s="481"/>
      <c r="DPG44" s="481"/>
      <c r="DPH44" s="481"/>
      <c r="DPI44" s="481"/>
      <c r="DPJ44" s="481"/>
      <c r="DPK44" s="481"/>
      <c r="DPL44" s="481"/>
      <c r="DPM44" s="481"/>
      <c r="DPN44" s="481"/>
      <c r="DPO44" s="481"/>
      <c r="DPP44" s="481"/>
      <c r="DPQ44" s="481"/>
      <c r="DPR44" s="481"/>
      <c r="DPS44" s="481"/>
      <c r="DPT44" s="481"/>
      <c r="DPU44" s="481"/>
      <c r="DPV44" s="481"/>
      <c r="DPW44" s="481"/>
      <c r="DPX44" s="481"/>
      <c r="DPY44" s="481"/>
      <c r="DPZ44" s="481"/>
      <c r="DQA44" s="481"/>
      <c r="DQB44" s="481"/>
      <c r="DQC44" s="481"/>
      <c r="DQD44" s="481"/>
      <c r="DQE44" s="481"/>
      <c r="DQF44" s="481"/>
      <c r="DQG44" s="481"/>
      <c r="DQH44" s="481"/>
      <c r="DQI44" s="481"/>
      <c r="DQJ44" s="481"/>
      <c r="DQK44" s="481"/>
      <c r="DQL44" s="481"/>
      <c r="DQM44" s="481"/>
      <c r="DQN44" s="481"/>
      <c r="DQO44" s="481"/>
      <c r="DQP44" s="481"/>
      <c r="DQQ44" s="481"/>
      <c r="DQR44" s="481"/>
      <c r="DQS44" s="481"/>
      <c r="DQT44" s="481"/>
      <c r="DQU44" s="481"/>
      <c r="DQV44" s="481"/>
      <c r="DQW44" s="481"/>
      <c r="DQX44" s="481"/>
      <c r="DQY44" s="481"/>
      <c r="DQZ44" s="481"/>
      <c r="DRA44" s="481"/>
      <c r="DRB44" s="481"/>
      <c r="DRC44" s="481"/>
      <c r="DRD44" s="481"/>
      <c r="DRE44" s="481"/>
      <c r="DRF44" s="481"/>
      <c r="DRG44" s="481"/>
      <c r="DRH44" s="481"/>
      <c r="DRI44" s="481"/>
      <c r="DRJ44" s="481"/>
      <c r="DRK44" s="481"/>
      <c r="DRL44" s="481"/>
      <c r="DRM44" s="481"/>
      <c r="DRN44" s="481"/>
      <c r="DRO44" s="481"/>
      <c r="DRP44" s="481"/>
      <c r="DRQ44" s="481"/>
      <c r="DRR44" s="481"/>
      <c r="DRS44" s="481"/>
      <c r="DRT44" s="481"/>
      <c r="DRU44" s="481"/>
      <c r="DRV44" s="481"/>
      <c r="DRW44" s="481"/>
      <c r="DRX44" s="481"/>
      <c r="DRY44" s="481"/>
      <c r="DRZ44" s="481"/>
      <c r="DSA44" s="481"/>
      <c r="DSB44" s="481"/>
      <c r="DSC44" s="481"/>
      <c r="DSD44" s="481"/>
      <c r="DSE44" s="481"/>
      <c r="DSF44" s="481"/>
      <c r="DSG44" s="481"/>
      <c r="DSH44" s="481"/>
      <c r="DSI44" s="481"/>
      <c r="DSJ44" s="481"/>
      <c r="DSK44" s="481"/>
      <c r="DSL44" s="481"/>
      <c r="DSM44" s="481"/>
      <c r="DSN44" s="481"/>
      <c r="DSO44" s="481"/>
      <c r="DSP44" s="481"/>
      <c r="DSQ44" s="481"/>
      <c r="DSR44" s="481"/>
      <c r="DSS44" s="481"/>
      <c r="DST44" s="481"/>
      <c r="DSU44" s="481"/>
      <c r="DSV44" s="481"/>
      <c r="DSW44" s="481"/>
      <c r="DSX44" s="481"/>
      <c r="DSY44" s="481"/>
      <c r="DSZ44" s="481"/>
      <c r="DTA44" s="481"/>
      <c r="DTB44" s="481"/>
      <c r="DTC44" s="481"/>
      <c r="DTD44" s="481"/>
      <c r="DTE44" s="481"/>
      <c r="DTF44" s="481"/>
      <c r="DTG44" s="481"/>
      <c r="DTH44" s="481"/>
      <c r="DTI44" s="481"/>
      <c r="DTJ44" s="481"/>
      <c r="DTK44" s="481"/>
      <c r="DTL44" s="481"/>
      <c r="DTM44" s="481"/>
      <c r="DTN44" s="481"/>
      <c r="DTO44" s="481"/>
      <c r="DTP44" s="481"/>
      <c r="DTQ44" s="481"/>
      <c r="DTR44" s="481"/>
      <c r="DTS44" s="481"/>
      <c r="DTT44" s="481"/>
      <c r="DTU44" s="481"/>
      <c r="DTV44" s="481"/>
      <c r="DTW44" s="481"/>
      <c r="DTX44" s="481"/>
      <c r="DTY44" s="481"/>
      <c r="DTZ44" s="481"/>
      <c r="DUA44" s="481"/>
      <c r="DUB44" s="481"/>
      <c r="DUC44" s="481"/>
      <c r="DUD44" s="481"/>
      <c r="DUE44" s="481"/>
      <c r="DUF44" s="481"/>
      <c r="DUG44" s="481"/>
      <c r="DUH44" s="481"/>
      <c r="DUI44" s="481"/>
      <c r="DUJ44" s="481"/>
      <c r="DUK44" s="481"/>
      <c r="DUL44" s="481"/>
      <c r="DUM44" s="481"/>
      <c r="DUN44" s="481"/>
      <c r="DUO44" s="481"/>
      <c r="DUP44" s="481"/>
      <c r="DUQ44" s="481"/>
      <c r="DUR44" s="481"/>
      <c r="DUS44" s="481"/>
      <c r="DUT44" s="481"/>
      <c r="DUU44" s="481"/>
      <c r="DUV44" s="481"/>
      <c r="DUW44" s="481"/>
      <c r="DUX44" s="481"/>
      <c r="DUY44" s="481"/>
      <c r="DUZ44" s="481"/>
      <c r="DVA44" s="481"/>
      <c r="DVB44" s="481"/>
      <c r="DVC44" s="481"/>
      <c r="DVD44" s="481"/>
      <c r="DVE44" s="481"/>
      <c r="DVF44" s="481"/>
      <c r="DVG44" s="481"/>
      <c r="DVH44" s="481"/>
      <c r="DVI44" s="481"/>
      <c r="DVJ44" s="481"/>
      <c r="DVK44" s="481"/>
      <c r="DVL44" s="481"/>
      <c r="DVM44" s="481"/>
      <c r="DVN44" s="481"/>
      <c r="DVO44" s="481"/>
      <c r="DVP44" s="481"/>
      <c r="DVQ44" s="481"/>
      <c r="DVR44" s="481"/>
      <c r="DVS44" s="481"/>
      <c r="DVT44" s="481"/>
      <c r="DVU44" s="481"/>
      <c r="DVV44" s="481"/>
      <c r="DVW44" s="481"/>
      <c r="DVX44" s="481"/>
      <c r="DVY44" s="481"/>
      <c r="DVZ44" s="481"/>
      <c r="DWA44" s="481"/>
      <c r="DWB44" s="481"/>
      <c r="DWC44" s="481"/>
      <c r="DWD44" s="481"/>
      <c r="DWE44" s="481"/>
      <c r="DWF44" s="481"/>
      <c r="DWG44" s="481"/>
      <c r="DWH44" s="481"/>
      <c r="DWI44" s="481"/>
      <c r="DWJ44" s="481"/>
      <c r="DWK44" s="481"/>
      <c r="DWL44" s="481"/>
      <c r="DWM44" s="481"/>
      <c r="DWN44" s="481"/>
      <c r="DWO44" s="481"/>
      <c r="DWP44" s="481"/>
      <c r="DWQ44" s="481"/>
      <c r="DWR44" s="481"/>
      <c r="DWS44" s="481"/>
      <c r="DWT44" s="481"/>
      <c r="DWU44" s="481"/>
      <c r="DWV44" s="481"/>
      <c r="DWW44" s="481"/>
      <c r="DWX44" s="481"/>
      <c r="DWY44" s="481"/>
      <c r="DWZ44" s="481"/>
      <c r="DXA44" s="481"/>
      <c r="DXB44" s="481"/>
      <c r="DXC44" s="481"/>
      <c r="DXD44" s="481"/>
      <c r="DXE44" s="481"/>
      <c r="DXF44" s="481"/>
      <c r="DXG44" s="481"/>
      <c r="DXH44" s="481"/>
      <c r="DXI44" s="481"/>
      <c r="DXJ44" s="481"/>
      <c r="DXK44" s="481"/>
      <c r="DXL44" s="481"/>
      <c r="DXM44" s="481"/>
      <c r="DXN44" s="481"/>
      <c r="DXO44" s="481"/>
      <c r="DXP44" s="481"/>
      <c r="DXQ44" s="481"/>
      <c r="DXR44" s="481"/>
      <c r="DXS44" s="481"/>
      <c r="DXT44" s="481"/>
      <c r="DXU44" s="481"/>
      <c r="DXV44" s="481"/>
      <c r="DXW44" s="481"/>
      <c r="DXX44" s="481"/>
      <c r="DXY44" s="481"/>
      <c r="DXZ44" s="481"/>
      <c r="DYA44" s="481"/>
      <c r="DYB44" s="481"/>
      <c r="DYC44" s="481"/>
      <c r="DYD44" s="481"/>
      <c r="DYE44" s="481"/>
      <c r="DYF44" s="481"/>
      <c r="DYG44" s="481"/>
      <c r="DYH44" s="481"/>
      <c r="DYI44" s="481"/>
      <c r="DYJ44" s="481"/>
      <c r="DYK44" s="481"/>
      <c r="DYL44" s="481"/>
      <c r="DYM44" s="481"/>
      <c r="DYN44" s="481"/>
      <c r="DYO44" s="481"/>
      <c r="DYP44" s="481"/>
      <c r="DYQ44" s="481"/>
      <c r="DYR44" s="481"/>
      <c r="DYS44" s="481"/>
      <c r="DYT44" s="481"/>
      <c r="DYU44" s="481"/>
      <c r="DYV44" s="481"/>
      <c r="DYW44" s="481"/>
      <c r="DYX44" s="481"/>
      <c r="DYY44" s="481"/>
      <c r="DYZ44" s="481"/>
      <c r="DZA44" s="481"/>
      <c r="DZB44" s="481"/>
      <c r="DZC44" s="481"/>
      <c r="DZD44" s="481"/>
      <c r="DZE44" s="481"/>
      <c r="DZF44" s="481"/>
      <c r="DZG44" s="481"/>
      <c r="DZH44" s="481"/>
      <c r="DZI44" s="481"/>
      <c r="DZJ44" s="481"/>
      <c r="DZK44" s="481"/>
      <c r="DZL44" s="481"/>
      <c r="DZM44" s="481"/>
      <c r="DZN44" s="481"/>
      <c r="DZO44" s="481"/>
      <c r="DZP44" s="481"/>
      <c r="DZQ44" s="481"/>
      <c r="DZR44" s="481"/>
      <c r="DZS44" s="481"/>
      <c r="DZT44" s="481"/>
      <c r="DZU44" s="481"/>
      <c r="DZV44" s="481"/>
      <c r="DZW44" s="481"/>
      <c r="DZX44" s="481"/>
      <c r="DZY44" s="481"/>
      <c r="DZZ44" s="481"/>
      <c r="EAA44" s="481"/>
      <c r="EAB44" s="481"/>
      <c r="EAC44" s="481"/>
      <c r="EAD44" s="481"/>
      <c r="EAE44" s="481"/>
      <c r="EAF44" s="481"/>
      <c r="EAG44" s="481"/>
      <c r="EAH44" s="481"/>
      <c r="EAI44" s="481"/>
      <c r="EAJ44" s="481"/>
      <c r="EAK44" s="481"/>
      <c r="EAL44" s="481"/>
      <c r="EAM44" s="481"/>
      <c r="EAN44" s="481"/>
      <c r="EAO44" s="481"/>
      <c r="EAP44" s="481"/>
      <c r="EAQ44" s="481"/>
      <c r="EAR44" s="481"/>
      <c r="EAS44" s="481"/>
      <c r="EAT44" s="481"/>
      <c r="EAU44" s="481"/>
      <c r="EAV44" s="481"/>
      <c r="EAW44" s="481"/>
      <c r="EAX44" s="481"/>
      <c r="EAY44" s="481"/>
      <c r="EAZ44" s="481"/>
      <c r="EBA44" s="481"/>
      <c r="EBB44" s="481"/>
      <c r="EBC44" s="481"/>
      <c r="EBD44" s="481"/>
      <c r="EBE44" s="481"/>
      <c r="EBF44" s="481"/>
      <c r="EBG44" s="481"/>
      <c r="EBH44" s="481"/>
      <c r="EBI44" s="481"/>
      <c r="EBJ44" s="481"/>
      <c r="EBK44" s="481"/>
      <c r="EBL44" s="481"/>
      <c r="EBM44" s="481"/>
      <c r="EBN44" s="481"/>
      <c r="EBO44" s="481"/>
      <c r="EBP44" s="481"/>
      <c r="EBQ44" s="481"/>
      <c r="EBR44" s="481"/>
      <c r="EBS44" s="481"/>
      <c r="EBT44" s="481"/>
      <c r="EBU44" s="481"/>
      <c r="EBV44" s="481"/>
      <c r="EBW44" s="481"/>
      <c r="EBX44" s="481"/>
      <c r="EBY44" s="481"/>
      <c r="EBZ44" s="481"/>
      <c r="ECA44" s="481"/>
      <c r="ECB44" s="481"/>
      <c r="ECC44" s="481"/>
      <c r="ECD44" s="481"/>
      <c r="ECE44" s="481"/>
      <c r="ECF44" s="481"/>
      <c r="ECG44" s="481"/>
      <c r="ECH44" s="481"/>
      <c r="ECI44" s="481"/>
      <c r="ECJ44" s="481"/>
      <c r="ECK44" s="481"/>
      <c r="ECL44" s="481"/>
      <c r="ECM44" s="481"/>
      <c r="ECN44" s="481"/>
      <c r="ECO44" s="481"/>
      <c r="ECP44" s="481"/>
      <c r="ECQ44" s="481"/>
      <c r="ECR44" s="481"/>
      <c r="ECS44" s="481"/>
      <c r="ECT44" s="481"/>
      <c r="ECU44" s="481"/>
      <c r="ECV44" s="481"/>
      <c r="ECW44" s="481"/>
      <c r="ECX44" s="481"/>
      <c r="ECY44" s="481"/>
      <c r="ECZ44" s="481"/>
      <c r="EDA44" s="481"/>
      <c r="EDB44" s="481"/>
      <c r="EDC44" s="481"/>
      <c r="EDD44" s="481"/>
      <c r="EDE44" s="481"/>
      <c r="EDF44" s="481"/>
      <c r="EDG44" s="481"/>
      <c r="EDH44" s="481"/>
      <c r="EDI44" s="481"/>
      <c r="EDJ44" s="481"/>
      <c r="EDK44" s="481"/>
      <c r="EDL44" s="481"/>
      <c r="EDM44" s="481"/>
      <c r="EDN44" s="481"/>
      <c r="EDO44" s="481"/>
      <c r="EDP44" s="481"/>
      <c r="EDQ44" s="481"/>
      <c r="EDR44" s="481"/>
      <c r="EDS44" s="481"/>
      <c r="EDT44" s="481"/>
      <c r="EDU44" s="481"/>
      <c r="EDV44" s="481"/>
      <c r="EDW44" s="481"/>
      <c r="EDX44" s="481"/>
      <c r="EDY44" s="481"/>
      <c r="EDZ44" s="481"/>
      <c r="EEA44" s="481"/>
      <c r="EEB44" s="481"/>
      <c r="EEC44" s="481"/>
      <c r="EED44" s="481"/>
      <c r="EEE44" s="481"/>
      <c r="EEF44" s="481"/>
      <c r="EEG44" s="481"/>
      <c r="EEH44" s="481"/>
      <c r="EEI44" s="481"/>
      <c r="EEJ44" s="481"/>
      <c r="EEK44" s="481"/>
      <c r="EEL44" s="481"/>
      <c r="EEM44" s="481"/>
      <c r="EEN44" s="481"/>
      <c r="EEO44" s="481"/>
      <c r="EEP44" s="481"/>
      <c r="EEQ44" s="481"/>
      <c r="EER44" s="481"/>
      <c r="EES44" s="481"/>
      <c r="EET44" s="481"/>
      <c r="EEU44" s="481"/>
      <c r="EEV44" s="481"/>
      <c r="EEW44" s="481"/>
      <c r="EEX44" s="481"/>
      <c r="EEY44" s="481"/>
      <c r="EEZ44" s="481"/>
      <c r="EFA44" s="481"/>
      <c r="EFB44" s="481"/>
      <c r="EFC44" s="481"/>
      <c r="EFD44" s="481"/>
      <c r="EFE44" s="481"/>
      <c r="EFF44" s="481"/>
      <c r="EFG44" s="481"/>
      <c r="EFH44" s="481"/>
      <c r="EFI44" s="481"/>
      <c r="EFJ44" s="481"/>
      <c r="EFK44" s="481"/>
      <c r="EFL44" s="481"/>
      <c r="EFM44" s="481"/>
      <c r="EFN44" s="481"/>
      <c r="EFO44" s="481"/>
      <c r="EFP44" s="481"/>
      <c r="EFQ44" s="481"/>
      <c r="EFR44" s="481"/>
      <c r="EFS44" s="481"/>
      <c r="EFT44" s="481"/>
      <c r="EFU44" s="481"/>
      <c r="EFV44" s="481"/>
      <c r="EFW44" s="481"/>
      <c r="EFX44" s="481"/>
      <c r="EFY44" s="481"/>
      <c r="EFZ44" s="481"/>
      <c r="EGA44" s="481"/>
      <c r="EGB44" s="481"/>
      <c r="EGC44" s="481"/>
      <c r="EGD44" s="481"/>
      <c r="EGE44" s="481"/>
      <c r="EGF44" s="481"/>
      <c r="EGG44" s="481"/>
      <c r="EGH44" s="481"/>
      <c r="EGI44" s="481"/>
      <c r="EGJ44" s="481"/>
      <c r="EGK44" s="481"/>
      <c r="EGL44" s="481"/>
      <c r="EGM44" s="481"/>
      <c r="EGN44" s="481"/>
      <c r="EGO44" s="481"/>
      <c r="EGP44" s="481"/>
      <c r="EGQ44" s="481"/>
      <c r="EGR44" s="481"/>
      <c r="EGS44" s="481"/>
      <c r="EGT44" s="481"/>
      <c r="EGU44" s="481"/>
      <c r="EGV44" s="481"/>
      <c r="EGW44" s="481"/>
      <c r="EGX44" s="481"/>
      <c r="EGY44" s="481"/>
      <c r="EGZ44" s="481"/>
      <c r="EHA44" s="481"/>
      <c r="EHB44" s="481"/>
      <c r="EHC44" s="481"/>
      <c r="EHD44" s="481"/>
      <c r="EHE44" s="481"/>
      <c r="EHF44" s="481"/>
      <c r="EHG44" s="481"/>
      <c r="EHH44" s="481"/>
      <c r="EHI44" s="481"/>
      <c r="EHJ44" s="481"/>
      <c r="EHK44" s="481"/>
      <c r="EHL44" s="481"/>
      <c r="EHM44" s="481"/>
      <c r="EHN44" s="481"/>
      <c r="EHO44" s="481"/>
      <c r="EHP44" s="481"/>
      <c r="EHQ44" s="481"/>
      <c r="EHR44" s="481"/>
      <c r="EHS44" s="481"/>
      <c r="EHT44" s="481"/>
      <c r="EHU44" s="481"/>
      <c r="EHV44" s="481"/>
      <c r="EHW44" s="481"/>
      <c r="EHX44" s="481"/>
      <c r="EHY44" s="481"/>
      <c r="EHZ44" s="481"/>
      <c r="EIA44" s="481"/>
      <c r="EIB44" s="481"/>
      <c r="EIC44" s="481"/>
      <c r="EID44" s="481"/>
      <c r="EIE44" s="481"/>
      <c r="EIF44" s="481"/>
      <c r="EIG44" s="481"/>
      <c r="EIH44" s="481"/>
      <c r="EII44" s="481"/>
      <c r="EIJ44" s="481"/>
      <c r="EIK44" s="481"/>
      <c r="EIL44" s="481"/>
      <c r="EIM44" s="481"/>
      <c r="EIN44" s="481"/>
      <c r="EIO44" s="481"/>
      <c r="EIP44" s="481"/>
      <c r="EIQ44" s="481"/>
      <c r="EIR44" s="481"/>
      <c r="EIS44" s="481"/>
      <c r="EIT44" s="481"/>
      <c r="EIU44" s="481"/>
      <c r="EIV44" s="481"/>
      <c r="EIW44" s="481"/>
      <c r="EIX44" s="481"/>
      <c r="EIY44" s="481"/>
      <c r="EIZ44" s="481"/>
      <c r="EJA44" s="481"/>
      <c r="EJB44" s="481"/>
      <c r="EJC44" s="481"/>
      <c r="EJD44" s="481"/>
      <c r="EJE44" s="481"/>
      <c r="EJF44" s="481"/>
      <c r="EJG44" s="481"/>
      <c r="EJH44" s="481"/>
      <c r="EJI44" s="481"/>
      <c r="EJJ44" s="481"/>
      <c r="EJK44" s="481"/>
      <c r="EJL44" s="481"/>
      <c r="EJM44" s="481"/>
      <c r="EJN44" s="481"/>
      <c r="EJO44" s="481"/>
      <c r="EJP44" s="481"/>
      <c r="EJQ44" s="481"/>
      <c r="EJR44" s="481"/>
      <c r="EJS44" s="481"/>
      <c r="EJT44" s="481"/>
      <c r="EJU44" s="481"/>
      <c r="EJV44" s="481"/>
      <c r="EJW44" s="481"/>
      <c r="EJX44" s="481"/>
      <c r="EJY44" s="481"/>
      <c r="EJZ44" s="481"/>
      <c r="EKA44" s="481"/>
      <c r="EKB44" s="481"/>
      <c r="EKC44" s="481"/>
      <c r="EKD44" s="481"/>
      <c r="EKE44" s="481"/>
      <c r="EKF44" s="481"/>
      <c r="EKG44" s="481"/>
      <c r="EKH44" s="481"/>
      <c r="EKI44" s="481"/>
      <c r="EKJ44" s="481"/>
      <c r="EKK44" s="481"/>
      <c r="EKL44" s="481"/>
      <c r="EKM44" s="481"/>
      <c r="EKN44" s="481"/>
      <c r="EKO44" s="481"/>
      <c r="EKP44" s="481"/>
      <c r="EKQ44" s="481"/>
      <c r="EKR44" s="481"/>
      <c r="EKS44" s="481"/>
      <c r="EKT44" s="481"/>
      <c r="EKU44" s="481"/>
      <c r="EKV44" s="481"/>
      <c r="EKW44" s="481"/>
      <c r="EKX44" s="481"/>
      <c r="EKY44" s="481"/>
      <c r="EKZ44" s="481"/>
      <c r="ELA44" s="481"/>
      <c r="ELB44" s="481"/>
      <c r="ELC44" s="481"/>
      <c r="ELD44" s="481"/>
      <c r="ELE44" s="481"/>
      <c r="ELF44" s="481"/>
      <c r="ELG44" s="481"/>
      <c r="ELH44" s="481"/>
      <c r="ELI44" s="481"/>
      <c r="ELJ44" s="481"/>
      <c r="ELK44" s="481"/>
      <c r="ELL44" s="481"/>
      <c r="ELM44" s="481"/>
      <c r="ELN44" s="481"/>
      <c r="ELO44" s="481"/>
      <c r="ELP44" s="481"/>
      <c r="ELQ44" s="481"/>
      <c r="ELR44" s="481"/>
      <c r="ELS44" s="481"/>
      <c r="ELT44" s="481"/>
      <c r="ELU44" s="481"/>
      <c r="ELV44" s="481"/>
      <c r="ELW44" s="481"/>
      <c r="ELX44" s="481"/>
      <c r="ELY44" s="481"/>
      <c r="ELZ44" s="481"/>
      <c r="EMA44" s="481"/>
      <c r="EMB44" s="481"/>
      <c r="EMC44" s="481"/>
      <c r="EMD44" s="481"/>
      <c r="EME44" s="481"/>
      <c r="EMF44" s="481"/>
      <c r="EMG44" s="481"/>
      <c r="EMH44" s="481"/>
      <c r="EMI44" s="481"/>
      <c r="EMJ44" s="481"/>
      <c r="EMK44" s="481"/>
      <c r="EML44" s="481"/>
      <c r="EMM44" s="481"/>
      <c r="EMN44" s="481"/>
      <c r="EMO44" s="481"/>
      <c r="EMP44" s="481"/>
      <c r="EMQ44" s="481"/>
      <c r="EMR44" s="481"/>
      <c r="EMS44" s="481"/>
      <c r="EMT44" s="481"/>
      <c r="EMU44" s="481"/>
      <c r="EMV44" s="481"/>
      <c r="EMW44" s="481"/>
      <c r="EMX44" s="481"/>
      <c r="EMY44" s="481"/>
      <c r="EMZ44" s="481"/>
      <c r="ENA44" s="481"/>
      <c r="ENB44" s="481"/>
      <c r="ENC44" s="481"/>
      <c r="END44" s="481"/>
      <c r="ENE44" s="481"/>
      <c r="ENF44" s="481"/>
      <c r="ENG44" s="481"/>
      <c r="ENH44" s="481"/>
      <c r="ENI44" s="481"/>
      <c r="ENJ44" s="481"/>
      <c r="ENK44" s="481"/>
      <c r="ENL44" s="481"/>
      <c r="ENM44" s="481"/>
      <c r="ENN44" s="481"/>
      <c r="ENO44" s="481"/>
      <c r="ENP44" s="481"/>
      <c r="ENQ44" s="481"/>
      <c r="ENR44" s="481"/>
      <c r="ENS44" s="481"/>
      <c r="ENT44" s="481"/>
      <c r="ENU44" s="481"/>
      <c r="ENV44" s="481"/>
      <c r="ENW44" s="481"/>
      <c r="ENX44" s="481"/>
      <c r="ENY44" s="481"/>
      <c r="ENZ44" s="481"/>
      <c r="EOA44" s="481"/>
      <c r="EOB44" s="481"/>
      <c r="EOC44" s="481"/>
      <c r="EOD44" s="481"/>
      <c r="EOE44" s="481"/>
      <c r="EOF44" s="481"/>
      <c r="EOG44" s="481"/>
      <c r="EOH44" s="481"/>
      <c r="EOI44" s="481"/>
      <c r="EOJ44" s="481"/>
      <c r="EOK44" s="481"/>
      <c r="EOL44" s="481"/>
      <c r="EOM44" s="481"/>
      <c r="EON44" s="481"/>
      <c r="EOO44" s="481"/>
      <c r="EOP44" s="481"/>
      <c r="EOQ44" s="481"/>
      <c r="EOR44" s="481"/>
      <c r="EOS44" s="481"/>
      <c r="EOT44" s="481"/>
      <c r="EOU44" s="481"/>
      <c r="EOV44" s="481"/>
      <c r="EOW44" s="481"/>
      <c r="EOX44" s="481"/>
      <c r="EOY44" s="481"/>
      <c r="EOZ44" s="481"/>
      <c r="EPA44" s="481"/>
      <c r="EPB44" s="481"/>
      <c r="EPC44" s="481"/>
      <c r="EPD44" s="481"/>
      <c r="EPE44" s="481"/>
      <c r="EPF44" s="481"/>
      <c r="EPG44" s="481"/>
      <c r="EPH44" s="481"/>
      <c r="EPI44" s="481"/>
      <c r="EPJ44" s="481"/>
      <c r="EPK44" s="481"/>
      <c r="EPL44" s="481"/>
      <c r="EPM44" s="481"/>
      <c r="EPN44" s="481"/>
      <c r="EPO44" s="481"/>
      <c r="EPP44" s="481"/>
      <c r="EPQ44" s="481"/>
      <c r="EPR44" s="481"/>
      <c r="EPS44" s="481"/>
      <c r="EPT44" s="481"/>
      <c r="EPU44" s="481"/>
      <c r="EPV44" s="481"/>
      <c r="EPW44" s="481"/>
      <c r="EPX44" s="481"/>
      <c r="EPY44" s="481"/>
      <c r="EPZ44" s="481"/>
      <c r="EQA44" s="481"/>
      <c r="EQB44" s="481"/>
      <c r="EQC44" s="481"/>
      <c r="EQD44" s="481"/>
      <c r="EQE44" s="481"/>
      <c r="EQF44" s="481"/>
      <c r="EQG44" s="481"/>
      <c r="EQH44" s="481"/>
      <c r="EQI44" s="481"/>
      <c r="EQJ44" s="481"/>
      <c r="EQK44" s="481"/>
      <c r="EQL44" s="481"/>
      <c r="EQM44" s="481"/>
      <c r="EQN44" s="481"/>
      <c r="EQO44" s="481"/>
      <c r="EQP44" s="481"/>
      <c r="EQQ44" s="481"/>
      <c r="EQR44" s="481"/>
      <c r="EQS44" s="481"/>
      <c r="EQT44" s="481"/>
      <c r="EQU44" s="481"/>
      <c r="EQV44" s="481"/>
      <c r="EQW44" s="481"/>
      <c r="EQX44" s="481"/>
      <c r="EQY44" s="481"/>
      <c r="EQZ44" s="481"/>
      <c r="ERA44" s="481"/>
      <c r="ERB44" s="481"/>
      <c r="ERC44" s="481"/>
      <c r="ERD44" s="481"/>
      <c r="ERE44" s="481"/>
      <c r="ERF44" s="481"/>
      <c r="ERG44" s="481"/>
      <c r="ERH44" s="481"/>
      <c r="ERI44" s="481"/>
      <c r="ERJ44" s="481"/>
      <c r="ERK44" s="481"/>
      <c r="ERL44" s="481"/>
      <c r="ERM44" s="481"/>
      <c r="ERN44" s="481"/>
      <c r="ERO44" s="481"/>
      <c r="ERP44" s="481"/>
      <c r="ERQ44" s="481"/>
      <c r="ERR44" s="481"/>
      <c r="ERS44" s="481"/>
      <c r="ERT44" s="481"/>
      <c r="ERU44" s="481"/>
      <c r="ERV44" s="481"/>
      <c r="ERW44" s="481"/>
      <c r="ERX44" s="481"/>
      <c r="ERY44" s="481"/>
      <c r="ERZ44" s="481"/>
      <c r="ESA44" s="481"/>
      <c r="ESB44" s="481"/>
      <c r="ESC44" s="481"/>
      <c r="ESD44" s="481"/>
      <c r="ESE44" s="481"/>
      <c r="ESF44" s="481"/>
      <c r="ESG44" s="481"/>
      <c r="ESH44" s="481"/>
      <c r="ESI44" s="481"/>
      <c r="ESJ44" s="481"/>
      <c r="ESK44" s="481"/>
      <c r="ESL44" s="481"/>
      <c r="ESM44" s="481"/>
      <c r="ESN44" s="481"/>
      <c r="ESO44" s="481"/>
      <c r="ESP44" s="481"/>
      <c r="ESQ44" s="481"/>
      <c r="ESR44" s="481"/>
      <c r="ESS44" s="481"/>
      <c r="EST44" s="481"/>
      <c r="ESU44" s="481"/>
      <c r="ESV44" s="481"/>
      <c r="ESW44" s="481"/>
      <c r="ESX44" s="481"/>
      <c r="ESY44" s="481"/>
      <c r="ESZ44" s="481"/>
      <c r="ETA44" s="481"/>
      <c r="ETB44" s="481"/>
      <c r="ETC44" s="481"/>
      <c r="ETD44" s="481"/>
      <c r="ETE44" s="481"/>
      <c r="ETF44" s="481"/>
      <c r="ETG44" s="481"/>
      <c r="ETH44" s="481"/>
      <c r="ETI44" s="481"/>
      <c r="ETJ44" s="481"/>
      <c r="ETK44" s="481"/>
      <c r="ETL44" s="481"/>
      <c r="ETM44" s="481"/>
      <c r="ETN44" s="481"/>
      <c r="ETO44" s="481"/>
      <c r="ETP44" s="481"/>
      <c r="ETQ44" s="481"/>
      <c r="ETR44" s="481"/>
      <c r="ETS44" s="481"/>
      <c r="ETT44" s="481"/>
      <c r="ETU44" s="481"/>
      <c r="ETV44" s="481"/>
      <c r="ETW44" s="481"/>
      <c r="ETX44" s="481"/>
      <c r="ETY44" s="481"/>
      <c r="ETZ44" s="481"/>
      <c r="EUA44" s="481"/>
      <c r="EUB44" s="481"/>
      <c r="EUC44" s="481"/>
      <c r="EUD44" s="481"/>
      <c r="EUE44" s="481"/>
      <c r="EUF44" s="481"/>
      <c r="EUG44" s="481"/>
      <c r="EUH44" s="481"/>
      <c r="EUI44" s="481"/>
      <c r="EUJ44" s="481"/>
      <c r="EUK44" s="481"/>
      <c r="EUL44" s="481"/>
      <c r="EUM44" s="481"/>
      <c r="EUN44" s="481"/>
      <c r="EUO44" s="481"/>
      <c r="EUP44" s="481"/>
      <c r="EUQ44" s="481"/>
      <c r="EUR44" s="481"/>
      <c r="EUS44" s="481"/>
      <c r="EUT44" s="481"/>
      <c r="EUU44" s="481"/>
      <c r="EUV44" s="481"/>
      <c r="EUW44" s="481"/>
      <c r="EUX44" s="481"/>
      <c r="EUY44" s="481"/>
      <c r="EUZ44" s="481"/>
      <c r="EVA44" s="481"/>
      <c r="EVB44" s="481"/>
      <c r="EVC44" s="481"/>
      <c r="EVD44" s="481"/>
      <c r="EVE44" s="481"/>
      <c r="EVF44" s="481"/>
      <c r="EVG44" s="481"/>
      <c r="EVH44" s="481"/>
      <c r="EVI44" s="481"/>
      <c r="EVJ44" s="481"/>
      <c r="EVK44" s="481"/>
      <c r="EVL44" s="481"/>
      <c r="EVM44" s="481"/>
      <c r="EVN44" s="481"/>
      <c r="EVO44" s="481"/>
      <c r="EVP44" s="481"/>
      <c r="EVQ44" s="481"/>
      <c r="EVR44" s="481"/>
      <c r="EVS44" s="481"/>
      <c r="EVT44" s="481"/>
      <c r="EVU44" s="481"/>
      <c r="EVV44" s="481"/>
      <c r="EVW44" s="481"/>
      <c r="EVX44" s="481"/>
      <c r="EVY44" s="481"/>
      <c r="EVZ44" s="481"/>
      <c r="EWA44" s="481"/>
      <c r="EWB44" s="481"/>
      <c r="EWC44" s="481"/>
      <c r="EWD44" s="481"/>
      <c r="EWE44" s="481"/>
      <c r="EWF44" s="481"/>
      <c r="EWG44" s="481"/>
      <c r="EWH44" s="481"/>
      <c r="EWI44" s="481"/>
      <c r="EWJ44" s="481"/>
      <c r="EWK44" s="481"/>
      <c r="EWL44" s="481"/>
      <c r="EWM44" s="481"/>
      <c r="EWN44" s="481"/>
      <c r="EWO44" s="481"/>
      <c r="EWP44" s="481"/>
      <c r="EWQ44" s="481"/>
      <c r="EWR44" s="481"/>
      <c r="EWS44" s="481"/>
      <c r="EWT44" s="481"/>
      <c r="EWU44" s="481"/>
      <c r="EWV44" s="481"/>
      <c r="EWW44" s="481"/>
      <c r="EWX44" s="481"/>
      <c r="EWY44" s="481"/>
      <c r="EWZ44" s="481"/>
      <c r="EXA44" s="481"/>
      <c r="EXB44" s="481"/>
      <c r="EXC44" s="481"/>
      <c r="EXD44" s="481"/>
      <c r="EXE44" s="481"/>
      <c r="EXF44" s="481"/>
      <c r="EXG44" s="481"/>
      <c r="EXH44" s="481"/>
      <c r="EXI44" s="481"/>
      <c r="EXJ44" s="481"/>
      <c r="EXK44" s="481"/>
      <c r="EXL44" s="481"/>
      <c r="EXM44" s="481"/>
      <c r="EXN44" s="481"/>
      <c r="EXO44" s="481"/>
      <c r="EXP44" s="481"/>
      <c r="EXQ44" s="481"/>
      <c r="EXR44" s="481"/>
      <c r="EXS44" s="481"/>
      <c r="EXT44" s="481"/>
      <c r="EXU44" s="481"/>
      <c r="EXV44" s="481"/>
      <c r="EXW44" s="481"/>
      <c r="EXX44" s="481"/>
      <c r="EXY44" s="481"/>
      <c r="EXZ44" s="481"/>
      <c r="EYA44" s="481"/>
      <c r="EYB44" s="481"/>
      <c r="EYC44" s="481"/>
      <c r="EYD44" s="481"/>
      <c r="EYE44" s="481"/>
      <c r="EYF44" s="481"/>
      <c r="EYG44" s="481"/>
      <c r="EYH44" s="481"/>
      <c r="EYI44" s="481"/>
      <c r="EYJ44" s="481"/>
      <c r="EYK44" s="481"/>
      <c r="EYL44" s="481"/>
      <c r="EYM44" s="481"/>
      <c r="EYN44" s="481"/>
      <c r="EYO44" s="481"/>
      <c r="EYP44" s="481"/>
      <c r="EYQ44" s="481"/>
      <c r="EYR44" s="481"/>
      <c r="EYS44" s="481"/>
      <c r="EYT44" s="481"/>
      <c r="EYU44" s="481"/>
      <c r="EYV44" s="481"/>
      <c r="EYW44" s="481"/>
      <c r="EYX44" s="481"/>
      <c r="EYY44" s="481"/>
      <c r="EYZ44" s="481"/>
      <c r="EZA44" s="481"/>
      <c r="EZB44" s="481"/>
      <c r="EZC44" s="481"/>
      <c r="EZD44" s="481"/>
      <c r="EZE44" s="481"/>
      <c r="EZF44" s="481"/>
      <c r="EZG44" s="481"/>
      <c r="EZH44" s="481"/>
      <c r="EZI44" s="481"/>
      <c r="EZJ44" s="481"/>
      <c r="EZK44" s="481"/>
      <c r="EZL44" s="481"/>
      <c r="EZM44" s="481"/>
      <c r="EZN44" s="481"/>
      <c r="EZO44" s="481"/>
      <c r="EZP44" s="481"/>
      <c r="EZQ44" s="481"/>
      <c r="EZR44" s="481"/>
      <c r="EZS44" s="481"/>
      <c r="EZT44" s="481"/>
      <c r="EZU44" s="481"/>
      <c r="EZV44" s="481"/>
      <c r="EZW44" s="481"/>
      <c r="EZX44" s="481"/>
      <c r="EZY44" s="481"/>
      <c r="EZZ44" s="481"/>
      <c r="FAA44" s="481"/>
      <c r="FAB44" s="481"/>
      <c r="FAC44" s="481"/>
      <c r="FAD44" s="481"/>
      <c r="FAE44" s="481"/>
      <c r="FAF44" s="481"/>
      <c r="FAG44" s="481"/>
      <c r="FAH44" s="481"/>
      <c r="FAI44" s="481"/>
      <c r="FAJ44" s="481"/>
      <c r="FAK44" s="481"/>
      <c r="FAL44" s="481"/>
      <c r="FAM44" s="481"/>
      <c r="FAN44" s="481"/>
      <c r="FAO44" s="481"/>
      <c r="FAP44" s="481"/>
      <c r="FAQ44" s="481"/>
      <c r="FAR44" s="481"/>
      <c r="FAS44" s="481"/>
      <c r="FAT44" s="481"/>
      <c r="FAU44" s="481"/>
      <c r="FAV44" s="481"/>
      <c r="FAW44" s="481"/>
      <c r="FAX44" s="481"/>
      <c r="FAY44" s="481"/>
      <c r="FAZ44" s="481"/>
      <c r="FBA44" s="481"/>
      <c r="FBB44" s="481"/>
      <c r="FBC44" s="481"/>
      <c r="FBD44" s="481"/>
      <c r="FBE44" s="481"/>
      <c r="FBF44" s="481"/>
      <c r="FBG44" s="481"/>
      <c r="FBH44" s="481"/>
      <c r="FBI44" s="481"/>
      <c r="FBJ44" s="481"/>
      <c r="FBK44" s="481"/>
      <c r="FBL44" s="481"/>
      <c r="FBM44" s="481"/>
      <c r="FBN44" s="481"/>
      <c r="FBO44" s="481"/>
      <c r="FBP44" s="481"/>
      <c r="FBQ44" s="481"/>
      <c r="FBR44" s="481"/>
      <c r="FBS44" s="481"/>
      <c r="FBT44" s="481"/>
      <c r="FBU44" s="481"/>
      <c r="FBV44" s="481"/>
      <c r="FBW44" s="481"/>
      <c r="FBX44" s="481"/>
      <c r="FBY44" s="481"/>
      <c r="FBZ44" s="481"/>
      <c r="FCA44" s="481"/>
      <c r="FCB44" s="481"/>
      <c r="FCC44" s="481"/>
      <c r="FCD44" s="481"/>
      <c r="FCE44" s="481"/>
      <c r="FCF44" s="481"/>
      <c r="FCG44" s="481"/>
      <c r="FCH44" s="481"/>
      <c r="FCI44" s="481"/>
      <c r="FCJ44" s="481"/>
      <c r="FCK44" s="481"/>
      <c r="FCL44" s="481"/>
      <c r="FCM44" s="481"/>
      <c r="FCN44" s="481"/>
      <c r="FCO44" s="481"/>
      <c r="FCP44" s="481"/>
      <c r="FCQ44" s="481"/>
      <c r="FCR44" s="481"/>
      <c r="FCS44" s="481"/>
      <c r="FCT44" s="481"/>
      <c r="FCU44" s="481"/>
      <c r="FCV44" s="481"/>
      <c r="FCW44" s="481"/>
      <c r="FCX44" s="481"/>
      <c r="FCY44" s="481"/>
      <c r="FCZ44" s="481"/>
      <c r="FDA44" s="481"/>
      <c r="FDB44" s="481"/>
      <c r="FDC44" s="481"/>
      <c r="FDD44" s="481"/>
      <c r="FDE44" s="481"/>
      <c r="FDF44" s="481"/>
      <c r="FDG44" s="481"/>
      <c r="FDH44" s="481"/>
      <c r="FDI44" s="481"/>
      <c r="FDJ44" s="481"/>
      <c r="FDK44" s="481"/>
      <c r="FDL44" s="481"/>
      <c r="FDM44" s="481"/>
      <c r="FDN44" s="481"/>
      <c r="FDO44" s="481"/>
      <c r="FDP44" s="481"/>
      <c r="FDQ44" s="481"/>
      <c r="FDR44" s="481"/>
      <c r="FDS44" s="481"/>
      <c r="FDT44" s="481"/>
      <c r="FDU44" s="481"/>
      <c r="FDV44" s="481"/>
      <c r="FDW44" s="481"/>
      <c r="FDX44" s="481"/>
      <c r="FDY44" s="481"/>
      <c r="FDZ44" s="481"/>
      <c r="FEA44" s="481"/>
      <c r="FEB44" s="481"/>
      <c r="FEC44" s="481"/>
      <c r="FED44" s="481"/>
      <c r="FEE44" s="481"/>
      <c r="FEF44" s="481"/>
      <c r="FEG44" s="481"/>
      <c r="FEH44" s="481"/>
      <c r="FEI44" s="481"/>
      <c r="FEJ44" s="481"/>
      <c r="FEK44" s="481"/>
      <c r="FEL44" s="481"/>
      <c r="FEM44" s="481"/>
      <c r="FEN44" s="481"/>
      <c r="FEO44" s="481"/>
      <c r="FEP44" s="481"/>
      <c r="FEQ44" s="481"/>
      <c r="FER44" s="481"/>
      <c r="FES44" s="481"/>
      <c r="FET44" s="481"/>
      <c r="FEU44" s="481"/>
      <c r="FEV44" s="481"/>
      <c r="FEW44" s="481"/>
      <c r="FEX44" s="481"/>
      <c r="FEY44" s="481"/>
      <c r="FEZ44" s="481"/>
      <c r="FFA44" s="481"/>
      <c r="FFB44" s="481"/>
      <c r="FFC44" s="481"/>
      <c r="FFD44" s="481"/>
      <c r="FFE44" s="481"/>
      <c r="FFF44" s="481"/>
      <c r="FFG44" s="481"/>
      <c r="FFH44" s="481"/>
      <c r="FFI44" s="481"/>
      <c r="FFJ44" s="481"/>
      <c r="FFK44" s="481"/>
      <c r="FFL44" s="481"/>
      <c r="FFM44" s="481"/>
      <c r="FFN44" s="481"/>
      <c r="FFO44" s="481"/>
      <c r="FFP44" s="481"/>
      <c r="FFQ44" s="481"/>
      <c r="FFR44" s="481"/>
      <c r="FFS44" s="481"/>
      <c r="FFT44" s="481"/>
      <c r="FFU44" s="481"/>
      <c r="FFV44" s="481"/>
      <c r="FFW44" s="481"/>
      <c r="FFX44" s="481"/>
      <c r="FFY44" s="481"/>
      <c r="FFZ44" s="481"/>
      <c r="FGA44" s="481"/>
      <c r="FGB44" s="481"/>
      <c r="FGC44" s="481"/>
      <c r="FGD44" s="481"/>
      <c r="FGE44" s="481"/>
      <c r="FGF44" s="481"/>
      <c r="FGG44" s="481"/>
      <c r="FGH44" s="481"/>
      <c r="FGI44" s="481"/>
      <c r="FGJ44" s="481"/>
      <c r="FGK44" s="481"/>
      <c r="FGL44" s="481"/>
      <c r="FGM44" s="481"/>
      <c r="FGN44" s="481"/>
      <c r="FGO44" s="481"/>
      <c r="FGP44" s="481"/>
      <c r="FGQ44" s="481"/>
      <c r="FGR44" s="481"/>
      <c r="FGS44" s="481"/>
      <c r="FGT44" s="481"/>
      <c r="FGU44" s="481"/>
      <c r="FGV44" s="481"/>
      <c r="FGW44" s="481"/>
      <c r="FGX44" s="481"/>
      <c r="FGY44" s="481"/>
      <c r="FGZ44" s="481"/>
      <c r="FHA44" s="481"/>
      <c r="FHB44" s="481"/>
      <c r="FHC44" s="481"/>
      <c r="FHD44" s="481"/>
      <c r="FHE44" s="481"/>
      <c r="FHF44" s="481"/>
      <c r="FHG44" s="481"/>
      <c r="FHH44" s="481"/>
      <c r="FHI44" s="481"/>
      <c r="FHJ44" s="481"/>
      <c r="FHK44" s="481"/>
      <c r="FHL44" s="481"/>
      <c r="FHM44" s="481"/>
      <c r="FHN44" s="481"/>
      <c r="FHO44" s="481"/>
      <c r="FHP44" s="481"/>
      <c r="FHQ44" s="481"/>
      <c r="FHR44" s="481"/>
      <c r="FHS44" s="481"/>
      <c r="FHT44" s="481"/>
      <c r="FHU44" s="481"/>
      <c r="FHV44" s="481"/>
      <c r="FHW44" s="481"/>
      <c r="FHX44" s="481"/>
      <c r="FHY44" s="481"/>
      <c r="FHZ44" s="481"/>
      <c r="FIA44" s="481"/>
      <c r="FIB44" s="481"/>
      <c r="FIC44" s="481"/>
      <c r="FID44" s="481"/>
      <c r="FIE44" s="481"/>
      <c r="FIF44" s="481"/>
      <c r="FIG44" s="481"/>
      <c r="FIH44" s="481"/>
      <c r="FII44" s="481"/>
      <c r="FIJ44" s="481"/>
      <c r="FIK44" s="481"/>
      <c r="FIL44" s="481"/>
      <c r="FIM44" s="481"/>
      <c r="FIN44" s="481"/>
      <c r="FIO44" s="481"/>
      <c r="FIP44" s="481"/>
      <c r="FIQ44" s="481"/>
      <c r="FIR44" s="481"/>
      <c r="FIS44" s="481"/>
      <c r="FIT44" s="481"/>
      <c r="FIU44" s="481"/>
      <c r="FIV44" s="481"/>
      <c r="FIW44" s="481"/>
      <c r="FIX44" s="481"/>
      <c r="FIY44" s="481"/>
      <c r="FIZ44" s="481"/>
      <c r="FJA44" s="481"/>
      <c r="FJB44" s="481"/>
      <c r="FJC44" s="481"/>
      <c r="FJD44" s="481"/>
      <c r="FJE44" s="481"/>
      <c r="FJF44" s="481"/>
      <c r="FJG44" s="481"/>
      <c r="FJH44" s="481"/>
      <c r="FJI44" s="481"/>
      <c r="FJJ44" s="481"/>
      <c r="FJK44" s="481"/>
      <c r="FJL44" s="481"/>
      <c r="FJM44" s="481"/>
      <c r="FJN44" s="481"/>
      <c r="FJO44" s="481"/>
      <c r="FJP44" s="481"/>
      <c r="FJQ44" s="481"/>
      <c r="FJR44" s="481"/>
      <c r="FJS44" s="481"/>
      <c r="FJT44" s="481"/>
      <c r="FJU44" s="481"/>
      <c r="FJV44" s="481"/>
      <c r="FJW44" s="481"/>
      <c r="FJX44" s="481"/>
      <c r="FJY44" s="481"/>
      <c r="FJZ44" s="481"/>
      <c r="FKA44" s="481"/>
      <c r="FKB44" s="481"/>
      <c r="FKC44" s="481"/>
      <c r="FKD44" s="481"/>
      <c r="FKE44" s="481"/>
      <c r="FKF44" s="481"/>
      <c r="FKG44" s="481"/>
      <c r="FKH44" s="481"/>
      <c r="FKI44" s="481"/>
      <c r="FKJ44" s="481"/>
      <c r="FKK44" s="481"/>
      <c r="FKL44" s="481"/>
      <c r="FKM44" s="481"/>
      <c r="FKN44" s="481"/>
      <c r="FKO44" s="481"/>
      <c r="FKP44" s="481"/>
      <c r="FKQ44" s="481"/>
      <c r="FKR44" s="481"/>
      <c r="FKS44" s="481"/>
      <c r="FKT44" s="481"/>
      <c r="FKU44" s="481"/>
      <c r="FKV44" s="481"/>
      <c r="FKW44" s="481"/>
      <c r="FKX44" s="481"/>
      <c r="FKY44" s="481"/>
      <c r="FKZ44" s="481"/>
      <c r="FLA44" s="481"/>
      <c r="FLB44" s="481"/>
      <c r="FLC44" s="481"/>
      <c r="FLD44" s="481"/>
      <c r="FLE44" s="481"/>
      <c r="FLF44" s="481"/>
      <c r="FLG44" s="481"/>
      <c r="FLH44" s="481"/>
      <c r="FLI44" s="481"/>
      <c r="FLJ44" s="481"/>
      <c r="FLK44" s="481"/>
      <c r="FLL44" s="481"/>
      <c r="FLM44" s="481"/>
      <c r="FLN44" s="481"/>
      <c r="FLO44" s="481"/>
      <c r="FLP44" s="481"/>
      <c r="FLQ44" s="481"/>
      <c r="FLR44" s="481"/>
      <c r="FLS44" s="481"/>
      <c r="FLT44" s="481"/>
      <c r="FLU44" s="481"/>
      <c r="FLV44" s="481"/>
      <c r="FLW44" s="481"/>
      <c r="FLX44" s="481"/>
      <c r="FLY44" s="481"/>
      <c r="FLZ44" s="481"/>
      <c r="FMA44" s="481"/>
      <c r="FMB44" s="481"/>
      <c r="FMC44" s="481"/>
      <c r="FMD44" s="481"/>
      <c r="FME44" s="481"/>
      <c r="FMF44" s="481"/>
      <c r="FMG44" s="481"/>
      <c r="FMH44" s="481"/>
      <c r="FMI44" s="481"/>
      <c r="FMJ44" s="481"/>
      <c r="FMK44" s="481"/>
      <c r="FML44" s="481"/>
      <c r="FMM44" s="481"/>
      <c r="FMN44" s="481"/>
      <c r="FMO44" s="481"/>
      <c r="FMP44" s="481"/>
      <c r="FMQ44" s="481"/>
      <c r="FMR44" s="481"/>
      <c r="FMS44" s="481"/>
      <c r="FMT44" s="481"/>
      <c r="FMU44" s="481"/>
      <c r="FMV44" s="481"/>
      <c r="FMW44" s="481"/>
      <c r="FMX44" s="481"/>
      <c r="FMY44" s="481"/>
      <c r="FMZ44" s="481"/>
      <c r="FNA44" s="481"/>
      <c r="FNB44" s="481"/>
      <c r="FNC44" s="481"/>
      <c r="FND44" s="481"/>
      <c r="FNE44" s="481"/>
      <c r="FNF44" s="481"/>
      <c r="FNG44" s="481"/>
      <c r="FNH44" s="481"/>
      <c r="FNI44" s="481"/>
      <c r="FNJ44" s="481"/>
      <c r="FNK44" s="481"/>
      <c r="FNL44" s="481"/>
      <c r="FNM44" s="481"/>
      <c r="FNN44" s="481"/>
      <c r="FNO44" s="481"/>
      <c r="FNP44" s="481"/>
      <c r="FNQ44" s="481"/>
      <c r="FNR44" s="481"/>
      <c r="FNS44" s="481"/>
      <c r="FNT44" s="481"/>
      <c r="FNU44" s="481"/>
      <c r="FNV44" s="481"/>
      <c r="FNW44" s="481"/>
      <c r="FNX44" s="481"/>
      <c r="FNY44" s="481"/>
      <c r="FNZ44" s="481"/>
      <c r="FOA44" s="481"/>
      <c r="FOB44" s="481"/>
      <c r="FOC44" s="481"/>
      <c r="FOD44" s="481"/>
      <c r="FOE44" s="481"/>
      <c r="FOF44" s="481"/>
      <c r="FOG44" s="481"/>
      <c r="FOH44" s="481"/>
      <c r="FOI44" s="481"/>
      <c r="FOJ44" s="481"/>
      <c r="FOK44" s="481"/>
      <c r="FOL44" s="481"/>
      <c r="FOM44" s="481"/>
      <c r="FON44" s="481"/>
      <c r="FOO44" s="481"/>
      <c r="FOP44" s="481"/>
      <c r="FOQ44" s="481"/>
      <c r="FOR44" s="481"/>
      <c r="FOS44" s="481"/>
      <c r="FOT44" s="481"/>
      <c r="FOU44" s="481"/>
      <c r="FOV44" s="481"/>
      <c r="FOW44" s="481"/>
      <c r="FOX44" s="481"/>
      <c r="FOY44" s="481"/>
      <c r="FOZ44" s="481"/>
      <c r="FPA44" s="481"/>
      <c r="FPB44" s="481"/>
      <c r="FPC44" s="481"/>
      <c r="FPD44" s="481"/>
      <c r="FPE44" s="481"/>
      <c r="FPF44" s="481"/>
      <c r="FPG44" s="481"/>
      <c r="FPH44" s="481"/>
      <c r="FPI44" s="481"/>
      <c r="FPJ44" s="481"/>
      <c r="FPK44" s="481"/>
      <c r="FPL44" s="481"/>
      <c r="FPM44" s="481"/>
      <c r="FPN44" s="481"/>
      <c r="FPO44" s="481"/>
      <c r="FPP44" s="481"/>
      <c r="FPQ44" s="481"/>
      <c r="FPR44" s="481"/>
      <c r="FPS44" s="481"/>
      <c r="FPT44" s="481"/>
      <c r="FPU44" s="481"/>
      <c r="FPV44" s="481"/>
      <c r="FPW44" s="481"/>
      <c r="FPX44" s="481"/>
      <c r="FPY44" s="481"/>
      <c r="FPZ44" s="481"/>
      <c r="FQA44" s="481"/>
      <c r="FQB44" s="481"/>
      <c r="FQC44" s="481"/>
      <c r="FQD44" s="481"/>
      <c r="FQE44" s="481"/>
      <c r="FQF44" s="481"/>
      <c r="FQG44" s="481"/>
      <c r="FQH44" s="481"/>
      <c r="FQI44" s="481"/>
      <c r="FQJ44" s="481"/>
      <c r="FQK44" s="481"/>
      <c r="FQL44" s="481"/>
      <c r="FQM44" s="481"/>
      <c r="FQN44" s="481"/>
      <c r="FQO44" s="481"/>
      <c r="FQP44" s="481"/>
      <c r="FQQ44" s="481"/>
      <c r="FQR44" s="481"/>
      <c r="FQS44" s="481"/>
      <c r="FQT44" s="481"/>
      <c r="FQU44" s="481"/>
      <c r="FQV44" s="481"/>
      <c r="FQW44" s="481"/>
      <c r="FQX44" s="481"/>
      <c r="FQY44" s="481"/>
      <c r="FQZ44" s="481"/>
      <c r="FRA44" s="481"/>
      <c r="FRB44" s="481"/>
      <c r="FRC44" s="481"/>
      <c r="FRD44" s="481"/>
      <c r="FRE44" s="481"/>
      <c r="FRF44" s="481"/>
      <c r="FRG44" s="481"/>
      <c r="FRH44" s="481"/>
      <c r="FRI44" s="481"/>
      <c r="FRJ44" s="481"/>
      <c r="FRK44" s="481"/>
      <c r="FRL44" s="481"/>
      <c r="FRM44" s="481"/>
      <c r="FRN44" s="481"/>
      <c r="FRO44" s="481"/>
      <c r="FRP44" s="481"/>
      <c r="FRQ44" s="481"/>
      <c r="FRR44" s="481"/>
      <c r="FRS44" s="481"/>
      <c r="FRT44" s="481"/>
      <c r="FRU44" s="481"/>
      <c r="FRV44" s="481"/>
      <c r="FRW44" s="481"/>
      <c r="FRX44" s="481"/>
      <c r="FRY44" s="481"/>
      <c r="FRZ44" s="481"/>
      <c r="FSA44" s="481"/>
      <c r="FSB44" s="481"/>
      <c r="FSC44" s="481"/>
      <c r="FSD44" s="481"/>
      <c r="FSE44" s="481"/>
      <c r="FSF44" s="481"/>
      <c r="FSG44" s="481"/>
      <c r="FSH44" s="481"/>
      <c r="FSI44" s="481"/>
      <c r="FSJ44" s="481"/>
      <c r="FSK44" s="481"/>
      <c r="FSL44" s="481"/>
      <c r="FSM44" s="481"/>
      <c r="FSN44" s="481"/>
      <c r="FSO44" s="481"/>
      <c r="FSP44" s="481"/>
      <c r="FSQ44" s="481"/>
      <c r="FSR44" s="481"/>
      <c r="FSS44" s="481"/>
      <c r="FST44" s="481"/>
      <c r="FSU44" s="481"/>
      <c r="FSV44" s="481"/>
      <c r="FSW44" s="481"/>
      <c r="FSX44" s="481"/>
      <c r="FSY44" s="481"/>
      <c r="FSZ44" s="481"/>
      <c r="FTA44" s="481"/>
      <c r="FTB44" s="481"/>
      <c r="FTC44" s="481"/>
      <c r="FTD44" s="481"/>
      <c r="FTE44" s="481"/>
      <c r="FTF44" s="481"/>
      <c r="FTG44" s="481"/>
      <c r="FTH44" s="481"/>
      <c r="FTI44" s="481"/>
      <c r="FTJ44" s="481"/>
      <c r="FTK44" s="481"/>
      <c r="FTL44" s="481"/>
      <c r="FTM44" s="481"/>
      <c r="FTN44" s="481"/>
      <c r="FTO44" s="481"/>
      <c r="FTP44" s="481"/>
      <c r="FTQ44" s="481"/>
      <c r="FTR44" s="481"/>
      <c r="FTS44" s="481"/>
      <c r="FTT44" s="481"/>
      <c r="FTU44" s="481"/>
      <c r="FTV44" s="481"/>
      <c r="FTW44" s="481"/>
      <c r="FTX44" s="481"/>
      <c r="FTY44" s="481"/>
      <c r="FTZ44" s="481"/>
      <c r="FUA44" s="481"/>
      <c r="FUB44" s="481"/>
      <c r="FUC44" s="481"/>
      <c r="FUD44" s="481"/>
      <c r="FUE44" s="481"/>
      <c r="FUF44" s="481"/>
      <c r="FUG44" s="481"/>
      <c r="FUH44" s="481"/>
      <c r="FUI44" s="481"/>
      <c r="FUJ44" s="481"/>
      <c r="FUK44" s="481"/>
      <c r="FUL44" s="481"/>
      <c r="FUM44" s="481"/>
      <c r="FUN44" s="481"/>
      <c r="FUO44" s="481"/>
      <c r="FUP44" s="481"/>
      <c r="FUQ44" s="481"/>
      <c r="FUR44" s="481"/>
      <c r="FUS44" s="481"/>
      <c r="FUT44" s="481"/>
      <c r="FUU44" s="481"/>
      <c r="FUV44" s="481"/>
      <c r="FUW44" s="481"/>
      <c r="FUX44" s="481"/>
      <c r="FUY44" s="481"/>
      <c r="FUZ44" s="481"/>
      <c r="FVA44" s="481"/>
      <c r="FVB44" s="481"/>
      <c r="FVC44" s="481"/>
      <c r="FVD44" s="481"/>
      <c r="FVE44" s="481"/>
      <c r="FVF44" s="481"/>
      <c r="FVG44" s="481"/>
      <c r="FVH44" s="481"/>
      <c r="FVI44" s="481"/>
      <c r="FVJ44" s="481"/>
      <c r="FVK44" s="481"/>
      <c r="FVL44" s="481"/>
      <c r="FVM44" s="481"/>
      <c r="FVN44" s="481"/>
      <c r="FVO44" s="481"/>
      <c r="FVP44" s="481"/>
      <c r="FVQ44" s="481"/>
      <c r="FVR44" s="481"/>
      <c r="FVS44" s="481"/>
      <c r="FVT44" s="481"/>
      <c r="FVU44" s="481"/>
      <c r="FVV44" s="481"/>
      <c r="FVW44" s="481"/>
      <c r="FVX44" s="481"/>
      <c r="FVY44" s="481"/>
      <c r="FVZ44" s="481"/>
      <c r="FWA44" s="481"/>
      <c r="FWB44" s="481"/>
      <c r="FWC44" s="481"/>
      <c r="FWD44" s="481"/>
      <c r="FWE44" s="481"/>
      <c r="FWF44" s="481"/>
      <c r="FWG44" s="481"/>
      <c r="FWH44" s="481"/>
      <c r="FWI44" s="481"/>
      <c r="FWJ44" s="481"/>
      <c r="FWK44" s="481"/>
      <c r="FWL44" s="481"/>
      <c r="FWM44" s="481"/>
      <c r="FWN44" s="481"/>
      <c r="FWO44" s="481"/>
      <c r="FWP44" s="481"/>
      <c r="FWQ44" s="481"/>
      <c r="FWR44" s="481"/>
      <c r="FWS44" s="481"/>
      <c r="FWT44" s="481"/>
      <c r="FWU44" s="481"/>
      <c r="FWV44" s="481"/>
      <c r="FWW44" s="481"/>
      <c r="FWX44" s="481"/>
      <c r="FWY44" s="481"/>
      <c r="FWZ44" s="481"/>
      <c r="FXA44" s="481"/>
      <c r="FXB44" s="481"/>
      <c r="FXC44" s="481"/>
      <c r="FXD44" s="481"/>
      <c r="FXE44" s="481"/>
      <c r="FXF44" s="481"/>
      <c r="FXG44" s="481"/>
      <c r="FXH44" s="481"/>
      <c r="FXI44" s="481"/>
      <c r="FXJ44" s="481"/>
      <c r="FXK44" s="481"/>
      <c r="FXL44" s="481"/>
      <c r="FXM44" s="481"/>
      <c r="FXN44" s="481"/>
      <c r="FXO44" s="481"/>
      <c r="FXP44" s="481"/>
      <c r="FXQ44" s="481"/>
      <c r="FXR44" s="481"/>
      <c r="FXS44" s="481"/>
      <c r="FXT44" s="481"/>
      <c r="FXU44" s="481"/>
      <c r="FXV44" s="481"/>
      <c r="FXW44" s="481"/>
      <c r="FXX44" s="481"/>
      <c r="FXY44" s="481"/>
      <c r="FXZ44" s="481"/>
      <c r="FYA44" s="481"/>
      <c r="FYB44" s="481"/>
      <c r="FYC44" s="481"/>
      <c r="FYD44" s="481"/>
      <c r="FYE44" s="481"/>
      <c r="FYF44" s="481"/>
      <c r="FYG44" s="481"/>
      <c r="FYH44" s="481"/>
      <c r="FYI44" s="481"/>
      <c r="FYJ44" s="481"/>
      <c r="FYK44" s="481"/>
      <c r="FYL44" s="481"/>
      <c r="FYM44" s="481"/>
      <c r="FYN44" s="481"/>
      <c r="FYO44" s="481"/>
      <c r="FYP44" s="481"/>
      <c r="FYQ44" s="481"/>
      <c r="FYR44" s="481"/>
      <c r="FYS44" s="481"/>
      <c r="FYT44" s="481"/>
      <c r="FYU44" s="481"/>
      <c r="FYV44" s="481"/>
      <c r="FYW44" s="481"/>
      <c r="FYX44" s="481"/>
      <c r="FYY44" s="481"/>
      <c r="FYZ44" s="481"/>
      <c r="FZA44" s="481"/>
      <c r="FZB44" s="481"/>
      <c r="FZC44" s="481"/>
      <c r="FZD44" s="481"/>
      <c r="FZE44" s="481"/>
      <c r="FZF44" s="481"/>
      <c r="FZG44" s="481"/>
      <c r="FZH44" s="481"/>
      <c r="FZI44" s="481"/>
      <c r="FZJ44" s="481"/>
      <c r="FZK44" s="481"/>
      <c r="FZL44" s="481"/>
      <c r="FZM44" s="481"/>
      <c r="FZN44" s="481"/>
      <c r="FZO44" s="481"/>
      <c r="FZP44" s="481"/>
      <c r="FZQ44" s="481"/>
      <c r="FZR44" s="481"/>
      <c r="FZS44" s="481"/>
      <c r="FZT44" s="481"/>
      <c r="FZU44" s="481"/>
      <c r="FZV44" s="481"/>
      <c r="FZW44" s="481"/>
      <c r="FZX44" s="481"/>
      <c r="FZY44" s="481"/>
      <c r="FZZ44" s="481"/>
      <c r="GAA44" s="481"/>
      <c r="GAB44" s="481"/>
      <c r="GAC44" s="481"/>
      <c r="GAD44" s="481"/>
      <c r="GAE44" s="481"/>
      <c r="GAF44" s="481"/>
      <c r="GAG44" s="481"/>
      <c r="GAH44" s="481"/>
      <c r="GAI44" s="481"/>
      <c r="GAJ44" s="481"/>
      <c r="GAK44" s="481"/>
      <c r="GAL44" s="481"/>
      <c r="GAM44" s="481"/>
      <c r="GAN44" s="481"/>
      <c r="GAO44" s="481"/>
      <c r="GAP44" s="481"/>
      <c r="GAQ44" s="481"/>
      <c r="GAR44" s="481"/>
      <c r="GAS44" s="481"/>
      <c r="GAT44" s="481"/>
      <c r="GAU44" s="481"/>
      <c r="GAV44" s="481"/>
      <c r="GAW44" s="481"/>
      <c r="GAX44" s="481"/>
      <c r="GAY44" s="481"/>
      <c r="GAZ44" s="481"/>
      <c r="GBA44" s="481"/>
      <c r="GBB44" s="481"/>
      <c r="GBC44" s="481"/>
      <c r="GBD44" s="481"/>
      <c r="GBE44" s="481"/>
      <c r="GBF44" s="481"/>
      <c r="GBG44" s="481"/>
      <c r="GBH44" s="481"/>
      <c r="GBI44" s="481"/>
      <c r="GBJ44" s="481"/>
      <c r="GBK44" s="481"/>
      <c r="GBL44" s="481"/>
      <c r="GBM44" s="481"/>
      <c r="GBN44" s="481"/>
      <c r="GBO44" s="481"/>
      <c r="GBP44" s="481"/>
      <c r="GBQ44" s="481"/>
      <c r="GBR44" s="481"/>
      <c r="GBS44" s="481"/>
      <c r="GBT44" s="481"/>
      <c r="GBU44" s="481"/>
      <c r="GBV44" s="481"/>
      <c r="GBW44" s="481"/>
      <c r="GBX44" s="481"/>
      <c r="GBY44" s="481"/>
      <c r="GBZ44" s="481"/>
      <c r="GCA44" s="481"/>
      <c r="GCB44" s="481"/>
      <c r="GCC44" s="481"/>
      <c r="GCD44" s="481"/>
      <c r="GCE44" s="481"/>
      <c r="GCF44" s="481"/>
      <c r="GCG44" s="481"/>
      <c r="GCH44" s="481"/>
      <c r="GCI44" s="481"/>
      <c r="GCJ44" s="481"/>
      <c r="GCK44" s="481"/>
      <c r="GCL44" s="481"/>
      <c r="GCM44" s="481"/>
      <c r="GCN44" s="481"/>
      <c r="GCO44" s="481"/>
      <c r="GCP44" s="481"/>
      <c r="GCQ44" s="481"/>
      <c r="GCR44" s="481"/>
      <c r="GCS44" s="481"/>
      <c r="GCT44" s="481"/>
      <c r="GCU44" s="481"/>
      <c r="GCV44" s="481"/>
      <c r="GCW44" s="481"/>
      <c r="GCX44" s="481"/>
      <c r="GCY44" s="481"/>
      <c r="GCZ44" s="481"/>
      <c r="GDA44" s="481"/>
      <c r="GDB44" s="481"/>
      <c r="GDC44" s="481"/>
      <c r="GDD44" s="481"/>
      <c r="GDE44" s="481"/>
      <c r="GDF44" s="481"/>
      <c r="GDG44" s="481"/>
      <c r="GDH44" s="481"/>
      <c r="GDI44" s="481"/>
      <c r="GDJ44" s="481"/>
      <c r="GDK44" s="481"/>
      <c r="GDL44" s="481"/>
      <c r="GDM44" s="481"/>
      <c r="GDN44" s="481"/>
      <c r="GDO44" s="481"/>
      <c r="GDP44" s="481"/>
      <c r="GDQ44" s="481"/>
      <c r="GDR44" s="481"/>
      <c r="GDS44" s="481"/>
      <c r="GDT44" s="481"/>
      <c r="GDU44" s="481"/>
      <c r="GDV44" s="481"/>
      <c r="GDW44" s="481"/>
      <c r="GDX44" s="481"/>
      <c r="GDY44" s="481"/>
      <c r="GDZ44" s="481"/>
      <c r="GEA44" s="481"/>
      <c r="GEB44" s="481"/>
      <c r="GEC44" s="481"/>
      <c r="GED44" s="481"/>
      <c r="GEE44" s="481"/>
      <c r="GEF44" s="481"/>
      <c r="GEG44" s="481"/>
      <c r="GEH44" s="481"/>
      <c r="GEI44" s="481"/>
      <c r="GEJ44" s="481"/>
      <c r="GEK44" s="481"/>
      <c r="GEL44" s="481"/>
      <c r="GEM44" s="481"/>
      <c r="GEN44" s="481"/>
      <c r="GEO44" s="481"/>
      <c r="GEP44" s="481"/>
      <c r="GEQ44" s="481"/>
      <c r="GER44" s="481"/>
      <c r="GES44" s="481"/>
      <c r="GET44" s="481"/>
      <c r="GEU44" s="481"/>
      <c r="GEV44" s="481"/>
      <c r="GEW44" s="481"/>
      <c r="GEX44" s="481"/>
      <c r="GEY44" s="481"/>
      <c r="GEZ44" s="481"/>
      <c r="GFA44" s="481"/>
      <c r="GFB44" s="481"/>
      <c r="GFC44" s="481"/>
      <c r="GFD44" s="481"/>
      <c r="GFE44" s="481"/>
      <c r="GFF44" s="481"/>
      <c r="GFG44" s="481"/>
      <c r="GFH44" s="481"/>
      <c r="GFI44" s="481"/>
      <c r="GFJ44" s="481"/>
      <c r="GFK44" s="481"/>
      <c r="GFL44" s="481"/>
      <c r="GFM44" s="481"/>
      <c r="GFN44" s="481"/>
      <c r="GFO44" s="481"/>
      <c r="GFP44" s="481"/>
      <c r="GFQ44" s="481"/>
      <c r="GFR44" s="481"/>
      <c r="GFS44" s="481"/>
      <c r="GFT44" s="481"/>
      <c r="GFU44" s="481"/>
      <c r="GFV44" s="481"/>
      <c r="GFW44" s="481"/>
      <c r="GFX44" s="481"/>
      <c r="GFY44" s="481"/>
      <c r="GFZ44" s="481"/>
      <c r="GGA44" s="481"/>
      <c r="GGB44" s="481"/>
      <c r="GGC44" s="481"/>
      <c r="GGD44" s="481"/>
      <c r="GGE44" s="481"/>
      <c r="GGF44" s="481"/>
      <c r="GGG44" s="481"/>
      <c r="GGH44" s="481"/>
      <c r="GGI44" s="481"/>
      <c r="GGJ44" s="481"/>
      <c r="GGK44" s="481"/>
      <c r="GGL44" s="481"/>
      <c r="GGM44" s="481"/>
      <c r="GGN44" s="481"/>
      <c r="GGO44" s="481"/>
      <c r="GGP44" s="481"/>
      <c r="GGQ44" s="481"/>
      <c r="GGR44" s="481"/>
      <c r="GGS44" s="481"/>
      <c r="GGT44" s="481"/>
      <c r="GGU44" s="481"/>
      <c r="GGV44" s="481"/>
      <c r="GGW44" s="481"/>
      <c r="GGX44" s="481"/>
      <c r="GGY44" s="481"/>
      <c r="GGZ44" s="481"/>
      <c r="GHA44" s="481"/>
      <c r="GHB44" s="481"/>
      <c r="GHC44" s="481"/>
      <c r="GHD44" s="481"/>
      <c r="GHE44" s="481"/>
      <c r="GHF44" s="481"/>
      <c r="GHG44" s="481"/>
      <c r="GHH44" s="481"/>
      <c r="GHI44" s="481"/>
      <c r="GHJ44" s="481"/>
      <c r="GHK44" s="481"/>
      <c r="GHL44" s="481"/>
      <c r="GHM44" s="481"/>
      <c r="GHN44" s="481"/>
      <c r="GHO44" s="481"/>
      <c r="GHP44" s="481"/>
      <c r="GHQ44" s="481"/>
      <c r="GHR44" s="481"/>
      <c r="GHS44" s="481"/>
      <c r="GHT44" s="481"/>
      <c r="GHU44" s="481"/>
      <c r="GHV44" s="481"/>
      <c r="GHW44" s="481"/>
      <c r="GHX44" s="481"/>
      <c r="GHY44" s="481"/>
      <c r="GHZ44" s="481"/>
      <c r="GIA44" s="481"/>
      <c r="GIB44" s="481"/>
      <c r="GIC44" s="481"/>
      <c r="GID44" s="481"/>
      <c r="GIE44" s="481"/>
      <c r="GIF44" s="481"/>
      <c r="GIG44" s="481"/>
      <c r="GIH44" s="481"/>
      <c r="GII44" s="481"/>
      <c r="GIJ44" s="481"/>
      <c r="GIK44" s="481"/>
      <c r="GIL44" s="481"/>
      <c r="GIM44" s="481"/>
      <c r="GIN44" s="481"/>
      <c r="GIO44" s="481"/>
      <c r="GIP44" s="481"/>
      <c r="GIQ44" s="481"/>
      <c r="GIR44" s="481"/>
      <c r="GIS44" s="481"/>
      <c r="GIT44" s="481"/>
      <c r="GIU44" s="481"/>
      <c r="GIV44" s="481"/>
      <c r="GIW44" s="481"/>
      <c r="GIX44" s="481"/>
      <c r="GIY44" s="481"/>
      <c r="GIZ44" s="481"/>
      <c r="GJA44" s="481"/>
      <c r="GJB44" s="481"/>
      <c r="GJC44" s="481"/>
      <c r="GJD44" s="481"/>
      <c r="GJE44" s="481"/>
      <c r="GJF44" s="481"/>
      <c r="GJG44" s="481"/>
      <c r="GJH44" s="481"/>
      <c r="GJI44" s="481"/>
      <c r="GJJ44" s="481"/>
      <c r="GJK44" s="481"/>
      <c r="GJL44" s="481"/>
      <c r="GJM44" s="481"/>
      <c r="GJN44" s="481"/>
      <c r="GJO44" s="481"/>
      <c r="GJP44" s="481"/>
      <c r="GJQ44" s="481"/>
      <c r="GJR44" s="481"/>
      <c r="GJS44" s="481"/>
      <c r="GJT44" s="481"/>
      <c r="GJU44" s="481"/>
      <c r="GJV44" s="481"/>
      <c r="GJW44" s="481"/>
      <c r="GJX44" s="481"/>
      <c r="GJY44" s="481"/>
      <c r="GJZ44" s="481"/>
      <c r="GKA44" s="481"/>
      <c r="GKB44" s="481"/>
      <c r="GKC44" s="481"/>
      <c r="GKD44" s="481"/>
      <c r="GKE44" s="481"/>
      <c r="GKF44" s="481"/>
      <c r="GKG44" s="481"/>
      <c r="GKH44" s="481"/>
      <c r="GKI44" s="481"/>
      <c r="GKJ44" s="481"/>
      <c r="GKK44" s="481"/>
      <c r="GKL44" s="481"/>
      <c r="GKM44" s="481"/>
      <c r="GKN44" s="481"/>
      <c r="GKO44" s="481"/>
      <c r="GKP44" s="481"/>
      <c r="GKQ44" s="481"/>
      <c r="GKR44" s="481"/>
      <c r="GKS44" s="481"/>
      <c r="GKT44" s="481"/>
      <c r="GKU44" s="481"/>
      <c r="GKV44" s="481"/>
      <c r="GKW44" s="481"/>
      <c r="GKX44" s="481"/>
      <c r="GKY44" s="481"/>
      <c r="GKZ44" s="481"/>
      <c r="GLA44" s="481"/>
      <c r="GLB44" s="481"/>
      <c r="GLC44" s="481"/>
      <c r="GLD44" s="481"/>
      <c r="GLE44" s="481"/>
      <c r="GLF44" s="481"/>
      <c r="GLG44" s="481"/>
      <c r="GLH44" s="481"/>
      <c r="GLI44" s="481"/>
      <c r="GLJ44" s="481"/>
      <c r="GLK44" s="481"/>
      <c r="GLL44" s="481"/>
      <c r="GLM44" s="481"/>
      <c r="GLN44" s="481"/>
      <c r="GLO44" s="481"/>
      <c r="GLP44" s="481"/>
      <c r="GLQ44" s="481"/>
      <c r="GLR44" s="481"/>
      <c r="GLS44" s="481"/>
      <c r="GLT44" s="481"/>
      <c r="GLU44" s="481"/>
      <c r="GLV44" s="481"/>
      <c r="GLW44" s="481"/>
      <c r="GLX44" s="481"/>
      <c r="GLY44" s="481"/>
      <c r="GLZ44" s="481"/>
      <c r="GMA44" s="481"/>
      <c r="GMB44" s="481"/>
      <c r="GMC44" s="481"/>
      <c r="GMD44" s="481"/>
      <c r="GME44" s="481"/>
      <c r="GMF44" s="481"/>
      <c r="GMG44" s="481"/>
      <c r="GMH44" s="481"/>
      <c r="GMI44" s="481"/>
      <c r="GMJ44" s="481"/>
      <c r="GMK44" s="481"/>
      <c r="GML44" s="481"/>
      <c r="GMM44" s="481"/>
      <c r="GMN44" s="481"/>
      <c r="GMO44" s="481"/>
      <c r="GMP44" s="481"/>
      <c r="GMQ44" s="481"/>
      <c r="GMR44" s="481"/>
      <c r="GMS44" s="481"/>
      <c r="GMT44" s="481"/>
      <c r="GMU44" s="481"/>
      <c r="GMV44" s="481"/>
      <c r="GMW44" s="481"/>
      <c r="GMX44" s="481"/>
      <c r="GMY44" s="481"/>
      <c r="GMZ44" s="481"/>
      <c r="GNA44" s="481"/>
      <c r="GNB44" s="481"/>
      <c r="GNC44" s="481"/>
      <c r="GND44" s="481"/>
      <c r="GNE44" s="481"/>
      <c r="GNF44" s="481"/>
      <c r="GNG44" s="481"/>
      <c r="GNH44" s="481"/>
      <c r="GNI44" s="481"/>
      <c r="GNJ44" s="481"/>
      <c r="GNK44" s="481"/>
      <c r="GNL44" s="481"/>
      <c r="GNM44" s="481"/>
      <c r="GNN44" s="481"/>
      <c r="GNO44" s="481"/>
      <c r="GNP44" s="481"/>
      <c r="GNQ44" s="481"/>
      <c r="GNR44" s="481"/>
      <c r="GNS44" s="481"/>
      <c r="GNT44" s="481"/>
      <c r="GNU44" s="481"/>
      <c r="GNV44" s="481"/>
      <c r="GNW44" s="481"/>
      <c r="GNX44" s="481"/>
      <c r="GNY44" s="481"/>
      <c r="GNZ44" s="481"/>
      <c r="GOA44" s="481"/>
      <c r="GOB44" s="481"/>
      <c r="GOC44" s="481"/>
      <c r="GOD44" s="481"/>
      <c r="GOE44" s="481"/>
      <c r="GOF44" s="481"/>
      <c r="GOG44" s="481"/>
      <c r="GOH44" s="481"/>
      <c r="GOI44" s="481"/>
      <c r="GOJ44" s="481"/>
      <c r="GOK44" s="481"/>
      <c r="GOL44" s="481"/>
      <c r="GOM44" s="481"/>
      <c r="GON44" s="481"/>
      <c r="GOO44" s="481"/>
      <c r="GOP44" s="481"/>
      <c r="GOQ44" s="481"/>
      <c r="GOR44" s="481"/>
      <c r="GOS44" s="481"/>
      <c r="GOT44" s="481"/>
      <c r="GOU44" s="481"/>
      <c r="GOV44" s="481"/>
      <c r="GOW44" s="481"/>
      <c r="GOX44" s="481"/>
      <c r="GOY44" s="481"/>
      <c r="GOZ44" s="481"/>
      <c r="GPA44" s="481"/>
      <c r="GPB44" s="481"/>
      <c r="GPC44" s="481"/>
      <c r="GPD44" s="481"/>
      <c r="GPE44" s="481"/>
      <c r="GPF44" s="481"/>
      <c r="GPG44" s="481"/>
      <c r="GPH44" s="481"/>
      <c r="GPI44" s="481"/>
      <c r="GPJ44" s="481"/>
      <c r="GPK44" s="481"/>
      <c r="GPL44" s="481"/>
      <c r="GPM44" s="481"/>
      <c r="GPN44" s="481"/>
      <c r="GPO44" s="481"/>
      <c r="GPP44" s="481"/>
      <c r="GPQ44" s="481"/>
      <c r="GPR44" s="481"/>
      <c r="GPS44" s="481"/>
      <c r="GPT44" s="481"/>
      <c r="GPU44" s="481"/>
      <c r="GPV44" s="481"/>
      <c r="GPW44" s="481"/>
      <c r="GPX44" s="481"/>
      <c r="GPY44" s="481"/>
      <c r="GPZ44" s="481"/>
      <c r="GQA44" s="481"/>
      <c r="GQB44" s="481"/>
      <c r="GQC44" s="481"/>
      <c r="GQD44" s="481"/>
      <c r="GQE44" s="481"/>
      <c r="GQF44" s="481"/>
      <c r="GQG44" s="481"/>
      <c r="GQH44" s="481"/>
      <c r="GQI44" s="481"/>
      <c r="GQJ44" s="481"/>
      <c r="GQK44" s="481"/>
      <c r="GQL44" s="481"/>
      <c r="GQM44" s="481"/>
      <c r="GQN44" s="481"/>
      <c r="GQO44" s="481"/>
      <c r="GQP44" s="481"/>
      <c r="GQQ44" s="481"/>
      <c r="GQR44" s="481"/>
      <c r="GQS44" s="481"/>
      <c r="GQT44" s="481"/>
      <c r="GQU44" s="481"/>
      <c r="GQV44" s="481"/>
      <c r="GQW44" s="481"/>
      <c r="GQX44" s="481"/>
      <c r="GQY44" s="481"/>
      <c r="GQZ44" s="481"/>
      <c r="GRA44" s="481"/>
      <c r="GRB44" s="481"/>
      <c r="GRC44" s="481"/>
      <c r="GRD44" s="481"/>
      <c r="GRE44" s="481"/>
      <c r="GRF44" s="481"/>
      <c r="GRG44" s="481"/>
      <c r="GRH44" s="481"/>
      <c r="GRI44" s="481"/>
      <c r="GRJ44" s="481"/>
      <c r="GRK44" s="481"/>
      <c r="GRL44" s="481"/>
      <c r="GRM44" s="481"/>
      <c r="GRN44" s="481"/>
      <c r="GRO44" s="481"/>
      <c r="GRP44" s="481"/>
      <c r="GRQ44" s="481"/>
      <c r="GRR44" s="481"/>
      <c r="GRS44" s="481"/>
      <c r="GRT44" s="481"/>
      <c r="GRU44" s="481"/>
      <c r="GRV44" s="481"/>
      <c r="GRW44" s="481"/>
      <c r="GRX44" s="481"/>
      <c r="GRY44" s="481"/>
      <c r="GRZ44" s="481"/>
      <c r="GSA44" s="481"/>
      <c r="GSB44" s="481"/>
      <c r="GSC44" s="481"/>
      <c r="GSD44" s="481"/>
      <c r="GSE44" s="481"/>
      <c r="GSF44" s="481"/>
      <c r="GSG44" s="481"/>
      <c r="GSH44" s="481"/>
      <c r="GSI44" s="481"/>
      <c r="GSJ44" s="481"/>
      <c r="GSK44" s="481"/>
      <c r="GSL44" s="481"/>
      <c r="GSM44" s="481"/>
      <c r="GSN44" s="481"/>
      <c r="GSO44" s="481"/>
      <c r="GSP44" s="481"/>
      <c r="GSQ44" s="481"/>
      <c r="GSR44" s="481"/>
      <c r="GSS44" s="481"/>
      <c r="GST44" s="481"/>
      <c r="GSU44" s="481"/>
      <c r="GSV44" s="481"/>
      <c r="GSW44" s="481"/>
      <c r="GSX44" s="481"/>
      <c r="GSY44" s="481"/>
      <c r="GSZ44" s="481"/>
      <c r="GTA44" s="481"/>
      <c r="GTB44" s="481"/>
      <c r="GTC44" s="481"/>
      <c r="GTD44" s="481"/>
      <c r="GTE44" s="481"/>
      <c r="GTF44" s="481"/>
      <c r="GTG44" s="481"/>
      <c r="GTH44" s="481"/>
      <c r="GTI44" s="481"/>
      <c r="GTJ44" s="481"/>
      <c r="GTK44" s="481"/>
      <c r="GTL44" s="481"/>
      <c r="GTM44" s="481"/>
      <c r="GTN44" s="481"/>
      <c r="GTO44" s="481"/>
      <c r="GTP44" s="481"/>
      <c r="GTQ44" s="481"/>
      <c r="GTR44" s="481"/>
      <c r="GTS44" s="481"/>
      <c r="GTT44" s="481"/>
      <c r="GTU44" s="481"/>
      <c r="GTV44" s="481"/>
      <c r="GTW44" s="481"/>
      <c r="GTX44" s="481"/>
      <c r="GTY44" s="481"/>
      <c r="GTZ44" s="481"/>
      <c r="GUA44" s="481"/>
      <c r="GUB44" s="481"/>
      <c r="GUC44" s="481"/>
      <c r="GUD44" s="481"/>
      <c r="GUE44" s="481"/>
      <c r="GUF44" s="481"/>
      <c r="GUG44" s="481"/>
      <c r="GUH44" s="481"/>
      <c r="GUI44" s="481"/>
      <c r="GUJ44" s="481"/>
      <c r="GUK44" s="481"/>
      <c r="GUL44" s="481"/>
      <c r="GUM44" s="481"/>
      <c r="GUN44" s="481"/>
      <c r="GUO44" s="481"/>
      <c r="GUP44" s="481"/>
      <c r="GUQ44" s="481"/>
      <c r="GUR44" s="481"/>
      <c r="GUS44" s="481"/>
      <c r="GUT44" s="481"/>
      <c r="GUU44" s="481"/>
      <c r="GUV44" s="481"/>
      <c r="GUW44" s="481"/>
      <c r="GUX44" s="481"/>
      <c r="GUY44" s="481"/>
      <c r="GUZ44" s="481"/>
      <c r="GVA44" s="481"/>
      <c r="GVB44" s="481"/>
      <c r="GVC44" s="481"/>
      <c r="GVD44" s="481"/>
      <c r="GVE44" s="481"/>
      <c r="GVF44" s="481"/>
      <c r="GVG44" s="481"/>
      <c r="GVH44" s="481"/>
      <c r="GVI44" s="481"/>
      <c r="GVJ44" s="481"/>
      <c r="GVK44" s="481"/>
      <c r="GVL44" s="481"/>
      <c r="GVM44" s="481"/>
      <c r="GVN44" s="481"/>
      <c r="GVO44" s="481"/>
      <c r="GVP44" s="481"/>
      <c r="GVQ44" s="481"/>
      <c r="GVR44" s="481"/>
      <c r="GVS44" s="481"/>
      <c r="GVT44" s="481"/>
      <c r="GVU44" s="481"/>
      <c r="GVV44" s="481"/>
      <c r="GVW44" s="481"/>
      <c r="GVX44" s="481"/>
      <c r="GVY44" s="481"/>
      <c r="GVZ44" s="481"/>
      <c r="GWA44" s="481"/>
      <c r="GWB44" s="481"/>
      <c r="GWC44" s="481"/>
      <c r="GWD44" s="481"/>
      <c r="GWE44" s="481"/>
      <c r="GWF44" s="481"/>
      <c r="GWG44" s="481"/>
      <c r="GWH44" s="481"/>
      <c r="GWI44" s="481"/>
      <c r="GWJ44" s="481"/>
      <c r="GWK44" s="481"/>
      <c r="GWL44" s="481"/>
      <c r="GWM44" s="481"/>
      <c r="GWN44" s="481"/>
      <c r="GWO44" s="481"/>
      <c r="GWP44" s="481"/>
      <c r="GWQ44" s="481"/>
      <c r="GWR44" s="481"/>
      <c r="GWS44" s="481"/>
      <c r="GWT44" s="481"/>
      <c r="GWU44" s="481"/>
      <c r="GWV44" s="481"/>
      <c r="GWW44" s="481"/>
      <c r="GWX44" s="481"/>
      <c r="GWY44" s="481"/>
      <c r="GWZ44" s="481"/>
      <c r="GXA44" s="481"/>
      <c r="GXB44" s="481"/>
      <c r="GXC44" s="481"/>
      <c r="GXD44" s="481"/>
      <c r="GXE44" s="481"/>
      <c r="GXF44" s="481"/>
      <c r="GXG44" s="481"/>
      <c r="GXH44" s="481"/>
      <c r="GXI44" s="481"/>
      <c r="GXJ44" s="481"/>
      <c r="GXK44" s="481"/>
      <c r="GXL44" s="481"/>
      <c r="GXM44" s="481"/>
      <c r="GXN44" s="481"/>
      <c r="GXO44" s="481"/>
      <c r="GXP44" s="481"/>
      <c r="GXQ44" s="481"/>
      <c r="GXR44" s="481"/>
      <c r="GXS44" s="481"/>
      <c r="GXT44" s="481"/>
      <c r="GXU44" s="481"/>
      <c r="GXV44" s="481"/>
      <c r="GXW44" s="481"/>
      <c r="GXX44" s="481"/>
      <c r="GXY44" s="481"/>
      <c r="GXZ44" s="481"/>
      <c r="GYA44" s="481"/>
      <c r="GYB44" s="481"/>
      <c r="GYC44" s="481"/>
      <c r="GYD44" s="481"/>
      <c r="GYE44" s="481"/>
      <c r="GYF44" s="481"/>
      <c r="GYG44" s="481"/>
      <c r="GYH44" s="481"/>
      <c r="GYI44" s="481"/>
      <c r="GYJ44" s="481"/>
      <c r="GYK44" s="481"/>
      <c r="GYL44" s="481"/>
      <c r="GYM44" s="481"/>
      <c r="GYN44" s="481"/>
      <c r="GYO44" s="481"/>
      <c r="GYP44" s="481"/>
      <c r="GYQ44" s="481"/>
      <c r="GYR44" s="481"/>
      <c r="GYS44" s="481"/>
      <c r="GYT44" s="481"/>
      <c r="GYU44" s="481"/>
      <c r="GYV44" s="481"/>
      <c r="GYW44" s="481"/>
      <c r="GYX44" s="481"/>
      <c r="GYY44" s="481"/>
      <c r="GYZ44" s="481"/>
      <c r="GZA44" s="481"/>
      <c r="GZB44" s="481"/>
      <c r="GZC44" s="481"/>
      <c r="GZD44" s="481"/>
      <c r="GZE44" s="481"/>
      <c r="GZF44" s="481"/>
      <c r="GZG44" s="481"/>
      <c r="GZH44" s="481"/>
      <c r="GZI44" s="481"/>
      <c r="GZJ44" s="481"/>
      <c r="GZK44" s="481"/>
      <c r="GZL44" s="481"/>
      <c r="GZM44" s="481"/>
      <c r="GZN44" s="481"/>
      <c r="GZO44" s="481"/>
      <c r="GZP44" s="481"/>
      <c r="GZQ44" s="481"/>
      <c r="GZR44" s="481"/>
      <c r="GZS44" s="481"/>
      <c r="GZT44" s="481"/>
      <c r="GZU44" s="481"/>
      <c r="GZV44" s="481"/>
      <c r="GZW44" s="481"/>
      <c r="GZX44" s="481"/>
      <c r="GZY44" s="481"/>
      <c r="GZZ44" s="481"/>
      <c r="HAA44" s="481"/>
      <c r="HAB44" s="481"/>
      <c r="HAC44" s="481"/>
      <c r="HAD44" s="481"/>
      <c r="HAE44" s="481"/>
      <c r="HAF44" s="481"/>
      <c r="HAG44" s="481"/>
      <c r="HAH44" s="481"/>
      <c r="HAI44" s="481"/>
      <c r="HAJ44" s="481"/>
      <c r="HAK44" s="481"/>
      <c r="HAL44" s="481"/>
      <c r="HAM44" s="481"/>
      <c r="HAN44" s="481"/>
      <c r="HAO44" s="481"/>
      <c r="HAP44" s="481"/>
      <c r="HAQ44" s="481"/>
      <c r="HAR44" s="481"/>
      <c r="HAS44" s="481"/>
      <c r="HAT44" s="481"/>
      <c r="HAU44" s="481"/>
      <c r="HAV44" s="481"/>
      <c r="HAW44" s="481"/>
      <c r="HAX44" s="481"/>
      <c r="HAY44" s="481"/>
      <c r="HAZ44" s="481"/>
      <c r="HBA44" s="481"/>
      <c r="HBB44" s="481"/>
      <c r="HBC44" s="481"/>
      <c r="HBD44" s="481"/>
      <c r="HBE44" s="481"/>
      <c r="HBF44" s="481"/>
      <c r="HBG44" s="481"/>
      <c r="HBH44" s="481"/>
      <c r="HBI44" s="481"/>
      <c r="HBJ44" s="481"/>
      <c r="HBK44" s="481"/>
      <c r="HBL44" s="481"/>
      <c r="HBM44" s="481"/>
      <c r="HBN44" s="481"/>
      <c r="HBO44" s="481"/>
      <c r="HBP44" s="481"/>
      <c r="HBQ44" s="481"/>
      <c r="HBR44" s="481"/>
      <c r="HBS44" s="481"/>
      <c r="HBT44" s="481"/>
      <c r="HBU44" s="481"/>
      <c r="HBV44" s="481"/>
      <c r="HBW44" s="481"/>
      <c r="HBX44" s="481"/>
      <c r="HBY44" s="481"/>
      <c r="HBZ44" s="481"/>
      <c r="HCA44" s="481"/>
      <c r="HCB44" s="481"/>
      <c r="HCC44" s="481"/>
      <c r="HCD44" s="481"/>
      <c r="HCE44" s="481"/>
      <c r="HCF44" s="481"/>
      <c r="HCG44" s="481"/>
      <c r="HCH44" s="481"/>
      <c r="HCI44" s="481"/>
      <c r="HCJ44" s="481"/>
      <c r="HCK44" s="481"/>
      <c r="HCL44" s="481"/>
      <c r="HCM44" s="481"/>
      <c r="HCN44" s="481"/>
      <c r="HCO44" s="481"/>
      <c r="HCP44" s="481"/>
      <c r="HCQ44" s="481"/>
      <c r="HCR44" s="481"/>
      <c r="HCS44" s="481"/>
      <c r="HCT44" s="481"/>
      <c r="HCU44" s="481"/>
      <c r="HCV44" s="481"/>
      <c r="HCW44" s="481"/>
      <c r="HCX44" s="481"/>
      <c r="HCY44" s="481"/>
      <c r="HCZ44" s="481"/>
      <c r="HDA44" s="481"/>
      <c r="HDB44" s="481"/>
      <c r="HDC44" s="481"/>
      <c r="HDD44" s="481"/>
      <c r="HDE44" s="481"/>
      <c r="HDF44" s="481"/>
      <c r="HDG44" s="481"/>
      <c r="HDH44" s="481"/>
      <c r="HDI44" s="481"/>
      <c r="HDJ44" s="481"/>
      <c r="HDK44" s="481"/>
      <c r="HDL44" s="481"/>
      <c r="HDM44" s="481"/>
      <c r="HDN44" s="481"/>
      <c r="HDO44" s="481"/>
      <c r="HDP44" s="481"/>
      <c r="HDQ44" s="481"/>
      <c r="HDR44" s="481"/>
      <c r="HDS44" s="481"/>
      <c r="HDT44" s="481"/>
      <c r="HDU44" s="481"/>
      <c r="HDV44" s="481"/>
      <c r="HDW44" s="481"/>
      <c r="HDX44" s="481"/>
      <c r="HDY44" s="481"/>
      <c r="HDZ44" s="481"/>
      <c r="HEA44" s="481"/>
      <c r="HEB44" s="481"/>
      <c r="HEC44" s="481"/>
      <c r="HED44" s="481"/>
      <c r="HEE44" s="481"/>
      <c r="HEF44" s="481"/>
      <c r="HEG44" s="481"/>
      <c r="HEH44" s="481"/>
      <c r="HEI44" s="481"/>
      <c r="HEJ44" s="481"/>
      <c r="HEK44" s="481"/>
      <c r="HEL44" s="481"/>
      <c r="HEM44" s="481"/>
      <c r="HEN44" s="481"/>
      <c r="HEO44" s="481"/>
      <c r="HEP44" s="481"/>
      <c r="HEQ44" s="481"/>
      <c r="HER44" s="481"/>
      <c r="HES44" s="481"/>
      <c r="HET44" s="481"/>
      <c r="HEU44" s="481"/>
      <c r="HEV44" s="481"/>
      <c r="HEW44" s="481"/>
      <c r="HEX44" s="481"/>
      <c r="HEY44" s="481"/>
      <c r="HEZ44" s="481"/>
      <c r="HFA44" s="481"/>
      <c r="HFB44" s="481"/>
      <c r="HFC44" s="481"/>
      <c r="HFD44" s="481"/>
      <c r="HFE44" s="481"/>
      <c r="HFF44" s="481"/>
      <c r="HFG44" s="481"/>
      <c r="HFH44" s="481"/>
      <c r="HFI44" s="481"/>
      <c r="HFJ44" s="481"/>
      <c r="HFK44" s="481"/>
      <c r="HFL44" s="481"/>
      <c r="HFM44" s="481"/>
      <c r="HFN44" s="481"/>
      <c r="HFO44" s="481"/>
      <c r="HFP44" s="481"/>
      <c r="HFQ44" s="481"/>
      <c r="HFR44" s="481"/>
      <c r="HFS44" s="481"/>
      <c r="HFT44" s="481"/>
      <c r="HFU44" s="481"/>
      <c r="HFV44" s="481"/>
      <c r="HFW44" s="481"/>
      <c r="HFX44" s="481"/>
      <c r="HFY44" s="481"/>
      <c r="HFZ44" s="481"/>
      <c r="HGA44" s="481"/>
      <c r="HGB44" s="481"/>
      <c r="HGC44" s="481"/>
      <c r="HGD44" s="481"/>
      <c r="HGE44" s="481"/>
      <c r="HGF44" s="481"/>
      <c r="HGG44" s="481"/>
      <c r="HGH44" s="481"/>
      <c r="HGI44" s="481"/>
      <c r="HGJ44" s="481"/>
      <c r="HGK44" s="481"/>
      <c r="HGL44" s="481"/>
      <c r="HGM44" s="481"/>
      <c r="HGN44" s="481"/>
      <c r="HGO44" s="481"/>
      <c r="HGP44" s="481"/>
      <c r="HGQ44" s="481"/>
      <c r="HGR44" s="481"/>
      <c r="HGS44" s="481"/>
      <c r="HGT44" s="481"/>
      <c r="HGU44" s="481"/>
      <c r="HGV44" s="481"/>
      <c r="HGW44" s="481"/>
      <c r="HGX44" s="481"/>
      <c r="HGY44" s="481"/>
      <c r="HGZ44" s="481"/>
      <c r="HHA44" s="481"/>
      <c r="HHB44" s="481"/>
      <c r="HHC44" s="481"/>
      <c r="HHD44" s="481"/>
      <c r="HHE44" s="481"/>
      <c r="HHF44" s="481"/>
      <c r="HHG44" s="481"/>
      <c r="HHH44" s="481"/>
      <c r="HHI44" s="481"/>
      <c r="HHJ44" s="481"/>
      <c r="HHK44" s="481"/>
      <c r="HHL44" s="481"/>
      <c r="HHM44" s="481"/>
      <c r="HHN44" s="481"/>
      <c r="HHO44" s="481"/>
      <c r="HHP44" s="481"/>
      <c r="HHQ44" s="481"/>
      <c r="HHR44" s="481"/>
      <c r="HHS44" s="481"/>
      <c r="HHT44" s="481"/>
      <c r="HHU44" s="481"/>
      <c r="HHV44" s="481"/>
      <c r="HHW44" s="481"/>
      <c r="HHX44" s="481"/>
      <c r="HHY44" s="481"/>
      <c r="HHZ44" s="481"/>
      <c r="HIA44" s="481"/>
      <c r="HIB44" s="481"/>
      <c r="HIC44" s="481"/>
      <c r="HID44" s="481"/>
      <c r="HIE44" s="481"/>
      <c r="HIF44" s="481"/>
      <c r="HIG44" s="481"/>
      <c r="HIH44" s="481"/>
      <c r="HII44" s="481"/>
      <c r="HIJ44" s="481"/>
      <c r="HIK44" s="481"/>
      <c r="HIL44" s="481"/>
      <c r="HIM44" s="481"/>
      <c r="HIN44" s="481"/>
      <c r="HIO44" s="481"/>
      <c r="HIP44" s="481"/>
      <c r="HIQ44" s="481"/>
      <c r="HIR44" s="481"/>
      <c r="HIS44" s="481"/>
      <c r="HIT44" s="481"/>
      <c r="HIU44" s="481"/>
      <c r="HIV44" s="481"/>
      <c r="HIW44" s="481"/>
      <c r="HIX44" s="481"/>
      <c r="HIY44" s="481"/>
      <c r="HIZ44" s="481"/>
      <c r="HJA44" s="481"/>
      <c r="HJB44" s="481"/>
      <c r="HJC44" s="481"/>
      <c r="HJD44" s="481"/>
      <c r="HJE44" s="481"/>
      <c r="HJF44" s="481"/>
      <c r="HJG44" s="481"/>
      <c r="HJH44" s="481"/>
      <c r="HJI44" s="481"/>
      <c r="HJJ44" s="481"/>
      <c r="HJK44" s="481"/>
      <c r="HJL44" s="481"/>
      <c r="HJM44" s="481"/>
      <c r="HJN44" s="481"/>
      <c r="HJO44" s="481"/>
      <c r="HJP44" s="481"/>
      <c r="HJQ44" s="481"/>
      <c r="HJR44" s="481"/>
      <c r="HJS44" s="481"/>
      <c r="HJT44" s="481"/>
      <c r="HJU44" s="481"/>
      <c r="HJV44" s="481"/>
      <c r="HJW44" s="481"/>
      <c r="HJX44" s="481"/>
      <c r="HJY44" s="481"/>
      <c r="HJZ44" s="481"/>
      <c r="HKA44" s="481"/>
      <c r="HKB44" s="481"/>
      <c r="HKC44" s="481"/>
      <c r="HKD44" s="481"/>
      <c r="HKE44" s="481"/>
      <c r="HKF44" s="481"/>
      <c r="HKG44" s="481"/>
      <c r="HKH44" s="481"/>
      <c r="HKI44" s="481"/>
      <c r="HKJ44" s="481"/>
      <c r="HKK44" s="481"/>
      <c r="HKL44" s="481"/>
      <c r="HKM44" s="481"/>
      <c r="HKN44" s="481"/>
      <c r="HKO44" s="481"/>
      <c r="HKP44" s="481"/>
      <c r="HKQ44" s="481"/>
      <c r="HKR44" s="481"/>
      <c r="HKS44" s="481"/>
      <c r="HKT44" s="481"/>
      <c r="HKU44" s="481"/>
      <c r="HKV44" s="481"/>
      <c r="HKW44" s="481"/>
      <c r="HKX44" s="481"/>
      <c r="HKY44" s="481"/>
      <c r="HKZ44" s="481"/>
      <c r="HLA44" s="481"/>
      <c r="HLB44" s="481"/>
      <c r="HLC44" s="481"/>
      <c r="HLD44" s="481"/>
      <c r="HLE44" s="481"/>
      <c r="HLF44" s="481"/>
      <c r="HLG44" s="481"/>
      <c r="HLH44" s="481"/>
      <c r="HLI44" s="481"/>
      <c r="HLJ44" s="481"/>
      <c r="HLK44" s="481"/>
      <c r="HLL44" s="481"/>
      <c r="HLM44" s="481"/>
      <c r="HLN44" s="481"/>
      <c r="HLO44" s="481"/>
      <c r="HLP44" s="481"/>
      <c r="HLQ44" s="481"/>
      <c r="HLR44" s="481"/>
      <c r="HLS44" s="481"/>
      <c r="HLT44" s="481"/>
      <c r="HLU44" s="481"/>
      <c r="HLV44" s="481"/>
      <c r="HLW44" s="481"/>
      <c r="HLX44" s="481"/>
      <c r="HLY44" s="481"/>
      <c r="HLZ44" s="481"/>
      <c r="HMA44" s="481"/>
      <c r="HMB44" s="481"/>
      <c r="HMC44" s="481"/>
      <c r="HMD44" s="481"/>
      <c r="HME44" s="481"/>
      <c r="HMF44" s="481"/>
      <c r="HMG44" s="481"/>
      <c r="HMH44" s="481"/>
      <c r="HMI44" s="481"/>
      <c r="HMJ44" s="481"/>
      <c r="HMK44" s="481"/>
      <c r="HML44" s="481"/>
      <c r="HMM44" s="481"/>
      <c r="HMN44" s="481"/>
      <c r="HMO44" s="481"/>
      <c r="HMP44" s="481"/>
      <c r="HMQ44" s="481"/>
      <c r="HMR44" s="481"/>
      <c r="HMS44" s="481"/>
      <c r="HMT44" s="481"/>
      <c r="HMU44" s="481"/>
      <c r="HMV44" s="481"/>
      <c r="HMW44" s="481"/>
      <c r="HMX44" s="481"/>
      <c r="HMY44" s="481"/>
      <c r="HMZ44" s="481"/>
      <c r="HNA44" s="481"/>
      <c r="HNB44" s="481"/>
      <c r="HNC44" s="481"/>
      <c r="HND44" s="481"/>
      <c r="HNE44" s="481"/>
      <c r="HNF44" s="481"/>
      <c r="HNG44" s="481"/>
      <c r="HNH44" s="481"/>
      <c r="HNI44" s="481"/>
      <c r="HNJ44" s="481"/>
      <c r="HNK44" s="481"/>
      <c r="HNL44" s="481"/>
      <c r="HNM44" s="481"/>
      <c r="HNN44" s="481"/>
      <c r="HNO44" s="481"/>
      <c r="HNP44" s="481"/>
      <c r="HNQ44" s="481"/>
      <c r="HNR44" s="481"/>
      <c r="HNS44" s="481"/>
      <c r="HNT44" s="481"/>
      <c r="HNU44" s="481"/>
      <c r="HNV44" s="481"/>
      <c r="HNW44" s="481"/>
      <c r="HNX44" s="481"/>
      <c r="HNY44" s="481"/>
      <c r="HNZ44" s="481"/>
      <c r="HOA44" s="481"/>
      <c r="HOB44" s="481"/>
      <c r="HOC44" s="481"/>
      <c r="HOD44" s="481"/>
      <c r="HOE44" s="481"/>
      <c r="HOF44" s="481"/>
      <c r="HOG44" s="481"/>
      <c r="HOH44" s="481"/>
      <c r="HOI44" s="481"/>
      <c r="HOJ44" s="481"/>
      <c r="HOK44" s="481"/>
      <c r="HOL44" s="481"/>
      <c r="HOM44" s="481"/>
      <c r="HON44" s="481"/>
      <c r="HOO44" s="481"/>
      <c r="HOP44" s="481"/>
      <c r="HOQ44" s="481"/>
      <c r="HOR44" s="481"/>
      <c r="HOS44" s="481"/>
      <c r="HOT44" s="481"/>
      <c r="HOU44" s="481"/>
      <c r="HOV44" s="481"/>
      <c r="HOW44" s="481"/>
      <c r="HOX44" s="481"/>
      <c r="HOY44" s="481"/>
      <c r="HOZ44" s="481"/>
      <c r="HPA44" s="481"/>
      <c r="HPB44" s="481"/>
      <c r="HPC44" s="481"/>
      <c r="HPD44" s="481"/>
      <c r="HPE44" s="481"/>
      <c r="HPF44" s="481"/>
      <c r="HPG44" s="481"/>
      <c r="HPH44" s="481"/>
      <c r="HPI44" s="481"/>
      <c r="HPJ44" s="481"/>
      <c r="HPK44" s="481"/>
      <c r="HPL44" s="481"/>
      <c r="HPM44" s="481"/>
      <c r="HPN44" s="481"/>
      <c r="HPO44" s="481"/>
      <c r="HPP44" s="481"/>
      <c r="HPQ44" s="481"/>
      <c r="HPR44" s="481"/>
      <c r="HPS44" s="481"/>
      <c r="HPT44" s="481"/>
      <c r="HPU44" s="481"/>
      <c r="HPV44" s="481"/>
      <c r="HPW44" s="481"/>
      <c r="HPX44" s="481"/>
      <c r="HPY44" s="481"/>
      <c r="HPZ44" s="481"/>
      <c r="HQA44" s="481"/>
      <c r="HQB44" s="481"/>
      <c r="HQC44" s="481"/>
      <c r="HQD44" s="481"/>
      <c r="HQE44" s="481"/>
      <c r="HQF44" s="481"/>
      <c r="HQG44" s="481"/>
      <c r="HQH44" s="481"/>
      <c r="HQI44" s="481"/>
      <c r="HQJ44" s="481"/>
      <c r="HQK44" s="481"/>
      <c r="HQL44" s="481"/>
      <c r="HQM44" s="481"/>
      <c r="HQN44" s="481"/>
      <c r="HQO44" s="481"/>
      <c r="HQP44" s="481"/>
      <c r="HQQ44" s="481"/>
      <c r="HQR44" s="481"/>
      <c r="HQS44" s="481"/>
      <c r="HQT44" s="481"/>
      <c r="HQU44" s="481"/>
      <c r="HQV44" s="481"/>
      <c r="HQW44" s="481"/>
      <c r="HQX44" s="481"/>
      <c r="HQY44" s="481"/>
      <c r="HQZ44" s="481"/>
      <c r="HRA44" s="481"/>
      <c r="HRB44" s="481"/>
      <c r="HRC44" s="481"/>
      <c r="HRD44" s="481"/>
      <c r="HRE44" s="481"/>
      <c r="HRF44" s="481"/>
      <c r="HRG44" s="481"/>
      <c r="HRH44" s="481"/>
      <c r="HRI44" s="481"/>
      <c r="HRJ44" s="481"/>
      <c r="HRK44" s="481"/>
      <c r="HRL44" s="481"/>
      <c r="HRM44" s="481"/>
      <c r="HRN44" s="481"/>
      <c r="HRO44" s="481"/>
      <c r="HRP44" s="481"/>
      <c r="HRQ44" s="481"/>
      <c r="HRR44" s="481"/>
      <c r="HRS44" s="481"/>
      <c r="HRT44" s="481"/>
      <c r="HRU44" s="481"/>
      <c r="HRV44" s="481"/>
      <c r="HRW44" s="481"/>
      <c r="HRX44" s="481"/>
      <c r="HRY44" s="481"/>
      <c r="HRZ44" s="481"/>
      <c r="HSA44" s="481"/>
      <c r="HSB44" s="481"/>
      <c r="HSC44" s="481"/>
      <c r="HSD44" s="481"/>
      <c r="HSE44" s="481"/>
      <c r="HSF44" s="481"/>
      <c r="HSG44" s="481"/>
      <c r="HSH44" s="481"/>
      <c r="HSI44" s="481"/>
      <c r="HSJ44" s="481"/>
      <c r="HSK44" s="481"/>
      <c r="HSL44" s="481"/>
      <c r="HSM44" s="481"/>
      <c r="HSN44" s="481"/>
      <c r="HSO44" s="481"/>
      <c r="HSP44" s="481"/>
      <c r="HSQ44" s="481"/>
      <c r="HSR44" s="481"/>
      <c r="HSS44" s="481"/>
      <c r="HST44" s="481"/>
      <c r="HSU44" s="481"/>
      <c r="HSV44" s="481"/>
      <c r="HSW44" s="481"/>
      <c r="HSX44" s="481"/>
      <c r="HSY44" s="481"/>
      <c r="HSZ44" s="481"/>
      <c r="HTA44" s="481"/>
      <c r="HTB44" s="481"/>
      <c r="HTC44" s="481"/>
      <c r="HTD44" s="481"/>
      <c r="HTE44" s="481"/>
      <c r="HTF44" s="481"/>
      <c r="HTG44" s="481"/>
      <c r="HTH44" s="481"/>
      <c r="HTI44" s="481"/>
      <c r="HTJ44" s="481"/>
      <c r="HTK44" s="481"/>
      <c r="HTL44" s="481"/>
      <c r="HTM44" s="481"/>
      <c r="HTN44" s="481"/>
      <c r="HTO44" s="481"/>
      <c r="HTP44" s="481"/>
      <c r="HTQ44" s="481"/>
      <c r="HTR44" s="481"/>
      <c r="HTS44" s="481"/>
      <c r="HTT44" s="481"/>
      <c r="HTU44" s="481"/>
      <c r="HTV44" s="481"/>
      <c r="HTW44" s="481"/>
      <c r="HTX44" s="481"/>
      <c r="HTY44" s="481"/>
      <c r="HTZ44" s="481"/>
      <c r="HUA44" s="481"/>
      <c r="HUB44" s="481"/>
      <c r="HUC44" s="481"/>
      <c r="HUD44" s="481"/>
      <c r="HUE44" s="481"/>
      <c r="HUF44" s="481"/>
      <c r="HUG44" s="481"/>
      <c r="HUH44" s="481"/>
      <c r="HUI44" s="481"/>
      <c r="HUJ44" s="481"/>
      <c r="HUK44" s="481"/>
      <c r="HUL44" s="481"/>
      <c r="HUM44" s="481"/>
      <c r="HUN44" s="481"/>
      <c r="HUO44" s="481"/>
      <c r="HUP44" s="481"/>
      <c r="HUQ44" s="481"/>
      <c r="HUR44" s="481"/>
      <c r="HUS44" s="481"/>
      <c r="HUT44" s="481"/>
      <c r="HUU44" s="481"/>
      <c r="HUV44" s="481"/>
      <c r="HUW44" s="481"/>
      <c r="HUX44" s="481"/>
      <c r="HUY44" s="481"/>
      <c r="HUZ44" s="481"/>
      <c r="HVA44" s="481"/>
      <c r="HVB44" s="481"/>
      <c r="HVC44" s="481"/>
      <c r="HVD44" s="481"/>
      <c r="HVE44" s="481"/>
      <c r="HVF44" s="481"/>
      <c r="HVG44" s="481"/>
      <c r="HVH44" s="481"/>
      <c r="HVI44" s="481"/>
      <c r="HVJ44" s="481"/>
      <c r="HVK44" s="481"/>
      <c r="HVL44" s="481"/>
      <c r="HVM44" s="481"/>
      <c r="HVN44" s="481"/>
      <c r="HVO44" s="481"/>
      <c r="HVP44" s="481"/>
      <c r="HVQ44" s="481"/>
      <c r="HVR44" s="481"/>
      <c r="HVS44" s="481"/>
      <c r="HVT44" s="481"/>
      <c r="HVU44" s="481"/>
      <c r="HVV44" s="481"/>
      <c r="HVW44" s="481"/>
      <c r="HVX44" s="481"/>
      <c r="HVY44" s="481"/>
      <c r="HVZ44" s="481"/>
      <c r="HWA44" s="481"/>
      <c r="HWB44" s="481"/>
      <c r="HWC44" s="481"/>
      <c r="HWD44" s="481"/>
      <c r="HWE44" s="481"/>
      <c r="HWF44" s="481"/>
      <c r="HWG44" s="481"/>
      <c r="HWH44" s="481"/>
      <c r="HWI44" s="481"/>
      <c r="HWJ44" s="481"/>
      <c r="HWK44" s="481"/>
      <c r="HWL44" s="481"/>
      <c r="HWM44" s="481"/>
      <c r="HWN44" s="481"/>
      <c r="HWO44" s="481"/>
      <c r="HWP44" s="481"/>
      <c r="HWQ44" s="481"/>
      <c r="HWR44" s="481"/>
      <c r="HWS44" s="481"/>
      <c r="HWT44" s="481"/>
      <c r="HWU44" s="481"/>
      <c r="HWV44" s="481"/>
      <c r="HWW44" s="481"/>
      <c r="HWX44" s="481"/>
      <c r="HWY44" s="481"/>
      <c r="HWZ44" s="481"/>
      <c r="HXA44" s="481"/>
      <c r="HXB44" s="481"/>
      <c r="HXC44" s="481"/>
      <c r="HXD44" s="481"/>
      <c r="HXE44" s="481"/>
      <c r="HXF44" s="481"/>
      <c r="HXG44" s="481"/>
      <c r="HXH44" s="481"/>
      <c r="HXI44" s="481"/>
      <c r="HXJ44" s="481"/>
      <c r="HXK44" s="481"/>
      <c r="HXL44" s="481"/>
      <c r="HXM44" s="481"/>
      <c r="HXN44" s="481"/>
      <c r="HXO44" s="481"/>
      <c r="HXP44" s="481"/>
      <c r="HXQ44" s="481"/>
      <c r="HXR44" s="481"/>
      <c r="HXS44" s="481"/>
      <c r="HXT44" s="481"/>
      <c r="HXU44" s="481"/>
      <c r="HXV44" s="481"/>
      <c r="HXW44" s="481"/>
      <c r="HXX44" s="481"/>
      <c r="HXY44" s="481"/>
      <c r="HXZ44" s="481"/>
      <c r="HYA44" s="481"/>
      <c r="HYB44" s="481"/>
      <c r="HYC44" s="481"/>
      <c r="HYD44" s="481"/>
      <c r="HYE44" s="481"/>
      <c r="HYF44" s="481"/>
      <c r="HYG44" s="481"/>
      <c r="HYH44" s="481"/>
      <c r="HYI44" s="481"/>
      <c r="HYJ44" s="481"/>
      <c r="HYK44" s="481"/>
      <c r="HYL44" s="481"/>
      <c r="HYM44" s="481"/>
      <c r="HYN44" s="481"/>
      <c r="HYO44" s="481"/>
      <c r="HYP44" s="481"/>
      <c r="HYQ44" s="481"/>
      <c r="HYR44" s="481"/>
      <c r="HYS44" s="481"/>
      <c r="HYT44" s="481"/>
      <c r="HYU44" s="481"/>
      <c r="HYV44" s="481"/>
      <c r="HYW44" s="481"/>
      <c r="HYX44" s="481"/>
      <c r="HYY44" s="481"/>
      <c r="HYZ44" s="481"/>
      <c r="HZA44" s="481"/>
      <c r="HZB44" s="481"/>
      <c r="HZC44" s="481"/>
      <c r="HZD44" s="481"/>
      <c r="HZE44" s="481"/>
      <c r="HZF44" s="481"/>
      <c r="HZG44" s="481"/>
      <c r="HZH44" s="481"/>
      <c r="HZI44" s="481"/>
      <c r="HZJ44" s="481"/>
      <c r="HZK44" s="481"/>
      <c r="HZL44" s="481"/>
      <c r="HZM44" s="481"/>
      <c r="HZN44" s="481"/>
      <c r="HZO44" s="481"/>
      <c r="HZP44" s="481"/>
      <c r="HZQ44" s="481"/>
      <c r="HZR44" s="481"/>
      <c r="HZS44" s="481"/>
      <c r="HZT44" s="481"/>
      <c r="HZU44" s="481"/>
      <c r="HZV44" s="481"/>
      <c r="HZW44" s="481"/>
      <c r="HZX44" s="481"/>
      <c r="HZY44" s="481"/>
      <c r="HZZ44" s="481"/>
      <c r="IAA44" s="481"/>
      <c r="IAB44" s="481"/>
      <c r="IAC44" s="481"/>
      <c r="IAD44" s="481"/>
      <c r="IAE44" s="481"/>
      <c r="IAF44" s="481"/>
      <c r="IAG44" s="481"/>
      <c r="IAH44" s="481"/>
      <c r="IAI44" s="481"/>
      <c r="IAJ44" s="481"/>
      <c r="IAK44" s="481"/>
      <c r="IAL44" s="481"/>
      <c r="IAM44" s="481"/>
      <c r="IAN44" s="481"/>
      <c r="IAO44" s="481"/>
      <c r="IAP44" s="481"/>
      <c r="IAQ44" s="481"/>
      <c r="IAR44" s="481"/>
      <c r="IAS44" s="481"/>
      <c r="IAT44" s="481"/>
      <c r="IAU44" s="481"/>
      <c r="IAV44" s="481"/>
      <c r="IAW44" s="481"/>
      <c r="IAX44" s="481"/>
      <c r="IAY44" s="481"/>
      <c r="IAZ44" s="481"/>
      <c r="IBA44" s="481"/>
      <c r="IBB44" s="481"/>
      <c r="IBC44" s="481"/>
      <c r="IBD44" s="481"/>
      <c r="IBE44" s="481"/>
      <c r="IBF44" s="481"/>
      <c r="IBG44" s="481"/>
      <c r="IBH44" s="481"/>
      <c r="IBI44" s="481"/>
      <c r="IBJ44" s="481"/>
      <c r="IBK44" s="481"/>
      <c r="IBL44" s="481"/>
      <c r="IBM44" s="481"/>
      <c r="IBN44" s="481"/>
      <c r="IBO44" s="481"/>
      <c r="IBP44" s="481"/>
      <c r="IBQ44" s="481"/>
      <c r="IBR44" s="481"/>
      <c r="IBS44" s="481"/>
      <c r="IBT44" s="481"/>
      <c r="IBU44" s="481"/>
      <c r="IBV44" s="481"/>
      <c r="IBW44" s="481"/>
      <c r="IBX44" s="481"/>
      <c r="IBY44" s="481"/>
      <c r="IBZ44" s="481"/>
      <c r="ICA44" s="481"/>
      <c r="ICB44" s="481"/>
      <c r="ICC44" s="481"/>
      <c r="ICD44" s="481"/>
      <c r="ICE44" s="481"/>
      <c r="ICF44" s="481"/>
      <c r="ICG44" s="481"/>
      <c r="ICH44" s="481"/>
      <c r="ICI44" s="481"/>
      <c r="ICJ44" s="481"/>
      <c r="ICK44" s="481"/>
      <c r="ICL44" s="481"/>
      <c r="ICM44" s="481"/>
      <c r="ICN44" s="481"/>
      <c r="ICO44" s="481"/>
      <c r="ICP44" s="481"/>
      <c r="ICQ44" s="481"/>
      <c r="ICR44" s="481"/>
      <c r="ICS44" s="481"/>
      <c r="ICT44" s="481"/>
      <c r="ICU44" s="481"/>
      <c r="ICV44" s="481"/>
      <c r="ICW44" s="481"/>
      <c r="ICX44" s="481"/>
      <c r="ICY44" s="481"/>
      <c r="ICZ44" s="481"/>
      <c r="IDA44" s="481"/>
      <c r="IDB44" s="481"/>
      <c r="IDC44" s="481"/>
      <c r="IDD44" s="481"/>
      <c r="IDE44" s="481"/>
      <c r="IDF44" s="481"/>
      <c r="IDG44" s="481"/>
      <c r="IDH44" s="481"/>
      <c r="IDI44" s="481"/>
      <c r="IDJ44" s="481"/>
      <c r="IDK44" s="481"/>
      <c r="IDL44" s="481"/>
      <c r="IDM44" s="481"/>
      <c r="IDN44" s="481"/>
      <c r="IDO44" s="481"/>
      <c r="IDP44" s="481"/>
      <c r="IDQ44" s="481"/>
      <c r="IDR44" s="481"/>
      <c r="IDS44" s="481"/>
      <c r="IDT44" s="481"/>
      <c r="IDU44" s="481"/>
      <c r="IDV44" s="481"/>
      <c r="IDW44" s="481"/>
      <c r="IDX44" s="481"/>
      <c r="IDY44" s="481"/>
      <c r="IDZ44" s="481"/>
      <c r="IEA44" s="481"/>
      <c r="IEB44" s="481"/>
      <c r="IEC44" s="481"/>
      <c r="IED44" s="481"/>
      <c r="IEE44" s="481"/>
      <c r="IEF44" s="481"/>
      <c r="IEG44" s="481"/>
      <c r="IEH44" s="481"/>
      <c r="IEI44" s="481"/>
      <c r="IEJ44" s="481"/>
      <c r="IEK44" s="481"/>
      <c r="IEL44" s="481"/>
      <c r="IEM44" s="481"/>
      <c r="IEN44" s="481"/>
      <c r="IEO44" s="481"/>
      <c r="IEP44" s="481"/>
      <c r="IEQ44" s="481"/>
      <c r="IER44" s="481"/>
      <c r="IES44" s="481"/>
      <c r="IET44" s="481"/>
      <c r="IEU44" s="481"/>
      <c r="IEV44" s="481"/>
      <c r="IEW44" s="481"/>
      <c r="IEX44" s="481"/>
      <c r="IEY44" s="481"/>
      <c r="IEZ44" s="481"/>
      <c r="IFA44" s="481"/>
      <c r="IFB44" s="481"/>
      <c r="IFC44" s="481"/>
      <c r="IFD44" s="481"/>
      <c r="IFE44" s="481"/>
      <c r="IFF44" s="481"/>
      <c r="IFG44" s="481"/>
      <c r="IFH44" s="481"/>
      <c r="IFI44" s="481"/>
      <c r="IFJ44" s="481"/>
      <c r="IFK44" s="481"/>
      <c r="IFL44" s="481"/>
      <c r="IFM44" s="481"/>
      <c r="IFN44" s="481"/>
      <c r="IFO44" s="481"/>
      <c r="IFP44" s="481"/>
      <c r="IFQ44" s="481"/>
      <c r="IFR44" s="481"/>
      <c r="IFS44" s="481"/>
      <c r="IFT44" s="481"/>
      <c r="IFU44" s="481"/>
      <c r="IFV44" s="481"/>
      <c r="IFW44" s="481"/>
      <c r="IFX44" s="481"/>
      <c r="IFY44" s="481"/>
      <c r="IFZ44" s="481"/>
      <c r="IGA44" s="481"/>
      <c r="IGB44" s="481"/>
      <c r="IGC44" s="481"/>
      <c r="IGD44" s="481"/>
      <c r="IGE44" s="481"/>
      <c r="IGF44" s="481"/>
      <c r="IGG44" s="481"/>
      <c r="IGH44" s="481"/>
      <c r="IGI44" s="481"/>
      <c r="IGJ44" s="481"/>
      <c r="IGK44" s="481"/>
      <c r="IGL44" s="481"/>
      <c r="IGM44" s="481"/>
      <c r="IGN44" s="481"/>
      <c r="IGO44" s="481"/>
      <c r="IGP44" s="481"/>
      <c r="IGQ44" s="481"/>
      <c r="IGR44" s="481"/>
      <c r="IGS44" s="481"/>
      <c r="IGT44" s="481"/>
      <c r="IGU44" s="481"/>
      <c r="IGV44" s="481"/>
      <c r="IGW44" s="481"/>
      <c r="IGX44" s="481"/>
      <c r="IGY44" s="481"/>
      <c r="IGZ44" s="481"/>
      <c r="IHA44" s="481"/>
      <c r="IHB44" s="481"/>
      <c r="IHC44" s="481"/>
      <c r="IHD44" s="481"/>
      <c r="IHE44" s="481"/>
      <c r="IHF44" s="481"/>
      <c r="IHG44" s="481"/>
      <c r="IHH44" s="481"/>
      <c r="IHI44" s="481"/>
      <c r="IHJ44" s="481"/>
      <c r="IHK44" s="481"/>
      <c r="IHL44" s="481"/>
      <c r="IHM44" s="481"/>
      <c r="IHN44" s="481"/>
      <c r="IHO44" s="481"/>
      <c r="IHP44" s="481"/>
      <c r="IHQ44" s="481"/>
      <c r="IHR44" s="481"/>
      <c r="IHS44" s="481"/>
      <c r="IHT44" s="481"/>
      <c r="IHU44" s="481"/>
      <c r="IHV44" s="481"/>
      <c r="IHW44" s="481"/>
      <c r="IHX44" s="481"/>
      <c r="IHY44" s="481"/>
      <c r="IHZ44" s="481"/>
      <c r="IIA44" s="481"/>
      <c r="IIB44" s="481"/>
      <c r="IIC44" s="481"/>
      <c r="IID44" s="481"/>
      <c r="IIE44" s="481"/>
      <c r="IIF44" s="481"/>
      <c r="IIG44" s="481"/>
      <c r="IIH44" s="481"/>
      <c r="III44" s="481"/>
      <c r="IIJ44" s="481"/>
      <c r="IIK44" s="481"/>
      <c r="IIL44" s="481"/>
      <c r="IIM44" s="481"/>
      <c r="IIN44" s="481"/>
      <c r="IIO44" s="481"/>
      <c r="IIP44" s="481"/>
      <c r="IIQ44" s="481"/>
      <c r="IIR44" s="481"/>
      <c r="IIS44" s="481"/>
      <c r="IIT44" s="481"/>
      <c r="IIU44" s="481"/>
      <c r="IIV44" s="481"/>
      <c r="IIW44" s="481"/>
      <c r="IIX44" s="481"/>
      <c r="IIY44" s="481"/>
      <c r="IIZ44" s="481"/>
      <c r="IJA44" s="481"/>
      <c r="IJB44" s="481"/>
      <c r="IJC44" s="481"/>
      <c r="IJD44" s="481"/>
      <c r="IJE44" s="481"/>
      <c r="IJF44" s="481"/>
      <c r="IJG44" s="481"/>
      <c r="IJH44" s="481"/>
      <c r="IJI44" s="481"/>
      <c r="IJJ44" s="481"/>
      <c r="IJK44" s="481"/>
      <c r="IJL44" s="481"/>
      <c r="IJM44" s="481"/>
      <c r="IJN44" s="481"/>
      <c r="IJO44" s="481"/>
      <c r="IJP44" s="481"/>
      <c r="IJQ44" s="481"/>
      <c r="IJR44" s="481"/>
      <c r="IJS44" s="481"/>
      <c r="IJT44" s="481"/>
      <c r="IJU44" s="481"/>
      <c r="IJV44" s="481"/>
      <c r="IJW44" s="481"/>
      <c r="IJX44" s="481"/>
      <c r="IJY44" s="481"/>
      <c r="IJZ44" s="481"/>
      <c r="IKA44" s="481"/>
      <c r="IKB44" s="481"/>
      <c r="IKC44" s="481"/>
      <c r="IKD44" s="481"/>
      <c r="IKE44" s="481"/>
      <c r="IKF44" s="481"/>
      <c r="IKG44" s="481"/>
      <c r="IKH44" s="481"/>
      <c r="IKI44" s="481"/>
      <c r="IKJ44" s="481"/>
      <c r="IKK44" s="481"/>
      <c r="IKL44" s="481"/>
      <c r="IKM44" s="481"/>
      <c r="IKN44" s="481"/>
      <c r="IKO44" s="481"/>
      <c r="IKP44" s="481"/>
      <c r="IKQ44" s="481"/>
      <c r="IKR44" s="481"/>
      <c r="IKS44" s="481"/>
      <c r="IKT44" s="481"/>
      <c r="IKU44" s="481"/>
      <c r="IKV44" s="481"/>
      <c r="IKW44" s="481"/>
      <c r="IKX44" s="481"/>
      <c r="IKY44" s="481"/>
      <c r="IKZ44" s="481"/>
      <c r="ILA44" s="481"/>
      <c r="ILB44" s="481"/>
      <c r="ILC44" s="481"/>
      <c r="ILD44" s="481"/>
      <c r="ILE44" s="481"/>
      <c r="ILF44" s="481"/>
      <c r="ILG44" s="481"/>
      <c r="ILH44" s="481"/>
      <c r="ILI44" s="481"/>
      <c r="ILJ44" s="481"/>
      <c r="ILK44" s="481"/>
      <c r="ILL44" s="481"/>
      <c r="ILM44" s="481"/>
      <c r="ILN44" s="481"/>
      <c r="ILO44" s="481"/>
      <c r="ILP44" s="481"/>
      <c r="ILQ44" s="481"/>
      <c r="ILR44" s="481"/>
      <c r="ILS44" s="481"/>
      <c r="ILT44" s="481"/>
      <c r="ILU44" s="481"/>
      <c r="ILV44" s="481"/>
      <c r="ILW44" s="481"/>
      <c r="ILX44" s="481"/>
      <c r="ILY44" s="481"/>
      <c r="ILZ44" s="481"/>
      <c r="IMA44" s="481"/>
      <c r="IMB44" s="481"/>
      <c r="IMC44" s="481"/>
      <c r="IMD44" s="481"/>
      <c r="IME44" s="481"/>
      <c r="IMF44" s="481"/>
      <c r="IMG44" s="481"/>
      <c r="IMH44" s="481"/>
      <c r="IMI44" s="481"/>
      <c r="IMJ44" s="481"/>
      <c r="IMK44" s="481"/>
      <c r="IML44" s="481"/>
      <c r="IMM44" s="481"/>
      <c r="IMN44" s="481"/>
      <c r="IMO44" s="481"/>
      <c r="IMP44" s="481"/>
      <c r="IMQ44" s="481"/>
      <c r="IMR44" s="481"/>
      <c r="IMS44" s="481"/>
      <c r="IMT44" s="481"/>
      <c r="IMU44" s="481"/>
      <c r="IMV44" s="481"/>
      <c r="IMW44" s="481"/>
      <c r="IMX44" s="481"/>
      <c r="IMY44" s="481"/>
      <c r="IMZ44" s="481"/>
      <c r="INA44" s="481"/>
      <c r="INB44" s="481"/>
      <c r="INC44" s="481"/>
      <c r="IND44" s="481"/>
      <c r="INE44" s="481"/>
      <c r="INF44" s="481"/>
      <c r="ING44" s="481"/>
      <c r="INH44" s="481"/>
      <c r="INI44" s="481"/>
      <c r="INJ44" s="481"/>
      <c r="INK44" s="481"/>
      <c r="INL44" s="481"/>
      <c r="INM44" s="481"/>
      <c r="INN44" s="481"/>
      <c r="INO44" s="481"/>
      <c r="INP44" s="481"/>
      <c r="INQ44" s="481"/>
      <c r="INR44" s="481"/>
      <c r="INS44" s="481"/>
      <c r="INT44" s="481"/>
      <c r="INU44" s="481"/>
      <c r="INV44" s="481"/>
      <c r="INW44" s="481"/>
      <c r="INX44" s="481"/>
      <c r="INY44" s="481"/>
      <c r="INZ44" s="481"/>
      <c r="IOA44" s="481"/>
      <c r="IOB44" s="481"/>
      <c r="IOC44" s="481"/>
      <c r="IOD44" s="481"/>
      <c r="IOE44" s="481"/>
      <c r="IOF44" s="481"/>
      <c r="IOG44" s="481"/>
      <c r="IOH44" s="481"/>
      <c r="IOI44" s="481"/>
      <c r="IOJ44" s="481"/>
      <c r="IOK44" s="481"/>
      <c r="IOL44" s="481"/>
      <c r="IOM44" s="481"/>
      <c r="ION44" s="481"/>
      <c r="IOO44" s="481"/>
      <c r="IOP44" s="481"/>
      <c r="IOQ44" s="481"/>
      <c r="IOR44" s="481"/>
      <c r="IOS44" s="481"/>
      <c r="IOT44" s="481"/>
      <c r="IOU44" s="481"/>
      <c r="IOV44" s="481"/>
      <c r="IOW44" s="481"/>
      <c r="IOX44" s="481"/>
      <c r="IOY44" s="481"/>
      <c r="IOZ44" s="481"/>
      <c r="IPA44" s="481"/>
      <c r="IPB44" s="481"/>
      <c r="IPC44" s="481"/>
      <c r="IPD44" s="481"/>
      <c r="IPE44" s="481"/>
      <c r="IPF44" s="481"/>
      <c r="IPG44" s="481"/>
      <c r="IPH44" s="481"/>
      <c r="IPI44" s="481"/>
      <c r="IPJ44" s="481"/>
      <c r="IPK44" s="481"/>
      <c r="IPL44" s="481"/>
      <c r="IPM44" s="481"/>
      <c r="IPN44" s="481"/>
      <c r="IPO44" s="481"/>
      <c r="IPP44" s="481"/>
      <c r="IPQ44" s="481"/>
      <c r="IPR44" s="481"/>
      <c r="IPS44" s="481"/>
      <c r="IPT44" s="481"/>
      <c r="IPU44" s="481"/>
      <c r="IPV44" s="481"/>
      <c r="IPW44" s="481"/>
      <c r="IPX44" s="481"/>
      <c r="IPY44" s="481"/>
      <c r="IPZ44" s="481"/>
      <c r="IQA44" s="481"/>
      <c r="IQB44" s="481"/>
      <c r="IQC44" s="481"/>
      <c r="IQD44" s="481"/>
      <c r="IQE44" s="481"/>
      <c r="IQF44" s="481"/>
      <c r="IQG44" s="481"/>
      <c r="IQH44" s="481"/>
      <c r="IQI44" s="481"/>
      <c r="IQJ44" s="481"/>
      <c r="IQK44" s="481"/>
      <c r="IQL44" s="481"/>
      <c r="IQM44" s="481"/>
      <c r="IQN44" s="481"/>
      <c r="IQO44" s="481"/>
      <c r="IQP44" s="481"/>
      <c r="IQQ44" s="481"/>
      <c r="IQR44" s="481"/>
      <c r="IQS44" s="481"/>
      <c r="IQT44" s="481"/>
      <c r="IQU44" s="481"/>
      <c r="IQV44" s="481"/>
      <c r="IQW44" s="481"/>
      <c r="IQX44" s="481"/>
      <c r="IQY44" s="481"/>
      <c r="IQZ44" s="481"/>
      <c r="IRA44" s="481"/>
      <c r="IRB44" s="481"/>
      <c r="IRC44" s="481"/>
      <c r="IRD44" s="481"/>
      <c r="IRE44" s="481"/>
      <c r="IRF44" s="481"/>
      <c r="IRG44" s="481"/>
      <c r="IRH44" s="481"/>
      <c r="IRI44" s="481"/>
      <c r="IRJ44" s="481"/>
      <c r="IRK44" s="481"/>
      <c r="IRL44" s="481"/>
      <c r="IRM44" s="481"/>
      <c r="IRN44" s="481"/>
      <c r="IRO44" s="481"/>
      <c r="IRP44" s="481"/>
      <c r="IRQ44" s="481"/>
      <c r="IRR44" s="481"/>
      <c r="IRS44" s="481"/>
      <c r="IRT44" s="481"/>
      <c r="IRU44" s="481"/>
      <c r="IRV44" s="481"/>
      <c r="IRW44" s="481"/>
      <c r="IRX44" s="481"/>
      <c r="IRY44" s="481"/>
      <c r="IRZ44" s="481"/>
      <c r="ISA44" s="481"/>
      <c r="ISB44" s="481"/>
      <c r="ISC44" s="481"/>
      <c r="ISD44" s="481"/>
      <c r="ISE44" s="481"/>
      <c r="ISF44" s="481"/>
      <c r="ISG44" s="481"/>
      <c r="ISH44" s="481"/>
      <c r="ISI44" s="481"/>
      <c r="ISJ44" s="481"/>
      <c r="ISK44" s="481"/>
      <c r="ISL44" s="481"/>
      <c r="ISM44" s="481"/>
      <c r="ISN44" s="481"/>
      <c r="ISO44" s="481"/>
      <c r="ISP44" s="481"/>
      <c r="ISQ44" s="481"/>
      <c r="ISR44" s="481"/>
      <c r="ISS44" s="481"/>
      <c r="IST44" s="481"/>
      <c r="ISU44" s="481"/>
      <c r="ISV44" s="481"/>
      <c r="ISW44" s="481"/>
      <c r="ISX44" s="481"/>
      <c r="ISY44" s="481"/>
      <c r="ISZ44" s="481"/>
      <c r="ITA44" s="481"/>
      <c r="ITB44" s="481"/>
      <c r="ITC44" s="481"/>
      <c r="ITD44" s="481"/>
      <c r="ITE44" s="481"/>
      <c r="ITF44" s="481"/>
      <c r="ITG44" s="481"/>
      <c r="ITH44" s="481"/>
      <c r="ITI44" s="481"/>
      <c r="ITJ44" s="481"/>
      <c r="ITK44" s="481"/>
      <c r="ITL44" s="481"/>
      <c r="ITM44" s="481"/>
      <c r="ITN44" s="481"/>
      <c r="ITO44" s="481"/>
      <c r="ITP44" s="481"/>
      <c r="ITQ44" s="481"/>
      <c r="ITR44" s="481"/>
      <c r="ITS44" s="481"/>
      <c r="ITT44" s="481"/>
      <c r="ITU44" s="481"/>
      <c r="ITV44" s="481"/>
      <c r="ITW44" s="481"/>
      <c r="ITX44" s="481"/>
      <c r="ITY44" s="481"/>
      <c r="ITZ44" s="481"/>
      <c r="IUA44" s="481"/>
      <c r="IUB44" s="481"/>
      <c r="IUC44" s="481"/>
      <c r="IUD44" s="481"/>
      <c r="IUE44" s="481"/>
      <c r="IUF44" s="481"/>
      <c r="IUG44" s="481"/>
      <c r="IUH44" s="481"/>
      <c r="IUI44" s="481"/>
      <c r="IUJ44" s="481"/>
      <c r="IUK44" s="481"/>
      <c r="IUL44" s="481"/>
      <c r="IUM44" s="481"/>
      <c r="IUN44" s="481"/>
      <c r="IUO44" s="481"/>
      <c r="IUP44" s="481"/>
      <c r="IUQ44" s="481"/>
      <c r="IUR44" s="481"/>
      <c r="IUS44" s="481"/>
      <c r="IUT44" s="481"/>
      <c r="IUU44" s="481"/>
      <c r="IUV44" s="481"/>
      <c r="IUW44" s="481"/>
      <c r="IUX44" s="481"/>
      <c r="IUY44" s="481"/>
      <c r="IUZ44" s="481"/>
      <c r="IVA44" s="481"/>
      <c r="IVB44" s="481"/>
      <c r="IVC44" s="481"/>
      <c r="IVD44" s="481"/>
      <c r="IVE44" s="481"/>
      <c r="IVF44" s="481"/>
      <c r="IVG44" s="481"/>
      <c r="IVH44" s="481"/>
      <c r="IVI44" s="481"/>
      <c r="IVJ44" s="481"/>
      <c r="IVK44" s="481"/>
      <c r="IVL44" s="481"/>
      <c r="IVM44" s="481"/>
      <c r="IVN44" s="481"/>
      <c r="IVO44" s="481"/>
      <c r="IVP44" s="481"/>
      <c r="IVQ44" s="481"/>
      <c r="IVR44" s="481"/>
      <c r="IVS44" s="481"/>
      <c r="IVT44" s="481"/>
      <c r="IVU44" s="481"/>
      <c r="IVV44" s="481"/>
      <c r="IVW44" s="481"/>
      <c r="IVX44" s="481"/>
      <c r="IVY44" s="481"/>
      <c r="IVZ44" s="481"/>
      <c r="IWA44" s="481"/>
      <c r="IWB44" s="481"/>
      <c r="IWC44" s="481"/>
      <c r="IWD44" s="481"/>
      <c r="IWE44" s="481"/>
      <c r="IWF44" s="481"/>
      <c r="IWG44" s="481"/>
      <c r="IWH44" s="481"/>
      <c r="IWI44" s="481"/>
      <c r="IWJ44" s="481"/>
      <c r="IWK44" s="481"/>
      <c r="IWL44" s="481"/>
      <c r="IWM44" s="481"/>
      <c r="IWN44" s="481"/>
      <c r="IWO44" s="481"/>
      <c r="IWP44" s="481"/>
      <c r="IWQ44" s="481"/>
      <c r="IWR44" s="481"/>
      <c r="IWS44" s="481"/>
      <c r="IWT44" s="481"/>
      <c r="IWU44" s="481"/>
      <c r="IWV44" s="481"/>
      <c r="IWW44" s="481"/>
      <c r="IWX44" s="481"/>
      <c r="IWY44" s="481"/>
      <c r="IWZ44" s="481"/>
      <c r="IXA44" s="481"/>
      <c r="IXB44" s="481"/>
      <c r="IXC44" s="481"/>
      <c r="IXD44" s="481"/>
      <c r="IXE44" s="481"/>
      <c r="IXF44" s="481"/>
      <c r="IXG44" s="481"/>
      <c r="IXH44" s="481"/>
      <c r="IXI44" s="481"/>
      <c r="IXJ44" s="481"/>
      <c r="IXK44" s="481"/>
      <c r="IXL44" s="481"/>
      <c r="IXM44" s="481"/>
      <c r="IXN44" s="481"/>
      <c r="IXO44" s="481"/>
      <c r="IXP44" s="481"/>
      <c r="IXQ44" s="481"/>
      <c r="IXR44" s="481"/>
      <c r="IXS44" s="481"/>
      <c r="IXT44" s="481"/>
      <c r="IXU44" s="481"/>
      <c r="IXV44" s="481"/>
      <c r="IXW44" s="481"/>
      <c r="IXX44" s="481"/>
      <c r="IXY44" s="481"/>
      <c r="IXZ44" s="481"/>
      <c r="IYA44" s="481"/>
      <c r="IYB44" s="481"/>
      <c r="IYC44" s="481"/>
      <c r="IYD44" s="481"/>
      <c r="IYE44" s="481"/>
      <c r="IYF44" s="481"/>
      <c r="IYG44" s="481"/>
      <c r="IYH44" s="481"/>
      <c r="IYI44" s="481"/>
      <c r="IYJ44" s="481"/>
      <c r="IYK44" s="481"/>
      <c r="IYL44" s="481"/>
      <c r="IYM44" s="481"/>
      <c r="IYN44" s="481"/>
      <c r="IYO44" s="481"/>
      <c r="IYP44" s="481"/>
      <c r="IYQ44" s="481"/>
      <c r="IYR44" s="481"/>
      <c r="IYS44" s="481"/>
      <c r="IYT44" s="481"/>
      <c r="IYU44" s="481"/>
      <c r="IYV44" s="481"/>
      <c r="IYW44" s="481"/>
      <c r="IYX44" s="481"/>
      <c r="IYY44" s="481"/>
      <c r="IYZ44" s="481"/>
      <c r="IZA44" s="481"/>
      <c r="IZB44" s="481"/>
      <c r="IZC44" s="481"/>
      <c r="IZD44" s="481"/>
      <c r="IZE44" s="481"/>
      <c r="IZF44" s="481"/>
      <c r="IZG44" s="481"/>
      <c r="IZH44" s="481"/>
      <c r="IZI44" s="481"/>
      <c r="IZJ44" s="481"/>
      <c r="IZK44" s="481"/>
      <c r="IZL44" s="481"/>
      <c r="IZM44" s="481"/>
      <c r="IZN44" s="481"/>
      <c r="IZO44" s="481"/>
      <c r="IZP44" s="481"/>
      <c r="IZQ44" s="481"/>
      <c r="IZR44" s="481"/>
      <c r="IZS44" s="481"/>
      <c r="IZT44" s="481"/>
      <c r="IZU44" s="481"/>
      <c r="IZV44" s="481"/>
      <c r="IZW44" s="481"/>
      <c r="IZX44" s="481"/>
      <c r="IZY44" s="481"/>
      <c r="IZZ44" s="481"/>
      <c r="JAA44" s="481"/>
      <c r="JAB44" s="481"/>
      <c r="JAC44" s="481"/>
      <c r="JAD44" s="481"/>
      <c r="JAE44" s="481"/>
      <c r="JAF44" s="481"/>
      <c r="JAG44" s="481"/>
      <c r="JAH44" s="481"/>
      <c r="JAI44" s="481"/>
      <c r="JAJ44" s="481"/>
      <c r="JAK44" s="481"/>
      <c r="JAL44" s="481"/>
      <c r="JAM44" s="481"/>
      <c r="JAN44" s="481"/>
      <c r="JAO44" s="481"/>
      <c r="JAP44" s="481"/>
      <c r="JAQ44" s="481"/>
      <c r="JAR44" s="481"/>
      <c r="JAS44" s="481"/>
      <c r="JAT44" s="481"/>
      <c r="JAU44" s="481"/>
      <c r="JAV44" s="481"/>
      <c r="JAW44" s="481"/>
      <c r="JAX44" s="481"/>
      <c r="JAY44" s="481"/>
      <c r="JAZ44" s="481"/>
      <c r="JBA44" s="481"/>
      <c r="JBB44" s="481"/>
      <c r="JBC44" s="481"/>
      <c r="JBD44" s="481"/>
      <c r="JBE44" s="481"/>
      <c r="JBF44" s="481"/>
      <c r="JBG44" s="481"/>
      <c r="JBH44" s="481"/>
      <c r="JBI44" s="481"/>
      <c r="JBJ44" s="481"/>
      <c r="JBK44" s="481"/>
      <c r="JBL44" s="481"/>
      <c r="JBM44" s="481"/>
      <c r="JBN44" s="481"/>
      <c r="JBO44" s="481"/>
      <c r="JBP44" s="481"/>
      <c r="JBQ44" s="481"/>
      <c r="JBR44" s="481"/>
      <c r="JBS44" s="481"/>
      <c r="JBT44" s="481"/>
      <c r="JBU44" s="481"/>
      <c r="JBV44" s="481"/>
      <c r="JBW44" s="481"/>
      <c r="JBX44" s="481"/>
      <c r="JBY44" s="481"/>
      <c r="JBZ44" s="481"/>
      <c r="JCA44" s="481"/>
      <c r="JCB44" s="481"/>
      <c r="JCC44" s="481"/>
      <c r="JCD44" s="481"/>
      <c r="JCE44" s="481"/>
      <c r="JCF44" s="481"/>
      <c r="JCG44" s="481"/>
      <c r="JCH44" s="481"/>
      <c r="JCI44" s="481"/>
      <c r="JCJ44" s="481"/>
      <c r="JCK44" s="481"/>
      <c r="JCL44" s="481"/>
      <c r="JCM44" s="481"/>
      <c r="JCN44" s="481"/>
      <c r="JCO44" s="481"/>
      <c r="JCP44" s="481"/>
      <c r="JCQ44" s="481"/>
      <c r="JCR44" s="481"/>
      <c r="JCS44" s="481"/>
      <c r="JCT44" s="481"/>
      <c r="JCU44" s="481"/>
      <c r="JCV44" s="481"/>
      <c r="JCW44" s="481"/>
      <c r="JCX44" s="481"/>
      <c r="JCY44" s="481"/>
      <c r="JCZ44" s="481"/>
      <c r="JDA44" s="481"/>
      <c r="JDB44" s="481"/>
      <c r="JDC44" s="481"/>
      <c r="JDD44" s="481"/>
      <c r="JDE44" s="481"/>
      <c r="JDF44" s="481"/>
      <c r="JDG44" s="481"/>
      <c r="JDH44" s="481"/>
      <c r="JDI44" s="481"/>
      <c r="JDJ44" s="481"/>
      <c r="JDK44" s="481"/>
      <c r="JDL44" s="481"/>
      <c r="JDM44" s="481"/>
      <c r="JDN44" s="481"/>
      <c r="JDO44" s="481"/>
      <c r="JDP44" s="481"/>
      <c r="JDQ44" s="481"/>
      <c r="JDR44" s="481"/>
      <c r="JDS44" s="481"/>
      <c r="JDT44" s="481"/>
      <c r="JDU44" s="481"/>
      <c r="JDV44" s="481"/>
      <c r="JDW44" s="481"/>
      <c r="JDX44" s="481"/>
      <c r="JDY44" s="481"/>
      <c r="JDZ44" s="481"/>
      <c r="JEA44" s="481"/>
      <c r="JEB44" s="481"/>
      <c r="JEC44" s="481"/>
      <c r="JED44" s="481"/>
      <c r="JEE44" s="481"/>
      <c r="JEF44" s="481"/>
      <c r="JEG44" s="481"/>
      <c r="JEH44" s="481"/>
      <c r="JEI44" s="481"/>
      <c r="JEJ44" s="481"/>
      <c r="JEK44" s="481"/>
      <c r="JEL44" s="481"/>
      <c r="JEM44" s="481"/>
      <c r="JEN44" s="481"/>
      <c r="JEO44" s="481"/>
      <c r="JEP44" s="481"/>
      <c r="JEQ44" s="481"/>
      <c r="JER44" s="481"/>
      <c r="JES44" s="481"/>
      <c r="JET44" s="481"/>
      <c r="JEU44" s="481"/>
      <c r="JEV44" s="481"/>
      <c r="JEW44" s="481"/>
      <c r="JEX44" s="481"/>
      <c r="JEY44" s="481"/>
      <c r="JEZ44" s="481"/>
      <c r="JFA44" s="481"/>
      <c r="JFB44" s="481"/>
      <c r="JFC44" s="481"/>
      <c r="JFD44" s="481"/>
      <c r="JFE44" s="481"/>
      <c r="JFF44" s="481"/>
      <c r="JFG44" s="481"/>
      <c r="JFH44" s="481"/>
      <c r="JFI44" s="481"/>
      <c r="JFJ44" s="481"/>
      <c r="JFK44" s="481"/>
      <c r="JFL44" s="481"/>
      <c r="JFM44" s="481"/>
      <c r="JFN44" s="481"/>
      <c r="JFO44" s="481"/>
      <c r="JFP44" s="481"/>
      <c r="JFQ44" s="481"/>
      <c r="JFR44" s="481"/>
      <c r="JFS44" s="481"/>
      <c r="JFT44" s="481"/>
      <c r="JFU44" s="481"/>
      <c r="JFV44" s="481"/>
      <c r="JFW44" s="481"/>
      <c r="JFX44" s="481"/>
      <c r="JFY44" s="481"/>
      <c r="JFZ44" s="481"/>
      <c r="JGA44" s="481"/>
      <c r="JGB44" s="481"/>
      <c r="JGC44" s="481"/>
      <c r="JGD44" s="481"/>
      <c r="JGE44" s="481"/>
      <c r="JGF44" s="481"/>
      <c r="JGG44" s="481"/>
      <c r="JGH44" s="481"/>
      <c r="JGI44" s="481"/>
      <c r="JGJ44" s="481"/>
      <c r="JGK44" s="481"/>
      <c r="JGL44" s="481"/>
      <c r="JGM44" s="481"/>
      <c r="JGN44" s="481"/>
      <c r="JGO44" s="481"/>
      <c r="JGP44" s="481"/>
      <c r="JGQ44" s="481"/>
      <c r="JGR44" s="481"/>
      <c r="JGS44" s="481"/>
      <c r="JGT44" s="481"/>
      <c r="JGU44" s="481"/>
      <c r="JGV44" s="481"/>
      <c r="JGW44" s="481"/>
      <c r="JGX44" s="481"/>
      <c r="JGY44" s="481"/>
      <c r="JGZ44" s="481"/>
      <c r="JHA44" s="481"/>
      <c r="JHB44" s="481"/>
      <c r="JHC44" s="481"/>
      <c r="JHD44" s="481"/>
      <c r="JHE44" s="481"/>
      <c r="JHF44" s="481"/>
      <c r="JHG44" s="481"/>
      <c r="JHH44" s="481"/>
      <c r="JHI44" s="481"/>
      <c r="JHJ44" s="481"/>
      <c r="JHK44" s="481"/>
      <c r="JHL44" s="481"/>
      <c r="JHM44" s="481"/>
      <c r="JHN44" s="481"/>
      <c r="JHO44" s="481"/>
      <c r="JHP44" s="481"/>
      <c r="JHQ44" s="481"/>
      <c r="JHR44" s="481"/>
      <c r="JHS44" s="481"/>
      <c r="JHT44" s="481"/>
      <c r="JHU44" s="481"/>
      <c r="JHV44" s="481"/>
      <c r="JHW44" s="481"/>
      <c r="JHX44" s="481"/>
      <c r="JHY44" s="481"/>
      <c r="JHZ44" s="481"/>
      <c r="JIA44" s="481"/>
      <c r="JIB44" s="481"/>
      <c r="JIC44" s="481"/>
      <c r="JID44" s="481"/>
      <c r="JIE44" s="481"/>
      <c r="JIF44" s="481"/>
      <c r="JIG44" s="481"/>
      <c r="JIH44" s="481"/>
      <c r="JII44" s="481"/>
      <c r="JIJ44" s="481"/>
      <c r="JIK44" s="481"/>
      <c r="JIL44" s="481"/>
      <c r="JIM44" s="481"/>
      <c r="JIN44" s="481"/>
      <c r="JIO44" s="481"/>
      <c r="JIP44" s="481"/>
      <c r="JIQ44" s="481"/>
      <c r="JIR44" s="481"/>
      <c r="JIS44" s="481"/>
      <c r="JIT44" s="481"/>
      <c r="JIU44" s="481"/>
      <c r="JIV44" s="481"/>
      <c r="JIW44" s="481"/>
      <c r="JIX44" s="481"/>
      <c r="JIY44" s="481"/>
      <c r="JIZ44" s="481"/>
      <c r="JJA44" s="481"/>
      <c r="JJB44" s="481"/>
      <c r="JJC44" s="481"/>
      <c r="JJD44" s="481"/>
      <c r="JJE44" s="481"/>
      <c r="JJF44" s="481"/>
      <c r="JJG44" s="481"/>
      <c r="JJH44" s="481"/>
      <c r="JJI44" s="481"/>
      <c r="JJJ44" s="481"/>
      <c r="JJK44" s="481"/>
      <c r="JJL44" s="481"/>
      <c r="JJM44" s="481"/>
      <c r="JJN44" s="481"/>
      <c r="JJO44" s="481"/>
      <c r="JJP44" s="481"/>
      <c r="JJQ44" s="481"/>
      <c r="JJR44" s="481"/>
      <c r="JJS44" s="481"/>
      <c r="JJT44" s="481"/>
      <c r="JJU44" s="481"/>
      <c r="JJV44" s="481"/>
      <c r="JJW44" s="481"/>
      <c r="JJX44" s="481"/>
      <c r="JJY44" s="481"/>
      <c r="JJZ44" s="481"/>
      <c r="JKA44" s="481"/>
      <c r="JKB44" s="481"/>
      <c r="JKC44" s="481"/>
      <c r="JKD44" s="481"/>
      <c r="JKE44" s="481"/>
      <c r="JKF44" s="481"/>
      <c r="JKG44" s="481"/>
      <c r="JKH44" s="481"/>
      <c r="JKI44" s="481"/>
      <c r="JKJ44" s="481"/>
      <c r="JKK44" s="481"/>
      <c r="JKL44" s="481"/>
      <c r="JKM44" s="481"/>
      <c r="JKN44" s="481"/>
      <c r="JKO44" s="481"/>
      <c r="JKP44" s="481"/>
      <c r="JKQ44" s="481"/>
      <c r="JKR44" s="481"/>
      <c r="JKS44" s="481"/>
      <c r="JKT44" s="481"/>
      <c r="JKU44" s="481"/>
      <c r="JKV44" s="481"/>
      <c r="JKW44" s="481"/>
      <c r="JKX44" s="481"/>
      <c r="JKY44" s="481"/>
      <c r="JKZ44" s="481"/>
      <c r="JLA44" s="481"/>
      <c r="JLB44" s="481"/>
      <c r="JLC44" s="481"/>
      <c r="JLD44" s="481"/>
      <c r="JLE44" s="481"/>
      <c r="JLF44" s="481"/>
      <c r="JLG44" s="481"/>
      <c r="JLH44" s="481"/>
      <c r="JLI44" s="481"/>
      <c r="JLJ44" s="481"/>
      <c r="JLK44" s="481"/>
      <c r="JLL44" s="481"/>
      <c r="JLM44" s="481"/>
      <c r="JLN44" s="481"/>
      <c r="JLO44" s="481"/>
      <c r="JLP44" s="481"/>
      <c r="JLQ44" s="481"/>
      <c r="JLR44" s="481"/>
      <c r="JLS44" s="481"/>
      <c r="JLT44" s="481"/>
      <c r="JLU44" s="481"/>
      <c r="JLV44" s="481"/>
      <c r="JLW44" s="481"/>
      <c r="JLX44" s="481"/>
      <c r="JLY44" s="481"/>
      <c r="JLZ44" s="481"/>
      <c r="JMA44" s="481"/>
      <c r="JMB44" s="481"/>
      <c r="JMC44" s="481"/>
      <c r="JMD44" s="481"/>
      <c r="JME44" s="481"/>
      <c r="JMF44" s="481"/>
      <c r="JMG44" s="481"/>
      <c r="JMH44" s="481"/>
      <c r="JMI44" s="481"/>
      <c r="JMJ44" s="481"/>
      <c r="JMK44" s="481"/>
      <c r="JML44" s="481"/>
      <c r="JMM44" s="481"/>
      <c r="JMN44" s="481"/>
      <c r="JMO44" s="481"/>
      <c r="JMP44" s="481"/>
      <c r="JMQ44" s="481"/>
      <c r="JMR44" s="481"/>
      <c r="JMS44" s="481"/>
      <c r="JMT44" s="481"/>
      <c r="JMU44" s="481"/>
      <c r="JMV44" s="481"/>
      <c r="JMW44" s="481"/>
      <c r="JMX44" s="481"/>
      <c r="JMY44" s="481"/>
      <c r="JMZ44" s="481"/>
      <c r="JNA44" s="481"/>
      <c r="JNB44" s="481"/>
      <c r="JNC44" s="481"/>
      <c r="JND44" s="481"/>
      <c r="JNE44" s="481"/>
      <c r="JNF44" s="481"/>
      <c r="JNG44" s="481"/>
      <c r="JNH44" s="481"/>
      <c r="JNI44" s="481"/>
      <c r="JNJ44" s="481"/>
      <c r="JNK44" s="481"/>
      <c r="JNL44" s="481"/>
      <c r="JNM44" s="481"/>
      <c r="JNN44" s="481"/>
      <c r="JNO44" s="481"/>
      <c r="JNP44" s="481"/>
      <c r="JNQ44" s="481"/>
      <c r="JNR44" s="481"/>
      <c r="JNS44" s="481"/>
      <c r="JNT44" s="481"/>
      <c r="JNU44" s="481"/>
      <c r="JNV44" s="481"/>
      <c r="JNW44" s="481"/>
      <c r="JNX44" s="481"/>
      <c r="JNY44" s="481"/>
      <c r="JNZ44" s="481"/>
      <c r="JOA44" s="481"/>
      <c r="JOB44" s="481"/>
      <c r="JOC44" s="481"/>
      <c r="JOD44" s="481"/>
      <c r="JOE44" s="481"/>
      <c r="JOF44" s="481"/>
      <c r="JOG44" s="481"/>
      <c r="JOH44" s="481"/>
      <c r="JOI44" s="481"/>
      <c r="JOJ44" s="481"/>
      <c r="JOK44" s="481"/>
      <c r="JOL44" s="481"/>
      <c r="JOM44" s="481"/>
      <c r="JON44" s="481"/>
      <c r="JOO44" s="481"/>
      <c r="JOP44" s="481"/>
      <c r="JOQ44" s="481"/>
      <c r="JOR44" s="481"/>
      <c r="JOS44" s="481"/>
      <c r="JOT44" s="481"/>
      <c r="JOU44" s="481"/>
      <c r="JOV44" s="481"/>
      <c r="JOW44" s="481"/>
      <c r="JOX44" s="481"/>
      <c r="JOY44" s="481"/>
      <c r="JOZ44" s="481"/>
      <c r="JPA44" s="481"/>
      <c r="JPB44" s="481"/>
      <c r="JPC44" s="481"/>
      <c r="JPD44" s="481"/>
      <c r="JPE44" s="481"/>
      <c r="JPF44" s="481"/>
      <c r="JPG44" s="481"/>
      <c r="JPH44" s="481"/>
      <c r="JPI44" s="481"/>
      <c r="JPJ44" s="481"/>
      <c r="JPK44" s="481"/>
      <c r="JPL44" s="481"/>
      <c r="JPM44" s="481"/>
      <c r="JPN44" s="481"/>
      <c r="JPO44" s="481"/>
      <c r="JPP44" s="481"/>
      <c r="JPQ44" s="481"/>
      <c r="JPR44" s="481"/>
      <c r="JPS44" s="481"/>
      <c r="JPT44" s="481"/>
      <c r="JPU44" s="481"/>
      <c r="JPV44" s="481"/>
      <c r="JPW44" s="481"/>
      <c r="JPX44" s="481"/>
      <c r="JPY44" s="481"/>
      <c r="JPZ44" s="481"/>
      <c r="JQA44" s="481"/>
      <c r="JQB44" s="481"/>
      <c r="JQC44" s="481"/>
      <c r="JQD44" s="481"/>
      <c r="JQE44" s="481"/>
      <c r="JQF44" s="481"/>
      <c r="JQG44" s="481"/>
      <c r="JQH44" s="481"/>
      <c r="JQI44" s="481"/>
      <c r="JQJ44" s="481"/>
      <c r="JQK44" s="481"/>
      <c r="JQL44" s="481"/>
      <c r="JQM44" s="481"/>
      <c r="JQN44" s="481"/>
      <c r="JQO44" s="481"/>
      <c r="JQP44" s="481"/>
      <c r="JQQ44" s="481"/>
      <c r="JQR44" s="481"/>
      <c r="JQS44" s="481"/>
      <c r="JQT44" s="481"/>
      <c r="JQU44" s="481"/>
      <c r="JQV44" s="481"/>
      <c r="JQW44" s="481"/>
      <c r="JQX44" s="481"/>
      <c r="JQY44" s="481"/>
      <c r="JQZ44" s="481"/>
      <c r="JRA44" s="481"/>
      <c r="JRB44" s="481"/>
      <c r="JRC44" s="481"/>
      <c r="JRD44" s="481"/>
      <c r="JRE44" s="481"/>
      <c r="JRF44" s="481"/>
      <c r="JRG44" s="481"/>
      <c r="JRH44" s="481"/>
      <c r="JRI44" s="481"/>
      <c r="JRJ44" s="481"/>
      <c r="JRK44" s="481"/>
      <c r="JRL44" s="481"/>
      <c r="JRM44" s="481"/>
      <c r="JRN44" s="481"/>
      <c r="JRO44" s="481"/>
      <c r="JRP44" s="481"/>
      <c r="JRQ44" s="481"/>
      <c r="JRR44" s="481"/>
      <c r="JRS44" s="481"/>
      <c r="JRT44" s="481"/>
      <c r="JRU44" s="481"/>
      <c r="JRV44" s="481"/>
      <c r="JRW44" s="481"/>
      <c r="JRX44" s="481"/>
      <c r="JRY44" s="481"/>
      <c r="JRZ44" s="481"/>
      <c r="JSA44" s="481"/>
      <c r="JSB44" s="481"/>
      <c r="JSC44" s="481"/>
      <c r="JSD44" s="481"/>
      <c r="JSE44" s="481"/>
      <c r="JSF44" s="481"/>
      <c r="JSG44" s="481"/>
      <c r="JSH44" s="481"/>
      <c r="JSI44" s="481"/>
      <c r="JSJ44" s="481"/>
      <c r="JSK44" s="481"/>
      <c r="JSL44" s="481"/>
      <c r="JSM44" s="481"/>
      <c r="JSN44" s="481"/>
      <c r="JSO44" s="481"/>
      <c r="JSP44" s="481"/>
      <c r="JSQ44" s="481"/>
      <c r="JSR44" s="481"/>
      <c r="JSS44" s="481"/>
      <c r="JST44" s="481"/>
      <c r="JSU44" s="481"/>
      <c r="JSV44" s="481"/>
      <c r="JSW44" s="481"/>
      <c r="JSX44" s="481"/>
      <c r="JSY44" s="481"/>
      <c r="JSZ44" s="481"/>
      <c r="JTA44" s="481"/>
      <c r="JTB44" s="481"/>
      <c r="JTC44" s="481"/>
      <c r="JTD44" s="481"/>
      <c r="JTE44" s="481"/>
      <c r="JTF44" s="481"/>
      <c r="JTG44" s="481"/>
      <c r="JTH44" s="481"/>
      <c r="JTI44" s="481"/>
      <c r="JTJ44" s="481"/>
      <c r="JTK44" s="481"/>
      <c r="JTL44" s="481"/>
      <c r="JTM44" s="481"/>
      <c r="JTN44" s="481"/>
      <c r="JTO44" s="481"/>
      <c r="JTP44" s="481"/>
      <c r="JTQ44" s="481"/>
      <c r="JTR44" s="481"/>
      <c r="JTS44" s="481"/>
      <c r="JTT44" s="481"/>
      <c r="JTU44" s="481"/>
      <c r="JTV44" s="481"/>
      <c r="JTW44" s="481"/>
      <c r="JTX44" s="481"/>
      <c r="JTY44" s="481"/>
      <c r="JTZ44" s="481"/>
      <c r="JUA44" s="481"/>
      <c r="JUB44" s="481"/>
      <c r="JUC44" s="481"/>
      <c r="JUD44" s="481"/>
      <c r="JUE44" s="481"/>
      <c r="JUF44" s="481"/>
      <c r="JUG44" s="481"/>
      <c r="JUH44" s="481"/>
      <c r="JUI44" s="481"/>
      <c r="JUJ44" s="481"/>
      <c r="JUK44" s="481"/>
      <c r="JUL44" s="481"/>
      <c r="JUM44" s="481"/>
      <c r="JUN44" s="481"/>
      <c r="JUO44" s="481"/>
      <c r="JUP44" s="481"/>
      <c r="JUQ44" s="481"/>
      <c r="JUR44" s="481"/>
      <c r="JUS44" s="481"/>
      <c r="JUT44" s="481"/>
      <c r="JUU44" s="481"/>
      <c r="JUV44" s="481"/>
      <c r="JUW44" s="481"/>
      <c r="JUX44" s="481"/>
      <c r="JUY44" s="481"/>
      <c r="JUZ44" s="481"/>
      <c r="JVA44" s="481"/>
      <c r="JVB44" s="481"/>
      <c r="JVC44" s="481"/>
      <c r="JVD44" s="481"/>
      <c r="JVE44" s="481"/>
      <c r="JVF44" s="481"/>
      <c r="JVG44" s="481"/>
      <c r="JVH44" s="481"/>
      <c r="JVI44" s="481"/>
      <c r="JVJ44" s="481"/>
      <c r="JVK44" s="481"/>
      <c r="JVL44" s="481"/>
      <c r="JVM44" s="481"/>
      <c r="JVN44" s="481"/>
      <c r="JVO44" s="481"/>
      <c r="JVP44" s="481"/>
      <c r="JVQ44" s="481"/>
      <c r="JVR44" s="481"/>
      <c r="JVS44" s="481"/>
      <c r="JVT44" s="481"/>
      <c r="JVU44" s="481"/>
      <c r="JVV44" s="481"/>
      <c r="JVW44" s="481"/>
      <c r="JVX44" s="481"/>
      <c r="JVY44" s="481"/>
      <c r="JVZ44" s="481"/>
      <c r="JWA44" s="481"/>
      <c r="JWB44" s="481"/>
      <c r="JWC44" s="481"/>
      <c r="JWD44" s="481"/>
      <c r="JWE44" s="481"/>
      <c r="JWF44" s="481"/>
      <c r="JWG44" s="481"/>
      <c r="JWH44" s="481"/>
      <c r="JWI44" s="481"/>
      <c r="JWJ44" s="481"/>
      <c r="JWK44" s="481"/>
      <c r="JWL44" s="481"/>
      <c r="JWM44" s="481"/>
      <c r="JWN44" s="481"/>
      <c r="JWO44" s="481"/>
      <c r="JWP44" s="481"/>
      <c r="JWQ44" s="481"/>
      <c r="JWR44" s="481"/>
      <c r="JWS44" s="481"/>
      <c r="JWT44" s="481"/>
      <c r="JWU44" s="481"/>
      <c r="JWV44" s="481"/>
      <c r="JWW44" s="481"/>
      <c r="JWX44" s="481"/>
      <c r="JWY44" s="481"/>
      <c r="JWZ44" s="481"/>
      <c r="JXA44" s="481"/>
      <c r="JXB44" s="481"/>
      <c r="JXC44" s="481"/>
      <c r="JXD44" s="481"/>
      <c r="JXE44" s="481"/>
      <c r="JXF44" s="481"/>
      <c r="JXG44" s="481"/>
      <c r="JXH44" s="481"/>
      <c r="JXI44" s="481"/>
      <c r="JXJ44" s="481"/>
      <c r="JXK44" s="481"/>
      <c r="JXL44" s="481"/>
      <c r="JXM44" s="481"/>
      <c r="JXN44" s="481"/>
      <c r="JXO44" s="481"/>
      <c r="JXP44" s="481"/>
      <c r="JXQ44" s="481"/>
      <c r="JXR44" s="481"/>
      <c r="JXS44" s="481"/>
      <c r="JXT44" s="481"/>
      <c r="JXU44" s="481"/>
      <c r="JXV44" s="481"/>
      <c r="JXW44" s="481"/>
      <c r="JXX44" s="481"/>
      <c r="JXY44" s="481"/>
      <c r="JXZ44" s="481"/>
      <c r="JYA44" s="481"/>
      <c r="JYB44" s="481"/>
      <c r="JYC44" s="481"/>
      <c r="JYD44" s="481"/>
      <c r="JYE44" s="481"/>
      <c r="JYF44" s="481"/>
      <c r="JYG44" s="481"/>
      <c r="JYH44" s="481"/>
      <c r="JYI44" s="481"/>
      <c r="JYJ44" s="481"/>
      <c r="JYK44" s="481"/>
      <c r="JYL44" s="481"/>
      <c r="JYM44" s="481"/>
      <c r="JYN44" s="481"/>
      <c r="JYO44" s="481"/>
      <c r="JYP44" s="481"/>
      <c r="JYQ44" s="481"/>
      <c r="JYR44" s="481"/>
      <c r="JYS44" s="481"/>
      <c r="JYT44" s="481"/>
      <c r="JYU44" s="481"/>
      <c r="JYV44" s="481"/>
      <c r="JYW44" s="481"/>
      <c r="JYX44" s="481"/>
      <c r="JYY44" s="481"/>
      <c r="JYZ44" s="481"/>
      <c r="JZA44" s="481"/>
      <c r="JZB44" s="481"/>
      <c r="JZC44" s="481"/>
      <c r="JZD44" s="481"/>
      <c r="JZE44" s="481"/>
      <c r="JZF44" s="481"/>
      <c r="JZG44" s="481"/>
      <c r="JZH44" s="481"/>
      <c r="JZI44" s="481"/>
      <c r="JZJ44" s="481"/>
      <c r="JZK44" s="481"/>
      <c r="JZL44" s="481"/>
      <c r="JZM44" s="481"/>
      <c r="JZN44" s="481"/>
      <c r="JZO44" s="481"/>
      <c r="JZP44" s="481"/>
      <c r="JZQ44" s="481"/>
      <c r="JZR44" s="481"/>
      <c r="JZS44" s="481"/>
      <c r="JZT44" s="481"/>
      <c r="JZU44" s="481"/>
      <c r="JZV44" s="481"/>
      <c r="JZW44" s="481"/>
      <c r="JZX44" s="481"/>
      <c r="JZY44" s="481"/>
      <c r="JZZ44" s="481"/>
      <c r="KAA44" s="481"/>
      <c r="KAB44" s="481"/>
      <c r="KAC44" s="481"/>
      <c r="KAD44" s="481"/>
      <c r="KAE44" s="481"/>
      <c r="KAF44" s="481"/>
      <c r="KAG44" s="481"/>
      <c r="KAH44" s="481"/>
      <c r="KAI44" s="481"/>
      <c r="KAJ44" s="481"/>
      <c r="KAK44" s="481"/>
      <c r="KAL44" s="481"/>
      <c r="KAM44" s="481"/>
      <c r="KAN44" s="481"/>
      <c r="KAO44" s="481"/>
      <c r="KAP44" s="481"/>
      <c r="KAQ44" s="481"/>
      <c r="KAR44" s="481"/>
      <c r="KAS44" s="481"/>
      <c r="KAT44" s="481"/>
      <c r="KAU44" s="481"/>
      <c r="KAV44" s="481"/>
      <c r="KAW44" s="481"/>
      <c r="KAX44" s="481"/>
      <c r="KAY44" s="481"/>
      <c r="KAZ44" s="481"/>
      <c r="KBA44" s="481"/>
      <c r="KBB44" s="481"/>
      <c r="KBC44" s="481"/>
      <c r="KBD44" s="481"/>
      <c r="KBE44" s="481"/>
      <c r="KBF44" s="481"/>
      <c r="KBG44" s="481"/>
      <c r="KBH44" s="481"/>
      <c r="KBI44" s="481"/>
      <c r="KBJ44" s="481"/>
      <c r="KBK44" s="481"/>
      <c r="KBL44" s="481"/>
      <c r="KBM44" s="481"/>
      <c r="KBN44" s="481"/>
      <c r="KBO44" s="481"/>
      <c r="KBP44" s="481"/>
      <c r="KBQ44" s="481"/>
      <c r="KBR44" s="481"/>
      <c r="KBS44" s="481"/>
      <c r="KBT44" s="481"/>
      <c r="KBU44" s="481"/>
      <c r="KBV44" s="481"/>
      <c r="KBW44" s="481"/>
      <c r="KBX44" s="481"/>
      <c r="KBY44" s="481"/>
      <c r="KBZ44" s="481"/>
      <c r="KCA44" s="481"/>
      <c r="KCB44" s="481"/>
      <c r="KCC44" s="481"/>
      <c r="KCD44" s="481"/>
      <c r="KCE44" s="481"/>
      <c r="KCF44" s="481"/>
      <c r="KCG44" s="481"/>
      <c r="KCH44" s="481"/>
      <c r="KCI44" s="481"/>
      <c r="KCJ44" s="481"/>
      <c r="KCK44" s="481"/>
      <c r="KCL44" s="481"/>
      <c r="KCM44" s="481"/>
      <c r="KCN44" s="481"/>
      <c r="KCO44" s="481"/>
      <c r="KCP44" s="481"/>
      <c r="KCQ44" s="481"/>
      <c r="KCR44" s="481"/>
      <c r="KCS44" s="481"/>
      <c r="KCT44" s="481"/>
      <c r="KCU44" s="481"/>
      <c r="KCV44" s="481"/>
      <c r="KCW44" s="481"/>
      <c r="KCX44" s="481"/>
      <c r="KCY44" s="481"/>
      <c r="KCZ44" s="481"/>
      <c r="KDA44" s="481"/>
      <c r="KDB44" s="481"/>
      <c r="KDC44" s="481"/>
      <c r="KDD44" s="481"/>
      <c r="KDE44" s="481"/>
      <c r="KDF44" s="481"/>
      <c r="KDG44" s="481"/>
      <c r="KDH44" s="481"/>
      <c r="KDI44" s="481"/>
      <c r="KDJ44" s="481"/>
      <c r="KDK44" s="481"/>
      <c r="KDL44" s="481"/>
      <c r="KDM44" s="481"/>
      <c r="KDN44" s="481"/>
      <c r="KDO44" s="481"/>
      <c r="KDP44" s="481"/>
      <c r="KDQ44" s="481"/>
      <c r="KDR44" s="481"/>
      <c r="KDS44" s="481"/>
      <c r="KDT44" s="481"/>
      <c r="KDU44" s="481"/>
      <c r="KDV44" s="481"/>
      <c r="KDW44" s="481"/>
      <c r="KDX44" s="481"/>
      <c r="KDY44" s="481"/>
      <c r="KDZ44" s="481"/>
      <c r="KEA44" s="481"/>
      <c r="KEB44" s="481"/>
      <c r="KEC44" s="481"/>
      <c r="KED44" s="481"/>
      <c r="KEE44" s="481"/>
      <c r="KEF44" s="481"/>
      <c r="KEG44" s="481"/>
      <c r="KEH44" s="481"/>
      <c r="KEI44" s="481"/>
      <c r="KEJ44" s="481"/>
      <c r="KEK44" s="481"/>
      <c r="KEL44" s="481"/>
      <c r="KEM44" s="481"/>
      <c r="KEN44" s="481"/>
      <c r="KEO44" s="481"/>
      <c r="KEP44" s="481"/>
      <c r="KEQ44" s="481"/>
      <c r="KER44" s="481"/>
      <c r="KES44" s="481"/>
      <c r="KET44" s="481"/>
      <c r="KEU44" s="481"/>
      <c r="KEV44" s="481"/>
      <c r="KEW44" s="481"/>
      <c r="KEX44" s="481"/>
      <c r="KEY44" s="481"/>
      <c r="KEZ44" s="481"/>
      <c r="KFA44" s="481"/>
      <c r="KFB44" s="481"/>
      <c r="KFC44" s="481"/>
      <c r="KFD44" s="481"/>
      <c r="KFE44" s="481"/>
      <c r="KFF44" s="481"/>
      <c r="KFG44" s="481"/>
      <c r="KFH44" s="481"/>
      <c r="KFI44" s="481"/>
      <c r="KFJ44" s="481"/>
      <c r="KFK44" s="481"/>
      <c r="KFL44" s="481"/>
      <c r="KFM44" s="481"/>
      <c r="KFN44" s="481"/>
      <c r="KFO44" s="481"/>
      <c r="KFP44" s="481"/>
      <c r="KFQ44" s="481"/>
      <c r="KFR44" s="481"/>
      <c r="KFS44" s="481"/>
      <c r="KFT44" s="481"/>
      <c r="KFU44" s="481"/>
      <c r="KFV44" s="481"/>
      <c r="KFW44" s="481"/>
      <c r="KFX44" s="481"/>
      <c r="KFY44" s="481"/>
      <c r="KFZ44" s="481"/>
      <c r="KGA44" s="481"/>
      <c r="KGB44" s="481"/>
      <c r="KGC44" s="481"/>
      <c r="KGD44" s="481"/>
      <c r="KGE44" s="481"/>
      <c r="KGF44" s="481"/>
      <c r="KGG44" s="481"/>
      <c r="KGH44" s="481"/>
      <c r="KGI44" s="481"/>
      <c r="KGJ44" s="481"/>
      <c r="KGK44" s="481"/>
      <c r="KGL44" s="481"/>
      <c r="KGM44" s="481"/>
      <c r="KGN44" s="481"/>
      <c r="KGO44" s="481"/>
      <c r="KGP44" s="481"/>
      <c r="KGQ44" s="481"/>
      <c r="KGR44" s="481"/>
      <c r="KGS44" s="481"/>
      <c r="KGT44" s="481"/>
      <c r="KGU44" s="481"/>
      <c r="KGV44" s="481"/>
      <c r="KGW44" s="481"/>
      <c r="KGX44" s="481"/>
      <c r="KGY44" s="481"/>
      <c r="KGZ44" s="481"/>
      <c r="KHA44" s="481"/>
      <c r="KHB44" s="481"/>
      <c r="KHC44" s="481"/>
      <c r="KHD44" s="481"/>
      <c r="KHE44" s="481"/>
      <c r="KHF44" s="481"/>
      <c r="KHG44" s="481"/>
      <c r="KHH44" s="481"/>
      <c r="KHI44" s="481"/>
      <c r="KHJ44" s="481"/>
      <c r="KHK44" s="481"/>
      <c r="KHL44" s="481"/>
      <c r="KHM44" s="481"/>
      <c r="KHN44" s="481"/>
      <c r="KHO44" s="481"/>
      <c r="KHP44" s="481"/>
      <c r="KHQ44" s="481"/>
      <c r="KHR44" s="481"/>
      <c r="KHS44" s="481"/>
      <c r="KHT44" s="481"/>
      <c r="KHU44" s="481"/>
      <c r="KHV44" s="481"/>
      <c r="KHW44" s="481"/>
      <c r="KHX44" s="481"/>
      <c r="KHY44" s="481"/>
      <c r="KHZ44" s="481"/>
      <c r="KIA44" s="481"/>
      <c r="KIB44" s="481"/>
      <c r="KIC44" s="481"/>
      <c r="KID44" s="481"/>
      <c r="KIE44" s="481"/>
      <c r="KIF44" s="481"/>
      <c r="KIG44" s="481"/>
      <c r="KIH44" s="481"/>
      <c r="KII44" s="481"/>
      <c r="KIJ44" s="481"/>
      <c r="KIK44" s="481"/>
      <c r="KIL44" s="481"/>
      <c r="KIM44" s="481"/>
      <c r="KIN44" s="481"/>
      <c r="KIO44" s="481"/>
      <c r="KIP44" s="481"/>
      <c r="KIQ44" s="481"/>
      <c r="KIR44" s="481"/>
      <c r="KIS44" s="481"/>
      <c r="KIT44" s="481"/>
      <c r="KIU44" s="481"/>
      <c r="KIV44" s="481"/>
      <c r="KIW44" s="481"/>
      <c r="KIX44" s="481"/>
      <c r="KIY44" s="481"/>
      <c r="KIZ44" s="481"/>
      <c r="KJA44" s="481"/>
      <c r="KJB44" s="481"/>
      <c r="KJC44" s="481"/>
      <c r="KJD44" s="481"/>
      <c r="KJE44" s="481"/>
      <c r="KJF44" s="481"/>
      <c r="KJG44" s="481"/>
      <c r="KJH44" s="481"/>
      <c r="KJI44" s="481"/>
      <c r="KJJ44" s="481"/>
      <c r="KJK44" s="481"/>
      <c r="KJL44" s="481"/>
      <c r="KJM44" s="481"/>
      <c r="KJN44" s="481"/>
      <c r="KJO44" s="481"/>
      <c r="KJP44" s="481"/>
      <c r="KJQ44" s="481"/>
      <c r="KJR44" s="481"/>
      <c r="KJS44" s="481"/>
      <c r="KJT44" s="481"/>
      <c r="KJU44" s="481"/>
      <c r="KJV44" s="481"/>
      <c r="KJW44" s="481"/>
      <c r="KJX44" s="481"/>
      <c r="KJY44" s="481"/>
      <c r="KJZ44" s="481"/>
      <c r="KKA44" s="481"/>
      <c r="KKB44" s="481"/>
      <c r="KKC44" s="481"/>
      <c r="KKD44" s="481"/>
      <c r="KKE44" s="481"/>
      <c r="KKF44" s="481"/>
      <c r="KKG44" s="481"/>
      <c r="KKH44" s="481"/>
      <c r="KKI44" s="481"/>
      <c r="KKJ44" s="481"/>
      <c r="KKK44" s="481"/>
      <c r="KKL44" s="481"/>
      <c r="KKM44" s="481"/>
      <c r="KKN44" s="481"/>
      <c r="KKO44" s="481"/>
      <c r="KKP44" s="481"/>
      <c r="KKQ44" s="481"/>
      <c r="KKR44" s="481"/>
      <c r="KKS44" s="481"/>
      <c r="KKT44" s="481"/>
      <c r="KKU44" s="481"/>
      <c r="KKV44" s="481"/>
      <c r="KKW44" s="481"/>
      <c r="KKX44" s="481"/>
      <c r="KKY44" s="481"/>
      <c r="KKZ44" s="481"/>
      <c r="KLA44" s="481"/>
      <c r="KLB44" s="481"/>
      <c r="KLC44" s="481"/>
      <c r="KLD44" s="481"/>
      <c r="KLE44" s="481"/>
      <c r="KLF44" s="481"/>
      <c r="KLG44" s="481"/>
      <c r="KLH44" s="481"/>
      <c r="KLI44" s="481"/>
      <c r="KLJ44" s="481"/>
      <c r="KLK44" s="481"/>
      <c r="KLL44" s="481"/>
      <c r="KLM44" s="481"/>
      <c r="KLN44" s="481"/>
      <c r="KLO44" s="481"/>
      <c r="KLP44" s="481"/>
      <c r="KLQ44" s="481"/>
      <c r="KLR44" s="481"/>
      <c r="KLS44" s="481"/>
      <c r="KLT44" s="481"/>
      <c r="KLU44" s="481"/>
      <c r="KLV44" s="481"/>
      <c r="KLW44" s="481"/>
      <c r="KLX44" s="481"/>
      <c r="KLY44" s="481"/>
      <c r="KLZ44" s="481"/>
      <c r="KMA44" s="481"/>
      <c r="KMB44" s="481"/>
      <c r="KMC44" s="481"/>
      <c r="KMD44" s="481"/>
      <c r="KME44" s="481"/>
      <c r="KMF44" s="481"/>
      <c r="KMG44" s="481"/>
      <c r="KMH44" s="481"/>
      <c r="KMI44" s="481"/>
      <c r="KMJ44" s="481"/>
      <c r="KMK44" s="481"/>
      <c r="KML44" s="481"/>
      <c r="KMM44" s="481"/>
      <c r="KMN44" s="481"/>
      <c r="KMO44" s="481"/>
      <c r="KMP44" s="481"/>
      <c r="KMQ44" s="481"/>
      <c r="KMR44" s="481"/>
      <c r="KMS44" s="481"/>
      <c r="KMT44" s="481"/>
      <c r="KMU44" s="481"/>
      <c r="KMV44" s="481"/>
      <c r="KMW44" s="481"/>
      <c r="KMX44" s="481"/>
      <c r="KMY44" s="481"/>
      <c r="KMZ44" s="481"/>
      <c r="KNA44" s="481"/>
      <c r="KNB44" s="481"/>
      <c r="KNC44" s="481"/>
      <c r="KND44" s="481"/>
      <c r="KNE44" s="481"/>
      <c r="KNF44" s="481"/>
      <c r="KNG44" s="481"/>
      <c r="KNH44" s="481"/>
      <c r="KNI44" s="481"/>
      <c r="KNJ44" s="481"/>
      <c r="KNK44" s="481"/>
      <c r="KNL44" s="481"/>
      <c r="KNM44" s="481"/>
      <c r="KNN44" s="481"/>
      <c r="KNO44" s="481"/>
      <c r="KNP44" s="481"/>
      <c r="KNQ44" s="481"/>
      <c r="KNR44" s="481"/>
      <c r="KNS44" s="481"/>
      <c r="KNT44" s="481"/>
      <c r="KNU44" s="481"/>
      <c r="KNV44" s="481"/>
      <c r="KNW44" s="481"/>
      <c r="KNX44" s="481"/>
      <c r="KNY44" s="481"/>
      <c r="KNZ44" s="481"/>
      <c r="KOA44" s="481"/>
      <c r="KOB44" s="481"/>
      <c r="KOC44" s="481"/>
      <c r="KOD44" s="481"/>
      <c r="KOE44" s="481"/>
      <c r="KOF44" s="481"/>
      <c r="KOG44" s="481"/>
      <c r="KOH44" s="481"/>
      <c r="KOI44" s="481"/>
      <c r="KOJ44" s="481"/>
      <c r="KOK44" s="481"/>
      <c r="KOL44" s="481"/>
      <c r="KOM44" s="481"/>
      <c r="KON44" s="481"/>
      <c r="KOO44" s="481"/>
      <c r="KOP44" s="481"/>
      <c r="KOQ44" s="481"/>
      <c r="KOR44" s="481"/>
      <c r="KOS44" s="481"/>
      <c r="KOT44" s="481"/>
      <c r="KOU44" s="481"/>
      <c r="KOV44" s="481"/>
      <c r="KOW44" s="481"/>
      <c r="KOX44" s="481"/>
      <c r="KOY44" s="481"/>
      <c r="KOZ44" s="481"/>
      <c r="KPA44" s="481"/>
      <c r="KPB44" s="481"/>
      <c r="KPC44" s="481"/>
      <c r="KPD44" s="481"/>
      <c r="KPE44" s="481"/>
      <c r="KPF44" s="481"/>
      <c r="KPG44" s="481"/>
      <c r="KPH44" s="481"/>
      <c r="KPI44" s="481"/>
      <c r="KPJ44" s="481"/>
      <c r="KPK44" s="481"/>
      <c r="KPL44" s="481"/>
      <c r="KPM44" s="481"/>
      <c r="KPN44" s="481"/>
      <c r="KPO44" s="481"/>
      <c r="KPP44" s="481"/>
      <c r="KPQ44" s="481"/>
      <c r="KPR44" s="481"/>
      <c r="KPS44" s="481"/>
      <c r="KPT44" s="481"/>
      <c r="KPU44" s="481"/>
      <c r="KPV44" s="481"/>
      <c r="KPW44" s="481"/>
      <c r="KPX44" s="481"/>
      <c r="KPY44" s="481"/>
      <c r="KPZ44" s="481"/>
      <c r="KQA44" s="481"/>
      <c r="KQB44" s="481"/>
      <c r="KQC44" s="481"/>
      <c r="KQD44" s="481"/>
      <c r="KQE44" s="481"/>
      <c r="KQF44" s="481"/>
      <c r="KQG44" s="481"/>
      <c r="KQH44" s="481"/>
      <c r="KQI44" s="481"/>
      <c r="KQJ44" s="481"/>
      <c r="KQK44" s="481"/>
      <c r="KQL44" s="481"/>
      <c r="KQM44" s="481"/>
      <c r="KQN44" s="481"/>
      <c r="KQO44" s="481"/>
      <c r="KQP44" s="481"/>
      <c r="KQQ44" s="481"/>
      <c r="KQR44" s="481"/>
      <c r="KQS44" s="481"/>
      <c r="KQT44" s="481"/>
      <c r="KQU44" s="481"/>
      <c r="KQV44" s="481"/>
      <c r="KQW44" s="481"/>
      <c r="KQX44" s="481"/>
      <c r="KQY44" s="481"/>
      <c r="KQZ44" s="481"/>
      <c r="KRA44" s="481"/>
      <c r="KRB44" s="481"/>
      <c r="KRC44" s="481"/>
      <c r="KRD44" s="481"/>
      <c r="KRE44" s="481"/>
      <c r="KRF44" s="481"/>
      <c r="KRG44" s="481"/>
      <c r="KRH44" s="481"/>
      <c r="KRI44" s="481"/>
      <c r="KRJ44" s="481"/>
      <c r="KRK44" s="481"/>
      <c r="KRL44" s="481"/>
      <c r="KRM44" s="481"/>
      <c r="KRN44" s="481"/>
      <c r="KRO44" s="481"/>
      <c r="KRP44" s="481"/>
      <c r="KRQ44" s="481"/>
      <c r="KRR44" s="481"/>
      <c r="KRS44" s="481"/>
      <c r="KRT44" s="481"/>
      <c r="KRU44" s="481"/>
      <c r="KRV44" s="481"/>
      <c r="KRW44" s="481"/>
      <c r="KRX44" s="481"/>
      <c r="KRY44" s="481"/>
      <c r="KRZ44" s="481"/>
      <c r="KSA44" s="481"/>
      <c r="KSB44" s="481"/>
      <c r="KSC44" s="481"/>
      <c r="KSD44" s="481"/>
      <c r="KSE44" s="481"/>
      <c r="KSF44" s="481"/>
      <c r="KSG44" s="481"/>
      <c r="KSH44" s="481"/>
      <c r="KSI44" s="481"/>
      <c r="KSJ44" s="481"/>
      <c r="KSK44" s="481"/>
      <c r="KSL44" s="481"/>
      <c r="KSM44" s="481"/>
      <c r="KSN44" s="481"/>
      <c r="KSO44" s="481"/>
      <c r="KSP44" s="481"/>
      <c r="KSQ44" s="481"/>
      <c r="KSR44" s="481"/>
      <c r="KSS44" s="481"/>
      <c r="KST44" s="481"/>
      <c r="KSU44" s="481"/>
      <c r="KSV44" s="481"/>
      <c r="KSW44" s="481"/>
      <c r="KSX44" s="481"/>
      <c r="KSY44" s="481"/>
      <c r="KSZ44" s="481"/>
      <c r="KTA44" s="481"/>
      <c r="KTB44" s="481"/>
      <c r="KTC44" s="481"/>
      <c r="KTD44" s="481"/>
      <c r="KTE44" s="481"/>
      <c r="KTF44" s="481"/>
      <c r="KTG44" s="481"/>
      <c r="KTH44" s="481"/>
      <c r="KTI44" s="481"/>
      <c r="KTJ44" s="481"/>
      <c r="KTK44" s="481"/>
      <c r="KTL44" s="481"/>
      <c r="KTM44" s="481"/>
      <c r="KTN44" s="481"/>
      <c r="KTO44" s="481"/>
      <c r="KTP44" s="481"/>
      <c r="KTQ44" s="481"/>
      <c r="KTR44" s="481"/>
      <c r="KTS44" s="481"/>
      <c r="KTT44" s="481"/>
      <c r="KTU44" s="481"/>
      <c r="KTV44" s="481"/>
      <c r="KTW44" s="481"/>
      <c r="KTX44" s="481"/>
      <c r="KTY44" s="481"/>
      <c r="KTZ44" s="481"/>
      <c r="KUA44" s="481"/>
      <c r="KUB44" s="481"/>
      <c r="KUC44" s="481"/>
      <c r="KUD44" s="481"/>
      <c r="KUE44" s="481"/>
      <c r="KUF44" s="481"/>
      <c r="KUG44" s="481"/>
      <c r="KUH44" s="481"/>
      <c r="KUI44" s="481"/>
      <c r="KUJ44" s="481"/>
      <c r="KUK44" s="481"/>
      <c r="KUL44" s="481"/>
      <c r="KUM44" s="481"/>
      <c r="KUN44" s="481"/>
      <c r="KUO44" s="481"/>
      <c r="KUP44" s="481"/>
      <c r="KUQ44" s="481"/>
      <c r="KUR44" s="481"/>
      <c r="KUS44" s="481"/>
      <c r="KUT44" s="481"/>
      <c r="KUU44" s="481"/>
      <c r="KUV44" s="481"/>
      <c r="KUW44" s="481"/>
      <c r="KUX44" s="481"/>
      <c r="KUY44" s="481"/>
      <c r="KUZ44" s="481"/>
      <c r="KVA44" s="481"/>
      <c r="KVB44" s="481"/>
      <c r="KVC44" s="481"/>
      <c r="KVD44" s="481"/>
      <c r="KVE44" s="481"/>
      <c r="KVF44" s="481"/>
      <c r="KVG44" s="481"/>
      <c r="KVH44" s="481"/>
      <c r="KVI44" s="481"/>
      <c r="KVJ44" s="481"/>
      <c r="KVK44" s="481"/>
      <c r="KVL44" s="481"/>
      <c r="KVM44" s="481"/>
      <c r="KVN44" s="481"/>
      <c r="KVO44" s="481"/>
      <c r="KVP44" s="481"/>
      <c r="KVQ44" s="481"/>
      <c r="KVR44" s="481"/>
      <c r="KVS44" s="481"/>
      <c r="KVT44" s="481"/>
      <c r="KVU44" s="481"/>
      <c r="KVV44" s="481"/>
      <c r="KVW44" s="481"/>
      <c r="KVX44" s="481"/>
      <c r="KVY44" s="481"/>
      <c r="KVZ44" s="481"/>
      <c r="KWA44" s="481"/>
      <c r="KWB44" s="481"/>
      <c r="KWC44" s="481"/>
      <c r="KWD44" s="481"/>
      <c r="KWE44" s="481"/>
      <c r="KWF44" s="481"/>
      <c r="KWG44" s="481"/>
      <c r="KWH44" s="481"/>
      <c r="KWI44" s="481"/>
      <c r="KWJ44" s="481"/>
      <c r="KWK44" s="481"/>
      <c r="KWL44" s="481"/>
      <c r="KWM44" s="481"/>
      <c r="KWN44" s="481"/>
      <c r="KWO44" s="481"/>
      <c r="KWP44" s="481"/>
      <c r="KWQ44" s="481"/>
      <c r="KWR44" s="481"/>
      <c r="KWS44" s="481"/>
      <c r="KWT44" s="481"/>
      <c r="KWU44" s="481"/>
      <c r="KWV44" s="481"/>
      <c r="KWW44" s="481"/>
      <c r="KWX44" s="481"/>
      <c r="KWY44" s="481"/>
      <c r="KWZ44" s="481"/>
      <c r="KXA44" s="481"/>
      <c r="KXB44" s="481"/>
      <c r="KXC44" s="481"/>
      <c r="KXD44" s="481"/>
      <c r="KXE44" s="481"/>
      <c r="KXF44" s="481"/>
      <c r="KXG44" s="481"/>
      <c r="KXH44" s="481"/>
      <c r="KXI44" s="481"/>
      <c r="KXJ44" s="481"/>
      <c r="KXK44" s="481"/>
      <c r="KXL44" s="481"/>
      <c r="KXM44" s="481"/>
      <c r="KXN44" s="481"/>
      <c r="KXO44" s="481"/>
      <c r="KXP44" s="481"/>
      <c r="KXQ44" s="481"/>
      <c r="KXR44" s="481"/>
      <c r="KXS44" s="481"/>
      <c r="KXT44" s="481"/>
      <c r="KXU44" s="481"/>
      <c r="KXV44" s="481"/>
      <c r="KXW44" s="481"/>
      <c r="KXX44" s="481"/>
      <c r="KXY44" s="481"/>
      <c r="KXZ44" s="481"/>
      <c r="KYA44" s="481"/>
      <c r="KYB44" s="481"/>
      <c r="KYC44" s="481"/>
      <c r="KYD44" s="481"/>
      <c r="KYE44" s="481"/>
      <c r="KYF44" s="481"/>
      <c r="KYG44" s="481"/>
      <c r="KYH44" s="481"/>
      <c r="KYI44" s="481"/>
      <c r="KYJ44" s="481"/>
      <c r="KYK44" s="481"/>
      <c r="KYL44" s="481"/>
      <c r="KYM44" s="481"/>
      <c r="KYN44" s="481"/>
      <c r="KYO44" s="481"/>
      <c r="KYP44" s="481"/>
      <c r="KYQ44" s="481"/>
      <c r="KYR44" s="481"/>
      <c r="KYS44" s="481"/>
      <c r="KYT44" s="481"/>
      <c r="KYU44" s="481"/>
      <c r="KYV44" s="481"/>
      <c r="KYW44" s="481"/>
      <c r="KYX44" s="481"/>
      <c r="KYY44" s="481"/>
      <c r="KYZ44" s="481"/>
      <c r="KZA44" s="481"/>
      <c r="KZB44" s="481"/>
      <c r="KZC44" s="481"/>
      <c r="KZD44" s="481"/>
      <c r="KZE44" s="481"/>
      <c r="KZF44" s="481"/>
      <c r="KZG44" s="481"/>
      <c r="KZH44" s="481"/>
      <c r="KZI44" s="481"/>
      <c r="KZJ44" s="481"/>
      <c r="KZK44" s="481"/>
      <c r="KZL44" s="481"/>
      <c r="KZM44" s="481"/>
      <c r="KZN44" s="481"/>
      <c r="KZO44" s="481"/>
      <c r="KZP44" s="481"/>
      <c r="KZQ44" s="481"/>
      <c r="KZR44" s="481"/>
      <c r="KZS44" s="481"/>
      <c r="KZT44" s="481"/>
      <c r="KZU44" s="481"/>
      <c r="KZV44" s="481"/>
      <c r="KZW44" s="481"/>
      <c r="KZX44" s="481"/>
      <c r="KZY44" s="481"/>
      <c r="KZZ44" s="481"/>
      <c r="LAA44" s="481"/>
      <c r="LAB44" s="481"/>
      <c r="LAC44" s="481"/>
      <c r="LAD44" s="481"/>
      <c r="LAE44" s="481"/>
      <c r="LAF44" s="481"/>
      <c r="LAG44" s="481"/>
      <c r="LAH44" s="481"/>
      <c r="LAI44" s="481"/>
      <c r="LAJ44" s="481"/>
      <c r="LAK44" s="481"/>
      <c r="LAL44" s="481"/>
      <c r="LAM44" s="481"/>
      <c r="LAN44" s="481"/>
      <c r="LAO44" s="481"/>
      <c r="LAP44" s="481"/>
      <c r="LAQ44" s="481"/>
      <c r="LAR44" s="481"/>
      <c r="LAS44" s="481"/>
      <c r="LAT44" s="481"/>
      <c r="LAU44" s="481"/>
      <c r="LAV44" s="481"/>
      <c r="LAW44" s="481"/>
      <c r="LAX44" s="481"/>
      <c r="LAY44" s="481"/>
      <c r="LAZ44" s="481"/>
      <c r="LBA44" s="481"/>
      <c r="LBB44" s="481"/>
      <c r="LBC44" s="481"/>
      <c r="LBD44" s="481"/>
      <c r="LBE44" s="481"/>
      <c r="LBF44" s="481"/>
      <c r="LBG44" s="481"/>
      <c r="LBH44" s="481"/>
      <c r="LBI44" s="481"/>
      <c r="LBJ44" s="481"/>
      <c r="LBK44" s="481"/>
      <c r="LBL44" s="481"/>
      <c r="LBM44" s="481"/>
      <c r="LBN44" s="481"/>
      <c r="LBO44" s="481"/>
      <c r="LBP44" s="481"/>
      <c r="LBQ44" s="481"/>
      <c r="LBR44" s="481"/>
      <c r="LBS44" s="481"/>
      <c r="LBT44" s="481"/>
      <c r="LBU44" s="481"/>
      <c r="LBV44" s="481"/>
      <c r="LBW44" s="481"/>
      <c r="LBX44" s="481"/>
      <c r="LBY44" s="481"/>
      <c r="LBZ44" s="481"/>
      <c r="LCA44" s="481"/>
      <c r="LCB44" s="481"/>
      <c r="LCC44" s="481"/>
      <c r="LCD44" s="481"/>
      <c r="LCE44" s="481"/>
      <c r="LCF44" s="481"/>
      <c r="LCG44" s="481"/>
      <c r="LCH44" s="481"/>
      <c r="LCI44" s="481"/>
      <c r="LCJ44" s="481"/>
      <c r="LCK44" s="481"/>
      <c r="LCL44" s="481"/>
      <c r="LCM44" s="481"/>
      <c r="LCN44" s="481"/>
      <c r="LCO44" s="481"/>
      <c r="LCP44" s="481"/>
      <c r="LCQ44" s="481"/>
      <c r="LCR44" s="481"/>
      <c r="LCS44" s="481"/>
      <c r="LCT44" s="481"/>
      <c r="LCU44" s="481"/>
      <c r="LCV44" s="481"/>
      <c r="LCW44" s="481"/>
      <c r="LCX44" s="481"/>
      <c r="LCY44" s="481"/>
      <c r="LCZ44" s="481"/>
      <c r="LDA44" s="481"/>
      <c r="LDB44" s="481"/>
      <c r="LDC44" s="481"/>
      <c r="LDD44" s="481"/>
      <c r="LDE44" s="481"/>
      <c r="LDF44" s="481"/>
      <c r="LDG44" s="481"/>
      <c r="LDH44" s="481"/>
      <c r="LDI44" s="481"/>
      <c r="LDJ44" s="481"/>
      <c r="LDK44" s="481"/>
      <c r="LDL44" s="481"/>
      <c r="LDM44" s="481"/>
      <c r="LDN44" s="481"/>
      <c r="LDO44" s="481"/>
      <c r="LDP44" s="481"/>
      <c r="LDQ44" s="481"/>
      <c r="LDR44" s="481"/>
      <c r="LDS44" s="481"/>
      <c r="LDT44" s="481"/>
      <c r="LDU44" s="481"/>
      <c r="LDV44" s="481"/>
      <c r="LDW44" s="481"/>
      <c r="LDX44" s="481"/>
      <c r="LDY44" s="481"/>
      <c r="LDZ44" s="481"/>
      <c r="LEA44" s="481"/>
      <c r="LEB44" s="481"/>
      <c r="LEC44" s="481"/>
      <c r="LED44" s="481"/>
      <c r="LEE44" s="481"/>
      <c r="LEF44" s="481"/>
      <c r="LEG44" s="481"/>
      <c r="LEH44" s="481"/>
      <c r="LEI44" s="481"/>
      <c r="LEJ44" s="481"/>
      <c r="LEK44" s="481"/>
      <c r="LEL44" s="481"/>
      <c r="LEM44" s="481"/>
      <c r="LEN44" s="481"/>
      <c r="LEO44" s="481"/>
      <c r="LEP44" s="481"/>
      <c r="LEQ44" s="481"/>
      <c r="LER44" s="481"/>
      <c r="LES44" s="481"/>
      <c r="LET44" s="481"/>
      <c r="LEU44" s="481"/>
      <c r="LEV44" s="481"/>
      <c r="LEW44" s="481"/>
      <c r="LEX44" s="481"/>
      <c r="LEY44" s="481"/>
      <c r="LEZ44" s="481"/>
      <c r="LFA44" s="481"/>
      <c r="LFB44" s="481"/>
      <c r="LFC44" s="481"/>
      <c r="LFD44" s="481"/>
      <c r="LFE44" s="481"/>
      <c r="LFF44" s="481"/>
      <c r="LFG44" s="481"/>
      <c r="LFH44" s="481"/>
      <c r="LFI44" s="481"/>
      <c r="LFJ44" s="481"/>
      <c r="LFK44" s="481"/>
      <c r="LFL44" s="481"/>
      <c r="LFM44" s="481"/>
      <c r="LFN44" s="481"/>
      <c r="LFO44" s="481"/>
      <c r="LFP44" s="481"/>
      <c r="LFQ44" s="481"/>
      <c r="LFR44" s="481"/>
      <c r="LFS44" s="481"/>
      <c r="LFT44" s="481"/>
      <c r="LFU44" s="481"/>
      <c r="LFV44" s="481"/>
      <c r="LFW44" s="481"/>
      <c r="LFX44" s="481"/>
      <c r="LFY44" s="481"/>
      <c r="LFZ44" s="481"/>
      <c r="LGA44" s="481"/>
      <c r="LGB44" s="481"/>
      <c r="LGC44" s="481"/>
      <c r="LGD44" s="481"/>
      <c r="LGE44" s="481"/>
      <c r="LGF44" s="481"/>
      <c r="LGG44" s="481"/>
      <c r="LGH44" s="481"/>
      <c r="LGI44" s="481"/>
      <c r="LGJ44" s="481"/>
      <c r="LGK44" s="481"/>
      <c r="LGL44" s="481"/>
      <c r="LGM44" s="481"/>
      <c r="LGN44" s="481"/>
      <c r="LGO44" s="481"/>
      <c r="LGP44" s="481"/>
      <c r="LGQ44" s="481"/>
      <c r="LGR44" s="481"/>
      <c r="LGS44" s="481"/>
      <c r="LGT44" s="481"/>
      <c r="LGU44" s="481"/>
      <c r="LGV44" s="481"/>
      <c r="LGW44" s="481"/>
      <c r="LGX44" s="481"/>
      <c r="LGY44" s="481"/>
      <c r="LGZ44" s="481"/>
      <c r="LHA44" s="481"/>
      <c r="LHB44" s="481"/>
      <c r="LHC44" s="481"/>
      <c r="LHD44" s="481"/>
      <c r="LHE44" s="481"/>
      <c r="LHF44" s="481"/>
      <c r="LHG44" s="481"/>
      <c r="LHH44" s="481"/>
      <c r="LHI44" s="481"/>
      <c r="LHJ44" s="481"/>
      <c r="LHK44" s="481"/>
      <c r="LHL44" s="481"/>
      <c r="LHM44" s="481"/>
      <c r="LHN44" s="481"/>
      <c r="LHO44" s="481"/>
      <c r="LHP44" s="481"/>
      <c r="LHQ44" s="481"/>
      <c r="LHR44" s="481"/>
      <c r="LHS44" s="481"/>
      <c r="LHT44" s="481"/>
      <c r="LHU44" s="481"/>
      <c r="LHV44" s="481"/>
      <c r="LHW44" s="481"/>
      <c r="LHX44" s="481"/>
      <c r="LHY44" s="481"/>
      <c r="LHZ44" s="481"/>
      <c r="LIA44" s="481"/>
      <c r="LIB44" s="481"/>
      <c r="LIC44" s="481"/>
      <c r="LID44" s="481"/>
      <c r="LIE44" s="481"/>
      <c r="LIF44" s="481"/>
      <c r="LIG44" s="481"/>
      <c r="LIH44" s="481"/>
      <c r="LII44" s="481"/>
      <c r="LIJ44" s="481"/>
      <c r="LIK44" s="481"/>
      <c r="LIL44" s="481"/>
      <c r="LIM44" s="481"/>
      <c r="LIN44" s="481"/>
      <c r="LIO44" s="481"/>
      <c r="LIP44" s="481"/>
      <c r="LIQ44" s="481"/>
      <c r="LIR44" s="481"/>
      <c r="LIS44" s="481"/>
      <c r="LIT44" s="481"/>
      <c r="LIU44" s="481"/>
      <c r="LIV44" s="481"/>
      <c r="LIW44" s="481"/>
      <c r="LIX44" s="481"/>
      <c r="LIY44" s="481"/>
      <c r="LIZ44" s="481"/>
      <c r="LJA44" s="481"/>
      <c r="LJB44" s="481"/>
      <c r="LJC44" s="481"/>
      <c r="LJD44" s="481"/>
      <c r="LJE44" s="481"/>
      <c r="LJF44" s="481"/>
      <c r="LJG44" s="481"/>
      <c r="LJH44" s="481"/>
      <c r="LJI44" s="481"/>
      <c r="LJJ44" s="481"/>
      <c r="LJK44" s="481"/>
      <c r="LJL44" s="481"/>
      <c r="LJM44" s="481"/>
      <c r="LJN44" s="481"/>
      <c r="LJO44" s="481"/>
      <c r="LJP44" s="481"/>
      <c r="LJQ44" s="481"/>
      <c r="LJR44" s="481"/>
      <c r="LJS44" s="481"/>
      <c r="LJT44" s="481"/>
      <c r="LJU44" s="481"/>
      <c r="LJV44" s="481"/>
      <c r="LJW44" s="481"/>
      <c r="LJX44" s="481"/>
      <c r="LJY44" s="481"/>
      <c r="LJZ44" s="481"/>
      <c r="LKA44" s="481"/>
      <c r="LKB44" s="481"/>
      <c r="LKC44" s="481"/>
      <c r="LKD44" s="481"/>
      <c r="LKE44" s="481"/>
      <c r="LKF44" s="481"/>
      <c r="LKG44" s="481"/>
      <c r="LKH44" s="481"/>
      <c r="LKI44" s="481"/>
      <c r="LKJ44" s="481"/>
      <c r="LKK44" s="481"/>
      <c r="LKL44" s="481"/>
      <c r="LKM44" s="481"/>
      <c r="LKN44" s="481"/>
      <c r="LKO44" s="481"/>
      <c r="LKP44" s="481"/>
      <c r="LKQ44" s="481"/>
      <c r="LKR44" s="481"/>
      <c r="LKS44" s="481"/>
      <c r="LKT44" s="481"/>
      <c r="LKU44" s="481"/>
      <c r="LKV44" s="481"/>
      <c r="LKW44" s="481"/>
      <c r="LKX44" s="481"/>
      <c r="LKY44" s="481"/>
      <c r="LKZ44" s="481"/>
      <c r="LLA44" s="481"/>
      <c r="LLB44" s="481"/>
      <c r="LLC44" s="481"/>
      <c r="LLD44" s="481"/>
      <c r="LLE44" s="481"/>
      <c r="LLF44" s="481"/>
      <c r="LLG44" s="481"/>
      <c r="LLH44" s="481"/>
      <c r="LLI44" s="481"/>
      <c r="LLJ44" s="481"/>
      <c r="LLK44" s="481"/>
      <c r="LLL44" s="481"/>
      <c r="LLM44" s="481"/>
      <c r="LLN44" s="481"/>
      <c r="LLO44" s="481"/>
      <c r="LLP44" s="481"/>
      <c r="LLQ44" s="481"/>
      <c r="LLR44" s="481"/>
      <c r="LLS44" s="481"/>
      <c r="LLT44" s="481"/>
      <c r="LLU44" s="481"/>
      <c r="LLV44" s="481"/>
      <c r="LLW44" s="481"/>
      <c r="LLX44" s="481"/>
      <c r="LLY44" s="481"/>
      <c r="LLZ44" s="481"/>
      <c r="LMA44" s="481"/>
      <c r="LMB44" s="481"/>
      <c r="LMC44" s="481"/>
      <c r="LMD44" s="481"/>
      <c r="LME44" s="481"/>
      <c r="LMF44" s="481"/>
      <c r="LMG44" s="481"/>
      <c r="LMH44" s="481"/>
      <c r="LMI44" s="481"/>
      <c r="LMJ44" s="481"/>
      <c r="LMK44" s="481"/>
      <c r="LML44" s="481"/>
      <c r="LMM44" s="481"/>
      <c r="LMN44" s="481"/>
      <c r="LMO44" s="481"/>
      <c r="LMP44" s="481"/>
      <c r="LMQ44" s="481"/>
      <c r="LMR44" s="481"/>
      <c r="LMS44" s="481"/>
      <c r="LMT44" s="481"/>
      <c r="LMU44" s="481"/>
      <c r="LMV44" s="481"/>
      <c r="LMW44" s="481"/>
      <c r="LMX44" s="481"/>
      <c r="LMY44" s="481"/>
      <c r="LMZ44" s="481"/>
      <c r="LNA44" s="481"/>
      <c r="LNB44" s="481"/>
      <c r="LNC44" s="481"/>
      <c r="LND44" s="481"/>
      <c r="LNE44" s="481"/>
      <c r="LNF44" s="481"/>
      <c r="LNG44" s="481"/>
      <c r="LNH44" s="481"/>
      <c r="LNI44" s="481"/>
      <c r="LNJ44" s="481"/>
      <c r="LNK44" s="481"/>
      <c r="LNL44" s="481"/>
      <c r="LNM44" s="481"/>
      <c r="LNN44" s="481"/>
      <c r="LNO44" s="481"/>
      <c r="LNP44" s="481"/>
      <c r="LNQ44" s="481"/>
      <c r="LNR44" s="481"/>
      <c r="LNS44" s="481"/>
      <c r="LNT44" s="481"/>
      <c r="LNU44" s="481"/>
      <c r="LNV44" s="481"/>
      <c r="LNW44" s="481"/>
      <c r="LNX44" s="481"/>
      <c r="LNY44" s="481"/>
      <c r="LNZ44" s="481"/>
      <c r="LOA44" s="481"/>
      <c r="LOB44" s="481"/>
      <c r="LOC44" s="481"/>
      <c r="LOD44" s="481"/>
      <c r="LOE44" s="481"/>
      <c r="LOF44" s="481"/>
      <c r="LOG44" s="481"/>
      <c r="LOH44" s="481"/>
      <c r="LOI44" s="481"/>
      <c r="LOJ44" s="481"/>
      <c r="LOK44" s="481"/>
      <c r="LOL44" s="481"/>
      <c r="LOM44" s="481"/>
      <c r="LON44" s="481"/>
      <c r="LOO44" s="481"/>
      <c r="LOP44" s="481"/>
      <c r="LOQ44" s="481"/>
      <c r="LOR44" s="481"/>
      <c r="LOS44" s="481"/>
      <c r="LOT44" s="481"/>
      <c r="LOU44" s="481"/>
      <c r="LOV44" s="481"/>
      <c r="LOW44" s="481"/>
      <c r="LOX44" s="481"/>
      <c r="LOY44" s="481"/>
      <c r="LOZ44" s="481"/>
      <c r="LPA44" s="481"/>
      <c r="LPB44" s="481"/>
      <c r="LPC44" s="481"/>
      <c r="LPD44" s="481"/>
      <c r="LPE44" s="481"/>
      <c r="LPF44" s="481"/>
      <c r="LPG44" s="481"/>
      <c r="LPH44" s="481"/>
      <c r="LPI44" s="481"/>
      <c r="LPJ44" s="481"/>
      <c r="LPK44" s="481"/>
      <c r="LPL44" s="481"/>
      <c r="LPM44" s="481"/>
      <c r="LPN44" s="481"/>
      <c r="LPO44" s="481"/>
      <c r="LPP44" s="481"/>
      <c r="LPQ44" s="481"/>
      <c r="LPR44" s="481"/>
      <c r="LPS44" s="481"/>
      <c r="LPT44" s="481"/>
      <c r="LPU44" s="481"/>
      <c r="LPV44" s="481"/>
      <c r="LPW44" s="481"/>
      <c r="LPX44" s="481"/>
      <c r="LPY44" s="481"/>
      <c r="LPZ44" s="481"/>
      <c r="LQA44" s="481"/>
      <c r="LQB44" s="481"/>
      <c r="LQC44" s="481"/>
      <c r="LQD44" s="481"/>
      <c r="LQE44" s="481"/>
      <c r="LQF44" s="481"/>
      <c r="LQG44" s="481"/>
      <c r="LQH44" s="481"/>
      <c r="LQI44" s="481"/>
      <c r="LQJ44" s="481"/>
      <c r="LQK44" s="481"/>
      <c r="LQL44" s="481"/>
      <c r="LQM44" s="481"/>
      <c r="LQN44" s="481"/>
      <c r="LQO44" s="481"/>
      <c r="LQP44" s="481"/>
      <c r="LQQ44" s="481"/>
      <c r="LQR44" s="481"/>
      <c r="LQS44" s="481"/>
      <c r="LQT44" s="481"/>
      <c r="LQU44" s="481"/>
      <c r="LQV44" s="481"/>
      <c r="LQW44" s="481"/>
      <c r="LQX44" s="481"/>
      <c r="LQY44" s="481"/>
      <c r="LQZ44" s="481"/>
      <c r="LRA44" s="481"/>
      <c r="LRB44" s="481"/>
      <c r="LRC44" s="481"/>
      <c r="LRD44" s="481"/>
      <c r="LRE44" s="481"/>
      <c r="LRF44" s="481"/>
      <c r="LRG44" s="481"/>
      <c r="LRH44" s="481"/>
      <c r="LRI44" s="481"/>
      <c r="LRJ44" s="481"/>
      <c r="LRK44" s="481"/>
      <c r="LRL44" s="481"/>
      <c r="LRM44" s="481"/>
      <c r="LRN44" s="481"/>
      <c r="LRO44" s="481"/>
      <c r="LRP44" s="481"/>
      <c r="LRQ44" s="481"/>
      <c r="LRR44" s="481"/>
      <c r="LRS44" s="481"/>
      <c r="LRT44" s="481"/>
      <c r="LRU44" s="481"/>
      <c r="LRV44" s="481"/>
      <c r="LRW44" s="481"/>
      <c r="LRX44" s="481"/>
      <c r="LRY44" s="481"/>
      <c r="LRZ44" s="481"/>
      <c r="LSA44" s="481"/>
      <c r="LSB44" s="481"/>
      <c r="LSC44" s="481"/>
      <c r="LSD44" s="481"/>
      <c r="LSE44" s="481"/>
      <c r="LSF44" s="481"/>
      <c r="LSG44" s="481"/>
      <c r="LSH44" s="481"/>
      <c r="LSI44" s="481"/>
      <c r="LSJ44" s="481"/>
      <c r="LSK44" s="481"/>
      <c r="LSL44" s="481"/>
      <c r="LSM44" s="481"/>
      <c r="LSN44" s="481"/>
      <c r="LSO44" s="481"/>
      <c r="LSP44" s="481"/>
      <c r="LSQ44" s="481"/>
      <c r="LSR44" s="481"/>
      <c r="LSS44" s="481"/>
      <c r="LST44" s="481"/>
      <c r="LSU44" s="481"/>
      <c r="LSV44" s="481"/>
      <c r="LSW44" s="481"/>
      <c r="LSX44" s="481"/>
      <c r="LSY44" s="481"/>
      <c r="LSZ44" s="481"/>
      <c r="LTA44" s="481"/>
      <c r="LTB44" s="481"/>
      <c r="LTC44" s="481"/>
      <c r="LTD44" s="481"/>
      <c r="LTE44" s="481"/>
      <c r="LTF44" s="481"/>
      <c r="LTG44" s="481"/>
      <c r="LTH44" s="481"/>
      <c r="LTI44" s="481"/>
      <c r="LTJ44" s="481"/>
      <c r="LTK44" s="481"/>
      <c r="LTL44" s="481"/>
      <c r="LTM44" s="481"/>
      <c r="LTN44" s="481"/>
      <c r="LTO44" s="481"/>
      <c r="LTP44" s="481"/>
      <c r="LTQ44" s="481"/>
      <c r="LTR44" s="481"/>
      <c r="LTS44" s="481"/>
      <c r="LTT44" s="481"/>
      <c r="LTU44" s="481"/>
      <c r="LTV44" s="481"/>
      <c r="LTW44" s="481"/>
      <c r="LTX44" s="481"/>
      <c r="LTY44" s="481"/>
      <c r="LTZ44" s="481"/>
      <c r="LUA44" s="481"/>
      <c r="LUB44" s="481"/>
      <c r="LUC44" s="481"/>
      <c r="LUD44" s="481"/>
      <c r="LUE44" s="481"/>
      <c r="LUF44" s="481"/>
      <c r="LUG44" s="481"/>
      <c r="LUH44" s="481"/>
      <c r="LUI44" s="481"/>
      <c r="LUJ44" s="481"/>
      <c r="LUK44" s="481"/>
      <c r="LUL44" s="481"/>
      <c r="LUM44" s="481"/>
      <c r="LUN44" s="481"/>
      <c r="LUO44" s="481"/>
      <c r="LUP44" s="481"/>
      <c r="LUQ44" s="481"/>
      <c r="LUR44" s="481"/>
      <c r="LUS44" s="481"/>
      <c r="LUT44" s="481"/>
      <c r="LUU44" s="481"/>
      <c r="LUV44" s="481"/>
      <c r="LUW44" s="481"/>
      <c r="LUX44" s="481"/>
      <c r="LUY44" s="481"/>
      <c r="LUZ44" s="481"/>
      <c r="LVA44" s="481"/>
      <c r="LVB44" s="481"/>
      <c r="LVC44" s="481"/>
      <c r="LVD44" s="481"/>
      <c r="LVE44" s="481"/>
      <c r="LVF44" s="481"/>
      <c r="LVG44" s="481"/>
      <c r="LVH44" s="481"/>
      <c r="LVI44" s="481"/>
      <c r="LVJ44" s="481"/>
      <c r="LVK44" s="481"/>
      <c r="LVL44" s="481"/>
      <c r="LVM44" s="481"/>
      <c r="LVN44" s="481"/>
      <c r="LVO44" s="481"/>
      <c r="LVP44" s="481"/>
      <c r="LVQ44" s="481"/>
      <c r="LVR44" s="481"/>
      <c r="LVS44" s="481"/>
      <c r="LVT44" s="481"/>
      <c r="LVU44" s="481"/>
      <c r="LVV44" s="481"/>
      <c r="LVW44" s="481"/>
      <c r="LVX44" s="481"/>
      <c r="LVY44" s="481"/>
      <c r="LVZ44" s="481"/>
      <c r="LWA44" s="481"/>
      <c r="LWB44" s="481"/>
      <c r="LWC44" s="481"/>
      <c r="LWD44" s="481"/>
      <c r="LWE44" s="481"/>
      <c r="LWF44" s="481"/>
      <c r="LWG44" s="481"/>
      <c r="LWH44" s="481"/>
      <c r="LWI44" s="481"/>
      <c r="LWJ44" s="481"/>
      <c r="LWK44" s="481"/>
      <c r="LWL44" s="481"/>
      <c r="LWM44" s="481"/>
      <c r="LWN44" s="481"/>
      <c r="LWO44" s="481"/>
      <c r="LWP44" s="481"/>
      <c r="LWQ44" s="481"/>
      <c r="LWR44" s="481"/>
      <c r="LWS44" s="481"/>
      <c r="LWT44" s="481"/>
      <c r="LWU44" s="481"/>
      <c r="LWV44" s="481"/>
      <c r="LWW44" s="481"/>
      <c r="LWX44" s="481"/>
      <c r="LWY44" s="481"/>
      <c r="LWZ44" s="481"/>
      <c r="LXA44" s="481"/>
      <c r="LXB44" s="481"/>
      <c r="LXC44" s="481"/>
      <c r="LXD44" s="481"/>
      <c r="LXE44" s="481"/>
      <c r="LXF44" s="481"/>
      <c r="LXG44" s="481"/>
      <c r="LXH44" s="481"/>
      <c r="LXI44" s="481"/>
      <c r="LXJ44" s="481"/>
      <c r="LXK44" s="481"/>
      <c r="LXL44" s="481"/>
      <c r="LXM44" s="481"/>
      <c r="LXN44" s="481"/>
      <c r="LXO44" s="481"/>
      <c r="LXP44" s="481"/>
      <c r="LXQ44" s="481"/>
      <c r="LXR44" s="481"/>
      <c r="LXS44" s="481"/>
      <c r="LXT44" s="481"/>
      <c r="LXU44" s="481"/>
      <c r="LXV44" s="481"/>
      <c r="LXW44" s="481"/>
      <c r="LXX44" s="481"/>
      <c r="LXY44" s="481"/>
      <c r="LXZ44" s="481"/>
      <c r="LYA44" s="481"/>
      <c r="LYB44" s="481"/>
      <c r="LYC44" s="481"/>
      <c r="LYD44" s="481"/>
      <c r="LYE44" s="481"/>
      <c r="LYF44" s="481"/>
      <c r="LYG44" s="481"/>
      <c r="LYH44" s="481"/>
      <c r="LYI44" s="481"/>
      <c r="LYJ44" s="481"/>
      <c r="LYK44" s="481"/>
      <c r="LYL44" s="481"/>
      <c r="LYM44" s="481"/>
      <c r="LYN44" s="481"/>
      <c r="LYO44" s="481"/>
      <c r="LYP44" s="481"/>
      <c r="LYQ44" s="481"/>
      <c r="LYR44" s="481"/>
      <c r="LYS44" s="481"/>
      <c r="LYT44" s="481"/>
      <c r="LYU44" s="481"/>
      <c r="LYV44" s="481"/>
      <c r="LYW44" s="481"/>
      <c r="LYX44" s="481"/>
      <c r="LYY44" s="481"/>
      <c r="LYZ44" s="481"/>
      <c r="LZA44" s="481"/>
      <c r="LZB44" s="481"/>
      <c r="LZC44" s="481"/>
      <c r="LZD44" s="481"/>
      <c r="LZE44" s="481"/>
      <c r="LZF44" s="481"/>
      <c r="LZG44" s="481"/>
      <c r="LZH44" s="481"/>
      <c r="LZI44" s="481"/>
      <c r="LZJ44" s="481"/>
      <c r="LZK44" s="481"/>
      <c r="LZL44" s="481"/>
      <c r="LZM44" s="481"/>
      <c r="LZN44" s="481"/>
      <c r="LZO44" s="481"/>
      <c r="LZP44" s="481"/>
      <c r="LZQ44" s="481"/>
      <c r="LZR44" s="481"/>
      <c r="LZS44" s="481"/>
      <c r="LZT44" s="481"/>
      <c r="LZU44" s="481"/>
      <c r="LZV44" s="481"/>
      <c r="LZW44" s="481"/>
      <c r="LZX44" s="481"/>
      <c r="LZY44" s="481"/>
      <c r="LZZ44" s="481"/>
      <c r="MAA44" s="481"/>
      <c r="MAB44" s="481"/>
      <c r="MAC44" s="481"/>
      <c r="MAD44" s="481"/>
      <c r="MAE44" s="481"/>
      <c r="MAF44" s="481"/>
      <c r="MAG44" s="481"/>
      <c r="MAH44" s="481"/>
      <c r="MAI44" s="481"/>
      <c r="MAJ44" s="481"/>
      <c r="MAK44" s="481"/>
      <c r="MAL44" s="481"/>
      <c r="MAM44" s="481"/>
      <c r="MAN44" s="481"/>
      <c r="MAO44" s="481"/>
      <c r="MAP44" s="481"/>
      <c r="MAQ44" s="481"/>
      <c r="MAR44" s="481"/>
      <c r="MAS44" s="481"/>
      <c r="MAT44" s="481"/>
      <c r="MAU44" s="481"/>
      <c r="MAV44" s="481"/>
      <c r="MAW44" s="481"/>
      <c r="MAX44" s="481"/>
      <c r="MAY44" s="481"/>
      <c r="MAZ44" s="481"/>
      <c r="MBA44" s="481"/>
      <c r="MBB44" s="481"/>
      <c r="MBC44" s="481"/>
      <c r="MBD44" s="481"/>
      <c r="MBE44" s="481"/>
      <c r="MBF44" s="481"/>
      <c r="MBG44" s="481"/>
      <c r="MBH44" s="481"/>
      <c r="MBI44" s="481"/>
      <c r="MBJ44" s="481"/>
      <c r="MBK44" s="481"/>
      <c r="MBL44" s="481"/>
      <c r="MBM44" s="481"/>
      <c r="MBN44" s="481"/>
      <c r="MBO44" s="481"/>
      <c r="MBP44" s="481"/>
      <c r="MBQ44" s="481"/>
      <c r="MBR44" s="481"/>
      <c r="MBS44" s="481"/>
      <c r="MBT44" s="481"/>
      <c r="MBU44" s="481"/>
      <c r="MBV44" s="481"/>
      <c r="MBW44" s="481"/>
      <c r="MBX44" s="481"/>
      <c r="MBY44" s="481"/>
      <c r="MBZ44" s="481"/>
      <c r="MCA44" s="481"/>
      <c r="MCB44" s="481"/>
      <c r="MCC44" s="481"/>
      <c r="MCD44" s="481"/>
      <c r="MCE44" s="481"/>
      <c r="MCF44" s="481"/>
      <c r="MCG44" s="481"/>
      <c r="MCH44" s="481"/>
      <c r="MCI44" s="481"/>
      <c r="MCJ44" s="481"/>
      <c r="MCK44" s="481"/>
      <c r="MCL44" s="481"/>
      <c r="MCM44" s="481"/>
      <c r="MCN44" s="481"/>
      <c r="MCO44" s="481"/>
      <c r="MCP44" s="481"/>
      <c r="MCQ44" s="481"/>
      <c r="MCR44" s="481"/>
      <c r="MCS44" s="481"/>
      <c r="MCT44" s="481"/>
      <c r="MCU44" s="481"/>
      <c r="MCV44" s="481"/>
      <c r="MCW44" s="481"/>
      <c r="MCX44" s="481"/>
      <c r="MCY44" s="481"/>
      <c r="MCZ44" s="481"/>
      <c r="MDA44" s="481"/>
      <c r="MDB44" s="481"/>
      <c r="MDC44" s="481"/>
      <c r="MDD44" s="481"/>
      <c r="MDE44" s="481"/>
      <c r="MDF44" s="481"/>
      <c r="MDG44" s="481"/>
      <c r="MDH44" s="481"/>
      <c r="MDI44" s="481"/>
      <c r="MDJ44" s="481"/>
      <c r="MDK44" s="481"/>
      <c r="MDL44" s="481"/>
      <c r="MDM44" s="481"/>
      <c r="MDN44" s="481"/>
      <c r="MDO44" s="481"/>
      <c r="MDP44" s="481"/>
      <c r="MDQ44" s="481"/>
      <c r="MDR44" s="481"/>
      <c r="MDS44" s="481"/>
      <c r="MDT44" s="481"/>
      <c r="MDU44" s="481"/>
      <c r="MDV44" s="481"/>
      <c r="MDW44" s="481"/>
      <c r="MDX44" s="481"/>
      <c r="MDY44" s="481"/>
      <c r="MDZ44" s="481"/>
      <c r="MEA44" s="481"/>
      <c r="MEB44" s="481"/>
      <c r="MEC44" s="481"/>
      <c r="MED44" s="481"/>
      <c r="MEE44" s="481"/>
      <c r="MEF44" s="481"/>
      <c r="MEG44" s="481"/>
      <c r="MEH44" s="481"/>
      <c r="MEI44" s="481"/>
      <c r="MEJ44" s="481"/>
      <c r="MEK44" s="481"/>
      <c r="MEL44" s="481"/>
      <c r="MEM44" s="481"/>
      <c r="MEN44" s="481"/>
      <c r="MEO44" s="481"/>
      <c r="MEP44" s="481"/>
      <c r="MEQ44" s="481"/>
      <c r="MER44" s="481"/>
      <c r="MES44" s="481"/>
      <c r="MET44" s="481"/>
      <c r="MEU44" s="481"/>
      <c r="MEV44" s="481"/>
      <c r="MEW44" s="481"/>
      <c r="MEX44" s="481"/>
      <c r="MEY44" s="481"/>
      <c r="MEZ44" s="481"/>
      <c r="MFA44" s="481"/>
      <c r="MFB44" s="481"/>
      <c r="MFC44" s="481"/>
      <c r="MFD44" s="481"/>
      <c r="MFE44" s="481"/>
      <c r="MFF44" s="481"/>
      <c r="MFG44" s="481"/>
      <c r="MFH44" s="481"/>
      <c r="MFI44" s="481"/>
      <c r="MFJ44" s="481"/>
      <c r="MFK44" s="481"/>
      <c r="MFL44" s="481"/>
      <c r="MFM44" s="481"/>
      <c r="MFN44" s="481"/>
      <c r="MFO44" s="481"/>
      <c r="MFP44" s="481"/>
      <c r="MFQ44" s="481"/>
      <c r="MFR44" s="481"/>
      <c r="MFS44" s="481"/>
      <c r="MFT44" s="481"/>
      <c r="MFU44" s="481"/>
      <c r="MFV44" s="481"/>
      <c r="MFW44" s="481"/>
      <c r="MFX44" s="481"/>
      <c r="MFY44" s="481"/>
      <c r="MFZ44" s="481"/>
      <c r="MGA44" s="481"/>
      <c r="MGB44" s="481"/>
      <c r="MGC44" s="481"/>
      <c r="MGD44" s="481"/>
      <c r="MGE44" s="481"/>
      <c r="MGF44" s="481"/>
      <c r="MGG44" s="481"/>
      <c r="MGH44" s="481"/>
      <c r="MGI44" s="481"/>
      <c r="MGJ44" s="481"/>
      <c r="MGK44" s="481"/>
      <c r="MGL44" s="481"/>
      <c r="MGM44" s="481"/>
      <c r="MGN44" s="481"/>
      <c r="MGO44" s="481"/>
      <c r="MGP44" s="481"/>
      <c r="MGQ44" s="481"/>
      <c r="MGR44" s="481"/>
      <c r="MGS44" s="481"/>
      <c r="MGT44" s="481"/>
      <c r="MGU44" s="481"/>
      <c r="MGV44" s="481"/>
      <c r="MGW44" s="481"/>
      <c r="MGX44" s="481"/>
      <c r="MGY44" s="481"/>
      <c r="MGZ44" s="481"/>
      <c r="MHA44" s="481"/>
      <c r="MHB44" s="481"/>
      <c r="MHC44" s="481"/>
      <c r="MHD44" s="481"/>
      <c r="MHE44" s="481"/>
      <c r="MHF44" s="481"/>
      <c r="MHG44" s="481"/>
      <c r="MHH44" s="481"/>
      <c r="MHI44" s="481"/>
      <c r="MHJ44" s="481"/>
      <c r="MHK44" s="481"/>
      <c r="MHL44" s="481"/>
      <c r="MHM44" s="481"/>
      <c r="MHN44" s="481"/>
      <c r="MHO44" s="481"/>
      <c r="MHP44" s="481"/>
      <c r="MHQ44" s="481"/>
      <c r="MHR44" s="481"/>
      <c r="MHS44" s="481"/>
      <c r="MHT44" s="481"/>
      <c r="MHU44" s="481"/>
      <c r="MHV44" s="481"/>
      <c r="MHW44" s="481"/>
      <c r="MHX44" s="481"/>
      <c r="MHY44" s="481"/>
      <c r="MHZ44" s="481"/>
      <c r="MIA44" s="481"/>
      <c r="MIB44" s="481"/>
      <c r="MIC44" s="481"/>
      <c r="MID44" s="481"/>
      <c r="MIE44" s="481"/>
      <c r="MIF44" s="481"/>
      <c r="MIG44" s="481"/>
      <c r="MIH44" s="481"/>
      <c r="MII44" s="481"/>
      <c r="MIJ44" s="481"/>
      <c r="MIK44" s="481"/>
      <c r="MIL44" s="481"/>
      <c r="MIM44" s="481"/>
      <c r="MIN44" s="481"/>
      <c r="MIO44" s="481"/>
      <c r="MIP44" s="481"/>
      <c r="MIQ44" s="481"/>
      <c r="MIR44" s="481"/>
      <c r="MIS44" s="481"/>
      <c r="MIT44" s="481"/>
      <c r="MIU44" s="481"/>
      <c r="MIV44" s="481"/>
      <c r="MIW44" s="481"/>
      <c r="MIX44" s="481"/>
      <c r="MIY44" s="481"/>
      <c r="MIZ44" s="481"/>
      <c r="MJA44" s="481"/>
      <c r="MJB44" s="481"/>
      <c r="MJC44" s="481"/>
      <c r="MJD44" s="481"/>
      <c r="MJE44" s="481"/>
      <c r="MJF44" s="481"/>
      <c r="MJG44" s="481"/>
      <c r="MJH44" s="481"/>
      <c r="MJI44" s="481"/>
      <c r="MJJ44" s="481"/>
      <c r="MJK44" s="481"/>
      <c r="MJL44" s="481"/>
      <c r="MJM44" s="481"/>
      <c r="MJN44" s="481"/>
      <c r="MJO44" s="481"/>
      <c r="MJP44" s="481"/>
      <c r="MJQ44" s="481"/>
      <c r="MJR44" s="481"/>
      <c r="MJS44" s="481"/>
      <c r="MJT44" s="481"/>
      <c r="MJU44" s="481"/>
      <c r="MJV44" s="481"/>
      <c r="MJW44" s="481"/>
      <c r="MJX44" s="481"/>
      <c r="MJY44" s="481"/>
      <c r="MJZ44" s="481"/>
      <c r="MKA44" s="481"/>
      <c r="MKB44" s="481"/>
      <c r="MKC44" s="481"/>
      <c r="MKD44" s="481"/>
      <c r="MKE44" s="481"/>
      <c r="MKF44" s="481"/>
      <c r="MKG44" s="481"/>
      <c r="MKH44" s="481"/>
      <c r="MKI44" s="481"/>
      <c r="MKJ44" s="481"/>
      <c r="MKK44" s="481"/>
      <c r="MKL44" s="481"/>
      <c r="MKM44" s="481"/>
      <c r="MKN44" s="481"/>
      <c r="MKO44" s="481"/>
      <c r="MKP44" s="481"/>
      <c r="MKQ44" s="481"/>
      <c r="MKR44" s="481"/>
      <c r="MKS44" s="481"/>
      <c r="MKT44" s="481"/>
      <c r="MKU44" s="481"/>
      <c r="MKV44" s="481"/>
      <c r="MKW44" s="481"/>
      <c r="MKX44" s="481"/>
      <c r="MKY44" s="481"/>
      <c r="MKZ44" s="481"/>
      <c r="MLA44" s="481"/>
      <c r="MLB44" s="481"/>
      <c r="MLC44" s="481"/>
      <c r="MLD44" s="481"/>
      <c r="MLE44" s="481"/>
      <c r="MLF44" s="481"/>
      <c r="MLG44" s="481"/>
      <c r="MLH44" s="481"/>
      <c r="MLI44" s="481"/>
      <c r="MLJ44" s="481"/>
      <c r="MLK44" s="481"/>
      <c r="MLL44" s="481"/>
      <c r="MLM44" s="481"/>
      <c r="MLN44" s="481"/>
      <c r="MLO44" s="481"/>
      <c r="MLP44" s="481"/>
      <c r="MLQ44" s="481"/>
      <c r="MLR44" s="481"/>
      <c r="MLS44" s="481"/>
      <c r="MLT44" s="481"/>
      <c r="MLU44" s="481"/>
      <c r="MLV44" s="481"/>
      <c r="MLW44" s="481"/>
      <c r="MLX44" s="481"/>
      <c r="MLY44" s="481"/>
      <c r="MLZ44" s="481"/>
      <c r="MMA44" s="481"/>
      <c r="MMB44" s="481"/>
      <c r="MMC44" s="481"/>
      <c r="MMD44" s="481"/>
      <c r="MME44" s="481"/>
      <c r="MMF44" s="481"/>
      <c r="MMG44" s="481"/>
      <c r="MMH44" s="481"/>
      <c r="MMI44" s="481"/>
      <c r="MMJ44" s="481"/>
      <c r="MMK44" s="481"/>
      <c r="MML44" s="481"/>
      <c r="MMM44" s="481"/>
      <c r="MMN44" s="481"/>
      <c r="MMO44" s="481"/>
      <c r="MMP44" s="481"/>
      <c r="MMQ44" s="481"/>
      <c r="MMR44" s="481"/>
      <c r="MMS44" s="481"/>
      <c r="MMT44" s="481"/>
      <c r="MMU44" s="481"/>
      <c r="MMV44" s="481"/>
      <c r="MMW44" s="481"/>
      <c r="MMX44" s="481"/>
      <c r="MMY44" s="481"/>
      <c r="MMZ44" s="481"/>
      <c r="MNA44" s="481"/>
      <c r="MNB44" s="481"/>
      <c r="MNC44" s="481"/>
      <c r="MND44" s="481"/>
      <c r="MNE44" s="481"/>
      <c r="MNF44" s="481"/>
      <c r="MNG44" s="481"/>
      <c r="MNH44" s="481"/>
      <c r="MNI44" s="481"/>
      <c r="MNJ44" s="481"/>
      <c r="MNK44" s="481"/>
      <c r="MNL44" s="481"/>
      <c r="MNM44" s="481"/>
      <c r="MNN44" s="481"/>
      <c r="MNO44" s="481"/>
      <c r="MNP44" s="481"/>
      <c r="MNQ44" s="481"/>
      <c r="MNR44" s="481"/>
      <c r="MNS44" s="481"/>
      <c r="MNT44" s="481"/>
      <c r="MNU44" s="481"/>
      <c r="MNV44" s="481"/>
      <c r="MNW44" s="481"/>
      <c r="MNX44" s="481"/>
      <c r="MNY44" s="481"/>
      <c r="MNZ44" s="481"/>
      <c r="MOA44" s="481"/>
      <c r="MOB44" s="481"/>
      <c r="MOC44" s="481"/>
      <c r="MOD44" s="481"/>
      <c r="MOE44" s="481"/>
      <c r="MOF44" s="481"/>
      <c r="MOG44" s="481"/>
      <c r="MOH44" s="481"/>
      <c r="MOI44" s="481"/>
      <c r="MOJ44" s="481"/>
      <c r="MOK44" s="481"/>
      <c r="MOL44" s="481"/>
      <c r="MOM44" s="481"/>
      <c r="MON44" s="481"/>
      <c r="MOO44" s="481"/>
      <c r="MOP44" s="481"/>
      <c r="MOQ44" s="481"/>
      <c r="MOR44" s="481"/>
      <c r="MOS44" s="481"/>
      <c r="MOT44" s="481"/>
      <c r="MOU44" s="481"/>
      <c r="MOV44" s="481"/>
      <c r="MOW44" s="481"/>
      <c r="MOX44" s="481"/>
      <c r="MOY44" s="481"/>
      <c r="MOZ44" s="481"/>
      <c r="MPA44" s="481"/>
      <c r="MPB44" s="481"/>
      <c r="MPC44" s="481"/>
      <c r="MPD44" s="481"/>
      <c r="MPE44" s="481"/>
      <c r="MPF44" s="481"/>
      <c r="MPG44" s="481"/>
      <c r="MPH44" s="481"/>
      <c r="MPI44" s="481"/>
      <c r="MPJ44" s="481"/>
      <c r="MPK44" s="481"/>
      <c r="MPL44" s="481"/>
      <c r="MPM44" s="481"/>
      <c r="MPN44" s="481"/>
      <c r="MPO44" s="481"/>
      <c r="MPP44" s="481"/>
      <c r="MPQ44" s="481"/>
      <c r="MPR44" s="481"/>
      <c r="MPS44" s="481"/>
      <c r="MPT44" s="481"/>
      <c r="MPU44" s="481"/>
      <c r="MPV44" s="481"/>
      <c r="MPW44" s="481"/>
      <c r="MPX44" s="481"/>
      <c r="MPY44" s="481"/>
      <c r="MPZ44" s="481"/>
      <c r="MQA44" s="481"/>
      <c r="MQB44" s="481"/>
      <c r="MQC44" s="481"/>
      <c r="MQD44" s="481"/>
      <c r="MQE44" s="481"/>
      <c r="MQF44" s="481"/>
      <c r="MQG44" s="481"/>
      <c r="MQH44" s="481"/>
      <c r="MQI44" s="481"/>
      <c r="MQJ44" s="481"/>
      <c r="MQK44" s="481"/>
      <c r="MQL44" s="481"/>
      <c r="MQM44" s="481"/>
      <c r="MQN44" s="481"/>
      <c r="MQO44" s="481"/>
      <c r="MQP44" s="481"/>
      <c r="MQQ44" s="481"/>
      <c r="MQR44" s="481"/>
      <c r="MQS44" s="481"/>
      <c r="MQT44" s="481"/>
      <c r="MQU44" s="481"/>
      <c r="MQV44" s="481"/>
      <c r="MQW44" s="481"/>
      <c r="MQX44" s="481"/>
      <c r="MQY44" s="481"/>
      <c r="MQZ44" s="481"/>
      <c r="MRA44" s="481"/>
      <c r="MRB44" s="481"/>
      <c r="MRC44" s="481"/>
      <c r="MRD44" s="481"/>
      <c r="MRE44" s="481"/>
      <c r="MRF44" s="481"/>
      <c r="MRG44" s="481"/>
      <c r="MRH44" s="481"/>
      <c r="MRI44" s="481"/>
      <c r="MRJ44" s="481"/>
      <c r="MRK44" s="481"/>
      <c r="MRL44" s="481"/>
      <c r="MRM44" s="481"/>
      <c r="MRN44" s="481"/>
      <c r="MRO44" s="481"/>
      <c r="MRP44" s="481"/>
      <c r="MRQ44" s="481"/>
      <c r="MRR44" s="481"/>
      <c r="MRS44" s="481"/>
      <c r="MRT44" s="481"/>
      <c r="MRU44" s="481"/>
      <c r="MRV44" s="481"/>
      <c r="MRW44" s="481"/>
      <c r="MRX44" s="481"/>
      <c r="MRY44" s="481"/>
      <c r="MRZ44" s="481"/>
      <c r="MSA44" s="481"/>
      <c r="MSB44" s="481"/>
      <c r="MSC44" s="481"/>
      <c r="MSD44" s="481"/>
      <c r="MSE44" s="481"/>
      <c r="MSF44" s="481"/>
      <c r="MSG44" s="481"/>
      <c r="MSH44" s="481"/>
      <c r="MSI44" s="481"/>
      <c r="MSJ44" s="481"/>
      <c r="MSK44" s="481"/>
      <c r="MSL44" s="481"/>
      <c r="MSM44" s="481"/>
      <c r="MSN44" s="481"/>
      <c r="MSO44" s="481"/>
      <c r="MSP44" s="481"/>
      <c r="MSQ44" s="481"/>
      <c r="MSR44" s="481"/>
      <c r="MSS44" s="481"/>
      <c r="MST44" s="481"/>
      <c r="MSU44" s="481"/>
      <c r="MSV44" s="481"/>
      <c r="MSW44" s="481"/>
      <c r="MSX44" s="481"/>
      <c r="MSY44" s="481"/>
      <c r="MSZ44" s="481"/>
      <c r="MTA44" s="481"/>
      <c r="MTB44" s="481"/>
      <c r="MTC44" s="481"/>
      <c r="MTD44" s="481"/>
      <c r="MTE44" s="481"/>
      <c r="MTF44" s="481"/>
      <c r="MTG44" s="481"/>
      <c r="MTH44" s="481"/>
      <c r="MTI44" s="481"/>
      <c r="MTJ44" s="481"/>
      <c r="MTK44" s="481"/>
      <c r="MTL44" s="481"/>
      <c r="MTM44" s="481"/>
      <c r="MTN44" s="481"/>
      <c r="MTO44" s="481"/>
      <c r="MTP44" s="481"/>
      <c r="MTQ44" s="481"/>
      <c r="MTR44" s="481"/>
      <c r="MTS44" s="481"/>
      <c r="MTT44" s="481"/>
      <c r="MTU44" s="481"/>
      <c r="MTV44" s="481"/>
      <c r="MTW44" s="481"/>
      <c r="MTX44" s="481"/>
      <c r="MTY44" s="481"/>
      <c r="MTZ44" s="481"/>
      <c r="MUA44" s="481"/>
      <c r="MUB44" s="481"/>
      <c r="MUC44" s="481"/>
      <c r="MUD44" s="481"/>
      <c r="MUE44" s="481"/>
      <c r="MUF44" s="481"/>
      <c r="MUG44" s="481"/>
      <c r="MUH44" s="481"/>
      <c r="MUI44" s="481"/>
      <c r="MUJ44" s="481"/>
      <c r="MUK44" s="481"/>
      <c r="MUL44" s="481"/>
      <c r="MUM44" s="481"/>
      <c r="MUN44" s="481"/>
      <c r="MUO44" s="481"/>
      <c r="MUP44" s="481"/>
      <c r="MUQ44" s="481"/>
      <c r="MUR44" s="481"/>
      <c r="MUS44" s="481"/>
      <c r="MUT44" s="481"/>
      <c r="MUU44" s="481"/>
      <c r="MUV44" s="481"/>
      <c r="MUW44" s="481"/>
      <c r="MUX44" s="481"/>
      <c r="MUY44" s="481"/>
      <c r="MUZ44" s="481"/>
      <c r="MVA44" s="481"/>
      <c r="MVB44" s="481"/>
      <c r="MVC44" s="481"/>
      <c r="MVD44" s="481"/>
      <c r="MVE44" s="481"/>
      <c r="MVF44" s="481"/>
      <c r="MVG44" s="481"/>
      <c r="MVH44" s="481"/>
      <c r="MVI44" s="481"/>
      <c r="MVJ44" s="481"/>
      <c r="MVK44" s="481"/>
      <c r="MVL44" s="481"/>
      <c r="MVM44" s="481"/>
      <c r="MVN44" s="481"/>
      <c r="MVO44" s="481"/>
      <c r="MVP44" s="481"/>
      <c r="MVQ44" s="481"/>
      <c r="MVR44" s="481"/>
      <c r="MVS44" s="481"/>
      <c r="MVT44" s="481"/>
      <c r="MVU44" s="481"/>
      <c r="MVV44" s="481"/>
      <c r="MVW44" s="481"/>
      <c r="MVX44" s="481"/>
      <c r="MVY44" s="481"/>
      <c r="MVZ44" s="481"/>
      <c r="MWA44" s="481"/>
      <c r="MWB44" s="481"/>
      <c r="MWC44" s="481"/>
      <c r="MWD44" s="481"/>
      <c r="MWE44" s="481"/>
      <c r="MWF44" s="481"/>
      <c r="MWG44" s="481"/>
      <c r="MWH44" s="481"/>
      <c r="MWI44" s="481"/>
      <c r="MWJ44" s="481"/>
      <c r="MWK44" s="481"/>
      <c r="MWL44" s="481"/>
      <c r="MWM44" s="481"/>
      <c r="MWN44" s="481"/>
      <c r="MWO44" s="481"/>
      <c r="MWP44" s="481"/>
      <c r="MWQ44" s="481"/>
      <c r="MWR44" s="481"/>
      <c r="MWS44" s="481"/>
      <c r="MWT44" s="481"/>
      <c r="MWU44" s="481"/>
      <c r="MWV44" s="481"/>
      <c r="MWW44" s="481"/>
      <c r="MWX44" s="481"/>
      <c r="MWY44" s="481"/>
      <c r="MWZ44" s="481"/>
      <c r="MXA44" s="481"/>
      <c r="MXB44" s="481"/>
      <c r="MXC44" s="481"/>
      <c r="MXD44" s="481"/>
      <c r="MXE44" s="481"/>
      <c r="MXF44" s="481"/>
      <c r="MXG44" s="481"/>
      <c r="MXH44" s="481"/>
      <c r="MXI44" s="481"/>
      <c r="MXJ44" s="481"/>
      <c r="MXK44" s="481"/>
      <c r="MXL44" s="481"/>
      <c r="MXM44" s="481"/>
      <c r="MXN44" s="481"/>
      <c r="MXO44" s="481"/>
      <c r="MXP44" s="481"/>
      <c r="MXQ44" s="481"/>
      <c r="MXR44" s="481"/>
      <c r="MXS44" s="481"/>
      <c r="MXT44" s="481"/>
      <c r="MXU44" s="481"/>
      <c r="MXV44" s="481"/>
      <c r="MXW44" s="481"/>
      <c r="MXX44" s="481"/>
      <c r="MXY44" s="481"/>
      <c r="MXZ44" s="481"/>
      <c r="MYA44" s="481"/>
      <c r="MYB44" s="481"/>
      <c r="MYC44" s="481"/>
      <c r="MYD44" s="481"/>
      <c r="MYE44" s="481"/>
      <c r="MYF44" s="481"/>
      <c r="MYG44" s="481"/>
      <c r="MYH44" s="481"/>
      <c r="MYI44" s="481"/>
      <c r="MYJ44" s="481"/>
      <c r="MYK44" s="481"/>
      <c r="MYL44" s="481"/>
      <c r="MYM44" s="481"/>
      <c r="MYN44" s="481"/>
      <c r="MYO44" s="481"/>
      <c r="MYP44" s="481"/>
      <c r="MYQ44" s="481"/>
      <c r="MYR44" s="481"/>
      <c r="MYS44" s="481"/>
      <c r="MYT44" s="481"/>
      <c r="MYU44" s="481"/>
      <c r="MYV44" s="481"/>
      <c r="MYW44" s="481"/>
      <c r="MYX44" s="481"/>
      <c r="MYY44" s="481"/>
      <c r="MYZ44" s="481"/>
      <c r="MZA44" s="481"/>
      <c r="MZB44" s="481"/>
      <c r="MZC44" s="481"/>
      <c r="MZD44" s="481"/>
      <c r="MZE44" s="481"/>
      <c r="MZF44" s="481"/>
      <c r="MZG44" s="481"/>
      <c r="MZH44" s="481"/>
      <c r="MZI44" s="481"/>
      <c r="MZJ44" s="481"/>
      <c r="MZK44" s="481"/>
      <c r="MZL44" s="481"/>
      <c r="MZM44" s="481"/>
      <c r="MZN44" s="481"/>
      <c r="MZO44" s="481"/>
      <c r="MZP44" s="481"/>
      <c r="MZQ44" s="481"/>
      <c r="MZR44" s="481"/>
      <c r="MZS44" s="481"/>
      <c r="MZT44" s="481"/>
      <c r="MZU44" s="481"/>
      <c r="MZV44" s="481"/>
      <c r="MZW44" s="481"/>
      <c r="MZX44" s="481"/>
      <c r="MZY44" s="481"/>
      <c r="MZZ44" s="481"/>
      <c r="NAA44" s="481"/>
      <c r="NAB44" s="481"/>
      <c r="NAC44" s="481"/>
      <c r="NAD44" s="481"/>
      <c r="NAE44" s="481"/>
      <c r="NAF44" s="481"/>
      <c r="NAG44" s="481"/>
      <c r="NAH44" s="481"/>
      <c r="NAI44" s="481"/>
      <c r="NAJ44" s="481"/>
      <c r="NAK44" s="481"/>
      <c r="NAL44" s="481"/>
      <c r="NAM44" s="481"/>
      <c r="NAN44" s="481"/>
      <c r="NAO44" s="481"/>
      <c r="NAP44" s="481"/>
      <c r="NAQ44" s="481"/>
      <c r="NAR44" s="481"/>
      <c r="NAS44" s="481"/>
      <c r="NAT44" s="481"/>
      <c r="NAU44" s="481"/>
      <c r="NAV44" s="481"/>
      <c r="NAW44" s="481"/>
      <c r="NAX44" s="481"/>
      <c r="NAY44" s="481"/>
      <c r="NAZ44" s="481"/>
      <c r="NBA44" s="481"/>
      <c r="NBB44" s="481"/>
      <c r="NBC44" s="481"/>
      <c r="NBD44" s="481"/>
      <c r="NBE44" s="481"/>
      <c r="NBF44" s="481"/>
      <c r="NBG44" s="481"/>
      <c r="NBH44" s="481"/>
      <c r="NBI44" s="481"/>
      <c r="NBJ44" s="481"/>
      <c r="NBK44" s="481"/>
      <c r="NBL44" s="481"/>
      <c r="NBM44" s="481"/>
      <c r="NBN44" s="481"/>
      <c r="NBO44" s="481"/>
      <c r="NBP44" s="481"/>
      <c r="NBQ44" s="481"/>
      <c r="NBR44" s="481"/>
      <c r="NBS44" s="481"/>
      <c r="NBT44" s="481"/>
      <c r="NBU44" s="481"/>
      <c r="NBV44" s="481"/>
      <c r="NBW44" s="481"/>
      <c r="NBX44" s="481"/>
      <c r="NBY44" s="481"/>
      <c r="NBZ44" s="481"/>
      <c r="NCA44" s="481"/>
      <c r="NCB44" s="481"/>
      <c r="NCC44" s="481"/>
      <c r="NCD44" s="481"/>
      <c r="NCE44" s="481"/>
      <c r="NCF44" s="481"/>
      <c r="NCG44" s="481"/>
      <c r="NCH44" s="481"/>
      <c r="NCI44" s="481"/>
      <c r="NCJ44" s="481"/>
      <c r="NCK44" s="481"/>
      <c r="NCL44" s="481"/>
      <c r="NCM44" s="481"/>
      <c r="NCN44" s="481"/>
      <c r="NCO44" s="481"/>
      <c r="NCP44" s="481"/>
      <c r="NCQ44" s="481"/>
      <c r="NCR44" s="481"/>
      <c r="NCS44" s="481"/>
      <c r="NCT44" s="481"/>
      <c r="NCU44" s="481"/>
      <c r="NCV44" s="481"/>
      <c r="NCW44" s="481"/>
      <c r="NCX44" s="481"/>
      <c r="NCY44" s="481"/>
      <c r="NCZ44" s="481"/>
      <c r="NDA44" s="481"/>
      <c r="NDB44" s="481"/>
      <c r="NDC44" s="481"/>
      <c r="NDD44" s="481"/>
      <c r="NDE44" s="481"/>
      <c r="NDF44" s="481"/>
      <c r="NDG44" s="481"/>
      <c r="NDH44" s="481"/>
      <c r="NDI44" s="481"/>
      <c r="NDJ44" s="481"/>
      <c r="NDK44" s="481"/>
      <c r="NDL44" s="481"/>
      <c r="NDM44" s="481"/>
      <c r="NDN44" s="481"/>
      <c r="NDO44" s="481"/>
      <c r="NDP44" s="481"/>
      <c r="NDQ44" s="481"/>
      <c r="NDR44" s="481"/>
      <c r="NDS44" s="481"/>
      <c r="NDT44" s="481"/>
      <c r="NDU44" s="481"/>
      <c r="NDV44" s="481"/>
      <c r="NDW44" s="481"/>
      <c r="NDX44" s="481"/>
      <c r="NDY44" s="481"/>
      <c r="NDZ44" s="481"/>
      <c r="NEA44" s="481"/>
      <c r="NEB44" s="481"/>
      <c r="NEC44" s="481"/>
      <c r="NED44" s="481"/>
      <c r="NEE44" s="481"/>
      <c r="NEF44" s="481"/>
      <c r="NEG44" s="481"/>
      <c r="NEH44" s="481"/>
      <c r="NEI44" s="481"/>
      <c r="NEJ44" s="481"/>
      <c r="NEK44" s="481"/>
      <c r="NEL44" s="481"/>
      <c r="NEM44" s="481"/>
      <c r="NEN44" s="481"/>
      <c r="NEO44" s="481"/>
      <c r="NEP44" s="481"/>
      <c r="NEQ44" s="481"/>
      <c r="NER44" s="481"/>
      <c r="NES44" s="481"/>
      <c r="NET44" s="481"/>
      <c r="NEU44" s="481"/>
      <c r="NEV44" s="481"/>
      <c r="NEW44" s="481"/>
      <c r="NEX44" s="481"/>
      <c r="NEY44" s="481"/>
      <c r="NEZ44" s="481"/>
      <c r="NFA44" s="481"/>
      <c r="NFB44" s="481"/>
      <c r="NFC44" s="481"/>
      <c r="NFD44" s="481"/>
      <c r="NFE44" s="481"/>
      <c r="NFF44" s="481"/>
      <c r="NFG44" s="481"/>
      <c r="NFH44" s="481"/>
      <c r="NFI44" s="481"/>
      <c r="NFJ44" s="481"/>
      <c r="NFK44" s="481"/>
      <c r="NFL44" s="481"/>
      <c r="NFM44" s="481"/>
      <c r="NFN44" s="481"/>
      <c r="NFO44" s="481"/>
      <c r="NFP44" s="481"/>
      <c r="NFQ44" s="481"/>
      <c r="NFR44" s="481"/>
      <c r="NFS44" s="481"/>
      <c r="NFT44" s="481"/>
      <c r="NFU44" s="481"/>
      <c r="NFV44" s="481"/>
      <c r="NFW44" s="481"/>
      <c r="NFX44" s="481"/>
      <c r="NFY44" s="481"/>
      <c r="NFZ44" s="481"/>
      <c r="NGA44" s="481"/>
      <c r="NGB44" s="481"/>
      <c r="NGC44" s="481"/>
      <c r="NGD44" s="481"/>
      <c r="NGE44" s="481"/>
      <c r="NGF44" s="481"/>
      <c r="NGG44" s="481"/>
      <c r="NGH44" s="481"/>
      <c r="NGI44" s="481"/>
      <c r="NGJ44" s="481"/>
      <c r="NGK44" s="481"/>
      <c r="NGL44" s="481"/>
      <c r="NGM44" s="481"/>
      <c r="NGN44" s="481"/>
      <c r="NGO44" s="481"/>
      <c r="NGP44" s="481"/>
      <c r="NGQ44" s="481"/>
      <c r="NGR44" s="481"/>
      <c r="NGS44" s="481"/>
      <c r="NGT44" s="481"/>
      <c r="NGU44" s="481"/>
      <c r="NGV44" s="481"/>
      <c r="NGW44" s="481"/>
      <c r="NGX44" s="481"/>
      <c r="NGY44" s="481"/>
      <c r="NGZ44" s="481"/>
      <c r="NHA44" s="481"/>
      <c r="NHB44" s="481"/>
      <c r="NHC44" s="481"/>
      <c r="NHD44" s="481"/>
      <c r="NHE44" s="481"/>
      <c r="NHF44" s="481"/>
      <c r="NHG44" s="481"/>
      <c r="NHH44" s="481"/>
      <c r="NHI44" s="481"/>
      <c r="NHJ44" s="481"/>
      <c r="NHK44" s="481"/>
      <c r="NHL44" s="481"/>
      <c r="NHM44" s="481"/>
      <c r="NHN44" s="481"/>
      <c r="NHO44" s="481"/>
      <c r="NHP44" s="481"/>
      <c r="NHQ44" s="481"/>
      <c r="NHR44" s="481"/>
      <c r="NHS44" s="481"/>
      <c r="NHT44" s="481"/>
      <c r="NHU44" s="481"/>
      <c r="NHV44" s="481"/>
      <c r="NHW44" s="481"/>
      <c r="NHX44" s="481"/>
      <c r="NHY44" s="481"/>
      <c r="NHZ44" s="481"/>
      <c r="NIA44" s="481"/>
      <c r="NIB44" s="481"/>
      <c r="NIC44" s="481"/>
      <c r="NID44" s="481"/>
      <c r="NIE44" s="481"/>
      <c r="NIF44" s="481"/>
      <c r="NIG44" s="481"/>
      <c r="NIH44" s="481"/>
      <c r="NII44" s="481"/>
      <c r="NIJ44" s="481"/>
      <c r="NIK44" s="481"/>
      <c r="NIL44" s="481"/>
      <c r="NIM44" s="481"/>
      <c r="NIN44" s="481"/>
      <c r="NIO44" s="481"/>
      <c r="NIP44" s="481"/>
      <c r="NIQ44" s="481"/>
      <c r="NIR44" s="481"/>
      <c r="NIS44" s="481"/>
      <c r="NIT44" s="481"/>
      <c r="NIU44" s="481"/>
      <c r="NIV44" s="481"/>
      <c r="NIW44" s="481"/>
      <c r="NIX44" s="481"/>
      <c r="NIY44" s="481"/>
      <c r="NIZ44" s="481"/>
      <c r="NJA44" s="481"/>
      <c r="NJB44" s="481"/>
      <c r="NJC44" s="481"/>
      <c r="NJD44" s="481"/>
      <c r="NJE44" s="481"/>
      <c r="NJF44" s="481"/>
      <c r="NJG44" s="481"/>
      <c r="NJH44" s="481"/>
      <c r="NJI44" s="481"/>
      <c r="NJJ44" s="481"/>
      <c r="NJK44" s="481"/>
      <c r="NJL44" s="481"/>
      <c r="NJM44" s="481"/>
      <c r="NJN44" s="481"/>
      <c r="NJO44" s="481"/>
      <c r="NJP44" s="481"/>
      <c r="NJQ44" s="481"/>
      <c r="NJR44" s="481"/>
      <c r="NJS44" s="481"/>
      <c r="NJT44" s="481"/>
      <c r="NJU44" s="481"/>
      <c r="NJV44" s="481"/>
      <c r="NJW44" s="481"/>
      <c r="NJX44" s="481"/>
      <c r="NJY44" s="481"/>
      <c r="NJZ44" s="481"/>
      <c r="NKA44" s="481"/>
      <c r="NKB44" s="481"/>
      <c r="NKC44" s="481"/>
      <c r="NKD44" s="481"/>
      <c r="NKE44" s="481"/>
      <c r="NKF44" s="481"/>
      <c r="NKG44" s="481"/>
      <c r="NKH44" s="481"/>
      <c r="NKI44" s="481"/>
      <c r="NKJ44" s="481"/>
      <c r="NKK44" s="481"/>
      <c r="NKL44" s="481"/>
      <c r="NKM44" s="481"/>
      <c r="NKN44" s="481"/>
      <c r="NKO44" s="481"/>
      <c r="NKP44" s="481"/>
      <c r="NKQ44" s="481"/>
      <c r="NKR44" s="481"/>
      <c r="NKS44" s="481"/>
      <c r="NKT44" s="481"/>
      <c r="NKU44" s="481"/>
      <c r="NKV44" s="481"/>
      <c r="NKW44" s="481"/>
      <c r="NKX44" s="481"/>
      <c r="NKY44" s="481"/>
      <c r="NKZ44" s="481"/>
      <c r="NLA44" s="481"/>
      <c r="NLB44" s="481"/>
      <c r="NLC44" s="481"/>
      <c r="NLD44" s="481"/>
      <c r="NLE44" s="481"/>
      <c r="NLF44" s="481"/>
      <c r="NLG44" s="481"/>
      <c r="NLH44" s="481"/>
      <c r="NLI44" s="481"/>
      <c r="NLJ44" s="481"/>
      <c r="NLK44" s="481"/>
      <c r="NLL44" s="481"/>
      <c r="NLM44" s="481"/>
      <c r="NLN44" s="481"/>
      <c r="NLO44" s="481"/>
      <c r="NLP44" s="481"/>
      <c r="NLQ44" s="481"/>
      <c r="NLR44" s="481"/>
      <c r="NLS44" s="481"/>
      <c r="NLT44" s="481"/>
      <c r="NLU44" s="481"/>
      <c r="NLV44" s="481"/>
      <c r="NLW44" s="481"/>
      <c r="NLX44" s="481"/>
      <c r="NLY44" s="481"/>
      <c r="NLZ44" s="481"/>
      <c r="NMA44" s="481"/>
      <c r="NMB44" s="481"/>
      <c r="NMC44" s="481"/>
      <c r="NMD44" s="481"/>
      <c r="NME44" s="481"/>
      <c r="NMF44" s="481"/>
      <c r="NMG44" s="481"/>
      <c r="NMH44" s="481"/>
      <c r="NMI44" s="481"/>
      <c r="NMJ44" s="481"/>
      <c r="NMK44" s="481"/>
      <c r="NML44" s="481"/>
      <c r="NMM44" s="481"/>
      <c r="NMN44" s="481"/>
      <c r="NMO44" s="481"/>
      <c r="NMP44" s="481"/>
      <c r="NMQ44" s="481"/>
      <c r="NMR44" s="481"/>
      <c r="NMS44" s="481"/>
      <c r="NMT44" s="481"/>
      <c r="NMU44" s="481"/>
      <c r="NMV44" s="481"/>
      <c r="NMW44" s="481"/>
      <c r="NMX44" s="481"/>
      <c r="NMY44" s="481"/>
      <c r="NMZ44" s="481"/>
      <c r="NNA44" s="481"/>
      <c r="NNB44" s="481"/>
      <c r="NNC44" s="481"/>
      <c r="NND44" s="481"/>
      <c r="NNE44" s="481"/>
      <c r="NNF44" s="481"/>
      <c r="NNG44" s="481"/>
      <c r="NNH44" s="481"/>
      <c r="NNI44" s="481"/>
      <c r="NNJ44" s="481"/>
      <c r="NNK44" s="481"/>
      <c r="NNL44" s="481"/>
      <c r="NNM44" s="481"/>
      <c r="NNN44" s="481"/>
      <c r="NNO44" s="481"/>
      <c r="NNP44" s="481"/>
      <c r="NNQ44" s="481"/>
      <c r="NNR44" s="481"/>
      <c r="NNS44" s="481"/>
      <c r="NNT44" s="481"/>
      <c r="NNU44" s="481"/>
      <c r="NNV44" s="481"/>
      <c r="NNW44" s="481"/>
      <c r="NNX44" s="481"/>
      <c r="NNY44" s="481"/>
      <c r="NNZ44" s="481"/>
      <c r="NOA44" s="481"/>
      <c r="NOB44" s="481"/>
      <c r="NOC44" s="481"/>
      <c r="NOD44" s="481"/>
      <c r="NOE44" s="481"/>
      <c r="NOF44" s="481"/>
      <c r="NOG44" s="481"/>
      <c r="NOH44" s="481"/>
      <c r="NOI44" s="481"/>
      <c r="NOJ44" s="481"/>
      <c r="NOK44" s="481"/>
      <c r="NOL44" s="481"/>
      <c r="NOM44" s="481"/>
      <c r="NON44" s="481"/>
      <c r="NOO44" s="481"/>
      <c r="NOP44" s="481"/>
      <c r="NOQ44" s="481"/>
      <c r="NOR44" s="481"/>
      <c r="NOS44" s="481"/>
      <c r="NOT44" s="481"/>
      <c r="NOU44" s="481"/>
      <c r="NOV44" s="481"/>
      <c r="NOW44" s="481"/>
      <c r="NOX44" s="481"/>
      <c r="NOY44" s="481"/>
      <c r="NOZ44" s="481"/>
      <c r="NPA44" s="481"/>
      <c r="NPB44" s="481"/>
      <c r="NPC44" s="481"/>
      <c r="NPD44" s="481"/>
      <c r="NPE44" s="481"/>
      <c r="NPF44" s="481"/>
      <c r="NPG44" s="481"/>
      <c r="NPH44" s="481"/>
      <c r="NPI44" s="481"/>
      <c r="NPJ44" s="481"/>
      <c r="NPK44" s="481"/>
      <c r="NPL44" s="481"/>
      <c r="NPM44" s="481"/>
      <c r="NPN44" s="481"/>
      <c r="NPO44" s="481"/>
      <c r="NPP44" s="481"/>
      <c r="NPQ44" s="481"/>
      <c r="NPR44" s="481"/>
      <c r="NPS44" s="481"/>
      <c r="NPT44" s="481"/>
      <c r="NPU44" s="481"/>
      <c r="NPV44" s="481"/>
      <c r="NPW44" s="481"/>
      <c r="NPX44" s="481"/>
      <c r="NPY44" s="481"/>
      <c r="NPZ44" s="481"/>
      <c r="NQA44" s="481"/>
      <c r="NQB44" s="481"/>
      <c r="NQC44" s="481"/>
      <c r="NQD44" s="481"/>
      <c r="NQE44" s="481"/>
      <c r="NQF44" s="481"/>
      <c r="NQG44" s="481"/>
      <c r="NQH44" s="481"/>
      <c r="NQI44" s="481"/>
      <c r="NQJ44" s="481"/>
      <c r="NQK44" s="481"/>
      <c r="NQL44" s="481"/>
      <c r="NQM44" s="481"/>
      <c r="NQN44" s="481"/>
      <c r="NQO44" s="481"/>
      <c r="NQP44" s="481"/>
      <c r="NQQ44" s="481"/>
      <c r="NQR44" s="481"/>
      <c r="NQS44" s="481"/>
      <c r="NQT44" s="481"/>
      <c r="NQU44" s="481"/>
      <c r="NQV44" s="481"/>
      <c r="NQW44" s="481"/>
      <c r="NQX44" s="481"/>
      <c r="NQY44" s="481"/>
      <c r="NQZ44" s="481"/>
      <c r="NRA44" s="481"/>
      <c r="NRB44" s="481"/>
      <c r="NRC44" s="481"/>
      <c r="NRD44" s="481"/>
      <c r="NRE44" s="481"/>
      <c r="NRF44" s="481"/>
      <c r="NRG44" s="481"/>
      <c r="NRH44" s="481"/>
      <c r="NRI44" s="481"/>
      <c r="NRJ44" s="481"/>
      <c r="NRK44" s="481"/>
      <c r="NRL44" s="481"/>
      <c r="NRM44" s="481"/>
      <c r="NRN44" s="481"/>
      <c r="NRO44" s="481"/>
      <c r="NRP44" s="481"/>
      <c r="NRQ44" s="481"/>
      <c r="NRR44" s="481"/>
      <c r="NRS44" s="481"/>
      <c r="NRT44" s="481"/>
      <c r="NRU44" s="481"/>
      <c r="NRV44" s="481"/>
      <c r="NRW44" s="481"/>
      <c r="NRX44" s="481"/>
      <c r="NRY44" s="481"/>
      <c r="NRZ44" s="481"/>
      <c r="NSA44" s="481"/>
      <c r="NSB44" s="481"/>
      <c r="NSC44" s="481"/>
      <c r="NSD44" s="481"/>
      <c r="NSE44" s="481"/>
      <c r="NSF44" s="481"/>
      <c r="NSG44" s="481"/>
      <c r="NSH44" s="481"/>
      <c r="NSI44" s="481"/>
      <c r="NSJ44" s="481"/>
      <c r="NSK44" s="481"/>
      <c r="NSL44" s="481"/>
      <c r="NSM44" s="481"/>
      <c r="NSN44" s="481"/>
      <c r="NSO44" s="481"/>
      <c r="NSP44" s="481"/>
      <c r="NSQ44" s="481"/>
      <c r="NSR44" s="481"/>
      <c r="NSS44" s="481"/>
      <c r="NST44" s="481"/>
      <c r="NSU44" s="481"/>
      <c r="NSV44" s="481"/>
      <c r="NSW44" s="481"/>
      <c r="NSX44" s="481"/>
      <c r="NSY44" s="481"/>
      <c r="NSZ44" s="481"/>
      <c r="NTA44" s="481"/>
      <c r="NTB44" s="481"/>
      <c r="NTC44" s="481"/>
      <c r="NTD44" s="481"/>
      <c r="NTE44" s="481"/>
      <c r="NTF44" s="481"/>
      <c r="NTG44" s="481"/>
      <c r="NTH44" s="481"/>
      <c r="NTI44" s="481"/>
      <c r="NTJ44" s="481"/>
      <c r="NTK44" s="481"/>
      <c r="NTL44" s="481"/>
      <c r="NTM44" s="481"/>
      <c r="NTN44" s="481"/>
      <c r="NTO44" s="481"/>
      <c r="NTP44" s="481"/>
      <c r="NTQ44" s="481"/>
      <c r="NTR44" s="481"/>
      <c r="NTS44" s="481"/>
      <c r="NTT44" s="481"/>
      <c r="NTU44" s="481"/>
      <c r="NTV44" s="481"/>
      <c r="NTW44" s="481"/>
      <c r="NTX44" s="481"/>
      <c r="NTY44" s="481"/>
      <c r="NTZ44" s="481"/>
      <c r="NUA44" s="481"/>
      <c r="NUB44" s="481"/>
      <c r="NUC44" s="481"/>
      <c r="NUD44" s="481"/>
      <c r="NUE44" s="481"/>
      <c r="NUF44" s="481"/>
      <c r="NUG44" s="481"/>
      <c r="NUH44" s="481"/>
      <c r="NUI44" s="481"/>
      <c r="NUJ44" s="481"/>
      <c r="NUK44" s="481"/>
      <c r="NUL44" s="481"/>
      <c r="NUM44" s="481"/>
      <c r="NUN44" s="481"/>
      <c r="NUO44" s="481"/>
      <c r="NUP44" s="481"/>
      <c r="NUQ44" s="481"/>
      <c r="NUR44" s="481"/>
      <c r="NUS44" s="481"/>
      <c r="NUT44" s="481"/>
      <c r="NUU44" s="481"/>
      <c r="NUV44" s="481"/>
      <c r="NUW44" s="481"/>
      <c r="NUX44" s="481"/>
      <c r="NUY44" s="481"/>
      <c r="NUZ44" s="481"/>
      <c r="NVA44" s="481"/>
      <c r="NVB44" s="481"/>
      <c r="NVC44" s="481"/>
      <c r="NVD44" s="481"/>
      <c r="NVE44" s="481"/>
      <c r="NVF44" s="481"/>
      <c r="NVG44" s="481"/>
      <c r="NVH44" s="481"/>
      <c r="NVI44" s="481"/>
      <c r="NVJ44" s="481"/>
      <c r="NVK44" s="481"/>
      <c r="NVL44" s="481"/>
      <c r="NVM44" s="481"/>
      <c r="NVN44" s="481"/>
      <c r="NVO44" s="481"/>
      <c r="NVP44" s="481"/>
      <c r="NVQ44" s="481"/>
      <c r="NVR44" s="481"/>
      <c r="NVS44" s="481"/>
      <c r="NVT44" s="481"/>
      <c r="NVU44" s="481"/>
      <c r="NVV44" s="481"/>
      <c r="NVW44" s="481"/>
      <c r="NVX44" s="481"/>
      <c r="NVY44" s="481"/>
      <c r="NVZ44" s="481"/>
      <c r="NWA44" s="481"/>
      <c r="NWB44" s="481"/>
      <c r="NWC44" s="481"/>
      <c r="NWD44" s="481"/>
      <c r="NWE44" s="481"/>
      <c r="NWF44" s="481"/>
      <c r="NWG44" s="481"/>
      <c r="NWH44" s="481"/>
      <c r="NWI44" s="481"/>
      <c r="NWJ44" s="481"/>
      <c r="NWK44" s="481"/>
      <c r="NWL44" s="481"/>
      <c r="NWM44" s="481"/>
      <c r="NWN44" s="481"/>
      <c r="NWO44" s="481"/>
      <c r="NWP44" s="481"/>
      <c r="NWQ44" s="481"/>
      <c r="NWR44" s="481"/>
      <c r="NWS44" s="481"/>
      <c r="NWT44" s="481"/>
      <c r="NWU44" s="481"/>
      <c r="NWV44" s="481"/>
      <c r="NWW44" s="481"/>
      <c r="NWX44" s="481"/>
      <c r="NWY44" s="481"/>
      <c r="NWZ44" s="481"/>
      <c r="NXA44" s="481"/>
      <c r="NXB44" s="481"/>
      <c r="NXC44" s="481"/>
      <c r="NXD44" s="481"/>
      <c r="NXE44" s="481"/>
      <c r="NXF44" s="481"/>
      <c r="NXG44" s="481"/>
      <c r="NXH44" s="481"/>
      <c r="NXI44" s="481"/>
      <c r="NXJ44" s="481"/>
      <c r="NXK44" s="481"/>
      <c r="NXL44" s="481"/>
      <c r="NXM44" s="481"/>
      <c r="NXN44" s="481"/>
      <c r="NXO44" s="481"/>
      <c r="NXP44" s="481"/>
      <c r="NXQ44" s="481"/>
      <c r="NXR44" s="481"/>
      <c r="NXS44" s="481"/>
      <c r="NXT44" s="481"/>
      <c r="NXU44" s="481"/>
      <c r="NXV44" s="481"/>
      <c r="NXW44" s="481"/>
      <c r="NXX44" s="481"/>
      <c r="NXY44" s="481"/>
      <c r="NXZ44" s="481"/>
      <c r="NYA44" s="481"/>
      <c r="NYB44" s="481"/>
      <c r="NYC44" s="481"/>
      <c r="NYD44" s="481"/>
      <c r="NYE44" s="481"/>
      <c r="NYF44" s="481"/>
      <c r="NYG44" s="481"/>
      <c r="NYH44" s="481"/>
      <c r="NYI44" s="481"/>
      <c r="NYJ44" s="481"/>
      <c r="NYK44" s="481"/>
      <c r="NYL44" s="481"/>
      <c r="NYM44" s="481"/>
      <c r="NYN44" s="481"/>
      <c r="NYO44" s="481"/>
      <c r="NYP44" s="481"/>
      <c r="NYQ44" s="481"/>
      <c r="NYR44" s="481"/>
      <c r="NYS44" s="481"/>
      <c r="NYT44" s="481"/>
      <c r="NYU44" s="481"/>
      <c r="NYV44" s="481"/>
      <c r="NYW44" s="481"/>
      <c r="NYX44" s="481"/>
      <c r="NYY44" s="481"/>
      <c r="NYZ44" s="481"/>
      <c r="NZA44" s="481"/>
      <c r="NZB44" s="481"/>
      <c r="NZC44" s="481"/>
      <c r="NZD44" s="481"/>
      <c r="NZE44" s="481"/>
      <c r="NZF44" s="481"/>
      <c r="NZG44" s="481"/>
      <c r="NZH44" s="481"/>
      <c r="NZI44" s="481"/>
      <c r="NZJ44" s="481"/>
      <c r="NZK44" s="481"/>
      <c r="NZL44" s="481"/>
      <c r="NZM44" s="481"/>
      <c r="NZN44" s="481"/>
      <c r="NZO44" s="481"/>
      <c r="NZP44" s="481"/>
      <c r="NZQ44" s="481"/>
      <c r="NZR44" s="481"/>
      <c r="NZS44" s="481"/>
      <c r="NZT44" s="481"/>
      <c r="NZU44" s="481"/>
      <c r="NZV44" s="481"/>
      <c r="NZW44" s="481"/>
      <c r="NZX44" s="481"/>
      <c r="NZY44" s="481"/>
      <c r="NZZ44" s="481"/>
      <c r="OAA44" s="481"/>
      <c r="OAB44" s="481"/>
      <c r="OAC44" s="481"/>
      <c r="OAD44" s="481"/>
      <c r="OAE44" s="481"/>
      <c r="OAF44" s="481"/>
      <c r="OAG44" s="481"/>
      <c r="OAH44" s="481"/>
      <c r="OAI44" s="481"/>
      <c r="OAJ44" s="481"/>
      <c r="OAK44" s="481"/>
      <c r="OAL44" s="481"/>
      <c r="OAM44" s="481"/>
      <c r="OAN44" s="481"/>
      <c r="OAO44" s="481"/>
      <c r="OAP44" s="481"/>
      <c r="OAQ44" s="481"/>
      <c r="OAR44" s="481"/>
      <c r="OAS44" s="481"/>
      <c r="OAT44" s="481"/>
      <c r="OAU44" s="481"/>
      <c r="OAV44" s="481"/>
      <c r="OAW44" s="481"/>
      <c r="OAX44" s="481"/>
      <c r="OAY44" s="481"/>
      <c r="OAZ44" s="481"/>
      <c r="OBA44" s="481"/>
      <c r="OBB44" s="481"/>
      <c r="OBC44" s="481"/>
      <c r="OBD44" s="481"/>
      <c r="OBE44" s="481"/>
      <c r="OBF44" s="481"/>
      <c r="OBG44" s="481"/>
      <c r="OBH44" s="481"/>
      <c r="OBI44" s="481"/>
      <c r="OBJ44" s="481"/>
      <c r="OBK44" s="481"/>
      <c r="OBL44" s="481"/>
      <c r="OBM44" s="481"/>
      <c r="OBN44" s="481"/>
      <c r="OBO44" s="481"/>
      <c r="OBP44" s="481"/>
      <c r="OBQ44" s="481"/>
      <c r="OBR44" s="481"/>
      <c r="OBS44" s="481"/>
      <c r="OBT44" s="481"/>
      <c r="OBU44" s="481"/>
      <c r="OBV44" s="481"/>
      <c r="OBW44" s="481"/>
      <c r="OBX44" s="481"/>
      <c r="OBY44" s="481"/>
      <c r="OBZ44" s="481"/>
      <c r="OCA44" s="481"/>
      <c r="OCB44" s="481"/>
      <c r="OCC44" s="481"/>
      <c r="OCD44" s="481"/>
      <c r="OCE44" s="481"/>
      <c r="OCF44" s="481"/>
      <c r="OCG44" s="481"/>
      <c r="OCH44" s="481"/>
      <c r="OCI44" s="481"/>
      <c r="OCJ44" s="481"/>
      <c r="OCK44" s="481"/>
      <c r="OCL44" s="481"/>
      <c r="OCM44" s="481"/>
      <c r="OCN44" s="481"/>
      <c r="OCO44" s="481"/>
      <c r="OCP44" s="481"/>
      <c r="OCQ44" s="481"/>
      <c r="OCR44" s="481"/>
      <c r="OCS44" s="481"/>
      <c r="OCT44" s="481"/>
      <c r="OCU44" s="481"/>
      <c r="OCV44" s="481"/>
      <c r="OCW44" s="481"/>
      <c r="OCX44" s="481"/>
      <c r="OCY44" s="481"/>
      <c r="OCZ44" s="481"/>
      <c r="ODA44" s="481"/>
      <c r="ODB44" s="481"/>
      <c r="ODC44" s="481"/>
      <c r="ODD44" s="481"/>
      <c r="ODE44" s="481"/>
      <c r="ODF44" s="481"/>
      <c r="ODG44" s="481"/>
      <c r="ODH44" s="481"/>
      <c r="ODI44" s="481"/>
      <c r="ODJ44" s="481"/>
      <c r="ODK44" s="481"/>
      <c r="ODL44" s="481"/>
      <c r="ODM44" s="481"/>
      <c r="ODN44" s="481"/>
      <c r="ODO44" s="481"/>
      <c r="ODP44" s="481"/>
      <c r="ODQ44" s="481"/>
      <c r="ODR44" s="481"/>
      <c r="ODS44" s="481"/>
      <c r="ODT44" s="481"/>
      <c r="ODU44" s="481"/>
      <c r="ODV44" s="481"/>
      <c r="ODW44" s="481"/>
      <c r="ODX44" s="481"/>
      <c r="ODY44" s="481"/>
      <c r="ODZ44" s="481"/>
      <c r="OEA44" s="481"/>
      <c r="OEB44" s="481"/>
      <c r="OEC44" s="481"/>
      <c r="OED44" s="481"/>
      <c r="OEE44" s="481"/>
      <c r="OEF44" s="481"/>
      <c r="OEG44" s="481"/>
      <c r="OEH44" s="481"/>
      <c r="OEI44" s="481"/>
      <c r="OEJ44" s="481"/>
      <c r="OEK44" s="481"/>
      <c r="OEL44" s="481"/>
      <c r="OEM44" s="481"/>
      <c r="OEN44" s="481"/>
      <c r="OEO44" s="481"/>
      <c r="OEP44" s="481"/>
      <c r="OEQ44" s="481"/>
      <c r="OER44" s="481"/>
      <c r="OES44" s="481"/>
      <c r="OET44" s="481"/>
      <c r="OEU44" s="481"/>
      <c r="OEV44" s="481"/>
      <c r="OEW44" s="481"/>
      <c r="OEX44" s="481"/>
      <c r="OEY44" s="481"/>
      <c r="OEZ44" s="481"/>
      <c r="OFA44" s="481"/>
      <c r="OFB44" s="481"/>
      <c r="OFC44" s="481"/>
      <c r="OFD44" s="481"/>
      <c r="OFE44" s="481"/>
      <c r="OFF44" s="481"/>
      <c r="OFG44" s="481"/>
      <c r="OFH44" s="481"/>
      <c r="OFI44" s="481"/>
      <c r="OFJ44" s="481"/>
      <c r="OFK44" s="481"/>
      <c r="OFL44" s="481"/>
      <c r="OFM44" s="481"/>
      <c r="OFN44" s="481"/>
      <c r="OFO44" s="481"/>
      <c r="OFP44" s="481"/>
      <c r="OFQ44" s="481"/>
      <c r="OFR44" s="481"/>
      <c r="OFS44" s="481"/>
      <c r="OFT44" s="481"/>
      <c r="OFU44" s="481"/>
      <c r="OFV44" s="481"/>
      <c r="OFW44" s="481"/>
      <c r="OFX44" s="481"/>
      <c r="OFY44" s="481"/>
      <c r="OFZ44" s="481"/>
      <c r="OGA44" s="481"/>
      <c r="OGB44" s="481"/>
      <c r="OGC44" s="481"/>
      <c r="OGD44" s="481"/>
      <c r="OGE44" s="481"/>
      <c r="OGF44" s="481"/>
      <c r="OGG44" s="481"/>
      <c r="OGH44" s="481"/>
      <c r="OGI44" s="481"/>
      <c r="OGJ44" s="481"/>
      <c r="OGK44" s="481"/>
      <c r="OGL44" s="481"/>
      <c r="OGM44" s="481"/>
      <c r="OGN44" s="481"/>
      <c r="OGO44" s="481"/>
      <c r="OGP44" s="481"/>
      <c r="OGQ44" s="481"/>
      <c r="OGR44" s="481"/>
      <c r="OGS44" s="481"/>
      <c r="OGT44" s="481"/>
      <c r="OGU44" s="481"/>
      <c r="OGV44" s="481"/>
      <c r="OGW44" s="481"/>
      <c r="OGX44" s="481"/>
      <c r="OGY44" s="481"/>
      <c r="OGZ44" s="481"/>
      <c r="OHA44" s="481"/>
      <c r="OHB44" s="481"/>
      <c r="OHC44" s="481"/>
      <c r="OHD44" s="481"/>
      <c r="OHE44" s="481"/>
      <c r="OHF44" s="481"/>
      <c r="OHG44" s="481"/>
      <c r="OHH44" s="481"/>
      <c r="OHI44" s="481"/>
      <c r="OHJ44" s="481"/>
      <c r="OHK44" s="481"/>
      <c r="OHL44" s="481"/>
      <c r="OHM44" s="481"/>
      <c r="OHN44" s="481"/>
      <c r="OHO44" s="481"/>
      <c r="OHP44" s="481"/>
      <c r="OHQ44" s="481"/>
      <c r="OHR44" s="481"/>
      <c r="OHS44" s="481"/>
      <c r="OHT44" s="481"/>
      <c r="OHU44" s="481"/>
      <c r="OHV44" s="481"/>
      <c r="OHW44" s="481"/>
      <c r="OHX44" s="481"/>
      <c r="OHY44" s="481"/>
      <c r="OHZ44" s="481"/>
      <c r="OIA44" s="481"/>
      <c r="OIB44" s="481"/>
      <c r="OIC44" s="481"/>
      <c r="OID44" s="481"/>
      <c r="OIE44" s="481"/>
      <c r="OIF44" s="481"/>
      <c r="OIG44" s="481"/>
      <c r="OIH44" s="481"/>
      <c r="OII44" s="481"/>
      <c r="OIJ44" s="481"/>
      <c r="OIK44" s="481"/>
      <c r="OIL44" s="481"/>
      <c r="OIM44" s="481"/>
      <c r="OIN44" s="481"/>
      <c r="OIO44" s="481"/>
      <c r="OIP44" s="481"/>
      <c r="OIQ44" s="481"/>
      <c r="OIR44" s="481"/>
      <c r="OIS44" s="481"/>
      <c r="OIT44" s="481"/>
      <c r="OIU44" s="481"/>
      <c r="OIV44" s="481"/>
      <c r="OIW44" s="481"/>
      <c r="OIX44" s="481"/>
      <c r="OIY44" s="481"/>
      <c r="OIZ44" s="481"/>
      <c r="OJA44" s="481"/>
      <c r="OJB44" s="481"/>
      <c r="OJC44" s="481"/>
      <c r="OJD44" s="481"/>
      <c r="OJE44" s="481"/>
      <c r="OJF44" s="481"/>
      <c r="OJG44" s="481"/>
      <c r="OJH44" s="481"/>
      <c r="OJI44" s="481"/>
      <c r="OJJ44" s="481"/>
      <c r="OJK44" s="481"/>
      <c r="OJL44" s="481"/>
      <c r="OJM44" s="481"/>
      <c r="OJN44" s="481"/>
      <c r="OJO44" s="481"/>
      <c r="OJP44" s="481"/>
      <c r="OJQ44" s="481"/>
      <c r="OJR44" s="481"/>
      <c r="OJS44" s="481"/>
      <c r="OJT44" s="481"/>
      <c r="OJU44" s="481"/>
      <c r="OJV44" s="481"/>
      <c r="OJW44" s="481"/>
      <c r="OJX44" s="481"/>
      <c r="OJY44" s="481"/>
      <c r="OJZ44" s="481"/>
      <c r="OKA44" s="481"/>
      <c r="OKB44" s="481"/>
      <c r="OKC44" s="481"/>
      <c r="OKD44" s="481"/>
      <c r="OKE44" s="481"/>
      <c r="OKF44" s="481"/>
      <c r="OKG44" s="481"/>
      <c r="OKH44" s="481"/>
      <c r="OKI44" s="481"/>
      <c r="OKJ44" s="481"/>
      <c r="OKK44" s="481"/>
      <c r="OKL44" s="481"/>
      <c r="OKM44" s="481"/>
      <c r="OKN44" s="481"/>
      <c r="OKO44" s="481"/>
      <c r="OKP44" s="481"/>
      <c r="OKQ44" s="481"/>
      <c r="OKR44" s="481"/>
      <c r="OKS44" s="481"/>
      <c r="OKT44" s="481"/>
      <c r="OKU44" s="481"/>
      <c r="OKV44" s="481"/>
      <c r="OKW44" s="481"/>
      <c r="OKX44" s="481"/>
      <c r="OKY44" s="481"/>
      <c r="OKZ44" s="481"/>
      <c r="OLA44" s="481"/>
      <c r="OLB44" s="481"/>
      <c r="OLC44" s="481"/>
      <c r="OLD44" s="481"/>
      <c r="OLE44" s="481"/>
      <c r="OLF44" s="481"/>
      <c r="OLG44" s="481"/>
      <c r="OLH44" s="481"/>
      <c r="OLI44" s="481"/>
      <c r="OLJ44" s="481"/>
      <c r="OLK44" s="481"/>
      <c r="OLL44" s="481"/>
      <c r="OLM44" s="481"/>
      <c r="OLN44" s="481"/>
      <c r="OLO44" s="481"/>
      <c r="OLP44" s="481"/>
      <c r="OLQ44" s="481"/>
      <c r="OLR44" s="481"/>
      <c r="OLS44" s="481"/>
      <c r="OLT44" s="481"/>
      <c r="OLU44" s="481"/>
      <c r="OLV44" s="481"/>
      <c r="OLW44" s="481"/>
      <c r="OLX44" s="481"/>
      <c r="OLY44" s="481"/>
      <c r="OLZ44" s="481"/>
      <c r="OMA44" s="481"/>
      <c r="OMB44" s="481"/>
      <c r="OMC44" s="481"/>
      <c r="OMD44" s="481"/>
      <c r="OME44" s="481"/>
      <c r="OMF44" s="481"/>
      <c r="OMG44" s="481"/>
      <c r="OMH44" s="481"/>
      <c r="OMI44" s="481"/>
      <c r="OMJ44" s="481"/>
      <c r="OMK44" s="481"/>
      <c r="OML44" s="481"/>
      <c r="OMM44" s="481"/>
      <c r="OMN44" s="481"/>
      <c r="OMO44" s="481"/>
      <c r="OMP44" s="481"/>
      <c r="OMQ44" s="481"/>
      <c r="OMR44" s="481"/>
      <c r="OMS44" s="481"/>
      <c r="OMT44" s="481"/>
      <c r="OMU44" s="481"/>
      <c r="OMV44" s="481"/>
      <c r="OMW44" s="481"/>
      <c r="OMX44" s="481"/>
      <c r="OMY44" s="481"/>
      <c r="OMZ44" s="481"/>
      <c r="ONA44" s="481"/>
      <c r="ONB44" s="481"/>
      <c r="ONC44" s="481"/>
      <c r="OND44" s="481"/>
      <c r="ONE44" s="481"/>
      <c r="ONF44" s="481"/>
      <c r="ONG44" s="481"/>
      <c r="ONH44" s="481"/>
      <c r="ONI44" s="481"/>
      <c r="ONJ44" s="481"/>
      <c r="ONK44" s="481"/>
      <c r="ONL44" s="481"/>
      <c r="ONM44" s="481"/>
      <c r="ONN44" s="481"/>
      <c r="ONO44" s="481"/>
      <c r="ONP44" s="481"/>
      <c r="ONQ44" s="481"/>
      <c r="ONR44" s="481"/>
      <c r="ONS44" s="481"/>
      <c r="ONT44" s="481"/>
      <c r="ONU44" s="481"/>
      <c r="ONV44" s="481"/>
      <c r="ONW44" s="481"/>
      <c r="ONX44" s="481"/>
      <c r="ONY44" s="481"/>
      <c r="ONZ44" s="481"/>
      <c r="OOA44" s="481"/>
      <c r="OOB44" s="481"/>
      <c r="OOC44" s="481"/>
      <c r="OOD44" s="481"/>
      <c r="OOE44" s="481"/>
      <c r="OOF44" s="481"/>
      <c r="OOG44" s="481"/>
      <c r="OOH44" s="481"/>
      <c r="OOI44" s="481"/>
      <c r="OOJ44" s="481"/>
      <c r="OOK44" s="481"/>
      <c r="OOL44" s="481"/>
      <c r="OOM44" s="481"/>
      <c r="OON44" s="481"/>
      <c r="OOO44" s="481"/>
      <c r="OOP44" s="481"/>
      <c r="OOQ44" s="481"/>
      <c r="OOR44" s="481"/>
      <c r="OOS44" s="481"/>
      <c r="OOT44" s="481"/>
      <c r="OOU44" s="481"/>
      <c r="OOV44" s="481"/>
      <c r="OOW44" s="481"/>
      <c r="OOX44" s="481"/>
      <c r="OOY44" s="481"/>
      <c r="OOZ44" s="481"/>
      <c r="OPA44" s="481"/>
      <c r="OPB44" s="481"/>
      <c r="OPC44" s="481"/>
      <c r="OPD44" s="481"/>
      <c r="OPE44" s="481"/>
      <c r="OPF44" s="481"/>
      <c r="OPG44" s="481"/>
      <c r="OPH44" s="481"/>
      <c r="OPI44" s="481"/>
      <c r="OPJ44" s="481"/>
      <c r="OPK44" s="481"/>
      <c r="OPL44" s="481"/>
      <c r="OPM44" s="481"/>
      <c r="OPN44" s="481"/>
      <c r="OPO44" s="481"/>
      <c r="OPP44" s="481"/>
      <c r="OPQ44" s="481"/>
      <c r="OPR44" s="481"/>
      <c r="OPS44" s="481"/>
      <c r="OPT44" s="481"/>
      <c r="OPU44" s="481"/>
      <c r="OPV44" s="481"/>
      <c r="OPW44" s="481"/>
      <c r="OPX44" s="481"/>
      <c r="OPY44" s="481"/>
      <c r="OPZ44" s="481"/>
      <c r="OQA44" s="481"/>
      <c r="OQB44" s="481"/>
      <c r="OQC44" s="481"/>
      <c r="OQD44" s="481"/>
      <c r="OQE44" s="481"/>
      <c r="OQF44" s="481"/>
      <c r="OQG44" s="481"/>
      <c r="OQH44" s="481"/>
      <c r="OQI44" s="481"/>
      <c r="OQJ44" s="481"/>
      <c r="OQK44" s="481"/>
      <c r="OQL44" s="481"/>
      <c r="OQM44" s="481"/>
      <c r="OQN44" s="481"/>
      <c r="OQO44" s="481"/>
      <c r="OQP44" s="481"/>
      <c r="OQQ44" s="481"/>
      <c r="OQR44" s="481"/>
      <c r="OQS44" s="481"/>
      <c r="OQT44" s="481"/>
      <c r="OQU44" s="481"/>
      <c r="OQV44" s="481"/>
      <c r="OQW44" s="481"/>
      <c r="OQX44" s="481"/>
      <c r="OQY44" s="481"/>
      <c r="OQZ44" s="481"/>
      <c r="ORA44" s="481"/>
      <c r="ORB44" s="481"/>
      <c r="ORC44" s="481"/>
      <c r="ORD44" s="481"/>
      <c r="ORE44" s="481"/>
      <c r="ORF44" s="481"/>
      <c r="ORG44" s="481"/>
      <c r="ORH44" s="481"/>
      <c r="ORI44" s="481"/>
      <c r="ORJ44" s="481"/>
      <c r="ORK44" s="481"/>
      <c r="ORL44" s="481"/>
      <c r="ORM44" s="481"/>
      <c r="ORN44" s="481"/>
      <c r="ORO44" s="481"/>
      <c r="ORP44" s="481"/>
      <c r="ORQ44" s="481"/>
      <c r="ORR44" s="481"/>
      <c r="ORS44" s="481"/>
      <c r="ORT44" s="481"/>
      <c r="ORU44" s="481"/>
      <c r="ORV44" s="481"/>
      <c r="ORW44" s="481"/>
      <c r="ORX44" s="481"/>
      <c r="ORY44" s="481"/>
      <c r="ORZ44" s="481"/>
      <c r="OSA44" s="481"/>
      <c r="OSB44" s="481"/>
      <c r="OSC44" s="481"/>
      <c r="OSD44" s="481"/>
      <c r="OSE44" s="481"/>
      <c r="OSF44" s="481"/>
      <c r="OSG44" s="481"/>
      <c r="OSH44" s="481"/>
      <c r="OSI44" s="481"/>
      <c r="OSJ44" s="481"/>
      <c r="OSK44" s="481"/>
      <c r="OSL44" s="481"/>
      <c r="OSM44" s="481"/>
      <c r="OSN44" s="481"/>
      <c r="OSO44" s="481"/>
      <c r="OSP44" s="481"/>
      <c r="OSQ44" s="481"/>
      <c r="OSR44" s="481"/>
      <c r="OSS44" s="481"/>
      <c r="OST44" s="481"/>
      <c r="OSU44" s="481"/>
      <c r="OSV44" s="481"/>
      <c r="OSW44" s="481"/>
      <c r="OSX44" s="481"/>
      <c r="OSY44" s="481"/>
      <c r="OSZ44" s="481"/>
      <c r="OTA44" s="481"/>
      <c r="OTB44" s="481"/>
      <c r="OTC44" s="481"/>
      <c r="OTD44" s="481"/>
      <c r="OTE44" s="481"/>
      <c r="OTF44" s="481"/>
      <c r="OTG44" s="481"/>
      <c r="OTH44" s="481"/>
      <c r="OTI44" s="481"/>
      <c r="OTJ44" s="481"/>
      <c r="OTK44" s="481"/>
      <c r="OTL44" s="481"/>
      <c r="OTM44" s="481"/>
      <c r="OTN44" s="481"/>
      <c r="OTO44" s="481"/>
      <c r="OTP44" s="481"/>
      <c r="OTQ44" s="481"/>
      <c r="OTR44" s="481"/>
      <c r="OTS44" s="481"/>
      <c r="OTT44" s="481"/>
      <c r="OTU44" s="481"/>
      <c r="OTV44" s="481"/>
      <c r="OTW44" s="481"/>
      <c r="OTX44" s="481"/>
      <c r="OTY44" s="481"/>
      <c r="OTZ44" s="481"/>
      <c r="OUA44" s="481"/>
      <c r="OUB44" s="481"/>
      <c r="OUC44" s="481"/>
      <c r="OUD44" s="481"/>
      <c r="OUE44" s="481"/>
      <c r="OUF44" s="481"/>
      <c r="OUG44" s="481"/>
      <c r="OUH44" s="481"/>
      <c r="OUI44" s="481"/>
      <c r="OUJ44" s="481"/>
      <c r="OUK44" s="481"/>
      <c r="OUL44" s="481"/>
      <c r="OUM44" s="481"/>
      <c r="OUN44" s="481"/>
      <c r="OUO44" s="481"/>
      <c r="OUP44" s="481"/>
      <c r="OUQ44" s="481"/>
      <c r="OUR44" s="481"/>
      <c r="OUS44" s="481"/>
      <c r="OUT44" s="481"/>
      <c r="OUU44" s="481"/>
      <c r="OUV44" s="481"/>
      <c r="OUW44" s="481"/>
      <c r="OUX44" s="481"/>
      <c r="OUY44" s="481"/>
      <c r="OUZ44" s="481"/>
      <c r="OVA44" s="481"/>
      <c r="OVB44" s="481"/>
      <c r="OVC44" s="481"/>
      <c r="OVD44" s="481"/>
      <c r="OVE44" s="481"/>
      <c r="OVF44" s="481"/>
      <c r="OVG44" s="481"/>
      <c r="OVH44" s="481"/>
      <c r="OVI44" s="481"/>
      <c r="OVJ44" s="481"/>
      <c r="OVK44" s="481"/>
      <c r="OVL44" s="481"/>
      <c r="OVM44" s="481"/>
      <c r="OVN44" s="481"/>
      <c r="OVO44" s="481"/>
      <c r="OVP44" s="481"/>
      <c r="OVQ44" s="481"/>
      <c r="OVR44" s="481"/>
      <c r="OVS44" s="481"/>
      <c r="OVT44" s="481"/>
      <c r="OVU44" s="481"/>
      <c r="OVV44" s="481"/>
      <c r="OVW44" s="481"/>
      <c r="OVX44" s="481"/>
      <c r="OVY44" s="481"/>
      <c r="OVZ44" s="481"/>
      <c r="OWA44" s="481"/>
      <c r="OWB44" s="481"/>
      <c r="OWC44" s="481"/>
      <c r="OWD44" s="481"/>
      <c r="OWE44" s="481"/>
      <c r="OWF44" s="481"/>
      <c r="OWG44" s="481"/>
      <c r="OWH44" s="481"/>
      <c r="OWI44" s="481"/>
      <c r="OWJ44" s="481"/>
      <c r="OWK44" s="481"/>
      <c r="OWL44" s="481"/>
      <c r="OWM44" s="481"/>
      <c r="OWN44" s="481"/>
      <c r="OWO44" s="481"/>
      <c r="OWP44" s="481"/>
      <c r="OWQ44" s="481"/>
      <c r="OWR44" s="481"/>
      <c r="OWS44" s="481"/>
      <c r="OWT44" s="481"/>
      <c r="OWU44" s="481"/>
      <c r="OWV44" s="481"/>
      <c r="OWW44" s="481"/>
      <c r="OWX44" s="481"/>
      <c r="OWY44" s="481"/>
      <c r="OWZ44" s="481"/>
      <c r="OXA44" s="481"/>
      <c r="OXB44" s="481"/>
      <c r="OXC44" s="481"/>
      <c r="OXD44" s="481"/>
      <c r="OXE44" s="481"/>
      <c r="OXF44" s="481"/>
      <c r="OXG44" s="481"/>
      <c r="OXH44" s="481"/>
      <c r="OXI44" s="481"/>
      <c r="OXJ44" s="481"/>
      <c r="OXK44" s="481"/>
      <c r="OXL44" s="481"/>
      <c r="OXM44" s="481"/>
      <c r="OXN44" s="481"/>
      <c r="OXO44" s="481"/>
      <c r="OXP44" s="481"/>
      <c r="OXQ44" s="481"/>
      <c r="OXR44" s="481"/>
      <c r="OXS44" s="481"/>
      <c r="OXT44" s="481"/>
      <c r="OXU44" s="481"/>
      <c r="OXV44" s="481"/>
      <c r="OXW44" s="481"/>
      <c r="OXX44" s="481"/>
      <c r="OXY44" s="481"/>
      <c r="OXZ44" s="481"/>
      <c r="OYA44" s="481"/>
      <c r="OYB44" s="481"/>
      <c r="OYC44" s="481"/>
      <c r="OYD44" s="481"/>
      <c r="OYE44" s="481"/>
      <c r="OYF44" s="481"/>
      <c r="OYG44" s="481"/>
      <c r="OYH44" s="481"/>
      <c r="OYI44" s="481"/>
      <c r="OYJ44" s="481"/>
      <c r="OYK44" s="481"/>
      <c r="OYL44" s="481"/>
      <c r="OYM44" s="481"/>
      <c r="OYN44" s="481"/>
      <c r="OYO44" s="481"/>
      <c r="OYP44" s="481"/>
      <c r="OYQ44" s="481"/>
      <c r="OYR44" s="481"/>
      <c r="OYS44" s="481"/>
      <c r="OYT44" s="481"/>
      <c r="OYU44" s="481"/>
      <c r="OYV44" s="481"/>
      <c r="OYW44" s="481"/>
      <c r="OYX44" s="481"/>
      <c r="OYY44" s="481"/>
      <c r="OYZ44" s="481"/>
      <c r="OZA44" s="481"/>
      <c r="OZB44" s="481"/>
      <c r="OZC44" s="481"/>
      <c r="OZD44" s="481"/>
      <c r="OZE44" s="481"/>
      <c r="OZF44" s="481"/>
      <c r="OZG44" s="481"/>
      <c r="OZH44" s="481"/>
      <c r="OZI44" s="481"/>
      <c r="OZJ44" s="481"/>
      <c r="OZK44" s="481"/>
      <c r="OZL44" s="481"/>
      <c r="OZM44" s="481"/>
      <c r="OZN44" s="481"/>
      <c r="OZO44" s="481"/>
      <c r="OZP44" s="481"/>
      <c r="OZQ44" s="481"/>
      <c r="OZR44" s="481"/>
      <c r="OZS44" s="481"/>
      <c r="OZT44" s="481"/>
      <c r="OZU44" s="481"/>
      <c r="OZV44" s="481"/>
      <c r="OZW44" s="481"/>
      <c r="OZX44" s="481"/>
      <c r="OZY44" s="481"/>
      <c r="OZZ44" s="481"/>
      <c r="PAA44" s="481"/>
      <c r="PAB44" s="481"/>
      <c r="PAC44" s="481"/>
      <c r="PAD44" s="481"/>
      <c r="PAE44" s="481"/>
      <c r="PAF44" s="481"/>
      <c r="PAG44" s="481"/>
      <c r="PAH44" s="481"/>
      <c r="PAI44" s="481"/>
      <c r="PAJ44" s="481"/>
      <c r="PAK44" s="481"/>
      <c r="PAL44" s="481"/>
      <c r="PAM44" s="481"/>
      <c r="PAN44" s="481"/>
      <c r="PAO44" s="481"/>
      <c r="PAP44" s="481"/>
      <c r="PAQ44" s="481"/>
      <c r="PAR44" s="481"/>
      <c r="PAS44" s="481"/>
      <c r="PAT44" s="481"/>
      <c r="PAU44" s="481"/>
      <c r="PAV44" s="481"/>
      <c r="PAW44" s="481"/>
      <c r="PAX44" s="481"/>
      <c r="PAY44" s="481"/>
      <c r="PAZ44" s="481"/>
      <c r="PBA44" s="481"/>
      <c r="PBB44" s="481"/>
      <c r="PBC44" s="481"/>
      <c r="PBD44" s="481"/>
      <c r="PBE44" s="481"/>
      <c r="PBF44" s="481"/>
      <c r="PBG44" s="481"/>
      <c r="PBH44" s="481"/>
      <c r="PBI44" s="481"/>
      <c r="PBJ44" s="481"/>
      <c r="PBK44" s="481"/>
      <c r="PBL44" s="481"/>
      <c r="PBM44" s="481"/>
      <c r="PBN44" s="481"/>
      <c r="PBO44" s="481"/>
      <c r="PBP44" s="481"/>
      <c r="PBQ44" s="481"/>
      <c r="PBR44" s="481"/>
      <c r="PBS44" s="481"/>
      <c r="PBT44" s="481"/>
      <c r="PBU44" s="481"/>
      <c r="PBV44" s="481"/>
      <c r="PBW44" s="481"/>
      <c r="PBX44" s="481"/>
      <c r="PBY44" s="481"/>
      <c r="PBZ44" s="481"/>
      <c r="PCA44" s="481"/>
      <c r="PCB44" s="481"/>
      <c r="PCC44" s="481"/>
      <c r="PCD44" s="481"/>
      <c r="PCE44" s="481"/>
      <c r="PCF44" s="481"/>
      <c r="PCG44" s="481"/>
      <c r="PCH44" s="481"/>
      <c r="PCI44" s="481"/>
      <c r="PCJ44" s="481"/>
      <c r="PCK44" s="481"/>
      <c r="PCL44" s="481"/>
      <c r="PCM44" s="481"/>
      <c r="PCN44" s="481"/>
      <c r="PCO44" s="481"/>
      <c r="PCP44" s="481"/>
      <c r="PCQ44" s="481"/>
      <c r="PCR44" s="481"/>
      <c r="PCS44" s="481"/>
      <c r="PCT44" s="481"/>
      <c r="PCU44" s="481"/>
      <c r="PCV44" s="481"/>
      <c r="PCW44" s="481"/>
      <c r="PCX44" s="481"/>
      <c r="PCY44" s="481"/>
      <c r="PCZ44" s="481"/>
      <c r="PDA44" s="481"/>
      <c r="PDB44" s="481"/>
      <c r="PDC44" s="481"/>
      <c r="PDD44" s="481"/>
      <c r="PDE44" s="481"/>
      <c r="PDF44" s="481"/>
      <c r="PDG44" s="481"/>
      <c r="PDH44" s="481"/>
      <c r="PDI44" s="481"/>
      <c r="PDJ44" s="481"/>
      <c r="PDK44" s="481"/>
      <c r="PDL44" s="481"/>
      <c r="PDM44" s="481"/>
      <c r="PDN44" s="481"/>
      <c r="PDO44" s="481"/>
      <c r="PDP44" s="481"/>
      <c r="PDQ44" s="481"/>
      <c r="PDR44" s="481"/>
      <c r="PDS44" s="481"/>
      <c r="PDT44" s="481"/>
      <c r="PDU44" s="481"/>
      <c r="PDV44" s="481"/>
      <c r="PDW44" s="481"/>
      <c r="PDX44" s="481"/>
      <c r="PDY44" s="481"/>
      <c r="PDZ44" s="481"/>
      <c r="PEA44" s="481"/>
      <c r="PEB44" s="481"/>
      <c r="PEC44" s="481"/>
      <c r="PED44" s="481"/>
      <c r="PEE44" s="481"/>
      <c r="PEF44" s="481"/>
      <c r="PEG44" s="481"/>
      <c r="PEH44" s="481"/>
      <c r="PEI44" s="481"/>
      <c r="PEJ44" s="481"/>
      <c r="PEK44" s="481"/>
      <c r="PEL44" s="481"/>
      <c r="PEM44" s="481"/>
      <c r="PEN44" s="481"/>
      <c r="PEO44" s="481"/>
      <c r="PEP44" s="481"/>
      <c r="PEQ44" s="481"/>
      <c r="PER44" s="481"/>
      <c r="PES44" s="481"/>
      <c r="PET44" s="481"/>
      <c r="PEU44" s="481"/>
      <c r="PEV44" s="481"/>
      <c r="PEW44" s="481"/>
      <c r="PEX44" s="481"/>
      <c r="PEY44" s="481"/>
      <c r="PEZ44" s="481"/>
      <c r="PFA44" s="481"/>
      <c r="PFB44" s="481"/>
      <c r="PFC44" s="481"/>
      <c r="PFD44" s="481"/>
      <c r="PFE44" s="481"/>
      <c r="PFF44" s="481"/>
      <c r="PFG44" s="481"/>
      <c r="PFH44" s="481"/>
      <c r="PFI44" s="481"/>
      <c r="PFJ44" s="481"/>
      <c r="PFK44" s="481"/>
      <c r="PFL44" s="481"/>
      <c r="PFM44" s="481"/>
      <c r="PFN44" s="481"/>
      <c r="PFO44" s="481"/>
      <c r="PFP44" s="481"/>
      <c r="PFQ44" s="481"/>
      <c r="PFR44" s="481"/>
      <c r="PFS44" s="481"/>
      <c r="PFT44" s="481"/>
      <c r="PFU44" s="481"/>
      <c r="PFV44" s="481"/>
      <c r="PFW44" s="481"/>
      <c r="PFX44" s="481"/>
      <c r="PFY44" s="481"/>
      <c r="PFZ44" s="481"/>
      <c r="PGA44" s="481"/>
      <c r="PGB44" s="481"/>
      <c r="PGC44" s="481"/>
      <c r="PGD44" s="481"/>
      <c r="PGE44" s="481"/>
      <c r="PGF44" s="481"/>
      <c r="PGG44" s="481"/>
      <c r="PGH44" s="481"/>
      <c r="PGI44" s="481"/>
      <c r="PGJ44" s="481"/>
      <c r="PGK44" s="481"/>
      <c r="PGL44" s="481"/>
      <c r="PGM44" s="481"/>
      <c r="PGN44" s="481"/>
      <c r="PGO44" s="481"/>
      <c r="PGP44" s="481"/>
      <c r="PGQ44" s="481"/>
      <c r="PGR44" s="481"/>
      <c r="PGS44" s="481"/>
      <c r="PGT44" s="481"/>
      <c r="PGU44" s="481"/>
      <c r="PGV44" s="481"/>
      <c r="PGW44" s="481"/>
      <c r="PGX44" s="481"/>
      <c r="PGY44" s="481"/>
      <c r="PGZ44" s="481"/>
      <c r="PHA44" s="481"/>
      <c r="PHB44" s="481"/>
      <c r="PHC44" s="481"/>
      <c r="PHD44" s="481"/>
      <c r="PHE44" s="481"/>
      <c r="PHF44" s="481"/>
      <c r="PHG44" s="481"/>
      <c r="PHH44" s="481"/>
      <c r="PHI44" s="481"/>
      <c r="PHJ44" s="481"/>
      <c r="PHK44" s="481"/>
      <c r="PHL44" s="481"/>
      <c r="PHM44" s="481"/>
      <c r="PHN44" s="481"/>
      <c r="PHO44" s="481"/>
      <c r="PHP44" s="481"/>
      <c r="PHQ44" s="481"/>
      <c r="PHR44" s="481"/>
      <c r="PHS44" s="481"/>
      <c r="PHT44" s="481"/>
      <c r="PHU44" s="481"/>
      <c r="PHV44" s="481"/>
      <c r="PHW44" s="481"/>
      <c r="PHX44" s="481"/>
      <c r="PHY44" s="481"/>
      <c r="PHZ44" s="481"/>
      <c r="PIA44" s="481"/>
      <c r="PIB44" s="481"/>
      <c r="PIC44" s="481"/>
      <c r="PID44" s="481"/>
      <c r="PIE44" s="481"/>
      <c r="PIF44" s="481"/>
      <c r="PIG44" s="481"/>
      <c r="PIH44" s="481"/>
      <c r="PII44" s="481"/>
      <c r="PIJ44" s="481"/>
      <c r="PIK44" s="481"/>
      <c r="PIL44" s="481"/>
      <c r="PIM44" s="481"/>
      <c r="PIN44" s="481"/>
      <c r="PIO44" s="481"/>
      <c r="PIP44" s="481"/>
      <c r="PIQ44" s="481"/>
      <c r="PIR44" s="481"/>
      <c r="PIS44" s="481"/>
      <c r="PIT44" s="481"/>
      <c r="PIU44" s="481"/>
      <c r="PIV44" s="481"/>
      <c r="PIW44" s="481"/>
      <c r="PIX44" s="481"/>
      <c r="PIY44" s="481"/>
      <c r="PIZ44" s="481"/>
      <c r="PJA44" s="481"/>
      <c r="PJB44" s="481"/>
      <c r="PJC44" s="481"/>
      <c r="PJD44" s="481"/>
      <c r="PJE44" s="481"/>
      <c r="PJF44" s="481"/>
      <c r="PJG44" s="481"/>
      <c r="PJH44" s="481"/>
      <c r="PJI44" s="481"/>
      <c r="PJJ44" s="481"/>
      <c r="PJK44" s="481"/>
      <c r="PJL44" s="481"/>
      <c r="PJM44" s="481"/>
      <c r="PJN44" s="481"/>
      <c r="PJO44" s="481"/>
      <c r="PJP44" s="481"/>
      <c r="PJQ44" s="481"/>
      <c r="PJR44" s="481"/>
      <c r="PJS44" s="481"/>
      <c r="PJT44" s="481"/>
      <c r="PJU44" s="481"/>
      <c r="PJV44" s="481"/>
      <c r="PJW44" s="481"/>
      <c r="PJX44" s="481"/>
      <c r="PJY44" s="481"/>
      <c r="PJZ44" s="481"/>
      <c r="PKA44" s="481"/>
      <c r="PKB44" s="481"/>
      <c r="PKC44" s="481"/>
      <c r="PKD44" s="481"/>
      <c r="PKE44" s="481"/>
      <c r="PKF44" s="481"/>
      <c r="PKG44" s="481"/>
      <c r="PKH44" s="481"/>
      <c r="PKI44" s="481"/>
      <c r="PKJ44" s="481"/>
      <c r="PKK44" s="481"/>
      <c r="PKL44" s="481"/>
      <c r="PKM44" s="481"/>
      <c r="PKN44" s="481"/>
      <c r="PKO44" s="481"/>
      <c r="PKP44" s="481"/>
      <c r="PKQ44" s="481"/>
      <c r="PKR44" s="481"/>
      <c r="PKS44" s="481"/>
      <c r="PKT44" s="481"/>
      <c r="PKU44" s="481"/>
      <c r="PKV44" s="481"/>
      <c r="PKW44" s="481"/>
      <c r="PKX44" s="481"/>
      <c r="PKY44" s="481"/>
      <c r="PKZ44" s="481"/>
      <c r="PLA44" s="481"/>
      <c r="PLB44" s="481"/>
      <c r="PLC44" s="481"/>
      <c r="PLD44" s="481"/>
      <c r="PLE44" s="481"/>
      <c r="PLF44" s="481"/>
      <c r="PLG44" s="481"/>
      <c r="PLH44" s="481"/>
      <c r="PLI44" s="481"/>
      <c r="PLJ44" s="481"/>
      <c r="PLK44" s="481"/>
      <c r="PLL44" s="481"/>
      <c r="PLM44" s="481"/>
      <c r="PLN44" s="481"/>
      <c r="PLO44" s="481"/>
      <c r="PLP44" s="481"/>
      <c r="PLQ44" s="481"/>
      <c r="PLR44" s="481"/>
      <c r="PLS44" s="481"/>
      <c r="PLT44" s="481"/>
      <c r="PLU44" s="481"/>
      <c r="PLV44" s="481"/>
      <c r="PLW44" s="481"/>
      <c r="PLX44" s="481"/>
      <c r="PLY44" s="481"/>
      <c r="PLZ44" s="481"/>
      <c r="PMA44" s="481"/>
      <c r="PMB44" s="481"/>
      <c r="PMC44" s="481"/>
      <c r="PMD44" s="481"/>
      <c r="PME44" s="481"/>
      <c r="PMF44" s="481"/>
      <c r="PMG44" s="481"/>
      <c r="PMH44" s="481"/>
      <c r="PMI44" s="481"/>
      <c r="PMJ44" s="481"/>
      <c r="PMK44" s="481"/>
      <c r="PML44" s="481"/>
      <c r="PMM44" s="481"/>
      <c r="PMN44" s="481"/>
      <c r="PMO44" s="481"/>
      <c r="PMP44" s="481"/>
      <c r="PMQ44" s="481"/>
      <c r="PMR44" s="481"/>
      <c r="PMS44" s="481"/>
      <c r="PMT44" s="481"/>
      <c r="PMU44" s="481"/>
      <c r="PMV44" s="481"/>
      <c r="PMW44" s="481"/>
      <c r="PMX44" s="481"/>
      <c r="PMY44" s="481"/>
      <c r="PMZ44" s="481"/>
      <c r="PNA44" s="481"/>
      <c r="PNB44" s="481"/>
      <c r="PNC44" s="481"/>
      <c r="PND44" s="481"/>
      <c r="PNE44" s="481"/>
      <c r="PNF44" s="481"/>
      <c r="PNG44" s="481"/>
      <c r="PNH44" s="481"/>
      <c r="PNI44" s="481"/>
      <c r="PNJ44" s="481"/>
      <c r="PNK44" s="481"/>
      <c r="PNL44" s="481"/>
      <c r="PNM44" s="481"/>
      <c r="PNN44" s="481"/>
      <c r="PNO44" s="481"/>
      <c r="PNP44" s="481"/>
      <c r="PNQ44" s="481"/>
      <c r="PNR44" s="481"/>
      <c r="PNS44" s="481"/>
      <c r="PNT44" s="481"/>
      <c r="PNU44" s="481"/>
      <c r="PNV44" s="481"/>
      <c r="PNW44" s="481"/>
      <c r="PNX44" s="481"/>
      <c r="PNY44" s="481"/>
      <c r="PNZ44" s="481"/>
      <c r="POA44" s="481"/>
      <c r="POB44" s="481"/>
      <c r="POC44" s="481"/>
      <c r="POD44" s="481"/>
      <c r="POE44" s="481"/>
      <c r="POF44" s="481"/>
      <c r="POG44" s="481"/>
      <c r="POH44" s="481"/>
      <c r="POI44" s="481"/>
      <c r="POJ44" s="481"/>
      <c r="POK44" s="481"/>
      <c r="POL44" s="481"/>
      <c r="POM44" s="481"/>
      <c r="PON44" s="481"/>
      <c r="POO44" s="481"/>
      <c r="POP44" s="481"/>
      <c r="POQ44" s="481"/>
      <c r="POR44" s="481"/>
      <c r="POS44" s="481"/>
      <c r="POT44" s="481"/>
      <c r="POU44" s="481"/>
      <c r="POV44" s="481"/>
      <c r="POW44" s="481"/>
      <c r="POX44" s="481"/>
      <c r="POY44" s="481"/>
      <c r="POZ44" s="481"/>
      <c r="PPA44" s="481"/>
      <c r="PPB44" s="481"/>
      <c r="PPC44" s="481"/>
      <c r="PPD44" s="481"/>
      <c r="PPE44" s="481"/>
      <c r="PPF44" s="481"/>
      <c r="PPG44" s="481"/>
      <c r="PPH44" s="481"/>
      <c r="PPI44" s="481"/>
      <c r="PPJ44" s="481"/>
      <c r="PPK44" s="481"/>
      <c r="PPL44" s="481"/>
      <c r="PPM44" s="481"/>
      <c r="PPN44" s="481"/>
      <c r="PPO44" s="481"/>
      <c r="PPP44" s="481"/>
      <c r="PPQ44" s="481"/>
      <c r="PPR44" s="481"/>
      <c r="PPS44" s="481"/>
      <c r="PPT44" s="481"/>
      <c r="PPU44" s="481"/>
      <c r="PPV44" s="481"/>
      <c r="PPW44" s="481"/>
      <c r="PPX44" s="481"/>
      <c r="PPY44" s="481"/>
      <c r="PPZ44" s="481"/>
      <c r="PQA44" s="481"/>
      <c r="PQB44" s="481"/>
      <c r="PQC44" s="481"/>
      <c r="PQD44" s="481"/>
      <c r="PQE44" s="481"/>
      <c r="PQF44" s="481"/>
      <c r="PQG44" s="481"/>
      <c r="PQH44" s="481"/>
      <c r="PQI44" s="481"/>
      <c r="PQJ44" s="481"/>
      <c r="PQK44" s="481"/>
      <c r="PQL44" s="481"/>
      <c r="PQM44" s="481"/>
      <c r="PQN44" s="481"/>
      <c r="PQO44" s="481"/>
      <c r="PQP44" s="481"/>
      <c r="PQQ44" s="481"/>
      <c r="PQR44" s="481"/>
      <c r="PQS44" s="481"/>
      <c r="PQT44" s="481"/>
      <c r="PQU44" s="481"/>
      <c r="PQV44" s="481"/>
      <c r="PQW44" s="481"/>
      <c r="PQX44" s="481"/>
      <c r="PQY44" s="481"/>
      <c r="PQZ44" s="481"/>
      <c r="PRA44" s="481"/>
      <c r="PRB44" s="481"/>
      <c r="PRC44" s="481"/>
      <c r="PRD44" s="481"/>
      <c r="PRE44" s="481"/>
      <c r="PRF44" s="481"/>
      <c r="PRG44" s="481"/>
      <c r="PRH44" s="481"/>
      <c r="PRI44" s="481"/>
      <c r="PRJ44" s="481"/>
      <c r="PRK44" s="481"/>
      <c r="PRL44" s="481"/>
      <c r="PRM44" s="481"/>
      <c r="PRN44" s="481"/>
      <c r="PRO44" s="481"/>
      <c r="PRP44" s="481"/>
      <c r="PRQ44" s="481"/>
      <c r="PRR44" s="481"/>
      <c r="PRS44" s="481"/>
      <c r="PRT44" s="481"/>
      <c r="PRU44" s="481"/>
      <c r="PRV44" s="481"/>
      <c r="PRW44" s="481"/>
      <c r="PRX44" s="481"/>
      <c r="PRY44" s="481"/>
      <c r="PRZ44" s="481"/>
      <c r="PSA44" s="481"/>
      <c r="PSB44" s="481"/>
      <c r="PSC44" s="481"/>
      <c r="PSD44" s="481"/>
      <c r="PSE44" s="481"/>
      <c r="PSF44" s="481"/>
      <c r="PSG44" s="481"/>
      <c r="PSH44" s="481"/>
      <c r="PSI44" s="481"/>
      <c r="PSJ44" s="481"/>
      <c r="PSK44" s="481"/>
      <c r="PSL44" s="481"/>
      <c r="PSM44" s="481"/>
      <c r="PSN44" s="481"/>
      <c r="PSO44" s="481"/>
      <c r="PSP44" s="481"/>
      <c r="PSQ44" s="481"/>
      <c r="PSR44" s="481"/>
      <c r="PSS44" s="481"/>
      <c r="PST44" s="481"/>
      <c r="PSU44" s="481"/>
      <c r="PSV44" s="481"/>
      <c r="PSW44" s="481"/>
      <c r="PSX44" s="481"/>
      <c r="PSY44" s="481"/>
      <c r="PSZ44" s="481"/>
      <c r="PTA44" s="481"/>
      <c r="PTB44" s="481"/>
      <c r="PTC44" s="481"/>
      <c r="PTD44" s="481"/>
      <c r="PTE44" s="481"/>
      <c r="PTF44" s="481"/>
      <c r="PTG44" s="481"/>
      <c r="PTH44" s="481"/>
      <c r="PTI44" s="481"/>
      <c r="PTJ44" s="481"/>
      <c r="PTK44" s="481"/>
      <c r="PTL44" s="481"/>
      <c r="PTM44" s="481"/>
      <c r="PTN44" s="481"/>
      <c r="PTO44" s="481"/>
      <c r="PTP44" s="481"/>
      <c r="PTQ44" s="481"/>
      <c r="PTR44" s="481"/>
      <c r="PTS44" s="481"/>
      <c r="PTT44" s="481"/>
      <c r="PTU44" s="481"/>
      <c r="PTV44" s="481"/>
      <c r="PTW44" s="481"/>
      <c r="PTX44" s="481"/>
      <c r="PTY44" s="481"/>
      <c r="PTZ44" s="481"/>
      <c r="PUA44" s="481"/>
      <c r="PUB44" s="481"/>
      <c r="PUC44" s="481"/>
      <c r="PUD44" s="481"/>
      <c r="PUE44" s="481"/>
      <c r="PUF44" s="481"/>
      <c r="PUG44" s="481"/>
      <c r="PUH44" s="481"/>
      <c r="PUI44" s="481"/>
      <c r="PUJ44" s="481"/>
      <c r="PUK44" s="481"/>
      <c r="PUL44" s="481"/>
      <c r="PUM44" s="481"/>
      <c r="PUN44" s="481"/>
      <c r="PUO44" s="481"/>
      <c r="PUP44" s="481"/>
      <c r="PUQ44" s="481"/>
      <c r="PUR44" s="481"/>
      <c r="PUS44" s="481"/>
      <c r="PUT44" s="481"/>
      <c r="PUU44" s="481"/>
      <c r="PUV44" s="481"/>
      <c r="PUW44" s="481"/>
      <c r="PUX44" s="481"/>
      <c r="PUY44" s="481"/>
      <c r="PUZ44" s="481"/>
      <c r="PVA44" s="481"/>
      <c r="PVB44" s="481"/>
      <c r="PVC44" s="481"/>
      <c r="PVD44" s="481"/>
      <c r="PVE44" s="481"/>
      <c r="PVF44" s="481"/>
      <c r="PVG44" s="481"/>
      <c r="PVH44" s="481"/>
      <c r="PVI44" s="481"/>
      <c r="PVJ44" s="481"/>
      <c r="PVK44" s="481"/>
      <c r="PVL44" s="481"/>
      <c r="PVM44" s="481"/>
      <c r="PVN44" s="481"/>
      <c r="PVO44" s="481"/>
      <c r="PVP44" s="481"/>
      <c r="PVQ44" s="481"/>
      <c r="PVR44" s="481"/>
      <c r="PVS44" s="481"/>
      <c r="PVT44" s="481"/>
      <c r="PVU44" s="481"/>
      <c r="PVV44" s="481"/>
      <c r="PVW44" s="481"/>
      <c r="PVX44" s="481"/>
      <c r="PVY44" s="481"/>
      <c r="PVZ44" s="481"/>
      <c r="PWA44" s="481"/>
      <c r="PWB44" s="481"/>
      <c r="PWC44" s="481"/>
      <c r="PWD44" s="481"/>
      <c r="PWE44" s="481"/>
      <c r="PWF44" s="481"/>
      <c r="PWG44" s="481"/>
      <c r="PWH44" s="481"/>
      <c r="PWI44" s="481"/>
      <c r="PWJ44" s="481"/>
      <c r="PWK44" s="481"/>
      <c r="PWL44" s="481"/>
      <c r="PWM44" s="481"/>
      <c r="PWN44" s="481"/>
      <c r="PWO44" s="481"/>
      <c r="PWP44" s="481"/>
      <c r="PWQ44" s="481"/>
      <c r="PWR44" s="481"/>
      <c r="PWS44" s="481"/>
      <c r="PWT44" s="481"/>
      <c r="PWU44" s="481"/>
      <c r="PWV44" s="481"/>
      <c r="PWW44" s="481"/>
      <c r="PWX44" s="481"/>
      <c r="PWY44" s="481"/>
      <c r="PWZ44" s="481"/>
      <c r="PXA44" s="481"/>
      <c r="PXB44" s="481"/>
      <c r="PXC44" s="481"/>
      <c r="PXD44" s="481"/>
      <c r="PXE44" s="481"/>
      <c r="PXF44" s="481"/>
      <c r="PXG44" s="481"/>
      <c r="PXH44" s="481"/>
      <c r="PXI44" s="481"/>
      <c r="PXJ44" s="481"/>
      <c r="PXK44" s="481"/>
      <c r="PXL44" s="481"/>
      <c r="PXM44" s="481"/>
      <c r="PXN44" s="481"/>
      <c r="PXO44" s="481"/>
      <c r="PXP44" s="481"/>
      <c r="PXQ44" s="481"/>
      <c r="PXR44" s="481"/>
      <c r="PXS44" s="481"/>
      <c r="PXT44" s="481"/>
      <c r="PXU44" s="481"/>
      <c r="PXV44" s="481"/>
      <c r="PXW44" s="481"/>
      <c r="PXX44" s="481"/>
      <c r="PXY44" s="481"/>
      <c r="PXZ44" s="481"/>
      <c r="PYA44" s="481"/>
      <c r="PYB44" s="481"/>
      <c r="PYC44" s="481"/>
      <c r="PYD44" s="481"/>
      <c r="PYE44" s="481"/>
      <c r="PYF44" s="481"/>
      <c r="PYG44" s="481"/>
      <c r="PYH44" s="481"/>
      <c r="PYI44" s="481"/>
      <c r="PYJ44" s="481"/>
      <c r="PYK44" s="481"/>
      <c r="PYL44" s="481"/>
      <c r="PYM44" s="481"/>
      <c r="PYN44" s="481"/>
      <c r="PYO44" s="481"/>
      <c r="PYP44" s="481"/>
      <c r="PYQ44" s="481"/>
      <c r="PYR44" s="481"/>
      <c r="PYS44" s="481"/>
      <c r="PYT44" s="481"/>
      <c r="PYU44" s="481"/>
      <c r="PYV44" s="481"/>
      <c r="PYW44" s="481"/>
      <c r="PYX44" s="481"/>
      <c r="PYY44" s="481"/>
      <c r="PYZ44" s="481"/>
      <c r="PZA44" s="481"/>
      <c r="PZB44" s="481"/>
      <c r="PZC44" s="481"/>
      <c r="PZD44" s="481"/>
      <c r="PZE44" s="481"/>
      <c r="PZF44" s="481"/>
      <c r="PZG44" s="481"/>
      <c r="PZH44" s="481"/>
      <c r="PZI44" s="481"/>
      <c r="PZJ44" s="481"/>
      <c r="PZK44" s="481"/>
      <c r="PZL44" s="481"/>
      <c r="PZM44" s="481"/>
      <c r="PZN44" s="481"/>
      <c r="PZO44" s="481"/>
      <c r="PZP44" s="481"/>
      <c r="PZQ44" s="481"/>
      <c r="PZR44" s="481"/>
      <c r="PZS44" s="481"/>
      <c r="PZT44" s="481"/>
      <c r="PZU44" s="481"/>
      <c r="PZV44" s="481"/>
      <c r="PZW44" s="481"/>
      <c r="PZX44" s="481"/>
      <c r="PZY44" s="481"/>
      <c r="PZZ44" s="481"/>
      <c r="QAA44" s="481"/>
      <c r="QAB44" s="481"/>
      <c r="QAC44" s="481"/>
      <c r="QAD44" s="481"/>
      <c r="QAE44" s="481"/>
      <c r="QAF44" s="481"/>
      <c r="QAG44" s="481"/>
      <c r="QAH44" s="481"/>
      <c r="QAI44" s="481"/>
      <c r="QAJ44" s="481"/>
      <c r="QAK44" s="481"/>
      <c r="QAL44" s="481"/>
      <c r="QAM44" s="481"/>
      <c r="QAN44" s="481"/>
      <c r="QAO44" s="481"/>
      <c r="QAP44" s="481"/>
      <c r="QAQ44" s="481"/>
      <c r="QAR44" s="481"/>
      <c r="QAS44" s="481"/>
      <c r="QAT44" s="481"/>
      <c r="QAU44" s="481"/>
      <c r="QAV44" s="481"/>
      <c r="QAW44" s="481"/>
      <c r="QAX44" s="481"/>
      <c r="QAY44" s="481"/>
      <c r="QAZ44" s="481"/>
      <c r="QBA44" s="481"/>
      <c r="QBB44" s="481"/>
      <c r="QBC44" s="481"/>
      <c r="QBD44" s="481"/>
      <c r="QBE44" s="481"/>
      <c r="QBF44" s="481"/>
      <c r="QBG44" s="481"/>
      <c r="QBH44" s="481"/>
      <c r="QBI44" s="481"/>
      <c r="QBJ44" s="481"/>
      <c r="QBK44" s="481"/>
      <c r="QBL44" s="481"/>
      <c r="QBM44" s="481"/>
      <c r="QBN44" s="481"/>
      <c r="QBO44" s="481"/>
      <c r="QBP44" s="481"/>
      <c r="QBQ44" s="481"/>
      <c r="QBR44" s="481"/>
      <c r="QBS44" s="481"/>
      <c r="QBT44" s="481"/>
      <c r="QBU44" s="481"/>
      <c r="QBV44" s="481"/>
      <c r="QBW44" s="481"/>
      <c r="QBX44" s="481"/>
      <c r="QBY44" s="481"/>
      <c r="QBZ44" s="481"/>
      <c r="QCA44" s="481"/>
      <c r="QCB44" s="481"/>
      <c r="QCC44" s="481"/>
      <c r="QCD44" s="481"/>
      <c r="QCE44" s="481"/>
      <c r="QCF44" s="481"/>
      <c r="QCG44" s="481"/>
      <c r="QCH44" s="481"/>
      <c r="QCI44" s="481"/>
      <c r="QCJ44" s="481"/>
      <c r="QCK44" s="481"/>
      <c r="QCL44" s="481"/>
      <c r="QCM44" s="481"/>
      <c r="QCN44" s="481"/>
      <c r="QCO44" s="481"/>
      <c r="QCP44" s="481"/>
      <c r="QCQ44" s="481"/>
      <c r="QCR44" s="481"/>
      <c r="QCS44" s="481"/>
      <c r="QCT44" s="481"/>
      <c r="QCU44" s="481"/>
      <c r="QCV44" s="481"/>
      <c r="QCW44" s="481"/>
      <c r="QCX44" s="481"/>
      <c r="QCY44" s="481"/>
      <c r="QCZ44" s="481"/>
      <c r="QDA44" s="481"/>
      <c r="QDB44" s="481"/>
      <c r="QDC44" s="481"/>
      <c r="QDD44" s="481"/>
      <c r="QDE44" s="481"/>
      <c r="QDF44" s="481"/>
      <c r="QDG44" s="481"/>
      <c r="QDH44" s="481"/>
      <c r="QDI44" s="481"/>
      <c r="QDJ44" s="481"/>
      <c r="QDK44" s="481"/>
      <c r="QDL44" s="481"/>
      <c r="QDM44" s="481"/>
      <c r="QDN44" s="481"/>
      <c r="QDO44" s="481"/>
      <c r="QDP44" s="481"/>
      <c r="QDQ44" s="481"/>
      <c r="QDR44" s="481"/>
      <c r="QDS44" s="481"/>
      <c r="QDT44" s="481"/>
      <c r="QDU44" s="481"/>
      <c r="QDV44" s="481"/>
      <c r="QDW44" s="481"/>
      <c r="QDX44" s="481"/>
      <c r="QDY44" s="481"/>
      <c r="QDZ44" s="481"/>
      <c r="QEA44" s="481"/>
      <c r="QEB44" s="481"/>
      <c r="QEC44" s="481"/>
      <c r="QED44" s="481"/>
      <c r="QEE44" s="481"/>
      <c r="QEF44" s="481"/>
      <c r="QEG44" s="481"/>
      <c r="QEH44" s="481"/>
      <c r="QEI44" s="481"/>
      <c r="QEJ44" s="481"/>
      <c r="QEK44" s="481"/>
      <c r="QEL44" s="481"/>
      <c r="QEM44" s="481"/>
      <c r="QEN44" s="481"/>
      <c r="QEO44" s="481"/>
      <c r="QEP44" s="481"/>
      <c r="QEQ44" s="481"/>
      <c r="QER44" s="481"/>
      <c r="QES44" s="481"/>
      <c r="QET44" s="481"/>
      <c r="QEU44" s="481"/>
      <c r="QEV44" s="481"/>
      <c r="QEW44" s="481"/>
      <c r="QEX44" s="481"/>
      <c r="QEY44" s="481"/>
      <c r="QEZ44" s="481"/>
      <c r="QFA44" s="481"/>
      <c r="QFB44" s="481"/>
      <c r="QFC44" s="481"/>
      <c r="QFD44" s="481"/>
      <c r="QFE44" s="481"/>
      <c r="QFF44" s="481"/>
      <c r="QFG44" s="481"/>
      <c r="QFH44" s="481"/>
      <c r="QFI44" s="481"/>
      <c r="QFJ44" s="481"/>
      <c r="QFK44" s="481"/>
      <c r="QFL44" s="481"/>
      <c r="QFM44" s="481"/>
      <c r="QFN44" s="481"/>
      <c r="QFO44" s="481"/>
      <c r="QFP44" s="481"/>
      <c r="QFQ44" s="481"/>
      <c r="QFR44" s="481"/>
      <c r="QFS44" s="481"/>
      <c r="QFT44" s="481"/>
      <c r="QFU44" s="481"/>
      <c r="QFV44" s="481"/>
      <c r="QFW44" s="481"/>
      <c r="QFX44" s="481"/>
      <c r="QFY44" s="481"/>
      <c r="QFZ44" s="481"/>
      <c r="QGA44" s="481"/>
      <c r="QGB44" s="481"/>
      <c r="QGC44" s="481"/>
      <c r="QGD44" s="481"/>
      <c r="QGE44" s="481"/>
      <c r="QGF44" s="481"/>
      <c r="QGG44" s="481"/>
      <c r="QGH44" s="481"/>
      <c r="QGI44" s="481"/>
      <c r="QGJ44" s="481"/>
      <c r="QGK44" s="481"/>
      <c r="QGL44" s="481"/>
      <c r="QGM44" s="481"/>
      <c r="QGN44" s="481"/>
      <c r="QGO44" s="481"/>
      <c r="QGP44" s="481"/>
      <c r="QGQ44" s="481"/>
      <c r="QGR44" s="481"/>
      <c r="QGS44" s="481"/>
      <c r="QGT44" s="481"/>
      <c r="QGU44" s="481"/>
      <c r="QGV44" s="481"/>
      <c r="QGW44" s="481"/>
      <c r="QGX44" s="481"/>
      <c r="QGY44" s="481"/>
      <c r="QGZ44" s="481"/>
      <c r="QHA44" s="481"/>
      <c r="QHB44" s="481"/>
      <c r="QHC44" s="481"/>
      <c r="QHD44" s="481"/>
      <c r="QHE44" s="481"/>
      <c r="QHF44" s="481"/>
      <c r="QHG44" s="481"/>
      <c r="QHH44" s="481"/>
      <c r="QHI44" s="481"/>
      <c r="QHJ44" s="481"/>
      <c r="QHK44" s="481"/>
      <c r="QHL44" s="481"/>
      <c r="QHM44" s="481"/>
      <c r="QHN44" s="481"/>
      <c r="QHO44" s="481"/>
      <c r="QHP44" s="481"/>
      <c r="QHQ44" s="481"/>
      <c r="QHR44" s="481"/>
      <c r="QHS44" s="481"/>
      <c r="QHT44" s="481"/>
      <c r="QHU44" s="481"/>
      <c r="QHV44" s="481"/>
      <c r="QHW44" s="481"/>
      <c r="QHX44" s="481"/>
      <c r="QHY44" s="481"/>
      <c r="QHZ44" s="481"/>
      <c r="QIA44" s="481"/>
      <c r="QIB44" s="481"/>
      <c r="QIC44" s="481"/>
      <c r="QID44" s="481"/>
      <c r="QIE44" s="481"/>
      <c r="QIF44" s="481"/>
      <c r="QIG44" s="481"/>
      <c r="QIH44" s="481"/>
      <c r="QII44" s="481"/>
      <c r="QIJ44" s="481"/>
      <c r="QIK44" s="481"/>
      <c r="QIL44" s="481"/>
      <c r="QIM44" s="481"/>
      <c r="QIN44" s="481"/>
      <c r="QIO44" s="481"/>
      <c r="QIP44" s="481"/>
      <c r="QIQ44" s="481"/>
      <c r="QIR44" s="481"/>
      <c r="QIS44" s="481"/>
      <c r="QIT44" s="481"/>
      <c r="QIU44" s="481"/>
      <c r="QIV44" s="481"/>
      <c r="QIW44" s="481"/>
      <c r="QIX44" s="481"/>
      <c r="QIY44" s="481"/>
      <c r="QIZ44" s="481"/>
      <c r="QJA44" s="481"/>
      <c r="QJB44" s="481"/>
      <c r="QJC44" s="481"/>
      <c r="QJD44" s="481"/>
      <c r="QJE44" s="481"/>
      <c r="QJF44" s="481"/>
      <c r="QJG44" s="481"/>
      <c r="QJH44" s="481"/>
      <c r="QJI44" s="481"/>
      <c r="QJJ44" s="481"/>
      <c r="QJK44" s="481"/>
      <c r="QJL44" s="481"/>
      <c r="QJM44" s="481"/>
      <c r="QJN44" s="481"/>
      <c r="QJO44" s="481"/>
      <c r="QJP44" s="481"/>
      <c r="QJQ44" s="481"/>
      <c r="QJR44" s="481"/>
      <c r="QJS44" s="481"/>
      <c r="QJT44" s="481"/>
      <c r="QJU44" s="481"/>
      <c r="QJV44" s="481"/>
      <c r="QJW44" s="481"/>
      <c r="QJX44" s="481"/>
      <c r="QJY44" s="481"/>
      <c r="QJZ44" s="481"/>
      <c r="QKA44" s="481"/>
      <c r="QKB44" s="481"/>
      <c r="QKC44" s="481"/>
      <c r="QKD44" s="481"/>
      <c r="QKE44" s="481"/>
      <c r="QKF44" s="481"/>
      <c r="QKG44" s="481"/>
      <c r="QKH44" s="481"/>
      <c r="QKI44" s="481"/>
      <c r="QKJ44" s="481"/>
      <c r="QKK44" s="481"/>
      <c r="QKL44" s="481"/>
      <c r="QKM44" s="481"/>
      <c r="QKN44" s="481"/>
      <c r="QKO44" s="481"/>
      <c r="QKP44" s="481"/>
      <c r="QKQ44" s="481"/>
      <c r="QKR44" s="481"/>
      <c r="QKS44" s="481"/>
      <c r="QKT44" s="481"/>
      <c r="QKU44" s="481"/>
      <c r="QKV44" s="481"/>
      <c r="QKW44" s="481"/>
      <c r="QKX44" s="481"/>
      <c r="QKY44" s="481"/>
      <c r="QKZ44" s="481"/>
      <c r="QLA44" s="481"/>
      <c r="QLB44" s="481"/>
      <c r="QLC44" s="481"/>
      <c r="QLD44" s="481"/>
      <c r="QLE44" s="481"/>
      <c r="QLF44" s="481"/>
      <c r="QLG44" s="481"/>
      <c r="QLH44" s="481"/>
      <c r="QLI44" s="481"/>
      <c r="QLJ44" s="481"/>
      <c r="QLK44" s="481"/>
      <c r="QLL44" s="481"/>
      <c r="QLM44" s="481"/>
      <c r="QLN44" s="481"/>
      <c r="QLO44" s="481"/>
      <c r="QLP44" s="481"/>
      <c r="QLQ44" s="481"/>
      <c r="QLR44" s="481"/>
      <c r="QLS44" s="481"/>
      <c r="QLT44" s="481"/>
      <c r="QLU44" s="481"/>
      <c r="QLV44" s="481"/>
      <c r="QLW44" s="481"/>
      <c r="QLX44" s="481"/>
      <c r="QLY44" s="481"/>
      <c r="QLZ44" s="481"/>
      <c r="QMA44" s="481"/>
      <c r="QMB44" s="481"/>
      <c r="QMC44" s="481"/>
      <c r="QMD44" s="481"/>
      <c r="QME44" s="481"/>
      <c r="QMF44" s="481"/>
      <c r="QMG44" s="481"/>
      <c r="QMH44" s="481"/>
      <c r="QMI44" s="481"/>
      <c r="QMJ44" s="481"/>
      <c r="QMK44" s="481"/>
      <c r="QML44" s="481"/>
      <c r="QMM44" s="481"/>
      <c r="QMN44" s="481"/>
      <c r="QMO44" s="481"/>
      <c r="QMP44" s="481"/>
      <c r="QMQ44" s="481"/>
      <c r="QMR44" s="481"/>
      <c r="QMS44" s="481"/>
      <c r="QMT44" s="481"/>
      <c r="QMU44" s="481"/>
      <c r="QMV44" s="481"/>
      <c r="QMW44" s="481"/>
      <c r="QMX44" s="481"/>
      <c r="QMY44" s="481"/>
      <c r="QMZ44" s="481"/>
      <c r="QNA44" s="481"/>
      <c r="QNB44" s="481"/>
      <c r="QNC44" s="481"/>
      <c r="QND44" s="481"/>
      <c r="QNE44" s="481"/>
      <c r="QNF44" s="481"/>
      <c r="QNG44" s="481"/>
      <c r="QNH44" s="481"/>
      <c r="QNI44" s="481"/>
      <c r="QNJ44" s="481"/>
      <c r="QNK44" s="481"/>
      <c r="QNL44" s="481"/>
      <c r="QNM44" s="481"/>
      <c r="QNN44" s="481"/>
      <c r="QNO44" s="481"/>
      <c r="QNP44" s="481"/>
      <c r="QNQ44" s="481"/>
      <c r="QNR44" s="481"/>
      <c r="QNS44" s="481"/>
      <c r="QNT44" s="481"/>
      <c r="QNU44" s="481"/>
      <c r="QNV44" s="481"/>
      <c r="QNW44" s="481"/>
      <c r="QNX44" s="481"/>
      <c r="QNY44" s="481"/>
      <c r="QNZ44" s="481"/>
      <c r="QOA44" s="481"/>
      <c r="QOB44" s="481"/>
      <c r="QOC44" s="481"/>
      <c r="QOD44" s="481"/>
      <c r="QOE44" s="481"/>
      <c r="QOF44" s="481"/>
      <c r="QOG44" s="481"/>
      <c r="QOH44" s="481"/>
      <c r="QOI44" s="481"/>
      <c r="QOJ44" s="481"/>
      <c r="QOK44" s="481"/>
      <c r="QOL44" s="481"/>
      <c r="QOM44" s="481"/>
      <c r="QON44" s="481"/>
      <c r="QOO44" s="481"/>
      <c r="QOP44" s="481"/>
      <c r="QOQ44" s="481"/>
      <c r="QOR44" s="481"/>
      <c r="QOS44" s="481"/>
      <c r="QOT44" s="481"/>
      <c r="QOU44" s="481"/>
      <c r="QOV44" s="481"/>
      <c r="QOW44" s="481"/>
      <c r="QOX44" s="481"/>
      <c r="QOY44" s="481"/>
      <c r="QOZ44" s="481"/>
      <c r="QPA44" s="481"/>
      <c r="QPB44" s="481"/>
      <c r="QPC44" s="481"/>
      <c r="QPD44" s="481"/>
      <c r="QPE44" s="481"/>
      <c r="QPF44" s="481"/>
      <c r="QPG44" s="481"/>
      <c r="QPH44" s="481"/>
      <c r="QPI44" s="481"/>
      <c r="QPJ44" s="481"/>
      <c r="QPK44" s="481"/>
      <c r="QPL44" s="481"/>
      <c r="QPM44" s="481"/>
      <c r="QPN44" s="481"/>
      <c r="QPO44" s="481"/>
      <c r="QPP44" s="481"/>
      <c r="QPQ44" s="481"/>
      <c r="QPR44" s="481"/>
      <c r="QPS44" s="481"/>
      <c r="QPT44" s="481"/>
      <c r="QPU44" s="481"/>
      <c r="QPV44" s="481"/>
      <c r="QPW44" s="481"/>
      <c r="QPX44" s="481"/>
      <c r="QPY44" s="481"/>
      <c r="QPZ44" s="481"/>
      <c r="QQA44" s="481"/>
      <c r="QQB44" s="481"/>
      <c r="QQC44" s="481"/>
      <c r="QQD44" s="481"/>
      <c r="QQE44" s="481"/>
      <c r="QQF44" s="481"/>
      <c r="QQG44" s="481"/>
      <c r="QQH44" s="481"/>
      <c r="QQI44" s="481"/>
      <c r="QQJ44" s="481"/>
      <c r="QQK44" s="481"/>
      <c r="QQL44" s="481"/>
      <c r="QQM44" s="481"/>
      <c r="QQN44" s="481"/>
      <c r="QQO44" s="481"/>
      <c r="QQP44" s="481"/>
      <c r="QQQ44" s="481"/>
      <c r="QQR44" s="481"/>
      <c r="QQS44" s="481"/>
      <c r="QQT44" s="481"/>
      <c r="QQU44" s="481"/>
      <c r="QQV44" s="481"/>
      <c r="QQW44" s="481"/>
      <c r="QQX44" s="481"/>
      <c r="QQY44" s="481"/>
      <c r="QQZ44" s="481"/>
      <c r="QRA44" s="481"/>
      <c r="QRB44" s="481"/>
      <c r="QRC44" s="481"/>
      <c r="QRD44" s="481"/>
      <c r="QRE44" s="481"/>
      <c r="QRF44" s="481"/>
      <c r="QRG44" s="481"/>
      <c r="QRH44" s="481"/>
      <c r="QRI44" s="481"/>
      <c r="QRJ44" s="481"/>
      <c r="QRK44" s="481"/>
      <c r="QRL44" s="481"/>
      <c r="QRM44" s="481"/>
      <c r="QRN44" s="481"/>
      <c r="QRO44" s="481"/>
      <c r="QRP44" s="481"/>
      <c r="QRQ44" s="481"/>
      <c r="QRR44" s="481"/>
      <c r="QRS44" s="481"/>
      <c r="QRT44" s="481"/>
      <c r="QRU44" s="481"/>
      <c r="QRV44" s="481"/>
      <c r="QRW44" s="481"/>
      <c r="QRX44" s="481"/>
      <c r="QRY44" s="481"/>
      <c r="QRZ44" s="481"/>
      <c r="QSA44" s="481"/>
      <c r="QSB44" s="481"/>
      <c r="QSC44" s="481"/>
      <c r="QSD44" s="481"/>
      <c r="QSE44" s="481"/>
      <c r="QSF44" s="481"/>
      <c r="QSG44" s="481"/>
      <c r="QSH44" s="481"/>
      <c r="QSI44" s="481"/>
      <c r="QSJ44" s="481"/>
      <c r="QSK44" s="481"/>
      <c r="QSL44" s="481"/>
      <c r="QSM44" s="481"/>
      <c r="QSN44" s="481"/>
      <c r="QSO44" s="481"/>
      <c r="QSP44" s="481"/>
      <c r="QSQ44" s="481"/>
      <c r="QSR44" s="481"/>
      <c r="QSS44" s="481"/>
      <c r="QST44" s="481"/>
      <c r="QSU44" s="481"/>
      <c r="QSV44" s="481"/>
      <c r="QSW44" s="481"/>
      <c r="QSX44" s="481"/>
      <c r="QSY44" s="481"/>
      <c r="QSZ44" s="481"/>
      <c r="QTA44" s="481"/>
      <c r="QTB44" s="481"/>
      <c r="QTC44" s="481"/>
      <c r="QTD44" s="481"/>
      <c r="QTE44" s="481"/>
      <c r="QTF44" s="481"/>
      <c r="QTG44" s="481"/>
      <c r="QTH44" s="481"/>
      <c r="QTI44" s="481"/>
      <c r="QTJ44" s="481"/>
      <c r="QTK44" s="481"/>
      <c r="QTL44" s="481"/>
      <c r="QTM44" s="481"/>
      <c r="QTN44" s="481"/>
      <c r="QTO44" s="481"/>
      <c r="QTP44" s="481"/>
      <c r="QTQ44" s="481"/>
      <c r="QTR44" s="481"/>
      <c r="QTS44" s="481"/>
      <c r="QTT44" s="481"/>
      <c r="QTU44" s="481"/>
      <c r="QTV44" s="481"/>
      <c r="QTW44" s="481"/>
      <c r="QTX44" s="481"/>
      <c r="QTY44" s="481"/>
      <c r="QTZ44" s="481"/>
      <c r="QUA44" s="481"/>
      <c r="QUB44" s="481"/>
      <c r="QUC44" s="481"/>
      <c r="QUD44" s="481"/>
      <c r="QUE44" s="481"/>
      <c r="QUF44" s="481"/>
      <c r="QUG44" s="481"/>
      <c r="QUH44" s="481"/>
      <c r="QUI44" s="481"/>
      <c r="QUJ44" s="481"/>
      <c r="QUK44" s="481"/>
      <c r="QUL44" s="481"/>
      <c r="QUM44" s="481"/>
      <c r="QUN44" s="481"/>
      <c r="QUO44" s="481"/>
      <c r="QUP44" s="481"/>
      <c r="QUQ44" s="481"/>
      <c r="QUR44" s="481"/>
      <c r="QUS44" s="481"/>
      <c r="QUT44" s="481"/>
      <c r="QUU44" s="481"/>
      <c r="QUV44" s="481"/>
      <c r="QUW44" s="481"/>
      <c r="QUX44" s="481"/>
      <c r="QUY44" s="481"/>
      <c r="QUZ44" s="481"/>
      <c r="QVA44" s="481"/>
      <c r="QVB44" s="481"/>
      <c r="QVC44" s="481"/>
      <c r="QVD44" s="481"/>
      <c r="QVE44" s="481"/>
      <c r="QVF44" s="481"/>
      <c r="QVG44" s="481"/>
      <c r="QVH44" s="481"/>
      <c r="QVI44" s="481"/>
      <c r="QVJ44" s="481"/>
      <c r="QVK44" s="481"/>
      <c r="QVL44" s="481"/>
      <c r="QVM44" s="481"/>
      <c r="QVN44" s="481"/>
      <c r="QVO44" s="481"/>
      <c r="QVP44" s="481"/>
      <c r="QVQ44" s="481"/>
      <c r="QVR44" s="481"/>
      <c r="QVS44" s="481"/>
      <c r="QVT44" s="481"/>
      <c r="QVU44" s="481"/>
      <c r="QVV44" s="481"/>
      <c r="QVW44" s="481"/>
      <c r="QVX44" s="481"/>
      <c r="QVY44" s="481"/>
      <c r="QVZ44" s="481"/>
      <c r="QWA44" s="481"/>
      <c r="QWB44" s="481"/>
      <c r="QWC44" s="481"/>
      <c r="QWD44" s="481"/>
      <c r="QWE44" s="481"/>
      <c r="QWF44" s="481"/>
      <c r="QWG44" s="481"/>
      <c r="QWH44" s="481"/>
      <c r="QWI44" s="481"/>
      <c r="QWJ44" s="481"/>
      <c r="QWK44" s="481"/>
      <c r="QWL44" s="481"/>
      <c r="QWM44" s="481"/>
      <c r="QWN44" s="481"/>
      <c r="QWO44" s="481"/>
      <c r="QWP44" s="481"/>
      <c r="QWQ44" s="481"/>
      <c r="QWR44" s="481"/>
      <c r="QWS44" s="481"/>
      <c r="QWT44" s="481"/>
      <c r="QWU44" s="481"/>
      <c r="QWV44" s="481"/>
      <c r="QWW44" s="481"/>
      <c r="QWX44" s="481"/>
      <c r="QWY44" s="481"/>
      <c r="QWZ44" s="481"/>
      <c r="QXA44" s="481"/>
      <c r="QXB44" s="481"/>
      <c r="QXC44" s="481"/>
      <c r="QXD44" s="481"/>
      <c r="QXE44" s="481"/>
      <c r="QXF44" s="481"/>
      <c r="QXG44" s="481"/>
      <c r="QXH44" s="481"/>
      <c r="QXI44" s="481"/>
      <c r="QXJ44" s="481"/>
      <c r="QXK44" s="481"/>
      <c r="QXL44" s="481"/>
      <c r="QXM44" s="481"/>
      <c r="QXN44" s="481"/>
      <c r="QXO44" s="481"/>
      <c r="QXP44" s="481"/>
      <c r="QXQ44" s="481"/>
      <c r="QXR44" s="481"/>
      <c r="QXS44" s="481"/>
      <c r="QXT44" s="481"/>
      <c r="QXU44" s="481"/>
      <c r="QXV44" s="481"/>
      <c r="QXW44" s="481"/>
      <c r="QXX44" s="481"/>
      <c r="QXY44" s="481"/>
      <c r="QXZ44" s="481"/>
      <c r="QYA44" s="481"/>
      <c r="QYB44" s="481"/>
      <c r="QYC44" s="481"/>
      <c r="QYD44" s="481"/>
      <c r="QYE44" s="481"/>
      <c r="QYF44" s="481"/>
      <c r="QYG44" s="481"/>
      <c r="QYH44" s="481"/>
      <c r="QYI44" s="481"/>
      <c r="QYJ44" s="481"/>
      <c r="QYK44" s="481"/>
      <c r="QYL44" s="481"/>
      <c r="QYM44" s="481"/>
      <c r="QYN44" s="481"/>
      <c r="QYO44" s="481"/>
      <c r="QYP44" s="481"/>
      <c r="QYQ44" s="481"/>
      <c r="QYR44" s="481"/>
      <c r="QYS44" s="481"/>
      <c r="QYT44" s="481"/>
      <c r="QYU44" s="481"/>
      <c r="QYV44" s="481"/>
      <c r="QYW44" s="481"/>
      <c r="QYX44" s="481"/>
      <c r="QYY44" s="481"/>
      <c r="QYZ44" s="481"/>
      <c r="QZA44" s="481"/>
      <c r="QZB44" s="481"/>
      <c r="QZC44" s="481"/>
      <c r="QZD44" s="481"/>
      <c r="QZE44" s="481"/>
      <c r="QZF44" s="481"/>
      <c r="QZG44" s="481"/>
      <c r="QZH44" s="481"/>
      <c r="QZI44" s="481"/>
      <c r="QZJ44" s="481"/>
      <c r="QZK44" s="481"/>
      <c r="QZL44" s="481"/>
      <c r="QZM44" s="481"/>
      <c r="QZN44" s="481"/>
      <c r="QZO44" s="481"/>
      <c r="QZP44" s="481"/>
      <c r="QZQ44" s="481"/>
      <c r="QZR44" s="481"/>
      <c r="QZS44" s="481"/>
      <c r="QZT44" s="481"/>
      <c r="QZU44" s="481"/>
      <c r="QZV44" s="481"/>
      <c r="QZW44" s="481"/>
      <c r="QZX44" s="481"/>
      <c r="QZY44" s="481"/>
      <c r="QZZ44" s="481"/>
      <c r="RAA44" s="481"/>
      <c r="RAB44" s="481"/>
      <c r="RAC44" s="481"/>
      <c r="RAD44" s="481"/>
      <c r="RAE44" s="481"/>
      <c r="RAF44" s="481"/>
      <c r="RAG44" s="481"/>
      <c r="RAH44" s="481"/>
      <c r="RAI44" s="481"/>
      <c r="RAJ44" s="481"/>
      <c r="RAK44" s="481"/>
      <c r="RAL44" s="481"/>
      <c r="RAM44" s="481"/>
      <c r="RAN44" s="481"/>
      <c r="RAO44" s="481"/>
      <c r="RAP44" s="481"/>
      <c r="RAQ44" s="481"/>
      <c r="RAR44" s="481"/>
      <c r="RAS44" s="481"/>
      <c r="RAT44" s="481"/>
      <c r="RAU44" s="481"/>
      <c r="RAV44" s="481"/>
      <c r="RAW44" s="481"/>
      <c r="RAX44" s="481"/>
      <c r="RAY44" s="481"/>
      <c r="RAZ44" s="481"/>
      <c r="RBA44" s="481"/>
      <c r="RBB44" s="481"/>
      <c r="RBC44" s="481"/>
      <c r="RBD44" s="481"/>
      <c r="RBE44" s="481"/>
      <c r="RBF44" s="481"/>
      <c r="RBG44" s="481"/>
      <c r="RBH44" s="481"/>
      <c r="RBI44" s="481"/>
      <c r="RBJ44" s="481"/>
      <c r="RBK44" s="481"/>
      <c r="RBL44" s="481"/>
      <c r="RBM44" s="481"/>
      <c r="RBN44" s="481"/>
      <c r="RBO44" s="481"/>
      <c r="RBP44" s="481"/>
      <c r="RBQ44" s="481"/>
      <c r="RBR44" s="481"/>
      <c r="RBS44" s="481"/>
      <c r="RBT44" s="481"/>
      <c r="RBU44" s="481"/>
      <c r="RBV44" s="481"/>
      <c r="RBW44" s="481"/>
      <c r="RBX44" s="481"/>
      <c r="RBY44" s="481"/>
      <c r="RBZ44" s="481"/>
      <c r="RCA44" s="481"/>
      <c r="RCB44" s="481"/>
      <c r="RCC44" s="481"/>
      <c r="RCD44" s="481"/>
      <c r="RCE44" s="481"/>
      <c r="RCF44" s="481"/>
      <c r="RCG44" s="481"/>
      <c r="RCH44" s="481"/>
      <c r="RCI44" s="481"/>
      <c r="RCJ44" s="481"/>
      <c r="RCK44" s="481"/>
      <c r="RCL44" s="481"/>
      <c r="RCM44" s="481"/>
      <c r="RCN44" s="481"/>
      <c r="RCO44" s="481"/>
      <c r="RCP44" s="481"/>
      <c r="RCQ44" s="481"/>
      <c r="RCR44" s="481"/>
      <c r="RCS44" s="481"/>
      <c r="RCT44" s="481"/>
      <c r="RCU44" s="481"/>
      <c r="RCV44" s="481"/>
      <c r="RCW44" s="481"/>
      <c r="RCX44" s="481"/>
      <c r="RCY44" s="481"/>
      <c r="RCZ44" s="481"/>
      <c r="RDA44" s="481"/>
      <c r="RDB44" s="481"/>
      <c r="RDC44" s="481"/>
      <c r="RDD44" s="481"/>
      <c r="RDE44" s="481"/>
      <c r="RDF44" s="481"/>
      <c r="RDG44" s="481"/>
      <c r="RDH44" s="481"/>
      <c r="RDI44" s="481"/>
      <c r="RDJ44" s="481"/>
      <c r="RDK44" s="481"/>
      <c r="RDL44" s="481"/>
      <c r="RDM44" s="481"/>
      <c r="RDN44" s="481"/>
      <c r="RDO44" s="481"/>
      <c r="RDP44" s="481"/>
      <c r="RDQ44" s="481"/>
      <c r="RDR44" s="481"/>
      <c r="RDS44" s="481"/>
      <c r="RDT44" s="481"/>
      <c r="RDU44" s="481"/>
      <c r="RDV44" s="481"/>
      <c r="RDW44" s="481"/>
      <c r="RDX44" s="481"/>
      <c r="RDY44" s="481"/>
      <c r="RDZ44" s="481"/>
      <c r="REA44" s="481"/>
      <c r="REB44" s="481"/>
      <c r="REC44" s="481"/>
      <c r="RED44" s="481"/>
      <c r="REE44" s="481"/>
      <c r="REF44" s="481"/>
      <c r="REG44" s="481"/>
      <c r="REH44" s="481"/>
      <c r="REI44" s="481"/>
      <c r="REJ44" s="481"/>
      <c r="REK44" s="481"/>
      <c r="REL44" s="481"/>
      <c r="REM44" s="481"/>
      <c r="REN44" s="481"/>
      <c r="REO44" s="481"/>
      <c r="REP44" s="481"/>
      <c r="REQ44" s="481"/>
      <c r="RER44" s="481"/>
      <c r="RES44" s="481"/>
      <c r="RET44" s="481"/>
      <c r="REU44" s="481"/>
      <c r="REV44" s="481"/>
      <c r="REW44" s="481"/>
      <c r="REX44" s="481"/>
      <c r="REY44" s="481"/>
      <c r="REZ44" s="481"/>
      <c r="RFA44" s="481"/>
      <c r="RFB44" s="481"/>
      <c r="RFC44" s="481"/>
      <c r="RFD44" s="481"/>
      <c r="RFE44" s="481"/>
      <c r="RFF44" s="481"/>
      <c r="RFG44" s="481"/>
      <c r="RFH44" s="481"/>
      <c r="RFI44" s="481"/>
      <c r="RFJ44" s="481"/>
      <c r="RFK44" s="481"/>
      <c r="RFL44" s="481"/>
      <c r="RFM44" s="481"/>
      <c r="RFN44" s="481"/>
      <c r="RFO44" s="481"/>
      <c r="RFP44" s="481"/>
      <c r="RFQ44" s="481"/>
      <c r="RFR44" s="481"/>
      <c r="RFS44" s="481"/>
      <c r="RFT44" s="481"/>
      <c r="RFU44" s="481"/>
      <c r="RFV44" s="481"/>
      <c r="RFW44" s="481"/>
      <c r="RFX44" s="481"/>
      <c r="RFY44" s="481"/>
      <c r="RFZ44" s="481"/>
      <c r="RGA44" s="481"/>
      <c r="RGB44" s="481"/>
      <c r="RGC44" s="481"/>
      <c r="RGD44" s="481"/>
      <c r="RGE44" s="481"/>
      <c r="RGF44" s="481"/>
      <c r="RGG44" s="481"/>
      <c r="RGH44" s="481"/>
      <c r="RGI44" s="481"/>
      <c r="RGJ44" s="481"/>
      <c r="RGK44" s="481"/>
      <c r="RGL44" s="481"/>
      <c r="RGM44" s="481"/>
      <c r="RGN44" s="481"/>
      <c r="RGO44" s="481"/>
      <c r="RGP44" s="481"/>
      <c r="RGQ44" s="481"/>
      <c r="RGR44" s="481"/>
      <c r="RGS44" s="481"/>
      <c r="RGT44" s="481"/>
      <c r="RGU44" s="481"/>
      <c r="RGV44" s="481"/>
      <c r="RGW44" s="481"/>
      <c r="RGX44" s="481"/>
      <c r="RGY44" s="481"/>
      <c r="RGZ44" s="481"/>
      <c r="RHA44" s="481"/>
      <c r="RHB44" s="481"/>
      <c r="RHC44" s="481"/>
      <c r="RHD44" s="481"/>
      <c r="RHE44" s="481"/>
      <c r="RHF44" s="481"/>
      <c r="RHG44" s="481"/>
      <c r="RHH44" s="481"/>
      <c r="RHI44" s="481"/>
      <c r="RHJ44" s="481"/>
      <c r="RHK44" s="481"/>
      <c r="RHL44" s="481"/>
      <c r="RHM44" s="481"/>
      <c r="RHN44" s="481"/>
      <c r="RHO44" s="481"/>
      <c r="RHP44" s="481"/>
      <c r="RHQ44" s="481"/>
      <c r="RHR44" s="481"/>
      <c r="RHS44" s="481"/>
      <c r="RHT44" s="481"/>
      <c r="RHU44" s="481"/>
      <c r="RHV44" s="481"/>
      <c r="RHW44" s="481"/>
      <c r="RHX44" s="481"/>
      <c r="RHY44" s="481"/>
      <c r="RHZ44" s="481"/>
      <c r="RIA44" s="481"/>
      <c r="RIB44" s="481"/>
      <c r="RIC44" s="481"/>
      <c r="RID44" s="481"/>
      <c r="RIE44" s="481"/>
      <c r="RIF44" s="481"/>
      <c r="RIG44" s="481"/>
      <c r="RIH44" s="481"/>
      <c r="RII44" s="481"/>
      <c r="RIJ44" s="481"/>
      <c r="RIK44" s="481"/>
      <c r="RIL44" s="481"/>
      <c r="RIM44" s="481"/>
      <c r="RIN44" s="481"/>
      <c r="RIO44" s="481"/>
      <c r="RIP44" s="481"/>
      <c r="RIQ44" s="481"/>
      <c r="RIR44" s="481"/>
      <c r="RIS44" s="481"/>
      <c r="RIT44" s="481"/>
      <c r="RIU44" s="481"/>
      <c r="RIV44" s="481"/>
      <c r="RIW44" s="481"/>
      <c r="RIX44" s="481"/>
      <c r="RIY44" s="481"/>
      <c r="RIZ44" s="481"/>
      <c r="RJA44" s="481"/>
      <c r="RJB44" s="481"/>
      <c r="RJC44" s="481"/>
      <c r="RJD44" s="481"/>
      <c r="RJE44" s="481"/>
      <c r="RJF44" s="481"/>
      <c r="RJG44" s="481"/>
      <c r="RJH44" s="481"/>
      <c r="RJI44" s="481"/>
      <c r="RJJ44" s="481"/>
      <c r="RJK44" s="481"/>
      <c r="RJL44" s="481"/>
      <c r="RJM44" s="481"/>
      <c r="RJN44" s="481"/>
      <c r="RJO44" s="481"/>
      <c r="RJP44" s="481"/>
      <c r="RJQ44" s="481"/>
      <c r="RJR44" s="481"/>
      <c r="RJS44" s="481"/>
      <c r="RJT44" s="481"/>
      <c r="RJU44" s="481"/>
      <c r="RJV44" s="481"/>
      <c r="RJW44" s="481"/>
      <c r="RJX44" s="481"/>
      <c r="RJY44" s="481"/>
      <c r="RJZ44" s="481"/>
      <c r="RKA44" s="481"/>
      <c r="RKB44" s="481"/>
      <c r="RKC44" s="481"/>
      <c r="RKD44" s="481"/>
      <c r="RKE44" s="481"/>
      <c r="RKF44" s="481"/>
      <c r="RKG44" s="481"/>
      <c r="RKH44" s="481"/>
      <c r="RKI44" s="481"/>
      <c r="RKJ44" s="481"/>
      <c r="RKK44" s="481"/>
      <c r="RKL44" s="481"/>
      <c r="RKM44" s="481"/>
      <c r="RKN44" s="481"/>
      <c r="RKO44" s="481"/>
      <c r="RKP44" s="481"/>
      <c r="RKQ44" s="481"/>
      <c r="RKR44" s="481"/>
      <c r="RKS44" s="481"/>
      <c r="RKT44" s="481"/>
      <c r="RKU44" s="481"/>
      <c r="RKV44" s="481"/>
      <c r="RKW44" s="481"/>
      <c r="RKX44" s="481"/>
      <c r="RKY44" s="481"/>
      <c r="RKZ44" s="481"/>
      <c r="RLA44" s="481"/>
      <c r="RLB44" s="481"/>
      <c r="RLC44" s="481"/>
      <c r="RLD44" s="481"/>
      <c r="RLE44" s="481"/>
      <c r="RLF44" s="481"/>
      <c r="RLG44" s="481"/>
      <c r="RLH44" s="481"/>
      <c r="RLI44" s="481"/>
      <c r="RLJ44" s="481"/>
      <c r="RLK44" s="481"/>
      <c r="RLL44" s="481"/>
      <c r="RLM44" s="481"/>
      <c r="RLN44" s="481"/>
      <c r="RLO44" s="481"/>
      <c r="RLP44" s="481"/>
      <c r="RLQ44" s="481"/>
      <c r="RLR44" s="481"/>
      <c r="RLS44" s="481"/>
      <c r="RLT44" s="481"/>
      <c r="RLU44" s="481"/>
      <c r="RLV44" s="481"/>
      <c r="RLW44" s="481"/>
      <c r="RLX44" s="481"/>
      <c r="RLY44" s="481"/>
      <c r="RLZ44" s="481"/>
      <c r="RMA44" s="481"/>
      <c r="RMB44" s="481"/>
      <c r="RMC44" s="481"/>
      <c r="RMD44" s="481"/>
      <c r="RME44" s="481"/>
      <c r="RMF44" s="481"/>
      <c r="RMG44" s="481"/>
      <c r="RMH44" s="481"/>
      <c r="RMI44" s="481"/>
      <c r="RMJ44" s="481"/>
      <c r="RMK44" s="481"/>
      <c r="RML44" s="481"/>
      <c r="RMM44" s="481"/>
      <c r="RMN44" s="481"/>
      <c r="RMO44" s="481"/>
      <c r="RMP44" s="481"/>
      <c r="RMQ44" s="481"/>
      <c r="RMR44" s="481"/>
      <c r="RMS44" s="481"/>
      <c r="RMT44" s="481"/>
      <c r="RMU44" s="481"/>
      <c r="RMV44" s="481"/>
      <c r="RMW44" s="481"/>
      <c r="RMX44" s="481"/>
      <c r="RMY44" s="481"/>
      <c r="RMZ44" s="481"/>
      <c r="RNA44" s="481"/>
      <c r="RNB44" s="481"/>
      <c r="RNC44" s="481"/>
      <c r="RND44" s="481"/>
      <c r="RNE44" s="481"/>
      <c r="RNF44" s="481"/>
      <c r="RNG44" s="481"/>
      <c r="RNH44" s="481"/>
      <c r="RNI44" s="481"/>
      <c r="RNJ44" s="481"/>
      <c r="RNK44" s="481"/>
      <c r="RNL44" s="481"/>
      <c r="RNM44" s="481"/>
      <c r="RNN44" s="481"/>
      <c r="RNO44" s="481"/>
      <c r="RNP44" s="481"/>
      <c r="RNQ44" s="481"/>
      <c r="RNR44" s="481"/>
      <c r="RNS44" s="481"/>
      <c r="RNT44" s="481"/>
      <c r="RNU44" s="481"/>
      <c r="RNV44" s="481"/>
      <c r="RNW44" s="481"/>
      <c r="RNX44" s="481"/>
      <c r="RNY44" s="481"/>
      <c r="RNZ44" s="481"/>
      <c r="ROA44" s="481"/>
      <c r="ROB44" s="481"/>
      <c r="ROC44" s="481"/>
      <c r="ROD44" s="481"/>
      <c r="ROE44" s="481"/>
      <c r="ROF44" s="481"/>
      <c r="ROG44" s="481"/>
      <c r="ROH44" s="481"/>
      <c r="ROI44" s="481"/>
      <c r="ROJ44" s="481"/>
      <c r="ROK44" s="481"/>
      <c r="ROL44" s="481"/>
      <c r="ROM44" s="481"/>
      <c r="RON44" s="481"/>
      <c r="ROO44" s="481"/>
      <c r="ROP44" s="481"/>
      <c r="ROQ44" s="481"/>
      <c r="ROR44" s="481"/>
      <c r="ROS44" s="481"/>
      <c r="ROT44" s="481"/>
      <c r="ROU44" s="481"/>
      <c r="ROV44" s="481"/>
      <c r="ROW44" s="481"/>
      <c r="ROX44" s="481"/>
      <c r="ROY44" s="481"/>
      <c r="ROZ44" s="481"/>
      <c r="RPA44" s="481"/>
      <c r="RPB44" s="481"/>
      <c r="RPC44" s="481"/>
      <c r="RPD44" s="481"/>
      <c r="RPE44" s="481"/>
      <c r="RPF44" s="481"/>
      <c r="RPG44" s="481"/>
      <c r="RPH44" s="481"/>
      <c r="RPI44" s="481"/>
      <c r="RPJ44" s="481"/>
      <c r="RPK44" s="481"/>
      <c r="RPL44" s="481"/>
      <c r="RPM44" s="481"/>
      <c r="RPN44" s="481"/>
      <c r="RPO44" s="481"/>
      <c r="RPP44" s="481"/>
      <c r="RPQ44" s="481"/>
      <c r="RPR44" s="481"/>
      <c r="RPS44" s="481"/>
      <c r="RPT44" s="481"/>
      <c r="RPU44" s="481"/>
      <c r="RPV44" s="481"/>
      <c r="RPW44" s="481"/>
      <c r="RPX44" s="481"/>
      <c r="RPY44" s="481"/>
      <c r="RPZ44" s="481"/>
      <c r="RQA44" s="481"/>
      <c r="RQB44" s="481"/>
      <c r="RQC44" s="481"/>
      <c r="RQD44" s="481"/>
      <c r="RQE44" s="481"/>
      <c r="RQF44" s="481"/>
      <c r="RQG44" s="481"/>
      <c r="RQH44" s="481"/>
      <c r="RQI44" s="481"/>
      <c r="RQJ44" s="481"/>
      <c r="RQK44" s="481"/>
      <c r="RQL44" s="481"/>
      <c r="RQM44" s="481"/>
      <c r="RQN44" s="481"/>
      <c r="RQO44" s="481"/>
      <c r="RQP44" s="481"/>
      <c r="RQQ44" s="481"/>
      <c r="RQR44" s="481"/>
      <c r="RQS44" s="481"/>
      <c r="RQT44" s="481"/>
      <c r="RQU44" s="481"/>
      <c r="RQV44" s="481"/>
      <c r="RQW44" s="481"/>
      <c r="RQX44" s="481"/>
      <c r="RQY44" s="481"/>
      <c r="RQZ44" s="481"/>
      <c r="RRA44" s="481"/>
      <c r="RRB44" s="481"/>
      <c r="RRC44" s="481"/>
      <c r="RRD44" s="481"/>
      <c r="RRE44" s="481"/>
      <c r="RRF44" s="481"/>
      <c r="RRG44" s="481"/>
      <c r="RRH44" s="481"/>
      <c r="RRI44" s="481"/>
      <c r="RRJ44" s="481"/>
      <c r="RRK44" s="481"/>
      <c r="RRL44" s="481"/>
      <c r="RRM44" s="481"/>
      <c r="RRN44" s="481"/>
      <c r="RRO44" s="481"/>
      <c r="RRP44" s="481"/>
      <c r="RRQ44" s="481"/>
      <c r="RRR44" s="481"/>
      <c r="RRS44" s="481"/>
      <c r="RRT44" s="481"/>
      <c r="RRU44" s="481"/>
      <c r="RRV44" s="481"/>
      <c r="RRW44" s="481"/>
      <c r="RRX44" s="481"/>
      <c r="RRY44" s="481"/>
      <c r="RRZ44" s="481"/>
      <c r="RSA44" s="481"/>
      <c r="RSB44" s="481"/>
      <c r="RSC44" s="481"/>
      <c r="RSD44" s="481"/>
      <c r="RSE44" s="481"/>
      <c r="RSF44" s="481"/>
      <c r="RSG44" s="481"/>
      <c r="RSH44" s="481"/>
      <c r="RSI44" s="481"/>
      <c r="RSJ44" s="481"/>
      <c r="RSK44" s="481"/>
      <c r="RSL44" s="481"/>
      <c r="RSM44" s="481"/>
      <c r="RSN44" s="481"/>
      <c r="RSO44" s="481"/>
      <c r="RSP44" s="481"/>
      <c r="RSQ44" s="481"/>
      <c r="RSR44" s="481"/>
      <c r="RSS44" s="481"/>
      <c r="RST44" s="481"/>
      <c r="RSU44" s="481"/>
      <c r="RSV44" s="481"/>
      <c r="RSW44" s="481"/>
      <c r="RSX44" s="481"/>
      <c r="RSY44" s="481"/>
      <c r="RSZ44" s="481"/>
      <c r="RTA44" s="481"/>
      <c r="RTB44" s="481"/>
      <c r="RTC44" s="481"/>
      <c r="RTD44" s="481"/>
      <c r="RTE44" s="481"/>
      <c r="RTF44" s="481"/>
      <c r="RTG44" s="481"/>
      <c r="RTH44" s="481"/>
      <c r="RTI44" s="481"/>
      <c r="RTJ44" s="481"/>
      <c r="RTK44" s="481"/>
      <c r="RTL44" s="481"/>
      <c r="RTM44" s="481"/>
      <c r="RTN44" s="481"/>
      <c r="RTO44" s="481"/>
      <c r="RTP44" s="481"/>
      <c r="RTQ44" s="481"/>
      <c r="RTR44" s="481"/>
      <c r="RTS44" s="481"/>
      <c r="RTT44" s="481"/>
      <c r="RTU44" s="481"/>
      <c r="RTV44" s="481"/>
      <c r="RTW44" s="481"/>
      <c r="RTX44" s="481"/>
      <c r="RTY44" s="481"/>
      <c r="RTZ44" s="481"/>
      <c r="RUA44" s="481"/>
      <c r="RUB44" s="481"/>
      <c r="RUC44" s="481"/>
      <c r="RUD44" s="481"/>
      <c r="RUE44" s="481"/>
      <c r="RUF44" s="481"/>
      <c r="RUG44" s="481"/>
      <c r="RUH44" s="481"/>
      <c r="RUI44" s="481"/>
      <c r="RUJ44" s="481"/>
      <c r="RUK44" s="481"/>
      <c r="RUL44" s="481"/>
      <c r="RUM44" s="481"/>
      <c r="RUN44" s="481"/>
      <c r="RUO44" s="481"/>
      <c r="RUP44" s="481"/>
      <c r="RUQ44" s="481"/>
      <c r="RUR44" s="481"/>
      <c r="RUS44" s="481"/>
      <c r="RUT44" s="481"/>
      <c r="RUU44" s="481"/>
      <c r="RUV44" s="481"/>
      <c r="RUW44" s="481"/>
      <c r="RUX44" s="481"/>
      <c r="RUY44" s="481"/>
      <c r="RUZ44" s="481"/>
      <c r="RVA44" s="481"/>
      <c r="RVB44" s="481"/>
      <c r="RVC44" s="481"/>
      <c r="RVD44" s="481"/>
      <c r="RVE44" s="481"/>
      <c r="RVF44" s="481"/>
      <c r="RVG44" s="481"/>
      <c r="RVH44" s="481"/>
      <c r="RVI44" s="481"/>
      <c r="RVJ44" s="481"/>
      <c r="RVK44" s="481"/>
      <c r="RVL44" s="481"/>
      <c r="RVM44" s="481"/>
      <c r="RVN44" s="481"/>
      <c r="RVO44" s="481"/>
      <c r="RVP44" s="481"/>
      <c r="RVQ44" s="481"/>
      <c r="RVR44" s="481"/>
      <c r="RVS44" s="481"/>
      <c r="RVT44" s="481"/>
      <c r="RVU44" s="481"/>
      <c r="RVV44" s="481"/>
      <c r="RVW44" s="481"/>
      <c r="RVX44" s="481"/>
      <c r="RVY44" s="481"/>
      <c r="RVZ44" s="481"/>
      <c r="RWA44" s="481"/>
      <c r="RWB44" s="481"/>
      <c r="RWC44" s="481"/>
      <c r="RWD44" s="481"/>
      <c r="RWE44" s="481"/>
      <c r="RWF44" s="481"/>
      <c r="RWG44" s="481"/>
      <c r="RWH44" s="481"/>
      <c r="RWI44" s="481"/>
      <c r="RWJ44" s="481"/>
      <c r="RWK44" s="481"/>
      <c r="RWL44" s="481"/>
      <c r="RWM44" s="481"/>
      <c r="RWN44" s="481"/>
      <c r="RWO44" s="481"/>
      <c r="RWP44" s="481"/>
      <c r="RWQ44" s="481"/>
      <c r="RWR44" s="481"/>
      <c r="RWS44" s="481"/>
      <c r="RWT44" s="481"/>
      <c r="RWU44" s="481"/>
      <c r="RWV44" s="481"/>
      <c r="RWW44" s="481"/>
      <c r="RWX44" s="481"/>
      <c r="RWY44" s="481"/>
      <c r="RWZ44" s="481"/>
      <c r="RXA44" s="481"/>
      <c r="RXB44" s="481"/>
      <c r="RXC44" s="481"/>
      <c r="RXD44" s="481"/>
      <c r="RXE44" s="481"/>
      <c r="RXF44" s="481"/>
      <c r="RXG44" s="481"/>
      <c r="RXH44" s="481"/>
      <c r="RXI44" s="481"/>
      <c r="RXJ44" s="481"/>
      <c r="RXK44" s="481"/>
      <c r="RXL44" s="481"/>
      <c r="RXM44" s="481"/>
      <c r="RXN44" s="481"/>
      <c r="RXO44" s="481"/>
      <c r="RXP44" s="481"/>
      <c r="RXQ44" s="481"/>
      <c r="RXR44" s="481"/>
      <c r="RXS44" s="481"/>
      <c r="RXT44" s="481"/>
      <c r="RXU44" s="481"/>
      <c r="RXV44" s="481"/>
      <c r="RXW44" s="481"/>
      <c r="RXX44" s="481"/>
      <c r="RXY44" s="481"/>
      <c r="RXZ44" s="481"/>
      <c r="RYA44" s="481"/>
      <c r="RYB44" s="481"/>
      <c r="RYC44" s="481"/>
      <c r="RYD44" s="481"/>
      <c r="RYE44" s="481"/>
      <c r="RYF44" s="481"/>
      <c r="RYG44" s="481"/>
      <c r="RYH44" s="481"/>
      <c r="RYI44" s="481"/>
      <c r="RYJ44" s="481"/>
      <c r="RYK44" s="481"/>
      <c r="RYL44" s="481"/>
      <c r="RYM44" s="481"/>
      <c r="RYN44" s="481"/>
      <c r="RYO44" s="481"/>
      <c r="RYP44" s="481"/>
      <c r="RYQ44" s="481"/>
      <c r="RYR44" s="481"/>
      <c r="RYS44" s="481"/>
      <c r="RYT44" s="481"/>
      <c r="RYU44" s="481"/>
      <c r="RYV44" s="481"/>
      <c r="RYW44" s="481"/>
      <c r="RYX44" s="481"/>
      <c r="RYY44" s="481"/>
      <c r="RYZ44" s="481"/>
      <c r="RZA44" s="481"/>
      <c r="RZB44" s="481"/>
      <c r="RZC44" s="481"/>
      <c r="RZD44" s="481"/>
      <c r="RZE44" s="481"/>
      <c r="RZF44" s="481"/>
      <c r="RZG44" s="481"/>
      <c r="RZH44" s="481"/>
      <c r="RZI44" s="481"/>
      <c r="RZJ44" s="481"/>
      <c r="RZK44" s="481"/>
      <c r="RZL44" s="481"/>
      <c r="RZM44" s="481"/>
      <c r="RZN44" s="481"/>
      <c r="RZO44" s="481"/>
      <c r="RZP44" s="481"/>
      <c r="RZQ44" s="481"/>
      <c r="RZR44" s="481"/>
      <c r="RZS44" s="481"/>
      <c r="RZT44" s="481"/>
      <c r="RZU44" s="481"/>
      <c r="RZV44" s="481"/>
      <c r="RZW44" s="481"/>
      <c r="RZX44" s="481"/>
      <c r="RZY44" s="481"/>
      <c r="RZZ44" s="481"/>
      <c r="SAA44" s="481"/>
      <c r="SAB44" s="481"/>
      <c r="SAC44" s="481"/>
      <c r="SAD44" s="481"/>
      <c r="SAE44" s="481"/>
      <c r="SAF44" s="481"/>
      <c r="SAG44" s="481"/>
      <c r="SAH44" s="481"/>
      <c r="SAI44" s="481"/>
      <c r="SAJ44" s="481"/>
      <c r="SAK44" s="481"/>
      <c r="SAL44" s="481"/>
      <c r="SAM44" s="481"/>
      <c r="SAN44" s="481"/>
      <c r="SAO44" s="481"/>
      <c r="SAP44" s="481"/>
      <c r="SAQ44" s="481"/>
      <c r="SAR44" s="481"/>
      <c r="SAS44" s="481"/>
      <c r="SAT44" s="481"/>
      <c r="SAU44" s="481"/>
      <c r="SAV44" s="481"/>
      <c r="SAW44" s="481"/>
      <c r="SAX44" s="481"/>
      <c r="SAY44" s="481"/>
      <c r="SAZ44" s="481"/>
      <c r="SBA44" s="481"/>
      <c r="SBB44" s="481"/>
      <c r="SBC44" s="481"/>
      <c r="SBD44" s="481"/>
      <c r="SBE44" s="481"/>
      <c r="SBF44" s="481"/>
      <c r="SBG44" s="481"/>
      <c r="SBH44" s="481"/>
      <c r="SBI44" s="481"/>
      <c r="SBJ44" s="481"/>
      <c r="SBK44" s="481"/>
      <c r="SBL44" s="481"/>
      <c r="SBM44" s="481"/>
      <c r="SBN44" s="481"/>
      <c r="SBO44" s="481"/>
      <c r="SBP44" s="481"/>
      <c r="SBQ44" s="481"/>
      <c r="SBR44" s="481"/>
      <c r="SBS44" s="481"/>
      <c r="SBT44" s="481"/>
      <c r="SBU44" s="481"/>
      <c r="SBV44" s="481"/>
      <c r="SBW44" s="481"/>
      <c r="SBX44" s="481"/>
      <c r="SBY44" s="481"/>
      <c r="SBZ44" s="481"/>
      <c r="SCA44" s="481"/>
      <c r="SCB44" s="481"/>
      <c r="SCC44" s="481"/>
      <c r="SCD44" s="481"/>
      <c r="SCE44" s="481"/>
      <c r="SCF44" s="481"/>
      <c r="SCG44" s="481"/>
      <c r="SCH44" s="481"/>
      <c r="SCI44" s="481"/>
      <c r="SCJ44" s="481"/>
      <c r="SCK44" s="481"/>
      <c r="SCL44" s="481"/>
      <c r="SCM44" s="481"/>
      <c r="SCN44" s="481"/>
      <c r="SCO44" s="481"/>
      <c r="SCP44" s="481"/>
      <c r="SCQ44" s="481"/>
      <c r="SCR44" s="481"/>
      <c r="SCS44" s="481"/>
      <c r="SCT44" s="481"/>
      <c r="SCU44" s="481"/>
      <c r="SCV44" s="481"/>
      <c r="SCW44" s="481"/>
      <c r="SCX44" s="481"/>
      <c r="SCY44" s="481"/>
      <c r="SCZ44" s="481"/>
      <c r="SDA44" s="481"/>
      <c r="SDB44" s="481"/>
      <c r="SDC44" s="481"/>
      <c r="SDD44" s="481"/>
      <c r="SDE44" s="481"/>
      <c r="SDF44" s="481"/>
      <c r="SDG44" s="481"/>
      <c r="SDH44" s="481"/>
      <c r="SDI44" s="481"/>
      <c r="SDJ44" s="481"/>
      <c r="SDK44" s="481"/>
      <c r="SDL44" s="481"/>
      <c r="SDM44" s="481"/>
      <c r="SDN44" s="481"/>
      <c r="SDO44" s="481"/>
      <c r="SDP44" s="481"/>
      <c r="SDQ44" s="481"/>
      <c r="SDR44" s="481"/>
      <c r="SDS44" s="481"/>
      <c r="SDT44" s="481"/>
      <c r="SDU44" s="481"/>
      <c r="SDV44" s="481"/>
      <c r="SDW44" s="481"/>
      <c r="SDX44" s="481"/>
      <c r="SDY44" s="481"/>
      <c r="SDZ44" s="481"/>
      <c r="SEA44" s="481"/>
      <c r="SEB44" s="481"/>
      <c r="SEC44" s="481"/>
      <c r="SED44" s="481"/>
      <c r="SEE44" s="481"/>
      <c r="SEF44" s="481"/>
      <c r="SEG44" s="481"/>
      <c r="SEH44" s="481"/>
      <c r="SEI44" s="481"/>
      <c r="SEJ44" s="481"/>
      <c r="SEK44" s="481"/>
      <c r="SEL44" s="481"/>
      <c r="SEM44" s="481"/>
      <c r="SEN44" s="481"/>
      <c r="SEO44" s="481"/>
      <c r="SEP44" s="481"/>
      <c r="SEQ44" s="481"/>
      <c r="SER44" s="481"/>
      <c r="SES44" s="481"/>
      <c r="SET44" s="481"/>
      <c r="SEU44" s="481"/>
      <c r="SEV44" s="481"/>
      <c r="SEW44" s="481"/>
      <c r="SEX44" s="481"/>
      <c r="SEY44" s="481"/>
      <c r="SEZ44" s="481"/>
      <c r="SFA44" s="481"/>
      <c r="SFB44" s="481"/>
      <c r="SFC44" s="481"/>
      <c r="SFD44" s="481"/>
      <c r="SFE44" s="481"/>
      <c r="SFF44" s="481"/>
      <c r="SFG44" s="481"/>
      <c r="SFH44" s="481"/>
      <c r="SFI44" s="481"/>
      <c r="SFJ44" s="481"/>
      <c r="SFK44" s="481"/>
      <c r="SFL44" s="481"/>
      <c r="SFM44" s="481"/>
      <c r="SFN44" s="481"/>
      <c r="SFO44" s="481"/>
      <c r="SFP44" s="481"/>
      <c r="SFQ44" s="481"/>
      <c r="SFR44" s="481"/>
      <c r="SFS44" s="481"/>
      <c r="SFT44" s="481"/>
      <c r="SFU44" s="481"/>
      <c r="SFV44" s="481"/>
      <c r="SFW44" s="481"/>
      <c r="SFX44" s="481"/>
      <c r="SFY44" s="481"/>
      <c r="SFZ44" s="481"/>
      <c r="SGA44" s="481"/>
      <c r="SGB44" s="481"/>
      <c r="SGC44" s="481"/>
      <c r="SGD44" s="481"/>
      <c r="SGE44" s="481"/>
      <c r="SGF44" s="481"/>
      <c r="SGG44" s="481"/>
      <c r="SGH44" s="481"/>
      <c r="SGI44" s="481"/>
      <c r="SGJ44" s="481"/>
      <c r="SGK44" s="481"/>
      <c r="SGL44" s="481"/>
      <c r="SGM44" s="481"/>
      <c r="SGN44" s="481"/>
      <c r="SGO44" s="481"/>
      <c r="SGP44" s="481"/>
      <c r="SGQ44" s="481"/>
      <c r="SGR44" s="481"/>
      <c r="SGS44" s="481"/>
      <c r="SGT44" s="481"/>
      <c r="SGU44" s="481"/>
      <c r="SGV44" s="481"/>
      <c r="SGW44" s="481"/>
      <c r="SGX44" s="481"/>
      <c r="SGY44" s="481"/>
      <c r="SGZ44" s="481"/>
      <c r="SHA44" s="481"/>
      <c r="SHB44" s="481"/>
      <c r="SHC44" s="481"/>
      <c r="SHD44" s="481"/>
      <c r="SHE44" s="481"/>
      <c r="SHF44" s="481"/>
      <c r="SHG44" s="481"/>
      <c r="SHH44" s="481"/>
      <c r="SHI44" s="481"/>
      <c r="SHJ44" s="481"/>
      <c r="SHK44" s="481"/>
      <c r="SHL44" s="481"/>
      <c r="SHM44" s="481"/>
      <c r="SHN44" s="481"/>
      <c r="SHO44" s="481"/>
      <c r="SHP44" s="481"/>
      <c r="SHQ44" s="481"/>
      <c r="SHR44" s="481"/>
      <c r="SHS44" s="481"/>
      <c r="SHT44" s="481"/>
      <c r="SHU44" s="481"/>
      <c r="SHV44" s="481"/>
      <c r="SHW44" s="481"/>
      <c r="SHX44" s="481"/>
      <c r="SHY44" s="481"/>
      <c r="SHZ44" s="481"/>
      <c r="SIA44" s="481"/>
      <c r="SIB44" s="481"/>
      <c r="SIC44" s="481"/>
      <c r="SID44" s="481"/>
      <c r="SIE44" s="481"/>
      <c r="SIF44" s="481"/>
      <c r="SIG44" s="481"/>
      <c r="SIH44" s="481"/>
      <c r="SII44" s="481"/>
      <c r="SIJ44" s="481"/>
      <c r="SIK44" s="481"/>
      <c r="SIL44" s="481"/>
      <c r="SIM44" s="481"/>
      <c r="SIN44" s="481"/>
      <c r="SIO44" s="481"/>
      <c r="SIP44" s="481"/>
      <c r="SIQ44" s="481"/>
      <c r="SIR44" s="481"/>
      <c r="SIS44" s="481"/>
      <c r="SIT44" s="481"/>
      <c r="SIU44" s="481"/>
      <c r="SIV44" s="481"/>
      <c r="SIW44" s="481"/>
      <c r="SIX44" s="481"/>
      <c r="SIY44" s="481"/>
      <c r="SIZ44" s="481"/>
      <c r="SJA44" s="481"/>
      <c r="SJB44" s="481"/>
      <c r="SJC44" s="481"/>
      <c r="SJD44" s="481"/>
      <c r="SJE44" s="481"/>
      <c r="SJF44" s="481"/>
      <c r="SJG44" s="481"/>
      <c r="SJH44" s="481"/>
      <c r="SJI44" s="481"/>
      <c r="SJJ44" s="481"/>
      <c r="SJK44" s="481"/>
      <c r="SJL44" s="481"/>
      <c r="SJM44" s="481"/>
      <c r="SJN44" s="481"/>
      <c r="SJO44" s="481"/>
      <c r="SJP44" s="481"/>
      <c r="SJQ44" s="481"/>
      <c r="SJR44" s="481"/>
      <c r="SJS44" s="481"/>
      <c r="SJT44" s="481"/>
      <c r="SJU44" s="481"/>
      <c r="SJV44" s="481"/>
      <c r="SJW44" s="481"/>
      <c r="SJX44" s="481"/>
      <c r="SJY44" s="481"/>
      <c r="SJZ44" s="481"/>
      <c r="SKA44" s="481"/>
      <c r="SKB44" s="481"/>
      <c r="SKC44" s="481"/>
      <c r="SKD44" s="481"/>
      <c r="SKE44" s="481"/>
      <c r="SKF44" s="481"/>
      <c r="SKG44" s="481"/>
      <c r="SKH44" s="481"/>
      <c r="SKI44" s="481"/>
      <c r="SKJ44" s="481"/>
      <c r="SKK44" s="481"/>
      <c r="SKL44" s="481"/>
      <c r="SKM44" s="481"/>
      <c r="SKN44" s="481"/>
      <c r="SKO44" s="481"/>
      <c r="SKP44" s="481"/>
      <c r="SKQ44" s="481"/>
      <c r="SKR44" s="481"/>
      <c r="SKS44" s="481"/>
      <c r="SKT44" s="481"/>
      <c r="SKU44" s="481"/>
      <c r="SKV44" s="481"/>
      <c r="SKW44" s="481"/>
      <c r="SKX44" s="481"/>
      <c r="SKY44" s="481"/>
      <c r="SKZ44" s="481"/>
      <c r="SLA44" s="481"/>
      <c r="SLB44" s="481"/>
      <c r="SLC44" s="481"/>
      <c r="SLD44" s="481"/>
      <c r="SLE44" s="481"/>
      <c r="SLF44" s="481"/>
      <c r="SLG44" s="481"/>
      <c r="SLH44" s="481"/>
      <c r="SLI44" s="481"/>
      <c r="SLJ44" s="481"/>
      <c r="SLK44" s="481"/>
      <c r="SLL44" s="481"/>
      <c r="SLM44" s="481"/>
      <c r="SLN44" s="481"/>
      <c r="SLO44" s="481"/>
      <c r="SLP44" s="481"/>
      <c r="SLQ44" s="481"/>
      <c r="SLR44" s="481"/>
      <c r="SLS44" s="481"/>
      <c r="SLT44" s="481"/>
      <c r="SLU44" s="481"/>
      <c r="SLV44" s="481"/>
      <c r="SLW44" s="481"/>
      <c r="SLX44" s="481"/>
      <c r="SLY44" s="481"/>
      <c r="SLZ44" s="481"/>
      <c r="SMA44" s="481"/>
      <c r="SMB44" s="481"/>
      <c r="SMC44" s="481"/>
      <c r="SMD44" s="481"/>
      <c r="SME44" s="481"/>
      <c r="SMF44" s="481"/>
      <c r="SMG44" s="481"/>
      <c r="SMH44" s="481"/>
      <c r="SMI44" s="481"/>
      <c r="SMJ44" s="481"/>
      <c r="SMK44" s="481"/>
      <c r="SML44" s="481"/>
      <c r="SMM44" s="481"/>
      <c r="SMN44" s="481"/>
      <c r="SMO44" s="481"/>
      <c r="SMP44" s="481"/>
      <c r="SMQ44" s="481"/>
      <c r="SMR44" s="481"/>
      <c r="SMS44" s="481"/>
      <c r="SMT44" s="481"/>
      <c r="SMU44" s="481"/>
      <c r="SMV44" s="481"/>
      <c r="SMW44" s="481"/>
      <c r="SMX44" s="481"/>
      <c r="SMY44" s="481"/>
      <c r="SMZ44" s="481"/>
      <c r="SNA44" s="481"/>
      <c r="SNB44" s="481"/>
      <c r="SNC44" s="481"/>
      <c r="SND44" s="481"/>
      <c r="SNE44" s="481"/>
      <c r="SNF44" s="481"/>
      <c r="SNG44" s="481"/>
      <c r="SNH44" s="481"/>
      <c r="SNI44" s="481"/>
      <c r="SNJ44" s="481"/>
      <c r="SNK44" s="481"/>
      <c r="SNL44" s="481"/>
      <c r="SNM44" s="481"/>
      <c r="SNN44" s="481"/>
      <c r="SNO44" s="481"/>
      <c r="SNP44" s="481"/>
      <c r="SNQ44" s="481"/>
      <c r="SNR44" s="481"/>
      <c r="SNS44" s="481"/>
      <c r="SNT44" s="481"/>
      <c r="SNU44" s="481"/>
      <c r="SNV44" s="481"/>
      <c r="SNW44" s="481"/>
      <c r="SNX44" s="481"/>
      <c r="SNY44" s="481"/>
      <c r="SNZ44" s="481"/>
      <c r="SOA44" s="481"/>
      <c r="SOB44" s="481"/>
      <c r="SOC44" s="481"/>
      <c r="SOD44" s="481"/>
      <c r="SOE44" s="481"/>
      <c r="SOF44" s="481"/>
      <c r="SOG44" s="481"/>
      <c r="SOH44" s="481"/>
      <c r="SOI44" s="481"/>
      <c r="SOJ44" s="481"/>
      <c r="SOK44" s="481"/>
      <c r="SOL44" s="481"/>
      <c r="SOM44" s="481"/>
      <c r="SON44" s="481"/>
      <c r="SOO44" s="481"/>
      <c r="SOP44" s="481"/>
      <c r="SOQ44" s="481"/>
      <c r="SOR44" s="481"/>
      <c r="SOS44" s="481"/>
      <c r="SOT44" s="481"/>
      <c r="SOU44" s="481"/>
      <c r="SOV44" s="481"/>
      <c r="SOW44" s="481"/>
      <c r="SOX44" s="481"/>
      <c r="SOY44" s="481"/>
      <c r="SOZ44" s="481"/>
      <c r="SPA44" s="481"/>
      <c r="SPB44" s="481"/>
      <c r="SPC44" s="481"/>
      <c r="SPD44" s="481"/>
      <c r="SPE44" s="481"/>
      <c r="SPF44" s="481"/>
      <c r="SPG44" s="481"/>
      <c r="SPH44" s="481"/>
      <c r="SPI44" s="481"/>
      <c r="SPJ44" s="481"/>
      <c r="SPK44" s="481"/>
      <c r="SPL44" s="481"/>
      <c r="SPM44" s="481"/>
      <c r="SPN44" s="481"/>
      <c r="SPO44" s="481"/>
      <c r="SPP44" s="481"/>
      <c r="SPQ44" s="481"/>
      <c r="SPR44" s="481"/>
      <c r="SPS44" s="481"/>
      <c r="SPT44" s="481"/>
      <c r="SPU44" s="481"/>
      <c r="SPV44" s="481"/>
      <c r="SPW44" s="481"/>
      <c r="SPX44" s="481"/>
      <c r="SPY44" s="481"/>
      <c r="SPZ44" s="481"/>
      <c r="SQA44" s="481"/>
      <c r="SQB44" s="481"/>
      <c r="SQC44" s="481"/>
      <c r="SQD44" s="481"/>
      <c r="SQE44" s="481"/>
      <c r="SQF44" s="481"/>
      <c r="SQG44" s="481"/>
      <c r="SQH44" s="481"/>
      <c r="SQI44" s="481"/>
      <c r="SQJ44" s="481"/>
      <c r="SQK44" s="481"/>
      <c r="SQL44" s="481"/>
      <c r="SQM44" s="481"/>
      <c r="SQN44" s="481"/>
      <c r="SQO44" s="481"/>
      <c r="SQP44" s="481"/>
      <c r="SQQ44" s="481"/>
      <c r="SQR44" s="481"/>
      <c r="SQS44" s="481"/>
      <c r="SQT44" s="481"/>
      <c r="SQU44" s="481"/>
      <c r="SQV44" s="481"/>
      <c r="SQW44" s="481"/>
      <c r="SQX44" s="481"/>
      <c r="SQY44" s="481"/>
      <c r="SQZ44" s="481"/>
      <c r="SRA44" s="481"/>
      <c r="SRB44" s="481"/>
      <c r="SRC44" s="481"/>
      <c r="SRD44" s="481"/>
      <c r="SRE44" s="481"/>
      <c r="SRF44" s="481"/>
      <c r="SRG44" s="481"/>
      <c r="SRH44" s="481"/>
      <c r="SRI44" s="481"/>
      <c r="SRJ44" s="481"/>
      <c r="SRK44" s="481"/>
      <c r="SRL44" s="481"/>
      <c r="SRM44" s="481"/>
      <c r="SRN44" s="481"/>
      <c r="SRO44" s="481"/>
      <c r="SRP44" s="481"/>
      <c r="SRQ44" s="481"/>
      <c r="SRR44" s="481"/>
      <c r="SRS44" s="481"/>
      <c r="SRT44" s="481"/>
      <c r="SRU44" s="481"/>
      <c r="SRV44" s="481"/>
      <c r="SRW44" s="481"/>
      <c r="SRX44" s="481"/>
      <c r="SRY44" s="481"/>
      <c r="SRZ44" s="481"/>
      <c r="SSA44" s="481"/>
      <c r="SSB44" s="481"/>
      <c r="SSC44" s="481"/>
      <c r="SSD44" s="481"/>
      <c r="SSE44" s="481"/>
      <c r="SSF44" s="481"/>
      <c r="SSG44" s="481"/>
      <c r="SSH44" s="481"/>
      <c r="SSI44" s="481"/>
      <c r="SSJ44" s="481"/>
      <c r="SSK44" s="481"/>
      <c r="SSL44" s="481"/>
      <c r="SSM44" s="481"/>
      <c r="SSN44" s="481"/>
      <c r="SSO44" s="481"/>
      <c r="SSP44" s="481"/>
      <c r="SSQ44" s="481"/>
      <c r="SSR44" s="481"/>
      <c r="SSS44" s="481"/>
      <c r="SST44" s="481"/>
      <c r="SSU44" s="481"/>
      <c r="SSV44" s="481"/>
      <c r="SSW44" s="481"/>
      <c r="SSX44" s="481"/>
      <c r="SSY44" s="481"/>
      <c r="SSZ44" s="481"/>
      <c r="STA44" s="481"/>
      <c r="STB44" s="481"/>
      <c r="STC44" s="481"/>
      <c r="STD44" s="481"/>
      <c r="STE44" s="481"/>
      <c r="STF44" s="481"/>
      <c r="STG44" s="481"/>
      <c r="STH44" s="481"/>
      <c r="STI44" s="481"/>
      <c r="STJ44" s="481"/>
      <c r="STK44" s="481"/>
      <c r="STL44" s="481"/>
      <c r="STM44" s="481"/>
      <c r="STN44" s="481"/>
      <c r="STO44" s="481"/>
      <c r="STP44" s="481"/>
      <c r="STQ44" s="481"/>
      <c r="STR44" s="481"/>
      <c r="STS44" s="481"/>
      <c r="STT44" s="481"/>
      <c r="STU44" s="481"/>
      <c r="STV44" s="481"/>
      <c r="STW44" s="481"/>
      <c r="STX44" s="481"/>
      <c r="STY44" s="481"/>
      <c r="STZ44" s="481"/>
      <c r="SUA44" s="481"/>
      <c r="SUB44" s="481"/>
      <c r="SUC44" s="481"/>
      <c r="SUD44" s="481"/>
      <c r="SUE44" s="481"/>
      <c r="SUF44" s="481"/>
      <c r="SUG44" s="481"/>
      <c r="SUH44" s="481"/>
      <c r="SUI44" s="481"/>
      <c r="SUJ44" s="481"/>
      <c r="SUK44" s="481"/>
      <c r="SUL44" s="481"/>
      <c r="SUM44" s="481"/>
      <c r="SUN44" s="481"/>
      <c r="SUO44" s="481"/>
      <c r="SUP44" s="481"/>
      <c r="SUQ44" s="481"/>
      <c r="SUR44" s="481"/>
      <c r="SUS44" s="481"/>
      <c r="SUT44" s="481"/>
      <c r="SUU44" s="481"/>
      <c r="SUV44" s="481"/>
      <c r="SUW44" s="481"/>
      <c r="SUX44" s="481"/>
      <c r="SUY44" s="481"/>
      <c r="SUZ44" s="481"/>
      <c r="SVA44" s="481"/>
      <c r="SVB44" s="481"/>
      <c r="SVC44" s="481"/>
      <c r="SVD44" s="481"/>
      <c r="SVE44" s="481"/>
      <c r="SVF44" s="481"/>
      <c r="SVG44" s="481"/>
      <c r="SVH44" s="481"/>
      <c r="SVI44" s="481"/>
      <c r="SVJ44" s="481"/>
      <c r="SVK44" s="481"/>
      <c r="SVL44" s="481"/>
      <c r="SVM44" s="481"/>
      <c r="SVN44" s="481"/>
      <c r="SVO44" s="481"/>
      <c r="SVP44" s="481"/>
      <c r="SVQ44" s="481"/>
      <c r="SVR44" s="481"/>
      <c r="SVS44" s="481"/>
      <c r="SVT44" s="481"/>
      <c r="SVU44" s="481"/>
      <c r="SVV44" s="481"/>
      <c r="SVW44" s="481"/>
      <c r="SVX44" s="481"/>
      <c r="SVY44" s="481"/>
      <c r="SVZ44" s="481"/>
      <c r="SWA44" s="481"/>
      <c r="SWB44" s="481"/>
      <c r="SWC44" s="481"/>
      <c r="SWD44" s="481"/>
      <c r="SWE44" s="481"/>
      <c r="SWF44" s="481"/>
      <c r="SWG44" s="481"/>
      <c r="SWH44" s="481"/>
      <c r="SWI44" s="481"/>
      <c r="SWJ44" s="481"/>
      <c r="SWK44" s="481"/>
      <c r="SWL44" s="481"/>
      <c r="SWM44" s="481"/>
      <c r="SWN44" s="481"/>
      <c r="SWO44" s="481"/>
      <c r="SWP44" s="481"/>
      <c r="SWQ44" s="481"/>
      <c r="SWR44" s="481"/>
      <c r="SWS44" s="481"/>
      <c r="SWT44" s="481"/>
      <c r="SWU44" s="481"/>
      <c r="SWV44" s="481"/>
      <c r="SWW44" s="481"/>
      <c r="SWX44" s="481"/>
      <c r="SWY44" s="481"/>
      <c r="SWZ44" s="481"/>
      <c r="SXA44" s="481"/>
      <c r="SXB44" s="481"/>
      <c r="SXC44" s="481"/>
      <c r="SXD44" s="481"/>
      <c r="SXE44" s="481"/>
      <c r="SXF44" s="481"/>
      <c r="SXG44" s="481"/>
      <c r="SXH44" s="481"/>
      <c r="SXI44" s="481"/>
      <c r="SXJ44" s="481"/>
      <c r="SXK44" s="481"/>
      <c r="SXL44" s="481"/>
      <c r="SXM44" s="481"/>
      <c r="SXN44" s="481"/>
      <c r="SXO44" s="481"/>
      <c r="SXP44" s="481"/>
      <c r="SXQ44" s="481"/>
      <c r="SXR44" s="481"/>
      <c r="SXS44" s="481"/>
      <c r="SXT44" s="481"/>
      <c r="SXU44" s="481"/>
      <c r="SXV44" s="481"/>
      <c r="SXW44" s="481"/>
      <c r="SXX44" s="481"/>
      <c r="SXY44" s="481"/>
      <c r="SXZ44" s="481"/>
      <c r="SYA44" s="481"/>
      <c r="SYB44" s="481"/>
      <c r="SYC44" s="481"/>
      <c r="SYD44" s="481"/>
      <c r="SYE44" s="481"/>
      <c r="SYF44" s="481"/>
      <c r="SYG44" s="481"/>
      <c r="SYH44" s="481"/>
      <c r="SYI44" s="481"/>
      <c r="SYJ44" s="481"/>
      <c r="SYK44" s="481"/>
      <c r="SYL44" s="481"/>
      <c r="SYM44" s="481"/>
      <c r="SYN44" s="481"/>
      <c r="SYO44" s="481"/>
      <c r="SYP44" s="481"/>
      <c r="SYQ44" s="481"/>
      <c r="SYR44" s="481"/>
      <c r="SYS44" s="481"/>
      <c r="SYT44" s="481"/>
      <c r="SYU44" s="481"/>
      <c r="SYV44" s="481"/>
      <c r="SYW44" s="481"/>
      <c r="SYX44" s="481"/>
      <c r="SYY44" s="481"/>
      <c r="SYZ44" s="481"/>
      <c r="SZA44" s="481"/>
      <c r="SZB44" s="481"/>
      <c r="SZC44" s="481"/>
      <c r="SZD44" s="481"/>
      <c r="SZE44" s="481"/>
      <c r="SZF44" s="481"/>
      <c r="SZG44" s="481"/>
      <c r="SZH44" s="481"/>
      <c r="SZI44" s="481"/>
      <c r="SZJ44" s="481"/>
      <c r="SZK44" s="481"/>
      <c r="SZL44" s="481"/>
      <c r="SZM44" s="481"/>
      <c r="SZN44" s="481"/>
      <c r="SZO44" s="481"/>
      <c r="SZP44" s="481"/>
      <c r="SZQ44" s="481"/>
      <c r="SZR44" s="481"/>
      <c r="SZS44" s="481"/>
      <c r="SZT44" s="481"/>
      <c r="SZU44" s="481"/>
      <c r="SZV44" s="481"/>
      <c r="SZW44" s="481"/>
      <c r="SZX44" s="481"/>
      <c r="SZY44" s="481"/>
      <c r="SZZ44" s="481"/>
      <c r="TAA44" s="481"/>
      <c r="TAB44" s="481"/>
      <c r="TAC44" s="481"/>
      <c r="TAD44" s="481"/>
      <c r="TAE44" s="481"/>
      <c r="TAF44" s="481"/>
      <c r="TAG44" s="481"/>
      <c r="TAH44" s="481"/>
      <c r="TAI44" s="481"/>
      <c r="TAJ44" s="481"/>
      <c r="TAK44" s="481"/>
      <c r="TAL44" s="481"/>
      <c r="TAM44" s="481"/>
      <c r="TAN44" s="481"/>
      <c r="TAO44" s="481"/>
      <c r="TAP44" s="481"/>
      <c r="TAQ44" s="481"/>
      <c r="TAR44" s="481"/>
      <c r="TAS44" s="481"/>
      <c r="TAT44" s="481"/>
      <c r="TAU44" s="481"/>
      <c r="TAV44" s="481"/>
      <c r="TAW44" s="481"/>
      <c r="TAX44" s="481"/>
      <c r="TAY44" s="481"/>
      <c r="TAZ44" s="481"/>
      <c r="TBA44" s="481"/>
      <c r="TBB44" s="481"/>
      <c r="TBC44" s="481"/>
      <c r="TBD44" s="481"/>
      <c r="TBE44" s="481"/>
      <c r="TBF44" s="481"/>
      <c r="TBG44" s="481"/>
      <c r="TBH44" s="481"/>
      <c r="TBI44" s="481"/>
      <c r="TBJ44" s="481"/>
      <c r="TBK44" s="481"/>
      <c r="TBL44" s="481"/>
      <c r="TBM44" s="481"/>
      <c r="TBN44" s="481"/>
      <c r="TBO44" s="481"/>
      <c r="TBP44" s="481"/>
      <c r="TBQ44" s="481"/>
      <c r="TBR44" s="481"/>
      <c r="TBS44" s="481"/>
      <c r="TBT44" s="481"/>
      <c r="TBU44" s="481"/>
      <c r="TBV44" s="481"/>
      <c r="TBW44" s="481"/>
      <c r="TBX44" s="481"/>
      <c r="TBY44" s="481"/>
      <c r="TBZ44" s="481"/>
      <c r="TCA44" s="481"/>
      <c r="TCB44" s="481"/>
      <c r="TCC44" s="481"/>
      <c r="TCD44" s="481"/>
      <c r="TCE44" s="481"/>
      <c r="TCF44" s="481"/>
      <c r="TCG44" s="481"/>
      <c r="TCH44" s="481"/>
      <c r="TCI44" s="481"/>
      <c r="TCJ44" s="481"/>
      <c r="TCK44" s="481"/>
      <c r="TCL44" s="481"/>
      <c r="TCM44" s="481"/>
      <c r="TCN44" s="481"/>
      <c r="TCO44" s="481"/>
      <c r="TCP44" s="481"/>
      <c r="TCQ44" s="481"/>
      <c r="TCR44" s="481"/>
      <c r="TCS44" s="481"/>
      <c r="TCT44" s="481"/>
      <c r="TCU44" s="481"/>
      <c r="TCV44" s="481"/>
      <c r="TCW44" s="481"/>
      <c r="TCX44" s="481"/>
      <c r="TCY44" s="481"/>
      <c r="TCZ44" s="481"/>
      <c r="TDA44" s="481"/>
      <c r="TDB44" s="481"/>
      <c r="TDC44" s="481"/>
      <c r="TDD44" s="481"/>
      <c r="TDE44" s="481"/>
      <c r="TDF44" s="481"/>
      <c r="TDG44" s="481"/>
      <c r="TDH44" s="481"/>
      <c r="TDI44" s="481"/>
      <c r="TDJ44" s="481"/>
      <c r="TDK44" s="481"/>
      <c r="TDL44" s="481"/>
      <c r="TDM44" s="481"/>
      <c r="TDN44" s="481"/>
      <c r="TDO44" s="481"/>
      <c r="TDP44" s="481"/>
      <c r="TDQ44" s="481"/>
      <c r="TDR44" s="481"/>
      <c r="TDS44" s="481"/>
      <c r="TDT44" s="481"/>
      <c r="TDU44" s="481"/>
      <c r="TDV44" s="481"/>
      <c r="TDW44" s="481"/>
      <c r="TDX44" s="481"/>
      <c r="TDY44" s="481"/>
      <c r="TDZ44" s="481"/>
      <c r="TEA44" s="481"/>
      <c r="TEB44" s="481"/>
      <c r="TEC44" s="481"/>
      <c r="TED44" s="481"/>
      <c r="TEE44" s="481"/>
      <c r="TEF44" s="481"/>
      <c r="TEG44" s="481"/>
      <c r="TEH44" s="481"/>
      <c r="TEI44" s="481"/>
      <c r="TEJ44" s="481"/>
      <c r="TEK44" s="481"/>
      <c r="TEL44" s="481"/>
      <c r="TEM44" s="481"/>
      <c r="TEN44" s="481"/>
      <c r="TEO44" s="481"/>
      <c r="TEP44" s="481"/>
      <c r="TEQ44" s="481"/>
      <c r="TER44" s="481"/>
      <c r="TES44" s="481"/>
      <c r="TET44" s="481"/>
      <c r="TEU44" s="481"/>
      <c r="TEV44" s="481"/>
      <c r="TEW44" s="481"/>
      <c r="TEX44" s="481"/>
      <c r="TEY44" s="481"/>
      <c r="TEZ44" s="481"/>
      <c r="TFA44" s="481"/>
      <c r="TFB44" s="481"/>
      <c r="TFC44" s="481"/>
      <c r="TFD44" s="481"/>
      <c r="TFE44" s="481"/>
      <c r="TFF44" s="481"/>
      <c r="TFG44" s="481"/>
      <c r="TFH44" s="481"/>
      <c r="TFI44" s="481"/>
      <c r="TFJ44" s="481"/>
      <c r="TFK44" s="481"/>
      <c r="TFL44" s="481"/>
      <c r="TFM44" s="481"/>
      <c r="TFN44" s="481"/>
      <c r="TFO44" s="481"/>
      <c r="TFP44" s="481"/>
      <c r="TFQ44" s="481"/>
      <c r="TFR44" s="481"/>
      <c r="TFS44" s="481"/>
      <c r="TFT44" s="481"/>
      <c r="TFU44" s="481"/>
      <c r="TFV44" s="481"/>
      <c r="TFW44" s="481"/>
      <c r="TFX44" s="481"/>
      <c r="TFY44" s="481"/>
      <c r="TFZ44" s="481"/>
      <c r="TGA44" s="481"/>
      <c r="TGB44" s="481"/>
      <c r="TGC44" s="481"/>
      <c r="TGD44" s="481"/>
      <c r="TGE44" s="481"/>
      <c r="TGF44" s="481"/>
      <c r="TGG44" s="481"/>
      <c r="TGH44" s="481"/>
      <c r="TGI44" s="481"/>
      <c r="TGJ44" s="481"/>
      <c r="TGK44" s="481"/>
      <c r="TGL44" s="481"/>
      <c r="TGM44" s="481"/>
      <c r="TGN44" s="481"/>
      <c r="TGO44" s="481"/>
      <c r="TGP44" s="481"/>
      <c r="TGQ44" s="481"/>
      <c r="TGR44" s="481"/>
      <c r="TGS44" s="481"/>
      <c r="TGT44" s="481"/>
      <c r="TGU44" s="481"/>
      <c r="TGV44" s="481"/>
      <c r="TGW44" s="481"/>
      <c r="TGX44" s="481"/>
      <c r="TGY44" s="481"/>
      <c r="TGZ44" s="481"/>
      <c r="THA44" s="481"/>
      <c r="THB44" s="481"/>
      <c r="THC44" s="481"/>
      <c r="THD44" s="481"/>
      <c r="THE44" s="481"/>
      <c r="THF44" s="481"/>
      <c r="THG44" s="481"/>
      <c r="THH44" s="481"/>
      <c r="THI44" s="481"/>
      <c r="THJ44" s="481"/>
      <c r="THK44" s="481"/>
      <c r="THL44" s="481"/>
      <c r="THM44" s="481"/>
      <c r="THN44" s="481"/>
      <c r="THO44" s="481"/>
      <c r="THP44" s="481"/>
      <c r="THQ44" s="481"/>
      <c r="THR44" s="481"/>
      <c r="THS44" s="481"/>
      <c r="THT44" s="481"/>
      <c r="THU44" s="481"/>
      <c r="THV44" s="481"/>
      <c r="THW44" s="481"/>
      <c r="THX44" s="481"/>
      <c r="THY44" s="481"/>
      <c r="THZ44" s="481"/>
      <c r="TIA44" s="481"/>
      <c r="TIB44" s="481"/>
      <c r="TIC44" s="481"/>
      <c r="TID44" s="481"/>
      <c r="TIE44" s="481"/>
      <c r="TIF44" s="481"/>
      <c r="TIG44" s="481"/>
      <c r="TIH44" s="481"/>
      <c r="TII44" s="481"/>
      <c r="TIJ44" s="481"/>
      <c r="TIK44" s="481"/>
      <c r="TIL44" s="481"/>
      <c r="TIM44" s="481"/>
      <c r="TIN44" s="481"/>
      <c r="TIO44" s="481"/>
      <c r="TIP44" s="481"/>
      <c r="TIQ44" s="481"/>
      <c r="TIR44" s="481"/>
      <c r="TIS44" s="481"/>
      <c r="TIT44" s="481"/>
      <c r="TIU44" s="481"/>
      <c r="TIV44" s="481"/>
      <c r="TIW44" s="481"/>
      <c r="TIX44" s="481"/>
      <c r="TIY44" s="481"/>
      <c r="TIZ44" s="481"/>
      <c r="TJA44" s="481"/>
      <c r="TJB44" s="481"/>
      <c r="TJC44" s="481"/>
      <c r="TJD44" s="481"/>
      <c r="TJE44" s="481"/>
      <c r="TJF44" s="481"/>
      <c r="TJG44" s="481"/>
      <c r="TJH44" s="481"/>
      <c r="TJI44" s="481"/>
      <c r="TJJ44" s="481"/>
      <c r="TJK44" s="481"/>
      <c r="TJL44" s="481"/>
      <c r="TJM44" s="481"/>
      <c r="TJN44" s="481"/>
      <c r="TJO44" s="481"/>
      <c r="TJP44" s="481"/>
      <c r="TJQ44" s="481"/>
      <c r="TJR44" s="481"/>
      <c r="TJS44" s="481"/>
      <c r="TJT44" s="481"/>
      <c r="TJU44" s="481"/>
      <c r="TJV44" s="481"/>
      <c r="TJW44" s="481"/>
      <c r="TJX44" s="481"/>
      <c r="TJY44" s="481"/>
      <c r="TJZ44" s="481"/>
      <c r="TKA44" s="481"/>
      <c r="TKB44" s="481"/>
      <c r="TKC44" s="481"/>
      <c r="TKD44" s="481"/>
      <c r="TKE44" s="481"/>
      <c r="TKF44" s="481"/>
      <c r="TKG44" s="481"/>
      <c r="TKH44" s="481"/>
      <c r="TKI44" s="481"/>
      <c r="TKJ44" s="481"/>
      <c r="TKK44" s="481"/>
      <c r="TKL44" s="481"/>
      <c r="TKM44" s="481"/>
      <c r="TKN44" s="481"/>
      <c r="TKO44" s="481"/>
      <c r="TKP44" s="481"/>
      <c r="TKQ44" s="481"/>
      <c r="TKR44" s="481"/>
      <c r="TKS44" s="481"/>
      <c r="TKT44" s="481"/>
      <c r="TKU44" s="481"/>
      <c r="TKV44" s="481"/>
      <c r="TKW44" s="481"/>
      <c r="TKX44" s="481"/>
      <c r="TKY44" s="481"/>
      <c r="TKZ44" s="481"/>
      <c r="TLA44" s="481"/>
      <c r="TLB44" s="481"/>
      <c r="TLC44" s="481"/>
      <c r="TLD44" s="481"/>
      <c r="TLE44" s="481"/>
      <c r="TLF44" s="481"/>
      <c r="TLG44" s="481"/>
      <c r="TLH44" s="481"/>
      <c r="TLI44" s="481"/>
      <c r="TLJ44" s="481"/>
      <c r="TLK44" s="481"/>
      <c r="TLL44" s="481"/>
      <c r="TLM44" s="481"/>
      <c r="TLN44" s="481"/>
      <c r="TLO44" s="481"/>
      <c r="TLP44" s="481"/>
      <c r="TLQ44" s="481"/>
      <c r="TLR44" s="481"/>
      <c r="TLS44" s="481"/>
      <c r="TLT44" s="481"/>
      <c r="TLU44" s="481"/>
      <c r="TLV44" s="481"/>
      <c r="TLW44" s="481"/>
      <c r="TLX44" s="481"/>
      <c r="TLY44" s="481"/>
      <c r="TLZ44" s="481"/>
      <c r="TMA44" s="481"/>
      <c r="TMB44" s="481"/>
      <c r="TMC44" s="481"/>
      <c r="TMD44" s="481"/>
      <c r="TME44" s="481"/>
      <c r="TMF44" s="481"/>
      <c r="TMG44" s="481"/>
      <c r="TMH44" s="481"/>
      <c r="TMI44" s="481"/>
      <c r="TMJ44" s="481"/>
      <c r="TMK44" s="481"/>
      <c r="TML44" s="481"/>
      <c r="TMM44" s="481"/>
      <c r="TMN44" s="481"/>
      <c r="TMO44" s="481"/>
      <c r="TMP44" s="481"/>
      <c r="TMQ44" s="481"/>
      <c r="TMR44" s="481"/>
      <c r="TMS44" s="481"/>
      <c r="TMT44" s="481"/>
      <c r="TMU44" s="481"/>
      <c r="TMV44" s="481"/>
      <c r="TMW44" s="481"/>
      <c r="TMX44" s="481"/>
      <c r="TMY44" s="481"/>
      <c r="TMZ44" s="481"/>
      <c r="TNA44" s="481"/>
      <c r="TNB44" s="481"/>
      <c r="TNC44" s="481"/>
      <c r="TND44" s="481"/>
      <c r="TNE44" s="481"/>
      <c r="TNF44" s="481"/>
      <c r="TNG44" s="481"/>
      <c r="TNH44" s="481"/>
      <c r="TNI44" s="481"/>
      <c r="TNJ44" s="481"/>
      <c r="TNK44" s="481"/>
      <c r="TNL44" s="481"/>
      <c r="TNM44" s="481"/>
      <c r="TNN44" s="481"/>
      <c r="TNO44" s="481"/>
      <c r="TNP44" s="481"/>
      <c r="TNQ44" s="481"/>
      <c r="TNR44" s="481"/>
      <c r="TNS44" s="481"/>
      <c r="TNT44" s="481"/>
      <c r="TNU44" s="481"/>
      <c r="TNV44" s="481"/>
      <c r="TNW44" s="481"/>
      <c r="TNX44" s="481"/>
      <c r="TNY44" s="481"/>
      <c r="TNZ44" s="481"/>
      <c r="TOA44" s="481"/>
      <c r="TOB44" s="481"/>
      <c r="TOC44" s="481"/>
      <c r="TOD44" s="481"/>
      <c r="TOE44" s="481"/>
      <c r="TOF44" s="481"/>
      <c r="TOG44" s="481"/>
      <c r="TOH44" s="481"/>
      <c r="TOI44" s="481"/>
      <c r="TOJ44" s="481"/>
      <c r="TOK44" s="481"/>
      <c r="TOL44" s="481"/>
      <c r="TOM44" s="481"/>
      <c r="TON44" s="481"/>
      <c r="TOO44" s="481"/>
      <c r="TOP44" s="481"/>
      <c r="TOQ44" s="481"/>
      <c r="TOR44" s="481"/>
      <c r="TOS44" s="481"/>
      <c r="TOT44" s="481"/>
      <c r="TOU44" s="481"/>
      <c r="TOV44" s="481"/>
      <c r="TOW44" s="481"/>
      <c r="TOX44" s="481"/>
      <c r="TOY44" s="481"/>
      <c r="TOZ44" s="481"/>
      <c r="TPA44" s="481"/>
      <c r="TPB44" s="481"/>
      <c r="TPC44" s="481"/>
      <c r="TPD44" s="481"/>
      <c r="TPE44" s="481"/>
      <c r="TPF44" s="481"/>
      <c r="TPG44" s="481"/>
      <c r="TPH44" s="481"/>
      <c r="TPI44" s="481"/>
      <c r="TPJ44" s="481"/>
      <c r="TPK44" s="481"/>
      <c r="TPL44" s="481"/>
      <c r="TPM44" s="481"/>
      <c r="TPN44" s="481"/>
      <c r="TPO44" s="481"/>
      <c r="TPP44" s="481"/>
      <c r="TPQ44" s="481"/>
      <c r="TPR44" s="481"/>
      <c r="TPS44" s="481"/>
      <c r="TPT44" s="481"/>
      <c r="TPU44" s="481"/>
      <c r="TPV44" s="481"/>
      <c r="TPW44" s="481"/>
      <c r="TPX44" s="481"/>
      <c r="TPY44" s="481"/>
      <c r="TPZ44" s="481"/>
      <c r="TQA44" s="481"/>
      <c r="TQB44" s="481"/>
      <c r="TQC44" s="481"/>
      <c r="TQD44" s="481"/>
      <c r="TQE44" s="481"/>
      <c r="TQF44" s="481"/>
      <c r="TQG44" s="481"/>
      <c r="TQH44" s="481"/>
      <c r="TQI44" s="481"/>
      <c r="TQJ44" s="481"/>
      <c r="TQK44" s="481"/>
      <c r="TQL44" s="481"/>
      <c r="TQM44" s="481"/>
      <c r="TQN44" s="481"/>
      <c r="TQO44" s="481"/>
      <c r="TQP44" s="481"/>
      <c r="TQQ44" s="481"/>
      <c r="TQR44" s="481"/>
      <c r="TQS44" s="481"/>
      <c r="TQT44" s="481"/>
      <c r="TQU44" s="481"/>
      <c r="TQV44" s="481"/>
      <c r="TQW44" s="481"/>
      <c r="TQX44" s="481"/>
      <c r="TQY44" s="481"/>
      <c r="TQZ44" s="481"/>
      <c r="TRA44" s="481"/>
      <c r="TRB44" s="481"/>
      <c r="TRC44" s="481"/>
      <c r="TRD44" s="481"/>
      <c r="TRE44" s="481"/>
      <c r="TRF44" s="481"/>
      <c r="TRG44" s="481"/>
      <c r="TRH44" s="481"/>
      <c r="TRI44" s="481"/>
      <c r="TRJ44" s="481"/>
      <c r="TRK44" s="481"/>
      <c r="TRL44" s="481"/>
      <c r="TRM44" s="481"/>
      <c r="TRN44" s="481"/>
      <c r="TRO44" s="481"/>
      <c r="TRP44" s="481"/>
      <c r="TRQ44" s="481"/>
      <c r="TRR44" s="481"/>
      <c r="TRS44" s="481"/>
      <c r="TRT44" s="481"/>
      <c r="TRU44" s="481"/>
      <c r="TRV44" s="481"/>
      <c r="TRW44" s="481"/>
      <c r="TRX44" s="481"/>
      <c r="TRY44" s="481"/>
      <c r="TRZ44" s="481"/>
      <c r="TSA44" s="481"/>
      <c r="TSB44" s="481"/>
      <c r="TSC44" s="481"/>
      <c r="TSD44" s="481"/>
      <c r="TSE44" s="481"/>
      <c r="TSF44" s="481"/>
      <c r="TSG44" s="481"/>
      <c r="TSH44" s="481"/>
      <c r="TSI44" s="481"/>
      <c r="TSJ44" s="481"/>
      <c r="TSK44" s="481"/>
      <c r="TSL44" s="481"/>
      <c r="TSM44" s="481"/>
      <c r="TSN44" s="481"/>
      <c r="TSO44" s="481"/>
      <c r="TSP44" s="481"/>
      <c r="TSQ44" s="481"/>
      <c r="TSR44" s="481"/>
      <c r="TSS44" s="481"/>
      <c r="TST44" s="481"/>
      <c r="TSU44" s="481"/>
      <c r="TSV44" s="481"/>
      <c r="TSW44" s="481"/>
      <c r="TSX44" s="481"/>
      <c r="TSY44" s="481"/>
      <c r="TSZ44" s="481"/>
      <c r="TTA44" s="481"/>
      <c r="TTB44" s="481"/>
      <c r="TTC44" s="481"/>
      <c r="TTD44" s="481"/>
      <c r="TTE44" s="481"/>
      <c r="TTF44" s="481"/>
      <c r="TTG44" s="481"/>
      <c r="TTH44" s="481"/>
      <c r="TTI44" s="481"/>
      <c r="TTJ44" s="481"/>
      <c r="TTK44" s="481"/>
      <c r="TTL44" s="481"/>
      <c r="TTM44" s="481"/>
      <c r="TTN44" s="481"/>
      <c r="TTO44" s="481"/>
      <c r="TTP44" s="481"/>
      <c r="TTQ44" s="481"/>
      <c r="TTR44" s="481"/>
      <c r="TTS44" s="481"/>
      <c r="TTT44" s="481"/>
      <c r="TTU44" s="481"/>
      <c r="TTV44" s="481"/>
      <c r="TTW44" s="481"/>
      <c r="TTX44" s="481"/>
      <c r="TTY44" s="481"/>
      <c r="TTZ44" s="481"/>
      <c r="TUA44" s="481"/>
      <c r="TUB44" s="481"/>
      <c r="TUC44" s="481"/>
      <c r="TUD44" s="481"/>
      <c r="TUE44" s="481"/>
      <c r="TUF44" s="481"/>
      <c r="TUG44" s="481"/>
      <c r="TUH44" s="481"/>
      <c r="TUI44" s="481"/>
      <c r="TUJ44" s="481"/>
      <c r="TUK44" s="481"/>
      <c r="TUL44" s="481"/>
      <c r="TUM44" s="481"/>
      <c r="TUN44" s="481"/>
      <c r="TUO44" s="481"/>
      <c r="TUP44" s="481"/>
      <c r="TUQ44" s="481"/>
      <c r="TUR44" s="481"/>
      <c r="TUS44" s="481"/>
      <c r="TUT44" s="481"/>
      <c r="TUU44" s="481"/>
      <c r="TUV44" s="481"/>
      <c r="TUW44" s="481"/>
      <c r="TUX44" s="481"/>
      <c r="TUY44" s="481"/>
      <c r="TUZ44" s="481"/>
      <c r="TVA44" s="481"/>
      <c r="TVB44" s="481"/>
      <c r="TVC44" s="481"/>
      <c r="TVD44" s="481"/>
      <c r="TVE44" s="481"/>
      <c r="TVF44" s="481"/>
      <c r="TVG44" s="481"/>
      <c r="TVH44" s="481"/>
      <c r="TVI44" s="481"/>
      <c r="TVJ44" s="481"/>
      <c r="TVK44" s="481"/>
      <c r="TVL44" s="481"/>
      <c r="TVM44" s="481"/>
      <c r="TVN44" s="481"/>
      <c r="TVO44" s="481"/>
      <c r="TVP44" s="481"/>
      <c r="TVQ44" s="481"/>
      <c r="TVR44" s="481"/>
      <c r="TVS44" s="481"/>
      <c r="TVT44" s="481"/>
      <c r="TVU44" s="481"/>
      <c r="TVV44" s="481"/>
      <c r="TVW44" s="481"/>
      <c r="TVX44" s="481"/>
      <c r="TVY44" s="481"/>
      <c r="TVZ44" s="481"/>
      <c r="TWA44" s="481"/>
      <c r="TWB44" s="481"/>
      <c r="TWC44" s="481"/>
      <c r="TWD44" s="481"/>
      <c r="TWE44" s="481"/>
      <c r="TWF44" s="481"/>
      <c r="TWG44" s="481"/>
      <c r="TWH44" s="481"/>
      <c r="TWI44" s="481"/>
      <c r="TWJ44" s="481"/>
      <c r="TWK44" s="481"/>
      <c r="TWL44" s="481"/>
      <c r="TWM44" s="481"/>
      <c r="TWN44" s="481"/>
      <c r="TWO44" s="481"/>
      <c r="TWP44" s="481"/>
      <c r="TWQ44" s="481"/>
      <c r="TWR44" s="481"/>
      <c r="TWS44" s="481"/>
      <c r="TWT44" s="481"/>
      <c r="TWU44" s="481"/>
      <c r="TWV44" s="481"/>
      <c r="TWW44" s="481"/>
      <c r="TWX44" s="481"/>
      <c r="TWY44" s="481"/>
      <c r="TWZ44" s="481"/>
      <c r="TXA44" s="481"/>
      <c r="TXB44" s="481"/>
      <c r="TXC44" s="481"/>
      <c r="TXD44" s="481"/>
      <c r="TXE44" s="481"/>
      <c r="TXF44" s="481"/>
      <c r="TXG44" s="481"/>
      <c r="TXH44" s="481"/>
      <c r="TXI44" s="481"/>
      <c r="TXJ44" s="481"/>
      <c r="TXK44" s="481"/>
      <c r="TXL44" s="481"/>
      <c r="TXM44" s="481"/>
      <c r="TXN44" s="481"/>
      <c r="TXO44" s="481"/>
      <c r="TXP44" s="481"/>
      <c r="TXQ44" s="481"/>
      <c r="TXR44" s="481"/>
      <c r="TXS44" s="481"/>
      <c r="TXT44" s="481"/>
      <c r="TXU44" s="481"/>
      <c r="TXV44" s="481"/>
      <c r="TXW44" s="481"/>
      <c r="TXX44" s="481"/>
      <c r="TXY44" s="481"/>
      <c r="TXZ44" s="481"/>
      <c r="TYA44" s="481"/>
      <c r="TYB44" s="481"/>
      <c r="TYC44" s="481"/>
      <c r="TYD44" s="481"/>
      <c r="TYE44" s="481"/>
      <c r="TYF44" s="481"/>
      <c r="TYG44" s="481"/>
      <c r="TYH44" s="481"/>
      <c r="TYI44" s="481"/>
      <c r="TYJ44" s="481"/>
      <c r="TYK44" s="481"/>
      <c r="TYL44" s="481"/>
      <c r="TYM44" s="481"/>
      <c r="TYN44" s="481"/>
      <c r="TYO44" s="481"/>
      <c r="TYP44" s="481"/>
      <c r="TYQ44" s="481"/>
      <c r="TYR44" s="481"/>
      <c r="TYS44" s="481"/>
      <c r="TYT44" s="481"/>
      <c r="TYU44" s="481"/>
      <c r="TYV44" s="481"/>
      <c r="TYW44" s="481"/>
      <c r="TYX44" s="481"/>
      <c r="TYY44" s="481"/>
      <c r="TYZ44" s="481"/>
      <c r="TZA44" s="481"/>
      <c r="TZB44" s="481"/>
      <c r="TZC44" s="481"/>
      <c r="TZD44" s="481"/>
      <c r="TZE44" s="481"/>
      <c r="TZF44" s="481"/>
      <c r="TZG44" s="481"/>
      <c r="TZH44" s="481"/>
      <c r="TZI44" s="481"/>
      <c r="TZJ44" s="481"/>
      <c r="TZK44" s="481"/>
      <c r="TZL44" s="481"/>
      <c r="TZM44" s="481"/>
      <c r="TZN44" s="481"/>
      <c r="TZO44" s="481"/>
      <c r="TZP44" s="481"/>
      <c r="TZQ44" s="481"/>
      <c r="TZR44" s="481"/>
      <c r="TZS44" s="481"/>
      <c r="TZT44" s="481"/>
      <c r="TZU44" s="481"/>
      <c r="TZV44" s="481"/>
      <c r="TZW44" s="481"/>
      <c r="TZX44" s="481"/>
      <c r="TZY44" s="481"/>
      <c r="TZZ44" s="481"/>
      <c r="UAA44" s="481"/>
      <c r="UAB44" s="481"/>
      <c r="UAC44" s="481"/>
      <c r="UAD44" s="481"/>
      <c r="UAE44" s="481"/>
      <c r="UAF44" s="481"/>
      <c r="UAG44" s="481"/>
      <c r="UAH44" s="481"/>
      <c r="UAI44" s="481"/>
      <c r="UAJ44" s="481"/>
      <c r="UAK44" s="481"/>
      <c r="UAL44" s="481"/>
      <c r="UAM44" s="481"/>
      <c r="UAN44" s="481"/>
      <c r="UAO44" s="481"/>
      <c r="UAP44" s="481"/>
      <c r="UAQ44" s="481"/>
      <c r="UAR44" s="481"/>
      <c r="UAS44" s="481"/>
      <c r="UAT44" s="481"/>
      <c r="UAU44" s="481"/>
      <c r="UAV44" s="481"/>
      <c r="UAW44" s="481"/>
      <c r="UAX44" s="481"/>
      <c r="UAY44" s="481"/>
      <c r="UAZ44" s="481"/>
      <c r="UBA44" s="481"/>
      <c r="UBB44" s="481"/>
      <c r="UBC44" s="481"/>
      <c r="UBD44" s="481"/>
      <c r="UBE44" s="481"/>
      <c r="UBF44" s="481"/>
      <c r="UBG44" s="481"/>
      <c r="UBH44" s="481"/>
      <c r="UBI44" s="481"/>
      <c r="UBJ44" s="481"/>
      <c r="UBK44" s="481"/>
      <c r="UBL44" s="481"/>
      <c r="UBM44" s="481"/>
      <c r="UBN44" s="481"/>
      <c r="UBO44" s="481"/>
      <c r="UBP44" s="481"/>
      <c r="UBQ44" s="481"/>
      <c r="UBR44" s="481"/>
      <c r="UBS44" s="481"/>
      <c r="UBT44" s="481"/>
      <c r="UBU44" s="481"/>
      <c r="UBV44" s="481"/>
      <c r="UBW44" s="481"/>
      <c r="UBX44" s="481"/>
      <c r="UBY44" s="481"/>
      <c r="UBZ44" s="481"/>
      <c r="UCA44" s="481"/>
      <c r="UCB44" s="481"/>
      <c r="UCC44" s="481"/>
      <c r="UCD44" s="481"/>
      <c r="UCE44" s="481"/>
      <c r="UCF44" s="481"/>
      <c r="UCG44" s="481"/>
      <c r="UCH44" s="481"/>
      <c r="UCI44" s="481"/>
      <c r="UCJ44" s="481"/>
      <c r="UCK44" s="481"/>
      <c r="UCL44" s="481"/>
      <c r="UCM44" s="481"/>
      <c r="UCN44" s="481"/>
      <c r="UCO44" s="481"/>
      <c r="UCP44" s="481"/>
      <c r="UCQ44" s="481"/>
      <c r="UCR44" s="481"/>
      <c r="UCS44" s="481"/>
      <c r="UCT44" s="481"/>
      <c r="UCU44" s="481"/>
      <c r="UCV44" s="481"/>
      <c r="UCW44" s="481"/>
      <c r="UCX44" s="481"/>
      <c r="UCY44" s="481"/>
      <c r="UCZ44" s="481"/>
      <c r="UDA44" s="481"/>
      <c r="UDB44" s="481"/>
      <c r="UDC44" s="481"/>
      <c r="UDD44" s="481"/>
      <c r="UDE44" s="481"/>
      <c r="UDF44" s="481"/>
      <c r="UDG44" s="481"/>
      <c r="UDH44" s="481"/>
      <c r="UDI44" s="481"/>
      <c r="UDJ44" s="481"/>
      <c r="UDK44" s="481"/>
      <c r="UDL44" s="481"/>
      <c r="UDM44" s="481"/>
      <c r="UDN44" s="481"/>
      <c r="UDO44" s="481"/>
      <c r="UDP44" s="481"/>
      <c r="UDQ44" s="481"/>
      <c r="UDR44" s="481"/>
      <c r="UDS44" s="481"/>
      <c r="UDT44" s="481"/>
      <c r="UDU44" s="481"/>
      <c r="UDV44" s="481"/>
      <c r="UDW44" s="481"/>
      <c r="UDX44" s="481"/>
      <c r="UDY44" s="481"/>
      <c r="UDZ44" s="481"/>
      <c r="UEA44" s="481"/>
      <c r="UEB44" s="481"/>
      <c r="UEC44" s="481"/>
      <c r="UED44" s="481"/>
      <c r="UEE44" s="481"/>
      <c r="UEF44" s="481"/>
      <c r="UEG44" s="481"/>
      <c r="UEH44" s="481"/>
      <c r="UEI44" s="481"/>
      <c r="UEJ44" s="481"/>
      <c r="UEK44" s="481"/>
      <c r="UEL44" s="481"/>
      <c r="UEM44" s="481"/>
      <c r="UEN44" s="481"/>
      <c r="UEO44" s="481"/>
      <c r="UEP44" s="481"/>
      <c r="UEQ44" s="481"/>
      <c r="UER44" s="481"/>
      <c r="UES44" s="481"/>
      <c r="UET44" s="481"/>
      <c r="UEU44" s="481"/>
      <c r="UEV44" s="481"/>
      <c r="UEW44" s="481"/>
      <c r="UEX44" s="481"/>
      <c r="UEY44" s="481"/>
      <c r="UEZ44" s="481"/>
      <c r="UFA44" s="481"/>
      <c r="UFB44" s="481"/>
      <c r="UFC44" s="481"/>
      <c r="UFD44" s="481"/>
      <c r="UFE44" s="481"/>
      <c r="UFF44" s="481"/>
      <c r="UFG44" s="481"/>
      <c r="UFH44" s="481"/>
      <c r="UFI44" s="481"/>
      <c r="UFJ44" s="481"/>
      <c r="UFK44" s="481"/>
      <c r="UFL44" s="481"/>
      <c r="UFM44" s="481"/>
      <c r="UFN44" s="481"/>
      <c r="UFO44" s="481"/>
      <c r="UFP44" s="481"/>
      <c r="UFQ44" s="481"/>
      <c r="UFR44" s="481"/>
      <c r="UFS44" s="481"/>
      <c r="UFT44" s="481"/>
      <c r="UFU44" s="481"/>
      <c r="UFV44" s="481"/>
      <c r="UFW44" s="481"/>
      <c r="UFX44" s="481"/>
      <c r="UFY44" s="481"/>
      <c r="UFZ44" s="481"/>
      <c r="UGA44" s="481"/>
      <c r="UGB44" s="481"/>
      <c r="UGC44" s="481"/>
      <c r="UGD44" s="481"/>
      <c r="UGE44" s="481"/>
      <c r="UGF44" s="481"/>
      <c r="UGG44" s="481"/>
      <c r="UGH44" s="481"/>
      <c r="UGI44" s="481"/>
      <c r="UGJ44" s="481"/>
      <c r="UGK44" s="481"/>
      <c r="UGL44" s="481"/>
      <c r="UGM44" s="481"/>
      <c r="UGN44" s="481"/>
      <c r="UGO44" s="481"/>
      <c r="UGP44" s="481"/>
      <c r="UGQ44" s="481"/>
      <c r="UGR44" s="481"/>
      <c r="UGS44" s="481"/>
      <c r="UGT44" s="481"/>
      <c r="UGU44" s="481"/>
      <c r="UGV44" s="481"/>
      <c r="UGW44" s="481"/>
      <c r="UGX44" s="481"/>
      <c r="UGY44" s="481"/>
      <c r="UGZ44" s="481"/>
      <c r="UHA44" s="481"/>
      <c r="UHB44" s="481"/>
      <c r="UHC44" s="481"/>
      <c r="UHD44" s="481"/>
      <c r="UHE44" s="481"/>
      <c r="UHF44" s="481"/>
      <c r="UHG44" s="481"/>
      <c r="UHH44" s="481"/>
      <c r="UHI44" s="481"/>
      <c r="UHJ44" s="481"/>
      <c r="UHK44" s="481"/>
      <c r="UHL44" s="481"/>
      <c r="UHM44" s="481"/>
      <c r="UHN44" s="481"/>
      <c r="UHO44" s="481"/>
      <c r="UHP44" s="481"/>
      <c r="UHQ44" s="481"/>
      <c r="UHR44" s="481"/>
      <c r="UHS44" s="481"/>
      <c r="UHT44" s="481"/>
      <c r="UHU44" s="481"/>
      <c r="UHV44" s="481"/>
      <c r="UHW44" s="481"/>
      <c r="UHX44" s="481"/>
      <c r="UHY44" s="481"/>
      <c r="UHZ44" s="481"/>
      <c r="UIA44" s="481"/>
      <c r="UIB44" s="481"/>
      <c r="UIC44" s="481"/>
      <c r="UID44" s="481"/>
      <c r="UIE44" s="481"/>
      <c r="UIF44" s="481"/>
      <c r="UIG44" s="481"/>
      <c r="UIH44" s="481"/>
      <c r="UII44" s="481"/>
      <c r="UIJ44" s="481"/>
      <c r="UIK44" s="481"/>
      <c r="UIL44" s="481"/>
      <c r="UIM44" s="481"/>
      <c r="UIN44" s="481"/>
      <c r="UIO44" s="481"/>
      <c r="UIP44" s="481"/>
      <c r="UIQ44" s="481"/>
      <c r="UIR44" s="481"/>
      <c r="UIS44" s="481"/>
      <c r="UIT44" s="481"/>
      <c r="UIU44" s="481"/>
      <c r="UIV44" s="481"/>
      <c r="UIW44" s="481"/>
      <c r="UIX44" s="481"/>
      <c r="UIY44" s="481"/>
      <c r="UIZ44" s="481"/>
      <c r="UJA44" s="481"/>
      <c r="UJB44" s="481"/>
      <c r="UJC44" s="481"/>
      <c r="UJD44" s="481"/>
      <c r="UJE44" s="481"/>
      <c r="UJF44" s="481"/>
      <c r="UJG44" s="481"/>
      <c r="UJH44" s="481"/>
      <c r="UJI44" s="481"/>
      <c r="UJJ44" s="481"/>
      <c r="UJK44" s="481"/>
      <c r="UJL44" s="481"/>
      <c r="UJM44" s="481"/>
      <c r="UJN44" s="481"/>
      <c r="UJO44" s="481"/>
      <c r="UJP44" s="481"/>
      <c r="UJQ44" s="481"/>
      <c r="UJR44" s="481"/>
      <c r="UJS44" s="481"/>
      <c r="UJT44" s="481"/>
      <c r="UJU44" s="481"/>
      <c r="UJV44" s="481"/>
      <c r="UJW44" s="481"/>
      <c r="UJX44" s="481"/>
      <c r="UJY44" s="481"/>
      <c r="UJZ44" s="481"/>
      <c r="UKA44" s="481"/>
      <c r="UKB44" s="481"/>
      <c r="UKC44" s="481"/>
      <c r="UKD44" s="481"/>
      <c r="UKE44" s="481"/>
      <c r="UKF44" s="481"/>
      <c r="UKG44" s="481"/>
      <c r="UKH44" s="481"/>
      <c r="UKI44" s="481"/>
      <c r="UKJ44" s="481"/>
      <c r="UKK44" s="481"/>
      <c r="UKL44" s="481"/>
      <c r="UKM44" s="481"/>
      <c r="UKN44" s="481"/>
      <c r="UKO44" s="481"/>
      <c r="UKP44" s="481"/>
      <c r="UKQ44" s="481"/>
      <c r="UKR44" s="481"/>
      <c r="UKS44" s="481"/>
      <c r="UKT44" s="481"/>
      <c r="UKU44" s="481"/>
      <c r="UKV44" s="481"/>
      <c r="UKW44" s="481"/>
      <c r="UKX44" s="481"/>
      <c r="UKY44" s="481"/>
      <c r="UKZ44" s="481"/>
      <c r="ULA44" s="481"/>
      <c r="ULB44" s="481"/>
      <c r="ULC44" s="481"/>
      <c r="ULD44" s="481"/>
      <c r="ULE44" s="481"/>
      <c r="ULF44" s="481"/>
      <c r="ULG44" s="481"/>
      <c r="ULH44" s="481"/>
      <c r="ULI44" s="481"/>
      <c r="ULJ44" s="481"/>
      <c r="ULK44" s="481"/>
      <c r="ULL44" s="481"/>
      <c r="ULM44" s="481"/>
      <c r="ULN44" s="481"/>
      <c r="ULO44" s="481"/>
      <c r="ULP44" s="481"/>
      <c r="ULQ44" s="481"/>
      <c r="ULR44" s="481"/>
      <c r="ULS44" s="481"/>
      <c r="ULT44" s="481"/>
      <c r="ULU44" s="481"/>
      <c r="ULV44" s="481"/>
      <c r="ULW44" s="481"/>
      <c r="ULX44" s="481"/>
      <c r="ULY44" s="481"/>
      <c r="ULZ44" s="481"/>
      <c r="UMA44" s="481"/>
      <c r="UMB44" s="481"/>
      <c r="UMC44" s="481"/>
      <c r="UMD44" s="481"/>
      <c r="UME44" s="481"/>
      <c r="UMF44" s="481"/>
      <c r="UMG44" s="481"/>
      <c r="UMH44" s="481"/>
      <c r="UMI44" s="481"/>
      <c r="UMJ44" s="481"/>
      <c r="UMK44" s="481"/>
      <c r="UML44" s="481"/>
      <c r="UMM44" s="481"/>
      <c r="UMN44" s="481"/>
      <c r="UMO44" s="481"/>
      <c r="UMP44" s="481"/>
      <c r="UMQ44" s="481"/>
      <c r="UMR44" s="481"/>
      <c r="UMS44" s="481"/>
      <c r="UMT44" s="481"/>
      <c r="UMU44" s="481"/>
      <c r="UMV44" s="481"/>
      <c r="UMW44" s="481"/>
      <c r="UMX44" s="481"/>
      <c r="UMY44" s="481"/>
      <c r="UMZ44" s="481"/>
      <c r="UNA44" s="481"/>
      <c r="UNB44" s="481"/>
      <c r="UNC44" s="481"/>
      <c r="UND44" s="481"/>
      <c r="UNE44" s="481"/>
      <c r="UNF44" s="481"/>
      <c r="UNG44" s="481"/>
      <c r="UNH44" s="481"/>
      <c r="UNI44" s="481"/>
      <c r="UNJ44" s="481"/>
      <c r="UNK44" s="481"/>
      <c r="UNL44" s="481"/>
      <c r="UNM44" s="481"/>
      <c r="UNN44" s="481"/>
      <c r="UNO44" s="481"/>
      <c r="UNP44" s="481"/>
      <c r="UNQ44" s="481"/>
      <c r="UNR44" s="481"/>
      <c r="UNS44" s="481"/>
      <c r="UNT44" s="481"/>
      <c r="UNU44" s="481"/>
      <c r="UNV44" s="481"/>
      <c r="UNW44" s="481"/>
      <c r="UNX44" s="481"/>
      <c r="UNY44" s="481"/>
      <c r="UNZ44" s="481"/>
      <c r="UOA44" s="481"/>
      <c r="UOB44" s="481"/>
      <c r="UOC44" s="481"/>
      <c r="UOD44" s="481"/>
      <c r="UOE44" s="481"/>
      <c r="UOF44" s="481"/>
      <c r="UOG44" s="481"/>
      <c r="UOH44" s="481"/>
      <c r="UOI44" s="481"/>
      <c r="UOJ44" s="481"/>
      <c r="UOK44" s="481"/>
      <c r="UOL44" s="481"/>
      <c r="UOM44" s="481"/>
      <c r="UON44" s="481"/>
      <c r="UOO44" s="481"/>
      <c r="UOP44" s="481"/>
      <c r="UOQ44" s="481"/>
      <c r="UOR44" s="481"/>
      <c r="UOS44" s="481"/>
      <c r="UOT44" s="481"/>
      <c r="UOU44" s="481"/>
      <c r="UOV44" s="481"/>
      <c r="UOW44" s="481"/>
      <c r="UOX44" s="481"/>
      <c r="UOY44" s="481"/>
      <c r="UOZ44" s="481"/>
      <c r="UPA44" s="481"/>
      <c r="UPB44" s="481"/>
      <c r="UPC44" s="481"/>
      <c r="UPD44" s="481"/>
      <c r="UPE44" s="481"/>
      <c r="UPF44" s="481"/>
      <c r="UPG44" s="481"/>
      <c r="UPH44" s="481"/>
      <c r="UPI44" s="481"/>
      <c r="UPJ44" s="481"/>
      <c r="UPK44" s="481"/>
      <c r="UPL44" s="481"/>
      <c r="UPM44" s="481"/>
      <c r="UPN44" s="481"/>
      <c r="UPO44" s="481"/>
      <c r="UPP44" s="481"/>
      <c r="UPQ44" s="481"/>
      <c r="UPR44" s="481"/>
      <c r="UPS44" s="481"/>
      <c r="UPT44" s="481"/>
      <c r="UPU44" s="481"/>
      <c r="UPV44" s="481"/>
      <c r="UPW44" s="481"/>
      <c r="UPX44" s="481"/>
      <c r="UPY44" s="481"/>
      <c r="UPZ44" s="481"/>
      <c r="UQA44" s="481"/>
      <c r="UQB44" s="481"/>
      <c r="UQC44" s="481"/>
      <c r="UQD44" s="481"/>
      <c r="UQE44" s="481"/>
      <c r="UQF44" s="481"/>
      <c r="UQG44" s="481"/>
      <c r="UQH44" s="481"/>
      <c r="UQI44" s="481"/>
      <c r="UQJ44" s="481"/>
      <c r="UQK44" s="481"/>
      <c r="UQL44" s="481"/>
      <c r="UQM44" s="481"/>
      <c r="UQN44" s="481"/>
      <c r="UQO44" s="481"/>
      <c r="UQP44" s="481"/>
      <c r="UQQ44" s="481"/>
      <c r="UQR44" s="481"/>
      <c r="UQS44" s="481"/>
      <c r="UQT44" s="481"/>
      <c r="UQU44" s="481"/>
      <c r="UQV44" s="481"/>
      <c r="UQW44" s="481"/>
      <c r="UQX44" s="481"/>
      <c r="UQY44" s="481"/>
      <c r="UQZ44" s="481"/>
      <c r="URA44" s="481"/>
      <c r="URB44" s="481"/>
      <c r="URC44" s="481"/>
      <c r="URD44" s="481"/>
      <c r="URE44" s="481"/>
      <c r="URF44" s="481"/>
      <c r="URG44" s="481"/>
      <c r="URH44" s="481"/>
      <c r="URI44" s="481"/>
      <c r="URJ44" s="481"/>
      <c r="URK44" s="481"/>
      <c r="URL44" s="481"/>
      <c r="URM44" s="481"/>
      <c r="URN44" s="481"/>
      <c r="URO44" s="481"/>
      <c r="URP44" s="481"/>
      <c r="URQ44" s="481"/>
      <c r="URR44" s="481"/>
      <c r="URS44" s="481"/>
      <c r="URT44" s="481"/>
      <c r="URU44" s="481"/>
      <c r="URV44" s="481"/>
      <c r="URW44" s="481"/>
      <c r="URX44" s="481"/>
      <c r="URY44" s="481"/>
      <c r="URZ44" s="481"/>
      <c r="USA44" s="481"/>
      <c r="USB44" s="481"/>
      <c r="USC44" s="481"/>
      <c r="USD44" s="481"/>
      <c r="USE44" s="481"/>
      <c r="USF44" s="481"/>
      <c r="USG44" s="481"/>
      <c r="USH44" s="481"/>
      <c r="USI44" s="481"/>
      <c r="USJ44" s="481"/>
      <c r="USK44" s="481"/>
      <c r="USL44" s="481"/>
      <c r="USM44" s="481"/>
      <c r="USN44" s="481"/>
      <c r="USO44" s="481"/>
      <c r="USP44" s="481"/>
      <c r="USQ44" s="481"/>
      <c r="USR44" s="481"/>
      <c r="USS44" s="481"/>
      <c r="UST44" s="481"/>
      <c r="USU44" s="481"/>
      <c r="USV44" s="481"/>
      <c r="USW44" s="481"/>
      <c r="USX44" s="481"/>
      <c r="USY44" s="481"/>
      <c r="USZ44" s="481"/>
      <c r="UTA44" s="481"/>
      <c r="UTB44" s="481"/>
      <c r="UTC44" s="481"/>
      <c r="UTD44" s="481"/>
      <c r="UTE44" s="481"/>
      <c r="UTF44" s="481"/>
      <c r="UTG44" s="481"/>
      <c r="UTH44" s="481"/>
      <c r="UTI44" s="481"/>
      <c r="UTJ44" s="481"/>
      <c r="UTK44" s="481"/>
      <c r="UTL44" s="481"/>
      <c r="UTM44" s="481"/>
      <c r="UTN44" s="481"/>
      <c r="UTO44" s="481"/>
      <c r="UTP44" s="481"/>
      <c r="UTQ44" s="481"/>
      <c r="UTR44" s="481"/>
      <c r="UTS44" s="481"/>
      <c r="UTT44" s="481"/>
      <c r="UTU44" s="481"/>
      <c r="UTV44" s="481"/>
      <c r="UTW44" s="481"/>
      <c r="UTX44" s="481"/>
      <c r="UTY44" s="481"/>
      <c r="UTZ44" s="481"/>
      <c r="UUA44" s="481"/>
      <c r="UUB44" s="481"/>
      <c r="UUC44" s="481"/>
      <c r="UUD44" s="481"/>
      <c r="UUE44" s="481"/>
      <c r="UUF44" s="481"/>
      <c r="UUG44" s="481"/>
      <c r="UUH44" s="481"/>
      <c r="UUI44" s="481"/>
      <c r="UUJ44" s="481"/>
      <c r="UUK44" s="481"/>
      <c r="UUL44" s="481"/>
      <c r="UUM44" s="481"/>
      <c r="UUN44" s="481"/>
      <c r="UUO44" s="481"/>
      <c r="UUP44" s="481"/>
      <c r="UUQ44" s="481"/>
      <c r="UUR44" s="481"/>
      <c r="UUS44" s="481"/>
      <c r="UUT44" s="481"/>
      <c r="UUU44" s="481"/>
      <c r="UUV44" s="481"/>
      <c r="UUW44" s="481"/>
      <c r="UUX44" s="481"/>
      <c r="UUY44" s="481"/>
      <c r="UUZ44" s="481"/>
      <c r="UVA44" s="481"/>
      <c r="UVB44" s="481"/>
      <c r="UVC44" s="481"/>
      <c r="UVD44" s="481"/>
      <c r="UVE44" s="481"/>
      <c r="UVF44" s="481"/>
      <c r="UVG44" s="481"/>
      <c r="UVH44" s="481"/>
      <c r="UVI44" s="481"/>
      <c r="UVJ44" s="481"/>
      <c r="UVK44" s="481"/>
      <c r="UVL44" s="481"/>
      <c r="UVM44" s="481"/>
      <c r="UVN44" s="481"/>
      <c r="UVO44" s="481"/>
      <c r="UVP44" s="481"/>
      <c r="UVQ44" s="481"/>
      <c r="UVR44" s="481"/>
      <c r="UVS44" s="481"/>
      <c r="UVT44" s="481"/>
      <c r="UVU44" s="481"/>
      <c r="UVV44" s="481"/>
      <c r="UVW44" s="481"/>
      <c r="UVX44" s="481"/>
      <c r="UVY44" s="481"/>
      <c r="UVZ44" s="481"/>
      <c r="UWA44" s="481"/>
      <c r="UWB44" s="481"/>
      <c r="UWC44" s="481"/>
      <c r="UWD44" s="481"/>
      <c r="UWE44" s="481"/>
      <c r="UWF44" s="481"/>
      <c r="UWG44" s="481"/>
      <c r="UWH44" s="481"/>
      <c r="UWI44" s="481"/>
      <c r="UWJ44" s="481"/>
      <c r="UWK44" s="481"/>
      <c r="UWL44" s="481"/>
      <c r="UWM44" s="481"/>
      <c r="UWN44" s="481"/>
      <c r="UWO44" s="481"/>
      <c r="UWP44" s="481"/>
      <c r="UWQ44" s="481"/>
      <c r="UWR44" s="481"/>
      <c r="UWS44" s="481"/>
      <c r="UWT44" s="481"/>
      <c r="UWU44" s="481"/>
      <c r="UWV44" s="481"/>
      <c r="UWW44" s="481"/>
      <c r="UWX44" s="481"/>
      <c r="UWY44" s="481"/>
      <c r="UWZ44" s="481"/>
      <c r="UXA44" s="481"/>
      <c r="UXB44" s="481"/>
      <c r="UXC44" s="481"/>
      <c r="UXD44" s="481"/>
      <c r="UXE44" s="481"/>
      <c r="UXF44" s="481"/>
      <c r="UXG44" s="481"/>
      <c r="UXH44" s="481"/>
      <c r="UXI44" s="481"/>
      <c r="UXJ44" s="481"/>
      <c r="UXK44" s="481"/>
      <c r="UXL44" s="481"/>
      <c r="UXM44" s="481"/>
      <c r="UXN44" s="481"/>
      <c r="UXO44" s="481"/>
      <c r="UXP44" s="481"/>
      <c r="UXQ44" s="481"/>
      <c r="UXR44" s="481"/>
      <c r="UXS44" s="481"/>
      <c r="UXT44" s="481"/>
      <c r="UXU44" s="481"/>
      <c r="UXV44" s="481"/>
      <c r="UXW44" s="481"/>
      <c r="UXX44" s="481"/>
      <c r="UXY44" s="481"/>
      <c r="UXZ44" s="481"/>
      <c r="UYA44" s="481"/>
      <c r="UYB44" s="481"/>
      <c r="UYC44" s="481"/>
      <c r="UYD44" s="481"/>
      <c r="UYE44" s="481"/>
      <c r="UYF44" s="481"/>
      <c r="UYG44" s="481"/>
      <c r="UYH44" s="481"/>
      <c r="UYI44" s="481"/>
      <c r="UYJ44" s="481"/>
      <c r="UYK44" s="481"/>
      <c r="UYL44" s="481"/>
      <c r="UYM44" s="481"/>
      <c r="UYN44" s="481"/>
      <c r="UYO44" s="481"/>
      <c r="UYP44" s="481"/>
      <c r="UYQ44" s="481"/>
      <c r="UYR44" s="481"/>
      <c r="UYS44" s="481"/>
      <c r="UYT44" s="481"/>
      <c r="UYU44" s="481"/>
      <c r="UYV44" s="481"/>
      <c r="UYW44" s="481"/>
      <c r="UYX44" s="481"/>
      <c r="UYY44" s="481"/>
      <c r="UYZ44" s="481"/>
      <c r="UZA44" s="481"/>
      <c r="UZB44" s="481"/>
      <c r="UZC44" s="481"/>
      <c r="UZD44" s="481"/>
      <c r="UZE44" s="481"/>
      <c r="UZF44" s="481"/>
      <c r="UZG44" s="481"/>
      <c r="UZH44" s="481"/>
      <c r="UZI44" s="481"/>
      <c r="UZJ44" s="481"/>
      <c r="UZK44" s="481"/>
      <c r="UZL44" s="481"/>
      <c r="UZM44" s="481"/>
      <c r="UZN44" s="481"/>
      <c r="UZO44" s="481"/>
      <c r="UZP44" s="481"/>
      <c r="UZQ44" s="481"/>
      <c r="UZR44" s="481"/>
      <c r="UZS44" s="481"/>
      <c r="UZT44" s="481"/>
      <c r="UZU44" s="481"/>
      <c r="UZV44" s="481"/>
      <c r="UZW44" s="481"/>
      <c r="UZX44" s="481"/>
      <c r="UZY44" s="481"/>
      <c r="UZZ44" s="481"/>
      <c r="VAA44" s="481"/>
      <c r="VAB44" s="481"/>
      <c r="VAC44" s="481"/>
      <c r="VAD44" s="481"/>
      <c r="VAE44" s="481"/>
      <c r="VAF44" s="481"/>
      <c r="VAG44" s="481"/>
      <c r="VAH44" s="481"/>
      <c r="VAI44" s="481"/>
      <c r="VAJ44" s="481"/>
      <c r="VAK44" s="481"/>
      <c r="VAL44" s="481"/>
      <c r="VAM44" s="481"/>
      <c r="VAN44" s="481"/>
      <c r="VAO44" s="481"/>
      <c r="VAP44" s="481"/>
      <c r="VAQ44" s="481"/>
      <c r="VAR44" s="481"/>
      <c r="VAS44" s="481"/>
      <c r="VAT44" s="481"/>
      <c r="VAU44" s="481"/>
      <c r="VAV44" s="481"/>
      <c r="VAW44" s="481"/>
      <c r="VAX44" s="481"/>
      <c r="VAY44" s="481"/>
      <c r="VAZ44" s="481"/>
      <c r="VBA44" s="481"/>
      <c r="VBB44" s="481"/>
      <c r="VBC44" s="481"/>
      <c r="VBD44" s="481"/>
      <c r="VBE44" s="481"/>
      <c r="VBF44" s="481"/>
      <c r="VBG44" s="481"/>
      <c r="VBH44" s="481"/>
      <c r="VBI44" s="481"/>
      <c r="VBJ44" s="481"/>
      <c r="VBK44" s="481"/>
      <c r="VBL44" s="481"/>
      <c r="VBM44" s="481"/>
      <c r="VBN44" s="481"/>
      <c r="VBO44" s="481"/>
      <c r="VBP44" s="481"/>
      <c r="VBQ44" s="481"/>
      <c r="VBR44" s="481"/>
      <c r="VBS44" s="481"/>
      <c r="VBT44" s="481"/>
      <c r="VBU44" s="481"/>
      <c r="VBV44" s="481"/>
      <c r="VBW44" s="481"/>
      <c r="VBX44" s="481"/>
      <c r="VBY44" s="481"/>
      <c r="VBZ44" s="481"/>
      <c r="VCA44" s="481"/>
      <c r="VCB44" s="481"/>
      <c r="VCC44" s="481"/>
      <c r="VCD44" s="481"/>
      <c r="VCE44" s="481"/>
      <c r="VCF44" s="481"/>
      <c r="VCG44" s="481"/>
      <c r="VCH44" s="481"/>
      <c r="VCI44" s="481"/>
      <c r="VCJ44" s="481"/>
      <c r="VCK44" s="481"/>
      <c r="VCL44" s="481"/>
      <c r="VCM44" s="481"/>
      <c r="VCN44" s="481"/>
      <c r="VCO44" s="481"/>
      <c r="VCP44" s="481"/>
      <c r="VCQ44" s="481"/>
      <c r="VCR44" s="481"/>
      <c r="VCS44" s="481"/>
      <c r="VCT44" s="481"/>
      <c r="VCU44" s="481"/>
      <c r="VCV44" s="481"/>
      <c r="VCW44" s="481"/>
      <c r="VCX44" s="481"/>
      <c r="VCY44" s="481"/>
      <c r="VCZ44" s="481"/>
      <c r="VDA44" s="481"/>
      <c r="VDB44" s="481"/>
      <c r="VDC44" s="481"/>
      <c r="VDD44" s="481"/>
      <c r="VDE44" s="481"/>
      <c r="VDF44" s="481"/>
      <c r="VDG44" s="481"/>
      <c r="VDH44" s="481"/>
      <c r="VDI44" s="481"/>
      <c r="VDJ44" s="481"/>
      <c r="VDK44" s="481"/>
      <c r="VDL44" s="481"/>
      <c r="VDM44" s="481"/>
      <c r="VDN44" s="481"/>
      <c r="VDO44" s="481"/>
      <c r="VDP44" s="481"/>
      <c r="VDQ44" s="481"/>
      <c r="VDR44" s="481"/>
      <c r="VDS44" s="481"/>
      <c r="VDT44" s="481"/>
      <c r="VDU44" s="481"/>
      <c r="VDV44" s="481"/>
      <c r="VDW44" s="481"/>
      <c r="VDX44" s="481"/>
      <c r="VDY44" s="481"/>
      <c r="VDZ44" s="481"/>
      <c r="VEA44" s="481"/>
      <c r="VEB44" s="481"/>
      <c r="VEC44" s="481"/>
      <c r="VED44" s="481"/>
      <c r="VEE44" s="481"/>
      <c r="VEF44" s="481"/>
      <c r="VEG44" s="481"/>
      <c r="VEH44" s="481"/>
      <c r="VEI44" s="481"/>
      <c r="VEJ44" s="481"/>
      <c r="VEK44" s="481"/>
      <c r="VEL44" s="481"/>
      <c r="VEM44" s="481"/>
      <c r="VEN44" s="481"/>
      <c r="VEO44" s="481"/>
      <c r="VEP44" s="481"/>
      <c r="VEQ44" s="481"/>
      <c r="VER44" s="481"/>
      <c r="VES44" s="481"/>
      <c r="VET44" s="481"/>
      <c r="VEU44" s="481"/>
      <c r="VEV44" s="481"/>
      <c r="VEW44" s="481"/>
      <c r="VEX44" s="481"/>
      <c r="VEY44" s="481"/>
      <c r="VEZ44" s="481"/>
      <c r="VFA44" s="481"/>
      <c r="VFB44" s="481"/>
      <c r="VFC44" s="481"/>
      <c r="VFD44" s="481"/>
      <c r="VFE44" s="481"/>
      <c r="VFF44" s="481"/>
      <c r="VFG44" s="481"/>
      <c r="VFH44" s="481"/>
      <c r="VFI44" s="481"/>
      <c r="VFJ44" s="481"/>
      <c r="VFK44" s="481"/>
      <c r="VFL44" s="481"/>
      <c r="VFM44" s="481"/>
      <c r="VFN44" s="481"/>
      <c r="VFO44" s="481"/>
      <c r="VFP44" s="481"/>
      <c r="VFQ44" s="481"/>
      <c r="VFR44" s="481"/>
      <c r="VFS44" s="481"/>
      <c r="VFT44" s="481"/>
      <c r="VFU44" s="481"/>
      <c r="VFV44" s="481"/>
      <c r="VFW44" s="481"/>
      <c r="VFX44" s="481"/>
      <c r="VFY44" s="481"/>
      <c r="VFZ44" s="481"/>
      <c r="VGA44" s="481"/>
      <c r="VGB44" s="481"/>
      <c r="VGC44" s="481"/>
      <c r="VGD44" s="481"/>
      <c r="VGE44" s="481"/>
      <c r="VGF44" s="481"/>
      <c r="VGG44" s="481"/>
      <c r="VGH44" s="481"/>
      <c r="VGI44" s="481"/>
      <c r="VGJ44" s="481"/>
      <c r="VGK44" s="481"/>
      <c r="VGL44" s="481"/>
      <c r="VGM44" s="481"/>
      <c r="VGN44" s="481"/>
      <c r="VGO44" s="481"/>
      <c r="VGP44" s="481"/>
      <c r="VGQ44" s="481"/>
      <c r="VGR44" s="481"/>
      <c r="VGS44" s="481"/>
      <c r="VGT44" s="481"/>
      <c r="VGU44" s="481"/>
      <c r="VGV44" s="481"/>
      <c r="VGW44" s="481"/>
      <c r="VGX44" s="481"/>
      <c r="VGY44" s="481"/>
      <c r="VGZ44" s="481"/>
      <c r="VHA44" s="481"/>
      <c r="VHB44" s="481"/>
      <c r="VHC44" s="481"/>
      <c r="VHD44" s="481"/>
      <c r="VHE44" s="481"/>
      <c r="VHF44" s="481"/>
      <c r="VHG44" s="481"/>
      <c r="VHH44" s="481"/>
      <c r="VHI44" s="481"/>
      <c r="VHJ44" s="481"/>
      <c r="VHK44" s="481"/>
      <c r="VHL44" s="481"/>
      <c r="VHM44" s="481"/>
      <c r="VHN44" s="481"/>
      <c r="VHO44" s="481"/>
      <c r="VHP44" s="481"/>
      <c r="VHQ44" s="481"/>
      <c r="VHR44" s="481"/>
      <c r="VHS44" s="481"/>
      <c r="VHT44" s="481"/>
      <c r="VHU44" s="481"/>
      <c r="VHV44" s="481"/>
      <c r="VHW44" s="481"/>
      <c r="VHX44" s="481"/>
      <c r="VHY44" s="481"/>
      <c r="VHZ44" s="481"/>
      <c r="VIA44" s="481"/>
      <c r="VIB44" s="481"/>
      <c r="VIC44" s="481"/>
      <c r="VID44" s="481"/>
      <c r="VIE44" s="481"/>
      <c r="VIF44" s="481"/>
      <c r="VIG44" s="481"/>
      <c r="VIH44" s="481"/>
      <c r="VII44" s="481"/>
      <c r="VIJ44" s="481"/>
      <c r="VIK44" s="481"/>
      <c r="VIL44" s="481"/>
      <c r="VIM44" s="481"/>
      <c r="VIN44" s="481"/>
      <c r="VIO44" s="481"/>
      <c r="VIP44" s="481"/>
      <c r="VIQ44" s="481"/>
      <c r="VIR44" s="481"/>
      <c r="VIS44" s="481"/>
      <c r="VIT44" s="481"/>
      <c r="VIU44" s="481"/>
      <c r="VIV44" s="481"/>
      <c r="VIW44" s="481"/>
      <c r="VIX44" s="481"/>
      <c r="VIY44" s="481"/>
      <c r="VIZ44" s="481"/>
      <c r="VJA44" s="481"/>
      <c r="VJB44" s="481"/>
      <c r="VJC44" s="481"/>
      <c r="VJD44" s="481"/>
      <c r="VJE44" s="481"/>
      <c r="VJF44" s="481"/>
      <c r="VJG44" s="481"/>
      <c r="VJH44" s="481"/>
      <c r="VJI44" s="481"/>
      <c r="VJJ44" s="481"/>
      <c r="VJK44" s="481"/>
      <c r="VJL44" s="481"/>
      <c r="VJM44" s="481"/>
      <c r="VJN44" s="481"/>
      <c r="VJO44" s="481"/>
      <c r="VJP44" s="481"/>
      <c r="VJQ44" s="481"/>
      <c r="VJR44" s="481"/>
      <c r="VJS44" s="481"/>
      <c r="VJT44" s="481"/>
      <c r="VJU44" s="481"/>
      <c r="VJV44" s="481"/>
      <c r="VJW44" s="481"/>
      <c r="VJX44" s="481"/>
      <c r="VJY44" s="481"/>
      <c r="VJZ44" s="481"/>
      <c r="VKA44" s="481"/>
      <c r="VKB44" s="481"/>
      <c r="VKC44" s="481"/>
      <c r="VKD44" s="481"/>
      <c r="VKE44" s="481"/>
      <c r="VKF44" s="481"/>
      <c r="VKG44" s="481"/>
      <c r="VKH44" s="481"/>
      <c r="VKI44" s="481"/>
      <c r="VKJ44" s="481"/>
      <c r="VKK44" s="481"/>
      <c r="VKL44" s="481"/>
      <c r="VKM44" s="481"/>
      <c r="VKN44" s="481"/>
      <c r="VKO44" s="481"/>
      <c r="VKP44" s="481"/>
      <c r="VKQ44" s="481"/>
      <c r="VKR44" s="481"/>
      <c r="VKS44" s="481"/>
      <c r="VKT44" s="481"/>
      <c r="VKU44" s="481"/>
      <c r="VKV44" s="481"/>
      <c r="VKW44" s="481"/>
      <c r="VKX44" s="481"/>
      <c r="VKY44" s="481"/>
      <c r="VKZ44" s="481"/>
      <c r="VLA44" s="481"/>
      <c r="VLB44" s="481"/>
      <c r="VLC44" s="481"/>
      <c r="VLD44" s="481"/>
      <c r="VLE44" s="481"/>
      <c r="VLF44" s="481"/>
      <c r="VLG44" s="481"/>
      <c r="VLH44" s="481"/>
      <c r="VLI44" s="481"/>
      <c r="VLJ44" s="481"/>
      <c r="VLK44" s="481"/>
      <c r="VLL44" s="481"/>
      <c r="VLM44" s="481"/>
      <c r="VLN44" s="481"/>
      <c r="VLO44" s="481"/>
      <c r="VLP44" s="481"/>
      <c r="VLQ44" s="481"/>
      <c r="VLR44" s="481"/>
      <c r="VLS44" s="481"/>
      <c r="VLT44" s="481"/>
      <c r="VLU44" s="481"/>
      <c r="VLV44" s="481"/>
      <c r="VLW44" s="481"/>
      <c r="VLX44" s="481"/>
      <c r="VLY44" s="481"/>
      <c r="VLZ44" s="481"/>
      <c r="VMA44" s="481"/>
      <c r="VMB44" s="481"/>
      <c r="VMC44" s="481"/>
      <c r="VMD44" s="481"/>
      <c r="VME44" s="481"/>
      <c r="VMF44" s="481"/>
      <c r="VMG44" s="481"/>
      <c r="VMH44" s="481"/>
      <c r="VMI44" s="481"/>
      <c r="VMJ44" s="481"/>
      <c r="VMK44" s="481"/>
      <c r="VML44" s="481"/>
      <c r="VMM44" s="481"/>
      <c r="VMN44" s="481"/>
      <c r="VMO44" s="481"/>
      <c r="VMP44" s="481"/>
      <c r="VMQ44" s="481"/>
      <c r="VMR44" s="481"/>
      <c r="VMS44" s="481"/>
      <c r="VMT44" s="481"/>
      <c r="VMU44" s="481"/>
      <c r="VMV44" s="481"/>
      <c r="VMW44" s="481"/>
      <c r="VMX44" s="481"/>
      <c r="VMY44" s="481"/>
      <c r="VMZ44" s="481"/>
      <c r="VNA44" s="481"/>
      <c r="VNB44" s="481"/>
      <c r="VNC44" s="481"/>
      <c r="VND44" s="481"/>
      <c r="VNE44" s="481"/>
      <c r="VNF44" s="481"/>
      <c r="VNG44" s="481"/>
      <c r="VNH44" s="481"/>
      <c r="VNI44" s="481"/>
      <c r="VNJ44" s="481"/>
      <c r="VNK44" s="481"/>
      <c r="VNL44" s="481"/>
      <c r="VNM44" s="481"/>
      <c r="VNN44" s="481"/>
      <c r="VNO44" s="481"/>
      <c r="VNP44" s="481"/>
      <c r="VNQ44" s="481"/>
      <c r="VNR44" s="481"/>
      <c r="VNS44" s="481"/>
      <c r="VNT44" s="481"/>
      <c r="VNU44" s="481"/>
      <c r="VNV44" s="481"/>
      <c r="VNW44" s="481"/>
      <c r="VNX44" s="481"/>
      <c r="VNY44" s="481"/>
      <c r="VNZ44" s="481"/>
      <c r="VOA44" s="481"/>
      <c r="VOB44" s="481"/>
      <c r="VOC44" s="481"/>
      <c r="VOD44" s="481"/>
      <c r="VOE44" s="481"/>
      <c r="VOF44" s="481"/>
      <c r="VOG44" s="481"/>
      <c r="VOH44" s="481"/>
      <c r="VOI44" s="481"/>
      <c r="VOJ44" s="481"/>
      <c r="VOK44" s="481"/>
      <c r="VOL44" s="481"/>
      <c r="VOM44" s="481"/>
      <c r="VON44" s="481"/>
      <c r="VOO44" s="481"/>
      <c r="VOP44" s="481"/>
      <c r="VOQ44" s="481"/>
      <c r="VOR44" s="481"/>
      <c r="VOS44" s="481"/>
      <c r="VOT44" s="481"/>
      <c r="VOU44" s="481"/>
      <c r="VOV44" s="481"/>
      <c r="VOW44" s="481"/>
      <c r="VOX44" s="481"/>
      <c r="VOY44" s="481"/>
      <c r="VOZ44" s="481"/>
      <c r="VPA44" s="481"/>
      <c r="VPB44" s="481"/>
      <c r="VPC44" s="481"/>
      <c r="VPD44" s="481"/>
      <c r="VPE44" s="481"/>
      <c r="VPF44" s="481"/>
      <c r="VPG44" s="481"/>
      <c r="VPH44" s="481"/>
      <c r="VPI44" s="481"/>
      <c r="VPJ44" s="481"/>
      <c r="VPK44" s="481"/>
      <c r="VPL44" s="481"/>
      <c r="VPM44" s="481"/>
      <c r="VPN44" s="481"/>
      <c r="VPO44" s="481"/>
      <c r="VPP44" s="481"/>
      <c r="VPQ44" s="481"/>
      <c r="VPR44" s="481"/>
      <c r="VPS44" s="481"/>
      <c r="VPT44" s="481"/>
      <c r="VPU44" s="481"/>
      <c r="VPV44" s="481"/>
      <c r="VPW44" s="481"/>
      <c r="VPX44" s="481"/>
      <c r="VPY44" s="481"/>
      <c r="VPZ44" s="481"/>
      <c r="VQA44" s="481"/>
      <c r="VQB44" s="481"/>
      <c r="VQC44" s="481"/>
      <c r="VQD44" s="481"/>
      <c r="VQE44" s="481"/>
      <c r="VQF44" s="481"/>
      <c r="VQG44" s="481"/>
      <c r="VQH44" s="481"/>
      <c r="VQI44" s="481"/>
      <c r="VQJ44" s="481"/>
      <c r="VQK44" s="481"/>
      <c r="VQL44" s="481"/>
      <c r="VQM44" s="481"/>
      <c r="VQN44" s="481"/>
      <c r="VQO44" s="481"/>
      <c r="VQP44" s="481"/>
      <c r="VQQ44" s="481"/>
      <c r="VQR44" s="481"/>
      <c r="VQS44" s="481"/>
      <c r="VQT44" s="481"/>
      <c r="VQU44" s="481"/>
      <c r="VQV44" s="481"/>
      <c r="VQW44" s="481"/>
      <c r="VQX44" s="481"/>
      <c r="VQY44" s="481"/>
      <c r="VQZ44" s="481"/>
      <c r="VRA44" s="481"/>
      <c r="VRB44" s="481"/>
      <c r="VRC44" s="481"/>
      <c r="VRD44" s="481"/>
      <c r="VRE44" s="481"/>
      <c r="VRF44" s="481"/>
      <c r="VRG44" s="481"/>
      <c r="VRH44" s="481"/>
      <c r="VRI44" s="481"/>
      <c r="VRJ44" s="481"/>
      <c r="VRK44" s="481"/>
      <c r="VRL44" s="481"/>
      <c r="VRM44" s="481"/>
      <c r="VRN44" s="481"/>
      <c r="VRO44" s="481"/>
      <c r="VRP44" s="481"/>
      <c r="VRQ44" s="481"/>
      <c r="VRR44" s="481"/>
      <c r="VRS44" s="481"/>
      <c r="VRT44" s="481"/>
      <c r="VRU44" s="481"/>
      <c r="VRV44" s="481"/>
      <c r="VRW44" s="481"/>
      <c r="VRX44" s="481"/>
      <c r="VRY44" s="481"/>
      <c r="VRZ44" s="481"/>
      <c r="VSA44" s="481"/>
      <c r="VSB44" s="481"/>
      <c r="VSC44" s="481"/>
      <c r="VSD44" s="481"/>
      <c r="VSE44" s="481"/>
      <c r="VSF44" s="481"/>
      <c r="VSG44" s="481"/>
      <c r="VSH44" s="481"/>
      <c r="VSI44" s="481"/>
      <c r="VSJ44" s="481"/>
      <c r="VSK44" s="481"/>
      <c r="VSL44" s="481"/>
      <c r="VSM44" s="481"/>
      <c r="VSN44" s="481"/>
      <c r="VSO44" s="481"/>
      <c r="VSP44" s="481"/>
      <c r="VSQ44" s="481"/>
      <c r="VSR44" s="481"/>
      <c r="VSS44" s="481"/>
      <c r="VST44" s="481"/>
      <c r="VSU44" s="481"/>
      <c r="VSV44" s="481"/>
      <c r="VSW44" s="481"/>
      <c r="VSX44" s="481"/>
      <c r="VSY44" s="481"/>
      <c r="VSZ44" s="481"/>
      <c r="VTA44" s="481"/>
      <c r="VTB44" s="481"/>
      <c r="VTC44" s="481"/>
      <c r="VTD44" s="481"/>
      <c r="VTE44" s="481"/>
      <c r="VTF44" s="481"/>
      <c r="VTG44" s="481"/>
      <c r="VTH44" s="481"/>
      <c r="VTI44" s="481"/>
      <c r="VTJ44" s="481"/>
      <c r="VTK44" s="481"/>
      <c r="VTL44" s="481"/>
      <c r="VTM44" s="481"/>
      <c r="VTN44" s="481"/>
      <c r="VTO44" s="481"/>
      <c r="VTP44" s="481"/>
      <c r="VTQ44" s="481"/>
      <c r="VTR44" s="481"/>
      <c r="VTS44" s="481"/>
      <c r="VTT44" s="481"/>
      <c r="VTU44" s="481"/>
      <c r="VTV44" s="481"/>
      <c r="VTW44" s="481"/>
      <c r="VTX44" s="481"/>
      <c r="VTY44" s="481"/>
      <c r="VTZ44" s="481"/>
      <c r="VUA44" s="481"/>
      <c r="VUB44" s="481"/>
      <c r="VUC44" s="481"/>
      <c r="VUD44" s="481"/>
      <c r="VUE44" s="481"/>
      <c r="VUF44" s="481"/>
      <c r="VUG44" s="481"/>
      <c r="VUH44" s="481"/>
      <c r="VUI44" s="481"/>
      <c r="VUJ44" s="481"/>
      <c r="VUK44" s="481"/>
      <c r="VUL44" s="481"/>
      <c r="VUM44" s="481"/>
      <c r="VUN44" s="481"/>
      <c r="VUO44" s="481"/>
      <c r="VUP44" s="481"/>
      <c r="VUQ44" s="481"/>
      <c r="VUR44" s="481"/>
      <c r="VUS44" s="481"/>
      <c r="VUT44" s="481"/>
      <c r="VUU44" s="481"/>
      <c r="VUV44" s="481"/>
      <c r="VUW44" s="481"/>
      <c r="VUX44" s="481"/>
      <c r="VUY44" s="481"/>
      <c r="VUZ44" s="481"/>
      <c r="VVA44" s="481"/>
      <c r="VVB44" s="481"/>
      <c r="VVC44" s="481"/>
      <c r="VVD44" s="481"/>
      <c r="VVE44" s="481"/>
      <c r="VVF44" s="481"/>
      <c r="VVG44" s="481"/>
      <c r="VVH44" s="481"/>
      <c r="VVI44" s="481"/>
      <c r="VVJ44" s="481"/>
      <c r="VVK44" s="481"/>
      <c r="VVL44" s="481"/>
      <c r="VVM44" s="481"/>
      <c r="VVN44" s="481"/>
      <c r="VVO44" s="481"/>
      <c r="VVP44" s="481"/>
      <c r="VVQ44" s="481"/>
      <c r="VVR44" s="481"/>
      <c r="VVS44" s="481"/>
      <c r="VVT44" s="481"/>
      <c r="VVU44" s="481"/>
      <c r="VVV44" s="481"/>
      <c r="VVW44" s="481"/>
      <c r="VVX44" s="481"/>
      <c r="VVY44" s="481"/>
      <c r="VVZ44" s="481"/>
      <c r="VWA44" s="481"/>
      <c r="VWB44" s="481"/>
      <c r="VWC44" s="481"/>
      <c r="VWD44" s="481"/>
      <c r="VWE44" s="481"/>
      <c r="VWF44" s="481"/>
      <c r="VWG44" s="481"/>
      <c r="VWH44" s="481"/>
      <c r="VWI44" s="481"/>
      <c r="VWJ44" s="481"/>
      <c r="VWK44" s="481"/>
      <c r="VWL44" s="481"/>
      <c r="VWM44" s="481"/>
      <c r="VWN44" s="481"/>
      <c r="VWO44" s="481"/>
      <c r="VWP44" s="481"/>
      <c r="VWQ44" s="481"/>
      <c r="VWR44" s="481"/>
      <c r="VWS44" s="481"/>
      <c r="VWT44" s="481"/>
      <c r="VWU44" s="481"/>
      <c r="VWV44" s="481"/>
      <c r="VWW44" s="481"/>
      <c r="VWX44" s="481"/>
      <c r="VWY44" s="481"/>
      <c r="VWZ44" s="481"/>
      <c r="VXA44" s="481"/>
      <c r="VXB44" s="481"/>
      <c r="VXC44" s="481"/>
      <c r="VXD44" s="481"/>
      <c r="VXE44" s="481"/>
      <c r="VXF44" s="481"/>
      <c r="VXG44" s="481"/>
      <c r="VXH44" s="481"/>
      <c r="VXI44" s="481"/>
      <c r="VXJ44" s="481"/>
      <c r="VXK44" s="481"/>
      <c r="VXL44" s="481"/>
      <c r="VXM44" s="481"/>
      <c r="VXN44" s="481"/>
      <c r="VXO44" s="481"/>
      <c r="VXP44" s="481"/>
      <c r="VXQ44" s="481"/>
      <c r="VXR44" s="481"/>
      <c r="VXS44" s="481"/>
      <c r="VXT44" s="481"/>
      <c r="VXU44" s="481"/>
      <c r="VXV44" s="481"/>
      <c r="VXW44" s="481"/>
      <c r="VXX44" s="481"/>
      <c r="VXY44" s="481"/>
      <c r="VXZ44" s="481"/>
      <c r="VYA44" s="481"/>
      <c r="VYB44" s="481"/>
      <c r="VYC44" s="481"/>
      <c r="VYD44" s="481"/>
      <c r="VYE44" s="481"/>
      <c r="VYF44" s="481"/>
      <c r="VYG44" s="481"/>
      <c r="VYH44" s="481"/>
      <c r="VYI44" s="481"/>
      <c r="VYJ44" s="481"/>
      <c r="VYK44" s="481"/>
      <c r="VYL44" s="481"/>
      <c r="VYM44" s="481"/>
      <c r="VYN44" s="481"/>
      <c r="VYO44" s="481"/>
      <c r="VYP44" s="481"/>
      <c r="VYQ44" s="481"/>
      <c r="VYR44" s="481"/>
      <c r="VYS44" s="481"/>
      <c r="VYT44" s="481"/>
      <c r="VYU44" s="481"/>
      <c r="VYV44" s="481"/>
      <c r="VYW44" s="481"/>
      <c r="VYX44" s="481"/>
      <c r="VYY44" s="481"/>
      <c r="VYZ44" s="481"/>
      <c r="VZA44" s="481"/>
      <c r="VZB44" s="481"/>
      <c r="VZC44" s="481"/>
      <c r="VZD44" s="481"/>
      <c r="VZE44" s="481"/>
      <c r="VZF44" s="481"/>
      <c r="VZG44" s="481"/>
      <c r="VZH44" s="481"/>
      <c r="VZI44" s="481"/>
      <c r="VZJ44" s="481"/>
      <c r="VZK44" s="481"/>
      <c r="VZL44" s="481"/>
      <c r="VZM44" s="481"/>
      <c r="VZN44" s="481"/>
      <c r="VZO44" s="481"/>
      <c r="VZP44" s="481"/>
      <c r="VZQ44" s="481"/>
      <c r="VZR44" s="481"/>
      <c r="VZS44" s="481"/>
      <c r="VZT44" s="481"/>
      <c r="VZU44" s="481"/>
      <c r="VZV44" s="481"/>
      <c r="VZW44" s="481"/>
      <c r="VZX44" s="481"/>
      <c r="VZY44" s="481"/>
      <c r="VZZ44" s="481"/>
      <c r="WAA44" s="481"/>
      <c r="WAB44" s="481"/>
      <c r="WAC44" s="481"/>
      <c r="WAD44" s="481"/>
      <c r="WAE44" s="481"/>
      <c r="WAF44" s="481"/>
      <c r="WAG44" s="481"/>
      <c r="WAH44" s="481"/>
      <c r="WAI44" s="481"/>
      <c r="WAJ44" s="481"/>
      <c r="WAK44" s="481"/>
      <c r="WAL44" s="481"/>
      <c r="WAM44" s="481"/>
      <c r="WAN44" s="481"/>
      <c r="WAO44" s="481"/>
      <c r="WAP44" s="481"/>
      <c r="WAQ44" s="481"/>
      <c r="WAR44" s="481"/>
      <c r="WAS44" s="481"/>
      <c r="WAT44" s="481"/>
      <c r="WAU44" s="481"/>
      <c r="WAV44" s="481"/>
      <c r="WAW44" s="481"/>
      <c r="WAX44" s="481"/>
      <c r="WAY44" s="481"/>
      <c r="WAZ44" s="481"/>
      <c r="WBA44" s="481"/>
      <c r="WBB44" s="481"/>
      <c r="WBC44" s="481"/>
      <c r="WBD44" s="481"/>
      <c r="WBE44" s="481"/>
      <c r="WBF44" s="481"/>
      <c r="WBG44" s="481"/>
      <c r="WBH44" s="481"/>
      <c r="WBI44" s="481"/>
      <c r="WBJ44" s="481"/>
      <c r="WBK44" s="481"/>
      <c r="WBL44" s="481"/>
      <c r="WBM44" s="481"/>
      <c r="WBN44" s="481"/>
      <c r="WBO44" s="481"/>
      <c r="WBP44" s="481"/>
      <c r="WBQ44" s="481"/>
      <c r="WBR44" s="481"/>
      <c r="WBS44" s="481"/>
      <c r="WBT44" s="481"/>
      <c r="WBU44" s="481"/>
      <c r="WBV44" s="481"/>
      <c r="WBW44" s="481"/>
      <c r="WBX44" s="481"/>
      <c r="WBY44" s="481"/>
      <c r="WBZ44" s="481"/>
      <c r="WCA44" s="481"/>
      <c r="WCB44" s="481"/>
      <c r="WCC44" s="481"/>
      <c r="WCD44" s="481"/>
      <c r="WCE44" s="481"/>
      <c r="WCF44" s="481"/>
      <c r="WCG44" s="481"/>
      <c r="WCH44" s="481"/>
      <c r="WCI44" s="481"/>
      <c r="WCJ44" s="481"/>
      <c r="WCK44" s="481"/>
      <c r="WCL44" s="481"/>
      <c r="WCM44" s="481"/>
      <c r="WCN44" s="481"/>
      <c r="WCO44" s="481"/>
      <c r="WCP44" s="481"/>
      <c r="WCQ44" s="481"/>
      <c r="WCR44" s="481"/>
      <c r="WCS44" s="481"/>
      <c r="WCT44" s="481"/>
      <c r="WCU44" s="481"/>
      <c r="WCV44" s="481"/>
      <c r="WCW44" s="481"/>
      <c r="WCX44" s="481"/>
      <c r="WCY44" s="481"/>
      <c r="WCZ44" s="481"/>
      <c r="WDA44" s="481"/>
      <c r="WDB44" s="481"/>
      <c r="WDC44" s="481"/>
      <c r="WDD44" s="481"/>
      <c r="WDE44" s="481"/>
      <c r="WDF44" s="481"/>
      <c r="WDG44" s="481"/>
      <c r="WDH44" s="481"/>
      <c r="WDI44" s="481"/>
      <c r="WDJ44" s="481"/>
      <c r="WDK44" s="481"/>
      <c r="WDL44" s="481"/>
      <c r="WDM44" s="481"/>
      <c r="WDN44" s="481"/>
      <c r="WDO44" s="481"/>
      <c r="WDP44" s="481"/>
      <c r="WDQ44" s="481"/>
      <c r="WDR44" s="481"/>
      <c r="WDS44" s="481"/>
      <c r="WDT44" s="481"/>
      <c r="WDU44" s="481"/>
      <c r="WDV44" s="481"/>
      <c r="WDW44" s="481"/>
      <c r="WDX44" s="481"/>
      <c r="WDY44" s="481"/>
      <c r="WDZ44" s="481"/>
      <c r="WEA44" s="481"/>
      <c r="WEB44" s="481"/>
      <c r="WEC44" s="481"/>
      <c r="WED44" s="481"/>
      <c r="WEE44" s="481"/>
      <c r="WEF44" s="481"/>
      <c r="WEG44" s="481"/>
      <c r="WEH44" s="481"/>
      <c r="WEI44" s="481"/>
      <c r="WEJ44" s="481"/>
      <c r="WEK44" s="481"/>
      <c r="WEL44" s="481"/>
      <c r="WEM44" s="481"/>
      <c r="WEN44" s="481"/>
      <c r="WEO44" s="481"/>
      <c r="WEP44" s="481"/>
      <c r="WEQ44" s="481"/>
      <c r="WER44" s="481"/>
      <c r="WES44" s="481"/>
      <c r="WET44" s="481"/>
      <c r="WEU44" s="481"/>
      <c r="WEV44" s="481"/>
      <c r="WEW44" s="481"/>
      <c r="WEX44" s="481"/>
      <c r="WEY44" s="481"/>
      <c r="WEZ44" s="481"/>
      <c r="WFA44" s="481"/>
      <c r="WFB44" s="481"/>
      <c r="WFC44" s="481"/>
      <c r="WFD44" s="481"/>
      <c r="WFE44" s="481"/>
      <c r="WFF44" s="481"/>
      <c r="WFG44" s="481"/>
      <c r="WFH44" s="481"/>
      <c r="WFI44" s="481"/>
      <c r="WFJ44" s="481"/>
      <c r="WFK44" s="481"/>
      <c r="WFL44" s="481"/>
      <c r="WFM44" s="481"/>
      <c r="WFN44" s="481"/>
      <c r="WFO44" s="481"/>
      <c r="WFP44" s="481"/>
      <c r="WFQ44" s="481"/>
      <c r="WFR44" s="481"/>
      <c r="WFS44" s="481"/>
      <c r="WFT44" s="481"/>
      <c r="WFU44" s="481"/>
      <c r="WFV44" s="481"/>
      <c r="WFW44" s="481"/>
      <c r="WFX44" s="481"/>
      <c r="WFY44" s="481"/>
      <c r="WFZ44" s="481"/>
      <c r="WGA44" s="481"/>
      <c r="WGB44" s="481"/>
      <c r="WGC44" s="481"/>
      <c r="WGD44" s="481"/>
      <c r="WGE44" s="481"/>
      <c r="WGF44" s="481"/>
      <c r="WGG44" s="481"/>
      <c r="WGH44" s="481"/>
      <c r="WGI44" s="481"/>
      <c r="WGJ44" s="481"/>
      <c r="WGK44" s="481"/>
      <c r="WGL44" s="481"/>
      <c r="WGM44" s="481"/>
      <c r="WGN44" s="481"/>
      <c r="WGO44" s="481"/>
      <c r="WGP44" s="481"/>
      <c r="WGQ44" s="481"/>
      <c r="WGR44" s="481"/>
      <c r="WGS44" s="481"/>
      <c r="WGT44" s="481"/>
      <c r="WGU44" s="481"/>
      <c r="WGV44" s="481"/>
      <c r="WGW44" s="481"/>
      <c r="WGX44" s="481"/>
      <c r="WGY44" s="481"/>
      <c r="WGZ44" s="481"/>
      <c r="WHA44" s="481"/>
      <c r="WHB44" s="481"/>
      <c r="WHC44" s="481"/>
      <c r="WHD44" s="481"/>
      <c r="WHE44" s="481"/>
      <c r="WHF44" s="481"/>
      <c r="WHG44" s="481"/>
      <c r="WHH44" s="481"/>
      <c r="WHI44" s="481"/>
      <c r="WHJ44" s="481"/>
      <c r="WHK44" s="481"/>
      <c r="WHL44" s="481"/>
      <c r="WHM44" s="481"/>
      <c r="WHN44" s="481"/>
      <c r="WHO44" s="481"/>
      <c r="WHP44" s="481"/>
      <c r="WHQ44" s="481"/>
      <c r="WHR44" s="481"/>
      <c r="WHS44" s="481"/>
      <c r="WHT44" s="481"/>
      <c r="WHU44" s="481"/>
      <c r="WHV44" s="481"/>
      <c r="WHW44" s="481"/>
      <c r="WHX44" s="481"/>
      <c r="WHY44" s="481"/>
      <c r="WHZ44" s="481"/>
      <c r="WIA44" s="481"/>
      <c r="WIB44" s="481"/>
      <c r="WIC44" s="481"/>
      <c r="WID44" s="481"/>
      <c r="WIE44" s="481"/>
      <c r="WIF44" s="481"/>
      <c r="WIG44" s="481"/>
      <c r="WIH44" s="481"/>
      <c r="WII44" s="481"/>
      <c r="WIJ44" s="481"/>
      <c r="WIK44" s="481"/>
      <c r="WIL44" s="481"/>
      <c r="WIM44" s="481"/>
      <c r="WIN44" s="481"/>
      <c r="WIO44" s="481"/>
      <c r="WIP44" s="481"/>
      <c r="WIQ44" s="481"/>
      <c r="WIR44" s="481"/>
      <c r="WIS44" s="481"/>
      <c r="WIT44" s="481"/>
      <c r="WIU44" s="481"/>
      <c r="WIV44" s="481"/>
      <c r="WIW44" s="481"/>
      <c r="WIX44" s="481"/>
      <c r="WIY44" s="481"/>
      <c r="WIZ44" s="481"/>
      <c r="WJA44" s="481"/>
      <c r="WJB44" s="481"/>
      <c r="WJC44" s="481"/>
      <c r="WJD44" s="481"/>
      <c r="WJE44" s="481"/>
      <c r="WJF44" s="481"/>
      <c r="WJG44" s="481"/>
      <c r="WJH44" s="481"/>
      <c r="WJI44" s="481"/>
      <c r="WJJ44" s="481"/>
      <c r="WJK44" s="481"/>
      <c r="WJL44" s="481"/>
      <c r="WJM44" s="481"/>
      <c r="WJN44" s="481"/>
      <c r="WJO44" s="481"/>
      <c r="WJP44" s="481"/>
      <c r="WJQ44" s="481"/>
      <c r="WJR44" s="481"/>
      <c r="WJS44" s="481"/>
      <c r="WJT44" s="481"/>
      <c r="WJU44" s="481"/>
      <c r="WJV44" s="481"/>
      <c r="WJW44" s="481"/>
      <c r="WJX44" s="481"/>
      <c r="WJY44" s="481"/>
      <c r="WJZ44" s="481"/>
      <c r="WKA44" s="481"/>
      <c r="WKB44" s="481"/>
      <c r="WKC44" s="481"/>
      <c r="WKD44" s="481"/>
      <c r="WKE44" s="481"/>
      <c r="WKF44" s="481"/>
      <c r="WKG44" s="481"/>
      <c r="WKH44" s="481"/>
      <c r="WKI44" s="481"/>
      <c r="WKJ44" s="481"/>
      <c r="WKK44" s="481"/>
      <c r="WKL44" s="481"/>
      <c r="WKM44" s="481"/>
      <c r="WKN44" s="481"/>
      <c r="WKO44" s="481"/>
      <c r="WKP44" s="481"/>
      <c r="WKQ44" s="481"/>
      <c r="WKR44" s="481"/>
      <c r="WKS44" s="481"/>
      <c r="WKT44" s="481"/>
      <c r="WKU44" s="481"/>
      <c r="WKV44" s="481"/>
      <c r="WKW44" s="481"/>
      <c r="WKX44" s="481"/>
      <c r="WKY44" s="481"/>
      <c r="WKZ44" s="481"/>
      <c r="WLA44" s="481"/>
      <c r="WLB44" s="481"/>
      <c r="WLC44" s="481"/>
      <c r="WLD44" s="481"/>
      <c r="WLE44" s="481"/>
      <c r="WLF44" s="481"/>
      <c r="WLG44" s="481"/>
      <c r="WLH44" s="481"/>
      <c r="WLI44" s="481"/>
      <c r="WLJ44" s="481"/>
      <c r="WLK44" s="481"/>
      <c r="WLL44" s="481"/>
      <c r="WLM44" s="481"/>
      <c r="WLN44" s="481"/>
      <c r="WLO44" s="481"/>
      <c r="WLP44" s="481"/>
      <c r="WLQ44" s="481"/>
      <c r="WLR44" s="481"/>
      <c r="WLS44" s="481"/>
      <c r="WLT44" s="481"/>
      <c r="WLU44" s="481"/>
      <c r="WLV44" s="481"/>
      <c r="WLW44" s="481"/>
      <c r="WLX44" s="481"/>
      <c r="WLY44" s="481"/>
      <c r="WLZ44" s="481"/>
      <c r="WMA44" s="481"/>
      <c r="WMB44" s="481"/>
      <c r="WMC44" s="481"/>
      <c r="WMD44" s="481"/>
      <c r="WME44" s="481"/>
      <c r="WMF44" s="481"/>
      <c r="WMG44" s="481"/>
      <c r="WMH44" s="481"/>
      <c r="WMI44" s="481"/>
      <c r="WMJ44" s="481"/>
      <c r="WMK44" s="481"/>
      <c r="WML44" s="481"/>
      <c r="WMM44" s="481"/>
      <c r="WMN44" s="481"/>
      <c r="WMO44" s="481"/>
      <c r="WMP44" s="481"/>
      <c r="WMQ44" s="481"/>
      <c r="WMR44" s="481"/>
      <c r="WMS44" s="481"/>
      <c r="WMT44" s="481"/>
      <c r="WMU44" s="481"/>
      <c r="WMV44" s="481"/>
      <c r="WMW44" s="481"/>
      <c r="WMX44" s="481"/>
      <c r="WMY44" s="481"/>
      <c r="WMZ44" s="481"/>
      <c r="WNA44" s="481"/>
      <c r="WNB44" s="481"/>
      <c r="WNC44" s="481"/>
      <c r="WND44" s="481"/>
      <c r="WNE44" s="481"/>
      <c r="WNF44" s="481"/>
      <c r="WNG44" s="481"/>
      <c r="WNH44" s="481"/>
      <c r="WNI44" s="481"/>
      <c r="WNJ44" s="481"/>
      <c r="WNK44" s="481"/>
      <c r="WNL44" s="481"/>
      <c r="WNM44" s="481"/>
      <c r="WNN44" s="481"/>
      <c r="WNO44" s="481"/>
      <c r="WNP44" s="481"/>
      <c r="WNQ44" s="481"/>
      <c r="WNR44" s="481"/>
      <c r="WNS44" s="481"/>
      <c r="WNT44" s="481"/>
      <c r="WNU44" s="481"/>
      <c r="WNV44" s="481"/>
      <c r="WNW44" s="481"/>
      <c r="WNX44" s="481"/>
      <c r="WNY44" s="481"/>
      <c r="WNZ44" s="481"/>
      <c r="WOA44" s="481"/>
      <c r="WOB44" s="481"/>
      <c r="WOC44" s="481"/>
      <c r="WOD44" s="481"/>
      <c r="WOE44" s="481"/>
      <c r="WOF44" s="481"/>
      <c r="WOG44" s="481"/>
      <c r="WOH44" s="481"/>
      <c r="WOI44" s="481"/>
      <c r="WOJ44" s="481"/>
      <c r="WOK44" s="481"/>
      <c r="WOL44" s="481"/>
      <c r="WOM44" s="481"/>
      <c r="WON44" s="481"/>
      <c r="WOO44" s="481"/>
      <c r="WOP44" s="481"/>
      <c r="WOQ44" s="481"/>
      <c r="WOR44" s="481"/>
      <c r="WOS44" s="481"/>
      <c r="WOT44" s="481"/>
      <c r="WOU44" s="481"/>
      <c r="WOV44" s="481"/>
      <c r="WOW44" s="481"/>
      <c r="WOX44" s="481"/>
      <c r="WOY44" s="481"/>
      <c r="WOZ44" s="481"/>
      <c r="WPA44" s="481"/>
      <c r="WPB44" s="481"/>
      <c r="WPC44" s="481"/>
      <c r="WPD44" s="481"/>
      <c r="WPE44" s="481"/>
      <c r="WPF44" s="481"/>
      <c r="WPG44" s="481"/>
      <c r="WPH44" s="481"/>
      <c r="WPI44" s="481"/>
      <c r="WPJ44" s="481"/>
      <c r="WPK44" s="481"/>
      <c r="WPL44" s="481"/>
      <c r="WPM44" s="481"/>
      <c r="WPN44" s="481"/>
      <c r="WPO44" s="481"/>
      <c r="WPP44" s="481"/>
      <c r="WPQ44" s="481"/>
      <c r="WPR44" s="481"/>
      <c r="WPS44" s="481"/>
      <c r="WPT44" s="481"/>
      <c r="WPU44" s="481"/>
      <c r="WPV44" s="481"/>
      <c r="WPW44" s="481"/>
      <c r="WPX44" s="481"/>
      <c r="WPY44" s="481"/>
      <c r="WPZ44" s="481"/>
      <c r="WQA44" s="481"/>
      <c r="WQB44" s="481"/>
      <c r="WQC44" s="481"/>
      <c r="WQD44" s="481"/>
      <c r="WQE44" s="481"/>
      <c r="WQF44" s="481"/>
      <c r="WQG44" s="481"/>
      <c r="WQH44" s="481"/>
      <c r="WQI44" s="481"/>
      <c r="WQJ44" s="481"/>
      <c r="WQK44" s="481"/>
      <c r="WQL44" s="481"/>
      <c r="WQM44" s="481"/>
      <c r="WQN44" s="481"/>
      <c r="WQO44" s="481"/>
      <c r="WQP44" s="481"/>
      <c r="WQQ44" s="481"/>
      <c r="WQR44" s="481"/>
      <c r="WQS44" s="481"/>
      <c r="WQT44" s="481"/>
      <c r="WQU44" s="481"/>
      <c r="WQV44" s="481"/>
      <c r="WQW44" s="481"/>
      <c r="WQX44" s="481"/>
      <c r="WQY44" s="481"/>
      <c r="WQZ44" s="481"/>
      <c r="WRA44" s="481"/>
      <c r="WRB44" s="481"/>
      <c r="WRC44" s="481"/>
      <c r="WRD44" s="481"/>
      <c r="WRE44" s="481"/>
      <c r="WRF44" s="481"/>
      <c r="WRG44" s="481"/>
      <c r="WRH44" s="481"/>
      <c r="WRI44" s="481"/>
      <c r="WRJ44" s="481"/>
      <c r="WRK44" s="481"/>
      <c r="WRL44" s="481"/>
      <c r="WRM44" s="481"/>
      <c r="WRN44" s="481"/>
      <c r="WRO44" s="481"/>
      <c r="WRP44" s="481"/>
      <c r="WRQ44" s="481"/>
      <c r="WRR44" s="481"/>
      <c r="WRS44" s="481"/>
      <c r="WRT44" s="481"/>
      <c r="WRU44" s="481"/>
      <c r="WRV44" s="481"/>
      <c r="WRW44" s="481"/>
      <c r="WRX44" s="481"/>
      <c r="WRY44" s="481"/>
      <c r="WRZ44" s="481"/>
      <c r="WSA44" s="481"/>
      <c r="WSB44" s="481"/>
      <c r="WSC44" s="481"/>
      <c r="WSD44" s="481"/>
      <c r="WSE44" s="481"/>
      <c r="WSF44" s="481"/>
      <c r="WSG44" s="481"/>
      <c r="WSH44" s="481"/>
      <c r="WSI44" s="481"/>
      <c r="WSJ44" s="481"/>
      <c r="WSK44" s="481"/>
      <c r="WSL44" s="481"/>
      <c r="WSM44" s="481"/>
      <c r="WSN44" s="481"/>
      <c r="WSO44" s="481"/>
      <c r="WSP44" s="481"/>
      <c r="WSQ44" s="481"/>
      <c r="WSR44" s="481"/>
      <c r="WSS44" s="481"/>
      <c r="WST44" s="481"/>
      <c r="WSU44" s="481"/>
      <c r="WSV44" s="481"/>
      <c r="WSW44" s="481"/>
      <c r="WSX44" s="481"/>
      <c r="WSY44" s="481"/>
      <c r="WSZ44" s="481"/>
      <c r="WTA44" s="481"/>
      <c r="WTB44" s="481"/>
      <c r="WTC44" s="481"/>
      <c r="WTD44" s="481"/>
      <c r="WTE44" s="481"/>
      <c r="WTF44" s="481"/>
      <c r="WTG44" s="481"/>
      <c r="WTH44" s="481"/>
      <c r="WTI44" s="481"/>
      <c r="WTJ44" s="481"/>
      <c r="WTK44" s="481"/>
      <c r="WTL44" s="481"/>
      <c r="WTM44" s="481"/>
      <c r="WTN44" s="481"/>
      <c r="WTO44" s="481"/>
      <c r="WTP44" s="481"/>
      <c r="WTQ44" s="481"/>
      <c r="WTR44" s="481"/>
      <c r="WTS44" s="481"/>
      <c r="WTT44" s="481"/>
      <c r="WTU44" s="481"/>
      <c r="WTV44" s="481"/>
      <c r="WTW44" s="481"/>
      <c r="WTX44" s="481"/>
      <c r="WTY44" s="481"/>
      <c r="WTZ44" s="481"/>
      <c r="WUA44" s="481"/>
      <c r="WUB44" s="481"/>
      <c r="WUC44" s="481"/>
      <c r="WUD44" s="481"/>
      <c r="WUE44" s="481"/>
      <c r="WUF44" s="481"/>
      <c r="WUG44" s="481"/>
      <c r="WUH44" s="481"/>
      <c r="WUI44" s="481"/>
      <c r="WUJ44" s="481"/>
      <c r="WUK44" s="481"/>
      <c r="WUL44" s="481"/>
      <c r="WUM44" s="481"/>
      <c r="WUN44" s="481"/>
      <c r="WUO44" s="481"/>
      <c r="WUP44" s="481"/>
      <c r="WUQ44" s="481"/>
      <c r="WUR44" s="481"/>
      <c r="WUS44" s="481"/>
      <c r="WUT44" s="481"/>
      <c r="WUU44" s="481"/>
      <c r="WUV44" s="481"/>
      <c r="WUW44" s="481"/>
      <c r="WUX44" s="481"/>
      <c r="WUY44" s="481"/>
      <c r="WUZ44" s="481"/>
      <c r="WVA44" s="481"/>
      <c r="WVB44" s="481"/>
      <c r="WVC44" s="481"/>
      <c r="WVD44" s="481"/>
      <c r="WVE44" s="481"/>
      <c r="WVF44" s="481"/>
      <c r="WVG44" s="481"/>
      <c r="WVH44" s="481"/>
      <c r="WVI44" s="481"/>
      <c r="WVJ44" s="481"/>
      <c r="WVK44" s="481"/>
      <c r="WVL44" s="481"/>
      <c r="WVM44" s="481"/>
      <c r="WVN44" s="481"/>
      <c r="WVO44" s="481"/>
      <c r="WVP44" s="481"/>
      <c r="WVQ44" s="481"/>
      <c r="WVR44" s="481"/>
      <c r="WVS44" s="481"/>
      <c r="WVT44" s="481"/>
      <c r="WVU44" s="481"/>
      <c r="WVV44" s="481"/>
      <c r="WVW44" s="481"/>
      <c r="WVX44" s="481"/>
      <c r="WVY44" s="481"/>
      <c r="WVZ44" s="481"/>
      <c r="WWA44" s="481"/>
      <c r="WWB44" s="481"/>
      <c r="WWC44" s="481"/>
      <c r="WWD44" s="481"/>
      <c r="WWE44" s="481"/>
      <c r="WWF44" s="481"/>
      <c r="WWG44" s="481"/>
      <c r="WWH44" s="481"/>
      <c r="WWI44" s="481"/>
      <c r="WWJ44" s="481"/>
      <c r="WWK44" s="481"/>
      <c r="WWL44" s="481"/>
      <c r="WWM44" s="481"/>
      <c r="WWN44" s="481"/>
      <c r="WWO44" s="481"/>
      <c r="WWP44" s="481"/>
      <c r="WWQ44" s="481"/>
      <c r="WWR44" s="481"/>
      <c r="WWS44" s="481"/>
      <c r="WWT44" s="481"/>
      <c r="WWU44" s="481"/>
      <c r="WWV44" s="481"/>
      <c r="WWW44" s="481"/>
      <c r="WWX44" s="481"/>
      <c r="WWY44" s="481"/>
      <c r="WWZ44" s="481"/>
      <c r="WXA44" s="481"/>
      <c r="WXB44" s="481"/>
      <c r="WXC44" s="481"/>
      <c r="WXD44" s="481"/>
      <c r="WXE44" s="481"/>
      <c r="WXF44" s="481"/>
      <c r="WXG44" s="481"/>
      <c r="WXH44" s="481"/>
      <c r="WXI44" s="481"/>
      <c r="WXJ44" s="481"/>
      <c r="WXK44" s="481"/>
      <c r="WXL44" s="481"/>
      <c r="WXM44" s="481"/>
      <c r="WXN44" s="481"/>
      <c r="WXO44" s="481"/>
      <c r="WXP44" s="481"/>
      <c r="WXQ44" s="481"/>
      <c r="WXR44" s="481"/>
      <c r="WXS44" s="481"/>
      <c r="WXT44" s="481"/>
      <c r="WXU44" s="481"/>
      <c r="WXV44" s="481"/>
      <c r="WXW44" s="481"/>
      <c r="WXX44" s="481"/>
      <c r="WXY44" s="481"/>
      <c r="WXZ44" s="481"/>
      <c r="WYA44" s="481"/>
      <c r="WYB44" s="481"/>
      <c r="WYC44" s="481"/>
      <c r="WYD44" s="481"/>
      <c r="WYE44" s="481"/>
      <c r="WYF44" s="481"/>
      <c r="WYG44" s="481"/>
      <c r="WYH44" s="481"/>
      <c r="WYI44" s="481"/>
      <c r="WYJ44" s="481"/>
      <c r="WYK44" s="481"/>
      <c r="WYL44" s="481"/>
      <c r="WYM44" s="481"/>
      <c r="WYN44" s="481"/>
      <c r="WYO44" s="481"/>
      <c r="WYP44" s="481"/>
      <c r="WYQ44" s="481"/>
      <c r="WYR44" s="481"/>
      <c r="WYS44" s="481"/>
      <c r="WYT44" s="481"/>
      <c r="WYU44" s="481"/>
      <c r="WYV44" s="481"/>
      <c r="WYW44" s="481"/>
      <c r="WYX44" s="481"/>
      <c r="WYY44" s="481"/>
      <c r="WYZ44" s="481"/>
      <c r="WZA44" s="481"/>
      <c r="WZB44" s="481"/>
      <c r="WZC44" s="481"/>
      <c r="WZD44" s="481"/>
      <c r="WZE44" s="481"/>
      <c r="WZF44" s="481"/>
      <c r="WZG44" s="481"/>
      <c r="WZH44" s="481"/>
      <c r="WZI44" s="481"/>
      <c r="WZJ44" s="481"/>
      <c r="WZK44" s="481"/>
      <c r="WZL44" s="481"/>
      <c r="WZM44" s="481"/>
      <c r="WZN44" s="481"/>
      <c r="WZO44" s="481"/>
      <c r="WZP44" s="481"/>
      <c r="WZQ44" s="481"/>
      <c r="WZR44" s="481"/>
      <c r="WZS44" s="481"/>
      <c r="WZT44" s="481"/>
      <c r="WZU44" s="481"/>
      <c r="WZV44" s="481"/>
      <c r="WZW44" s="481"/>
      <c r="WZX44" s="481"/>
      <c r="WZY44" s="481"/>
      <c r="WZZ44" s="481"/>
      <c r="XAA44" s="481"/>
      <c r="XAB44" s="481"/>
      <c r="XAC44" s="481"/>
      <c r="XAD44" s="481"/>
      <c r="XAE44" s="481"/>
      <c r="XAF44" s="481"/>
      <c r="XAG44" s="481"/>
      <c r="XAH44" s="481"/>
      <c r="XAI44" s="481"/>
      <c r="XAJ44" s="481"/>
      <c r="XAK44" s="481"/>
      <c r="XAL44" s="481"/>
      <c r="XAM44" s="481"/>
      <c r="XAN44" s="481"/>
      <c r="XAO44" s="481"/>
      <c r="XAP44" s="481"/>
      <c r="XAQ44" s="481"/>
      <c r="XAR44" s="481"/>
      <c r="XAS44" s="481"/>
      <c r="XAT44" s="481"/>
      <c r="XAU44" s="481"/>
      <c r="XAV44" s="481"/>
      <c r="XAW44" s="481"/>
      <c r="XAX44" s="481"/>
      <c r="XAY44" s="481"/>
      <c r="XAZ44" s="481"/>
      <c r="XBA44" s="481"/>
      <c r="XBB44" s="481"/>
      <c r="XBC44" s="481"/>
      <c r="XBD44" s="481"/>
      <c r="XBE44" s="481"/>
      <c r="XBF44" s="481"/>
      <c r="XBG44" s="481"/>
      <c r="XBH44" s="481"/>
      <c r="XBI44" s="481"/>
      <c r="XBJ44" s="481"/>
      <c r="XBK44" s="481"/>
      <c r="XBL44" s="481"/>
      <c r="XBM44" s="481"/>
      <c r="XBN44" s="481"/>
      <c r="XBO44" s="481"/>
      <c r="XBP44" s="481"/>
      <c r="XBQ44" s="481"/>
      <c r="XBR44" s="481"/>
      <c r="XBS44" s="481"/>
      <c r="XBT44" s="481"/>
      <c r="XBU44" s="481"/>
      <c r="XBV44" s="481"/>
      <c r="XBW44" s="481"/>
      <c r="XBX44" s="481"/>
      <c r="XBY44" s="481"/>
      <c r="XBZ44" s="481"/>
      <c r="XCA44" s="481"/>
      <c r="XCB44" s="481"/>
      <c r="XCC44" s="481"/>
      <c r="XCD44" s="481"/>
      <c r="XCE44" s="481"/>
      <c r="XCF44" s="481"/>
      <c r="XCG44" s="481"/>
      <c r="XCH44" s="481"/>
      <c r="XCI44" s="481"/>
      <c r="XCJ44" s="481"/>
      <c r="XCK44" s="481"/>
      <c r="XCL44" s="481"/>
      <c r="XCM44" s="481"/>
      <c r="XCN44" s="481"/>
      <c r="XCO44" s="481"/>
      <c r="XCP44" s="481"/>
      <c r="XCQ44" s="481"/>
      <c r="XCR44" s="481"/>
      <c r="XCS44" s="481"/>
      <c r="XCT44" s="481"/>
      <c r="XCU44" s="481"/>
      <c r="XCV44" s="481"/>
      <c r="XCW44" s="481"/>
      <c r="XCX44" s="481"/>
      <c r="XCY44" s="481"/>
      <c r="XCZ44" s="481"/>
      <c r="XDA44" s="481"/>
      <c r="XDB44" s="481"/>
      <c r="XDC44" s="481"/>
      <c r="XDD44" s="481"/>
      <c r="XDE44" s="481"/>
      <c r="XDF44" s="481"/>
      <c r="XDG44" s="481"/>
      <c r="XDH44" s="481"/>
      <c r="XDI44" s="481"/>
      <c r="XDJ44" s="481"/>
      <c r="XDK44" s="481"/>
      <c r="XDL44" s="481"/>
      <c r="XDM44" s="481"/>
      <c r="XDN44" s="481"/>
      <c r="XDO44" s="481"/>
      <c r="XDP44" s="481"/>
      <c r="XDQ44" s="481"/>
      <c r="XDR44" s="481"/>
      <c r="XDS44" s="481"/>
      <c r="XDT44" s="481"/>
      <c r="XDU44" s="481"/>
      <c r="XDV44" s="481"/>
      <c r="XDW44" s="481"/>
      <c r="XDX44" s="481"/>
      <c r="XDY44" s="481"/>
      <c r="XDZ44" s="481"/>
      <c r="XEA44" s="481"/>
      <c r="XEB44" s="481"/>
      <c r="XEC44" s="481"/>
      <c r="XED44" s="481"/>
      <c r="XEE44" s="481"/>
      <c r="XEF44" s="481"/>
      <c r="XEG44" s="481"/>
      <c r="XEH44" s="481"/>
      <c r="XEI44" s="481"/>
      <c r="XEJ44" s="481"/>
      <c r="XEK44" s="481"/>
      <c r="XEL44" s="481"/>
      <c r="XEM44" s="481"/>
      <c r="XEN44" s="481"/>
      <c r="XEO44" s="481"/>
      <c r="XEP44" s="481"/>
      <c r="XEQ44" s="481"/>
      <c r="XER44" s="481"/>
      <c r="XES44" s="481"/>
      <c r="XET44" s="481"/>
      <c r="XEU44" s="481"/>
      <c r="XEV44" s="481"/>
      <c r="XEW44" s="481"/>
      <c r="XEX44" s="481"/>
      <c r="XEY44" s="481"/>
      <c r="XEZ44" s="481"/>
      <c r="XFA44" s="481"/>
      <c r="XFB44" s="481"/>
      <c r="XFC44" s="481"/>
      <c r="XFD44" s="481"/>
    </row>
    <row r="45" s="344" customFormat="1" customHeight="1" spans="1:16384">
      <c r="A45" s="380" t="str">
        <f t="shared" si="28"/>
        <v>ZU5-1</v>
      </c>
      <c r="B45" s="381">
        <f t="shared" si="4"/>
        <v>190.06</v>
      </c>
      <c r="C45" s="381">
        <f t="shared" si="5"/>
        <v>210.06</v>
      </c>
      <c r="D45" s="382">
        <f t="shared" si="6"/>
        <v>20</v>
      </c>
      <c r="E45" s="383">
        <f t="shared" si="7"/>
        <v>3.348</v>
      </c>
      <c r="F45" s="383">
        <f t="shared" si="8"/>
        <v>3.348</v>
      </c>
      <c r="G45" s="383">
        <f t="shared" si="9"/>
        <v>-0.55455</v>
      </c>
      <c r="H45" s="383">
        <f t="shared" si="10"/>
        <v>-1.14916</v>
      </c>
      <c r="I45" s="383">
        <f t="shared" si="11"/>
        <v>3.90255</v>
      </c>
      <c r="J45" s="414">
        <f t="shared" si="12"/>
        <v>4.49716</v>
      </c>
      <c r="K45" s="415">
        <f t="shared" si="13"/>
        <v>0.6</v>
      </c>
      <c r="L45" s="415">
        <f>LOOKUP(MAX(J45,I45),{0,3,4,5,6.5,7.5,9,10},{0.3,0.4,0.5,0.6,0.7,0.8,0.9})</f>
        <v>0.5</v>
      </c>
      <c r="M45" s="415">
        <f t="shared" si="14"/>
        <v>13.5</v>
      </c>
      <c r="N45" s="415">
        <f t="shared" si="15"/>
        <v>13.5</v>
      </c>
      <c r="O45" s="416">
        <f t="shared" si="16"/>
        <v>2.23926</v>
      </c>
      <c r="P45" s="417">
        <f t="shared" si="17"/>
        <v>2.33387</v>
      </c>
      <c r="Q45" s="417">
        <f t="shared" si="18"/>
        <v>1.75</v>
      </c>
      <c r="R45" s="382">
        <f t="shared" si="19"/>
        <v>1.75</v>
      </c>
      <c r="S45" s="456">
        <f t="shared" si="20"/>
        <v>0</v>
      </c>
      <c r="T45" s="457">
        <f t="shared" si="21"/>
        <v>2.31368</v>
      </c>
      <c r="U45" s="416">
        <f t="shared" si="22"/>
        <v>2.11829</v>
      </c>
      <c r="V45" s="416">
        <f t="shared" si="23"/>
        <v>0.45</v>
      </c>
      <c r="W45" s="457">
        <f t="shared" si="24"/>
        <v>0.45</v>
      </c>
      <c r="X45" s="458">
        <f t="shared" si="25"/>
        <v>0</v>
      </c>
      <c r="Y45" s="447">
        <f t="shared" si="26"/>
        <v>0</v>
      </c>
      <c r="Z45" s="447">
        <f t="shared" si="27"/>
        <v>0</v>
      </c>
      <c r="AA45" s="478"/>
      <c r="AB45" s="479"/>
      <c r="AC45" s="479"/>
      <c r="AD45" s="478"/>
      <c r="AE45" s="478"/>
      <c r="AF45" s="478"/>
      <c r="AG45" s="478"/>
      <c r="AH45" s="478"/>
      <c r="AI45" s="478"/>
      <c r="AJ45" s="478"/>
      <c r="AK45" s="478"/>
      <c r="AL45" s="478"/>
      <c r="AM45" s="478"/>
      <c r="AN45" s="478"/>
      <c r="AO45" s="478"/>
      <c r="AP45" s="478"/>
      <c r="AQ45" s="478"/>
      <c r="AR45" s="478"/>
      <c r="AS45" s="478"/>
      <c r="AT45" s="478"/>
      <c r="AU45" s="478"/>
      <c r="AV45" s="478"/>
      <c r="AW45" s="478"/>
      <c r="AX45" s="478"/>
      <c r="AY45" s="478"/>
      <c r="AZ45" s="478"/>
      <c r="BA45" s="478"/>
      <c r="BB45" s="478"/>
      <c r="BC45" s="478"/>
      <c r="BD45" s="478"/>
      <c r="BE45" s="478"/>
      <c r="BF45" s="478"/>
      <c r="BG45" s="478"/>
      <c r="BH45" s="478"/>
      <c r="BI45" s="478"/>
      <c r="BJ45" s="478"/>
      <c r="BK45" s="478"/>
      <c r="BL45" s="478"/>
      <c r="BM45" s="478"/>
      <c r="BN45" s="478"/>
      <c r="BO45" s="478"/>
      <c r="BP45" s="478"/>
      <c r="BQ45" s="478"/>
      <c r="BR45" s="478"/>
      <c r="BS45" s="478"/>
      <c r="BT45" s="478"/>
      <c r="BU45" s="478"/>
      <c r="BV45" s="478"/>
      <c r="BW45" s="478"/>
      <c r="BX45" s="478"/>
      <c r="BY45" s="478"/>
      <c r="BZ45" s="478"/>
      <c r="CA45" s="478"/>
      <c r="CB45" s="478"/>
      <c r="CC45" s="478"/>
      <c r="CD45" s="478"/>
      <c r="CE45" s="478"/>
      <c r="CF45" s="478"/>
      <c r="CG45" s="478"/>
      <c r="CH45" s="478"/>
      <c r="CI45" s="478"/>
      <c r="CJ45" s="478"/>
      <c r="CK45" s="478"/>
      <c r="CL45" s="478"/>
      <c r="CM45" s="478"/>
      <c r="CN45" s="478"/>
      <c r="CO45" s="478"/>
      <c r="CP45" s="478"/>
      <c r="CQ45" s="478"/>
      <c r="CR45" s="478"/>
      <c r="CS45" s="478"/>
      <c r="CT45" s="478"/>
      <c r="CU45" s="478"/>
      <c r="CV45" s="478"/>
      <c r="CW45" s="478"/>
      <c r="CX45" s="478"/>
      <c r="CY45" s="478"/>
      <c r="CZ45" s="478"/>
      <c r="DA45" s="478"/>
      <c r="DB45" s="478"/>
      <c r="DC45" s="478"/>
      <c r="DD45" s="478"/>
      <c r="DE45" s="478"/>
      <c r="DF45" s="478"/>
      <c r="DG45" s="478"/>
      <c r="DH45" s="478"/>
      <c r="DI45" s="478"/>
      <c r="DJ45" s="478"/>
      <c r="DK45" s="478"/>
      <c r="DL45" s="478"/>
      <c r="DM45" s="478"/>
      <c r="DN45" s="478"/>
      <c r="DO45" s="478"/>
      <c r="DP45" s="478"/>
      <c r="DQ45" s="478"/>
      <c r="DR45" s="478"/>
      <c r="DS45" s="478"/>
      <c r="DT45" s="478"/>
      <c r="DU45" s="478"/>
      <c r="DV45" s="478"/>
      <c r="DW45" s="478"/>
      <c r="DX45" s="478"/>
      <c r="DY45" s="478"/>
      <c r="DZ45" s="478"/>
      <c r="EA45" s="478"/>
      <c r="EB45" s="478"/>
      <c r="EC45" s="478"/>
      <c r="ED45" s="478"/>
      <c r="EE45" s="478"/>
      <c r="EF45" s="478"/>
      <c r="EG45" s="478"/>
      <c r="EH45" s="478"/>
      <c r="EI45" s="478"/>
      <c r="EJ45" s="478"/>
      <c r="EK45" s="478"/>
      <c r="EL45" s="478"/>
      <c r="EM45" s="478"/>
      <c r="EN45" s="478"/>
      <c r="EO45" s="478"/>
      <c r="EP45" s="478"/>
      <c r="EQ45" s="478"/>
      <c r="ER45" s="478"/>
      <c r="ES45" s="478"/>
      <c r="ET45" s="478"/>
      <c r="EU45" s="478"/>
      <c r="EV45" s="478"/>
      <c r="EW45" s="478"/>
      <c r="EX45" s="478"/>
      <c r="EY45" s="478"/>
      <c r="EZ45" s="478"/>
      <c r="FA45" s="478"/>
      <c r="FB45" s="478"/>
      <c r="FC45" s="478"/>
      <c r="FD45" s="478"/>
      <c r="FE45" s="478"/>
      <c r="FF45" s="478"/>
      <c r="FG45" s="478"/>
      <c r="FH45" s="478"/>
      <c r="FI45" s="478"/>
      <c r="FJ45" s="478"/>
      <c r="FK45" s="478"/>
      <c r="FL45" s="478"/>
      <c r="FM45" s="478"/>
      <c r="FN45" s="478"/>
      <c r="FO45" s="478"/>
      <c r="FP45" s="478"/>
      <c r="FQ45" s="478"/>
      <c r="FR45" s="478"/>
      <c r="FS45" s="478"/>
      <c r="FT45" s="478"/>
      <c r="FU45" s="478"/>
      <c r="FV45" s="478"/>
      <c r="FW45" s="478"/>
      <c r="FX45" s="478"/>
      <c r="FY45" s="478"/>
      <c r="FZ45" s="478"/>
      <c r="GA45" s="478"/>
      <c r="GB45" s="478"/>
      <c r="GC45" s="478"/>
      <c r="GD45" s="478"/>
      <c r="GE45" s="478"/>
      <c r="GF45" s="478"/>
      <c r="GG45" s="478"/>
      <c r="GH45" s="478"/>
      <c r="GI45" s="478"/>
      <c r="GJ45" s="478"/>
      <c r="GK45" s="478"/>
      <c r="GL45" s="478"/>
      <c r="GM45" s="478"/>
      <c r="GN45" s="478"/>
      <c r="GO45" s="478"/>
      <c r="GP45" s="478"/>
      <c r="GQ45" s="478"/>
      <c r="GR45" s="478"/>
      <c r="GS45" s="478"/>
      <c r="GT45" s="478"/>
      <c r="GU45" s="478"/>
      <c r="GV45" s="478"/>
      <c r="GW45" s="478"/>
      <c r="GX45" s="478"/>
      <c r="GY45" s="478"/>
      <c r="GZ45" s="478"/>
      <c r="HA45" s="478"/>
      <c r="HB45" s="478"/>
      <c r="HC45" s="478"/>
      <c r="HD45" s="478"/>
      <c r="HE45" s="478"/>
      <c r="HF45" s="478"/>
      <c r="HG45" s="478"/>
      <c r="HH45" s="478"/>
      <c r="HI45" s="478"/>
      <c r="HJ45" s="478"/>
      <c r="HK45" s="478"/>
      <c r="HL45" s="478"/>
      <c r="HM45" s="478"/>
      <c r="HN45" s="478"/>
      <c r="HO45" s="478"/>
      <c r="HP45" s="478"/>
      <c r="HQ45" s="478"/>
      <c r="HR45" s="478"/>
      <c r="HS45" s="478"/>
      <c r="HT45" s="478"/>
      <c r="HU45" s="478"/>
      <c r="HV45" s="478"/>
      <c r="HW45" s="478"/>
      <c r="HX45" s="478"/>
      <c r="HY45" s="478"/>
      <c r="HZ45" s="478"/>
      <c r="IA45" s="478"/>
      <c r="IB45" s="478"/>
      <c r="IC45" s="478"/>
      <c r="ID45" s="478"/>
      <c r="IE45" s="478"/>
      <c r="IF45" s="478"/>
      <c r="IG45" s="478"/>
      <c r="IH45" s="478"/>
      <c r="II45" s="478"/>
      <c r="IJ45" s="478"/>
      <c r="IK45" s="478"/>
      <c r="IL45" s="478"/>
      <c r="IM45" s="478"/>
      <c r="IN45" s="478"/>
      <c r="IO45" s="478"/>
      <c r="IP45" s="478"/>
      <c r="IQ45" s="478"/>
      <c r="IR45" s="478"/>
      <c r="IS45" s="478"/>
      <c r="IT45" s="478"/>
      <c r="IU45" s="478"/>
      <c r="IV45" s="478"/>
      <c r="IW45" s="478"/>
      <c r="IX45" s="478"/>
      <c r="IY45" s="478"/>
      <c r="IZ45" s="478"/>
      <c r="JA45" s="478"/>
      <c r="JB45" s="478"/>
      <c r="JC45" s="478"/>
      <c r="JD45" s="478"/>
      <c r="JE45" s="478"/>
      <c r="JF45" s="478"/>
      <c r="JG45" s="478"/>
      <c r="JH45" s="478"/>
      <c r="JI45" s="478"/>
      <c r="JJ45" s="478"/>
      <c r="JK45" s="478"/>
      <c r="JL45" s="478"/>
      <c r="JM45" s="478"/>
      <c r="JN45" s="478"/>
      <c r="JO45" s="478"/>
      <c r="JP45" s="478"/>
      <c r="JQ45" s="478"/>
      <c r="JR45" s="478"/>
      <c r="JS45" s="478"/>
      <c r="JT45" s="478"/>
      <c r="JU45" s="478"/>
      <c r="JV45" s="478"/>
      <c r="JW45" s="478"/>
      <c r="JX45" s="478"/>
      <c r="JY45" s="478"/>
      <c r="JZ45" s="478"/>
      <c r="KA45" s="478"/>
      <c r="KB45" s="478"/>
      <c r="KC45" s="478"/>
      <c r="KD45" s="478"/>
      <c r="KE45" s="478"/>
      <c r="KF45" s="478"/>
      <c r="KG45" s="478"/>
      <c r="KH45" s="478"/>
      <c r="KI45" s="478"/>
      <c r="KJ45" s="478"/>
      <c r="KK45" s="478"/>
      <c r="KL45" s="478"/>
      <c r="KM45" s="478"/>
      <c r="KN45" s="478"/>
      <c r="KO45" s="478"/>
      <c r="KP45" s="478"/>
      <c r="KQ45" s="478"/>
      <c r="KR45" s="478"/>
      <c r="KS45" s="478"/>
      <c r="KT45" s="478"/>
      <c r="KU45" s="478"/>
      <c r="KV45" s="478"/>
      <c r="KW45" s="478"/>
      <c r="KX45" s="478"/>
      <c r="KY45" s="478"/>
      <c r="KZ45" s="478"/>
      <c r="LA45" s="478"/>
      <c r="LB45" s="478"/>
      <c r="LC45" s="478"/>
      <c r="LD45" s="478"/>
      <c r="LE45" s="478"/>
      <c r="LF45" s="478"/>
      <c r="LG45" s="478"/>
      <c r="LH45" s="478"/>
      <c r="LI45" s="478"/>
      <c r="LJ45" s="478"/>
      <c r="LK45" s="478"/>
      <c r="LL45" s="478"/>
      <c r="LM45" s="478"/>
      <c r="LN45" s="478"/>
      <c r="LO45" s="478"/>
      <c r="LP45" s="478"/>
      <c r="LQ45" s="478"/>
      <c r="LR45" s="478"/>
      <c r="LS45" s="478"/>
      <c r="LT45" s="478"/>
      <c r="LU45" s="478"/>
      <c r="LV45" s="478"/>
      <c r="LW45" s="478"/>
      <c r="LX45" s="478"/>
      <c r="LY45" s="478"/>
      <c r="LZ45" s="478"/>
      <c r="MA45" s="478"/>
      <c r="MB45" s="478"/>
      <c r="MC45" s="478"/>
      <c r="MD45" s="478"/>
      <c r="ME45" s="478"/>
      <c r="MF45" s="478"/>
      <c r="MG45" s="478"/>
      <c r="MH45" s="478"/>
      <c r="MI45" s="478"/>
      <c r="MJ45" s="478"/>
      <c r="MK45" s="478"/>
      <c r="ML45" s="478"/>
      <c r="MM45" s="478"/>
      <c r="MN45" s="478"/>
      <c r="MO45" s="478"/>
      <c r="MP45" s="478"/>
      <c r="MQ45" s="478"/>
      <c r="MR45" s="478"/>
      <c r="MS45" s="478"/>
      <c r="MT45" s="478"/>
      <c r="MU45" s="478"/>
      <c r="MV45" s="478"/>
      <c r="MW45" s="478"/>
      <c r="MX45" s="478"/>
      <c r="MY45" s="478"/>
      <c r="MZ45" s="478"/>
      <c r="NA45" s="478"/>
      <c r="NB45" s="478"/>
      <c r="NC45" s="478"/>
      <c r="ND45" s="478"/>
      <c r="NE45" s="478"/>
      <c r="NF45" s="478"/>
      <c r="NG45" s="478"/>
      <c r="NH45" s="478"/>
      <c r="NI45" s="478"/>
      <c r="NJ45" s="478"/>
      <c r="NK45" s="478"/>
      <c r="NL45" s="478"/>
      <c r="NM45" s="478"/>
      <c r="NN45" s="478"/>
      <c r="NO45" s="478"/>
      <c r="NP45" s="478"/>
      <c r="NQ45" s="478"/>
      <c r="NR45" s="478"/>
      <c r="NS45" s="478"/>
      <c r="NT45" s="478"/>
      <c r="NU45" s="478"/>
      <c r="NV45" s="478"/>
      <c r="NW45" s="478"/>
      <c r="NX45" s="478"/>
      <c r="NY45" s="478"/>
      <c r="NZ45" s="478"/>
      <c r="OA45" s="478"/>
      <c r="OB45" s="478"/>
      <c r="OC45" s="478"/>
      <c r="OD45" s="478"/>
      <c r="OE45" s="478"/>
      <c r="OF45" s="478"/>
      <c r="OG45" s="478"/>
      <c r="OH45" s="478"/>
      <c r="OI45" s="478"/>
      <c r="OJ45" s="478"/>
      <c r="OK45" s="478"/>
      <c r="OL45" s="478"/>
      <c r="OM45" s="478"/>
      <c r="ON45" s="478"/>
      <c r="OO45" s="478"/>
      <c r="OP45" s="478"/>
      <c r="OQ45" s="478"/>
      <c r="OR45" s="478"/>
      <c r="OS45" s="478"/>
      <c r="OT45" s="478"/>
      <c r="OU45" s="478"/>
      <c r="OV45" s="478"/>
      <c r="OW45" s="478"/>
      <c r="OX45" s="478"/>
      <c r="OY45" s="478"/>
      <c r="OZ45" s="478"/>
      <c r="PA45" s="478"/>
      <c r="PB45" s="478"/>
      <c r="PC45" s="478"/>
      <c r="PD45" s="478"/>
      <c r="PE45" s="478"/>
      <c r="PF45" s="478"/>
      <c r="PG45" s="478"/>
      <c r="PH45" s="478"/>
      <c r="PI45" s="478"/>
      <c r="PJ45" s="478"/>
      <c r="PK45" s="478"/>
      <c r="PL45" s="478"/>
      <c r="PM45" s="478"/>
      <c r="PN45" s="478"/>
      <c r="PO45" s="478"/>
      <c r="PP45" s="478"/>
      <c r="PQ45" s="478"/>
      <c r="PR45" s="478"/>
      <c r="PS45" s="478"/>
      <c r="PT45" s="478"/>
      <c r="PU45" s="478"/>
      <c r="PV45" s="478"/>
      <c r="PW45" s="478"/>
      <c r="PX45" s="478"/>
      <c r="PY45" s="478"/>
      <c r="PZ45" s="478"/>
      <c r="QA45" s="478"/>
      <c r="QB45" s="478"/>
      <c r="QC45" s="478"/>
      <c r="QD45" s="478"/>
      <c r="QE45" s="478"/>
      <c r="QF45" s="478"/>
      <c r="QG45" s="478"/>
      <c r="QH45" s="478"/>
      <c r="QI45" s="478"/>
      <c r="QJ45" s="478"/>
      <c r="QK45" s="478"/>
      <c r="QL45" s="478"/>
      <c r="QM45" s="478"/>
      <c r="QN45" s="478"/>
      <c r="QO45" s="478"/>
      <c r="QP45" s="478"/>
      <c r="QQ45" s="478"/>
      <c r="QR45" s="478"/>
      <c r="QS45" s="478"/>
      <c r="QT45" s="478"/>
      <c r="QU45" s="478"/>
      <c r="QV45" s="478"/>
      <c r="QW45" s="478"/>
      <c r="QX45" s="478"/>
      <c r="QY45" s="478"/>
      <c r="QZ45" s="478"/>
      <c r="RA45" s="478"/>
      <c r="RB45" s="478"/>
      <c r="RC45" s="478"/>
      <c r="RD45" s="478"/>
      <c r="RE45" s="478"/>
      <c r="RF45" s="478"/>
      <c r="RG45" s="478"/>
      <c r="RH45" s="478"/>
      <c r="RI45" s="478"/>
      <c r="RJ45" s="478"/>
      <c r="RK45" s="478"/>
      <c r="RL45" s="478"/>
      <c r="RM45" s="478"/>
      <c r="RN45" s="478"/>
      <c r="RO45" s="478"/>
      <c r="RP45" s="478"/>
      <c r="RQ45" s="478"/>
      <c r="RR45" s="478"/>
      <c r="RS45" s="478"/>
      <c r="RT45" s="478"/>
      <c r="RU45" s="478"/>
      <c r="RV45" s="478"/>
      <c r="RW45" s="478"/>
      <c r="RX45" s="478"/>
      <c r="RY45" s="478"/>
      <c r="RZ45" s="478"/>
      <c r="SA45" s="478"/>
      <c r="SB45" s="478"/>
      <c r="SC45" s="478"/>
      <c r="SD45" s="478"/>
      <c r="SE45" s="478"/>
      <c r="SF45" s="478"/>
      <c r="SG45" s="478"/>
      <c r="SH45" s="478"/>
      <c r="SI45" s="478"/>
      <c r="SJ45" s="478"/>
      <c r="SK45" s="478"/>
      <c r="SL45" s="478"/>
      <c r="SM45" s="478"/>
      <c r="SN45" s="478"/>
      <c r="SO45" s="478"/>
      <c r="SP45" s="478"/>
      <c r="SQ45" s="478"/>
      <c r="SR45" s="478"/>
      <c r="SS45" s="478"/>
      <c r="ST45" s="478"/>
      <c r="SU45" s="478"/>
      <c r="SV45" s="478"/>
      <c r="SW45" s="478"/>
      <c r="SX45" s="478"/>
      <c r="SY45" s="478"/>
      <c r="SZ45" s="478"/>
      <c r="TA45" s="478"/>
      <c r="TB45" s="478"/>
      <c r="TC45" s="478"/>
      <c r="TD45" s="478"/>
      <c r="TE45" s="478"/>
      <c r="TF45" s="478"/>
      <c r="TG45" s="478"/>
      <c r="TH45" s="478"/>
      <c r="TI45" s="478"/>
      <c r="TJ45" s="478"/>
      <c r="TK45" s="478"/>
      <c r="TL45" s="478"/>
      <c r="TM45" s="478"/>
      <c r="TN45" s="478"/>
      <c r="TO45" s="478"/>
      <c r="TP45" s="478"/>
      <c r="TQ45" s="478"/>
      <c r="TR45" s="478"/>
      <c r="TS45" s="478"/>
      <c r="TT45" s="478"/>
      <c r="TU45" s="478"/>
      <c r="TV45" s="478"/>
      <c r="TW45" s="478"/>
      <c r="TX45" s="478"/>
      <c r="TY45" s="478"/>
      <c r="TZ45" s="478"/>
      <c r="UA45" s="478"/>
      <c r="UB45" s="478"/>
      <c r="UC45" s="478"/>
      <c r="UD45" s="478"/>
      <c r="UE45" s="478"/>
      <c r="UF45" s="478"/>
      <c r="UG45" s="478"/>
      <c r="UH45" s="478"/>
      <c r="UI45" s="478"/>
      <c r="UJ45" s="478"/>
      <c r="UK45" s="478"/>
      <c r="UL45" s="478"/>
      <c r="UM45" s="478"/>
      <c r="UN45" s="478"/>
      <c r="UO45" s="478"/>
      <c r="UP45" s="478"/>
      <c r="UQ45" s="478"/>
      <c r="UR45" s="478"/>
      <c r="US45" s="478"/>
      <c r="UT45" s="478"/>
      <c r="UU45" s="478"/>
      <c r="UV45" s="478"/>
      <c r="UW45" s="478"/>
      <c r="UX45" s="478"/>
      <c r="UY45" s="478"/>
      <c r="UZ45" s="478"/>
      <c r="VA45" s="478"/>
      <c r="VB45" s="478"/>
      <c r="VC45" s="478"/>
      <c r="VD45" s="478"/>
      <c r="VE45" s="478"/>
      <c r="VF45" s="478"/>
      <c r="VG45" s="478"/>
      <c r="VH45" s="478"/>
      <c r="VI45" s="478"/>
      <c r="VJ45" s="478"/>
      <c r="VK45" s="478"/>
      <c r="VL45" s="478"/>
      <c r="VM45" s="478"/>
      <c r="VN45" s="478"/>
      <c r="VO45" s="478"/>
      <c r="VP45" s="478"/>
      <c r="VQ45" s="478"/>
      <c r="VR45" s="478"/>
      <c r="VS45" s="478"/>
      <c r="VT45" s="478"/>
      <c r="VU45" s="478"/>
      <c r="VV45" s="478"/>
      <c r="VW45" s="478"/>
      <c r="VX45" s="478"/>
      <c r="VY45" s="478"/>
      <c r="VZ45" s="478"/>
      <c r="WA45" s="478"/>
      <c r="WB45" s="478"/>
      <c r="WC45" s="478"/>
      <c r="WD45" s="478"/>
      <c r="WE45" s="478"/>
      <c r="WF45" s="478"/>
      <c r="WG45" s="478"/>
      <c r="WH45" s="478"/>
      <c r="WI45" s="478"/>
      <c r="WJ45" s="478"/>
      <c r="WK45" s="478"/>
      <c r="WL45" s="478"/>
      <c r="WM45" s="478"/>
      <c r="WN45" s="478"/>
      <c r="WO45" s="478"/>
      <c r="WP45" s="478"/>
      <c r="WQ45" s="478"/>
      <c r="WR45" s="478"/>
      <c r="WS45" s="478"/>
      <c r="WT45" s="478"/>
      <c r="WU45" s="478"/>
      <c r="WV45" s="478"/>
      <c r="WW45" s="478"/>
      <c r="WX45" s="478"/>
      <c r="WY45" s="478"/>
      <c r="WZ45" s="478"/>
      <c r="XA45" s="478"/>
      <c r="XB45" s="478"/>
      <c r="XC45" s="478"/>
      <c r="XD45" s="478"/>
      <c r="XE45" s="478"/>
      <c r="XF45" s="478"/>
      <c r="XG45" s="478"/>
      <c r="XH45" s="478"/>
      <c r="XI45" s="478"/>
      <c r="XJ45" s="478"/>
      <c r="XK45" s="478"/>
      <c r="XL45" s="478"/>
      <c r="XM45" s="478"/>
      <c r="XN45" s="478"/>
      <c r="XO45" s="478"/>
      <c r="XP45" s="478"/>
      <c r="XQ45" s="478"/>
      <c r="XR45" s="478"/>
      <c r="XS45" s="478"/>
      <c r="XT45" s="478"/>
      <c r="XU45" s="478"/>
      <c r="XV45" s="478"/>
      <c r="XW45" s="478"/>
      <c r="XX45" s="478"/>
      <c r="XY45" s="478"/>
      <c r="XZ45" s="478"/>
      <c r="YA45" s="478"/>
      <c r="YB45" s="478"/>
      <c r="YC45" s="478"/>
      <c r="YD45" s="478"/>
      <c r="YE45" s="478"/>
      <c r="YF45" s="478"/>
      <c r="YG45" s="478"/>
      <c r="YH45" s="478"/>
      <c r="YI45" s="478"/>
      <c r="YJ45" s="478"/>
      <c r="YK45" s="478"/>
      <c r="YL45" s="478"/>
      <c r="YM45" s="478"/>
      <c r="YN45" s="478"/>
      <c r="YO45" s="478"/>
      <c r="YP45" s="478"/>
      <c r="YQ45" s="478"/>
      <c r="YR45" s="478"/>
      <c r="YS45" s="478"/>
      <c r="YT45" s="478"/>
      <c r="YU45" s="478"/>
      <c r="YV45" s="478"/>
      <c r="YW45" s="478"/>
      <c r="YX45" s="478"/>
      <c r="YY45" s="478"/>
      <c r="YZ45" s="478"/>
      <c r="ZA45" s="478"/>
      <c r="ZB45" s="478"/>
      <c r="ZC45" s="478"/>
      <c r="ZD45" s="478"/>
      <c r="ZE45" s="478"/>
      <c r="ZF45" s="478"/>
      <c r="ZG45" s="478"/>
      <c r="ZH45" s="478"/>
      <c r="ZI45" s="478"/>
      <c r="ZJ45" s="478"/>
      <c r="ZK45" s="478"/>
      <c r="ZL45" s="478"/>
      <c r="ZM45" s="478"/>
      <c r="ZN45" s="478"/>
      <c r="ZO45" s="478"/>
      <c r="ZP45" s="478"/>
      <c r="ZQ45" s="478"/>
      <c r="ZR45" s="478"/>
      <c r="ZS45" s="478"/>
      <c r="ZT45" s="478"/>
      <c r="ZU45" s="478"/>
      <c r="ZV45" s="478"/>
      <c r="ZW45" s="478"/>
      <c r="ZX45" s="478"/>
      <c r="ZY45" s="478"/>
      <c r="ZZ45" s="478"/>
      <c r="AAA45" s="478"/>
      <c r="AAB45" s="478"/>
      <c r="AAC45" s="478"/>
      <c r="AAD45" s="478"/>
      <c r="AAE45" s="478"/>
      <c r="AAF45" s="478"/>
      <c r="AAG45" s="478"/>
      <c r="AAH45" s="478"/>
      <c r="AAI45" s="478"/>
      <c r="AAJ45" s="478"/>
      <c r="AAK45" s="478"/>
      <c r="AAL45" s="478"/>
      <c r="AAM45" s="478"/>
      <c r="AAN45" s="478"/>
      <c r="AAO45" s="478"/>
      <c r="AAP45" s="478"/>
      <c r="AAQ45" s="478"/>
      <c r="AAR45" s="478"/>
      <c r="AAS45" s="478"/>
      <c r="AAT45" s="478"/>
      <c r="AAU45" s="478"/>
      <c r="AAV45" s="478"/>
      <c r="AAW45" s="478"/>
      <c r="AAX45" s="478"/>
      <c r="AAY45" s="478"/>
      <c r="AAZ45" s="478"/>
      <c r="ABA45" s="478"/>
      <c r="ABB45" s="478"/>
      <c r="ABC45" s="478"/>
      <c r="ABD45" s="478"/>
      <c r="ABE45" s="478"/>
      <c r="ABF45" s="478"/>
      <c r="ABG45" s="478"/>
      <c r="ABH45" s="478"/>
      <c r="ABI45" s="478"/>
      <c r="ABJ45" s="478"/>
      <c r="ABK45" s="478"/>
      <c r="ABL45" s="478"/>
      <c r="ABM45" s="478"/>
      <c r="ABN45" s="478"/>
      <c r="ABO45" s="478"/>
      <c r="ABP45" s="478"/>
      <c r="ABQ45" s="478"/>
      <c r="ABR45" s="478"/>
      <c r="ABS45" s="478"/>
      <c r="ABT45" s="478"/>
      <c r="ABU45" s="478"/>
      <c r="ABV45" s="478"/>
      <c r="ABW45" s="478"/>
      <c r="ABX45" s="478"/>
      <c r="ABY45" s="478"/>
      <c r="ABZ45" s="478"/>
      <c r="ACA45" s="478"/>
      <c r="ACB45" s="478"/>
      <c r="ACC45" s="478"/>
      <c r="ACD45" s="478"/>
      <c r="ACE45" s="478"/>
      <c r="ACF45" s="478"/>
      <c r="ACG45" s="478"/>
      <c r="ACH45" s="478"/>
      <c r="ACI45" s="478"/>
      <c r="ACJ45" s="478"/>
      <c r="ACK45" s="478"/>
      <c r="ACL45" s="478"/>
      <c r="ACM45" s="478"/>
      <c r="ACN45" s="478"/>
      <c r="ACO45" s="478"/>
      <c r="ACP45" s="478"/>
      <c r="ACQ45" s="478"/>
      <c r="ACR45" s="478"/>
      <c r="ACS45" s="478"/>
      <c r="ACT45" s="478"/>
      <c r="ACU45" s="478"/>
      <c r="ACV45" s="478"/>
      <c r="ACW45" s="478"/>
      <c r="ACX45" s="478"/>
      <c r="ACY45" s="478"/>
      <c r="ACZ45" s="478"/>
      <c r="ADA45" s="478"/>
      <c r="ADB45" s="478"/>
      <c r="ADC45" s="478"/>
      <c r="ADD45" s="478"/>
      <c r="ADE45" s="478"/>
      <c r="ADF45" s="478"/>
      <c r="ADG45" s="478"/>
      <c r="ADH45" s="478"/>
      <c r="ADI45" s="478"/>
      <c r="ADJ45" s="478"/>
      <c r="ADK45" s="478"/>
      <c r="ADL45" s="478"/>
      <c r="ADM45" s="478"/>
      <c r="ADN45" s="478"/>
      <c r="ADO45" s="478"/>
      <c r="ADP45" s="478"/>
      <c r="ADQ45" s="478"/>
      <c r="ADR45" s="478"/>
      <c r="ADS45" s="478"/>
      <c r="ADT45" s="478"/>
      <c r="ADU45" s="478"/>
      <c r="ADV45" s="478"/>
      <c r="ADW45" s="478"/>
      <c r="ADX45" s="478"/>
      <c r="ADY45" s="478"/>
      <c r="ADZ45" s="478"/>
      <c r="AEA45" s="478"/>
      <c r="AEB45" s="478"/>
      <c r="AEC45" s="478"/>
      <c r="AED45" s="478"/>
      <c r="AEE45" s="478"/>
      <c r="AEF45" s="478"/>
      <c r="AEG45" s="478"/>
      <c r="AEH45" s="478"/>
      <c r="AEI45" s="478"/>
      <c r="AEJ45" s="478"/>
      <c r="AEK45" s="478"/>
      <c r="AEL45" s="478"/>
      <c r="AEM45" s="478"/>
      <c r="AEN45" s="478"/>
      <c r="AEO45" s="478"/>
      <c r="AEP45" s="478"/>
      <c r="AEQ45" s="478"/>
      <c r="AER45" s="478"/>
      <c r="AES45" s="478"/>
      <c r="AET45" s="478"/>
      <c r="AEU45" s="478"/>
      <c r="AEV45" s="478"/>
      <c r="AEW45" s="478"/>
      <c r="AEX45" s="478"/>
      <c r="AEY45" s="478"/>
      <c r="AEZ45" s="478"/>
      <c r="AFA45" s="478"/>
      <c r="AFB45" s="478"/>
      <c r="AFC45" s="478"/>
      <c r="AFD45" s="478"/>
      <c r="AFE45" s="478"/>
      <c r="AFF45" s="478"/>
      <c r="AFG45" s="478"/>
      <c r="AFH45" s="478"/>
      <c r="AFI45" s="478"/>
      <c r="AFJ45" s="478"/>
      <c r="AFK45" s="478"/>
      <c r="AFL45" s="478"/>
      <c r="AFM45" s="478"/>
      <c r="AFN45" s="478"/>
      <c r="AFO45" s="478"/>
      <c r="AFP45" s="478"/>
      <c r="AFQ45" s="478"/>
      <c r="AFR45" s="478"/>
      <c r="AFS45" s="478"/>
      <c r="AFT45" s="478"/>
      <c r="AFU45" s="478"/>
      <c r="AFV45" s="478"/>
      <c r="AFW45" s="478"/>
      <c r="AFX45" s="478"/>
      <c r="AFY45" s="478"/>
      <c r="AFZ45" s="478"/>
      <c r="AGA45" s="478"/>
      <c r="AGB45" s="478"/>
      <c r="AGC45" s="478"/>
      <c r="AGD45" s="478"/>
      <c r="AGE45" s="478"/>
      <c r="AGF45" s="478"/>
      <c r="AGG45" s="478"/>
      <c r="AGH45" s="478"/>
      <c r="AGI45" s="478"/>
      <c r="AGJ45" s="478"/>
      <c r="AGK45" s="478"/>
      <c r="AGL45" s="478"/>
      <c r="AGM45" s="478"/>
      <c r="AGN45" s="478"/>
      <c r="AGO45" s="478"/>
      <c r="AGP45" s="478"/>
      <c r="AGQ45" s="478"/>
      <c r="AGR45" s="478"/>
      <c r="AGS45" s="478"/>
      <c r="AGT45" s="478"/>
      <c r="AGU45" s="478"/>
      <c r="AGV45" s="478"/>
      <c r="AGW45" s="478"/>
      <c r="AGX45" s="478"/>
      <c r="AGY45" s="478"/>
      <c r="AGZ45" s="478"/>
      <c r="AHA45" s="478"/>
      <c r="AHB45" s="478"/>
      <c r="AHC45" s="478"/>
      <c r="AHD45" s="478"/>
      <c r="AHE45" s="478"/>
      <c r="AHF45" s="478"/>
      <c r="AHG45" s="478"/>
      <c r="AHH45" s="478"/>
      <c r="AHI45" s="478"/>
      <c r="AHJ45" s="478"/>
      <c r="AHK45" s="478"/>
      <c r="AHL45" s="478"/>
      <c r="AHM45" s="478"/>
      <c r="AHN45" s="478"/>
      <c r="AHO45" s="478"/>
      <c r="AHP45" s="478"/>
      <c r="AHQ45" s="478"/>
      <c r="AHR45" s="478"/>
      <c r="AHS45" s="478"/>
      <c r="AHT45" s="478"/>
      <c r="AHU45" s="478"/>
      <c r="AHV45" s="478"/>
      <c r="AHW45" s="478"/>
      <c r="AHX45" s="478"/>
      <c r="AHY45" s="478"/>
      <c r="AHZ45" s="478"/>
      <c r="AIA45" s="478"/>
      <c r="AIB45" s="478"/>
      <c r="AIC45" s="478"/>
      <c r="AID45" s="478"/>
      <c r="AIE45" s="478"/>
      <c r="AIF45" s="478"/>
      <c r="AIG45" s="478"/>
      <c r="AIH45" s="478"/>
      <c r="AII45" s="478"/>
      <c r="AIJ45" s="478"/>
      <c r="AIK45" s="478"/>
      <c r="AIL45" s="478"/>
      <c r="AIM45" s="478"/>
      <c r="AIN45" s="478"/>
      <c r="AIO45" s="478"/>
      <c r="AIP45" s="478"/>
      <c r="AIQ45" s="478"/>
      <c r="AIR45" s="478"/>
      <c r="AIS45" s="478"/>
      <c r="AIT45" s="478"/>
      <c r="AIU45" s="478"/>
      <c r="AIV45" s="478"/>
      <c r="AIW45" s="478"/>
      <c r="AIX45" s="478"/>
      <c r="AIY45" s="478"/>
      <c r="AIZ45" s="478"/>
      <c r="AJA45" s="478"/>
      <c r="AJB45" s="478"/>
      <c r="AJC45" s="478"/>
      <c r="AJD45" s="478"/>
      <c r="AJE45" s="478"/>
      <c r="AJF45" s="478"/>
      <c r="AJG45" s="478"/>
      <c r="AJH45" s="478"/>
      <c r="AJI45" s="478"/>
      <c r="AJJ45" s="478"/>
      <c r="AJK45" s="478"/>
      <c r="AJL45" s="478"/>
      <c r="AJM45" s="478"/>
      <c r="AJN45" s="478"/>
      <c r="AJO45" s="478"/>
      <c r="AJP45" s="478"/>
      <c r="AJQ45" s="478"/>
      <c r="AJR45" s="478"/>
      <c r="AJS45" s="478"/>
      <c r="AJT45" s="478"/>
      <c r="AJU45" s="478"/>
      <c r="AJV45" s="478"/>
      <c r="AJW45" s="478"/>
      <c r="AJX45" s="478"/>
      <c r="AJY45" s="478"/>
      <c r="AJZ45" s="478"/>
      <c r="AKA45" s="478"/>
      <c r="AKB45" s="478"/>
      <c r="AKC45" s="478"/>
      <c r="AKD45" s="478"/>
      <c r="AKE45" s="478"/>
      <c r="AKF45" s="478"/>
      <c r="AKG45" s="478"/>
      <c r="AKH45" s="478"/>
      <c r="AKI45" s="478"/>
      <c r="AKJ45" s="478"/>
      <c r="AKK45" s="478"/>
      <c r="AKL45" s="478"/>
      <c r="AKM45" s="478"/>
      <c r="AKN45" s="478"/>
      <c r="AKO45" s="478"/>
      <c r="AKP45" s="478"/>
      <c r="AKQ45" s="478"/>
      <c r="AKR45" s="478"/>
      <c r="AKS45" s="478"/>
      <c r="AKT45" s="478"/>
      <c r="AKU45" s="478"/>
      <c r="AKV45" s="478"/>
      <c r="AKW45" s="478"/>
      <c r="AKX45" s="478"/>
      <c r="AKY45" s="478"/>
      <c r="AKZ45" s="478"/>
      <c r="ALA45" s="478"/>
      <c r="ALB45" s="478"/>
      <c r="ALC45" s="478"/>
      <c r="ALD45" s="478"/>
      <c r="ALE45" s="478"/>
      <c r="ALF45" s="478"/>
      <c r="ALG45" s="478"/>
      <c r="ALH45" s="478"/>
      <c r="ALI45" s="478"/>
      <c r="ALJ45" s="478"/>
      <c r="ALK45" s="478"/>
      <c r="ALL45" s="478"/>
      <c r="ALM45" s="478"/>
      <c r="ALN45" s="478"/>
      <c r="ALO45" s="478"/>
      <c r="ALP45" s="478"/>
      <c r="ALQ45" s="478"/>
      <c r="ALR45" s="478"/>
      <c r="ALS45" s="478"/>
      <c r="ALT45" s="478"/>
      <c r="ALU45" s="478"/>
      <c r="ALV45" s="478"/>
      <c r="ALW45" s="478"/>
      <c r="ALX45" s="478"/>
      <c r="ALY45" s="478"/>
      <c r="ALZ45" s="478"/>
      <c r="AMA45" s="478"/>
      <c r="AMB45" s="478"/>
      <c r="AMC45" s="478"/>
      <c r="AMD45" s="478"/>
      <c r="AME45" s="478"/>
      <c r="AMF45" s="478"/>
      <c r="AMG45" s="478"/>
      <c r="AMH45" s="478"/>
      <c r="AMI45" s="478"/>
      <c r="AMJ45" s="478"/>
      <c r="AMK45" s="478"/>
      <c r="AML45" s="478"/>
      <c r="AMM45" s="478"/>
      <c r="AMN45" s="478"/>
      <c r="AMO45" s="478"/>
      <c r="AMP45" s="478"/>
      <c r="AMQ45" s="478"/>
      <c r="AMR45" s="478"/>
      <c r="AMS45" s="478"/>
      <c r="AMT45" s="478"/>
      <c r="AMU45" s="478"/>
      <c r="AMV45" s="478"/>
      <c r="AMW45" s="478"/>
      <c r="AMX45" s="478"/>
      <c r="AMY45" s="478"/>
      <c r="AMZ45" s="478"/>
      <c r="ANA45" s="478"/>
      <c r="ANB45" s="478"/>
      <c r="ANC45" s="478"/>
      <c r="AND45" s="478"/>
      <c r="ANE45" s="478"/>
      <c r="ANF45" s="478"/>
      <c r="ANG45" s="478"/>
      <c r="ANH45" s="478"/>
      <c r="ANI45" s="478"/>
      <c r="ANJ45" s="478"/>
      <c r="ANK45" s="478"/>
      <c r="ANL45" s="478"/>
      <c r="ANM45" s="478"/>
      <c r="ANN45" s="478"/>
      <c r="ANO45" s="478"/>
      <c r="ANP45" s="478"/>
      <c r="ANQ45" s="478"/>
      <c r="ANR45" s="478"/>
      <c r="ANS45" s="478"/>
      <c r="ANT45" s="478"/>
      <c r="ANU45" s="478"/>
      <c r="ANV45" s="478"/>
      <c r="ANW45" s="478"/>
      <c r="ANX45" s="478"/>
      <c r="ANY45" s="478"/>
      <c r="ANZ45" s="478"/>
      <c r="AOA45" s="478"/>
      <c r="AOB45" s="478"/>
      <c r="AOC45" s="478"/>
      <c r="AOD45" s="478"/>
      <c r="AOE45" s="478"/>
      <c r="AOF45" s="478"/>
      <c r="AOG45" s="478"/>
      <c r="AOH45" s="478"/>
      <c r="AOI45" s="478"/>
      <c r="AOJ45" s="478"/>
      <c r="AOK45" s="478"/>
      <c r="AOL45" s="478"/>
      <c r="AOM45" s="478"/>
      <c r="AON45" s="478"/>
      <c r="AOO45" s="478"/>
      <c r="AOP45" s="478"/>
      <c r="AOQ45" s="478"/>
      <c r="AOR45" s="478"/>
      <c r="AOS45" s="478"/>
      <c r="AOT45" s="478"/>
      <c r="AOU45" s="478"/>
      <c r="AOV45" s="478"/>
      <c r="AOW45" s="478"/>
      <c r="AOX45" s="478"/>
      <c r="AOY45" s="478"/>
      <c r="AOZ45" s="478"/>
      <c r="APA45" s="478"/>
      <c r="APB45" s="478"/>
      <c r="APC45" s="478"/>
      <c r="APD45" s="478"/>
      <c r="APE45" s="478"/>
      <c r="APF45" s="478"/>
      <c r="APG45" s="478"/>
      <c r="APH45" s="478"/>
      <c r="API45" s="478"/>
      <c r="APJ45" s="478"/>
      <c r="APK45" s="478"/>
      <c r="APL45" s="478"/>
      <c r="APM45" s="478"/>
      <c r="APN45" s="478"/>
      <c r="APO45" s="478"/>
      <c r="APP45" s="478"/>
      <c r="APQ45" s="478"/>
      <c r="APR45" s="478"/>
      <c r="APS45" s="478"/>
      <c r="APT45" s="478"/>
      <c r="APU45" s="478"/>
      <c r="APV45" s="478"/>
      <c r="APW45" s="478"/>
      <c r="APX45" s="478"/>
      <c r="APY45" s="478"/>
      <c r="APZ45" s="478"/>
      <c r="AQA45" s="478"/>
      <c r="AQB45" s="478"/>
      <c r="AQC45" s="478"/>
      <c r="AQD45" s="478"/>
      <c r="AQE45" s="478"/>
      <c r="AQF45" s="478"/>
      <c r="AQG45" s="478"/>
      <c r="AQH45" s="478"/>
      <c r="AQI45" s="478"/>
      <c r="AQJ45" s="478"/>
      <c r="AQK45" s="478"/>
      <c r="AQL45" s="478"/>
      <c r="AQM45" s="478"/>
      <c r="AQN45" s="478"/>
      <c r="AQO45" s="478"/>
      <c r="AQP45" s="478"/>
      <c r="AQQ45" s="478"/>
      <c r="AQR45" s="478"/>
      <c r="AQS45" s="478"/>
      <c r="AQT45" s="478"/>
      <c r="AQU45" s="478"/>
      <c r="AQV45" s="478"/>
      <c r="AQW45" s="478"/>
      <c r="AQX45" s="478"/>
      <c r="AQY45" s="478"/>
      <c r="AQZ45" s="478"/>
      <c r="ARA45" s="478"/>
      <c r="ARB45" s="478"/>
      <c r="ARC45" s="478"/>
      <c r="ARD45" s="478"/>
      <c r="ARE45" s="478"/>
      <c r="ARF45" s="478"/>
      <c r="ARG45" s="478"/>
      <c r="ARH45" s="478"/>
      <c r="ARI45" s="478"/>
      <c r="ARJ45" s="478"/>
      <c r="ARK45" s="478"/>
      <c r="ARL45" s="478"/>
      <c r="ARM45" s="478"/>
      <c r="ARN45" s="478"/>
      <c r="ARO45" s="478"/>
      <c r="ARP45" s="478"/>
      <c r="ARQ45" s="478"/>
      <c r="ARR45" s="478"/>
      <c r="ARS45" s="478"/>
      <c r="ART45" s="478"/>
      <c r="ARU45" s="478"/>
      <c r="ARV45" s="478"/>
      <c r="ARW45" s="478"/>
      <c r="ARX45" s="478"/>
      <c r="ARY45" s="478"/>
      <c r="ARZ45" s="478"/>
      <c r="ASA45" s="478"/>
      <c r="ASB45" s="478"/>
      <c r="ASC45" s="478"/>
      <c r="ASD45" s="478"/>
      <c r="ASE45" s="478"/>
      <c r="ASF45" s="478"/>
      <c r="ASG45" s="478"/>
      <c r="ASH45" s="478"/>
      <c r="ASI45" s="478"/>
      <c r="ASJ45" s="478"/>
      <c r="ASK45" s="478"/>
      <c r="ASL45" s="478"/>
      <c r="ASM45" s="478"/>
      <c r="ASN45" s="478"/>
      <c r="ASO45" s="478"/>
      <c r="ASP45" s="478"/>
      <c r="ASQ45" s="478"/>
      <c r="ASR45" s="478"/>
      <c r="ASS45" s="478"/>
      <c r="AST45" s="478"/>
      <c r="ASU45" s="478"/>
      <c r="ASV45" s="478"/>
      <c r="ASW45" s="478"/>
      <c r="ASX45" s="478"/>
      <c r="ASY45" s="478"/>
      <c r="ASZ45" s="478"/>
      <c r="ATA45" s="478"/>
      <c r="ATB45" s="478"/>
      <c r="ATC45" s="478"/>
      <c r="ATD45" s="478"/>
      <c r="ATE45" s="478"/>
      <c r="ATF45" s="478"/>
      <c r="ATG45" s="478"/>
      <c r="ATH45" s="478"/>
      <c r="ATI45" s="478"/>
      <c r="ATJ45" s="478"/>
      <c r="ATK45" s="478"/>
      <c r="ATL45" s="478"/>
      <c r="ATM45" s="478"/>
      <c r="ATN45" s="478"/>
      <c r="ATO45" s="478"/>
      <c r="ATP45" s="478"/>
      <c r="ATQ45" s="478"/>
      <c r="ATR45" s="478"/>
      <c r="ATS45" s="478"/>
      <c r="ATT45" s="478"/>
      <c r="ATU45" s="478"/>
      <c r="ATV45" s="478"/>
      <c r="ATW45" s="478"/>
      <c r="ATX45" s="478"/>
      <c r="ATY45" s="478"/>
      <c r="ATZ45" s="478"/>
      <c r="AUA45" s="478"/>
      <c r="AUB45" s="478"/>
      <c r="AUC45" s="478"/>
      <c r="AUD45" s="478"/>
      <c r="AUE45" s="478"/>
      <c r="AUF45" s="478"/>
      <c r="AUG45" s="478"/>
      <c r="AUH45" s="478"/>
      <c r="AUI45" s="478"/>
      <c r="AUJ45" s="478"/>
      <c r="AUK45" s="478"/>
      <c r="AUL45" s="478"/>
      <c r="AUM45" s="478"/>
      <c r="AUN45" s="478"/>
      <c r="AUO45" s="478"/>
      <c r="AUP45" s="478"/>
      <c r="AUQ45" s="478"/>
      <c r="AUR45" s="478"/>
      <c r="AUS45" s="478"/>
      <c r="AUT45" s="478"/>
      <c r="AUU45" s="478"/>
      <c r="AUV45" s="478"/>
      <c r="AUW45" s="478"/>
      <c r="AUX45" s="478"/>
      <c r="AUY45" s="478"/>
      <c r="AUZ45" s="478"/>
      <c r="AVA45" s="478"/>
      <c r="AVB45" s="478"/>
      <c r="AVC45" s="478"/>
      <c r="AVD45" s="478"/>
      <c r="AVE45" s="478"/>
      <c r="AVF45" s="478"/>
      <c r="AVG45" s="478"/>
      <c r="AVH45" s="478"/>
      <c r="AVI45" s="478"/>
      <c r="AVJ45" s="478"/>
      <c r="AVK45" s="478"/>
      <c r="AVL45" s="478"/>
      <c r="AVM45" s="478"/>
      <c r="AVN45" s="478"/>
      <c r="AVO45" s="478"/>
      <c r="AVP45" s="478"/>
      <c r="AVQ45" s="478"/>
      <c r="AVR45" s="478"/>
      <c r="AVS45" s="478"/>
      <c r="AVT45" s="478"/>
      <c r="AVU45" s="478"/>
      <c r="AVV45" s="478"/>
      <c r="AVW45" s="478"/>
      <c r="AVX45" s="478"/>
      <c r="AVY45" s="478"/>
      <c r="AVZ45" s="478"/>
      <c r="AWA45" s="478"/>
      <c r="AWB45" s="478"/>
      <c r="AWC45" s="478"/>
      <c r="AWD45" s="478"/>
      <c r="AWE45" s="478"/>
      <c r="AWF45" s="478"/>
      <c r="AWG45" s="478"/>
      <c r="AWH45" s="478"/>
      <c r="AWI45" s="478"/>
      <c r="AWJ45" s="478"/>
      <c r="AWK45" s="478"/>
      <c r="AWL45" s="478"/>
      <c r="AWM45" s="478"/>
      <c r="AWN45" s="478"/>
      <c r="AWO45" s="478"/>
      <c r="AWP45" s="478"/>
      <c r="AWQ45" s="478"/>
      <c r="AWR45" s="478"/>
      <c r="AWS45" s="478"/>
      <c r="AWT45" s="478"/>
      <c r="AWU45" s="478"/>
      <c r="AWV45" s="478"/>
      <c r="AWW45" s="478"/>
      <c r="AWX45" s="478"/>
      <c r="AWY45" s="478"/>
      <c r="AWZ45" s="478"/>
      <c r="AXA45" s="478"/>
      <c r="AXB45" s="478"/>
      <c r="AXC45" s="478"/>
      <c r="AXD45" s="478"/>
      <c r="AXE45" s="478"/>
      <c r="AXF45" s="478"/>
      <c r="AXG45" s="478"/>
      <c r="AXH45" s="478"/>
      <c r="AXI45" s="478"/>
      <c r="AXJ45" s="478"/>
      <c r="AXK45" s="478"/>
      <c r="AXL45" s="478"/>
      <c r="AXM45" s="478"/>
      <c r="AXN45" s="478"/>
      <c r="AXO45" s="478"/>
      <c r="AXP45" s="478"/>
      <c r="AXQ45" s="478"/>
      <c r="AXR45" s="478"/>
      <c r="AXS45" s="478"/>
      <c r="AXT45" s="478"/>
      <c r="AXU45" s="478"/>
      <c r="AXV45" s="478"/>
      <c r="AXW45" s="478"/>
      <c r="AXX45" s="478"/>
      <c r="AXY45" s="478"/>
      <c r="AXZ45" s="478"/>
      <c r="AYA45" s="478"/>
      <c r="AYB45" s="478"/>
      <c r="AYC45" s="478"/>
      <c r="AYD45" s="478"/>
      <c r="AYE45" s="478"/>
      <c r="AYF45" s="478"/>
      <c r="AYG45" s="478"/>
      <c r="AYH45" s="478"/>
      <c r="AYI45" s="478"/>
      <c r="AYJ45" s="478"/>
      <c r="AYK45" s="478"/>
      <c r="AYL45" s="478"/>
      <c r="AYM45" s="478"/>
      <c r="AYN45" s="478"/>
      <c r="AYO45" s="478"/>
      <c r="AYP45" s="478"/>
      <c r="AYQ45" s="478"/>
      <c r="AYR45" s="478"/>
      <c r="AYS45" s="478"/>
      <c r="AYT45" s="478"/>
      <c r="AYU45" s="478"/>
      <c r="AYV45" s="478"/>
      <c r="AYW45" s="478"/>
      <c r="AYX45" s="478"/>
      <c r="AYY45" s="478"/>
      <c r="AYZ45" s="478"/>
      <c r="AZA45" s="478"/>
      <c r="AZB45" s="478"/>
      <c r="AZC45" s="478"/>
      <c r="AZD45" s="478"/>
      <c r="AZE45" s="478"/>
      <c r="AZF45" s="478"/>
      <c r="AZG45" s="478"/>
      <c r="AZH45" s="478"/>
      <c r="AZI45" s="478"/>
      <c r="AZJ45" s="478"/>
      <c r="AZK45" s="478"/>
      <c r="AZL45" s="478"/>
      <c r="AZM45" s="478"/>
      <c r="AZN45" s="478"/>
      <c r="AZO45" s="478"/>
      <c r="AZP45" s="478"/>
      <c r="AZQ45" s="478"/>
      <c r="AZR45" s="478"/>
      <c r="AZS45" s="478"/>
      <c r="AZT45" s="478"/>
      <c r="AZU45" s="478"/>
      <c r="AZV45" s="478"/>
      <c r="AZW45" s="478"/>
      <c r="AZX45" s="478"/>
      <c r="AZY45" s="478"/>
      <c r="AZZ45" s="478"/>
      <c r="BAA45" s="478"/>
      <c r="BAB45" s="478"/>
      <c r="BAC45" s="478"/>
      <c r="BAD45" s="478"/>
      <c r="BAE45" s="478"/>
      <c r="BAF45" s="478"/>
      <c r="BAG45" s="478"/>
      <c r="BAH45" s="478"/>
      <c r="BAI45" s="478"/>
      <c r="BAJ45" s="478"/>
      <c r="BAK45" s="478"/>
      <c r="BAL45" s="478"/>
      <c r="BAM45" s="478"/>
      <c r="BAN45" s="478"/>
      <c r="BAO45" s="478"/>
      <c r="BAP45" s="478"/>
      <c r="BAQ45" s="478"/>
      <c r="BAR45" s="478"/>
      <c r="BAS45" s="478"/>
      <c r="BAT45" s="478"/>
      <c r="BAU45" s="478"/>
      <c r="BAV45" s="478"/>
      <c r="BAW45" s="478"/>
      <c r="BAX45" s="478"/>
      <c r="BAY45" s="478"/>
      <c r="BAZ45" s="478"/>
      <c r="BBA45" s="478"/>
      <c r="BBB45" s="478"/>
      <c r="BBC45" s="478"/>
      <c r="BBD45" s="478"/>
      <c r="BBE45" s="478"/>
      <c r="BBF45" s="478"/>
      <c r="BBG45" s="478"/>
      <c r="BBH45" s="478"/>
      <c r="BBI45" s="478"/>
      <c r="BBJ45" s="478"/>
      <c r="BBK45" s="478"/>
      <c r="BBL45" s="478"/>
      <c r="BBM45" s="478"/>
      <c r="BBN45" s="478"/>
      <c r="BBO45" s="478"/>
      <c r="BBP45" s="478"/>
      <c r="BBQ45" s="478"/>
      <c r="BBR45" s="478"/>
      <c r="BBS45" s="478"/>
      <c r="BBT45" s="478"/>
      <c r="BBU45" s="478"/>
      <c r="BBV45" s="478"/>
      <c r="BBW45" s="478"/>
      <c r="BBX45" s="478"/>
      <c r="BBY45" s="478"/>
      <c r="BBZ45" s="478"/>
      <c r="BCA45" s="478"/>
      <c r="BCB45" s="478"/>
      <c r="BCC45" s="478"/>
      <c r="BCD45" s="478"/>
      <c r="BCE45" s="478"/>
      <c r="BCF45" s="478"/>
      <c r="BCG45" s="478"/>
      <c r="BCH45" s="478"/>
      <c r="BCI45" s="478"/>
      <c r="BCJ45" s="478"/>
      <c r="BCK45" s="478"/>
      <c r="BCL45" s="478"/>
      <c r="BCM45" s="478"/>
      <c r="BCN45" s="478"/>
      <c r="BCO45" s="478"/>
      <c r="BCP45" s="478"/>
      <c r="BCQ45" s="478"/>
      <c r="BCR45" s="478"/>
      <c r="BCS45" s="478"/>
      <c r="BCT45" s="478"/>
      <c r="BCU45" s="478"/>
      <c r="BCV45" s="478"/>
      <c r="BCW45" s="478"/>
      <c r="BCX45" s="478"/>
      <c r="BCY45" s="478"/>
      <c r="BCZ45" s="478"/>
      <c r="BDA45" s="478"/>
      <c r="BDB45" s="478"/>
      <c r="BDC45" s="478"/>
      <c r="BDD45" s="478"/>
      <c r="BDE45" s="478"/>
      <c r="BDF45" s="478"/>
      <c r="BDG45" s="478"/>
      <c r="BDH45" s="478"/>
      <c r="BDI45" s="478"/>
      <c r="BDJ45" s="478"/>
      <c r="BDK45" s="478"/>
      <c r="BDL45" s="478"/>
      <c r="BDM45" s="478"/>
      <c r="BDN45" s="478"/>
      <c r="BDO45" s="478"/>
      <c r="BDP45" s="478"/>
      <c r="BDQ45" s="478"/>
      <c r="BDR45" s="478"/>
      <c r="BDS45" s="478"/>
      <c r="BDT45" s="478"/>
      <c r="BDU45" s="478"/>
      <c r="BDV45" s="478"/>
      <c r="BDW45" s="478"/>
      <c r="BDX45" s="478"/>
      <c r="BDY45" s="478"/>
      <c r="BDZ45" s="478"/>
      <c r="BEA45" s="478"/>
      <c r="BEB45" s="478"/>
      <c r="BEC45" s="478"/>
      <c r="BED45" s="478"/>
      <c r="BEE45" s="478"/>
      <c r="BEF45" s="478"/>
      <c r="BEG45" s="478"/>
      <c r="BEH45" s="478"/>
      <c r="BEI45" s="478"/>
      <c r="BEJ45" s="478"/>
      <c r="BEK45" s="478"/>
      <c r="BEL45" s="478"/>
      <c r="BEM45" s="478"/>
      <c r="BEN45" s="478"/>
      <c r="BEO45" s="478"/>
      <c r="BEP45" s="478"/>
      <c r="BEQ45" s="478"/>
      <c r="BER45" s="478"/>
      <c r="BES45" s="478"/>
      <c r="BET45" s="478"/>
      <c r="BEU45" s="478"/>
      <c r="BEV45" s="478"/>
      <c r="BEW45" s="478"/>
      <c r="BEX45" s="478"/>
      <c r="BEY45" s="478"/>
      <c r="BEZ45" s="478"/>
      <c r="BFA45" s="478"/>
      <c r="BFB45" s="478"/>
      <c r="BFC45" s="478"/>
      <c r="BFD45" s="478"/>
      <c r="BFE45" s="478"/>
      <c r="BFF45" s="478"/>
      <c r="BFG45" s="478"/>
      <c r="BFH45" s="478"/>
      <c r="BFI45" s="478"/>
      <c r="BFJ45" s="478"/>
      <c r="BFK45" s="478"/>
      <c r="BFL45" s="478"/>
      <c r="BFM45" s="478"/>
      <c r="BFN45" s="478"/>
      <c r="BFO45" s="478"/>
      <c r="BFP45" s="478"/>
      <c r="BFQ45" s="478"/>
      <c r="BFR45" s="478"/>
      <c r="BFS45" s="478"/>
      <c r="BFT45" s="478"/>
      <c r="BFU45" s="478"/>
      <c r="BFV45" s="478"/>
      <c r="BFW45" s="478"/>
      <c r="BFX45" s="478"/>
      <c r="BFY45" s="478"/>
      <c r="BFZ45" s="478"/>
      <c r="BGA45" s="478"/>
      <c r="BGB45" s="478"/>
      <c r="BGC45" s="478"/>
      <c r="BGD45" s="478"/>
      <c r="BGE45" s="478"/>
      <c r="BGF45" s="478"/>
      <c r="BGG45" s="478"/>
      <c r="BGH45" s="478"/>
      <c r="BGI45" s="478"/>
      <c r="BGJ45" s="478"/>
      <c r="BGK45" s="478"/>
      <c r="BGL45" s="478"/>
      <c r="BGM45" s="478"/>
      <c r="BGN45" s="478"/>
      <c r="BGO45" s="478"/>
      <c r="BGP45" s="478"/>
      <c r="BGQ45" s="478"/>
      <c r="BGR45" s="478"/>
      <c r="BGS45" s="478"/>
      <c r="BGT45" s="478"/>
      <c r="BGU45" s="478"/>
      <c r="BGV45" s="478"/>
      <c r="BGW45" s="478"/>
      <c r="BGX45" s="478"/>
      <c r="BGY45" s="478"/>
      <c r="BGZ45" s="478"/>
      <c r="BHA45" s="478"/>
      <c r="BHB45" s="478"/>
      <c r="BHC45" s="478"/>
      <c r="BHD45" s="478"/>
      <c r="BHE45" s="478"/>
      <c r="BHF45" s="478"/>
      <c r="BHG45" s="478"/>
      <c r="BHH45" s="478"/>
      <c r="BHI45" s="478"/>
      <c r="BHJ45" s="478"/>
      <c r="BHK45" s="478"/>
      <c r="BHL45" s="478"/>
      <c r="BHM45" s="478"/>
      <c r="BHN45" s="478"/>
      <c r="BHO45" s="478"/>
      <c r="BHP45" s="478"/>
      <c r="BHQ45" s="478"/>
      <c r="BHR45" s="478"/>
      <c r="BHS45" s="478"/>
      <c r="BHT45" s="478"/>
      <c r="BHU45" s="478"/>
      <c r="BHV45" s="478"/>
      <c r="BHW45" s="478"/>
      <c r="BHX45" s="478"/>
      <c r="BHY45" s="478"/>
      <c r="BHZ45" s="478"/>
      <c r="BIA45" s="478"/>
      <c r="BIB45" s="478"/>
      <c r="BIC45" s="478"/>
      <c r="BID45" s="478"/>
      <c r="BIE45" s="478"/>
      <c r="BIF45" s="478"/>
      <c r="BIG45" s="478"/>
      <c r="BIH45" s="478"/>
      <c r="BII45" s="478"/>
      <c r="BIJ45" s="478"/>
      <c r="BIK45" s="478"/>
      <c r="BIL45" s="478"/>
      <c r="BIM45" s="478"/>
      <c r="BIN45" s="478"/>
      <c r="BIO45" s="478"/>
      <c r="BIP45" s="478"/>
      <c r="BIQ45" s="478"/>
      <c r="BIR45" s="478"/>
      <c r="BIS45" s="478"/>
      <c r="BIT45" s="478"/>
      <c r="BIU45" s="478"/>
      <c r="BIV45" s="478"/>
      <c r="BIW45" s="478"/>
      <c r="BIX45" s="478"/>
      <c r="BIY45" s="478"/>
      <c r="BIZ45" s="478"/>
      <c r="BJA45" s="478"/>
      <c r="BJB45" s="478"/>
      <c r="BJC45" s="478"/>
      <c r="BJD45" s="478"/>
      <c r="BJE45" s="478"/>
      <c r="BJF45" s="478"/>
      <c r="BJG45" s="478"/>
      <c r="BJH45" s="478"/>
      <c r="BJI45" s="478"/>
      <c r="BJJ45" s="478"/>
      <c r="BJK45" s="478"/>
      <c r="BJL45" s="478"/>
      <c r="BJM45" s="478"/>
      <c r="BJN45" s="478"/>
      <c r="BJO45" s="478"/>
      <c r="BJP45" s="478"/>
      <c r="BJQ45" s="478"/>
      <c r="BJR45" s="478"/>
      <c r="BJS45" s="478"/>
      <c r="BJT45" s="478"/>
      <c r="BJU45" s="478"/>
      <c r="BJV45" s="478"/>
      <c r="BJW45" s="478"/>
      <c r="BJX45" s="478"/>
      <c r="BJY45" s="478"/>
      <c r="BJZ45" s="478"/>
      <c r="BKA45" s="478"/>
      <c r="BKB45" s="478"/>
      <c r="BKC45" s="478"/>
      <c r="BKD45" s="478"/>
      <c r="BKE45" s="478"/>
      <c r="BKF45" s="478"/>
      <c r="BKG45" s="478"/>
      <c r="BKH45" s="478"/>
      <c r="BKI45" s="478"/>
      <c r="BKJ45" s="478"/>
      <c r="BKK45" s="478"/>
      <c r="BKL45" s="478"/>
      <c r="BKM45" s="478"/>
      <c r="BKN45" s="478"/>
      <c r="BKO45" s="478"/>
      <c r="BKP45" s="478"/>
      <c r="BKQ45" s="478"/>
      <c r="BKR45" s="478"/>
      <c r="BKS45" s="478"/>
      <c r="BKT45" s="478"/>
      <c r="BKU45" s="478"/>
      <c r="BKV45" s="478"/>
      <c r="BKW45" s="478"/>
      <c r="BKX45" s="478"/>
      <c r="BKY45" s="478"/>
      <c r="BKZ45" s="478"/>
      <c r="BLA45" s="478"/>
      <c r="BLB45" s="478"/>
      <c r="BLC45" s="478"/>
      <c r="BLD45" s="478"/>
      <c r="BLE45" s="478"/>
      <c r="BLF45" s="478"/>
      <c r="BLG45" s="478"/>
      <c r="BLH45" s="478"/>
      <c r="BLI45" s="478"/>
      <c r="BLJ45" s="478"/>
      <c r="BLK45" s="478"/>
      <c r="BLL45" s="478"/>
      <c r="BLM45" s="478"/>
      <c r="BLN45" s="478"/>
      <c r="BLO45" s="478"/>
      <c r="BLP45" s="478"/>
      <c r="BLQ45" s="478"/>
      <c r="BLR45" s="478"/>
      <c r="BLS45" s="478"/>
      <c r="BLT45" s="478"/>
      <c r="BLU45" s="478"/>
      <c r="BLV45" s="478"/>
      <c r="BLW45" s="478"/>
      <c r="BLX45" s="478"/>
      <c r="BLY45" s="478"/>
      <c r="BLZ45" s="478"/>
      <c r="BMA45" s="478"/>
      <c r="BMB45" s="478"/>
      <c r="BMC45" s="478"/>
      <c r="BMD45" s="478"/>
      <c r="BME45" s="478"/>
      <c r="BMF45" s="478"/>
      <c r="BMG45" s="478"/>
      <c r="BMH45" s="478"/>
      <c r="BMI45" s="478"/>
      <c r="BMJ45" s="478"/>
      <c r="BMK45" s="478"/>
      <c r="BML45" s="478"/>
      <c r="BMM45" s="478"/>
      <c r="BMN45" s="478"/>
      <c r="BMO45" s="478"/>
      <c r="BMP45" s="478"/>
      <c r="BMQ45" s="478"/>
      <c r="BMR45" s="478"/>
      <c r="BMS45" s="478"/>
      <c r="BMT45" s="478"/>
      <c r="BMU45" s="478"/>
      <c r="BMV45" s="478"/>
      <c r="BMW45" s="478"/>
      <c r="BMX45" s="478"/>
      <c r="BMY45" s="478"/>
      <c r="BMZ45" s="478"/>
      <c r="BNA45" s="478"/>
      <c r="BNB45" s="478"/>
      <c r="BNC45" s="478"/>
      <c r="BND45" s="478"/>
      <c r="BNE45" s="478"/>
      <c r="BNF45" s="478"/>
      <c r="BNG45" s="478"/>
      <c r="BNH45" s="478"/>
      <c r="BNI45" s="478"/>
      <c r="BNJ45" s="478"/>
      <c r="BNK45" s="478"/>
      <c r="BNL45" s="478"/>
      <c r="BNM45" s="478"/>
      <c r="BNN45" s="478"/>
      <c r="BNO45" s="478"/>
      <c r="BNP45" s="478"/>
      <c r="BNQ45" s="478"/>
      <c r="BNR45" s="478"/>
      <c r="BNS45" s="478"/>
      <c r="BNT45" s="478"/>
      <c r="BNU45" s="478"/>
      <c r="BNV45" s="478"/>
      <c r="BNW45" s="478"/>
      <c r="BNX45" s="478"/>
      <c r="BNY45" s="478"/>
      <c r="BNZ45" s="478"/>
      <c r="BOA45" s="478"/>
      <c r="BOB45" s="478"/>
      <c r="BOC45" s="478"/>
      <c r="BOD45" s="478"/>
      <c r="BOE45" s="478"/>
      <c r="BOF45" s="478"/>
      <c r="BOG45" s="478"/>
      <c r="BOH45" s="478"/>
      <c r="BOI45" s="478"/>
      <c r="BOJ45" s="478"/>
      <c r="BOK45" s="478"/>
      <c r="BOL45" s="478"/>
      <c r="BOM45" s="478"/>
      <c r="BON45" s="478"/>
      <c r="BOO45" s="478"/>
      <c r="BOP45" s="478"/>
      <c r="BOQ45" s="478"/>
      <c r="BOR45" s="478"/>
      <c r="BOS45" s="478"/>
      <c r="BOT45" s="478"/>
      <c r="BOU45" s="478"/>
      <c r="BOV45" s="478"/>
      <c r="BOW45" s="478"/>
      <c r="BOX45" s="478"/>
      <c r="BOY45" s="478"/>
      <c r="BOZ45" s="478"/>
      <c r="BPA45" s="478"/>
      <c r="BPB45" s="478"/>
      <c r="BPC45" s="478"/>
      <c r="BPD45" s="478"/>
      <c r="BPE45" s="478"/>
      <c r="BPF45" s="478"/>
      <c r="BPG45" s="478"/>
      <c r="BPH45" s="478"/>
      <c r="BPI45" s="478"/>
      <c r="BPJ45" s="478"/>
      <c r="BPK45" s="478"/>
      <c r="BPL45" s="478"/>
      <c r="BPM45" s="478"/>
      <c r="BPN45" s="478"/>
      <c r="BPO45" s="478"/>
      <c r="BPP45" s="478"/>
      <c r="BPQ45" s="478"/>
      <c r="BPR45" s="478"/>
      <c r="BPS45" s="478"/>
      <c r="BPT45" s="478"/>
      <c r="BPU45" s="478"/>
      <c r="BPV45" s="478"/>
      <c r="BPW45" s="478"/>
      <c r="BPX45" s="478"/>
      <c r="BPY45" s="478"/>
      <c r="BPZ45" s="478"/>
      <c r="BQA45" s="478"/>
      <c r="BQB45" s="478"/>
      <c r="BQC45" s="478"/>
      <c r="BQD45" s="478"/>
      <c r="BQE45" s="478"/>
      <c r="BQF45" s="478"/>
      <c r="BQG45" s="478"/>
      <c r="BQH45" s="478"/>
      <c r="BQI45" s="478"/>
      <c r="BQJ45" s="478"/>
      <c r="BQK45" s="478"/>
      <c r="BQL45" s="478"/>
      <c r="BQM45" s="478"/>
      <c r="BQN45" s="478"/>
      <c r="BQO45" s="478"/>
      <c r="BQP45" s="478"/>
      <c r="BQQ45" s="478"/>
      <c r="BQR45" s="478"/>
      <c r="BQS45" s="478"/>
      <c r="BQT45" s="478"/>
      <c r="BQU45" s="478"/>
      <c r="BQV45" s="478"/>
      <c r="BQW45" s="478"/>
      <c r="BQX45" s="478"/>
      <c r="BQY45" s="478"/>
      <c r="BQZ45" s="478"/>
      <c r="BRA45" s="478"/>
      <c r="BRB45" s="478"/>
      <c r="BRC45" s="478"/>
      <c r="BRD45" s="478"/>
      <c r="BRE45" s="478"/>
      <c r="BRF45" s="478"/>
      <c r="BRG45" s="478"/>
      <c r="BRH45" s="478"/>
      <c r="BRI45" s="478"/>
      <c r="BRJ45" s="478"/>
      <c r="BRK45" s="478"/>
      <c r="BRL45" s="478"/>
      <c r="BRM45" s="478"/>
      <c r="BRN45" s="478"/>
      <c r="BRO45" s="478"/>
      <c r="BRP45" s="478"/>
      <c r="BRQ45" s="478"/>
      <c r="BRR45" s="478"/>
      <c r="BRS45" s="478"/>
      <c r="BRT45" s="478"/>
      <c r="BRU45" s="478"/>
      <c r="BRV45" s="478"/>
      <c r="BRW45" s="478"/>
      <c r="BRX45" s="478"/>
      <c r="BRY45" s="478"/>
      <c r="BRZ45" s="478"/>
      <c r="BSA45" s="478"/>
      <c r="BSB45" s="478"/>
      <c r="BSC45" s="478"/>
      <c r="BSD45" s="478"/>
      <c r="BSE45" s="478"/>
      <c r="BSF45" s="478"/>
      <c r="BSG45" s="478"/>
      <c r="BSH45" s="478"/>
      <c r="BSI45" s="478"/>
      <c r="BSJ45" s="478"/>
      <c r="BSK45" s="478"/>
      <c r="BSL45" s="478"/>
      <c r="BSM45" s="478"/>
      <c r="BSN45" s="478"/>
      <c r="BSO45" s="478"/>
      <c r="BSP45" s="478"/>
      <c r="BSQ45" s="478"/>
      <c r="BSR45" s="478"/>
      <c r="BSS45" s="478"/>
      <c r="BST45" s="478"/>
      <c r="BSU45" s="478"/>
      <c r="BSV45" s="478"/>
      <c r="BSW45" s="478"/>
      <c r="BSX45" s="478"/>
      <c r="BSY45" s="478"/>
      <c r="BSZ45" s="478"/>
      <c r="BTA45" s="478"/>
      <c r="BTB45" s="478"/>
      <c r="BTC45" s="478"/>
      <c r="BTD45" s="478"/>
      <c r="BTE45" s="478"/>
      <c r="BTF45" s="478"/>
      <c r="BTG45" s="478"/>
      <c r="BTH45" s="478"/>
      <c r="BTI45" s="478"/>
      <c r="BTJ45" s="478"/>
      <c r="BTK45" s="478"/>
      <c r="BTL45" s="478"/>
      <c r="BTM45" s="478"/>
      <c r="BTN45" s="478"/>
      <c r="BTO45" s="478"/>
      <c r="BTP45" s="478"/>
      <c r="BTQ45" s="478"/>
      <c r="BTR45" s="478"/>
      <c r="BTS45" s="478"/>
      <c r="BTT45" s="478"/>
      <c r="BTU45" s="478"/>
      <c r="BTV45" s="478"/>
      <c r="BTW45" s="478"/>
      <c r="BTX45" s="478"/>
      <c r="BTY45" s="478"/>
      <c r="BTZ45" s="478"/>
      <c r="BUA45" s="478"/>
      <c r="BUB45" s="478"/>
      <c r="BUC45" s="478"/>
      <c r="BUD45" s="478"/>
      <c r="BUE45" s="478"/>
      <c r="BUF45" s="478"/>
      <c r="BUG45" s="478"/>
      <c r="BUH45" s="478"/>
      <c r="BUI45" s="478"/>
      <c r="BUJ45" s="478"/>
      <c r="BUK45" s="478"/>
      <c r="BUL45" s="478"/>
      <c r="BUM45" s="478"/>
      <c r="BUN45" s="478"/>
      <c r="BUO45" s="478"/>
      <c r="BUP45" s="478"/>
      <c r="BUQ45" s="478"/>
      <c r="BUR45" s="478"/>
      <c r="BUS45" s="478"/>
      <c r="BUT45" s="478"/>
      <c r="BUU45" s="478"/>
      <c r="BUV45" s="478"/>
      <c r="BUW45" s="478"/>
      <c r="BUX45" s="478"/>
      <c r="BUY45" s="478"/>
      <c r="BUZ45" s="478"/>
      <c r="BVA45" s="478"/>
      <c r="BVB45" s="478"/>
      <c r="BVC45" s="478"/>
      <c r="BVD45" s="478"/>
      <c r="BVE45" s="478"/>
      <c r="BVF45" s="478"/>
      <c r="BVG45" s="478"/>
      <c r="BVH45" s="478"/>
      <c r="BVI45" s="478"/>
      <c r="BVJ45" s="478"/>
      <c r="BVK45" s="478"/>
      <c r="BVL45" s="478"/>
      <c r="BVM45" s="478"/>
      <c r="BVN45" s="478"/>
      <c r="BVO45" s="478"/>
      <c r="BVP45" s="478"/>
      <c r="BVQ45" s="478"/>
      <c r="BVR45" s="478"/>
      <c r="BVS45" s="478"/>
      <c r="BVT45" s="478"/>
      <c r="BVU45" s="478"/>
      <c r="BVV45" s="478"/>
      <c r="BVW45" s="478"/>
      <c r="BVX45" s="478"/>
      <c r="BVY45" s="478"/>
      <c r="BVZ45" s="478"/>
      <c r="BWA45" s="478"/>
      <c r="BWB45" s="478"/>
      <c r="BWC45" s="478"/>
      <c r="BWD45" s="478"/>
      <c r="BWE45" s="478"/>
      <c r="BWF45" s="478"/>
      <c r="BWG45" s="478"/>
      <c r="BWH45" s="478"/>
      <c r="BWI45" s="478"/>
      <c r="BWJ45" s="478"/>
      <c r="BWK45" s="478"/>
      <c r="BWL45" s="478"/>
      <c r="BWM45" s="478"/>
      <c r="BWN45" s="478"/>
      <c r="BWO45" s="478"/>
      <c r="BWP45" s="478"/>
      <c r="BWQ45" s="478"/>
      <c r="BWR45" s="478"/>
      <c r="BWS45" s="478"/>
      <c r="BWT45" s="478"/>
      <c r="BWU45" s="478"/>
      <c r="BWV45" s="478"/>
      <c r="BWW45" s="478"/>
      <c r="BWX45" s="478"/>
      <c r="BWY45" s="478"/>
      <c r="BWZ45" s="478"/>
      <c r="BXA45" s="478"/>
      <c r="BXB45" s="478"/>
      <c r="BXC45" s="478"/>
      <c r="BXD45" s="478"/>
      <c r="BXE45" s="478"/>
      <c r="BXF45" s="478"/>
      <c r="BXG45" s="478"/>
      <c r="BXH45" s="478"/>
      <c r="BXI45" s="478"/>
      <c r="BXJ45" s="478"/>
      <c r="BXK45" s="478"/>
      <c r="BXL45" s="478"/>
      <c r="BXM45" s="478"/>
      <c r="BXN45" s="478"/>
      <c r="BXO45" s="478"/>
      <c r="BXP45" s="478"/>
      <c r="BXQ45" s="478"/>
      <c r="BXR45" s="478"/>
      <c r="BXS45" s="478"/>
      <c r="BXT45" s="478"/>
      <c r="BXU45" s="478"/>
      <c r="BXV45" s="478"/>
      <c r="BXW45" s="478"/>
      <c r="BXX45" s="478"/>
      <c r="BXY45" s="478"/>
      <c r="BXZ45" s="478"/>
      <c r="BYA45" s="478"/>
      <c r="BYB45" s="478"/>
      <c r="BYC45" s="478"/>
      <c r="BYD45" s="478"/>
      <c r="BYE45" s="478"/>
      <c r="BYF45" s="478"/>
      <c r="BYG45" s="478"/>
      <c r="BYH45" s="478"/>
      <c r="BYI45" s="478"/>
      <c r="BYJ45" s="478"/>
      <c r="BYK45" s="478"/>
      <c r="BYL45" s="478"/>
      <c r="BYM45" s="478"/>
      <c r="BYN45" s="478"/>
      <c r="BYO45" s="478"/>
      <c r="BYP45" s="478"/>
      <c r="BYQ45" s="478"/>
      <c r="BYR45" s="478"/>
      <c r="BYS45" s="478"/>
      <c r="BYT45" s="478"/>
      <c r="BYU45" s="478"/>
      <c r="BYV45" s="478"/>
      <c r="BYW45" s="478"/>
      <c r="BYX45" s="478"/>
      <c r="BYY45" s="478"/>
      <c r="BYZ45" s="478"/>
      <c r="BZA45" s="478"/>
      <c r="BZB45" s="478"/>
      <c r="BZC45" s="478"/>
      <c r="BZD45" s="478"/>
      <c r="BZE45" s="478"/>
      <c r="BZF45" s="478"/>
      <c r="BZG45" s="478"/>
      <c r="BZH45" s="478"/>
      <c r="BZI45" s="478"/>
      <c r="BZJ45" s="478"/>
      <c r="BZK45" s="478"/>
      <c r="BZL45" s="478"/>
      <c r="BZM45" s="478"/>
      <c r="BZN45" s="478"/>
      <c r="BZO45" s="478"/>
      <c r="BZP45" s="478"/>
      <c r="BZQ45" s="478"/>
      <c r="BZR45" s="478"/>
      <c r="BZS45" s="478"/>
      <c r="BZT45" s="478"/>
      <c r="BZU45" s="478"/>
      <c r="BZV45" s="478"/>
      <c r="BZW45" s="478"/>
      <c r="BZX45" s="478"/>
      <c r="BZY45" s="478"/>
      <c r="BZZ45" s="478"/>
      <c r="CAA45" s="478"/>
      <c r="CAB45" s="478"/>
      <c r="CAC45" s="478"/>
      <c r="CAD45" s="478"/>
      <c r="CAE45" s="478"/>
      <c r="CAF45" s="478"/>
      <c r="CAG45" s="478"/>
      <c r="CAH45" s="478"/>
      <c r="CAI45" s="478"/>
      <c r="CAJ45" s="478"/>
      <c r="CAK45" s="478"/>
      <c r="CAL45" s="478"/>
      <c r="CAM45" s="478"/>
      <c r="CAN45" s="478"/>
      <c r="CAO45" s="478"/>
      <c r="CAP45" s="478"/>
      <c r="CAQ45" s="478"/>
      <c r="CAR45" s="478"/>
      <c r="CAS45" s="478"/>
      <c r="CAT45" s="478"/>
      <c r="CAU45" s="478"/>
      <c r="CAV45" s="478"/>
      <c r="CAW45" s="478"/>
      <c r="CAX45" s="478"/>
      <c r="CAY45" s="478"/>
      <c r="CAZ45" s="478"/>
      <c r="CBA45" s="478"/>
      <c r="CBB45" s="478"/>
      <c r="CBC45" s="478"/>
      <c r="CBD45" s="478"/>
      <c r="CBE45" s="478"/>
      <c r="CBF45" s="478"/>
      <c r="CBG45" s="478"/>
      <c r="CBH45" s="478"/>
      <c r="CBI45" s="478"/>
      <c r="CBJ45" s="478"/>
      <c r="CBK45" s="478"/>
      <c r="CBL45" s="478"/>
      <c r="CBM45" s="478"/>
      <c r="CBN45" s="478"/>
      <c r="CBO45" s="478"/>
      <c r="CBP45" s="478"/>
      <c r="CBQ45" s="478"/>
      <c r="CBR45" s="478"/>
      <c r="CBS45" s="478"/>
      <c r="CBT45" s="478"/>
      <c r="CBU45" s="478"/>
      <c r="CBV45" s="478"/>
      <c r="CBW45" s="478"/>
      <c r="CBX45" s="478"/>
      <c r="CBY45" s="478"/>
      <c r="CBZ45" s="478"/>
      <c r="CCA45" s="478"/>
      <c r="CCB45" s="478"/>
      <c r="CCC45" s="478"/>
      <c r="CCD45" s="478"/>
      <c r="CCE45" s="478"/>
      <c r="CCF45" s="478"/>
      <c r="CCG45" s="478"/>
      <c r="CCH45" s="478"/>
      <c r="CCI45" s="478"/>
      <c r="CCJ45" s="478"/>
      <c r="CCK45" s="478"/>
      <c r="CCL45" s="478"/>
      <c r="CCM45" s="478"/>
      <c r="CCN45" s="478"/>
      <c r="CCO45" s="478"/>
      <c r="CCP45" s="478"/>
      <c r="CCQ45" s="478"/>
      <c r="CCR45" s="478"/>
      <c r="CCS45" s="478"/>
      <c r="CCT45" s="478"/>
      <c r="CCU45" s="478"/>
      <c r="CCV45" s="478"/>
      <c r="CCW45" s="478"/>
      <c r="CCX45" s="478"/>
      <c r="CCY45" s="478"/>
      <c r="CCZ45" s="478"/>
      <c r="CDA45" s="478"/>
      <c r="CDB45" s="478"/>
      <c r="CDC45" s="478"/>
      <c r="CDD45" s="478"/>
      <c r="CDE45" s="478"/>
      <c r="CDF45" s="478"/>
      <c r="CDG45" s="478"/>
      <c r="CDH45" s="478"/>
      <c r="CDI45" s="478"/>
      <c r="CDJ45" s="478"/>
      <c r="CDK45" s="478"/>
      <c r="CDL45" s="478"/>
      <c r="CDM45" s="478"/>
      <c r="CDN45" s="478"/>
      <c r="CDO45" s="478"/>
      <c r="CDP45" s="478"/>
      <c r="CDQ45" s="478"/>
      <c r="CDR45" s="478"/>
      <c r="CDS45" s="478"/>
      <c r="CDT45" s="478"/>
      <c r="CDU45" s="478"/>
      <c r="CDV45" s="478"/>
      <c r="CDW45" s="478"/>
      <c r="CDX45" s="478"/>
      <c r="CDY45" s="478"/>
      <c r="CDZ45" s="478"/>
      <c r="CEA45" s="478"/>
      <c r="CEB45" s="478"/>
      <c r="CEC45" s="478"/>
      <c r="CED45" s="478"/>
      <c r="CEE45" s="478"/>
      <c r="CEF45" s="478"/>
      <c r="CEG45" s="478"/>
      <c r="CEH45" s="478"/>
      <c r="CEI45" s="478"/>
      <c r="CEJ45" s="478"/>
      <c r="CEK45" s="478"/>
      <c r="CEL45" s="478"/>
      <c r="CEM45" s="478"/>
      <c r="CEN45" s="478"/>
      <c r="CEO45" s="478"/>
      <c r="CEP45" s="478"/>
      <c r="CEQ45" s="478"/>
      <c r="CER45" s="478"/>
      <c r="CES45" s="478"/>
      <c r="CET45" s="478"/>
      <c r="CEU45" s="478"/>
      <c r="CEV45" s="478"/>
      <c r="CEW45" s="478"/>
      <c r="CEX45" s="478"/>
      <c r="CEY45" s="478"/>
      <c r="CEZ45" s="478"/>
      <c r="CFA45" s="478"/>
      <c r="CFB45" s="478"/>
      <c r="CFC45" s="478"/>
      <c r="CFD45" s="478"/>
      <c r="CFE45" s="478"/>
      <c r="CFF45" s="478"/>
      <c r="CFG45" s="478"/>
      <c r="CFH45" s="478"/>
      <c r="CFI45" s="478"/>
      <c r="CFJ45" s="478"/>
      <c r="CFK45" s="478"/>
      <c r="CFL45" s="478"/>
      <c r="CFM45" s="478"/>
      <c r="CFN45" s="478"/>
      <c r="CFO45" s="478"/>
      <c r="CFP45" s="478"/>
      <c r="CFQ45" s="478"/>
      <c r="CFR45" s="478"/>
      <c r="CFS45" s="478"/>
      <c r="CFT45" s="478"/>
      <c r="CFU45" s="478"/>
      <c r="CFV45" s="478"/>
      <c r="CFW45" s="478"/>
      <c r="CFX45" s="478"/>
      <c r="CFY45" s="478"/>
      <c r="CFZ45" s="478"/>
      <c r="CGA45" s="478"/>
      <c r="CGB45" s="478"/>
      <c r="CGC45" s="478"/>
      <c r="CGD45" s="478"/>
      <c r="CGE45" s="478"/>
      <c r="CGF45" s="478"/>
      <c r="CGG45" s="478"/>
      <c r="CGH45" s="478"/>
      <c r="CGI45" s="478"/>
      <c r="CGJ45" s="478"/>
      <c r="CGK45" s="478"/>
      <c r="CGL45" s="478"/>
      <c r="CGM45" s="478"/>
      <c r="CGN45" s="478"/>
      <c r="CGO45" s="478"/>
      <c r="CGP45" s="478"/>
      <c r="CGQ45" s="478"/>
      <c r="CGR45" s="478"/>
      <c r="CGS45" s="478"/>
      <c r="CGT45" s="478"/>
      <c r="CGU45" s="478"/>
      <c r="CGV45" s="478"/>
      <c r="CGW45" s="478"/>
      <c r="CGX45" s="478"/>
      <c r="CGY45" s="478"/>
      <c r="CGZ45" s="478"/>
      <c r="CHA45" s="478"/>
      <c r="CHB45" s="478"/>
      <c r="CHC45" s="478"/>
      <c r="CHD45" s="478"/>
      <c r="CHE45" s="478"/>
      <c r="CHF45" s="478"/>
      <c r="CHG45" s="478"/>
      <c r="CHH45" s="478"/>
      <c r="CHI45" s="478"/>
      <c r="CHJ45" s="478"/>
      <c r="CHK45" s="478"/>
      <c r="CHL45" s="478"/>
      <c r="CHM45" s="478"/>
      <c r="CHN45" s="478"/>
      <c r="CHO45" s="478"/>
      <c r="CHP45" s="478"/>
      <c r="CHQ45" s="478"/>
      <c r="CHR45" s="478"/>
      <c r="CHS45" s="478"/>
      <c r="CHT45" s="478"/>
      <c r="CHU45" s="478"/>
      <c r="CHV45" s="478"/>
      <c r="CHW45" s="478"/>
      <c r="CHX45" s="478"/>
      <c r="CHY45" s="478"/>
      <c r="CHZ45" s="478"/>
      <c r="CIA45" s="478"/>
      <c r="CIB45" s="478"/>
      <c r="CIC45" s="478"/>
      <c r="CID45" s="478"/>
      <c r="CIE45" s="478"/>
      <c r="CIF45" s="478"/>
      <c r="CIG45" s="478"/>
      <c r="CIH45" s="478"/>
      <c r="CII45" s="478"/>
      <c r="CIJ45" s="478"/>
      <c r="CIK45" s="478"/>
      <c r="CIL45" s="478"/>
      <c r="CIM45" s="478"/>
      <c r="CIN45" s="478"/>
      <c r="CIO45" s="478"/>
      <c r="CIP45" s="478"/>
      <c r="CIQ45" s="478"/>
      <c r="CIR45" s="478"/>
      <c r="CIS45" s="478"/>
      <c r="CIT45" s="478"/>
      <c r="CIU45" s="478"/>
      <c r="CIV45" s="478"/>
      <c r="CIW45" s="478"/>
      <c r="CIX45" s="478"/>
      <c r="CIY45" s="478"/>
      <c r="CIZ45" s="478"/>
      <c r="CJA45" s="478"/>
      <c r="CJB45" s="478"/>
      <c r="CJC45" s="478"/>
      <c r="CJD45" s="478"/>
      <c r="CJE45" s="478"/>
      <c r="CJF45" s="478"/>
      <c r="CJG45" s="478"/>
      <c r="CJH45" s="478"/>
      <c r="CJI45" s="478"/>
      <c r="CJJ45" s="478"/>
      <c r="CJK45" s="478"/>
      <c r="CJL45" s="478"/>
      <c r="CJM45" s="478"/>
      <c r="CJN45" s="478"/>
      <c r="CJO45" s="478"/>
      <c r="CJP45" s="478"/>
      <c r="CJQ45" s="478"/>
      <c r="CJR45" s="478"/>
      <c r="CJS45" s="478"/>
      <c r="CJT45" s="478"/>
      <c r="CJU45" s="478"/>
      <c r="CJV45" s="478"/>
      <c r="CJW45" s="478"/>
      <c r="CJX45" s="478"/>
      <c r="CJY45" s="478"/>
      <c r="CJZ45" s="478"/>
      <c r="CKA45" s="478"/>
      <c r="CKB45" s="478"/>
      <c r="CKC45" s="478"/>
      <c r="CKD45" s="478"/>
      <c r="CKE45" s="478"/>
      <c r="CKF45" s="478"/>
      <c r="CKG45" s="478"/>
      <c r="CKH45" s="478"/>
      <c r="CKI45" s="478"/>
      <c r="CKJ45" s="478"/>
      <c r="CKK45" s="478"/>
      <c r="CKL45" s="478"/>
      <c r="CKM45" s="478"/>
      <c r="CKN45" s="478"/>
      <c r="CKO45" s="478"/>
      <c r="CKP45" s="478"/>
      <c r="CKQ45" s="478"/>
      <c r="CKR45" s="478"/>
      <c r="CKS45" s="478"/>
      <c r="CKT45" s="478"/>
      <c r="CKU45" s="478"/>
      <c r="CKV45" s="478"/>
      <c r="CKW45" s="478"/>
      <c r="CKX45" s="478"/>
      <c r="CKY45" s="478"/>
      <c r="CKZ45" s="478"/>
      <c r="CLA45" s="478"/>
      <c r="CLB45" s="478"/>
      <c r="CLC45" s="478"/>
      <c r="CLD45" s="478"/>
      <c r="CLE45" s="478"/>
      <c r="CLF45" s="478"/>
      <c r="CLG45" s="478"/>
      <c r="CLH45" s="478"/>
      <c r="CLI45" s="478"/>
      <c r="CLJ45" s="478"/>
      <c r="CLK45" s="478"/>
      <c r="CLL45" s="478"/>
      <c r="CLM45" s="478"/>
      <c r="CLN45" s="478"/>
      <c r="CLO45" s="478"/>
      <c r="CLP45" s="478"/>
      <c r="CLQ45" s="478"/>
      <c r="CLR45" s="478"/>
      <c r="CLS45" s="478"/>
      <c r="CLT45" s="478"/>
      <c r="CLU45" s="478"/>
      <c r="CLV45" s="478"/>
      <c r="CLW45" s="478"/>
      <c r="CLX45" s="478"/>
      <c r="CLY45" s="478"/>
      <c r="CLZ45" s="478"/>
      <c r="CMA45" s="478"/>
      <c r="CMB45" s="478"/>
      <c r="CMC45" s="478"/>
      <c r="CMD45" s="478"/>
      <c r="CME45" s="478"/>
      <c r="CMF45" s="478"/>
      <c r="CMG45" s="478"/>
      <c r="CMH45" s="478"/>
      <c r="CMI45" s="478"/>
      <c r="CMJ45" s="478"/>
      <c r="CMK45" s="478"/>
      <c r="CML45" s="478"/>
      <c r="CMM45" s="478"/>
      <c r="CMN45" s="478"/>
      <c r="CMO45" s="478"/>
      <c r="CMP45" s="478"/>
      <c r="CMQ45" s="478"/>
      <c r="CMR45" s="478"/>
      <c r="CMS45" s="478"/>
      <c r="CMT45" s="478"/>
      <c r="CMU45" s="478"/>
      <c r="CMV45" s="478"/>
      <c r="CMW45" s="478"/>
      <c r="CMX45" s="478"/>
      <c r="CMY45" s="478"/>
      <c r="CMZ45" s="478"/>
      <c r="CNA45" s="478"/>
      <c r="CNB45" s="478"/>
      <c r="CNC45" s="478"/>
      <c r="CND45" s="478"/>
      <c r="CNE45" s="478"/>
      <c r="CNF45" s="478"/>
      <c r="CNG45" s="478"/>
      <c r="CNH45" s="478"/>
      <c r="CNI45" s="478"/>
      <c r="CNJ45" s="478"/>
      <c r="CNK45" s="478"/>
      <c r="CNL45" s="478"/>
      <c r="CNM45" s="478"/>
      <c r="CNN45" s="478"/>
      <c r="CNO45" s="478"/>
      <c r="CNP45" s="478"/>
      <c r="CNQ45" s="478"/>
      <c r="CNR45" s="478"/>
      <c r="CNS45" s="478"/>
      <c r="CNT45" s="478"/>
      <c r="CNU45" s="478"/>
      <c r="CNV45" s="478"/>
      <c r="CNW45" s="478"/>
      <c r="CNX45" s="478"/>
      <c r="CNY45" s="478"/>
      <c r="CNZ45" s="478"/>
      <c r="COA45" s="478"/>
      <c r="COB45" s="478"/>
      <c r="COC45" s="478"/>
      <c r="COD45" s="478"/>
      <c r="COE45" s="478"/>
      <c r="COF45" s="478"/>
      <c r="COG45" s="478"/>
      <c r="COH45" s="478"/>
      <c r="COI45" s="478"/>
      <c r="COJ45" s="478"/>
      <c r="COK45" s="478"/>
      <c r="COL45" s="478"/>
      <c r="COM45" s="478"/>
      <c r="CON45" s="478"/>
      <c r="COO45" s="478"/>
      <c r="COP45" s="478"/>
      <c r="COQ45" s="478"/>
      <c r="COR45" s="478"/>
      <c r="COS45" s="478"/>
      <c r="COT45" s="478"/>
      <c r="COU45" s="478"/>
      <c r="COV45" s="478"/>
      <c r="COW45" s="478"/>
      <c r="COX45" s="478"/>
      <c r="COY45" s="478"/>
      <c r="COZ45" s="478"/>
      <c r="CPA45" s="478"/>
      <c r="CPB45" s="478"/>
      <c r="CPC45" s="478"/>
      <c r="CPD45" s="478"/>
      <c r="CPE45" s="478"/>
      <c r="CPF45" s="478"/>
      <c r="CPG45" s="478"/>
      <c r="CPH45" s="478"/>
      <c r="CPI45" s="478"/>
      <c r="CPJ45" s="478"/>
      <c r="CPK45" s="478"/>
      <c r="CPL45" s="478"/>
      <c r="CPM45" s="478"/>
      <c r="CPN45" s="478"/>
      <c r="CPO45" s="478"/>
      <c r="CPP45" s="478"/>
      <c r="CPQ45" s="478"/>
      <c r="CPR45" s="478"/>
      <c r="CPS45" s="478"/>
      <c r="CPT45" s="478"/>
      <c r="CPU45" s="478"/>
      <c r="CPV45" s="478"/>
      <c r="CPW45" s="478"/>
      <c r="CPX45" s="478"/>
      <c r="CPY45" s="478"/>
      <c r="CPZ45" s="478"/>
      <c r="CQA45" s="478"/>
      <c r="CQB45" s="478"/>
      <c r="CQC45" s="478"/>
      <c r="CQD45" s="478"/>
      <c r="CQE45" s="478"/>
      <c r="CQF45" s="478"/>
      <c r="CQG45" s="478"/>
      <c r="CQH45" s="478"/>
      <c r="CQI45" s="478"/>
      <c r="CQJ45" s="478"/>
      <c r="CQK45" s="478"/>
      <c r="CQL45" s="478"/>
      <c r="CQM45" s="478"/>
      <c r="CQN45" s="478"/>
      <c r="CQO45" s="478"/>
      <c r="CQP45" s="478"/>
      <c r="CQQ45" s="478"/>
      <c r="CQR45" s="478"/>
      <c r="CQS45" s="478"/>
      <c r="CQT45" s="478"/>
      <c r="CQU45" s="478"/>
      <c r="CQV45" s="478"/>
      <c r="CQW45" s="478"/>
      <c r="CQX45" s="478"/>
      <c r="CQY45" s="478"/>
      <c r="CQZ45" s="478"/>
      <c r="CRA45" s="478"/>
      <c r="CRB45" s="478"/>
      <c r="CRC45" s="478"/>
      <c r="CRD45" s="478"/>
      <c r="CRE45" s="478"/>
      <c r="CRF45" s="478"/>
      <c r="CRG45" s="478"/>
      <c r="CRH45" s="478"/>
      <c r="CRI45" s="478"/>
      <c r="CRJ45" s="478"/>
      <c r="CRK45" s="478"/>
      <c r="CRL45" s="478"/>
      <c r="CRM45" s="478"/>
      <c r="CRN45" s="478"/>
      <c r="CRO45" s="478"/>
      <c r="CRP45" s="478"/>
      <c r="CRQ45" s="478"/>
      <c r="CRR45" s="478"/>
      <c r="CRS45" s="478"/>
      <c r="CRT45" s="478"/>
      <c r="CRU45" s="478"/>
      <c r="CRV45" s="478"/>
      <c r="CRW45" s="478"/>
      <c r="CRX45" s="478"/>
      <c r="CRY45" s="478"/>
      <c r="CRZ45" s="478"/>
      <c r="CSA45" s="478"/>
      <c r="CSB45" s="478"/>
      <c r="CSC45" s="478"/>
      <c r="CSD45" s="478"/>
      <c r="CSE45" s="478"/>
      <c r="CSF45" s="478"/>
      <c r="CSG45" s="478"/>
      <c r="CSH45" s="478"/>
      <c r="CSI45" s="478"/>
      <c r="CSJ45" s="478"/>
      <c r="CSK45" s="478"/>
      <c r="CSL45" s="478"/>
      <c r="CSM45" s="478"/>
      <c r="CSN45" s="478"/>
      <c r="CSO45" s="478"/>
      <c r="CSP45" s="478"/>
      <c r="CSQ45" s="478"/>
      <c r="CSR45" s="478"/>
      <c r="CSS45" s="478"/>
      <c r="CST45" s="478"/>
      <c r="CSU45" s="478"/>
      <c r="CSV45" s="478"/>
      <c r="CSW45" s="478"/>
      <c r="CSX45" s="478"/>
      <c r="CSY45" s="478"/>
      <c r="CSZ45" s="478"/>
      <c r="CTA45" s="478"/>
      <c r="CTB45" s="478"/>
      <c r="CTC45" s="478"/>
      <c r="CTD45" s="478"/>
      <c r="CTE45" s="478"/>
      <c r="CTF45" s="478"/>
      <c r="CTG45" s="478"/>
      <c r="CTH45" s="478"/>
      <c r="CTI45" s="478"/>
      <c r="CTJ45" s="478"/>
      <c r="CTK45" s="478"/>
      <c r="CTL45" s="478"/>
      <c r="CTM45" s="478"/>
      <c r="CTN45" s="478"/>
      <c r="CTO45" s="478"/>
      <c r="CTP45" s="478"/>
      <c r="CTQ45" s="478"/>
      <c r="CTR45" s="478"/>
      <c r="CTS45" s="478"/>
      <c r="CTT45" s="478"/>
      <c r="CTU45" s="478"/>
      <c r="CTV45" s="478"/>
      <c r="CTW45" s="478"/>
      <c r="CTX45" s="478"/>
      <c r="CTY45" s="478"/>
      <c r="CTZ45" s="478"/>
      <c r="CUA45" s="478"/>
      <c r="CUB45" s="478"/>
      <c r="CUC45" s="478"/>
      <c r="CUD45" s="478"/>
      <c r="CUE45" s="478"/>
      <c r="CUF45" s="478"/>
      <c r="CUG45" s="478"/>
      <c r="CUH45" s="478"/>
      <c r="CUI45" s="478"/>
      <c r="CUJ45" s="478"/>
      <c r="CUK45" s="478"/>
      <c r="CUL45" s="478"/>
      <c r="CUM45" s="478"/>
      <c r="CUN45" s="478"/>
      <c r="CUO45" s="478"/>
      <c r="CUP45" s="478"/>
      <c r="CUQ45" s="478"/>
      <c r="CUR45" s="478"/>
      <c r="CUS45" s="478"/>
      <c r="CUT45" s="478"/>
      <c r="CUU45" s="478"/>
      <c r="CUV45" s="478"/>
      <c r="CUW45" s="478"/>
      <c r="CUX45" s="478"/>
      <c r="CUY45" s="478"/>
      <c r="CUZ45" s="478"/>
      <c r="CVA45" s="478"/>
      <c r="CVB45" s="478"/>
      <c r="CVC45" s="478"/>
      <c r="CVD45" s="478"/>
      <c r="CVE45" s="478"/>
      <c r="CVF45" s="478"/>
      <c r="CVG45" s="478"/>
      <c r="CVH45" s="478"/>
      <c r="CVI45" s="478"/>
      <c r="CVJ45" s="478"/>
      <c r="CVK45" s="478"/>
      <c r="CVL45" s="478"/>
      <c r="CVM45" s="478"/>
      <c r="CVN45" s="478"/>
      <c r="CVO45" s="478"/>
      <c r="CVP45" s="478"/>
      <c r="CVQ45" s="478"/>
      <c r="CVR45" s="478"/>
      <c r="CVS45" s="478"/>
      <c r="CVT45" s="478"/>
      <c r="CVU45" s="478"/>
      <c r="CVV45" s="478"/>
      <c r="CVW45" s="478"/>
      <c r="CVX45" s="478"/>
      <c r="CVY45" s="478"/>
      <c r="CVZ45" s="478"/>
      <c r="CWA45" s="478"/>
      <c r="CWB45" s="478"/>
      <c r="CWC45" s="478"/>
      <c r="CWD45" s="478"/>
      <c r="CWE45" s="478"/>
      <c r="CWF45" s="478"/>
      <c r="CWG45" s="478"/>
      <c r="CWH45" s="478"/>
      <c r="CWI45" s="478"/>
      <c r="CWJ45" s="478"/>
      <c r="CWK45" s="478"/>
      <c r="CWL45" s="478"/>
      <c r="CWM45" s="478"/>
      <c r="CWN45" s="478"/>
      <c r="CWO45" s="478"/>
      <c r="CWP45" s="478"/>
      <c r="CWQ45" s="478"/>
      <c r="CWR45" s="478"/>
      <c r="CWS45" s="478"/>
      <c r="CWT45" s="478"/>
      <c r="CWU45" s="478"/>
      <c r="CWV45" s="478"/>
      <c r="CWW45" s="478"/>
      <c r="CWX45" s="478"/>
      <c r="CWY45" s="478"/>
      <c r="CWZ45" s="478"/>
      <c r="CXA45" s="478"/>
      <c r="CXB45" s="478"/>
      <c r="CXC45" s="478"/>
      <c r="CXD45" s="478"/>
      <c r="CXE45" s="478"/>
      <c r="CXF45" s="478"/>
      <c r="CXG45" s="478"/>
      <c r="CXH45" s="478"/>
      <c r="CXI45" s="478"/>
      <c r="CXJ45" s="478"/>
      <c r="CXK45" s="478"/>
      <c r="CXL45" s="478"/>
      <c r="CXM45" s="478"/>
      <c r="CXN45" s="478"/>
      <c r="CXO45" s="478"/>
      <c r="CXP45" s="478"/>
      <c r="CXQ45" s="478"/>
      <c r="CXR45" s="478"/>
      <c r="CXS45" s="478"/>
      <c r="CXT45" s="478"/>
      <c r="CXU45" s="478"/>
      <c r="CXV45" s="478"/>
      <c r="CXW45" s="478"/>
      <c r="CXX45" s="478"/>
      <c r="CXY45" s="478"/>
      <c r="CXZ45" s="478"/>
      <c r="CYA45" s="478"/>
      <c r="CYB45" s="478"/>
      <c r="CYC45" s="478"/>
      <c r="CYD45" s="478"/>
      <c r="CYE45" s="478"/>
      <c r="CYF45" s="478"/>
      <c r="CYG45" s="478"/>
      <c r="CYH45" s="478"/>
      <c r="CYI45" s="478"/>
      <c r="CYJ45" s="478"/>
      <c r="CYK45" s="478"/>
      <c r="CYL45" s="478"/>
      <c r="CYM45" s="478"/>
      <c r="CYN45" s="478"/>
      <c r="CYO45" s="478"/>
      <c r="CYP45" s="478"/>
      <c r="CYQ45" s="478"/>
      <c r="CYR45" s="478"/>
      <c r="CYS45" s="478"/>
      <c r="CYT45" s="478"/>
      <c r="CYU45" s="478"/>
      <c r="CYV45" s="478"/>
      <c r="CYW45" s="478"/>
      <c r="CYX45" s="478"/>
      <c r="CYY45" s="478"/>
      <c r="CYZ45" s="478"/>
      <c r="CZA45" s="478"/>
      <c r="CZB45" s="478"/>
      <c r="CZC45" s="478"/>
      <c r="CZD45" s="478"/>
      <c r="CZE45" s="478"/>
      <c r="CZF45" s="478"/>
      <c r="CZG45" s="478"/>
      <c r="CZH45" s="478"/>
      <c r="CZI45" s="478"/>
      <c r="CZJ45" s="478"/>
      <c r="CZK45" s="478"/>
      <c r="CZL45" s="478"/>
      <c r="CZM45" s="478"/>
      <c r="CZN45" s="478"/>
      <c r="CZO45" s="478"/>
      <c r="CZP45" s="478"/>
      <c r="CZQ45" s="478"/>
      <c r="CZR45" s="478"/>
      <c r="CZS45" s="478"/>
      <c r="CZT45" s="478"/>
      <c r="CZU45" s="478"/>
      <c r="CZV45" s="478"/>
      <c r="CZW45" s="478"/>
      <c r="CZX45" s="478"/>
      <c r="CZY45" s="478"/>
      <c r="CZZ45" s="478"/>
      <c r="DAA45" s="478"/>
      <c r="DAB45" s="478"/>
      <c r="DAC45" s="478"/>
      <c r="DAD45" s="478"/>
      <c r="DAE45" s="478"/>
      <c r="DAF45" s="478"/>
      <c r="DAG45" s="478"/>
      <c r="DAH45" s="478"/>
      <c r="DAI45" s="478"/>
      <c r="DAJ45" s="478"/>
      <c r="DAK45" s="478"/>
      <c r="DAL45" s="478"/>
      <c r="DAM45" s="478"/>
      <c r="DAN45" s="478"/>
      <c r="DAO45" s="478"/>
      <c r="DAP45" s="478"/>
      <c r="DAQ45" s="478"/>
      <c r="DAR45" s="478"/>
      <c r="DAS45" s="478"/>
      <c r="DAT45" s="478"/>
      <c r="DAU45" s="478"/>
      <c r="DAV45" s="478"/>
      <c r="DAW45" s="478"/>
      <c r="DAX45" s="478"/>
      <c r="DAY45" s="478"/>
      <c r="DAZ45" s="478"/>
      <c r="DBA45" s="478"/>
      <c r="DBB45" s="478"/>
      <c r="DBC45" s="478"/>
      <c r="DBD45" s="478"/>
      <c r="DBE45" s="478"/>
      <c r="DBF45" s="478"/>
      <c r="DBG45" s="478"/>
      <c r="DBH45" s="478"/>
      <c r="DBI45" s="478"/>
      <c r="DBJ45" s="478"/>
      <c r="DBK45" s="478"/>
      <c r="DBL45" s="478"/>
      <c r="DBM45" s="478"/>
      <c r="DBN45" s="478"/>
      <c r="DBO45" s="478"/>
      <c r="DBP45" s="478"/>
      <c r="DBQ45" s="478"/>
      <c r="DBR45" s="478"/>
      <c r="DBS45" s="478"/>
      <c r="DBT45" s="478"/>
      <c r="DBU45" s="478"/>
      <c r="DBV45" s="478"/>
      <c r="DBW45" s="478"/>
      <c r="DBX45" s="478"/>
      <c r="DBY45" s="478"/>
      <c r="DBZ45" s="478"/>
      <c r="DCA45" s="478"/>
      <c r="DCB45" s="478"/>
      <c r="DCC45" s="478"/>
      <c r="DCD45" s="478"/>
      <c r="DCE45" s="478"/>
      <c r="DCF45" s="478"/>
      <c r="DCG45" s="478"/>
      <c r="DCH45" s="478"/>
      <c r="DCI45" s="478"/>
      <c r="DCJ45" s="478"/>
      <c r="DCK45" s="478"/>
      <c r="DCL45" s="478"/>
      <c r="DCM45" s="478"/>
      <c r="DCN45" s="478"/>
      <c r="DCO45" s="478"/>
      <c r="DCP45" s="478"/>
      <c r="DCQ45" s="478"/>
      <c r="DCR45" s="478"/>
      <c r="DCS45" s="478"/>
      <c r="DCT45" s="478"/>
      <c r="DCU45" s="478"/>
      <c r="DCV45" s="478"/>
      <c r="DCW45" s="478"/>
      <c r="DCX45" s="478"/>
      <c r="DCY45" s="478"/>
      <c r="DCZ45" s="478"/>
      <c r="DDA45" s="478"/>
      <c r="DDB45" s="478"/>
      <c r="DDC45" s="478"/>
      <c r="DDD45" s="478"/>
      <c r="DDE45" s="478"/>
      <c r="DDF45" s="478"/>
      <c r="DDG45" s="478"/>
      <c r="DDH45" s="478"/>
      <c r="DDI45" s="478"/>
      <c r="DDJ45" s="478"/>
      <c r="DDK45" s="478"/>
      <c r="DDL45" s="478"/>
      <c r="DDM45" s="478"/>
      <c r="DDN45" s="478"/>
      <c r="DDO45" s="478"/>
      <c r="DDP45" s="478"/>
      <c r="DDQ45" s="478"/>
      <c r="DDR45" s="478"/>
      <c r="DDS45" s="478"/>
      <c r="DDT45" s="478"/>
      <c r="DDU45" s="478"/>
      <c r="DDV45" s="478"/>
      <c r="DDW45" s="478"/>
      <c r="DDX45" s="478"/>
      <c r="DDY45" s="478"/>
      <c r="DDZ45" s="478"/>
      <c r="DEA45" s="478"/>
      <c r="DEB45" s="478"/>
      <c r="DEC45" s="478"/>
      <c r="DED45" s="478"/>
      <c r="DEE45" s="478"/>
      <c r="DEF45" s="478"/>
      <c r="DEG45" s="478"/>
      <c r="DEH45" s="478"/>
      <c r="DEI45" s="478"/>
      <c r="DEJ45" s="478"/>
      <c r="DEK45" s="478"/>
      <c r="DEL45" s="478"/>
      <c r="DEM45" s="478"/>
      <c r="DEN45" s="478"/>
      <c r="DEO45" s="478"/>
      <c r="DEP45" s="478"/>
      <c r="DEQ45" s="478"/>
      <c r="DER45" s="478"/>
      <c r="DES45" s="478"/>
      <c r="DET45" s="478"/>
      <c r="DEU45" s="478"/>
      <c r="DEV45" s="478"/>
      <c r="DEW45" s="478"/>
      <c r="DEX45" s="478"/>
      <c r="DEY45" s="478"/>
      <c r="DEZ45" s="478"/>
      <c r="DFA45" s="478"/>
      <c r="DFB45" s="478"/>
      <c r="DFC45" s="478"/>
      <c r="DFD45" s="478"/>
      <c r="DFE45" s="478"/>
      <c r="DFF45" s="478"/>
      <c r="DFG45" s="478"/>
      <c r="DFH45" s="478"/>
      <c r="DFI45" s="478"/>
      <c r="DFJ45" s="478"/>
      <c r="DFK45" s="478"/>
      <c r="DFL45" s="478"/>
      <c r="DFM45" s="478"/>
      <c r="DFN45" s="478"/>
      <c r="DFO45" s="478"/>
      <c r="DFP45" s="478"/>
      <c r="DFQ45" s="478"/>
      <c r="DFR45" s="478"/>
      <c r="DFS45" s="478"/>
      <c r="DFT45" s="478"/>
      <c r="DFU45" s="478"/>
      <c r="DFV45" s="478"/>
      <c r="DFW45" s="478"/>
      <c r="DFX45" s="478"/>
      <c r="DFY45" s="478"/>
      <c r="DFZ45" s="478"/>
      <c r="DGA45" s="478"/>
      <c r="DGB45" s="478"/>
      <c r="DGC45" s="478"/>
      <c r="DGD45" s="478"/>
      <c r="DGE45" s="478"/>
      <c r="DGF45" s="478"/>
      <c r="DGG45" s="478"/>
      <c r="DGH45" s="478"/>
      <c r="DGI45" s="478"/>
      <c r="DGJ45" s="478"/>
      <c r="DGK45" s="478"/>
      <c r="DGL45" s="478"/>
      <c r="DGM45" s="478"/>
      <c r="DGN45" s="478"/>
      <c r="DGO45" s="478"/>
      <c r="DGP45" s="478"/>
      <c r="DGQ45" s="478"/>
      <c r="DGR45" s="478"/>
      <c r="DGS45" s="478"/>
      <c r="DGT45" s="478"/>
      <c r="DGU45" s="478"/>
      <c r="DGV45" s="478"/>
      <c r="DGW45" s="478"/>
      <c r="DGX45" s="478"/>
      <c r="DGY45" s="478"/>
      <c r="DGZ45" s="478"/>
      <c r="DHA45" s="478"/>
      <c r="DHB45" s="478"/>
      <c r="DHC45" s="478"/>
      <c r="DHD45" s="478"/>
      <c r="DHE45" s="478"/>
      <c r="DHF45" s="478"/>
      <c r="DHG45" s="478"/>
      <c r="DHH45" s="478"/>
      <c r="DHI45" s="478"/>
      <c r="DHJ45" s="478"/>
      <c r="DHK45" s="478"/>
      <c r="DHL45" s="478"/>
      <c r="DHM45" s="478"/>
      <c r="DHN45" s="478"/>
      <c r="DHO45" s="478"/>
      <c r="DHP45" s="478"/>
      <c r="DHQ45" s="478"/>
      <c r="DHR45" s="478"/>
      <c r="DHS45" s="478"/>
      <c r="DHT45" s="478"/>
      <c r="DHU45" s="478"/>
      <c r="DHV45" s="478"/>
      <c r="DHW45" s="478"/>
      <c r="DHX45" s="478"/>
      <c r="DHY45" s="478"/>
      <c r="DHZ45" s="478"/>
      <c r="DIA45" s="478"/>
      <c r="DIB45" s="478"/>
      <c r="DIC45" s="478"/>
      <c r="DID45" s="478"/>
      <c r="DIE45" s="478"/>
      <c r="DIF45" s="478"/>
      <c r="DIG45" s="478"/>
      <c r="DIH45" s="478"/>
      <c r="DII45" s="478"/>
      <c r="DIJ45" s="478"/>
      <c r="DIK45" s="478"/>
      <c r="DIL45" s="478"/>
      <c r="DIM45" s="478"/>
      <c r="DIN45" s="478"/>
      <c r="DIO45" s="478"/>
      <c r="DIP45" s="478"/>
      <c r="DIQ45" s="478"/>
      <c r="DIR45" s="478"/>
      <c r="DIS45" s="478"/>
      <c r="DIT45" s="478"/>
      <c r="DIU45" s="478"/>
      <c r="DIV45" s="478"/>
      <c r="DIW45" s="478"/>
      <c r="DIX45" s="478"/>
      <c r="DIY45" s="478"/>
      <c r="DIZ45" s="478"/>
      <c r="DJA45" s="478"/>
      <c r="DJB45" s="478"/>
      <c r="DJC45" s="478"/>
      <c r="DJD45" s="478"/>
      <c r="DJE45" s="478"/>
      <c r="DJF45" s="478"/>
      <c r="DJG45" s="478"/>
      <c r="DJH45" s="478"/>
      <c r="DJI45" s="478"/>
      <c r="DJJ45" s="478"/>
      <c r="DJK45" s="478"/>
      <c r="DJL45" s="478"/>
      <c r="DJM45" s="478"/>
      <c r="DJN45" s="478"/>
      <c r="DJO45" s="478"/>
      <c r="DJP45" s="478"/>
      <c r="DJQ45" s="478"/>
      <c r="DJR45" s="478"/>
      <c r="DJS45" s="478"/>
      <c r="DJT45" s="478"/>
      <c r="DJU45" s="478"/>
      <c r="DJV45" s="478"/>
      <c r="DJW45" s="478"/>
      <c r="DJX45" s="478"/>
      <c r="DJY45" s="478"/>
      <c r="DJZ45" s="478"/>
      <c r="DKA45" s="478"/>
      <c r="DKB45" s="478"/>
      <c r="DKC45" s="478"/>
      <c r="DKD45" s="478"/>
      <c r="DKE45" s="478"/>
      <c r="DKF45" s="478"/>
      <c r="DKG45" s="478"/>
      <c r="DKH45" s="478"/>
      <c r="DKI45" s="478"/>
      <c r="DKJ45" s="478"/>
      <c r="DKK45" s="478"/>
      <c r="DKL45" s="478"/>
      <c r="DKM45" s="478"/>
      <c r="DKN45" s="478"/>
      <c r="DKO45" s="478"/>
      <c r="DKP45" s="478"/>
      <c r="DKQ45" s="478"/>
      <c r="DKR45" s="478"/>
      <c r="DKS45" s="478"/>
      <c r="DKT45" s="478"/>
      <c r="DKU45" s="478"/>
      <c r="DKV45" s="478"/>
      <c r="DKW45" s="478"/>
      <c r="DKX45" s="478"/>
      <c r="DKY45" s="478"/>
      <c r="DKZ45" s="478"/>
      <c r="DLA45" s="478"/>
      <c r="DLB45" s="478"/>
      <c r="DLC45" s="478"/>
      <c r="DLD45" s="478"/>
      <c r="DLE45" s="478"/>
      <c r="DLF45" s="478"/>
      <c r="DLG45" s="478"/>
      <c r="DLH45" s="478"/>
      <c r="DLI45" s="478"/>
      <c r="DLJ45" s="478"/>
      <c r="DLK45" s="478"/>
      <c r="DLL45" s="478"/>
      <c r="DLM45" s="478"/>
      <c r="DLN45" s="478"/>
      <c r="DLO45" s="478"/>
      <c r="DLP45" s="478"/>
      <c r="DLQ45" s="478"/>
      <c r="DLR45" s="478"/>
      <c r="DLS45" s="478"/>
      <c r="DLT45" s="478"/>
      <c r="DLU45" s="478"/>
      <c r="DLV45" s="478"/>
      <c r="DLW45" s="478"/>
      <c r="DLX45" s="478"/>
      <c r="DLY45" s="478"/>
      <c r="DLZ45" s="478"/>
      <c r="DMA45" s="478"/>
      <c r="DMB45" s="478"/>
      <c r="DMC45" s="478"/>
      <c r="DMD45" s="478"/>
      <c r="DME45" s="478"/>
      <c r="DMF45" s="478"/>
      <c r="DMG45" s="478"/>
      <c r="DMH45" s="478"/>
      <c r="DMI45" s="478"/>
      <c r="DMJ45" s="478"/>
      <c r="DMK45" s="478"/>
      <c r="DML45" s="478"/>
      <c r="DMM45" s="478"/>
      <c r="DMN45" s="478"/>
      <c r="DMO45" s="478"/>
      <c r="DMP45" s="478"/>
      <c r="DMQ45" s="478"/>
      <c r="DMR45" s="478"/>
      <c r="DMS45" s="478"/>
      <c r="DMT45" s="478"/>
      <c r="DMU45" s="478"/>
      <c r="DMV45" s="478"/>
      <c r="DMW45" s="478"/>
      <c r="DMX45" s="478"/>
      <c r="DMY45" s="478"/>
      <c r="DMZ45" s="478"/>
      <c r="DNA45" s="478"/>
      <c r="DNB45" s="478"/>
      <c r="DNC45" s="478"/>
      <c r="DND45" s="478"/>
      <c r="DNE45" s="478"/>
      <c r="DNF45" s="478"/>
      <c r="DNG45" s="478"/>
      <c r="DNH45" s="478"/>
      <c r="DNI45" s="478"/>
      <c r="DNJ45" s="478"/>
      <c r="DNK45" s="478"/>
      <c r="DNL45" s="478"/>
      <c r="DNM45" s="478"/>
      <c r="DNN45" s="478"/>
      <c r="DNO45" s="478"/>
      <c r="DNP45" s="478"/>
      <c r="DNQ45" s="478"/>
      <c r="DNR45" s="478"/>
      <c r="DNS45" s="478"/>
      <c r="DNT45" s="478"/>
      <c r="DNU45" s="478"/>
      <c r="DNV45" s="478"/>
      <c r="DNW45" s="478"/>
      <c r="DNX45" s="478"/>
      <c r="DNY45" s="478"/>
      <c r="DNZ45" s="478"/>
      <c r="DOA45" s="478"/>
      <c r="DOB45" s="478"/>
      <c r="DOC45" s="478"/>
      <c r="DOD45" s="478"/>
      <c r="DOE45" s="478"/>
      <c r="DOF45" s="478"/>
      <c r="DOG45" s="478"/>
      <c r="DOH45" s="478"/>
      <c r="DOI45" s="478"/>
      <c r="DOJ45" s="478"/>
      <c r="DOK45" s="478"/>
      <c r="DOL45" s="478"/>
      <c r="DOM45" s="478"/>
      <c r="DON45" s="478"/>
      <c r="DOO45" s="478"/>
      <c r="DOP45" s="478"/>
      <c r="DOQ45" s="478"/>
      <c r="DOR45" s="478"/>
      <c r="DOS45" s="478"/>
      <c r="DOT45" s="478"/>
      <c r="DOU45" s="478"/>
      <c r="DOV45" s="478"/>
      <c r="DOW45" s="478"/>
      <c r="DOX45" s="478"/>
      <c r="DOY45" s="478"/>
      <c r="DOZ45" s="478"/>
      <c r="DPA45" s="478"/>
      <c r="DPB45" s="478"/>
      <c r="DPC45" s="478"/>
      <c r="DPD45" s="478"/>
      <c r="DPE45" s="478"/>
      <c r="DPF45" s="478"/>
      <c r="DPG45" s="478"/>
      <c r="DPH45" s="478"/>
      <c r="DPI45" s="478"/>
      <c r="DPJ45" s="478"/>
      <c r="DPK45" s="478"/>
      <c r="DPL45" s="478"/>
      <c r="DPM45" s="478"/>
      <c r="DPN45" s="478"/>
      <c r="DPO45" s="478"/>
      <c r="DPP45" s="478"/>
      <c r="DPQ45" s="478"/>
      <c r="DPR45" s="478"/>
      <c r="DPS45" s="478"/>
      <c r="DPT45" s="478"/>
      <c r="DPU45" s="478"/>
      <c r="DPV45" s="478"/>
      <c r="DPW45" s="478"/>
      <c r="DPX45" s="478"/>
      <c r="DPY45" s="478"/>
      <c r="DPZ45" s="478"/>
      <c r="DQA45" s="478"/>
      <c r="DQB45" s="478"/>
      <c r="DQC45" s="478"/>
      <c r="DQD45" s="478"/>
      <c r="DQE45" s="478"/>
      <c r="DQF45" s="478"/>
      <c r="DQG45" s="478"/>
      <c r="DQH45" s="478"/>
      <c r="DQI45" s="478"/>
      <c r="DQJ45" s="478"/>
      <c r="DQK45" s="478"/>
      <c r="DQL45" s="478"/>
      <c r="DQM45" s="478"/>
      <c r="DQN45" s="478"/>
      <c r="DQO45" s="478"/>
      <c r="DQP45" s="478"/>
      <c r="DQQ45" s="478"/>
      <c r="DQR45" s="478"/>
      <c r="DQS45" s="478"/>
      <c r="DQT45" s="478"/>
      <c r="DQU45" s="478"/>
      <c r="DQV45" s="478"/>
      <c r="DQW45" s="478"/>
      <c r="DQX45" s="478"/>
      <c r="DQY45" s="478"/>
      <c r="DQZ45" s="478"/>
      <c r="DRA45" s="478"/>
      <c r="DRB45" s="478"/>
      <c r="DRC45" s="478"/>
      <c r="DRD45" s="478"/>
      <c r="DRE45" s="478"/>
      <c r="DRF45" s="478"/>
      <c r="DRG45" s="478"/>
      <c r="DRH45" s="478"/>
      <c r="DRI45" s="478"/>
      <c r="DRJ45" s="478"/>
      <c r="DRK45" s="478"/>
      <c r="DRL45" s="478"/>
      <c r="DRM45" s="478"/>
      <c r="DRN45" s="478"/>
      <c r="DRO45" s="478"/>
      <c r="DRP45" s="478"/>
      <c r="DRQ45" s="478"/>
      <c r="DRR45" s="478"/>
      <c r="DRS45" s="478"/>
      <c r="DRT45" s="478"/>
      <c r="DRU45" s="478"/>
      <c r="DRV45" s="478"/>
      <c r="DRW45" s="478"/>
      <c r="DRX45" s="478"/>
      <c r="DRY45" s="478"/>
      <c r="DRZ45" s="478"/>
      <c r="DSA45" s="478"/>
      <c r="DSB45" s="478"/>
      <c r="DSC45" s="478"/>
      <c r="DSD45" s="478"/>
      <c r="DSE45" s="478"/>
      <c r="DSF45" s="478"/>
      <c r="DSG45" s="478"/>
      <c r="DSH45" s="478"/>
      <c r="DSI45" s="478"/>
      <c r="DSJ45" s="478"/>
      <c r="DSK45" s="478"/>
      <c r="DSL45" s="478"/>
      <c r="DSM45" s="478"/>
      <c r="DSN45" s="478"/>
      <c r="DSO45" s="478"/>
      <c r="DSP45" s="478"/>
      <c r="DSQ45" s="478"/>
      <c r="DSR45" s="478"/>
      <c r="DSS45" s="478"/>
      <c r="DST45" s="478"/>
      <c r="DSU45" s="478"/>
      <c r="DSV45" s="478"/>
      <c r="DSW45" s="478"/>
      <c r="DSX45" s="478"/>
      <c r="DSY45" s="478"/>
      <c r="DSZ45" s="478"/>
      <c r="DTA45" s="478"/>
      <c r="DTB45" s="478"/>
      <c r="DTC45" s="478"/>
      <c r="DTD45" s="478"/>
      <c r="DTE45" s="478"/>
      <c r="DTF45" s="478"/>
      <c r="DTG45" s="478"/>
      <c r="DTH45" s="478"/>
      <c r="DTI45" s="478"/>
      <c r="DTJ45" s="478"/>
      <c r="DTK45" s="478"/>
      <c r="DTL45" s="478"/>
      <c r="DTM45" s="478"/>
      <c r="DTN45" s="478"/>
      <c r="DTO45" s="478"/>
      <c r="DTP45" s="478"/>
      <c r="DTQ45" s="478"/>
      <c r="DTR45" s="478"/>
      <c r="DTS45" s="478"/>
      <c r="DTT45" s="478"/>
      <c r="DTU45" s="478"/>
      <c r="DTV45" s="478"/>
      <c r="DTW45" s="478"/>
      <c r="DTX45" s="478"/>
      <c r="DTY45" s="478"/>
      <c r="DTZ45" s="478"/>
      <c r="DUA45" s="478"/>
      <c r="DUB45" s="478"/>
      <c r="DUC45" s="478"/>
      <c r="DUD45" s="478"/>
      <c r="DUE45" s="478"/>
      <c r="DUF45" s="478"/>
      <c r="DUG45" s="478"/>
      <c r="DUH45" s="478"/>
      <c r="DUI45" s="478"/>
      <c r="DUJ45" s="478"/>
      <c r="DUK45" s="478"/>
      <c r="DUL45" s="478"/>
      <c r="DUM45" s="478"/>
      <c r="DUN45" s="478"/>
      <c r="DUO45" s="478"/>
      <c r="DUP45" s="478"/>
      <c r="DUQ45" s="478"/>
      <c r="DUR45" s="478"/>
      <c r="DUS45" s="478"/>
      <c r="DUT45" s="478"/>
      <c r="DUU45" s="478"/>
      <c r="DUV45" s="478"/>
      <c r="DUW45" s="478"/>
      <c r="DUX45" s="478"/>
      <c r="DUY45" s="478"/>
      <c r="DUZ45" s="478"/>
      <c r="DVA45" s="478"/>
      <c r="DVB45" s="478"/>
      <c r="DVC45" s="478"/>
      <c r="DVD45" s="478"/>
      <c r="DVE45" s="478"/>
      <c r="DVF45" s="478"/>
      <c r="DVG45" s="478"/>
      <c r="DVH45" s="478"/>
      <c r="DVI45" s="478"/>
      <c r="DVJ45" s="478"/>
      <c r="DVK45" s="478"/>
      <c r="DVL45" s="478"/>
      <c r="DVM45" s="478"/>
      <c r="DVN45" s="478"/>
      <c r="DVO45" s="478"/>
      <c r="DVP45" s="478"/>
      <c r="DVQ45" s="478"/>
      <c r="DVR45" s="478"/>
      <c r="DVS45" s="478"/>
      <c r="DVT45" s="478"/>
      <c r="DVU45" s="478"/>
      <c r="DVV45" s="478"/>
      <c r="DVW45" s="478"/>
      <c r="DVX45" s="478"/>
      <c r="DVY45" s="478"/>
      <c r="DVZ45" s="478"/>
      <c r="DWA45" s="478"/>
      <c r="DWB45" s="478"/>
      <c r="DWC45" s="478"/>
      <c r="DWD45" s="478"/>
      <c r="DWE45" s="478"/>
      <c r="DWF45" s="478"/>
      <c r="DWG45" s="478"/>
      <c r="DWH45" s="478"/>
      <c r="DWI45" s="478"/>
      <c r="DWJ45" s="478"/>
      <c r="DWK45" s="478"/>
      <c r="DWL45" s="478"/>
      <c r="DWM45" s="478"/>
      <c r="DWN45" s="478"/>
      <c r="DWO45" s="478"/>
      <c r="DWP45" s="478"/>
      <c r="DWQ45" s="478"/>
      <c r="DWR45" s="478"/>
      <c r="DWS45" s="478"/>
      <c r="DWT45" s="478"/>
      <c r="DWU45" s="478"/>
      <c r="DWV45" s="478"/>
      <c r="DWW45" s="478"/>
      <c r="DWX45" s="478"/>
      <c r="DWY45" s="478"/>
      <c r="DWZ45" s="478"/>
      <c r="DXA45" s="478"/>
      <c r="DXB45" s="478"/>
      <c r="DXC45" s="478"/>
      <c r="DXD45" s="478"/>
      <c r="DXE45" s="478"/>
      <c r="DXF45" s="478"/>
      <c r="DXG45" s="478"/>
      <c r="DXH45" s="478"/>
      <c r="DXI45" s="478"/>
      <c r="DXJ45" s="478"/>
      <c r="DXK45" s="478"/>
      <c r="DXL45" s="478"/>
      <c r="DXM45" s="478"/>
      <c r="DXN45" s="478"/>
      <c r="DXO45" s="478"/>
      <c r="DXP45" s="478"/>
      <c r="DXQ45" s="478"/>
      <c r="DXR45" s="478"/>
      <c r="DXS45" s="478"/>
      <c r="DXT45" s="478"/>
      <c r="DXU45" s="478"/>
      <c r="DXV45" s="478"/>
      <c r="DXW45" s="478"/>
      <c r="DXX45" s="478"/>
      <c r="DXY45" s="478"/>
      <c r="DXZ45" s="478"/>
      <c r="DYA45" s="478"/>
      <c r="DYB45" s="478"/>
      <c r="DYC45" s="478"/>
      <c r="DYD45" s="478"/>
      <c r="DYE45" s="478"/>
      <c r="DYF45" s="478"/>
      <c r="DYG45" s="478"/>
      <c r="DYH45" s="478"/>
      <c r="DYI45" s="478"/>
      <c r="DYJ45" s="478"/>
      <c r="DYK45" s="478"/>
      <c r="DYL45" s="478"/>
      <c r="DYM45" s="478"/>
      <c r="DYN45" s="478"/>
      <c r="DYO45" s="478"/>
      <c r="DYP45" s="478"/>
      <c r="DYQ45" s="478"/>
      <c r="DYR45" s="478"/>
      <c r="DYS45" s="478"/>
      <c r="DYT45" s="478"/>
      <c r="DYU45" s="478"/>
      <c r="DYV45" s="478"/>
      <c r="DYW45" s="478"/>
      <c r="DYX45" s="478"/>
      <c r="DYY45" s="478"/>
      <c r="DYZ45" s="478"/>
      <c r="DZA45" s="478"/>
      <c r="DZB45" s="478"/>
      <c r="DZC45" s="478"/>
      <c r="DZD45" s="478"/>
      <c r="DZE45" s="478"/>
      <c r="DZF45" s="478"/>
      <c r="DZG45" s="478"/>
      <c r="DZH45" s="478"/>
      <c r="DZI45" s="478"/>
      <c r="DZJ45" s="478"/>
      <c r="DZK45" s="478"/>
      <c r="DZL45" s="478"/>
      <c r="DZM45" s="478"/>
      <c r="DZN45" s="478"/>
      <c r="DZO45" s="478"/>
      <c r="DZP45" s="478"/>
      <c r="DZQ45" s="478"/>
      <c r="DZR45" s="478"/>
      <c r="DZS45" s="478"/>
      <c r="DZT45" s="478"/>
      <c r="DZU45" s="478"/>
      <c r="DZV45" s="478"/>
      <c r="DZW45" s="478"/>
      <c r="DZX45" s="478"/>
      <c r="DZY45" s="478"/>
      <c r="DZZ45" s="478"/>
      <c r="EAA45" s="478"/>
      <c r="EAB45" s="478"/>
      <c r="EAC45" s="478"/>
      <c r="EAD45" s="478"/>
      <c r="EAE45" s="478"/>
      <c r="EAF45" s="478"/>
      <c r="EAG45" s="478"/>
      <c r="EAH45" s="478"/>
      <c r="EAI45" s="478"/>
      <c r="EAJ45" s="478"/>
      <c r="EAK45" s="478"/>
      <c r="EAL45" s="478"/>
      <c r="EAM45" s="478"/>
      <c r="EAN45" s="478"/>
      <c r="EAO45" s="478"/>
      <c r="EAP45" s="478"/>
      <c r="EAQ45" s="478"/>
      <c r="EAR45" s="478"/>
      <c r="EAS45" s="478"/>
      <c r="EAT45" s="478"/>
      <c r="EAU45" s="478"/>
      <c r="EAV45" s="478"/>
      <c r="EAW45" s="478"/>
      <c r="EAX45" s="478"/>
      <c r="EAY45" s="478"/>
      <c r="EAZ45" s="478"/>
      <c r="EBA45" s="478"/>
      <c r="EBB45" s="478"/>
      <c r="EBC45" s="478"/>
      <c r="EBD45" s="478"/>
      <c r="EBE45" s="478"/>
      <c r="EBF45" s="478"/>
      <c r="EBG45" s="478"/>
      <c r="EBH45" s="478"/>
      <c r="EBI45" s="478"/>
      <c r="EBJ45" s="478"/>
      <c r="EBK45" s="478"/>
      <c r="EBL45" s="478"/>
      <c r="EBM45" s="478"/>
      <c r="EBN45" s="478"/>
      <c r="EBO45" s="478"/>
      <c r="EBP45" s="478"/>
      <c r="EBQ45" s="478"/>
      <c r="EBR45" s="478"/>
      <c r="EBS45" s="478"/>
      <c r="EBT45" s="478"/>
      <c r="EBU45" s="478"/>
      <c r="EBV45" s="478"/>
      <c r="EBW45" s="478"/>
      <c r="EBX45" s="478"/>
      <c r="EBY45" s="478"/>
      <c r="EBZ45" s="478"/>
      <c r="ECA45" s="478"/>
      <c r="ECB45" s="478"/>
      <c r="ECC45" s="478"/>
      <c r="ECD45" s="478"/>
      <c r="ECE45" s="478"/>
      <c r="ECF45" s="478"/>
      <c r="ECG45" s="478"/>
      <c r="ECH45" s="478"/>
      <c r="ECI45" s="478"/>
      <c r="ECJ45" s="478"/>
      <c r="ECK45" s="478"/>
      <c r="ECL45" s="478"/>
      <c r="ECM45" s="478"/>
      <c r="ECN45" s="478"/>
      <c r="ECO45" s="478"/>
      <c r="ECP45" s="478"/>
      <c r="ECQ45" s="478"/>
      <c r="ECR45" s="478"/>
      <c r="ECS45" s="478"/>
      <c r="ECT45" s="478"/>
      <c r="ECU45" s="478"/>
      <c r="ECV45" s="478"/>
      <c r="ECW45" s="478"/>
      <c r="ECX45" s="478"/>
      <c r="ECY45" s="478"/>
      <c r="ECZ45" s="478"/>
      <c r="EDA45" s="478"/>
      <c r="EDB45" s="478"/>
      <c r="EDC45" s="478"/>
      <c r="EDD45" s="478"/>
      <c r="EDE45" s="478"/>
      <c r="EDF45" s="478"/>
      <c r="EDG45" s="478"/>
      <c r="EDH45" s="478"/>
      <c r="EDI45" s="478"/>
      <c r="EDJ45" s="478"/>
      <c r="EDK45" s="478"/>
      <c r="EDL45" s="478"/>
      <c r="EDM45" s="478"/>
      <c r="EDN45" s="478"/>
      <c r="EDO45" s="478"/>
      <c r="EDP45" s="478"/>
      <c r="EDQ45" s="478"/>
      <c r="EDR45" s="478"/>
      <c r="EDS45" s="478"/>
      <c r="EDT45" s="478"/>
      <c r="EDU45" s="478"/>
      <c r="EDV45" s="478"/>
      <c r="EDW45" s="478"/>
      <c r="EDX45" s="478"/>
      <c r="EDY45" s="478"/>
      <c r="EDZ45" s="478"/>
      <c r="EEA45" s="478"/>
      <c r="EEB45" s="478"/>
      <c r="EEC45" s="478"/>
      <c r="EED45" s="478"/>
      <c r="EEE45" s="478"/>
      <c r="EEF45" s="478"/>
      <c r="EEG45" s="478"/>
      <c r="EEH45" s="478"/>
      <c r="EEI45" s="478"/>
      <c r="EEJ45" s="478"/>
      <c r="EEK45" s="478"/>
      <c r="EEL45" s="478"/>
      <c r="EEM45" s="478"/>
      <c r="EEN45" s="478"/>
      <c r="EEO45" s="478"/>
      <c r="EEP45" s="478"/>
      <c r="EEQ45" s="478"/>
      <c r="EER45" s="478"/>
      <c r="EES45" s="478"/>
      <c r="EET45" s="478"/>
      <c r="EEU45" s="478"/>
      <c r="EEV45" s="478"/>
      <c r="EEW45" s="478"/>
      <c r="EEX45" s="478"/>
      <c r="EEY45" s="478"/>
      <c r="EEZ45" s="478"/>
      <c r="EFA45" s="478"/>
      <c r="EFB45" s="478"/>
      <c r="EFC45" s="478"/>
      <c r="EFD45" s="478"/>
      <c r="EFE45" s="478"/>
      <c r="EFF45" s="478"/>
      <c r="EFG45" s="478"/>
      <c r="EFH45" s="478"/>
      <c r="EFI45" s="478"/>
      <c r="EFJ45" s="478"/>
      <c r="EFK45" s="478"/>
      <c r="EFL45" s="478"/>
      <c r="EFM45" s="478"/>
      <c r="EFN45" s="478"/>
      <c r="EFO45" s="478"/>
      <c r="EFP45" s="478"/>
      <c r="EFQ45" s="478"/>
      <c r="EFR45" s="478"/>
      <c r="EFS45" s="478"/>
      <c r="EFT45" s="478"/>
      <c r="EFU45" s="478"/>
      <c r="EFV45" s="478"/>
      <c r="EFW45" s="478"/>
      <c r="EFX45" s="478"/>
      <c r="EFY45" s="478"/>
      <c r="EFZ45" s="478"/>
      <c r="EGA45" s="478"/>
      <c r="EGB45" s="478"/>
      <c r="EGC45" s="478"/>
      <c r="EGD45" s="478"/>
      <c r="EGE45" s="478"/>
      <c r="EGF45" s="478"/>
      <c r="EGG45" s="478"/>
      <c r="EGH45" s="478"/>
      <c r="EGI45" s="478"/>
      <c r="EGJ45" s="478"/>
      <c r="EGK45" s="478"/>
      <c r="EGL45" s="478"/>
      <c r="EGM45" s="478"/>
      <c r="EGN45" s="478"/>
      <c r="EGO45" s="478"/>
      <c r="EGP45" s="478"/>
      <c r="EGQ45" s="478"/>
      <c r="EGR45" s="478"/>
      <c r="EGS45" s="478"/>
      <c r="EGT45" s="478"/>
      <c r="EGU45" s="478"/>
      <c r="EGV45" s="478"/>
      <c r="EGW45" s="478"/>
      <c r="EGX45" s="478"/>
      <c r="EGY45" s="478"/>
      <c r="EGZ45" s="478"/>
      <c r="EHA45" s="478"/>
      <c r="EHB45" s="478"/>
      <c r="EHC45" s="478"/>
      <c r="EHD45" s="478"/>
      <c r="EHE45" s="478"/>
      <c r="EHF45" s="478"/>
      <c r="EHG45" s="478"/>
      <c r="EHH45" s="478"/>
      <c r="EHI45" s="478"/>
      <c r="EHJ45" s="478"/>
      <c r="EHK45" s="478"/>
      <c r="EHL45" s="478"/>
      <c r="EHM45" s="478"/>
      <c r="EHN45" s="478"/>
      <c r="EHO45" s="478"/>
      <c r="EHP45" s="478"/>
      <c r="EHQ45" s="478"/>
      <c r="EHR45" s="478"/>
      <c r="EHS45" s="478"/>
      <c r="EHT45" s="478"/>
      <c r="EHU45" s="478"/>
      <c r="EHV45" s="478"/>
      <c r="EHW45" s="478"/>
      <c r="EHX45" s="478"/>
      <c r="EHY45" s="478"/>
      <c r="EHZ45" s="478"/>
      <c r="EIA45" s="478"/>
      <c r="EIB45" s="478"/>
      <c r="EIC45" s="478"/>
      <c r="EID45" s="478"/>
      <c r="EIE45" s="478"/>
      <c r="EIF45" s="478"/>
      <c r="EIG45" s="478"/>
      <c r="EIH45" s="478"/>
      <c r="EII45" s="478"/>
      <c r="EIJ45" s="478"/>
      <c r="EIK45" s="478"/>
      <c r="EIL45" s="478"/>
      <c r="EIM45" s="478"/>
      <c r="EIN45" s="478"/>
      <c r="EIO45" s="478"/>
      <c r="EIP45" s="478"/>
      <c r="EIQ45" s="478"/>
      <c r="EIR45" s="478"/>
      <c r="EIS45" s="478"/>
      <c r="EIT45" s="478"/>
      <c r="EIU45" s="478"/>
      <c r="EIV45" s="478"/>
      <c r="EIW45" s="478"/>
      <c r="EIX45" s="478"/>
      <c r="EIY45" s="478"/>
      <c r="EIZ45" s="478"/>
      <c r="EJA45" s="478"/>
      <c r="EJB45" s="478"/>
      <c r="EJC45" s="478"/>
      <c r="EJD45" s="478"/>
      <c r="EJE45" s="478"/>
      <c r="EJF45" s="478"/>
      <c r="EJG45" s="478"/>
      <c r="EJH45" s="478"/>
      <c r="EJI45" s="478"/>
      <c r="EJJ45" s="478"/>
      <c r="EJK45" s="478"/>
      <c r="EJL45" s="478"/>
      <c r="EJM45" s="478"/>
      <c r="EJN45" s="478"/>
      <c r="EJO45" s="478"/>
      <c r="EJP45" s="478"/>
      <c r="EJQ45" s="478"/>
      <c r="EJR45" s="478"/>
      <c r="EJS45" s="478"/>
      <c r="EJT45" s="478"/>
      <c r="EJU45" s="478"/>
      <c r="EJV45" s="478"/>
      <c r="EJW45" s="478"/>
      <c r="EJX45" s="478"/>
      <c r="EJY45" s="478"/>
      <c r="EJZ45" s="478"/>
      <c r="EKA45" s="478"/>
      <c r="EKB45" s="478"/>
      <c r="EKC45" s="478"/>
      <c r="EKD45" s="478"/>
      <c r="EKE45" s="478"/>
      <c r="EKF45" s="478"/>
      <c r="EKG45" s="478"/>
      <c r="EKH45" s="478"/>
      <c r="EKI45" s="478"/>
      <c r="EKJ45" s="478"/>
      <c r="EKK45" s="478"/>
      <c r="EKL45" s="478"/>
      <c r="EKM45" s="478"/>
      <c r="EKN45" s="478"/>
      <c r="EKO45" s="478"/>
      <c r="EKP45" s="478"/>
      <c r="EKQ45" s="478"/>
      <c r="EKR45" s="478"/>
      <c r="EKS45" s="478"/>
      <c r="EKT45" s="478"/>
      <c r="EKU45" s="478"/>
      <c r="EKV45" s="478"/>
      <c r="EKW45" s="478"/>
      <c r="EKX45" s="478"/>
      <c r="EKY45" s="478"/>
      <c r="EKZ45" s="478"/>
      <c r="ELA45" s="478"/>
      <c r="ELB45" s="478"/>
      <c r="ELC45" s="478"/>
      <c r="ELD45" s="478"/>
      <c r="ELE45" s="478"/>
      <c r="ELF45" s="478"/>
      <c r="ELG45" s="478"/>
      <c r="ELH45" s="478"/>
      <c r="ELI45" s="478"/>
      <c r="ELJ45" s="478"/>
      <c r="ELK45" s="478"/>
      <c r="ELL45" s="478"/>
      <c r="ELM45" s="478"/>
      <c r="ELN45" s="478"/>
      <c r="ELO45" s="478"/>
      <c r="ELP45" s="478"/>
      <c r="ELQ45" s="478"/>
      <c r="ELR45" s="478"/>
      <c r="ELS45" s="478"/>
      <c r="ELT45" s="478"/>
      <c r="ELU45" s="478"/>
      <c r="ELV45" s="478"/>
      <c r="ELW45" s="478"/>
      <c r="ELX45" s="478"/>
      <c r="ELY45" s="478"/>
      <c r="ELZ45" s="478"/>
      <c r="EMA45" s="478"/>
      <c r="EMB45" s="478"/>
      <c r="EMC45" s="478"/>
      <c r="EMD45" s="478"/>
      <c r="EME45" s="478"/>
      <c r="EMF45" s="478"/>
      <c r="EMG45" s="478"/>
      <c r="EMH45" s="478"/>
      <c r="EMI45" s="478"/>
      <c r="EMJ45" s="478"/>
      <c r="EMK45" s="478"/>
      <c r="EML45" s="478"/>
      <c r="EMM45" s="478"/>
      <c r="EMN45" s="478"/>
      <c r="EMO45" s="478"/>
      <c r="EMP45" s="478"/>
      <c r="EMQ45" s="478"/>
      <c r="EMR45" s="478"/>
      <c r="EMS45" s="478"/>
      <c r="EMT45" s="478"/>
      <c r="EMU45" s="478"/>
      <c r="EMV45" s="478"/>
      <c r="EMW45" s="478"/>
      <c r="EMX45" s="478"/>
      <c r="EMY45" s="478"/>
      <c r="EMZ45" s="478"/>
      <c r="ENA45" s="478"/>
      <c r="ENB45" s="478"/>
      <c r="ENC45" s="478"/>
      <c r="END45" s="478"/>
      <c r="ENE45" s="478"/>
      <c r="ENF45" s="478"/>
      <c r="ENG45" s="478"/>
      <c r="ENH45" s="478"/>
      <c r="ENI45" s="478"/>
      <c r="ENJ45" s="478"/>
      <c r="ENK45" s="478"/>
      <c r="ENL45" s="478"/>
      <c r="ENM45" s="478"/>
      <c r="ENN45" s="478"/>
      <c r="ENO45" s="478"/>
      <c r="ENP45" s="478"/>
      <c r="ENQ45" s="478"/>
      <c r="ENR45" s="478"/>
      <c r="ENS45" s="478"/>
      <c r="ENT45" s="478"/>
      <c r="ENU45" s="478"/>
      <c r="ENV45" s="478"/>
      <c r="ENW45" s="478"/>
      <c r="ENX45" s="478"/>
      <c r="ENY45" s="478"/>
      <c r="ENZ45" s="478"/>
      <c r="EOA45" s="478"/>
      <c r="EOB45" s="478"/>
      <c r="EOC45" s="478"/>
      <c r="EOD45" s="478"/>
      <c r="EOE45" s="478"/>
      <c r="EOF45" s="478"/>
      <c r="EOG45" s="478"/>
      <c r="EOH45" s="478"/>
      <c r="EOI45" s="478"/>
      <c r="EOJ45" s="478"/>
      <c r="EOK45" s="478"/>
      <c r="EOL45" s="478"/>
      <c r="EOM45" s="478"/>
      <c r="EON45" s="478"/>
      <c r="EOO45" s="478"/>
      <c r="EOP45" s="478"/>
      <c r="EOQ45" s="478"/>
      <c r="EOR45" s="478"/>
      <c r="EOS45" s="478"/>
      <c r="EOT45" s="478"/>
      <c r="EOU45" s="478"/>
      <c r="EOV45" s="478"/>
      <c r="EOW45" s="478"/>
      <c r="EOX45" s="478"/>
      <c r="EOY45" s="478"/>
      <c r="EOZ45" s="478"/>
      <c r="EPA45" s="478"/>
      <c r="EPB45" s="478"/>
      <c r="EPC45" s="478"/>
      <c r="EPD45" s="478"/>
      <c r="EPE45" s="478"/>
      <c r="EPF45" s="478"/>
      <c r="EPG45" s="478"/>
      <c r="EPH45" s="478"/>
      <c r="EPI45" s="478"/>
      <c r="EPJ45" s="478"/>
      <c r="EPK45" s="478"/>
      <c r="EPL45" s="478"/>
      <c r="EPM45" s="478"/>
      <c r="EPN45" s="478"/>
      <c r="EPO45" s="478"/>
      <c r="EPP45" s="478"/>
      <c r="EPQ45" s="478"/>
      <c r="EPR45" s="478"/>
      <c r="EPS45" s="478"/>
      <c r="EPT45" s="478"/>
      <c r="EPU45" s="478"/>
      <c r="EPV45" s="478"/>
      <c r="EPW45" s="478"/>
      <c r="EPX45" s="478"/>
      <c r="EPY45" s="478"/>
      <c r="EPZ45" s="478"/>
      <c r="EQA45" s="478"/>
      <c r="EQB45" s="478"/>
      <c r="EQC45" s="478"/>
      <c r="EQD45" s="478"/>
      <c r="EQE45" s="478"/>
      <c r="EQF45" s="478"/>
      <c r="EQG45" s="478"/>
      <c r="EQH45" s="478"/>
      <c r="EQI45" s="478"/>
      <c r="EQJ45" s="478"/>
      <c r="EQK45" s="478"/>
      <c r="EQL45" s="478"/>
      <c r="EQM45" s="478"/>
      <c r="EQN45" s="478"/>
      <c r="EQO45" s="478"/>
      <c r="EQP45" s="478"/>
      <c r="EQQ45" s="478"/>
      <c r="EQR45" s="478"/>
      <c r="EQS45" s="478"/>
      <c r="EQT45" s="478"/>
      <c r="EQU45" s="478"/>
      <c r="EQV45" s="478"/>
      <c r="EQW45" s="478"/>
      <c r="EQX45" s="478"/>
      <c r="EQY45" s="478"/>
      <c r="EQZ45" s="478"/>
      <c r="ERA45" s="478"/>
      <c r="ERB45" s="478"/>
      <c r="ERC45" s="478"/>
      <c r="ERD45" s="478"/>
      <c r="ERE45" s="478"/>
      <c r="ERF45" s="478"/>
      <c r="ERG45" s="478"/>
      <c r="ERH45" s="478"/>
      <c r="ERI45" s="478"/>
      <c r="ERJ45" s="478"/>
      <c r="ERK45" s="478"/>
      <c r="ERL45" s="478"/>
      <c r="ERM45" s="478"/>
      <c r="ERN45" s="478"/>
      <c r="ERO45" s="478"/>
      <c r="ERP45" s="478"/>
      <c r="ERQ45" s="478"/>
      <c r="ERR45" s="478"/>
      <c r="ERS45" s="478"/>
      <c r="ERT45" s="478"/>
      <c r="ERU45" s="478"/>
      <c r="ERV45" s="478"/>
      <c r="ERW45" s="478"/>
      <c r="ERX45" s="478"/>
      <c r="ERY45" s="478"/>
      <c r="ERZ45" s="478"/>
      <c r="ESA45" s="478"/>
      <c r="ESB45" s="478"/>
      <c r="ESC45" s="478"/>
      <c r="ESD45" s="478"/>
      <c r="ESE45" s="478"/>
      <c r="ESF45" s="478"/>
      <c r="ESG45" s="478"/>
      <c r="ESH45" s="478"/>
      <c r="ESI45" s="478"/>
      <c r="ESJ45" s="478"/>
      <c r="ESK45" s="478"/>
      <c r="ESL45" s="478"/>
      <c r="ESM45" s="478"/>
      <c r="ESN45" s="478"/>
      <c r="ESO45" s="478"/>
      <c r="ESP45" s="478"/>
      <c r="ESQ45" s="478"/>
      <c r="ESR45" s="478"/>
      <c r="ESS45" s="478"/>
      <c r="EST45" s="478"/>
      <c r="ESU45" s="478"/>
      <c r="ESV45" s="478"/>
      <c r="ESW45" s="478"/>
      <c r="ESX45" s="478"/>
      <c r="ESY45" s="478"/>
      <c r="ESZ45" s="478"/>
      <c r="ETA45" s="478"/>
      <c r="ETB45" s="478"/>
      <c r="ETC45" s="478"/>
      <c r="ETD45" s="478"/>
      <c r="ETE45" s="478"/>
      <c r="ETF45" s="478"/>
      <c r="ETG45" s="478"/>
      <c r="ETH45" s="478"/>
      <c r="ETI45" s="478"/>
      <c r="ETJ45" s="478"/>
      <c r="ETK45" s="478"/>
      <c r="ETL45" s="478"/>
      <c r="ETM45" s="478"/>
      <c r="ETN45" s="478"/>
      <c r="ETO45" s="478"/>
      <c r="ETP45" s="478"/>
      <c r="ETQ45" s="478"/>
      <c r="ETR45" s="478"/>
      <c r="ETS45" s="478"/>
      <c r="ETT45" s="478"/>
      <c r="ETU45" s="478"/>
      <c r="ETV45" s="478"/>
      <c r="ETW45" s="478"/>
      <c r="ETX45" s="478"/>
      <c r="ETY45" s="478"/>
      <c r="ETZ45" s="478"/>
      <c r="EUA45" s="478"/>
      <c r="EUB45" s="478"/>
      <c r="EUC45" s="478"/>
      <c r="EUD45" s="478"/>
      <c r="EUE45" s="478"/>
      <c r="EUF45" s="478"/>
      <c r="EUG45" s="478"/>
      <c r="EUH45" s="478"/>
      <c r="EUI45" s="478"/>
      <c r="EUJ45" s="478"/>
      <c r="EUK45" s="478"/>
      <c r="EUL45" s="478"/>
      <c r="EUM45" s="478"/>
      <c r="EUN45" s="478"/>
      <c r="EUO45" s="478"/>
      <c r="EUP45" s="478"/>
      <c r="EUQ45" s="478"/>
      <c r="EUR45" s="478"/>
      <c r="EUS45" s="478"/>
      <c r="EUT45" s="478"/>
      <c r="EUU45" s="478"/>
      <c r="EUV45" s="478"/>
      <c r="EUW45" s="478"/>
      <c r="EUX45" s="478"/>
      <c r="EUY45" s="478"/>
      <c r="EUZ45" s="478"/>
      <c r="EVA45" s="478"/>
      <c r="EVB45" s="478"/>
      <c r="EVC45" s="478"/>
      <c r="EVD45" s="478"/>
      <c r="EVE45" s="478"/>
      <c r="EVF45" s="478"/>
      <c r="EVG45" s="478"/>
      <c r="EVH45" s="478"/>
      <c r="EVI45" s="478"/>
      <c r="EVJ45" s="478"/>
      <c r="EVK45" s="478"/>
      <c r="EVL45" s="478"/>
      <c r="EVM45" s="478"/>
      <c r="EVN45" s="478"/>
      <c r="EVO45" s="478"/>
      <c r="EVP45" s="478"/>
      <c r="EVQ45" s="478"/>
      <c r="EVR45" s="478"/>
      <c r="EVS45" s="478"/>
      <c r="EVT45" s="478"/>
      <c r="EVU45" s="478"/>
      <c r="EVV45" s="478"/>
      <c r="EVW45" s="478"/>
      <c r="EVX45" s="478"/>
      <c r="EVY45" s="478"/>
      <c r="EVZ45" s="478"/>
      <c r="EWA45" s="478"/>
      <c r="EWB45" s="478"/>
      <c r="EWC45" s="478"/>
      <c r="EWD45" s="478"/>
      <c r="EWE45" s="478"/>
      <c r="EWF45" s="478"/>
      <c r="EWG45" s="478"/>
      <c r="EWH45" s="478"/>
      <c r="EWI45" s="478"/>
      <c r="EWJ45" s="478"/>
      <c r="EWK45" s="478"/>
      <c r="EWL45" s="478"/>
      <c r="EWM45" s="478"/>
      <c r="EWN45" s="478"/>
      <c r="EWO45" s="478"/>
      <c r="EWP45" s="478"/>
      <c r="EWQ45" s="478"/>
      <c r="EWR45" s="478"/>
      <c r="EWS45" s="478"/>
      <c r="EWT45" s="478"/>
      <c r="EWU45" s="478"/>
      <c r="EWV45" s="478"/>
      <c r="EWW45" s="478"/>
      <c r="EWX45" s="478"/>
      <c r="EWY45" s="478"/>
      <c r="EWZ45" s="478"/>
      <c r="EXA45" s="478"/>
      <c r="EXB45" s="478"/>
      <c r="EXC45" s="478"/>
      <c r="EXD45" s="478"/>
      <c r="EXE45" s="478"/>
      <c r="EXF45" s="478"/>
      <c r="EXG45" s="478"/>
      <c r="EXH45" s="478"/>
      <c r="EXI45" s="478"/>
      <c r="EXJ45" s="478"/>
      <c r="EXK45" s="478"/>
      <c r="EXL45" s="478"/>
      <c r="EXM45" s="478"/>
      <c r="EXN45" s="478"/>
      <c r="EXO45" s="478"/>
      <c r="EXP45" s="478"/>
      <c r="EXQ45" s="478"/>
      <c r="EXR45" s="478"/>
      <c r="EXS45" s="478"/>
      <c r="EXT45" s="478"/>
      <c r="EXU45" s="478"/>
      <c r="EXV45" s="478"/>
      <c r="EXW45" s="478"/>
      <c r="EXX45" s="478"/>
      <c r="EXY45" s="478"/>
      <c r="EXZ45" s="478"/>
      <c r="EYA45" s="478"/>
      <c r="EYB45" s="478"/>
      <c r="EYC45" s="478"/>
      <c r="EYD45" s="478"/>
      <c r="EYE45" s="478"/>
      <c r="EYF45" s="478"/>
      <c r="EYG45" s="478"/>
      <c r="EYH45" s="478"/>
      <c r="EYI45" s="478"/>
      <c r="EYJ45" s="478"/>
      <c r="EYK45" s="478"/>
      <c r="EYL45" s="478"/>
      <c r="EYM45" s="478"/>
      <c r="EYN45" s="478"/>
      <c r="EYO45" s="478"/>
      <c r="EYP45" s="478"/>
      <c r="EYQ45" s="478"/>
      <c r="EYR45" s="478"/>
      <c r="EYS45" s="478"/>
      <c r="EYT45" s="478"/>
      <c r="EYU45" s="478"/>
      <c r="EYV45" s="478"/>
      <c r="EYW45" s="478"/>
      <c r="EYX45" s="478"/>
      <c r="EYY45" s="478"/>
      <c r="EYZ45" s="478"/>
      <c r="EZA45" s="478"/>
      <c r="EZB45" s="478"/>
      <c r="EZC45" s="478"/>
      <c r="EZD45" s="478"/>
      <c r="EZE45" s="478"/>
      <c r="EZF45" s="478"/>
      <c r="EZG45" s="478"/>
      <c r="EZH45" s="478"/>
      <c r="EZI45" s="478"/>
      <c r="EZJ45" s="478"/>
      <c r="EZK45" s="478"/>
      <c r="EZL45" s="478"/>
      <c r="EZM45" s="478"/>
      <c r="EZN45" s="478"/>
      <c r="EZO45" s="478"/>
      <c r="EZP45" s="478"/>
      <c r="EZQ45" s="478"/>
      <c r="EZR45" s="478"/>
      <c r="EZS45" s="478"/>
      <c r="EZT45" s="478"/>
      <c r="EZU45" s="478"/>
      <c r="EZV45" s="478"/>
      <c r="EZW45" s="478"/>
      <c r="EZX45" s="478"/>
      <c r="EZY45" s="478"/>
      <c r="EZZ45" s="478"/>
      <c r="FAA45" s="478"/>
      <c r="FAB45" s="478"/>
      <c r="FAC45" s="478"/>
      <c r="FAD45" s="478"/>
      <c r="FAE45" s="478"/>
      <c r="FAF45" s="478"/>
      <c r="FAG45" s="478"/>
      <c r="FAH45" s="478"/>
      <c r="FAI45" s="478"/>
      <c r="FAJ45" s="478"/>
      <c r="FAK45" s="478"/>
      <c r="FAL45" s="478"/>
      <c r="FAM45" s="478"/>
      <c r="FAN45" s="478"/>
      <c r="FAO45" s="478"/>
      <c r="FAP45" s="478"/>
      <c r="FAQ45" s="478"/>
      <c r="FAR45" s="478"/>
      <c r="FAS45" s="478"/>
      <c r="FAT45" s="478"/>
      <c r="FAU45" s="478"/>
      <c r="FAV45" s="478"/>
      <c r="FAW45" s="478"/>
      <c r="FAX45" s="478"/>
      <c r="FAY45" s="478"/>
      <c r="FAZ45" s="478"/>
      <c r="FBA45" s="478"/>
      <c r="FBB45" s="478"/>
      <c r="FBC45" s="478"/>
      <c r="FBD45" s="478"/>
      <c r="FBE45" s="478"/>
      <c r="FBF45" s="478"/>
      <c r="FBG45" s="478"/>
      <c r="FBH45" s="478"/>
      <c r="FBI45" s="478"/>
      <c r="FBJ45" s="478"/>
      <c r="FBK45" s="478"/>
      <c r="FBL45" s="478"/>
      <c r="FBM45" s="478"/>
      <c r="FBN45" s="478"/>
      <c r="FBO45" s="478"/>
      <c r="FBP45" s="478"/>
      <c r="FBQ45" s="478"/>
      <c r="FBR45" s="478"/>
      <c r="FBS45" s="478"/>
      <c r="FBT45" s="478"/>
      <c r="FBU45" s="478"/>
      <c r="FBV45" s="478"/>
      <c r="FBW45" s="478"/>
      <c r="FBX45" s="478"/>
      <c r="FBY45" s="478"/>
      <c r="FBZ45" s="478"/>
      <c r="FCA45" s="478"/>
      <c r="FCB45" s="478"/>
      <c r="FCC45" s="478"/>
      <c r="FCD45" s="478"/>
      <c r="FCE45" s="478"/>
      <c r="FCF45" s="478"/>
      <c r="FCG45" s="478"/>
      <c r="FCH45" s="478"/>
      <c r="FCI45" s="478"/>
      <c r="FCJ45" s="478"/>
      <c r="FCK45" s="478"/>
      <c r="FCL45" s="478"/>
      <c r="FCM45" s="478"/>
      <c r="FCN45" s="478"/>
      <c r="FCO45" s="478"/>
      <c r="FCP45" s="478"/>
      <c r="FCQ45" s="478"/>
      <c r="FCR45" s="478"/>
      <c r="FCS45" s="478"/>
      <c r="FCT45" s="478"/>
      <c r="FCU45" s="478"/>
      <c r="FCV45" s="478"/>
      <c r="FCW45" s="478"/>
      <c r="FCX45" s="478"/>
      <c r="FCY45" s="478"/>
      <c r="FCZ45" s="478"/>
      <c r="FDA45" s="478"/>
      <c r="FDB45" s="478"/>
      <c r="FDC45" s="478"/>
      <c r="FDD45" s="478"/>
      <c r="FDE45" s="478"/>
      <c r="FDF45" s="478"/>
      <c r="FDG45" s="478"/>
      <c r="FDH45" s="478"/>
      <c r="FDI45" s="478"/>
      <c r="FDJ45" s="478"/>
      <c r="FDK45" s="478"/>
      <c r="FDL45" s="478"/>
      <c r="FDM45" s="478"/>
      <c r="FDN45" s="478"/>
      <c r="FDO45" s="478"/>
      <c r="FDP45" s="478"/>
      <c r="FDQ45" s="478"/>
      <c r="FDR45" s="478"/>
      <c r="FDS45" s="478"/>
      <c r="FDT45" s="478"/>
      <c r="FDU45" s="478"/>
      <c r="FDV45" s="478"/>
      <c r="FDW45" s="478"/>
      <c r="FDX45" s="478"/>
      <c r="FDY45" s="478"/>
      <c r="FDZ45" s="478"/>
      <c r="FEA45" s="478"/>
      <c r="FEB45" s="478"/>
      <c r="FEC45" s="478"/>
      <c r="FED45" s="478"/>
      <c r="FEE45" s="478"/>
      <c r="FEF45" s="478"/>
      <c r="FEG45" s="478"/>
      <c r="FEH45" s="478"/>
      <c r="FEI45" s="478"/>
      <c r="FEJ45" s="478"/>
      <c r="FEK45" s="478"/>
      <c r="FEL45" s="478"/>
      <c r="FEM45" s="478"/>
      <c r="FEN45" s="478"/>
      <c r="FEO45" s="478"/>
      <c r="FEP45" s="478"/>
      <c r="FEQ45" s="478"/>
      <c r="FER45" s="478"/>
      <c r="FES45" s="478"/>
      <c r="FET45" s="478"/>
      <c r="FEU45" s="478"/>
      <c r="FEV45" s="478"/>
      <c r="FEW45" s="478"/>
      <c r="FEX45" s="478"/>
      <c r="FEY45" s="478"/>
      <c r="FEZ45" s="478"/>
      <c r="FFA45" s="478"/>
      <c r="FFB45" s="478"/>
      <c r="FFC45" s="478"/>
      <c r="FFD45" s="478"/>
      <c r="FFE45" s="478"/>
      <c r="FFF45" s="478"/>
      <c r="FFG45" s="478"/>
      <c r="FFH45" s="478"/>
      <c r="FFI45" s="478"/>
      <c r="FFJ45" s="478"/>
      <c r="FFK45" s="478"/>
      <c r="FFL45" s="478"/>
      <c r="FFM45" s="478"/>
      <c r="FFN45" s="478"/>
      <c r="FFO45" s="478"/>
      <c r="FFP45" s="478"/>
      <c r="FFQ45" s="478"/>
      <c r="FFR45" s="478"/>
      <c r="FFS45" s="478"/>
      <c r="FFT45" s="478"/>
      <c r="FFU45" s="478"/>
      <c r="FFV45" s="478"/>
      <c r="FFW45" s="478"/>
      <c r="FFX45" s="478"/>
      <c r="FFY45" s="478"/>
      <c r="FFZ45" s="478"/>
      <c r="FGA45" s="478"/>
      <c r="FGB45" s="478"/>
      <c r="FGC45" s="478"/>
      <c r="FGD45" s="478"/>
      <c r="FGE45" s="478"/>
      <c r="FGF45" s="478"/>
      <c r="FGG45" s="478"/>
      <c r="FGH45" s="478"/>
      <c r="FGI45" s="478"/>
      <c r="FGJ45" s="478"/>
      <c r="FGK45" s="478"/>
      <c r="FGL45" s="478"/>
      <c r="FGM45" s="478"/>
      <c r="FGN45" s="478"/>
      <c r="FGO45" s="478"/>
      <c r="FGP45" s="478"/>
      <c r="FGQ45" s="478"/>
      <c r="FGR45" s="478"/>
      <c r="FGS45" s="478"/>
      <c r="FGT45" s="478"/>
      <c r="FGU45" s="478"/>
      <c r="FGV45" s="478"/>
      <c r="FGW45" s="478"/>
      <c r="FGX45" s="478"/>
      <c r="FGY45" s="478"/>
      <c r="FGZ45" s="478"/>
      <c r="FHA45" s="478"/>
      <c r="FHB45" s="478"/>
      <c r="FHC45" s="478"/>
      <c r="FHD45" s="478"/>
      <c r="FHE45" s="478"/>
      <c r="FHF45" s="478"/>
      <c r="FHG45" s="478"/>
      <c r="FHH45" s="478"/>
      <c r="FHI45" s="478"/>
      <c r="FHJ45" s="478"/>
      <c r="FHK45" s="478"/>
      <c r="FHL45" s="478"/>
      <c r="FHM45" s="478"/>
      <c r="FHN45" s="478"/>
      <c r="FHO45" s="478"/>
      <c r="FHP45" s="478"/>
      <c r="FHQ45" s="478"/>
      <c r="FHR45" s="478"/>
      <c r="FHS45" s="478"/>
      <c r="FHT45" s="478"/>
      <c r="FHU45" s="478"/>
      <c r="FHV45" s="478"/>
      <c r="FHW45" s="478"/>
      <c r="FHX45" s="478"/>
      <c r="FHY45" s="478"/>
      <c r="FHZ45" s="478"/>
      <c r="FIA45" s="478"/>
      <c r="FIB45" s="478"/>
      <c r="FIC45" s="478"/>
      <c r="FID45" s="478"/>
      <c r="FIE45" s="478"/>
      <c r="FIF45" s="478"/>
      <c r="FIG45" s="478"/>
      <c r="FIH45" s="478"/>
      <c r="FII45" s="478"/>
      <c r="FIJ45" s="478"/>
      <c r="FIK45" s="478"/>
      <c r="FIL45" s="478"/>
      <c r="FIM45" s="478"/>
      <c r="FIN45" s="478"/>
      <c r="FIO45" s="478"/>
      <c r="FIP45" s="478"/>
      <c r="FIQ45" s="478"/>
      <c r="FIR45" s="478"/>
      <c r="FIS45" s="478"/>
      <c r="FIT45" s="478"/>
      <c r="FIU45" s="478"/>
      <c r="FIV45" s="478"/>
      <c r="FIW45" s="478"/>
      <c r="FIX45" s="478"/>
      <c r="FIY45" s="478"/>
      <c r="FIZ45" s="478"/>
      <c r="FJA45" s="478"/>
      <c r="FJB45" s="478"/>
      <c r="FJC45" s="478"/>
      <c r="FJD45" s="478"/>
      <c r="FJE45" s="478"/>
      <c r="FJF45" s="478"/>
      <c r="FJG45" s="478"/>
      <c r="FJH45" s="478"/>
      <c r="FJI45" s="478"/>
      <c r="FJJ45" s="478"/>
      <c r="FJK45" s="478"/>
      <c r="FJL45" s="478"/>
      <c r="FJM45" s="478"/>
      <c r="FJN45" s="478"/>
      <c r="FJO45" s="478"/>
      <c r="FJP45" s="478"/>
      <c r="FJQ45" s="478"/>
      <c r="FJR45" s="478"/>
      <c r="FJS45" s="478"/>
      <c r="FJT45" s="478"/>
      <c r="FJU45" s="478"/>
      <c r="FJV45" s="478"/>
      <c r="FJW45" s="478"/>
      <c r="FJX45" s="478"/>
      <c r="FJY45" s="478"/>
      <c r="FJZ45" s="478"/>
      <c r="FKA45" s="478"/>
      <c r="FKB45" s="478"/>
      <c r="FKC45" s="478"/>
      <c r="FKD45" s="478"/>
      <c r="FKE45" s="478"/>
      <c r="FKF45" s="478"/>
      <c r="FKG45" s="478"/>
      <c r="FKH45" s="478"/>
      <c r="FKI45" s="478"/>
      <c r="FKJ45" s="478"/>
      <c r="FKK45" s="478"/>
      <c r="FKL45" s="478"/>
      <c r="FKM45" s="478"/>
      <c r="FKN45" s="478"/>
      <c r="FKO45" s="478"/>
      <c r="FKP45" s="478"/>
      <c r="FKQ45" s="478"/>
      <c r="FKR45" s="478"/>
      <c r="FKS45" s="478"/>
      <c r="FKT45" s="478"/>
      <c r="FKU45" s="478"/>
      <c r="FKV45" s="478"/>
      <c r="FKW45" s="478"/>
      <c r="FKX45" s="478"/>
      <c r="FKY45" s="478"/>
      <c r="FKZ45" s="478"/>
      <c r="FLA45" s="478"/>
      <c r="FLB45" s="478"/>
      <c r="FLC45" s="478"/>
      <c r="FLD45" s="478"/>
      <c r="FLE45" s="478"/>
      <c r="FLF45" s="478"/>
      <c r="FLG45" s="478"/>
      <c r="FLH45" s="478"/>
      <c r="FLI45" s="478"/>
      <c r="FLJ45" s="478"/>
      <c r="FLK45" s="478"/>
      <c r="FLL45" s="478"/>
      <c r="FLM45" s="478"/>
      <c r="FLN45" s="478"/>
      <c r="FLO45" s="478"/>
      <c r="FLP45" s="478"/>
      <c r="FLQ45" s="478"/>
      <c r="FLR45" s="478"/>
      <c r="FLS45" s="478"/>
      <c r="FLT45" s="478"/>
      <c r="FLU45" s="478"/>
      <c r="FLV45" s="478"/>
      <c r="FLW45" s="478"/>
      <c r="FLX45" s="478"/>
      <c r="FLY45" s="478"/>
      <c r="FLZ45" s="478"/>
      <c r="FMA45" s="478"/>
      <c r="FMB45" s="478"/>
      <c r="FMC45" s="478"/>
      <c r="FMD45" s="478"/>
      <c r="FME45" s="478"/>
      <c r="FMF45" s="478"/>
      <c r="FMG45" s="478"/>
      <c r="FMH45" s="478"/>
      <c r="FMI45" s="478"/>
      <c r="FMJ45" s="478"/>
      <c r="FMK45" s="478"/>
      <c r="FML45" s="478"/>
      <c r="FMM45" s="478"/>
      <c r="FMN45" s="478"/>
      <c r="FMO45" s="478"/>
      <c r="FMP45" s="478"/>
      <c r="FMQ45" s="478"/>
      <c r="FMR45" s="478"/>
      <c r="FMS45" s="478"/>
      <c r="FMT45" s="478"/>
      <c r="FMU45" s="478"/>
      <c r="FMV45" s="478"/>
      <c r="FMW45" s="478"/>
      <c r="FMX45" s="478"/>
      <c r="FMY45" s="478"/>
      <c r="FMZ45" s="478"/>
      <c r="FNA45" s="478"/>
      <c r="FNB45" s="478"/>
      <c r="FNC45" s="478"/>
      <c r="FND45" s="478"/>
      <c r="FNE45" s="478"/>
      <c r="FNF45" s="478"/>
      <c r="FNG45" s="478"/>
      <c r="FNH45" s="478"/>
      <c r="FNI45" s="478"/>
      <c r="FNJ45" s="478"/>
      <c r="FNK45" s="478"/>
      <c r="FNL45" s="478"/>
      <c r="FNM45" s="478"/>
      <c r="FNN45" s="478"/>
      <c r="FNO45" s="478"/>
      <c r="FNP45" s="478"/>
      <c r="FNQ45" s="478"/>
      <c r="FNR45" s="478"/>
      <c r="FNS45" s="478"/>
      <c r="FNT45" s="478"/>
      <c r="FNU45" s="478"/>
      <c r="FNV45" s="478"/>
      <c r="FNW45" s="478"/>
      <c r="FNX45" s="478"/>
      <c r="FNY45" s="478"/>
      <c r="FNZ45" s="478"/>
      <c r="FOA45" s="478"/>
      <c r="FOB45" s="478"/>
      <c r="FOC45" s="478"/>
      <c r="FOD45" s="478"/>
      <c r="FOE45" s="478"/>
      <c r="FOF45" s="478"/>
      <c r="FOG45" s="478"/>
      <c r="FOH45" s="478"/>
      <c r="FOI45" s="478"/>
      <c r="FOJ45" s="478"/>
      <c r="FOK45" s="478"/>
      <c r="FOL45" s="478"/>
      <c r="FOM45" s="478"/>
      <c r="FON45" s="478"/>
      <c r="FOO45" s="478"/>
      <c r="FOP45" s="478"/>
      <c r="FOQ45" s="478"/>
      <c r="FOR45" s="478"/>
      <c r="FOS45" s="478"/>
      <c r="FOT45" s="478"/>
      <c r="FOU45" s="478"/>
      <c r="FOV45" s="478"/>
      <c r="FOW45" s="478"/>
      <c r="FOX45" s="478"/>
      <c r="FOY45" s="478"/>
      <c r="FOZ45" s="478"/>
      <c r="FPA45" s="478"/>
      <c r="FPB45" s="478"/>
      <c r="FPC45" s="478"/>
      <c r="FPD45" s="478"/>
      <c r="FPE45" s="478"/>
      <c r="FPF45" s="478"/>
      <c r="FPG45" s="478"/>
      <c r="FPH45" s="478"/>
      <c r="FPI45" s="478"/>
      <c r="FPJ45" s="478"/>
      <c r="FPK45" s="478"/>
      <c r="FPL45" s="478"/>
      <c r="FPM45" s="478"/>
      <c r="FPN45" s="478"/>
      <c r="FPO45" s="478"/>
      <c r="FPP45" s="478"/>
      <c r="FPQ45" s="478"/>
      <c r="FPR45" s="478"/>
      <c r="FPS45" s="478"/>
      <c r="FPT45" s="478"/>
      <c r="FPU45" s="478"/>
      <c r="FPV45" s="478"/>
      <c r="FPW45" s="478"/>
      <c r="FPX45" s="478"/>
      <c r="FPY45" s="478"/>
      <c r="FPZ45" s="478"/>
      <c r="FQA45" s="478"/>
      <c r="FQB45" s="478"/>
      <c r="FQC45" s="478"/>
      <c r="FQD45" s="478"/>
      <c r="FQE45" s="478"/>
      <c r="FQF45" s="478"/>
      <c r="FQG45" s="478"/>
      <c r="FQH45" s="478"/>
      <c r="FQI45" s="478"/>
      <c r="FQJ45" s="478"/>
      <c r="FQK45" s="478"/>
      <c r="FQL45" s="478"/>
      <c r="FQM45" s="478"/>
      <c r="FQN45" s="478"/>
      <c r="FQO45" s="478"/>
      <c r="FQP45" s="478"/>
      <c r="FQQ45" s="478"/>
      <c r="FQR45" s="478"/>
      <c r="FQS45" s="478"/>
      <c r="FQT45" s="478"/>
      <c r="FQU45" s="478"/>
      <c r="FQV45" s="478"/>
      <c r="FQW45" s="478"/>
      <c r="FQX45" s="478"/>
      <c r="FQY45" s="478"/>
      <c r="FQZ45" s="478"/>
      <c r="FRA45" s="478"/>
      <c r="FRB45" s="478"/>
      <c r="FRC45" s="478"/>
      <c r="FRD45" s="478"/>
      <c r="FRE45" s="478"/>
      <c r="FRF45" s="478"/>
      <c r="FRG45" s="478"/>
      <c r="FRH45" s="478"/>
      <c r="FRI45" s="478"/>
      <c r="FRJ45" s="478"/>
      <c r="FRK45" s="478"/>
      <c r="FRL45" s="478"/>
      <c r="FRM45" s="478"/>
      <c r="FRN45" s="478"/>
      <c r="FRO45" s="478"/>
      <c r="FRP45" s="478"/>
      <c r="FRQ45" s="478"/>
      <c r="FRR45" s="478"/>
      <c r="FRS45" s="478"/>
      <c r="FRT45" s="478"/>
      <c r="FRU45" s="478"/>
      <c r="FRV45" s="478"/>
      <c r="FRW45" s="478"/>
      <c r="FRX45" s="478"/>
      <c r="FRY45" s="478"/>
      <c r="FRZ45" s="478"/>
      <c r="FSA45" s="478"/>
      <c r="FSB45" s="478"/>
      <c r="FSC45" s="478"/>
      <c r="FSD45" s="478"/>
      <c r="FSE45" s="478"/>
      <c r="FSF45" s="478"/>
      <c r="FSG45" s="478"/>
      <c r="FSH45" s="478"/>
      <c r="FSI45" s="478"/>
      <c r="FSJ45" s="478"/>
      <c r="FSK45" s="478"/>
      <c r="FSL45" s="478"/>
      <c r="FSM45" s="478"/>
      <c r="FSN45" s="478"/>
      <c r="FSO45" s="478"/>
      <c r="FSP45" s="478"/>
      <c r="FSQ45" s="478"/>
      <c r="FSR45" s="478"/>
      <c r="FSS45" s="478"/>
      <c r="FST45" s="478"/>
      <c r="FSU45" s="478"/>
      <c r="FSV45" s="478"/>
      <c r="FSW45" s="478"/>
      <c r="FSX45" s="478"/>
      <c r="FSY45" s="478"/>
      <c r="FSZ45" s="478"/>
      <c r="FTA45" s="478"/>
      <c r="FTB45" s="478"/>
      <c r="FTC45" s="478"/>
      <c r="FTD45" s="478"/>
      <c r="FTE45" s="478"/>
      <c r="FTF45" s="478"/>
      <c r="FTG45" s="478"/>
      <c r="FTH45" s="478"/>
      <c r="FTI45" s="478"/>
      <c r="FTJ45" s="478"/>
      <c r="FTK45" s="478"/>
      <c r="FTL45" s="478"/>
      <c r="FTM45" s="478"/>
      <c r="FTN45" s="478"/>
      <c r="FTO45" s="478"/>
      <c r="FTP45" s="478"/>
      <c r="FTQ45" s="478"/>
      <c r="FTR45" s="478"/>
      <c r="FTS45" s="478"/>
      <c r="FTT45" s="478"/>
      <c r="FTU45" s="478"/>
      <c r="FTV45" s="478"/>
      <c r="FTW45" s="478"/>
      <c r="FTX45" s="478"/>
      <c r="FTY45" s="478"/>
      <c r="FTZ45" s="478"/>
      <c r="FUA45" s="478"/>
      <c r="FUB45" s="478"/>
      <c r="FUC45" s="478"/>
      <c r="FUD45" s="478"/>
      <c r="FUE45" s="478"/>
      <c r="FUF45" s="478"/>
      <c r="FUG45" s="478"/>
      <c r="FUH45" s="478"/>
      <c r="FUI45" s="478"/>
      <c r="FUJ45" s="478"/>
      <c r="FUK45" s="478"/>
      <c r="FUL45" s="478"/>
      <c r="FUM45" s="478"/>
      <c r="FUN45" s="478"/>
      <c r="FUO45" s="478"/>
      <c r="FUP45" s="478"/>
      <c r="FUQ45" s="478"/>
      <c r="FUR45" s="478"/>
      <c r="FUS45" s="478"/>
      <c r="FUT45" s="478"/>
      <c r="FUU45" s="478"/>
      <c r="FUV45" s="478"/>
      <c r="FUW45" s="478"/>
      <c r="FUX45" s="478"/>
      <c r="FUY45" s="478"/>
      <c r="FUZ45" s="478"/>
      <c r="FVA45" s="478"/>
      <c r="FVB45" s="478"/>
      <c r="FVC45" s="478"/>
      <c r="FVD45" s="478"/>
      <c r="FVE45" s="478"/>
      <c r="FVF45" s="478"/>
      <c r="FVG45" s="478"/>
      <c r="FVH45" s="478"/>
      <c r="FVI45" s="478"/>
      <c r="FVJ45" s="478"/>
      <c r="FVK45" s="478"/>
      <c r="FVL45" s="478"/>
      <c r="FVM45" s="478"/>
      <c r="FVN45" s="478"/>
      <c r="FVO45" s="478"/>
      <c r="FVP45" s="478"/>
      <c r="FVQ45" s="478"/>
      <c r="FVR45" s="478"/>
      <c r="FVS45" s="478"/>
      <c r="FVT45" s="478"/>
      <c r="FVU45" s="478"/>
      <c r="FVV45" s="478"/>
      <c r="FVW45" s="478"/>
      <c r="FVX45" s="478"/>
      <c r="FVY45" s="478"/>
      <c r="FVZ45" s="478"/>
      <c r="FWA45" s="478"/>
      <c r="FWB45" s="478"/>
      <c r="FWC45" s="478"/>
      <c r="FWD45" s="478"/>
      <c r="FWE45" s="478"/>
      <c r="FWF45" s="478"/>
      <c r="FWG45" s="478"/>
      <c r="FWH45" s="478"/>
      <c r="FWI45" s="478"/>
      <c r="FWJ45" s="478"/>
      <c r="FWK45" s="478"/>
      <c r="FWL45" s="478"/>
      <c r="FWM45" s="478"/>
      <c r="FWN45" s="478"/>
      <c r="FWO45" s="478"/>
      <c r="FWP45" s="478"/>
      <c r="FWQ45" s="478"/>
      <c r="FWR45" s="478"/>
      <c r="FWS45" s="478"/>
      <c r="FWT45" s="478"/>
      <c r="FWU45" s="478"/>
      <c r="FWV45" s="478"/>
      <c r="FWW45" s="478"/>
      <c r="FWX45" s="478"/>
      <c r="FWY45" s="478"/>
      <c r="FWZ45" s="478"/>
      <c r="FXA45" s="478"/>
      <c r="FXB45" s="478"/>
      <c r="FXC45" s="478"/>
      <c r="FXD45" s="478"/>
      <c r="FXE45" s="478"/>
      <c r="FXF45" s="478"/>
      <c r="FXG45" s="478"/>
      <c r="FXH45" s="478"/>
      <c r="FXI45" s="478"/>
      <c r="FXJ45" s="478"/>
      <c r="FXK45" s="478"/>
      <c r="FXL45" s="478"/>
      <c r="FXM45" s="478"/>
      <c r="FXN45" s="478"/>
      <c r="FXO45" s="478"/>
      <c r="FXP45" s="478"/>
      <c r="FXQ45" s="478"/>
      <c r="FXR45" s="478"/>
      <c r="FXS45" s="478"/>
      <c r="FXT45" s="478"/>
      <c r="FXU45" s="478"/>
      <c r="FXV45" s="478"/>
      <c r="FXW45" s="478"/>
      <c r="FXX45" s="478"/>
      <c r="FXY45" s="478"/>
      <c r="FXZ45" s="478"/>
      <c r="FYA45" s="478"/>
      <c r="FYB45" s="478"/>
      <c r="FYC45" s="478"/>
      <c r="FYD45" s="478"/>
      <c r="FYE45" s="478"/>
      <c r="FYF45" s="478"/>
      <c r="FYG45" s="478"/>
      <c r="FYH45" s="478"/>
      <c r="FYI45" s="478"/>
      <c r="FYJ45" s="478"/>
      <c r="FYK45" s="478"/>
      <c r="FYL45" s="478"/>
      <c r="FYM45" s="478"/>
      <c r="FYN45" s="478"/>
      <c r="FYO45" s="478"/>
      <c r="FYP45" s="478"/>
      <c r="FYQ45" s="478"/>
      <c r="FYR45" s="478"/>
      <c r="FYS45" s="478"/>
      <c r="FYT45" s="478"/>
      <c r="FYU45" s="478"/>
      <c r="FYV45" s="478"/>
      <c r="FYW45" s="478"/>
      <c r="FYX45" s="478"/>
      <c r="FYY45" s="478"/>
      <c r="FYZ45" s="478"/>
      <c r="FZA45" s="478"/>
      <c r="FZB45" s="478"/>
      <c r="FZC45" s="478"/>
      <c r="FZD45" s="478"/>
      <c r="FZE45" s="478"/>
      <c r="FZF45" s="478"/>
      <c r="FZG45" s="478"/>
      <c r="FZH45" s="478"/>
      <c r="FZI45" s="478"/>
      <c r="FZJ45" s="478"/>
      <c r="FZK45" s="478"/>
      <c r="FZL45" s="478"/>
      <c r="FZM45" s="478"/>
      <c r="FZN45" s="478"/>
      <c r="FZO45" s="478"/>
      <c r="FZP45" s="478"/>
      <c r="FZQ45" s="478"/>
      <c r="FZR45" s="478"/>
      <c r="FZS45" s="478"/>
      <c r="FZT45" s="478"/>
      <c r="FZU45" s="478"/>
      <c r="FZV45" s="478"/>
      <c r="FZW45" s="478"/>
      <c r="FZX45" s="478"/>
      <c r="FZY45" s="478"/>
      <c r="FZZ45" s="478"/>
      <c r="GAA45" s="478"/>
      <c r="GAB45" s="478"/>
      <c r="GAC45" s="478"/>
      <c r="GAD45" s="478"/>
      <c r="GAE45" s="478"/>
      <c r="GAF45" s="478"/>
      <c r="GAG45" s="478"/>
      <c r="GAH45" s="478"/>
      <c r="GAI45" s="478"/>
      <c r="GAJ45" s="478"/>
      <c r="GAK45" s="478"/>
      <c r="GAL45" s="478"/>
      <c r="GAM45" s="478"/>
      <c r="GAN45" s="478"/>
      <c r="GAO45" s="478"/>
      <c r="GAP45" s="478"/>
      <c r="GAQ45" s="478"/>
      <c r="GAR45" s="478"/>
      <c r="GAS45" s="478"/>
      <c r="GAT45" s="478"/>
      <c r="GAU45" s="478"/>
      <c r="GAV45" s="478"/>
      <c r="GAW45" s="478"/>
      <c r="GAX45" s="478"/>
      <c r="GAY45" s="478"/>
      <c r="GAZ45" s="478"/>
      <c r="GBA45" s="478"/>
      <c r="GBB45" s="478"/>
      <c r="GBC45" s="478"/>
      <c r="GBD45" s="478"/>
      <c r="GBE45" s="478"/>
      <c r="GBF45" s="478"/>
      <c r="GBG45" s="478"/>
      <c r="GBH45" s="478"/>
      <c r="GBI45" s="478"/>
      <c r="GBJ45" s="478"/>
      <c r="GBK45" s="478"/>
      <c r="GBL45" s="478"/>
      <c r="GBM45" s="478"/>
      <c r="GBN45" s="478"/>
      <c r="GBO45" s="478"/>
      <c r="GBP45" s="478"/>
      <c r="GBQ45" s="478"/>
      <c r="GBR45" s="478"/>
      <c r="GBS45" s="478"/>
      <c r="GBT45" s="478"/>
      <c r="GBU45" s="478"/>
      <c r="GBV45" s="478"/>
      <c r="GBW45" s="478"/>
      <c r="GBX45" s="478"/>
      <c r="GBY45" s="478"/>
      <c r="GBZ45" s="478"/>
      <c r="GCA45" s="478"/>
      <c r="GCB45" s="478"/>
      <c r="GCC45" s="478"/>
      <c r="GCD45" s="478"/>
      <c r="GCE45" s="478"/>
      <c r="GCF45" s="478"/>
      <c r="GCG45" s="478"/>
      <c r="GCH45" s="478"/>
      <c r="GCI45" s="478"/>
      <c r="GCJ45" s="478"/>
      <c r="GCK45" s="478"/>
      <c r="GCL45" s="478"/>
      <c r="GCM45" s="478"/>
      <c r="GCN45" s="478"/>
      <c r="GCO45" s="478"/>
      <c r="GCP45" s="478"/>
      <c r="GCQ45" s="478"/>
      <c r="GCR45" s="478"/>
      <c r="GCS45" s="478"/>
      <c r="GCT45" s="478"/>
      <c r="GCU45" s="478"/>
      <c r="GCV45" s="478"/>
      <c r="GCW45" s="478"/>
      <c r="GCX45" s="478"/>
      <c r="GCY45" s="478"/>
      <c r="GCZ45" s="478"/>
      <c r="GDA45" s="478"/>
      <c r="GDB45" s="478"/>
      <c r="GDC45" s="478"/>
      <c r="GDD45" s="478"/>
      <c r="GDE45" s="478"/>
      <c r="GDF45" s="478"/>
      <c r="GDG45" s="478"/>
      <c r="GDH45" s="478"/>
      <c r="GDI45" s="478"/>
      <c r="GDJ45" s="478"/>
      <c r="GDK45" s="478"/>
      <c r="GDL45" s="478"/>
      <c r="GDM45" s="478"/>
      <c r="GDN45" s="478"/>
      <c r="GDO45" s="478"/>
      <c r="GDP45" s="478"/>
      <c r="GDQ45" s="478"/>
      <c r="GDR45" s="478"/>
      <c r="GDS45" s="478"/>
      <c r="GDT45" s="478"/>
      <c r="GDU45" s="478"/>
      <c r="GDV45" s="478"/>
      <c r="GDW45" s="478"/>
      <c r="GDX45" s="478"/>
      <c r="GDY45" s="478"/>
      <c r="GDZ45" s="478"/>
      <c r="GEA45" s="478"/>
      <c r="GEB45" s="478"/>
      <c r="GEC45" s="478"/>
      <c r="GED45" s="478"/>
      <c r="GEE45" s="478"/>
      <c r="GEF45" s="478"/>
      <c r="GEG45" s="478"/>
      <c r="GEH45" s="478"/>
      <c r="GEI45" s="478"/>
      <c r="GEJ45" s="478"/>
      <c r="GEK45" s="478"/>
      <c r="GEL45" s="478"/>
      <c r="GEM45" s="478"/>
      <c r="GEN45" s="478"/>
      <c r="GEO45" s="478"/>
      <c r="GEP45" s="478"/>
      <c r="GEQ45" s="478"/>
      <c r="GER45" s="478"/>
      <c r="GES45" s="478"/>
      <c r="GET45" s="478"/>
      <c r="GEU45" s="478"/>
      <c r="GEV45" s="478"/>
      <c r="GEW45" s="478"/>
      <c r="GEX45" s="478"/>
      <c r="GEY45" s="478"/>
      <c r="GEZ45" s="478"/>
      <c r="GFA45" s="478"/>
      <c r="GFB45" s="478"/>
      <c r="GFC45" s="478"/>
      <c r="GFD45" s="478"/>
      <c r="GFE45" s="478"/>
      <c r="GFF45" s="478"/>
      <c r="GFG45" s="478"/>
      <c r="GFH45" s="478"/>
      <c r="GFI45" s="478"/>
      <c r="GFJ45" s="478"/>
      <c r="GFK45" s="478"/>
      <c r="GFL45" s="478"/>
      <c r="GFM45" s="478"/>
      <c r="GFN45" s="478"/>
      <c r="GFO45" s="478"/>
      <c r="GFP45" s="478"/>
      <c r="GFQ45" s="478"/>
      <c r="GFR45" s="478"/>
      <c r="GFS45" s="478"/>
      <c r="GFT45" s="478"/>
      <c r="GFU45" s="478"/>
      <c r="GFV45" s="478"/>
      <c r="GFW45" s="478"/>
      <c r="GFX45" s="478"/>
      <c r="GFY45" s="478"/>
      <c r="GFZ45" s="478"/>
      <c r="GGA45" s="478"/>
      <c r="GGB45" s="478"/>
      <c r="GGC45" s="478"/>
      <c r="GGD45" s="478"/>
      <c r="GGE45" s="478"/>
      <c r="GGF45" s="478"/>
      <c r="GGG45" s="478"/>
      <c r="GGH45" s="478"/>
      <c r="GGI45" s="478"/>
      <c r="GGJ45" s="478"/>
      <c r="GGK45" s="478"/>
      <c r="GGL45" s="478"/>
      <c r="GGM45" s="478"/>
      <c r="GGN45" s="478"/>
      <c r="GGO45" s="478"/>
      <c r="GGP45" s="478"/>
      <c r="GGQ45" s="478"/>
      <c r="GGR45" s="478"/>
      <c r="GGS45" s="478"/>
      <c r="GGT45" s="478"/>
      <c r="GGU45" s="478"/>
      <c r="GGV45" s="478"/>
      <c r="GGW45" s="478"/>
      <c r="GGX45" s="478"/>
      <c r="GGY45" s="478"/>
      <c r="GGZ45" s="478"/>
      <c r="GHA45" s="478"/>
      <c r="GHB45" s="478"/>
      <c r="GHC45" s="478"/>
      <c r="GHD45" s="478"/>
      <c r="GHE45" s="478"/>
      <c r="GHF45" s="478"/>
      <c r="GHG45" s="478"/>
      <c r="GHH45" s="478"/>
      <c r="GHI45" s="478"/>
      <c r="GHJ45" s="478"/>
      <c r="GHK45" s="478"/>
      <c r="GHL45" s="478"/>
      <c r="GHM45" s="478"/>
      <c r="GHN45" s="478"/>
      <c r="GHO45" s="478"/>
      <c r="GHP45" s="478"/>
      <c r="GHQ45" s="478"/>
      <c r="GHR45" s="478"/>
      <c r="GHS45" s="478"/>
      <c r="GHT45" s="478"/>
      <c r="GHU45" s="478"/>
      <c r="GHV45" s="478"/>
      <c r="GHW45" s="478"/>
      <c r="GHX45" s="478"/>
      <c r="GHY45" s="478"/>
      <c r="GHZ45" s="478"/>
      <c r="GIA45" s="478"/>
      <c r="GIB45" s="478"/>
      <c r="GIC45" s="478"/>
      <c r="GID45" s="478"/>
      <c r="GIE45" s="478"/>
      <c r="GIF45" s="478"/>
      <c r="GIG45" s="478"/>
      <c r="GIH45" s="478"/>
      <c r="GII45" s="478"/>
      <c r="GIJ45" s="478"/>
      <c r="GIK45" s="478"/>
      <c r="GIL45" s="478"/>
      <c r="GIM45" s="478"/>
      <c r="GIN45" s="478"/>
      <c r="GIO45" s="478"/>
      <c r="GIP45" s="478"/>
      <c r="GIQ45" s="478"/>
      <c r="GIR45" s="478"/>
      <c r="GIS45" s="478"/>
      <c r="GIT45" s="478"/>
      <c r="GIU45" s="478"/>
      <c r="GIV45" s="478"/>
      <c r="GIW45" s="478"/>
      <c r="GIX45" s="478"/>
      <c r="GIY45" s="478"/>
      <c r="GIZ45" s="478"/>
      <c r="GJA45" s="478"/>
      <c r="GJB45" s="478"/>
      <c r="GJC45" s="478"/>
      <c r="GJD45" s="478"/>
      <c r="GJE45" s="478"/>
      <c r="GJF45" s="478"/>
      <c r="GJG45" s="478"/>
      <c r="GJH45" s="478"/>
      <c r="GJI45" s="478"/>
      <c r="GJJ45" s="478"/>
      <c r="GJK45" s="478"/>
      <c r="GJL45" s="478"/>
      <c r="GJM45" s="478"/>
      <c r="GJN45" s="478"/>
      <c r="GJO45" s="478"/>
      <c r="GJP45" s="478"/>
      <c r="GJQ45" s="478"/>
      <c r="GJR45" s="478"/>
      <c r="GJS45" s="478"/>
      <c r="GJT45" s="478"/>
      <c r="GJU45" s="478"/>
      <c r="GJV45" s="478"/>
      <c r="GJW45" s="478"/>
      <c r="GJX45" s="478"/>
      <c r="GJY45" s="478"/>
      <c r="GJZ45" s="478"/>
      <c r="GKA45" s="478"/>
      <c r="GKB45" s="478"/>
      <c r="GKC45" s="478"/>
      <c r="GKD45" s="478"/>
      <c r="GKE45" s="478"/>
      <c r="GKF45" s="478"/>
      <c r="GKG45" s="478"/>
      <c r="GKH45" s="478"/>
      <c r="GKI45" s="478"/>
      <c r="GKJ45" s="478"/>
      <c r="GKK45" s="478"/>
      <c r="GKL45" s="478"/>
      <c r="GKM45" s="478"/>
      <c r="GKN45" s="478"/>
      <c r="GKO45" s="478"/>
      <c r="GKP45" s="478"/>
      <c r="GKQ45" s="478"/>
      <c r="GKR45" s="478"/>
      <c r="GKS45" s="478"/>
      <c r="GKT45" s="478"/>
      <c r="GKU45" s="478"/>
      <c r="GKV45" s="478"/>
      <c r="GKW45" s="478"/>
      <c r="GKX45" s="478"/>
      <c r="GKY45" s="478"/>
      <c r="GKZ45" s="478"/>
      <c r="GLA45" s="478"/>
      <c r="GLB45" s="478"/>
      <c r="GLC45" s="478"/>
      <c r="GLD45" s="478"/>
      <c r="GLE45" s="478"/>
      <c r="GLF45" s="478"/>
      <c r="GLG45" s="478"/>
      <c r="GLH45" s="478"/>
      <c r="GLI45" s="478"/>
      <c r="GLJ45" s="478"/>
      <c r="GLK45" s="478"/>
      <c r="GLL45" s="478"/>
      <c r="GLM45" s="478"/>
      <c r="GLN45" s="478"/>
      <c r="GLO45" s="478"/>
      <c r="GLP45" s="478"/>
      <c r="GLQ45" s="478"/>
      <c r="GLR45" s="478"/>
      <c r="GLS45" s="478"/>
      <c r="GLT45" s="478"/>
      <c r="GLU45" s="478"/>
      <c r="GLV45" s="478"/>
      <c r="GLW45" s="478"/>
      <c r="GLX45" s="478"/>
      <c r="GLY45" s="478"/>
      <c r="GLZ45" s="478"/>
      <c r="GMA45" s="478"/>
      <c r="GMB45" s="478"/>
      <c r="GMC45" s="478"/>
      <c r="GMD45" s="478"/>
      <c r="GME45" s="478"/>
      <c r="GMF45" s="478"/>
      <c r="GMG45" s="478"/>
      <c r="GMH45" s="478"/>
      <c r="GMI45" s="478"/>
      <c r="GMJ45" s="478"/>
      <c r="GMK45" s="478"/>
      <c r="GML45" s="478"/>
      <c r="GMM45" s="478"/>
      <c r="GMN45" s="478"/>
      <c r="GMO45" s="478"/>
      <c r="GMP45" s="478"/>
      <c r="GMQ45" s="478"/>
      <c r="GMR45" s="478"/>
      <c r="GMS45" s="478"/>
      <c r="GMT45" s="478"/>
      <c r="GMU45" s="478"/>
      <c r="GMV45" s="478"/>
      <c r="GMW45" s="478"/>
      <c r="GMX45" s="478"/>
      <c r="GMY45" s="478"/>
      <c r="GMZ45" s="478"/>
      <c r="GNA45" s="478"/>
      <c r="GNB45" s="478"/>
      <c r="GNC45" s="478"/>
      <c r="GND45" s="478"/>
      <c r="GNE45" s="478"/>
      <c r="GNF45" s="478"/>
      <c r="GNG45" s="478"/>
      <c r="GNH45" s="478"/>
      <c r="GNI45" s="478"/>
      <c r="GNJ45" s="478"/>
      <c r="GNK45" s="478"/>
      <c r="GNL45" s="478"/>
      <c r="GNM45" s="478"/>
      <c r="GNN45" s="478"/>
      <c r="GNO45" s="478"/>
      <c r="GNP45" s="478"/>
      <c r="GNQ45" s="478"/>
      <c r="GNR45" s="478"/>
      <c r="GNS45" s="478"/>
      <c r="GNT45" s="478"/>
      <c r="GNU45" s="478"/>
      <c r="GNV45" s="478"/>
      <c r="GNW45" s="478"/>
      <c r="GNX45" s="478"/>
      <c r="GNY45" s="478"/>
      <c r="GNZ45" s="478"/>
      <c r="GOA45" s="478"/>
      <c r="GOB45" s="478"/>
      <c r="GOC45" s="478"/>
      <c r="GOD45" s="478"/>
      <c r="GOE45" s="478"/>
      <c r="GOF45" s="478"/>
      <c r="GOG45" s="478"/>
      <c r="GOH45" s="478"/>
      <c r="GOI45" s="478"/>
      <c r="GOJ45" s="478"/>
      <c r="GOK45" s="478"/>
      <c r="GOL45" s="478"/>
      <c r="GOM45" s="478"/>
      <c r="GON45" s="478"/>
      <c r="GOO45" s="478"/>
      <c r="GOP45" s="478"/>
      <c r="GOQ45" s="478"/>
      <c r="GOR45" s="478"/>
      <c r="GOS45" s="478"/>
      <c r="GOT45" s="478"/>
      <c r="GOU45" s="478"/>
      <c r="GOV45" s="478"/>
      <c r="GOW45" s="478"/>
      <c r="GOX45" s="478"/>
      <c r="GOY45" s="478"/>
      <c r="GOZ45" s="478"/>
      <c r="GPA45" s="478"/>
      <c r="GPB45" s="478"/>
      <c r="GPC45" s="478"/>
      <c r="GPD45" s="478"/>
      <c r="GPE45" s="478"/>
      <c r="GPF45" s="478"/>
      <c r="GPG45" s="478"/>
      <c r="GPH45" s="478"/>
      <c r="GPI45" s="478"/>
      <c r="GPJ45" s="478"/>
      <c r="GPK45" s="478"/>
      <c r="GPL45" s="478"/>
      <c r="GPM45" s="478"/>
      <c r="GPN45" s="478"/>
      <c r="GPO45" s="478"/>
      <c r="GPP45" s="478"/>
      <c r="GPQ45" s="478"/>
      <c r="GPR45" s="478"/>
      <c r="GPS45" s="478"/>
      <c r="GPT45" s="478"/>
      <c r="GPU45" s="478"/>
      <c r="GPV45" s="478"/>
      <c r="GPW45" s="478"/>
      <c r="GPX45" s="478"/>
      <c r="GPY45" s="478"/>
      <c r="GPZ45" s="478"/>
      <c r="GQA45" s="478"/>
      <c r="GQB45" s="478"/>
      <c r="GQC45" s="478"/>
      <c r="GQD45" s="478"/>
      <c r="GQE45" s="478"/>
      <c r="GQF45" s="478"/>
      <c r="GQG45" s="478"/>
      <c r="GQH45" s="478"/>
      <c r="GQI45" s="478"/>
      <c r="GQJ45" s="478"/>
      <c r="GQK45" s="478"/>
      <c r="GQL45" s="478"/>
      <c r="GQM45" s="478"/>
      <c r="GQN45" s="478"/>
      <c r="GQO45" s="478"/>
      <c r="GQP45" s="478"/>
      <c r="GQQ45" s="478"/>
      <c r="GQR45" s="478"/>
      <c r="GQS45" s="478"/>
      <c r="GQT45" s="478"/>
      <c r="GQU45" s="478"/>
      <c r="GQV45" s="478"/>
      <c r="GQW45" s="478"/>
      <c r="GQX45" s="478"/>
      <c r="GQY45" s="478"/>
      <c r="GQZ45" s="478"/>
      <c r="GRA45" s="478"/>
      <c r="GRB45" s="478"/>
      <c r="GRC45" s="478"/>
      <c r="GRD45" s="478"/>
      <c r="GRE45" s="478"/>
      <c r="GRF45" s="478"/>
      <c r="GRG45" s="478"/>
      <c r="GRH45" s="478"/>
      <c r="GRI45" s="478"/>
      <c r="GRJ45" s="478"/>
      <c r="GRK45" s="478"/>
      <c r="GRL45" s="478"/>
      <c r="GRM45" s="478"/>
      <c r="GRN45" s="478"/>
      <c r="GRO45" s="478"/>
      <c r="GRP45" s="478"/>
      <c r="GRQ45" s="478"/>
      <c r="GRR45" s="478"/>
      <c r="GRS45" s="478"/>
      <c r="GRT45" s="478"/>
      <c r="GRU45" s="478"/>
      <c r="GRV45" s="478"/>
      <c r="GRW45" s="478"/>
      <c r="GRX45" s="478"/>
      <c r="GRY45" s="478"/>
      <c r="GRZ45" s="478"/>
      <c r="GSA45" s="478"/>
      <c r="GSB45" s="478"/>
      <c r="GSC45" s="478"/>
      <c r="GSD45" s="478"/>
      <c r="GSE45" s="478"/>
      <c r="GSF45" s="478"/>
      <c r="GSG45" s="478"/>
      <c r="GSH45" s="478"/>
      <c r="GSI45" s="478"/>
      <c r="GSJ45" s="478"/>
      <c r="GSK45" s="478"/>
      <c r="GSL45" s="478"/>
      <c r="GSM45" s="478"/>
      <c r="GSN45" s="478"/>
      <c r="GSO45" s="478"/>
      <c r="GSP45" s="478"/>
      <c r="GSQ45" s="478"/>
      <c r="GSR45" s="478"/>
      <c r="GSS45" s="478"/>
      <c r="GST45" s="478"/>
      <c r="GSU45" s="478"/>
      <c r="GSV45" s="478"/>
      <c r="GSW45" s="478"/>
      <c r="GSX45" s="478"/>
      <c r="GSY45" s="478"/>
      <c r="GSZ45" s="478"/>
      <c r="GTA45" s="478"/>
      <c r="GTB45" s="478"/>
      <c r="GTC45" s="478"/>
      <c r="GTD45" s="478"/>
      <c r="GTE45" s="478"/>
      <c r="GTF45" s="478"/>
      <c r="GTG45" s="478"/>
      <c r="GTH45" s="478"/>
      <c r="GTI45" s="478"/>
      <c r="GTJ45" s="478"/>
      <c r="GTK45" s="478"/>
      <c r="GTL45" s="478"/>
      <c r="GTM45" s="478"/>
      <c r="GTN45" s="478"/>
      <c r="GTO45" s="478"/>
      <c r="GTP45" s="478"/>
      <c r="GTQ45" s="478"/>
      <c r="GTR45" s="478"/>
      <c r="GTS45" s="478"/>
      <c r="GTT45" s="478"/>
      <c r="GTU45" s="478"/>
      <c r="GTV45" s="478"/>
      <c r="GTW45" s="478"/>
      <c r="GTX45" s="478"/>
      <c r="GTY45" s="478"/>
      <c r="GTZ45" s="478"/>
      <c r="GUA45" s="478"/>
      <c r="GUB45" s="478"/>
      <c r="GUC45" s="478"/>
      <c r="GUD45" s="478"/>
      <c r="GUE45" s="478"/>
      <c r="GUF45" s="478"/>
      <c r="GUG45" s="478"/>
      <c r="GUH45" s="478"/>
      <c r="GUI45" s="478"/>
      <c r="GUJ45" s="478"/>
      <c r="GUK45" s="478"/>
      <c r="GUL45" s="478"/>
      <c r="GUM45" s="478"/>
      <c r="GUN45" s="478"/>
      <c r="GUO45" s="478"/>
      <c r="GUP45" s="478"/>
      <c r="GUQ45" s="478"/>
      <c r="GUR45" s="478"/>
      <c r="GUS45" s="478"/>
      <c r="GUT45" s="478"/>
      <c r="GUU45" s="478"/>
      <c r="GUV45" s="478"/>
      <c r="GUW45" s="478"/>
      <c r="GUX45" s="478"/>
      <c r="GUY45" s="478"/>
      <c r="GUZ45" s="478"/>
      <c r="GVA45" s="478"/>
      <c r="GVB45" s="478"/>
      <c r="GVC45" s="478"/>
      <c r="GVD45" s="478"/>
      <c r="GVE45" s="478"/>
      <c r="GVF45" s="478"/>
      <c r="GVG45" s="478"/>
      <c r="GVH45" s="478"/>
      <c r="GVI45" s="478"/>
      <c r="GVJ45" s="478"/>
      <c r="GVK45" s="478"/>
      <c r="GVL45" s="478"/>
      <c r="GVM45" s="478"/>
      <c r="GVN45" s="478"/>
      <c r="GVO45" s="478"/>
      <c r="GVP45" s="478"/>
      <c r="GVQ45" s="478"/>
      <c r="GVR45" s="478"/>
      <c r="GVS45" s="478"/>
      <c r="GVT45" s="478"/>
      <c r="GVU45" s="478"/>
      <c r="GVV45" s="478"/>
      <c r="GVW45" s="478"/>
      <c r="GVX45" s="478"/>
      <c r="GVY45" s="478"/>
      <c r="GVZ45" s="478"/>
      <c r="GWA45" s="478"/>
      <c r="GWB45" s="478"/>
      <c r="GWC45" s="478"/>
      <c r="GWD45" s="478"/>
      <c r="GWE45" s="478"/>
      <c r="GWF45" s="478"/>
      <c r="GWG45" s="478"/>
      <c r="GWH45" s="478"/>
      <c r="GWI45" s="478"/>
      <c r="GWJ45" s="478"/>
      <c r="GWK45" s="478"/>
      <c r="GWL45" s="478"/>
      <c r="GWM45" s="478"/>
      <c r="GWN45" s="478"/>
      <c r="GWO45" s="478"/>
      <c r="GWP45" s="478"/>
      <c r="GWQ45" s="478"/>
      <c r="GWR45" s="478"/>
      <c r="GWS45" s="478"/>
      <c r="GWT45" s="478"/>
      <c r="GWU45" s="478"/>
      <c r="GWV45" s="478"/>
      <c r="GWW45" s="478"/>
      <c r="GWX45" s="478"/>
      <c r="GWY45" s="478"/>
      <c r="GWZ45" s="478"/>
      <c r="GXA45" s="478"/>
      <c r="GXB45" s="478"/>
      <c r="GXC45" s="478"/>
      <c r="GXD45" s="478"/>
      <c r="GXE45" s="478"/>
      <c r="GXF45" s="478"/>
      <c r="GXG45" s="478"/>
      <c r="GXH45" s="478"/>
      <c r="GXI45" s="478"/>
      <c r="GXJ45" s="478"/>
      <c r="GXK45" s="478"/>
      <c r="GXL45" s="478"/>
      <c r="GXM45" s="478"/>
      <c r="GXN45" s="478"/>
      <c r="GXO45" s="478"/>
      <c r="GXP45" s="478"/>
      <c r="GXQ45" s="478"/>
      <c r="GXR45" s="478"/>
      <c r="GXS45" s="478"/>
      <c r="GXT45" s="478"/>
      <c r="GXU45" s="478"/>
      <c r="GXV45" s="478"/>
      <c r="GXW45" s="478"/>
      <c r="GXX45" s="478"/>
      <c r="GXY45" s="478"/>
      <c r="GXZ45" s="478"/>
      <c r="GYA45" s="478"/>
      <c r="GYB45" s="478"/>
      <c r="GYC45" s="478"/>
      <c r="GYD45" s="478"/>
      <c r="GYE45" s="478"/>
      <c r="GYF45" s="478"/>
      <c r="GYG45" s="478"/>
      <c r="GYH45" s="478"/>
      <c r="GYI45" s="478"/>
      <c r="GYJ45" s="478"/>
      <c r="GYK45" s="478"/>
      <c r="GYL45" s="478"/>
      <c r="GYM45" s="478"/>
      <c r="GYN45" s="478"/>
      <c r="GYO45" s="478"/>
      <c r="GYP45" s="478"/>
      <c r="GYQ45" s="478"/>
      <c r="GYR45" s="478"/>
      <c r="GYS45" s="478"/>
      <c r="GYT45" s="478"/>
      <c r="GYU45" s="478"/>
      <c r="GYV45" s="478"/>
      <c r="GYW45" s="478"/>
      <c r="GYX45" s="478"/>
      <c r="GYY45" s="478"/>
      <c r="GYZ45" s="478"/>
      <c r="GZA45" s="478"/>
      <c r="GZB45" s="478"/>
      <c r="GZC45" s="478"/>
      <c r="GZD45" s="478"/>
      <c r="GZE45" s="478"/>
      <c r="GZF45" s="478"/>
      <c r="GZG45" s="478"/>
      <c r="GZH45" s="478"/>
      <c r="GZI45" s="478"/>
      <c r="GZJ45" s="478"/>
      <c r="GZK45" s="478"/>
      <c r="GZL45" s="478"/>
      <c r="GZM45" s="478"/>
      <c r="GZN45" s="478"/>
      <c r="GZO45" s="478"/>
      <c r="GZP45" s="478"/>
      <c r="GZQ45" s="478"/>
      <c r="GZR45" s="478"/>
      <c r="GZS45" s="478"/>
      <c r="GZT45" s="478"/>
      <c r="GZU45" s="478"/>
      <c r="GZV45" s="478"/>
      <c r="GZW45" s="478"/>
      <c r="GZX45" s="478"/>
      <c r="GZY45" s="478"/>
      <c r="GZZ45" s="478"/>
      <c r="HAA45" s="478"/>
      <c r="HAB45" s="478"/>
      <c r="HAC45" s="478"/>
      <c r="HAD45" s="478"/>
      <c r="HAE45" s="478"/>
      <c r="HAF45" s="478"/>
      <c r="HAG45" s="478"/>
      <c r="HAH45" s="478"/>
      <c r="HAI45" s="478"/>
      <c r="HAJ45" s="478"/>
      <c r="HAK45" s="478"/>
      <c r="HAL45" s="478"/>
      <c r="HAM45" s="478"/>
      <c r="HAN45" s="478"/>
      <c r="HAO45" s="478"/>
      <c r="HAP45" s="478"/>
      <c r="HAQ45" s="478"/>
      <c r="HAR45" s="478"/>
      <c r="HAS45" s="478"/>
      <c r="HAT45" s="478"/>
      <c r="HAU45" s="478"/>
      <c r="HAV45" s="478"/>
      <c r="HAW45" s="478"/>
      <c r="HAX45" s="478"/>
      <c r="HAY45" s="478"/>
      <c r="HAZ45" s="478"/>
      <c r="HBA45" s="478"/>
      <c r="HBB45" s="478"/>
      <c r="HBC45" s="478"/>
      <c r="HBD45" s="478"/>
      <c r="HBE45" s="478"/>
      <c r="HBF45" s="478"/>
      <c r="HBG45" s="478"/>
      <c r="HBH45" s="478"/>
      <c r="HBI45" s="478"/>
      <c r="HBJ45" s="478"/>
      <c r="HBK45" s="478"/>
      <c r="HBL45" s="478"/>
      <c r="HBM45" s="478"/>
      <c r="HBN45" s="478"/>
      <c r="HBO45" s="478"/>
      <c r="HBP45" s="478"/>
      <c r="HBQ45" s="478"/>
      <c r="HBR45" s="478"/>
      <c r="HBS45" s="478"/>
      <c r="HBT45" s="478"/>
      <c r="HBU45" s="478"/>
      <c r="HBV45" s="478"/>
      <c r="HBW45" s="478"/>
      <c r="HBX45" s="478"/>
      <c r="HBY45" s="478"/>
      <c r="HBZ45" s="478"/>
      <c r="HCA45" s="478"/>
      <c r="HCB45" s="478"/>
      <c r="HCC45" s="478"/>
      <c r="HCD45" s="478"/>
      <c r="HCE45" s="478"/>
      <c r="HCF45" s="478"/>
      <c r="HCG45" s="478"/>
      <c r="HCH45" s="478"/>
      <c r="HCI45" s="478"/>
      <c r="HCJ45" s="478"/>
      <c r="HCK45" s="478"/>
      <c r="HCL45" s="478"/>
      <c r="HCM45" s="478"/>
      <c r="HCN45" s="478"/>
      <c r="HCO45" s="478"/>
      <c r="HCP45" s="478"/>
      <c r="HCQ45" s="478"/>
      <c r="HCR45" s="478"/>
      <c r="HCS45" s="478"/>
      <c r="HCT45" s="478"/>
      <c r="HCU45" s="478"/>
      <c r="HCV45" s="478"/>
      <c r="HCW45" s="478"/>
      <c r="HCX45" s="478"/>
      <c r="HCY45" s="478"/>
      <c r="HCZ45" s="478"/>
      <c r="HDA45" s="478"/>
      <c r="HDB45" s="478"/>
      <c r="HDC45" s="478"/>
      <c r="HDD45" s="478"/>
      <c r="HDE45" s="478"/>
      <c r="HDF45" s="478"/>
      <c r="HDG45" s="478"/>
      <c r="HDH45" s="478"/>
      <c r="HDI45" s="478"/>
      <c r="HDJ45" s="478"/>
      <c r="HDK45" s="478"/>
      <c r="HDL45" s="478"/>
      <c r="HDM45" s="478"/>
      <c r="HDN45" s="478"/>
      <c r="HDO45" s="478"/>
      <c r="HDP45" s="478"/>
      <c r="HDQ45" s="478"/>
      <c r="HDR45" s="478"/>
      <c r="HDS45" s="478"/>
      <c r="HDT45" s="478"/>
      <c r="HDU45" s="478"/>
      <c r="HDV45" s="478"/>
      <c r="HDW45" s="478"/>
      <c r="HDX45" s="478"/>
      <c r="HDY45" s="478"/>
      <c r="HDZ45" s="478"/>
      <c r="HEA45" s="478"/>
      <c r="HEB45" s="478"/>
      <c r="HEC45" s="478"/>
      <c r="HED45" s="478"/>
      <c r="HEE45" s="478"/>
      <c r="HEF45" s="478"/>
      <c r="HEG45" s="478"/>
      <c r="HEH45" s="478"/>
      <c r="HEI45" s="478"/>
      <c r="HEJ45" s="478"/>
      <c r="HEK45" s="478"/>
      <c r="HEL45" s="478"/>
      <c r="HEM45" s="478"/>
      <c r="HEN45" s="478"/>
      <c r="HEO45" s="478"/>
      <c r="HEP45" s="478"/>
      <c r="HEQ45" s="478"/>
      <c r="HER45" s="478"/>
      <c r="HES45" s="478"/>
      <c r="HET45" s="478"/>
      <c r="HEU45" s="478"/>
      <c r="HEV45" s="478"/>
      <c r="HEW45" s="478"/>
      <c r="HEX45" s="478"/>
      <c r="HEY45" s="478"/>
      <c r="HEZ45" s="478"/>
      <c r="HFA45" s="478"/>
      <c r="HFB45" s="478"/>
      <c r="HFC45" s="478"/>
      <c r="HFD45" s="478"/>
      <c r="HFE45" s="478"/>
      <c r="HFF45" s="478"/>
      <c r="HFG45" s="478"/>
      <c r="HFH45" s="478"/>
      <c r="HFI45" s="478"/>
      <c r="HFJ45" s="478"/>
      <c r="HFK45" s="478"/>
      <c r="HFL45" s="478"/>
      <c r="HFM45" s="478"/>
      <c r="HFN45" s="478"/>
      <c r="HFO45" s="478"/>
      <c r="HFP45" s="478"/>
      <c r="HFQ45" s="478"/>
      <c r="HFR45" s="478"/>
      <c r="HFS45" s="478"/>
      <c r="HFT45" s="478"/>
      <c r="HFU45" s="478"/>
      <c r="HFV45" s="478"/>
      <c r="HFW45" s="478"/>
      <c r="HFX45" s="478"/>
      <c r="HFY45" s="478"/>
      <c r="HFZ45" s="478"/>
      <c r="HGA45" s="478"/>
      <c r="HGB45" s="478"/>
      <c r="HGC45" s="478"/>
      <c r="HGD45" s="478"/>
      <c r="HGE45" s="478"/>
      <c r="HGF45" s="478"/>
      <c r="HGG45" s="478"/>
      <c r="HGH45" s="478"/>
      <c r="HGI45" s="478"/>
      <c r="HGJ45" s="478"/>
      <c r="HGK45" s="478"/>
      <c r="HGL45" s="478"/>
      <c r="HGM45" s="478"/>
      <c r="HGN45" s="478"/>
      <c r="HGO45" s="478"/>
      <c r="HGP45" s="478"/>
      <c r="HGQ45" s="478"/>
      <c r="HGR45" s="478"/>
      <c r="HGS45" s="478"/>
      <c r="HGT45" s="478"/>
      <c r="HGU45" s="478"/>
      <c r="HGV45" s="478"/>
      <c r="HGW45" s="478"/>
      <c r="HGX45" s="478"/>
      <c r="HGY45" s="478"/>
      <c r="HGZ45" s="478"/>
      <c r="HHA45" s="478"/>
      <c r="HHB45" s="478"/>
      <c r="HHC45" s="478"/>
      <c r="HHD45" s="478"/>
      <c r="HHE45" s="478"/>
      <c r="HHF45" s="478"/>
      <c r="HHG45" s="478"/>
      <c r="HHH45" s="478"/>
      <c r="HHI45" s="478"/>
      <c r="HHJ45" s="478"/>
      <c r="HHK45" s="478"/>
      <c r="HHL45" s="478"/>
      <c r="HHM45" s="478"/>
      <c r="HHN45" s="478"/>
      <c r="HHO45" s="478"/>
      <c r="HHP45" s="478"/>
      <c r="HHQ45" s="478"/>
      <c r="HHR45" s="478"/>
      <c r="HHS45" s="478"/>
      <c r="HHT45" s="478"/>
      <c r="HHU45" s="478"/>
      <c r="HHV45" s="478"/>
      <c r="HHW45" s="478"/>
      <c r="HHX45" s="478"/>
      <c r="HHY45" s="478"/>
      <c r="HHZ45" s="478"/>
      <c r="HIA45" s="478"/>
      <c r="HIB45" s="478"/>
      <c r="HIC45" s="478"/>
      <c r="HID45" s="478"/>
      <c r="HIE45" s="478"/>
      <c r="HIF45" s="478"/>
      <c r="HIG45" s="478"/>
      <c r="HIH45" s="478"/>
      <c r="HII45" s="478"/>
      <c r="HIJ45" s="478"/>
      <c r="HIK45" s="478"/>
      <c r="HIL45" s="478"/>
      <c r="HIM45" s="478"/>
      <c r="HIN45" s="478"/>
      <c r="HIO45" s="478"/>
      <c r="HIP45" s="478"/>
      <c r="HIQ45" s="478"/>
      <c r="HIR45" s="478"/>
      <c r="HIS45" s="478"/>
      <c r="HIT45" s="478"/>
      <c r="HIU45" s="478"/>
      <c r="HIV45" s="478"/>
      <c r="HIW45" s="478"/>
      <c r="HIX45" s="478"/>
      <c r="HIY45" s="478"/>
      <c r="HIZ45" s="478"/>
      <c r="HJA45" s="478"/>
      <c r="HJB45" s="478"/>
      <c r="HJC45" s="478"/>
      <c r="HJD45" s="478"/>
      <c r="HJE45" s="478"/>
      <c r="HJF45" s="478"/>
      <c r="HJG45" s="478"/>
      <c r="HJH45" s="478"/>
      <c r="HJI45" s="478"/>
      <c r="HJJ45" s="478"/>
      <c r="HJK45" s="478"/>
      <c r="HJL45" s="478"/>
      <c r="HJM45" s="478"/>
      <c r="HJN45" s="478"/>
      <c r="HJO45" s="478"/>
      <c r="HJP45" s="478"/>
      <c r="HJQ45" s="478"/>
      <c r="HJR45" s="478"/>
      <c r="HJS45" s="478"/>
      <c r="HJT45" s="478"/>
      <c r="HJU45" s="478"/>
      <c r="HJV45" s="478"/>
      <c r="HJW45" s="478"/>
      <c r="HJX45" s="478"/>
      <c r="HJY45" s="478"/>
      <c r="HJZ45" s="478"/>
      <c r="HKA45" s="478"/>
      <c r="HKB45" s="478"/>
      <c r="HKC45" s="478"/>
      <c r="HKD45" s="478"/>
      <c r="HKE45" s="478"/>
      <c r="HKF45" s="478"/>
      <c r="HKG45" s="478"/>
      <c r="HKH45" s="478"/>
      <c r="HKI45" s="478"/>
      <c r="HKJ45" s="478"/>
      <c r="HKK45" s="478"/>
      <c r="HKL45" s="478"/>
      <c r="HKM45" s="478"/>
      <c r="HKN45" s="478"/>
      <c r="HKO45" s="478"/>
      <c r="HKP45" s="478"/>
      <c r="HKQ45" s="478"/>
      <c r="HKR45" s="478"/>
      <c r="HKS45" s="478"/>
      <c r="HKT45" s="478"/>
      <c r="HKU45" s="478"/>
      <c r="HKV45" s="478"/>
      <c r="HKW45" s="478"/>
      <c r="HKX45" s="478"/>
      <c r="HKY45" s="478"/>
      <c r="HKZ45" s="478"/>
      <c r="HLA45" s="478"/>
      <c r="HLB45" s="478"/>
      <c r="HLC45" s="478"/>
      <c r="HLD45" s="478"/>
      <c r="HLE45" s="478"/>
      <c r="HLF45" s="478"/>
      <c r="HLG45" s="478"/>
      <c r="HLH45" s="478"/>
      <c r="HLI45" s="478"/>
      <c r="HLJ45" s="478"/>
      <c r="HLK45" s="478"/>
      <c r="HLL45" s="478"/>
      <c r="HLM45" s="478"/>
      <c r="HLN45" s="478"/>
      <c r="HLO45" s="478"/>
      <c r="HLP45" s="478"/>
      <c r="HLQ45" s="478"/>
      <c r="HLR45" s="478"/>
      <c r="HLS45" s="478"/>
      <c r="HLT45" s="478"/>
      <c r="HLU45" s="478"/>
      <c r="HLV45" s="478"/>
      <c r="HLW45" s="478"/>
      <c r="HLX45" s="478"/>
      <c r="HLY45" s="478"/>
      <c r="HLZ45" s="478"/>
      <c r="HMA45" s="478"/>
      <c r="HMB45" s="478"/>
      <c r="HMC45" s="478"/>
      <c r="HMD45" s="478"/>
      <c r="HME45" s="478"/>
      <c r="HMF45" s="478"/>
      <c r="HMG45" s="478"/>
      <c r="HMH45" s="478"/>
      <c r="HMI45" s="478"/>
      <c r="HMJ45" s="478"/>
      <c r="HMK45" s="478"/>
      <c r="HML45" s="478"/>
      <c r="HMM45" s="478"/>
      <c r="HMN45" s="478"/>
      <c r="HMO45" s="478"/>
      <c r="HMP45" s="478"/>
      <c r="HMQ45" s="478"/>
      <c r="HMR45" s="478"/>
      <c r="HMS45" s="478"/>
      <c r="HMT45" s="478"/>
      <c r="HMU45" s="478"/>
      <c r="HMV45" s="478"/>
      <c r="HMW45" s="478"/>
      <c r="HMX45" s="478"/>
      <c r="HMY45" s="478"/>
      <c r="HMZ45" s="478"/>
      <c r="HNA45" s="478"/>
      <c r="HNB45" s="478"/>
      <c r="HNC45" s="478"/>
      <c r="HND45" s="478"/>
      <c r="HNE45" s="478"/>
      <c r="HNF45" s="478"/>
      <c r="HNG45" s="478"/>
      <c r="HNH45" s="478"/>
      <c r="HNI45" s="478"/>
      <c r="HNJ45" s="478"/>
      <c r="HNK45" s="478"/>
      <c r="HNL45" s="478"/>
      <c r="HNM45" s="478"/>
      <c r="HNN45" s="478"/>
      <c r="HNO45" s="478"/>
      <c r="HNP45" s="478"/>
      <c r="HNQ45" s="478"/>
      <c r="HNR45" s="478"/>
      <c r="HNS45" s="478"/>
      <c r="HNT45" s="478"/>
      <c r="HNU45" s="478"/>
      <c r="HNV45" s="478"/>
      <c r="HNW45" s="478"/>
      <c r="HNX45" s="478"/>
      <c r="HNY45" s="478"/>
      <c r="HNZ45" s="478"/>
      <c r="HOA45" s="478"/>
      <c r="HOB45" s="478"/>
      <c r="HOC45" s="478"/>
      <c r="HOD45" s="478"/>
      <c r="HOE45" s="478"/>
      <c r="HOF45" s="478"/>
      <c r="HOG45" s="478"/>
      <c r="HOH45" s="478"/>
      <c r="HOI45" s="478"/>
      <c r="HOJ45" s="478"/>
      <c r="HOK45" s="478"/>
      <c r="HOL45" s="478"/>
      <c r="HOM45" s="478"/>
      <c r="HON45" s="478"/>
      <c r="HOO45" s="478"/>
      <c r="HOP45" s="478"/>
      <c r="HOQ45" s="478"/>
      <c r="HOR45" s="478"/>
      <c r="HOS45" s="478"/>
      <c r="HOT45" s="478"/>
      <c r="HOU45" s="478"/>
      <c r="HOV45" s="478"/>
      <c r="HOW45" s="478"/>
      <c r="HOX45" s="478"/>
      <c r="HOY45" s="478"/>
      <c r="HOZ45" s="478"/>
      <c r="HPA45" s="478"/>
      <c r="HPB45" s="478"/>
      <c r="HPC45" s="478"/>
      <c r="HPD45" s="478"/>
      <c r="HPE45" s="478"/>
      <c r="HPF45" s="478"/>
      <c r="HPG45" s="478"/>
      <c r="HPH45" s="478"/>
      <c r="HPI45" s="478"/>
      <c r="HPJ45" s="478"/>
      <c r="HPK45" s="478"/>
      <c r="HPL45" s="478"/>
      <c r="HPM45" s="478"/>
      <c r="HPN45" s="478"/>
      <c r="HPO45" s="478"/>
      <c r="HPP45" s="478"/>
      <c r="HPQ45" s="478"/>
      <c r="HPR45" s="478"/>
      <c r="HPS45" s="478"/>
      <c r="HPT45" s="478"/>
      <c r="HPU45" s="478"/>
      <c r="HPV45" s="478"/>
      <c r="HPW45" s="478"/>
      <c r="HPX45" s="478"/>
      <c r="HPY45" s="478"/>
      <c r="HPZ45" s="478"/>
      <c r="HQA45" s="478"/>
      <c r="HQB45" s="478"/>
      <c r="HQC45" s="478"/>
      <c r="HQD45" s="478"/>
      <c r="HQE45" s="478"/>
      <c r="HQF45" s="478"/>
      <c r="HQG45" s="478"/>
      <c r="HQH45" s="478"/>
      <c r="HQI45" s="478"/>
      <c r="HQJ45" s="478"/>
      <c r="HQK45" s="478"/>
      <c r="HQL45" s="478"/>
      <c r="HQM45" s="478"/>
      <c r="HQN45" s="478"/>
      <c r="HQO45" s="478"/>
      <c r="HQP45" s="478"/>
      <c r="HQQ45" s="478"/>
      <c r="HQR45" s="478"/>
      <c r="HQS45" s="478"/>
      <c r="HQT45" s="478"/>
      <c r="HQU45" s="478"/>
      <c r="HQV45" s="478"/>
      <c r="HQW45" s="478"/>
      <c r="HQX45" s="478"/>
      <c r="HQY45" s="478"/>
      <c r="HQZ45" s="478"/>
      <c r="HRA45" s="478"/>
      <c r="HRB45" s="478"/>
      <c r="HRC45" s="478"/>
      <c r="HRD45" s="478"/>
      <c r="HRE45" s="478"/>
      <c r="HRF45" s="478"/>
      <c r="HRG45" s="478"/>
      <c r="HRH45" s="478"/>
      <c r="HRI45" s="478"/>
      <c r="HRJ45" s="478"/>
      <c r="HRK45" s="478"/>
      <c r="HRL45" s="478"/>
      <c r="HRM45" s="478"/>
      <c r="HRN45" s="478"/>
      <c r="HRO45" s="478"/>
      <c r="HRP45" s="478"/>
      <c r="HRQ45" s="478"/>
      <c r="HRR45" s="478"/>
      <c r="HRS45" s="478"/>
      <c r="HRT45" s="478"/>
      <c r="HRU45" s="478"/>
      <c r="HRV45" s="478"/>
      <c r="HRW45" s="478"/>
      <c r="HRX45" s="478"/>
      <c r="HRY45" s="478"/>
      <c r="HRZ45" s="478"/>
      <c r="HSA45" s="478"/>
      <c r="HSB45" s="478"/>
      <c r="HSC45" s="478"/>
      <c r="HSD45" s="478"/>
      <c r="HSE45" s="478"/>
      <c r="HSF45" s="478"/>
      <c r="HSG45" s="478"/>
      <c r="HSH45" s="478"/>
      <c r="HSI45" s="478"/>
      <c r="HSJ45" s="478"/>
      <c r="HSK45" s="478"/>
      <c r="HSL45" s="478"/>
      <c r="HSM45" s="478"/>
      <c r="HSN45" s="478"/>
      <c r="HSO45" s="478"/>
      <c r="HSP45" s="478"/>
      <c r="HSQ45" s="478"/>
      <c r="HSR45" s="478"/>
      <c r="HSS45" s="478"/>
      <c r="HST45" s="478"/>
      <c r="HSU45" s="478"/>
      <c r="HSV45" s="478"/>
      <c r="HSW45" s="478"/>
      <c r="HSX45" s="478"/>
      <c r="HSY45" s="478"/>
      <c r="HSZ45" s="478"/>
      <c r="HTA45" s="478"/>
      <c r="HTB45" s="478"/>
      <c r="HTC45" s="478"/>
      <c r="HTD45" s="478"/>
      <c r="HTE45" s="478"/>
      <c r="HTF45" s="478"/>
      <c r="HTG45" s="478"/>
      <c r="HTH45" s="478"/>
      <c r="HTI45" s="478"/>
      <c r="HTJ45" s="478"/>
      <c r="HTK45" s="478"/>
      <c r="HTL45" s="478"/>
      <c r="HTM45" s="478"/>
      <c r="HTN45" s="478"/>
      <c r="HTO45" s="478"/>
      <c r="HTP45" s="478"/>
      <c r="HTQ45" s="478"/>
      <c r="HTR45" s="478"/>
      <c r="HTS45" s="478"/>
      <c r="HTT45" s="478"/>
      <c r="HTU45" s="478"/>
      <c r="HTV45" s="478"/>
      <c r="HTW45" s="478"/>
      <c r="HTX45" s="478"/>
      <c r="HTY45" s="478"/>
      <c r="HTZ45" s="478"/>
      <c r="HUA45" s="478"/>
      <c r="HUB45" s="478"/>
      <c r="HUC45" s="478"/>
      <c r="HUD45" s="478"/>
      <c r="HUE45" s="478"/>
      <c r="HUF45" s="478"/>
      <c r="HUG45" s="478"/>
      <c r="HUH45" s="478"/>
      <c r="HUI45" s="478"/>
      <c r="HUJ45" s="478"/>
      <c r="HUK45" s="478"/>
      <c r="HUL45" s="478"/>
      <c r="HUM45" s="478"/>
      <c r="HUN45" s="478"/>
      <c r="HUO45" s="478"/>
      <c r="HUP45" s="478"/>
      <c r="HUQ45" s="478"/>
      <c r="HUR45" s="478"/>
      <c r="HUS45" s="478"/>
      <c r="HUT45" s="478"/>
      <c r="HUU45" s="478"/>
      <c r="HUV45" s="478"/>
      <c r="HUW45" s="478"/>
      <c r="HUX45" s="478"/>
      <c r="HUY45" s="478"/>
      <c r="HUZ45" s="478"/>
      <c r="HVA45" s="478"/>
      <c r="HVB45" s="478"/>
      <c r="HVC45" s="478"/>
      <c r="HVD45" s="478"/>
      <c r="HVE45" s="478"/>
      <c r="HVF45" s="478"/>
      <c r="HVG45" s="478"/>
      <c r="HVH45" s="478"/>
      <c r="HVI45" s="478"/>
      <c r="HVJ45" s="478"/>
      <c r="HVK45" s="478"/>
      <c r="HVL45" s="478"/>
      <c r="HVM45" s="478"/>
      <c r="HVN45" s="478"/>
      <c r="HVO45" s="478"/>
      <c r="HVP45" s="478"/>
      <c r="HVQ45" s="478"/>
      <c r="HVR45" s="478"/>
      <c r="HVS45" s="478"/>
      <c r="HVT45" s="478"/>
      <c r="HVU45" s="478"/>
      <c r="HVV45" s="478"/>
      <c r="HVW45" s="478"/>
      <c r="HVX45" s="478"/>
      <c r="HVY45" s="478"/>
      <c r="HVZ45" s="478"/>
      <c r="HWA45" s="478"/>
      <c r="HWB45" s="478"/>
      <c r="HWC45" s="478"/>
      <c r="HWD45" s="478"/>
      <c r="HWE45" s="478"/>
      <c r="HWF45" s="478"/>
      <c r="HWG45" s="478"/>
      <c r="HWH45" s="478"/>
      <c r="HWI45" s="478"/>
      <c r="HWJ45" s="478"/>
      <c r="HWK45" s="478"/>
      <c r="HWL45" s="478"/>
      <c r="HWM45" s="478"/>
      <c r="HWN45" s="478"/>
      <c r="HWO45" s="478"/>
      <c r="HWP45" s="478"/>
      <c r="HWQ45" s="478"/>
      <c r="HWR45" s="478"/>
      <c r="HWS45" s="478"/>
      <c r="HWT45" s="478"/>
      <c r="HWU45" s="478"/>
      <c r="HWV45" s="478"/>
      <c r="HWW45" s="478"/>
      <c r="HWX45" s="478"/>
      <c r="HWY45" s="478"/>
      <c r="HWZ45" s="478"/>
      <c r="HXA45" s="478"/>
      <c r="HXB45" s="478"/>
      <c r="HXC45" s="478"/>
      <c r="HXD45" s="478"/>
      <c r="HXE45" s="478"/>
      <c r="HXF45" s="478"/>
      <c r="HXG45" s="478"/>
      <c r="HXH45" s="478"/>
      <c r="HXI45" s="478"/>
      <c r="HXJ45" s="478"/>
      <c r="HXK45" s="478"/>
      <c r="HXL45" s="478"/>
      <c r="HXM45" s="478"/>
      <c r="HXN45" s="478"/>
      <c r="HXO45" s="478"/>
      <c r="HXP45" s="478"/>
      <c r="HXQ45" s="478"/>
      <c r="HXR45" s="478"/>
      <c r="HXS45" s="478"/>
      <c r="HXT45" s="478"/>
      <c r="HXU45" s="478"/>
      <c r="HXV45" s="478"/>
      <c r="HXW45" s="478"/>
      <c r="HXX45" s="478"/>
      <c r="HXY45" s="478"/>
      <c r="HXZ45" s="478"/>
      <c r="HYA45" s="478"/>
      <c r="HYB45" s="478"/>
      <c r="HYC45" s="478"/>
      <c r="HYD45" s="478"/>
      <c r="HYE45" s="478"/>
      <c r="HYF45" s="478"/>
      <c r="HYG45" s="478"/>
      <c r="HYH45" s="478"/>
      <c r="HYI45" s="478"/>
      <c r="HYJ45" s="478"/>
      <c r="HYK45" s="478"/>
      <c r="HYL45" s="478"/>
      <c r="HYM45" s="478"/>
      <c r="HYN45" s="478"/>
      <c r="HYO45" s="478"/>
      <c r="HYP45" s="478"/>
      <c r="HYQ45" s="478"/>
      <c r="HYR45" s="478"/>
      <c r="HYS45" s="478"/>
      <c r="HYT45" s="478"/>
      <c r="HYU45" s="478"/>
      <c r="HYV45" s="478"/>
      <c r="HYW45" s="478"/>
      <c r="HYX45" s="478"/>
      <c r="HYY45" s="478"/>
      <c r="HYZ45" s="478"/>
      <c r="HZA45" s="478"/>
      <c r="HZB45" s="478"/>
      <c r="HZC45" s="478"/>
      <c r="HZD45" s="478"/>
      <c r="HZE45" s="478"/>
      <c r="HZF45" s="478"/>
      <c r="HZG45" s="478"/>
      <c r="HZH45" s="478"/>
      <c r="HZI45" s="478"/>
      <c r="HZJ45" s="478"/>
      <c r="HZK45" s="478"/>
      <c r="HZL45" s="478"/>
      <c r="HZM45" s="478"/>
      <c r="HZN45" s="478"/>
      <c r="HZO45" s="478"/>
      <c r="HZP45" s="478"/>
      <c r="HZQ45" s="478"/>
      <c r="HZR45" s="478"/>
      <c r="HZS45" s="478"/>
      <c r="HZT45" s="478"/>
      <c r="HZU45" s="478"/>
      <c r="HZV45" s="478"/>
      <c r="HZW45" s="478"/>
      <c r="HZX45" s="478"/>
      <c r="HZY45" s="478"/>
      <c r="HZZ45" s="478"/>
      <c r="IAA45" s="478"/>
      <c r="IAB45" s="478"/>
      <c r="IAC45" s="478"/>
      <c r="IAD45" s="478"/>
      <c r="IAE45" s="478"/>
      <c r="IAF45" s="478"/>
      <c r="IAG45" s="478"/>
      <c r="IAH45" s="478"/>
      <c r="IAI45" s="478"/>
      <c r="IAJ45" s="478"/>
      <c r="IAK45" s="478"/>
      <c r="IAL45" s="478"/>
      <c r="IAM45" s="478"/>
      <c r="IAN45" s="478"/>
      <c r="IAO45" s="478"/>
      <c r="IAP45" s="478"/>
      <c r="IAQ45" s="478"/>
      <c r="IAR45" s="478"/>
      <c r="IAS45" s="478"/>
      <c r="IAT45" s="478"/>
      <c r="IAU45" s="478"/>
      <c r="IAV45" s="478"/>
      <c r="IAW45" s="478"/>
      <c r="IAX45" s="478"/>
      <c r="IAY45" s="478"/>
      <c r="IAZ45" s="478"/>
      <c r="IBA45" s="478"/>
      <c r="IBB45" s="478"/>
      <c r="IBC45" s="478"/>
      <c r="IBD45" s="478"/>
      <c r="IBE45" s="478"/>
      <c r="IBF45" s="478"/>
      <c r="IBG45" s="478"/>
      <c r="IBH45" s="478"/>
      <c r="IBI45" s="478"/>
      <c r="IBJ45" s="478"/>
      <c r="IBK45" s="478"/>
      <c r="IBL45" s="478"/>
      <c r="IBM45" s="478"/>
      <c r="IBN45" s="478"/>
      <c r="IBO45" s="478"/>
      <c r="IBP45" s="478"/>
      <c r="IBQ45" s="478"/>
      <c r="IBR45" s="478"/>
      <c r="IBS45" s="478"/>
      <c r="IBT45" s="478"/>
      <c r="IBU45" s="478"/>
      <c r="IBV45" s="478"/>
      <c r="IBW45" s="478"/>
      <c r="IBX45" s="478"/>
      <c r="IBY45" s="478"/>
      <c r="IBZ45" s="478"/>
      <c r="ICA45" s="478"/>
      <c r="ICB45" s="478"/>
      <c r="ICC45" s="478"/>
      <c r="ICD45" s="478"/>
      <c r="ICE45" s="478"/>
      <c r="ICF45" s="478"/>
      <c r="ICG45" s="478"/>
      <c r="ICH45" s="478"/>
      <c r="ICI45" s="478"/>
      <c r="ICJ45" s="478"/>
      <c r="ICK45" s="478"/>
      <c r="ICL45" s="478"/>
      <c r="ICM45" s="478"/>
      <c r="ICN45" s="478"/>
      <c r="ICO45" s="478"/>
      <c r="ICP45" s="478"/>
      <c r="ICQ45" s="478"/>
      <c r="ICR45" s="478"/>
      <c r="ICS45" s="478"/>
      <c r="ICT45" s="478"/>
      <c r="ICU45" s="478"/>
      <c r="ICV45" s="478"/>
      <c r="ICW45" s="478"/>
      <c r="ICX45" s="478"/>
      <c r="ICY45" s="478"/>
      <c r="ICZ45" s="478"/>
      <c r="IDA45" s="478"/>
      <c r="IDB45" s="478"/>
      <c r="IDC45" s="478"/>
      <c r="IDD45" s="478"/>
      <c r="IDE45" s="478"/>
      <c r="IDF45" s="478"/>
      <c r="IDG45" s="478"/>
      <c r="IDH45" s="478"/>
      <c r="IDI45" s="478"/>
      <c r="IDJ45" s="478"/>
      <c r="IDK45" s="478"/>
      <c r="IDL45" s="478"/>
      <c r="IDM45" s="478"/>
      <c r="IDN45" s="478"/>
      <c r="IDO45" s="478"/>
      <c r="IDP45" s="478"/>
      <c r="IDQ45" s="478"/>
      <c r="IDR45" s="478"/>
      <c r="IDS45" s="478"/>
      <c r="IDT45" s="478"/>
      <c r="IDU45" s="478"/>
      <c r="IDV45" s="478"/>
      <c r="IDW45" s="478"/>
      <c r="IDX45" s="478"/>
      <c r="IDY45" s="478"/>
      <c r="IDZ45" s="478"/>
      <c r="IEA45" s="478"/>
      <c r="IEB45" s="478"/>
      <c r="IEC45" s="478"/>
      <c r="IED45" s="478"/>
      <c r="IEE45" s="478"/>
      <c r="IEF45" s="478"/>
      <c r="IEG45" s="478"/>
      <c r="IEH45" s="478"/>
      <c r="IEI45" s="478"/>
      <c r="IEJ45" s="478"/>
      <c r="IEK45" s="478"/>
      <c r="IEL45" s="478"/>
      <c r="IEM45" s="478"/>
      <c r="IEN45" s="478"/>
      <c r="IEO45" s="478"/>
      <c r="IEP45" s="478"/>
      <c r="IEQ45" s="478"/>
      <c r="IER45" s="478"/>
      <c r="IES45" s="478"/>
      <c r="IET45" s="478"/>
      <c r="IEU45" s="478"/>
      <c r="IEV45" s="478"/>
      <c r="IEW45" s="478"/>
      <c r="IEX45" s="478"/>
      <c r="IEY45" s="478"/>
      <c r="IEZ45" s="478"/>
      <c r="IFA45" s="478"/>
      <c r="IFB45" s="478"/>
      <c r="IFC45" s="478"/>
      <c r="IFD45" s="478"/>
      <c r="IFE45" s="478"/>
      <c r="IFF45" s="478"/>
      <c r="IFG45" s="478"/>
      <c r="IFH45" s="478"/>
      <c r="IFI45" s="478"/>
      <c r="IFJ45" s="478"/>
      <c r="IFK45" s="478"/>
      <c r="IFL45" s="478"/>
      <c r="IFM45" s="478"/>
      <c r="IFN45" s="478"/>
      <c r="IFO45" s="478"/>
      <c r="IFP45" s="478"/>
      <c r="IFQ45" s="478"/>
      <c r="IFR45" s="478"/>
      <c r="IFS45" s="478"/>
      <c r="IFT45" s="478"/>
      <c r="IFU45" s="478"/>
      <c r="IFV45" s="478"/>
      <c r="IFW45" s="478"/>
      <c r="IFX45" s="478"/>
      <c r="IFY45" s="478"/>
      <c r="IFZ45" s="478"/>
      <c r="IGA45" s="478"/>
      <c r="IGB45" s="478"/>
      <c r="IGC45" s="478"/>
      <c r="IGD45" s="478"/>
      <c r="IGE45" s="478"/>
      <c r="IGF45" s="478"/>
      <c r="IGG45" s="478"/>
      <c r="IGH45" s="478"/>
      <c r="IGI45" s="478"/>
      <c r="IGJ45" s="478"/>
      <c r="IGK45" s="478"/>
      <c r="IGL45" s="478"/>
      <c r="IGM45" s="478"/>
      <c r="IGN45" s="478"/>
      <c r="IGO45" s="478"/>
      <c r="IGP45" s="478"/>
      <c r="IGQ45" s="478"/>
      <c r="IGR45" s="478"/>
      <c r="IGS45" s="478"/>
      <c r="IGT45" s="478"/>
      <c r="IGU45" s="478"/>
      <c r="IGV45" s="478"/>
      <c r="IGW45" s="478"/>
      <c r="IGX45" s="478"/>
      <c r="IGY45" s="478"/>
      <c r="IGZ45" s="478"/>
      <c r="IHA45" s="478"/>
      <c r="IHB45" s="478"/>
      <c r="IHC45" s="478"/>
      <c r="IHD45" s="478"/>
      <c r="IHE45" s="478"/>
      <c r="IHF45" s="478"/>
      <c r="IHG45" s="478"/>
      <c r="IHH45" s="478"/>
      <c r="IHI45" s="478"/>
      <c r="IHJ45" s="478"/>
      <c r="IHK45" s="478"/>
      <c r="IHL45" s="478"/>
      <c r="IHM45" s="478"/>
      <c r="IHN45" s="478"/>
      <c r="IHO45" s="478"/>
      <c r="IHP45" s="478"/>
      <c r="IHQ45" s="478"/>
      <c r="IHR45" s="478"/>
      <c r="IHS45" s="478"/>
      <c r="IHT45" s="478"/>
      <c r="IHU45" s="478"/>
      <c r="IHV45" s="478"/>
      <c r="IHW45" s="478"/>
      <c r="IHX45" s="478"/>
      <c r="IHY45" s="478"/>
      <c r="IHZ45" s="478"/>
      <c r="IIA45" s="478"/>
      <c r="IIB45" s="478"/>
      <c r="IIC45" s="478"/>
      <c r="IID45" s="478"/>
      <c r="IIE45" s="478"/>
      <c r="IIF45" s="478"/>
      <c r="IIG45" s="478"/>
      <c r="IIH45" s="478"/>
      <c r="III45" s="478"/>
      <c r="IIJ45" s="478"/>
      <c r="IIK45" s="478"/>
      <c r="IIL45" s="478"/>
      <c r="IIM45" s="478"/>
      <c r="IIN45" s="478"/>
      <c r="IIO45" s="478"/>
      <c r="IIP45" s="478"/>
      <c r="IIQ45" s="478"/>
      <c r="IIR45" s="478"/>
      <c r="IIS45" s="478"/>
      <c r="IIT45" s="478"/>
      <c r="IIU45" s="478"/>
      <c r="IIV45" s="478"/>
      <c r="IIW45" s="478"/>
      <c r="IIX45" s="478"/>
      <c r="IIY45" s="478"/>
      <c r="IIZ45" s="478"/>
      <c r="IJA45" s="478"/>
      <c r="IJB45" s="478"/>
      <c r="IJC45" s="478"/>
      <c r="IJD45" s="478"/>
      <c r="IJE45" s="478"/>
      <c r="IJF45" s="478"/>
      <c r="IJG45" s="478"/>
      <c r="IJH45" s="478"/>
      <c r="IJI45" s="478"/>
      <c r="IJJ45" s="478"/>
      <c r="IJK45" s="478"/>
      <c r="IJL45" s="478"/>
      <c r="IJM45" s="478"/>
      <c r="IJN45" s="478"/>
      <c r="IJO45" s="478"/>
      <c r="IJP45" s="478"/>
      <c r="IJQ45" s="478"/>
      <c r="IJR45" s="478"/>
      <c r="IJS45" s="478"/>
      <c r="IJT45" s="478"/>
      <c r="IJU45" s="478"/>
      <c r="IJV45" s="478"/>
      <c r="IJW45" s="478"/>
      <c r="IJX45" s="478"/>
      <c r="IJY45" s="478"/>
      <c r="IJZ45" s="478"/>
      <c r="IKA45" s="478"/>
      <c r="IKB45" s="478"/>
      <c r="IKC45" s="478"/>
      <c r="IKD45" s="478"/>
      <c r="IKE45" s="478"/>
      <c r="IKF45" s="478"/>
      <c r="IKG45" s="478"/>
      <c r="IKH45" s="478"/>
      <c r="IKI45" s="478"/>
      <c r="IKJ45" s="478"/>
      <c r="IKK45" s="478"/>
      <c r="IKL45" s="478"/>
      <c r="IKM45" s="478"/>
      <c r="IKN45" s="478"/>
      <c r="IKO45" s="478"/>
      <c r="IKP45" s="478"/>
      <c r="IKQ45" s="478"/>
      <c r="IKR45" s="478"/>
      <c r="IKS45" s="478"/>
      <c r="IKT45" s="478"/>
      <c r="IKU45" s="478"/>
      <c r="IKV45" s="478"/>
      <c r="IKW45" s="478"/>
      <c r="IKX45" s="478"/>
      <c r="IKY45" s="478"/>
      <c r="IKZ45" s="478"/>
      <c r="ILA45" s="478"/>
      <c r="ILB45" s="478"/>
      <c r="ILC45" s="478"/>
      <c r="ILD45" s="478"/>
      <c r="ILE45" s="478"/>
      <c r="ILF45" s="478"/>
      <c r="ILG45" s="478"/>
      <c r="ILH45" s="478"/>
      <c r="ILI45" s="478"/>
      <c r="ILJ45" s="478"/>
      <c r="ILK45" s="478"/>
      <c r="ILL45" s="478"/>
      <c r="ILM45" s="478"/>
      <c r="ILN45" s="478"/>
      <c r="ILO45" s="478"/>
      <c r="ILP45" s="478"/>
      <c r="ILQ45" s="478"/>
      <c r="ILR45" s="478"/>
      <c r="ILS45" s="478"/>
      <c r="ILT45" s="478"/>
      <c r="ILU45" s="478"/>
      <c r="ILV45" s="478"/>
      <c r="ILW45" s="478"/>
      <c r="ILX45" s="478"/>
      <c r="ILY45" s="478"/>
      <c r="ILZ45" s="478"/>
      <c r="IMA45" s="478"/>
      <c r="IMB45" s="478"/>
      <c r="IMC45" s="478"/>
      <c r="IMD45" s="478"/>
      <c r="IME45" s="478"/>
      <c r="IMF45" s="478"/>
      <c r="IMG45" s="478"/>
      <c r="IMH45" s="478"/>
      <c r="IMI45" s="478"/>
      <c r="IMJ45" s="478"/>
      <c r="IMK45" s="478"/>
      <c r="IML45" s="478"/>
      <c r="IMM45" s="478"/>
      <c r="IMN45" s="478"/>
      <c r="IMO45" s="478"/>
      <c r="IMP45" s="478"/>
      <c r="IMQ45" s="478"/>
      <c r="IMR45" s="478"/>
      <c r="IMS45" s="478"/>
      <c r="IMT45" s="478"/>
      <c r="IMU45" s="478"/>
      <c r="IMV45" s="478"/>
      <c r="IMW45" s="478"/>
      <c r="IMX45" s="478"/>
      <c r="IMY45" s="478"/>
      <c r="IMZ45" s="478"/>
      <c r="INA45" s="478"/>
      <c r="INB45" s="478"/>
      <c r="INC45" s="478"/>
      <c r="IND45" s="478"/>
      <c r="INE45" s="478"/>
      <c r="INF45" s="478"/>
      <c r="ING45" s="478"/>
      <c r="INH45" s="478"/>
      <c r="INI45" s="478"/>
      <c r="INJ45" s="478"/>
      <c r="INK45" s="478"/>
      <c r="INL45" s="478"/>
      <c r="INM45" s="478"/>
      <c r="INN45" s="478"/>
      <c r="INO45" s="478"/>
      <c r="INP45" s="478"/>
      <c r="INQ45" s="478"/>
      <c r="INR45" s="478"/>
      <c r="INS45" s="478"/>
      <c r="INT45" s="478"/>
      <c r="INU45" s="478"/>
      <c r="INV45" s="478"/>
      <c r="INW45" s="478"/>
      <c r="INX45" s="478"/>
      <c r="INY45" s="478"/>
      <c r="INZ45" s="478"/>
      <c r="IOA45" s="478"/>
      <c r="IOB45" s="478"/>
      <c r="IOC45" s="478"/>
      <c r="IOD45" s="478"/>
      <c r="IOE45" s="478"/>
      <c r="IOF45" s="478"/>
      <c r="IOG45" s="478"/>
      <c r="IOH45" s="478"/>
      <c r="IOI45" s="478"/>
      <c r="IOJ45" s="478"/>
      <c r="IOK45" s="478"/>
      <c r="IOL45" s="478"/>
      <c r="IOM45" s="478"/>
      <c r="ION45" s="478"/>
      <c r="IOO45" s="478"/>
      <c r="IOP45" s="478"/>
      <c r="IOQ45" s="478"/>
      <c r="IOR45" s="478"/>
      <c r="IOS45" s="478"/>
      <c r="IOT45" s="478"/>
      <c r="IOU45" s="478"/>
      <c r="IOV45" s="478"/>
      <c r="IOW45" s="478"/>
      <c r="IOX45" s="478"/>
      <c r="IOY45" s="478"/>
      <c r="IOZ45" s="478"/>
      <c r="IPA45" s="478"/>
      <c r="IPB45" s="478"/>
      <c r="IPC45" s="478"/>
      <c r="IPD45" s="478"/>
      <c r="IPE45" s="478"/>
      <c r="IPF45" s="478"/>
      <c r="IPG45" s="478"/>
      <c r="IPH45" s="478"/>
      <c r="IPI45" s="478"/>
      <c r="IPJ45" s="478"/>
      <c r="IPK45" s="478"/>
      <c r="IPL45" s="478"/>
      <c r="IPM45" s="478"/>
      <c r="IPN45" s="478"/>
      <c r="IPO45" s="478"/>
      <c r="IPP45" s="478"/>
      <c r="IPQ45" s="478"/>
      <c r="IPR45" s="478"/>
      <c r="IPS45" s="478"/>
      <c r="IPT45" s="478"/>
      <c r="IPU45" s="478"/>
      <c r="IPV45" s="478"/>
      <c r="IPW45" s="478"/>
      <c r="IPX45" s="478"/>
      <c r="IPY45" s="478"/>
      <c r="IPZ45" s="478"/>
      <c r="IQA45" s="478"/>
      <c r="IQB45" s="478"/>
      <c r="IQC45" s="478"/>
      <c r="IQD45" s="478"/>
      <c r="IQE45" s="478"/>
      <c r="IQF45" s="478"/>
      <c r="IQG45" s="478"/>
      <c r="IQH45" s="478"/>
      <c r="IQI45" s="478"/>
      <c r="IQJ45" s="478"/>
      <c r="IQK45" s="478"/>
      <c r="IQL45" s="478"/>
      <c r="IQM45" s="478"/>
      <c r="IQN45" s="478"/>
      <c r="IQO45" s="478"/>
      <c r="IQP45" s="478"/>
      <c r="IQQ45" s="478"/>
      <c r="IQR45" s="478"/>
      <c r="IQS45" s="478"/>
      <c r="IQT45" s="478"/>
      <c r="IQU45" s="478"/>
      <c r="IQV45" s="478"/>
      <c r="IQW45" s="478"/>
      <c r="IQX45" s="478"/>
      <c r="IQY45" s="478"/>
      <c r="IQZ45" s="478"/>
      <c r="IRA45" s="478"/>
      <c r="IRB45" s="478"/>
      <c r="IRC45" s="478"/>
      <c r="IRD45" s="478"/>
      <c r="IRE45" s="478"/>
      <c r="IRF45" s="478"/>
      <c r="IRG45" s="478"/>
      <c r="IRH45" s="478"/>
      <c r="IRI45" s="478"/>
      <c r="IRJ45" s="478"/>
      <c r="IRK45" s="478"/>
      <c r="IRL45" s="478"/>
      <c r="IRM45" s="478"/>
      <c r="IRN45" s="478"/>
      <c r="IRO45" s="478"/>
      <c r="IRP45" s="478"/>
      <c r="IRQ45" s="478"/>
      <c r="IRR45" s="478"/>
      <c r="IRS45" s="478"/>
      <c r="IRT45" s="478"/>
      <c r="IRU45" s="478"/>
      <c r="IRV45" s="478"/>
      <c r="IRW45" s="478"/>
      <c r="IRX45" s="478"/>
      <c r="IRY45" s="478"/>
      <c r="IRZ45" s="478"/>
      <c r="ISA45" s="478"/>
      <c r="ISB45" s="478"/>
      <c r="ISC45" s="478"/>
      <c r="ISD45" s="478"/>
      <c r="ISE45" s="478"/>
      <c r="ISF45" s="478"/>
      <c r="ISG45" s="478"/>
      <c r="ISH45" s="478"/>
      <c r="ISI45" s="478"/>
      <c r="ISJ45" s="478"/>
      <c r="ISK45" s="478"/>
      <c r="ISL45" s="478"/>
      <c r="ISM45" s="478"/>
      <c r="ISN45" s="478"/>
      <c r="ISO45" s="478"/>
      <c r="ISP45" s="478"/>
      <c r="ISQ45" s="478"/>
      <c r="ISR45" s="478"/>
      <c r="ISS45" s="478"/>
      <c r="IST45" s="478"/>
      <c r="ISU45" s="478"/>
      <c r="ISV45" s="478"/>
      <c r="ISW45" s="478"/>
      <c r="ISX45" s="478"/>
      <c r="ISY45" s="478"/>
      <c r="ISZ45" s="478"/>
      <c r="ITA45" s="478"/>
      <c r="ITB45" s="478"/>
      <c r="ITC45" s="478"/>
      <c r="ITD45" s="478"/>
      <c r="ITE45" s="478"/>
      <c r="ITF45" s="478"/>
      <c r="ITG45" s="478"/>
      <c r="ITH45" s="478"/>
      <c r="ITI45" s="478"/>
      <c r="ITJ45" s="478"/>
      <c r="ITK45" s="478"/>
      <c r="ITL45" s="478"/>
      <c r="ITM45" s="478"/>
      <c r="ITN45" s="478"/>
      <c r="ITO45" s="478"/>
      <c r="ITP45" s="478"/>
      <c r="ITQ45" s="478"/>
      <c r="ITR45" s="478"/>
      <c r="ITS45" s="478"/>
      <c r="ITT45" s="478"/>
      <c r="ITU45" s="478"/>
      <c r="ITV45" s="478"/>
      <c r="ITW45" s="478"/>
      <c r="ITX45" s="478"/>
      <c r="ITY45" s="478"/>
      <c r="ITZ45" s="478"/>
      <c r="IUA45" s="478"/>
      <c r="IUB45" s="478"/>
      <c r="IUC45" s="478"/>
      <c r="IUD45" s="478"/>
      <c r="IUE45" s="478"/>
      <c r="IUF45" s="478"/>
      <c r="IUG45" s="478"/>
      <c r="IUH45" s="478"/>
      <c r="IUI45" s="478"/>
      <c r="IUJ45" s="478"/>
      <c r="IUK45" s="478"/>
      <c r="IUL45" s="478"/>
      <c r="IUM45" s="478"/>
      <c r="IUN45" s="478"/>
      <c r="IUO45" s="478"/>
      <c r="IUP45" s="478"/>
      <c r="IUQ45" s="478"/>
      <c r="IUR45" s="478"/>
      <c r="IUS45" s="478"/>
      <c r="IUT45" s="478"/>
      <c r="IUU45" s="478"/>
      <c r="IUV45" s="478"/>
      <c r="IUW45" s="478"/>
      <c r="IUX45" s="478"/>
      <c r="IUY45" s="478"/>
      <c r="IUZ45" s="478"/>
      <c r="IVA45" s="478"/>
      <c r="IVB45" s="478"/>
      <c r="IVC45" s="478"/>
      <c r="IVD45" s="478"/>
      <c r="IVE45" s="478"/>
      <c r="IVF45" s="478"/>
      <c r="IVG45" s="478"/>
      <c r="IVH45" s="478"/>
      <c r="IVI45" s="478"/>
      <c r="IVJ45" s="478"/>
      <c r="IVK45" s="478"/>
      <c r="IVL45" s="478"/>
      <c r="IVM45" s="478"/>
      <c r="IVN45" s="478"/>
      <c r="IVO45" s="478"/>
      <c r="IVP45" s="478"/>
      <c r="IVQ45" s="478"/>
      <c r="IVR45" s="478"/>
      <c r="IVS45" s="478"/>
      <c r="IVT45" s="478"/>
      <c r="IVU45" s="478"/>
      <c r="IVV45" s="478"/>
      <c r="IVW45" s="478"/>
      <c r="IVX45" s="478"/>
      <c r="IVY45" s="478"/>
      <c r="IVZ45" s="478"/>
      <c r="IWA45" s="478"/>
      <c r="IWB45" s="478"/>
      <c r="IWC45" s="478"/>
      <c r="IWD45" s="478"/>
      <c r="IWE45" s="478"/>
      <c r="IWF45" s="478"/>
      <c r="IWG45" s="478"/>
      <c r="IWH45" s="478"/>
      <c r="IWI45" s="478"/>
      <c r="IWJ45" s="478"/>
      <c r="IWK45" s="478"/>
      <c r="IWL45" s="478"/>
      <c r="IWM45" s="478"/>
      <c r="IWN45" s="478"/>
      <c r="IWO45" s="478"/>
      <c r="IWP45" s="478"/>
      <c r="IWQ45" s="478"/>
      <c r="IWR45" s="478"/>
      <c r="IWS45" s="478"/>
      <c r="IWT45" s="478"/>
      <c r="IWU45" s="478"/>
      <c r="IWV45" s="478"/>
      <c r="IWW45" s="478"/>
      <c r="IWX45" s="478"/>
      <c r="IWY45" s="478"/>
      <c r="IWZ45" s="478"/>
      <c r="IXA45" s="478"/>
      <c r="IXB45" s="478"/>
      <c r="IXC45" s="478"/>
      <c r="IXD45" s="478"/>
      <c r="IXE45" s="478"/>
      <c r="IXF45" s="478"/>
      <c r="IXG45" s="478"/>
      <c r="IXH45" s="478"/>
      <c r="IXI45" s="478"/>
      <c r="IXJ45" s="478"/>
      <c r="IXK45" s="478"/>
      <c r="IXL45" s="478"/>
      <c r="IXM45" s="478"/>
      <c r="IXN45" s="478"/>
      <c r="IXO45" s="478"/>
      <c r="IXP45" s="478"/>
      <c r="IXQ45" s="478"/>
      <c r="IXR45" s="478"/>
      <c r="IXS45" s="478"/>
      <c r="IXT45" s="478"/>
      <c r="IXU45" s="478"/>
      <c r="IXV45" s="478"/>
      <c r="IXW45" s="478"/>
      <c r="IXX45" s="478"/>
      <c r="IXY45" s="478"/>
      <c r="IXZ45" s="478"/>
      <c r="IYA45" s="478"/>
      <c r="IYB45" s="478"/>
      <c r="IYC45" s="478"/>
      <c r="IYD45" s="478"/>
      <c r="IYE45" s="478"/>
      <c r="IYF45" s="478"/>
      <c r="IYG45" s="478"/>
      <c r="IYH45" s="478"/>
      <c r="IYI45" s="478"/>
      <c r="IYJ45" s="478"/>
      <c r="IYK45" s="478"/>
      <c r="IYL45" s="478"/>
      <c r="IYM45" s="478"/>
      <c r="IYN45" s="478"/>
      <c r="IYO45" s="478"/>
      <c r="IYP45" s="478"/>
      <c r="IYQ45" s="478"/>
      <c r="IYR45" s="478"/>
      <c r="IYS45" s="478"/>
      <c r="IYT45" s="478"/>
      <c r="IYU45" s="478"/>
      <c r="IYV45" s="478"/>
      <c r="IYW45" s="478"/>
      <c r="IYX45" s="478"/>
      <c r="IYY45" s="478"/>
      <c r="IYZ45" s="478"/>
      <c r="IZA45" s="478"/>
      <c r="IZB45" s="478"/>
      <c r="IZC45" s="478"/>
      <c r="IZD45" s="478"/>
      <c r="IZE45" s="478"/>
      <c r="IZF45" s="478"/>
      <c r="IZG45" s="478"/>
      <c r="IZH45" s="478"/>
      <c r="IZI45" s="478"/>
      <c r="IZJ45" s="478"/>
      <c r="IZK45" s="478"/>
      <c r="IZL45" s="478"/>
      <c r="IZM45" s="478"/>
      <c r="IZN45" s="478"/>
      <c r="IZO45" s="478"/>
      <c r="IZP45" s="478"/>
      <c r="IZQ45" s="478"/>
      <c r="IZR45" s="478"/>
      <c r="IZS45" s="478"/>
      <c r="IZT45" s="478"/>
      <c r="IZU45" s="478"/>
      <c r="IZV45" s="478"/>
      <c r="IZW45" s="478"/>
      <c r="IZX45" s="478"/>
      <c r="IZY45" s="478"/>
      <c r="IZZ45" s="478"/>
      <c r="JAA45" s="478"/>
      <c r="JAB45" s="478"/>
      <c r="JAC45" s="478"/>
      <c r="JAD45" s="478"/>
      <c r="JAE45" s="478"/>
      <c r="JAF45" s="478"/>
      <c r="JAG45" s="478"/>
      <c r="JAH45" s="478"/>
      <c r="JAI45" s="478"/>
      <c r="JAJ45" s="478"/>
      <c r="JAK45" s="478"/>
      <c r="JAL45" s="478"/>
      <c r="JAM45" s="478"/>
      <c r="JAN45" s="478"/>
      <c r="JAO45" s="478"/>
      <c r="JAP45" s="478"/>
      <c r="JAQ45" s="478"/>
      <c r="JAR45" s="478"/>
      <c r="JAS45" s="478"/>
      <c r="JAT45" s="478"/>
      <c r="JAU45" s="478"/>
      <c r="JAV45" s="478"/>
      <c r="JAW45" s="478"/>
      <c r="JAX45" s="478"/>
      <c r="JAY45" s="478"/>
      <c r="JAZ45" s="478"/>
      <c r="JBA45" s="478"/>
      <c r="JBB45" s="478"/>
      <c r="JBC45" s="478"/>
      <c r="JBD45" s="478"/>
      <c r="JBE45" s="478"/>
      <c r="JBF45" s="478"/>
      <c r="JBG45" s="478"/>
      <c r="JBH45" s="478"/>
      <c r="JBI45" s="478"/>
      <c r="JBJ45" s="478"/>
      <c r="JBK45" s="478"/>
      <c r="JBL45" s="478"/>
      <c r="JBM45" s="478"/>
      <c r="JBN45" s="478"/>
      <c r="JBO45" s="478"/>
      <c r="JBP45" s="478"/>
      <c r="JBQ45" s="478"/>
      <c r="JBR45" s="478"/>
      <c r="JBS45" s="478"/>
      <c r="JBT45" s="478"/>
      <c r="JBU45" s="478"/>
      <c r="JBV45" s="478"/>
      <c r="JBW45" s="478"/>
      <c r="JBX45" s="478"/>
      <c r="JBY45" s="478"/>
      <c r="JBZ45" s="478"/>
      <c r="JCA45" s="478"/>
      <c r="JCB45" s="478"/>
      <c r="JCC45" s="478"/>
      <c r="JCD45" s="478"/>
      <c r="JCE45" s="478"/>
      <c r="JCF45" s="478"/>
      <c r="JCG45" s="478"/>
      <c r="JCH45" s="478"/>
      <c r="JCI45" s="478"/>
      <c r="JCJ45" s="478"/>
      <c r="JCK45" s="478"/>
      <c r="JCL45" s="478"/>
      <c r="JCM45" s="478"/>
      <c r="JCN45" s="478"/>
      <c r="JCO45" s="478"/>
      <c r="JCP45" s="478"/>
      <c r="JCQ45" s="478"/>
      <c r="JCR45" s="478"/>
      <c r="JCS45" s="478"/>
      <c r="JCT45" s="478"/>
      <c r="JCU45" s="478"/>
      <c r="JCV45" s="478"/>
      <c r="JCW45" s="478"/>
      <c r="JCX45" s="478"/>
      <c r="JCY45" s="478"/>
      <c r="JCZ45" s="478"/>
      <c r="JDA45" s="478"/>
      <c r="JDB45" s="478"/>
      <c r="JDC45" s="478"/>
      <c r="JDD45" s="478"/>
      <c r="JDE45" s="478"/>
      <c r="JDF45" s="478"/>
      <c r="JDG45" s="478"/>
      <c r="JDH45" s="478"/>
      <c r="JDI45" s="478"/>
      <c r="JDJ45" s="478"/>
      <c r="JDK45" s="478"/>
      <c r="JDL45" s="478"/>
      <c r="JDM45" s="478"/>
      <c r="JDN45" s="478"/>
      <c r="JDO45" s="478"/>
      <c r="JDP45" s="478"/>
      <c r="JDQ45" s="478"/>
      <c r="JDR45" s="478"/>
      <c r="JDS45" s="478"/>
      <c r="JDT45" s="478"/>
      <c r="JDU45" s="478"/>
      <c r="JDV45" s="478"/>
      <c r="JDW45" s="478"/>
      <c r="JDX45" s="478"/>
      <c r="JDY45" s="478"/>
      <c r="JDZ45" s="478"/>
      <c r="JEA45" s="478"/>
      <c r="JEB45" s="478"/>
      <c r="JEC45" s="478"/>
      <c r="JED45" s="478"/>
      <c r="JEE45" s="478"/>
      <c r="JEF45" s="478"/>
      <c r="JEG45" s="478"/>
      <c r="JEH45" s="478"/>
      <c r="JEI45" s="478"/>
      <c r="JEJ45" s="478"/>
      <c r="JEK45" s="478"/>
      <c r="JEL45" s="478"/>
      <c r="JEM45" s="478"/>
      <c r="JEN45" s="478"/>
      <c r="JEO45" s="478"/>
      <c r="JEP45" s="478"/>
      <c r="JEQ45" s="478"/>
      <c r="JER45" s="478"/>
      <c r="JES45" s="478"/>
      <c r="JET45" s="478"/>
      <c r="JEU45" s="478"/>
      <c r="JEV45" s="478"/>
      <c r="JEW45" s="478"/>
      <c r="JEX45" s="478"/>
      <c r="JEY45" s="478"/>
      <c r="JEZ45" s="478"/>
      <c r="JFA45" s="478"/>
      <c r="JFB45" s="478"/>
      <c r="JFC45" s="478"/>
      <c r="JFD45" s="478"/>
      <c r="JFE45" s="478"/>
      <c r="JFF45" s="478"/>
      <c r="JFG45" s="478"/>
      <c r="JFH45" s="478"/>
      <c r="JFI45" s="478"/>
      <c r="JFJ45" s="478"/>
      <c r="JFK45" s="478"/>
      <c r="JFL45" s="478"/>
      <c r="JFM45" s="478"/>
      <c r="JFN45" s="478"/>
      <c r="JFO45" s="478"/>
      <c r="JFP45" s="478"/>
      <c r="JFQ45" s="478"/>
      <c r="JFR45" s="478"/>
      <c r="JFS45" s="478"/>
      <c r="JFT45" s="478"/>
      <c r="JFU45" s="478"/>
      <c r="JFV45" s="478"/>
      <c r="JFW45" s="478"/>
      <c r="JFX45" s="478"/>
      <c r="JFY45" s="478"/>
      <c r="JFZ45" s="478"/>
      <c r="JGA45" s="478"/>
      <c r="JGB45" s="478"/>
      <c r="JGC45" s="478"/>
      <c r="JGD45" s="478"/>
      <c r="JGE45" s="478"/>
      <c r="JGF45" s="478"/>
      <c r="JGG45" s="478"/>
      <c r="JGH45" s="478"/>
      <c r="JGI45" s="478"/>
      <c r="JGJ45" s="478"/>
      <c r="JGK45" s="478"/>
      <c r="JGL45" s="478"/>
      <c r="JGM45" s="478"/>
      <c r="JGN45" s="478"/>
      <c r="JGO45" s="478"/>
      <c r="JGP45" s="478"/>
      <c r="JGQ45" s="478"/>
      <c r="JGR45" s="478"/>
      <c r="JGS45" s="478"/>
      <c r="JGT45" s="478"/>
      <c r="JGU45" s="478"/>
      <c r="JGV45" s="478"/>
      <c r="JGW45" s="478"/>
      <c r="JGX45" s="478"/>
      <c r="JGY45" s="478"/>
      <c r="JGZ45" s="478"/>
      <c r="JHA45" s="478"/>
      <c r="JHB45" s="478"/>
      <c r="JHC45" s="478"/>
      <c r="JHD45" s="478"/>
      <c r="JHE45" s="478"/>
      <c r="JHF45" s="478"/>
      <c r="JHG45" s="478"/>
      <c r="JHH45" s="478"/>
      <c r="JHI45" s="478"/>
      <c r="JHJ45" s="478"/>
      <c r="JHK45" s="478"/>
      <c r="JHL45" s="478"/>
      <c r="JHM45" s="478"/>
      <c r="JHN45" s="478"/>
      <c r="JHO45" s="478"/>
      <c r="JHP45" s="478"/>
      <c r="JHQ45" s="478"/>
      <c r="JHR45" s="478"/>
      <c r="JHS45" s="478"/>
      <c r="JHT45" s="478"/>
      <c r="JHU45" s="478"/>
      <c r="JHV45" s="478"/>
      <c r="JHW45" s="478"/>
      <c r="JHX45" s="478"/>
      <c r="JHY45" s="478"/>
      <c r="JHZ45" s="478"/>
      <c r="JIA45" s="478"/>
      <c r="JIB45" s="478"/>
      <c r="JIC45" s="478"/>
      <c r="JID45" s="478"/>
      <c r="JIE45" s="478"/>
      <c r="JIF45" s="478"/>
      <c r="JIG45" s="478"/>
      <c r="JIH45" s="478"/>
      <c r="JII45" s="478"/>
      <c r="JIJ45" s="478"/>
      <c r="JIK45" s="478"/>
      <c r="JIL45" s="478"/>
      <c r="JIM45" s="478"/>
      <c r="JIN45" s="478"/>
      <c r="JIO45" s="478"/>
      <c r="JIP45" s="478"/>
      <c r="JIQ45" s="478"/>
      <c r="JIR45" s="478"/>
      <c r="JIS45" s="478"/>
      <c r="JIT45" s="478"/>
      <c r="JIU45" s="478"/>
      <c r="JIV45" s="478"/>
      <c r="JIW45" s="478"/>
      <c r="JIX45" s="478"/>
      <c r="JIY45" s="478"/>
      <c r="JIZ45" s="478"/>
      <c r="JJA45" s="478"/>
      <c r="JJB45" s="478"/>
      <c r="JJC45" s="478"/>
      <c r="JJD45" s="478"/>
      <c r="JJE45" s="478"/>
      <c r="JJF45" s="478"/>
      <c r="JJG45" s="478"/>
      <c r="JJH45" s="478"/>
      <c r="JJI45" s="478"/>
      <c r="JJJ45" s="478"/>
      <c r="JJK45" s="478"/>
      <c r="JJL45" s="478"/>
      <c r="JJM45" s="478"/>
      <c r="JJN45" s="478"/>
      <c r="JJO45" s="478"/>
      <c r="JJP45" s="478"/>
      <c r="JJQ45" s="478"/>
      <c r="JJR45" s="478"/>
      <c r="JJS45" s="478"/>
      <c r="JJT45" s="478"/>
      <c r="JJU45" s="478"/>
      <c r="JJV45" s="478"/>
      <c r="JJW45" s="478"/>
      <c r="JJX45" s="478"/>
      <c r="JJY45" s="478"/>
      <c r="JJZ45" s="478"/>
      <c r="JKA45" s="478"/>
      <c r="JKB45" s="478"/>
      <c r="JKC45" s="478"/>
      <c r="JKD45" s="478"/>
      <c r="JKE45" s="478"/>
      <c r="JKF45" s="478"/>
      <c r="JKG45" s="478"/>
      <c r="JKH45" s="478"/>
      <c r="JKI45" s="478"/>
      <c r="JKJ45" s="478"/>
      <c r="JKK45" s="478"/>
      <c r="JKL45" s="478"/>
      <c r="JKM45" s="478"/>
      <c r="JKN45" s="478"/>
      <c r="JKO45" s="478"/>
      <c r="JKP45" s="478"/>
      <c r="JKQ45" s="478"/>
      <c r="JKR45" s="478"/>
      <c r="JKS45" s="478"/>
      <c r="JKT45" s="478"/>
      <c r="JKU45" s="478"/>
      <c r="JKV45" s="478"/>
      <c r="JKW45" s="478"/>
      <c r="JKX45" s="478"/>
      <c r="JKY45" s="478"/>
      <c r="JKZ45" s="478"/>
      <c r="JLA45" s="478"/>
      <c r="JLB45" s="478"/>
      <c r="JLC45" s="478"/>
      <c r="JLD45" s="478"/>
      <c r="JLE45" s="478"/>
      <c r="JLF45" s="478"/>
      <c r="JLG45" s="478"/>
      <c r="JLH45" s="478"/>
      <c r="JLI45" s="478"/>
      <c r="JLJ45" s="478"/>
      <c r="JLK45" s="478"/>
      <c r="JLL45" s="478"/>
      <c r="JLM45" s="478"/>
      <c r="JLN45" s="478"/>
      <c r="JLO45" s="478"/>
      <c r="JLP45" s="478"/>
      <c r="JLQ45" s="478"/>
      <c r="JLR45" s="478"/>
      <c r="JLS45" s="478"/>
      <c r="JLT45" s="478"/>
      <c r="JLU45" s="478"/>
      <c r="JLV45" s="478"/>
      <c r="JLW45" s="478"/>
      <c r="JLX45" s="478"/>
      <c r="JLY45" s="478"/>
      <c r="JLZ45" s="478"/>
      <c r="JMA45" s="478"/>
      <c r="JMB45" s="478"/>
      <c r="JMC45" s="478"/>
      <c r="JMD45" s="478"/>
      <c r="JME45" s="478"/>
      <c r="JMF45" s="478"/>
      <c r="JMG45" s="478"/>
      <c r="JMH45" s="478"/>
      <c r="JMI45" s="478"/>
      <c r="JMJ45" s="478"/>
      <c r="JMK45" s="478"/>
      <c r="JML45" s="478"/>
      <c r="JMM45" s="478"/>
      <c r="JMN45" s="478"/>
      <c r="JMO45" s="478"/>
      <c r="JMP45" s="478"/>
      <c r="JMQ45" s="478"/>
      <c r="JMR45" s="478"/>
      <c r="JMS45" s="478"/>
      <c r="JMT45" s="478"/>
      <c r="JMU45" s="478"/>
      <c r="JMV45" s="478"/>
      <c r="JMW45" s="478"/>
      <c r="JMX45" s="478"/>
      <c r="JMY45" s="478"/>
      <c r="JMZ45" s="478"/>
      <c r="JNA45" s="478"/>
      <c r="JNB45" s="478"/>
      <c r="JNC45" s="478"/>
      <c r="JND45" s="478"/>
      <c r="JNE45" s="478"/>
      <c r="JNF45" s="478"/>
      <c r="JNG45" s="478"/>
      <c r="JNH45" s="478"/>
      <c r="JNI45" s="478"/>
      <c r="JNJ45" s="478"/>
      <c r="JNK45" s="478"/>
      <c r="JNL45" s="478"/>
      <c r="JNM45" s="478"/>
      <c r="JNN45" s="478"/>
      <c r="JNO45" s="478"/>
      <c r="JNP45" s="478"/>
      <c r="JNQ45" s="478"/>
      <c r="JNR45" s="478"/>
      <c r="JNS45" s="478"/>
      <c r="JNT45" s="478"/>
      <c r="JNU45" s="478"/>
      <c r="JNV45" s="478"/>
      <c r="JNW45" s="478"/>
      <c r="JNX45" s="478"/>
      <c r="JNY45" s="478"/>
      <c r="JNZ45" s="478"/>
      <c r="JOA45" s="478"/>
      <c r="JOB45" s="478"/>
      <c r="JOC45" s="478"/>
      <c r="JOD45" s="478"/>
      <c r="JOE45" s="478"/>
      <c r="JOF45" s="478"/>
      <c r="JOG45" s="478"/>
      <c r="JOH45" s="478"/>
      <c r="JOI45" s="478"/>
      <c r="JOJ45" s="478"/>
      <c r="JOK45" s="478"/>
      <c r="JOL45" s="478"/>
      <c r="JOM45" s="478"/>
      <c r="JON45" s="478"/>
      <c r="JOO45" s="478"/>
      <c r="JOP45" s="478"/>
      <c r="JOQ45" s="478"/>
      <c r="JOR45" s="478"/>
      <c r="JOS45" s="478"/>
      <c r="JOT45" s="478"/>
      <c r="JOU45" s="478"/>
      <c r="JOV45" s="478"/>
      <c r="JOW45" s="478"/>
      <c r="JOX45" s="478"/>
      <c r="JOY45" s="478"/>
      <c r="JOZ45" s="478"/>
      <c r="JPA45" s="478"/>
      <c r="JPB45" s="478"/>
      <c r="JPC45" s="478"/>
      <c r="JPD45" s="478"/>
      <c r="JPE45" s="478"/>
      <c r="JPF45" s="478"/>
      <c r="JPG45" s="478"/>
      <c r="JPH45" s="478"/>
      <c r="JPI45" s="478"/>
      <c r="JPJ45" s="478"/>
      <c r="JPK45" s="478"/>
      <c r="JPL45" s="478"/>
      <c r="JPM45" s="478"/>
      <c r="JPN45" s="478"/>
      <c r="JPO45" s="478"/>
      <c r="JPP45" s="478"/>
      <c r="JPQ45" s="478"/>
      <c r="JPR45" s="478"/>
      <c r="JPS45" s="478"/>
      <c r="JPT45" s="478"/>
      <c r="JPU45" s="478"/>
      <c r="JPV45" s="478"/>
      <c r="JPW45" s="478"/>
      <c r="JPX45" s="478"/>
      <c r="JPY45" s="478"/>
      <c r="JPZ45" s="478"/>
      <c r="JQA45" s="478"/>
      <c r="JQB45" s="478"/>
      <c r="JQC45" s="478"/>
      <c r="JQD45" s="478"/>
      <c r="JQE45" s="478"/>
      <c r="JQF45" s="478"/>
      <c r="JQG45" s="478"/>
      <c r="JQH45" s="478"/>
      <c r="JQI45" s="478"/>
      <c r="JQJ45" s="478"/>
      <c r="JQK45" s="478"/>
      <c r="JQL45" s="478"/>
      <c r="JQM45" s="478"/>
      <c r="JQN45" s="478"/>
      <c r="JQO45" s="478"/>
      <c r="JQP45" s="478"/>
      <c r="JQQ45" s="478"/>
      <c r="JQR45" s="478"/>
      <c r="JQS45" s="478"/>
      <c r="JQT45" s="478"/>
      <c r="JQU45" s="478"/>
      <c r="JQV45" s="478"/>
      <c r="JQW45" s="478"/>
      <c r="JQX45" s="478"/>
      <c r="JQY45" s="478"/>
      <c r="JQZ45" s="478"/>
      <c r="JRA45" s="478"/>
      <c r="JRB45" s="478"/>
      <c r="JRC45" s="478"/>
      <c r="JRD45" s="478"/>
      <c r="JRE45" s="478"/>
      <c r="JRF45" s="478"/>
      <c r="JRG45" s="478"/>
      <c r="JRH45" s="478"/>
      <c r="JRI45" s="478"/>
      <c r="JRJ45" s="478"/>
      <c r="JRK45" s="478"/>
      <c r="JRL45" s="478"/>
      <c r="JRM45" s="478"/>
      <c r="JRN45" s="478"/>
      <c r="JRO45" s="478"/>
      <c r="JRP45" s="478"/>
      <c r="JRQ45" s="478"/>
      <c r="JRR45" s="478"/>
      <c r="JRS45" s="478"/>
      <c r="JRT45" s="478"/>
      <c r="JRU45" s="478"/>
      <c r="JRV45" s="478"/>
      <c r="JRW45" s="478"/>
      <c r="JRX45" s="478"/>
      <c r="JRY45" s="478"/>
      <c r="JRZ45" s="478"/>
      <c r="JSA45" s="478"/>
      <c r="JSB45" s="478"/>
      <c r="JSC45" s="478"/>
      <c r="JSD45" s="478"/>
      <c r="JSE45" s="478"/>
      <c r="JSF45" s="478"/>
      <c r="JSG45" s="478"/>
      <c r="JSH45" s="478"/>
      <c r="JSI45" s="478"/>
      <c r="JSJ45" s="478"/>
      <c r="JSK45" s="478"/>
      <c r="JSL45" s="478"/>
      <c r="JSM45" s="478"/>
      <c r="JSN45" s="478"/>
      <c r="JSO45" s="478"/>
      <c r="JSP45" s="478"/>
      <c r="JSQ45" s="478"/>
      <c r="JSR45" s="478"/>
      <c r="JSS45" s="478"/>
      <c r="JST45" s="478"/>
      <c r="JSU45" s="478"/>
      <c r="JSV45" s="478"/>
      <c r="JSW45" s="478"/>
      <c r="JSX45" s="478"/>
      <c r="JSY45" s="478"/>
      <c r="JSZ45" s="478"/>
      <c r="JTA45" s="478"/>
      <c r="JTB45" s="478"/>
      <c r="JTC45" s="478"/>
      <c r="JTD45" s="478"/>
      <c r="JTE45" s="478"/>
      <c r="JTF45" s="478"/>
      <c r="JTG45" s="478"/>
      <c r="JTH45" s="478"/>
      <c r="JTI45" s="478"/>
      <c r="JTJ45" s="478"/>
      <c r="JTK45" s="478"/>
      <c r="JTL45" s="478"/>
      <c r="JTM45" s="478"/>
      <c r="JTN45" s="478"/>
      <c r="JTO45" s="478"/>
      <c r="JTP45" s="478"/>
      <c r="JTQ45" s="478"/>
      <c r="JTR45" s="478"/>
      <c r="JTS45" s="478"/>
      <c r="JTT45" s="478"/>
      <c r="JTU45" s="478"/>
      <c r="JTV45" s="478"/>
      <c r="JTW45" s="478"/>
      <c r="JTX45" s="478"/>
      <c r="JTY45" s="478"/>
      <c r="JTZ45" s="478"/>
      <c r="JUA45" s="478"/>
      <c r="JUB45" s="478"/>
      <c r="JUC45" s="478"/>
      <c r="JUD45" s="478"/>
      <c r="JUE45" s="478"/>
      <c r="JUF45" s="478"/>
      <c r="JUG45" s="478"/>
      <c r="JUH45" s="478"/>
      <c r="JUI45" s="478"/>
      <c r="JUJ45" s="478"/>
      <c r="JUK45" s="478"/>
      <c r="JUL45" s="478"/>
      <c r="JUM45" s="478"/>
      <c r="JUN45" s="478"/>
      <c r="JUO45" s="478"/>
      <c r="JUP45" s="478"/>
      <c r="JUQ45" s="478"/>
      <c r="JUR45" s="478"/>
      <c r="JUS45" s="478"/>
      <c r="JUT45" s="478"/>
      <c r="JUU45" s="478"/>
      <c r="JUV45" s="478"/>
      <c r="JUW45" s="478"/>
      <c r="JUX45" s="478"/>
      <c r="JUY45" s="478"/>
      <c r="JUZ45" s="478"/>
      <c r="JVA45" s="478"/>
      <c r="JVB45" s="478"/>
      <c r="JVC45" s="478"/>
      <c r="JVD45" s="478"/>
      <c r="JVE45" s="478"/>
      <c r="JVF45" s="478"/>
      <c r="JVG45" s="478"/>
      <c r="JVH45" s="478"/>
      <c r="JVI45" s="478"/>
      <c r="JVJ45" s="478"/>
      <c r="JVK45" s="478"/>
      <c r="JVL45" s="478"/>
      <c r="JVM45" s="478"/>
      <c r="JVN45" s="478"/>
      <c r="JVO45" s="478"/>
      <c r="JVP45" s="478"/>
      <c r="JVQ45" s="478"/>
      <c r="JVR45" s="478"/>
      <c r="JVS45" s="478"/>
      <c r="JVT45" s="478"/>
      <c r="JVU45" s="478"/>
      <c r="JVV45" s="478"/>
      <c r="JVW45" s="478"/>
      <c r="JVX45" s="478"/>
      <c r="JVY45" s="478"/>
      <c r="JVZ45" s="478"/>
      <c r="JWA45" s="478"/>
      <c r="JWB45" s="478"/>
      <c r="JWC45" s="478"/>
      <c r="JWD45" s="478"/>
      <c r="JWE45" s="478"/>
      <c r="JWF45" s="478"/>
      <c r="JWG45" s="478"/>
      <c r="JWH45" s="478"/>
      <c r="JWI45" s="478"/>
      <c r="JWJ45" s="478"/>
      <c r="JWK45" s="478"/>
      <c r="JWL45" s="478"/>
      <c r="JWM45" s="478"/>
      <c r="JWN45" s="478"/>
      <c r="JWO45" s="478"/>
      <c r="JWP45" s="478"/>
      <c r="JWQ45" s="478"/>
      <c r="JWR45" s="478"/>
      <c r="JWS45" s="478"/>
      <c r="JWT45" s="478"/>
      <c r="JWU45" s="478"/>
      <c r="JWV45" s="478"/>
      <c r="JWW45" s="478"/>
      <c r="JWX45" s="478"/>
      <c r="JWY45" s="478"/>
      <c r="JWZ45" s="478"/>
      <c r="JXA45" s="478"/>
      <c r="JXB45" s="478"/>
      <c r="JXC45" s="478"/>
      <c r="JXD45" s="478"/>
      <c r="JXE45" s="478"/>
      <c r="JXF45" s="478"/>
      <c r="JXG45" s="478"/>
      <c r="JXH45" s="478"/>
      <c r="JXI45" s="478"/>
      <c r="JXJ45" s="478"/>
      <c r="JXK45" s="478"/>
      <c r="JXL45" s="478"/>
      <c r="JXM45" s="478"/>
      <c r="JXN45" s="478"/>
      <c r="JXO45" s="478"/>
      <c r="JXP45" s="478"/>
      <c r="JXQ45" s="478"/>
      <c r="JXR45" s="478"/>
      <c r="JXS45" s="478"/>
      <c r="JXT45" s="478"/>
      <c r="JXU45" s="478"/>
      <c r="JXV45" s="478"/>
      <c r="JXW45" s="478"/>
      <c r="JXX45" s="478"/>
      <c r="JXY45" s="478"/>
      <c r="JXZ45" s="478"/>
      <c r="JYA45" s="478"/>
      <c r="JYB45" s="478"/>
      <c r="JYC45" s="478"/>
      <c r="JYD45" s="478"/>
      <c r="JYE45" s="478"/>
      <c r="JYF45" s="478"/>
      <c r="JYG45" s="478"/>
      <c r="JYH45" s="478"/>
      <c r="JYI45" s="478"/>
      <c r="JYJ45" s="478"/>
      <c r="JYK45" s="478"/>
      <c r="JYL45" s="478"/>
      <c r="JYM45" s="478"/>
      <c r="JYN45" s="478"/>
      <c r="JYO45" s="478"/>
      <c r="JYP45" s="478"/>
      <c r="JYQ45" s="478"/>
      <c r="JYR45" s="478"/>
      <c r="JYS45" s="478"/>
      <c r="JYT45" s="478"/>
      <c r="JYU45" s="478"/>
      <c r="JYV45" s="478"/>
      <c r="JYW45" s="478"/>
      <c r="JYX45" s="478"/>
      <c r="JYY45" s="478"/>
      <c r="JYZ45" s="478"/>
      <c r="JZA45" s="478"/>
      <c r="JZB45" s="478"/>
      <c r="JZC45" s="478"/>
      <c r="JZD45" s="478"/>
      <c r="JZE45" s="478"/>
      <c r="JZF45" s="478"/>
      <c r="JZG45" s="478"/>
      <c r="JZH45" s="478"/>
      <c r="JZI45" s="478"/>
      <c r="JZJ45" s="478"/>
      <c r="JZK45" s="478"/>
      <c r="JZL45" s="478"/>
      <c r="JZM45" s="478"/>
      <c r="JZN45" s="478"/>
      <c r="JZO45" s="478"/>
      <c r="JZP45" s="478"/>
      <c r="JZQ45" s="478"/>
      <c r="JZR45" s="478"/>
      <c r="JZS45" s="478"/>
      <c r="JZT45" s="478"/>
      <c r="JZU45" s="478"/>
      <c r="JZV45" s="478"/>
      <c r="JZW45" s="478"/>
      <c r="JZX45" s="478"/>
      <c r="JZY45" s="478"/>
      <c r="JZZ45" s="478"/>
      <c r="KAA45" s="478"/>
      <c r="KAB45" s="478"/>
      <c r="KAC45" s="478"/>
      <c r="KAD45" s="478"/>
      <c r="KAE45" s="478"/>
      <c r="KAF45" s="478"/>
      <c r="KAG45" s="478"/>
      <c r="KAH45" s="478"/>
      <c r="KAI45" s="478"/>
      <c r="KAJ45" s="478"/>
      <c r="KAK45" s="478"/>
      <c r="KAL45" s="478"/>
      <c r="KAM45" s="478"/>
      <c r="KAN45" s="478"/>
      <c r="KAO45" s="478"/>
      <c r="KAP45" s="478"/>
      <c r="KAQ45" s="478"/>
      <c r="KAR45" s="478"/>
      <c r="KAS45" s="478"/>
      <c r="KAT45" s="478"/>
      <c r="KAU45" s="478"/>
      <c r="KAV45" s="478"/>
      <c r="KAW45" s="478"/>
      <c r="KAX45" s="478"/>
      <c r="KAY45" s="478"/>
      <c r="KAZ45" s="478"/>
      <c r="KBA45" s="478"/>
      <c r="KBB45" s="478"/>
      <c r="KBC45" s="478"/>
      <c r="KBD45" s="478"/>
      <c r="KBE45" s="478"/>
      <c r="KBF45" s="478"/>
      <c r="KBG45" s="478"/>
      <c r="KBH45" s="478"/>
      <c r="KBI45" s="478"/>
      <c r="KBJ45" s="478"/>
      <c r="KBK45" s="478"/>
      <c r="KBL45" s="478"/>
      <c r="KBM45" s="478"/>
      <c r="KBN45" s="478"/>
      <c r="KBO45" s="478"/>
      <c r="KBP45" s="478"/>
      <c r="KBQ45" s="478"/>
      <c r="KBR45" s="478"/>
      <c r="KBS45" s="478"/>
      <c r="KBT45" s="478"/>
      <c r="KBU45" s="478"/>
      <c r="KBV45" s="478"/>
      <c r="KBW45" s="478"/>
      <c r="KBX45" s="478"/>
      <c r="KBY45" s="478"/>
      <c r="KBZ45" s="478"/>
      <c r="KCA45" s="478"/>
      <c r="KCB45" s="478"/>
      <c r="KCC45" s="478"/>
      <c r="KCD45" s="478"/>
      <c r="KCE45" s="478"/>
      <c r="KCF45" s="478"/>
      <c r="KCG45" s="478"/>
      <c r="KCH45" s="478"/>
      <c r="KCI45" s="478"/>
      <c r="KCJ45" s="478"/>
      <c r="KCK45" s="478"/>
      <c r="KCL45" s="478"/>
      <c r="KCM45" s="478"/>
      <c r="KCN45" s="478"/>
      <c r="KCO45" s="478"/>
      <c r="KCP45" s="478"/>
      <c r="KCQ45" s="478"/>
      <c r="KCR45" s="478"/>
      <c r="KCS45" s="478"/>
      <c r="KCT45" s="478"/>
      <c r="KCU45" s="478"/>
      <c r="KCV45" s="478"/>
      <c r="KCW45" s="478"/>
      <c r="KCX45" s="478"/>
      <c r="KCY45" s="478"/>
      <c r="KCZ45" s="478"/>
      <c r="KDA45" s="478"/>
      <c r="KDB45" s="478"/>
      <c r="KDC45" s="478"/>
      <c r="KDD45" s="478"/>
      <c r="KDE45" s="478"/>
      <c r="KDF45" s="478"/>
      <c r="KDG45" s="478"/>
      <c r="KDH45" s="478"/>
      <c r="KDI45" s="478"/>
      <c r="KDJ45" s="478"/>
      <c r="KDK45" s="478"/>
      <c r="KDL45" s="478"/>
      <c r="KDM45" s="478"/>
      <c r="KDN45" s="478"/>
      <c r="KDO45" s="478"/>
      <c r="KDP45" s="478"/>
      <c r="KDQ45" s="478"/>
      <c r="KDR45" s="478"/>
      <c r="KDS45" s="478"/>
      <c r="KDT45" s="478"/>
      <c r="KDU45" s="478"/>
      <c r="KDV45" s="478"/>
      <c r="KDW45" s="478"/>
      <c r="KDX45" s="478"/>
      <c r="KDY45" s="478"/>
      <c r="KDZ45" s="478"/>
      <c r="KEA45" s="478"/>
      <c r="KEB45" s="478"/>
      <c r="KEC45" s="478"/>
      <c r="KED45" s="478"/>
      <c r="KEE45" s="478"/>
      <c r="KEF45" s="478"/>
      <c r="KEG45" s="478"/>
      <c r="KEH45" s="478"/>
      <c r="KEI45" s="478"/>
      <c r="KEJ45" s="478"/>
      <c r="KEK45" s="478"/>
      <c r="KEL45" s="478"/>
      <c r="KEM45" s="478"/>
      <c r="KEN45" s="478"/>
      <c r="KEO45" s="478"/>
      <c r="KEP45" s="478"/>
      <c r="KEQ45" s="478"/>
      <c r="KER45" s="478"/>
      <c r="KES45" s="478"/>
      <c r="KET45" s="478"/>
      <c r="KEU45" s="478"/>
      <c r="KEV45" s="478"/>
      <c r="KEW45" s="478"/>
      <c r="KEX45" s="478"/>
      <c r="KEY45" s="478"/>
      <c r="KEZ45" s="478"/>
      <c r="KFA45" s="478"/>
      <c r="KFB45" s="478"/>
      <c r="KFC45" s="478"/>
      <c r="KFD45" s="478"/>
      <c r="KFE45" s="478"/>
      <c r="KFF45" s="478"/>
      <c r="KFG45" s="478"/>
      <c r="KFH45" s="478"/>
      <c r="KFI45" s="478"/>
      <c r="KFJ45" s="478"/>
      <c r="KFK45" s="478"/>
      <c r="KFL45" s="478"/>
      <c r="KFM45" s="478"/>
      <c r="KFN45" s="478"/>
      <c r="KFO45" s="478"/>
      <c r="KFP45" s="478"/>
      <c r="KFQ45" s="478"/>
      <c r="KFR45" s="478"/>
      <c r="KFS45" s="478"/>
      <c r="KFT45" s="478"/>
      <c r="KFU45" s="478"/>
      <c r="KFV45" s="478"/>
      <c r="KFW45" s="478"/>
      <c r="KFX45" s="478"/>
      <c r="KFY45" s="478"/>
      <c r="KFZ45" s="478"/>
      <c r="KGA45" s="478"/>
      <c r="KGB45" s="478"/>
      <c r="KGC45" s="478"/>
      <c r="KGD45" s="478"/>
      <c r="KGE45" s="478"/>
      <c r="KGF45" s="478"/>
      <c r="KGG45" s="478"/>
      <c r="KGH45" s="478"/>
      <c r="KGI45" s="478"/>
      <c r="KGJ45" s="478"/>
      <c r="KGK45" s="478"/>
      <c r="KGL45" s="478"/>
      <c r="KGM45" s="478"/>
      <c r="KGN45" s="478"/>
      <c r="KGO45" s="478"/>
      <c r="KGP45" s="478"/>
      <c r="KGQ45" s="478"/>
      <c r="KGR45" s="478"/>
      <c r="KGS45" s="478"/>
      <c r="KGT45" s="478"/>
      <c r="KGU45" s="478"/>
      <c r="KGV45" s="478"/>
      <c r="KGW45" s="478"/>
      <c r="KGX45" s="478"/>
      <c r="KGY45" s="478"/>
      <c r="KGZ45" s="478"/>
      <c r="KHA45" s="478"/>
      <c r="KHB45" s="478"/>
      <c r="KHC45" s="478"/>
      <c r="KHD45" s="478"/>
      <c r="KHE45" s="478"/>
      <c r="KHF45" s="478"/>
      <c r="KHG45" s="478"/>
      <c r="KHH45" s="478"/>
      <c r="KHI45" s="478"/>
      <c r="KHJ45" s="478"/>
      <c r="KHK45" s="478"/>
      <c r="KHL45" s="478"/>
      <c r="KHM45" s="478"/>
      <c r="KHN45" s="478"/>
      <c r="KHO45" s="478"/>
      <c r="KHP45" s="478"/>
      <c r="KHQ45" s="478"/>
      <c r="KHR45" s="478"/>
      <c r="KHS45" s="478"/>
      <c r="KHT45" s="478"/>
      <c r="KHU45" s="478"/>
      <c r="KHV45" s="478"/>
      <c r="KHW45" s="478"/>
      <c r="KHX45" s="478"/>
      <c r="KHY45" s="478"/>
      <c r="KHZ45" s="478"/>
      <c r="KIA45" s="478"/>
      <c r="KIB45" s="478"/>
      <c r="KIC45" s="478"/>
      <c r="KID45" s="478"/>
      <c r="KIE45" s="478"/>
      <c r="KIF45" s="478"/>
      <c r="KIG45" s="478"/>
      <c r="KIH45" s="478"/>
      <c r="KII45" s="478"/>
      <c r="KIJ45" s="478"/>
      <c r="KIK45" s="478"/>
      <c r="KIL45" s="478"/>
      <c r="KIM45" s="478"/>
      <c r="KIN45" s="478"/>
      <c r="KIO45" s="478"/>
      <c r="KIP45" s="478"/>
      <c r="KIQ45" s="478"/>
      <c r="KIR45" s="478"/>
      <c r="KIS45" s="478"/>
      <c r="KIT45" s="478"/>
      <c r="KIU45" s="478"/>
      <c r="KIV45" s="478"/>
      <c r="KIW45" s="478"/>
      <c r="KIX45" s="478"/>
      <c r="KIY45" s="478"/>
      <c r="KIZ45" s="478"/>
      <c r="KJA45" s="478"/>
      <c r="KJB45" s="478"/>
      <c r="KJC45" s="478"/>
      <c r="KJD45" s="478"/>
      <c r="KJE45" s="478"/>
      <c r="KJF45" s="478"/>
      <c r="KJG45" s="478"/>
      <c r="KJH45" s="478"/>
      <c r="KJI45" s="478"/>
      <c r="KJJ45" s="478"/>
      <c r="KJK45" s="478"/>
      <c r="KJL45" s="478"/>
      <c r="KJM45" s="478"/>
      <c r="KJN45" s="478"/>
      <c r="KJO45" s="478"/>
      <c r="KJP45" s="478"/>
      <c r="KJQ45" s="478"/>
      <c r="KJR45" s="478"/>
      <c r="KJS45" s="478"/>
      <c r="KJT45" s="478"/>
      <c r="KJU45" s="478"/>
      <c r="KJV45" s="478"/>
      <c r="KJW45" s="478"/>
      <c r="KJX45" s="478"/>
      <c r="KJY45" s="478"/>
      <c r="KJZ45" s="478"/>
      <c r="KKA45" s="478"/>
      <c r="KKB45" s="478"/>
      <c r="KKC45" s="478"/>
      <c r="KKD45" s="478"/>
      <c r="KKE45" s="478"/>
      <c r="KKF45" s="478"/>
      <c r="KKG45" s="478"/>
      <c r="KKH45" s="478"/>
      <c r="KKI45" s="478"/>
      <c r="KKJ45" s="478"/>
      <c r="KKK45" s="478"/>
      <c r="KKL45" s="478"/>
      <c r="KKM45" s="478"/>
      <c r="KKN45" s="478"/>
      <c r="KKO45" s="478"/>
      <c r="KKP45" s="478"/>
      <c r="KKQ45" s="478"/>
      <c r="KKR45" s="478"/>
      <c r="KKS45" s="478"/>
      <c r="KKT45" s="478"/>
      <c r="KKU45" s="478"/>
      <c r="KKV45" s="478"/>
      <c r="KKW45" s="478"/>
      <c r="KKX45" s="478"/>
      <c r="KKY45" s="478"/>
      <c r="KKZ45" s="478"/>
      <c r="KLA45" s="478"/>
      <c r="KLB45" s="478"/>
      <c r="KLC45" s="478"/>
      <c r="KLD45" s="478"/>
      <c r="KLE45" s="478"/>
      <c r="KLF45" s="478"/>
      <c r="KLG45" s="478"/>
      <c r="KLH45" s="478"/>
      <c r="KLI45" s="478"/>
      <c r="KLJ45" s="478"/>
      <c r="KLK45" s="478"/>
      <c r="KLL45" s="478"/>
      <c r="KLM45" s="478"/>
      <c r="KLN45" s="478"/>
      <c r="KLO45" s="478"/>
      <c r="KLP45" s="478"/>
      <c r="KLQ45" s="478"/>
      <c r="KLR45" s="478"/>
      <c r="KLS45" s="478"/>
      <c r="KLT45" s="478"/>
      <c r="KLU45" s="478"/>
      <c r="KLV45" s="478"/>
      <c r="KLW45" s="478"/>
      <c r="KLX45" s="478"/>
      <c r="KLY45" s="478"/>
      <c r="KLZ45" s="478"/>
      <c r="KMA45" s="478"/>
      <c r="KMB45" s="478"/>
      <c r="KMC45" s="478"/>
      <c r="KMD45" s="478"/>
      <c r="KME45" s="478"/>
      <c r="KMF45" s="478"/>
      <c r="KMG45" s="478"/>
      <c r="KMH45" s="478"/>
      <c r="KMI45" s="478"/>
      <c r="KMJ45" s="478"/>
      <c r="KMK45" s="478"/>
      <c r="KML45" s="478"/>
      <c r="KMM45" s="478"/>
      <c r="KMN45" s="478"/>
      <c r="KMO45" s="478"/>
      <c r="KMP45" s="478"/>
      <c r="KMQ45" s="478"/>
      <c r="KMR45" s="478"/>
      <c r="KMS45" s="478"/>
      <c r="KMT45" s="478"/>
      <c r="KMU45" s="478"/>
      <c r="KMV45" s="478"/>
      <c r="KMW45" s="478"/>
      <c r="KMX45" s="478"/>
      <c r="KMY45" s="478"/>
      <c r="KMZ45" s="478"/>
      <c r="KNA45" s="478"/>
      <c r="KNB45" s="478"/>
      <c r="KNC45" s="478"/>
      <c r="KND45" s="478"/>
      <c r="KNE45" s="478"/>
      <c r="KNF45" s="478"/>
      <c r="KNG45" s="478"/>
      <c r="KNH45" s="478"/>
      <c r="KNI45" s="478"/>
      <c r="KNJ45" s="478"/>
      <c r="KNK45" s="478"/>
      <c r="KNL45" s="478"/>
      <c r="KNM45" s="478"/>
      <c r="KNN45" s="478"/>
      <c r="KNO45" s="478"/>
      <c r="KNP45" s="478"/>
      <c r="KNQ45" s="478"/>
      <c r="KNR45" s="478"/>
      <c r="KNS45" s="478"/>
      <c r="KNT45" s="478"/>
      <c r="KNU45" s="478"/>
      <c r="KNV45" s="478"/>
      <c r="KNW45" s="478"/>
      <c r="KNX45" s="478"/>
      <c r="KNY45" s="478"/>
      <c r="KNZ45" s="478"/>
      <c r="KOA45" s="478"/>
      <c r="KOB45" s="478"/>
      <c r="KOC45" s="478"/>
      <c r="KOD45" s="478"/>
      <c r="KOE45" s="478"/>
      <c r="KOF45" s="478"/>
      <c r="KOG45" s="478"/>
      <c r="KOH45" s="478"/>
      <c r="KOI45" s="478"/>
      <c r="KOJ45" s="478"/>
      <c r="KOK45" s="478"/>
      <c r="KOL45" s="478"/>
      <c r="KOM45" s="478"/>
      <c r="KON45" s="478"/>
      <c r="KOO45" s="478"/>
      <c r="KOP45" s="478"/>
      <c r="KOQ45" s="478"/>
      <c r="KOR45" s="478"/>
      <c r="KOS45" s="478"/>
      <c r="KOT45" s="478"/>
      <c r="KOU45" s="478"/>
      <c r="KOV45" s="478"/>
      <c r="KOW45" s="478"/>
      <c r="KOX45" s="478"/>
      <c r="KOY45" s="478"/>
      <c r="KOZ45" s="478"/>
      <c r="KPA45" s="478"/>
      <c r="KPB45" s="478"/>
      <c r="KPC45" s="478"/>
      <c r="KPD45" s="478"/>
      <c r="KPE45" s="478"/>
      <c r="KPF45" s="478"/>
      <c r="KPG45" s="478"/>
      <c r="KPH45" s="478"/>
      <c r="KPI45" s="478"/>
      <c r="KPJ45" s="478"/>
      <c r="KPK45" s="478"/>
      <c r="KPL45" s="478"/>
      <c r="KPM45" s="478"/>
      <c r="KPN45" s="478"/>
      <c r="KPO45" s="478"/>
      <c r="KPP45" s="478"/>
      <c r="KPQ45" s="478"/>
      <c r="KPR45" s="478"/>
      <c r="KPS45" s="478"/>
      <c r="KPT45" s="478"/>
      <c r="KPU45" s="478"/>
      <c r="KPV45" s="478"/>
      <c r="KPW45" s="478"/>
      <c r="KPX45" s="478"/>
      <c r="KPY45" s="478"/>
      <c r="KPZ45" s="478"/>
      <c r="KQA45" s="478"/>
      <c r="KQB45" s="478"/>
      <c r="KQC45" s="478"/>
      <c r="KQD45" s="478"/>
      <c r="KQE45" s="478"/>
      <c r="KQF45" s="478"/>
      <c r="KQG45" s="478"/>
      <c r="KQH45" s="478"/>
      <c r="KQI45" s="478"/>
      <c r="KQJ45" s="478"/>
      <c r="KQK45" s="478"/>
      <c r="KQL45" s="478"/>
      <c r="KQM45" s="478"/>
      <c r="KQN45" s="478"/>
      <c r="KQO45" s="478"/>
      <c r="KQP45" s="478"/>
      <c r="KQQ45" s="478"/>
      <c r="KQR45" s="478"/>
      <c r="KQS45" s="478"/>
      <c r="KQT45" s="478"/>
      <c r="KQU45" s="478"/>
      <c r="KQV45" s="478"/>
      <c r="KQW45" s="478"/>
      <c r="KQX45" s="478"/>
      <c r="KQY45" s="478"/>
      <c r="KQZ45" s="478"/>
      <c r="KRA45" s="478"/>
      <c r="KRB45" s="478"/>
      <c r="KRC45" s="478"/>
      <c r="KRD45" s="478"/>
      <c r="KRE45" s="478"/>
      <c r="KRF45" s="478"/>
      <c r="KRG45" s="478"/>
      <c r="KRH45" s="478"/>
      <c r="KRI45" s="478"/>
      <c r="KRJ45" s="478"/>
      <c r="KRK45" s="478"/>
      <c r="KRL45" s="478"/>
      <c r="KRM45" s="478"/>
      <c r="KRN45" s="478"/>
      <c r="KRO45" s="478"/>
      <c r="KRP45" s="478"/>
      <c r="KRQ45" s="478"/>
      <c r="KRR45" s="478"/>
      <c r="KRS45" s="478"/>
      <c r="KRT45" s="478"/>
      <c r="KRU45" s="478"/>
      <c r="KRV45" s="478"/>
      <c r="KRW45" s="478"/>
      <c r="KRX45" s="478"/>
      <c r="KRY45" s="478"/>
      <c r="KRZ45" s="478"/>
      <c r="KSA45" s="478"/>
      <c r="KSB45" s="478"/>
      <c r="KSC45" s="478"/>
      <c r="KSD45" s="478"/>
      <c r="KSE45" s="478"/>
      <c r="KSF45" s="478"/>
      <c r="KSG45" s="478"/>
      <c r="KSH45" s="478"/>
      <c r="KSI45" s="478"/>
      <c r="KSJ45" s="478"/>
      <c r="KSK45" s="478"/>
      <c r="KSL45" s="478"/>
      <c r="KSM45" s="478"/>
      <c r="KSN45" s="478"/>
      <c r="KSO45" s="478"/>
      <c r="KSP45" s="478"/>
      <c r="KSQ45" s="478"/>
      <c r="KSR45" s="478"/>
      <c r="KSS45" s="478"/>
      <c r="KST45" s="478"/>
      <c r="KSU45" s="478"/>
      <c r="KSV45" s="478"/>
      <c r="KSW45" s="478"/>
      <c r="KSX45" s="478"/>
      <c r="KSY45" s="478"/>
      <c r="KSZ45" s="478"/>
      <c r="KTA45" s="478"/>
      <c r="KTB45" s="478"/>
      <c r="KTC45" s="478"/>
      <c r="KTD45" s="478"/>
      <c r="KTE45" s="478"/>
      <c r="KTF45" s="478"/>
      <c r="KTG45" s="478"/>
      <c r="KTH45" s="478"/>
      <c r="KTI45" s="478"/>
      <c r="KTJ45" s="478"/>
      <c r="KTK45" s="478"/>
      <c r="KTL45" s="478"/>
      <c r="KTM45" s="478"/>
      <c r="KTN45" s="478"/>
      <c r="KTO45" s="478"/>
      <c r="KTP45" s="478"/>
      <c r="KTQ45" s="478"/>
      <c r="KTR45" s="478"/>
      <c r="KTS45" s="478"/>
      <c r="KTT45" s="478"/>
      <c r="KTU45" s="478"/>
      <c r="KTV45" s="478"/>
      <c r="KTW45" s="478"/>
      <c r="KTX45" s="478"/>
      <c r="KTY45" s="478"/>
      <c r="KTZ45" s="478"/>
      <c r="KUA45" s="478"/>
      <c r="KUB45" s="478"/>
      <c r="KUC45" s="478"/>
      <c r="KUD45" s="478"/>
      <c r="KUE45" s="478"/>
      <c r="KUF45" s="478"/>
      <c r="KUG45" s="478"/>
      <c r="KUH45" s="478"/>
      <c r="KUI45" s="478"/>
      <c r="KUJ45" s="478"/>
      <c r="KUK45" s="478"/>
      <c r="KUL45" s="478"/>
      <c r="KUM45" s="478"/>
      <c r="KUN45" s="478"/>
      <c r="KUO45" s="478"/>
      <c r="KUP45" s="478"/>
      <c r="KUQ45" s="478"/>
      <c r="KUR45" s="478"/>
      <c r="KUS45" s="478"/>
      <c r="KUT45" s="478"/>
      <c r="KUU45" s="478"/>
      <c r="KUV45" s="478"/>
      <c r="KUW45" s="478"/>
      <c r="KUX45" s="478"/>
      <c r="KUY45" s="478"/>
      <c r="KUZ45" s="478"/>
      <c r="KVA45" s="478"/>
      <c r="KVB45" s="478"/>
      <c r="KVC45" s="478"/>
      <c r="KVD45" s="478"/>
      <c r="KVE45" s="478"/>
      <c r="KVF45" s="478"/>
      <c r="KVG45" s="478"/>
      <c r="KVH45" s="478"/>
      <c r="KVI45" s="478"/>
      <c r="KVJ45" s="478"/>
      <c r="KVK45" s="478"/>
      <c r="KVL45" s="478"/>
      <c r="KVM45" s="478"/>
      <c r="KVN45" s="478"/>
      <c r="KVO45" s="478"/>
      <c r="KVP45" s="478"/>
      <c r="KVQ45" s="478"/>
      <c r="KVR45" s="478"/>
      <c r="KVS45" s="478"/>
      <c r="KVT45" s="478"/>
      <c r="KVU45" s="478"/>
      <c r="KVV45" s="478"/>
      <c r="KVW45" s="478"/>
      <c r="KVX45" s="478"/>
      <c r="KVY45" s="478"/>
      <c r="KVZ45" s="478"/>
      <c r="KWA45" s="478"/>
      <c r="KWB45" s="478"/>
      <c r="KWC45" s="478"/>
      <c r="KWD45" s="478"/>
      <c r="KWE45" s="478"/>
      <c r="KWF45" s="478"/>
      <c r="KWG45" s="478"/>
      <c r="KWH45" s="478"/>
      <c r="KWI45" s="478"/>
      <c r="KWJ45" s="478"/>
      <c r="KWK45" s="478"/>
      <c r="KWL45" s="478"/>
      <c r="KWM45" s="478"/>
      <c r="KWN45" s="478"/>
      <c r="KWO45" s="478"/>
      <c r="KWP45" s="478"/>
      <c r="KWQ45" s="478"/>
      <c r="KWR45" s="478"/>
      <c r="KWS45" s="478"/>
      <c r="KWT45" s="478"/>
      <c r="KWU45" s="478"/>
      <c r="KWV45" s="478"/>
      <c r="KWW45" s="478"/>
      <c r="KWX45" s="478"/>
      <c r="KWY45" s="478"/>
      <c r="KWZ45" s="478"/>
      <c r="KXA45" s="478"/>
      <c r="KXB45" s="478"/>
      <c r="KXC45" s="478"/>
      <c r="KXD45" s="478"/>
      <c r="KXE45" s="478"/>
      <c r="KXF45" s="478"/>
      <c r="KXG45" s="478"/>
      <c r="KXH45" s="478"/>
      <c r="KXI45" s="478"/>
      <c r="KXJ45" s="478"/>
      <c r="KXK45" s="478"/>
      <c r="KXL45" s="478"/>
      <c r="KXM45" s="478"/>
      <c r="KXN45" s="478"/>
      <c r="KXO45" s="478"/>
      <c r="KXP45" s="478"/>
      <c r="KXQ45" s="478"/>
      <c r="KXR45" s="478"/>
      <c r="KXS45" s="478"/>
      <c r="KXT45" s="478"/>
      <c r="KXU45" s="478"/>
      <c r="KXV45" s="478"/>
      <c r="KXW45" s="478"/>
      <c r="KXX45" s="478"/>
      <c r="KXY45" s="478"/>
      <c r="KXZ45" s="478"/>
      <c r="KYA45" s="478"/>
      <c r="KYB45" s="478"/>
      <c r="KYC45" s="478"/>
      <c r="KYD45" s="478"/>
      <c r="KYE45" s="478"/>
      <c r="KYF45" s="478"/>
      <c r="KYG45" s="478"/>
      <c r="KYH45" s="478"/>
      <c r="KYI45" s="478"/>
      <c r="KYJ45" s="478"/>
      <c r="KYK45" s="478"/>
      <c r="KYL45" s="478"/>
      <c r="KYM45" s="478"/>
      <c r="KYN45" s="478"/>
      <c r="KYO45" s="478"/>
      <c r="KYP45" s="478"/>
      <c r="KYQ45" s="478"/>
      <c r="KYR45" s="478"/>
      <c r="KYS45" s="478"/>
      <c r="KYT45" s="478"/>
      <c r="KYU45" s="478"/>
      <c r="KYV45" s="478"/>
      <c r="KYW45" s="478"/>
      <c r="KYX45" s="478"/>
      <c r="KYY45" s="478"/>
      <c r="KYZ45" s="478"/>
      <c r="KZA45" s="478"/>
      <c r="KZB45" s="478"/>
      <c r="KZC45" s="478"/>
      <c r="KZD45" s="478"/>
      <c r="KZE45" s="478"/>
      <c r="KZF45" s="478"/>
      <c r="KZG45" s="478"/>
      <c r="KZH45" s="478"/>
      <c r="KZI45" s="478"/>
      <c r="KZJ45" s="478"/>
      <c r="KZK45" s="478"/>
      <c r="KZL45" s="478"/>
      <c r="KZM45" s="478"/>
      <c r="KZN45" s="478"/>
      <c r="KZO45" s="478"/>
      <c r="KZP45" s="478"/>
      <c r="KZQ45" s="478"/>
      <c r="KZR45" s="478"/>
      <c r="KZS45" s="478"/>
      <c r="KZT45" s="478"/>
      <c r="KZU45" s="478"/>
      <c r="KZV45" s="478"/>
      <c r="KZW45" s="478"/>
      <c r="KZX45" s="478"/>
      <c r="KZY45" s="478"/>
      <c r="KZZ45" s="478"/>
      <c r="LAA45" s="478"/>
      <c r="LAB45" s="478"/>
      <c r="LAC45" s="478"/>
      <c r="LAD45" s="478"/>
      <c r="LAE45" s="478"/>
      <c r="LAF45" s="478"/>
      <c r="LAG45" s="478"/>
      <c r="LAH45" s="478"/>
      <c r="LAI45" s="478"/>
      <c r="LAJ45" s="478"/>
      <c r="LAK45" s="478"/>
      <c r="LAL45" s="478"/>
      <c r="LAM45" s="478"/>
      <c r="LAN45" s="478"/>
      <c r="LAO45" s="478"/>
      <c r="LAP45" s="478"/>
      <c r="LAQ45" s="478"/>
      <c r="LAR45" s="478"/>
      <c r="LAS45" s="478"/>
      <c r="LAT45" s="478"/>
      <c r="LAU45" s="478"/>
      <c r="LAV45" s="478"/>
      <c r="LAW45" s="478"/>
      <c r="LAX45" s="478"/>
      <c r="LAY45" s="478"/>
      <c r="LAZ45" s="478"/>
      <c r="LBA45" s="478"/>
      <c r="LBB45" s="478"/>
      <c r="LBC45" s="478"/>
      <c r="LBD45" s="478"/>
      <c r="LBE45" s="478"/>
      <c r="LBF45" s="478"/>
      <c r="LBG45" s="478"/>
      <c r="LBH45" s="478"/>
      <c r="LBI45" s="478"/>
      <c r="LBJ45" s="478"/>
      <c r="LBK45" s="478"/>
      <c r="LBL45" s="478"/>
      <c r="LBM45" s="478"/>
      <c r="LBN45" s="478"/>
      <c r="LBO45" s="478"/>
      <c r="LBP45" s="478"/>
      <c r="LBQ45" s="478"/>
      <c r="LBR45" s="478"/>
      <c r="LBS45" s="478"/>
      <c r="LBT45" s="478"/>
      <c r="LBU45" s="478"/>
      <c r="LBV45" s="478"/>
      <c r="LBW45" s="478"/>
      <c r="LBX45" s="478"/>
      <c r="LBY45" s="478"/>
      <c r="LBZ45" s="478"/>
      <c r="LCA45" s="478"/>
      <c r="LCB45" s="478"/>
      <c r="LCC45" s="478"/>
      <c r="LCD45" s="478"/>
      <c r="LCE45" s="478"/>
      <c r="LCF45" s="478"/>
      <c r="LCG45" s="478"/>
      <c r="LCH45" s="478"/>
      <c r="LCI45" s="478"/>
      <c r="LCJ45" s="478"/>
      <c r="LCK45" s="478"/>
      <c r="LCL45" s="478"/>
      <c r="LCM45" s="478"/>
      <c r="LCN45" s="478"/>
      <c r="LCO45" s="478"/>
      <c r="LCP45" s="478"/>
      <c r="LCQ45" s="478"/>
      <c r="LCR45" s="478"/>
      <c r="LCS45" s="478"/>
      <c r="LCT45" s="478"/>
      <c r="LCU45" s="478"/>
      <c r="LCV45" s="478"/>
      <c r="LCW45" s="478"/>
      <c r="LCX45" s="478"/>
      <c r="LCY45" s="478"/>
      <c r="LCZ45" s="478"/>
      <c r="LDA45" s="478"/>
      <c r="LDB45" s="478"/>
      <c r="LDC45" s="478"/>
      <c r="LDD45" s="478"/>
      <c r="LDE45" s="478"/>
      <c r="LDF45" s="478"/>
      <c r="LDG45" s="478"/>
      <c r="LDH45" s="478"/>
      <c r="LDI45" s="478"/>
      <c r="LDJ45" s="478"/>
      <c r="LDK45" s="478"/>
      <c r="LDL45" s="478"/>
      <c r="LDM45" s="478"/>
      <c r="LDN45" s="478"/>
      <c r="LDO45" s="478"/>
      <c r="LDP45" s="478"/>
      <c r="LDQ45" s="478"/>
      <c r="LDR45" s="478"/>
      <c r="LDS45" s="478"/>
      <c r="LDT45" s="478"/>
      <c r="LDU45" s="478"/>
      <c r="LDV45" s="478"/>
      <c r="LDW45" s="478"/>
      <c r="LDX45" s="478"/>
      <c r="LDY45" s="478"/>
      <c r="LDZ45" s="478"/>
      <c r="LEA45" s="478"/>
      <c r="LEB45" s="478"/>
      <c r="LEC45" s="478"/>
      <c r="LED45" s="478"/>
      <c r="LEE45" s="478"/>
      <c r="LEF45" s="478"/>
      <c r="LEG45" s="478"/>
      <c r="LEH45" s="478"/>
      <c r="LEI45" s="478"/>
      <c r="LEJ45" s="478"/>
      <c r="LEK45" s="478"/>
      <c r="LEL45" s="478"/>
      <c r="LEM45" s="478"/>
      <c r="LEN45" s="478"/>
      <c r="LEO45" s="478"/>
      <c r="LEP45" s="478"/>
      <c r="LEQ45" s="478"/>
      <c r="LER45" s="478"/>
      <c r="LES45" s="478"/>
      <c r="LET45" s="478"/>
      <c r="LEU45" s="478"/>
      <c r="LEV45" s="478"/>
      <c r="LEW45" s="478"/>
      <c r="LEX45" s="478"/>
      <c r="LEY45" s="478"/>
      <c r="LEZ45" s="478"/>
      <c r="LFA45" s="478"/>
      <c r="LFB45" s="478"/>
      <c r="LFC45" s="478"/>
      <c r="LFD45" s="478"/>
      <c r="LFE45" s="478"/>
      <c r="LFF45" s="478"/>
      <c r="LFG45" s="478"/>
      <c r="LFH45" s="478"/>
      <c r="LFI45" s="478"/>
      <c r="LFJ45" s="478"/>
      <c r="LFK45" s="478"/>
      <c r="LFL45" s="478"/>
      <c r="LFM45" s="478"/>
      <c r="LFN45" s="478"/>
      <c r="LFO45" s="478"/>
      <c r="LFP45" s="478"/>
      <c r="LFQ45" s="478"/>
      <c r="LFR45" s="478"/>
      <c r="LFS45" s="478"/>
      <c r="LFT45" s="478"/>
      <c r="LFU45" s="478"/>
      <c r="LFV45" s="478"/>
      <c r="LFW45" s="478"/>
      <c r="LFX45" s="478"/>
      <c r="LFY45" s="478"/>
      <c r="LFZ45" s="478"/>
      <c r="LGA45" s="478"/>
      <c r="LGB45" s="478"/>
      <c r="LGC45" s="478"/>
      <c r="LGD45" s="478"/>
      <c r="LGE45" s="478"/>
      <c r="LGF45" s="478"/>
      <c r="LGG45" s="478"/>
      <c r="LGH45" s="478"/>
      <c r="LGI45" s="478"/>
      <c r="LGJ45" s="478"/>
      <c r="LGK45" s="478"/>
      <c r="LGL45" s="478"/>
      <c r="LGM45" s="478"/>
      <c r="LGN45" s="478"/>
      <c r="LGO45" s="478"/>
      <c r="LGP45" s="478"/>
      <c r="LGQ45" s="478"/>
      <c r="LGR45" s="478"/>
      <c r="LGS45" s="478"/>
      <c r="LGT45" s="478"/>
      <c r="LGU45" s="478"/>
      <c r="LGV45" s="478"/>
      <c r="LGW45" s="478"/>
      <c r="LGX45" s="478"/>
      <c r="LGY45" s="478"/>
      <c r="LGZ45" s="478"/>
      <c r="LHA45" s="478"/>
      <c r="LHB45" s="478"/>
      <c r="LHC45" s="478"/>
      <c r="LHD45" s="478"/>
      <c r="LHE45" s="478"/>
      <c r="LHF45" s="478"/>
      <c r="LHG45" s="478"/>
      <c r="LHH45" s="478"/>
      <c r="LHI45" s="478"/>
      <c r="LHJ45" s="478"/>
      <c r="LHK45" s="478"/>
      <c r="LHL45" s="478"/>
      <c r="LHM45" s="478"/>
      <c r="LHN45" s="478"/>
      <c r="LHO45" s="478"/>
      <c r="LHP45" s="478"/>
      <c r="LHQ45" s="478"/>
      <c r="LHR45" s="478"/>
      <c r="LHS45" s="478"/>
      <c r="LHT45" s="478"/>
      <c r="LHU45" s="478"/>
      <c r="LHV45" s="478"/>
      <c r="LHW45" s="478"/>
      <c r="LHX45" s="478"/>
      <c r="LHY45" s="478"/>
      <c r="LHZ45" s="478"/>
      <c r="LIA45" s="478"/>
      <c r="LIB45" s="478"/>
      <c r="LIC45" s="478"/>
      <c r="LID45" s="478"/>
      <c r="LIE45" s="478"/>
      <c r="LIF45" s="478"/>
      <c r="LIG45" s="478"/>
      <c r="LIH45" s="478"/>
      <c r="LII45" s="478"/>
      <c r="LIJ45" s="478"/>
      <c r="LIK45" s="478"/>
      <c r="LIL45" s="478"/>
      <c r="LIM45" s="478"/>
      <c r="LIN45" s="478"/>
      <c r="LIO45" s="478"/>
      <c r="LIP45" s="478"/>
      <c r="LIQ45" s="478"/>
      <c r="LIR45" s="478"/>
      <c r="LIS45" s="478"/>
      <c r="LIT45" s="478"/>
      <c r="LIU45" s="478"/>
      <c r="LIV45" s="478"/>
      <c r="LIW45" s="478"/>
      <c r="LIX45" s="478"/>
      <c r="LIY45" s="478"/>
      <c r="LIZ45" s="478"/>
      <c r="LJA45" s="478"/>
      <c r="LJB45" s="478"/>
      <c r="LJC45" s="478"/>
      <c r="LJD45" s="478"/>
      <c r="LJE45" s="478"/>
      <c r="LJF45" s="478"/>
      <c r="LJG45" s="478"/>
      <c r="LJH45" s="478"/>
      <c r="LJI45" s="478"/>
      <c r="LJJ45" s="478"/>
      <c r="LJK45" s="478"/>
      <c r="LJL45" s="478"/>
      <c r="LJM45" s="478"/>
      <c r="LJN45" s="478"/>
      <c r="LJO45" s="478"/>
      <c r="LJP45" s="478"/>
      <c r="LJQ45" s="478"/>
      <c r="LJR45" s="478"/>
      <c r="LJS45" s="478"/>
      <c r="LJT45" s="478"/>
      <c r="LJU45" s="478"/>
      <c r="LJV45" s="478"/>
      <c r="LJW45" s="478"/>
      <c r="LJX45" s="478"/>
      <c r="LJY45" s="478"/>
      <c r="LJZ45" s="478"/>
      <c r="LKA45" s="478"/>
      <c r="LKB45" s="478"/>
      <c r="LKC45" s="478"/>
      <c r="LKD45" s="478"/>
      <c r="LKE45" s="478"/>
      <c r="LKF45" s="478"/>
      <c r="LKG45" s="478"/>
      <c r="LKH45" s="478"/>
      <c r="LKI45" s="478"/>
      <c r="LKJ45" s="478"/>
      <c r="LKK45" s="478"/>
      <c r="LKL45" s="478"/>
      <c r="LKM45" s="478"/>
      <c r="LKN45" s="478"/>
      <c r="LKO45" s="478"/>
      <c r="LKP45" s="478"/>
      <c r="LKQ45" s="478"/>
      <c r="LKR45" s="478"/>
      <c r="LKS45" s="478"/>
      <c r="LKT45" s="478"/>
      <c r="LKU45" s="478"/>
      <c r="LKV45" s="478"/>
      <c r="LKW45" s="478"/>
      <c r="LKX45" s="478"/>
      <c r="LKY45" s="478"/>
      <c r="LKZ45" s="478"/>
      <c r="LLA45" s="478"/>
      <c r="LLB45" s="478"/>
      <c r="LLC45" s="478"/>
      <c r="LLD45" s="478"/>
      <c r="LLE45" s="478"/>
      <c r="LLF45" s="478"/>
      <c r="LLG45" s="478"/>
      <c r="LLH45" s="478"/>
      <c r="LLI45" s="478"/>
      <c r="LLJ45" s="478"/>
      <c r="LLK45" s="478"/>
      <c r="LLL45" s="478"/>
      <c r="LLM45" s="478"/>
      <c r="LLN45" s="478"/>
      <c r="LLO45" s="478"/>
      <c r="LLP45" s="478"/>
      <c r="LLQ45" s="478"/>
      <c r="LLR45" s="478"/>
      <c r="LLS45" s="478"/>
      <c r="LLT45" s="478"/>
      <c r="LLU45" s="478"/>
      <c r="LLV45" s="478"/>
      <c r="LLW45" s="478"/>
      <c r="LLX45" s="478"/>
      <c r="LLY45" s="478"/>
      <c r="LLZ45" s="478"/>
      <c r="LMA45" s="478"/>
      <c r="LMB45" s="478"/>
      <c r="LMC45" s="478"/>
      <c r="LMD45" s="478"/>
      <c r="LME45" s="478"/>
      <c r="LMF45" s="478"/>
      <c r="LMG45" s="478"/>
      <c r="LMH45" s="478"/>
      <c r="LMI45" s="478"/>
      <c r="LMJ45" s="478"/>
      <c r="LMK45" s="478"/>
      <c r="LML45" s="478"/>
      <c r="LMM45" s="478"/>
      <c r="LMN45" s="478"/>
      <c r="LMO45" s="478"/>
      <c r="LMP45" s="478"/>
      <c r="LMQ45" s="478"/>
      <c r="LMR45" s="478"/>
      <c r="LMS45" s="478"/>
      <c r="LMT45" s="478"/>
      <c r="LMU45" s="478"/>
      <c r="LMV45" s="478"/>
      <c r="LMW45" s="478"/>
      <c r="LMX45" s="478"/>
      <c r="LMY45" s="478"/>
      <c r="LMZ45" s="478"/>
      <c r="LNA45" s="478"/>
      <c r="LNB45" s="478"/>
      <c r="LNC45" s="478"/>
      <c r="LND45" s="478"/>
      <c r="LNE45" s="478"/>
      <c r="LNF45" s="478"/>
      <c r="LNG45" s="478"/>
      <c r="LNH45" s="478"/>
      <c r="LNI45" s="478"/>
      <c r="LNJ45" s="478"/>
      <c r="LNK45" s="478"/>
      <c r="LNL45" s="478"/>
      <c r="LNM45" s="478"/>
      <c r="LNN45" s="478"/>
      <c r="LNO45" s="478"/>
      <c r="LNP45" s="478"/>
      <c r="LNQ45" s="478"/>
      <c r="LNR45" s="478"/>
      <c r="LNS45" s="478"/>
      <c r="LNT45" s="478"/>
      <c r="LNU45" s="478"/>
      <c r="LNV45" s="478"/>
      <c r="LNW45" s="478"/>
      <c r="LNX45" s="478"/>
      <c r="LNY45" s="478"/>
      <c r="LNZ45" s="478"/>
      <c r="LOA45" s="478"/>
      <c r="LOB45" s="478"/>
      <c r="LOC45" s="478"/>
      <c r="LOD45" s="478"/>
      <c r="LOE45" s="478"/>
      <c r="LOF45" s="478"/>
      <c r="LOG45" s="478"/>
      <c r="LOH45" s="478"/>
      <c r="LOI45" s="478"/>
      <c r="LOJ45" s="478"/>
      <c r="LOK45" s="478"/>
      <c r="LOL45" s="478"/>
      <c r="LOM45" s="478"/>
      <c r="LON45" s="478"/>
      <c r="LOO45" s="478"/>
      <c r="LOP45" s="478"/>
      <c r="LOQ45" s="478"/>
      <c r="LOR45" s="478"/>
      <c r="LOS45" s="478"/>
      <c r="LOT45" s="478"/>
      <c r="LOU45" s="478"/>
      <c r="LOV45" s="478"/>
      <c r="LOW45" s="478"/>
      <c r="LOX45" s="478"/>
      <c r="LOY45" s="478"/>
      <c r="LOZ45" s="478"/>
      <c r="LPA45" s="478"/>
      <c r="LPB45" s="478"/>
      <c r="LPC45" s="478"/>
      <c r="LPD45" s="478"/>
      <c r="LPE45" s="478"/>
      <c r="LPF45" s="478"/>
      <c r="LPG45" s="478"/>
      <c r="LPH45" s="478"/>
      <c r="LPI45" s="478"/>
      <c r="LPJ45" s="478"/>
      <c r="LPK45" s="478"/>
      <c r="LPL45" s="478"/>
      <c r="LPM45" s="478"/>
      <c r="LPN45" s="478"/>
      <c r="LPO45" s="478"/>
      <c r="LPP45" s="478"/>
      <c r="LPQ45" s="478"/>
      <c r="LPR45" s="478"/>
      <c r="LPS45" s="478"/>
      <c r="LPT45" s="478"/>
      <c r="LPU45" s="478"/>
      <c r="LPV45" s="478"/>
      <c r="LPW45" s="478"/>
      <c r="LPX45" s="478"/>
      <c r="LPY45" s="478"/>
      <c r="LPZ45" s="478"/>
      <c r="LQA45" s="478"/>
      <c r="LQB45" s="478"/>
      <c r="LQC45" s="478"/>
      <c r="LQD45" s="478"/>
      <c r="LQE45" s="478"/>
      <c r="LQF45" s="478"/>
      <c r="LQG45" s="478"/>
      <c r="LQH45" s="478"/>
      <c r="LQI45" s="478"/>
      <c r="LQJ45" s="478"/>
      <c r="LQK45" s="478"/>
      <c r="LQL45" s="478"/>
      <c r="LQM45" s="478"/>
      <c r="LQN45" s="478"/>
      <c r="LQO45" s="478"/>
      <c r="LQP45" s="478"/>
      <c r="LQQ45" s="478"/>
      <c r="LQR45" s="478"/>
      <c r="LQS45" s="478"/>
      <c r="LQT45" s="478"/>
      <c r="LQU45" s="478"/>
      <c r="LQV45" s="478"/>
      <c r="LQW45" s="478"/>
      <c r="LQX45" s="478"/>
      <c r="LQY45" s="478"/>
      <c r="LQZ45" s="478"/>
      <c r="LRA45" s="478"/>
      <c r="LRB45" s="478"/>
      <c r="LRC45" s="478"/>
      <c r="LRD45" s="478"/>
      <c r="LRE45" s="478"/>
      <c r="LRF45" s="478"/>
      <c r="LRG45" s="478"/>
      <c r="LRH45" s="478"/>
      <c r="LRI45" s="478"/>
      <c r="LRJ45" s="478"/>
      <c r="LRK45" s="478"/>
      <c r="LRL45" s="478"/>
      <c r="LRM45" s="478"/>
      <c r="LRN45" s="478"/>
      <c r="LRO45" s="478"/>
      <c r="LRP45" s="478"/>
      <c r="LRQ45" s="478"/>
      <c r="LRR45" s="478"/>
      <c r="LRS45" s="478"/>
      <c r="LRT45" s="478"/>
      <c r="LRU45" s="478"/>
      <c r="LRV45" s="478"/>
      <c r="LRW45" s="478"/>
      <c r="LRX45" s="478"/>
      <c r="LRY45" s="478"/>
      <c r="LRZ45" s="478"/>
      <c r="LSA45" s="478"/>
      <c r="LSB45" s="478"/>
      <c r="LSC45" s="478"/>
      <c r="LSD45" s="478"/>
      <c r="LSE45" s="478"/>
      <c r="LSF45" s="478"/>
      <c r="LSG45" s="478"/>
      <c r="LSH45" s="478"/>
      <c r="LSI45" s="478"/>
      <c r="LSJ45" s="478"/>
      <c r="LSK45" s="478"/>
      <c r="LSL45" s="478"/>
      <c r="LSM45" s="478"/>
      <c r="LSN45" s="478"/>
      <c r="LSO45" s="478"/>
      <c r="LSP45" s="478"/>
      <c r="LSQ45" s="478"/>
      <c r="LSR45" s="478"/>
      <c r="LSS45" s="478"/>
      <c r="LST45" s="478"/>
      <c r="LSU45" s="478"/>
      <c r="LSV45" s="478"/>
      <c r="LSW45" s="478"/>
      <c r="LSX45" s="478"/>
      <c r="LSY45" s="478"/>
      <c r="LSZ45" s="478"/>
      <c r="LTA45" s="478"/>
      <c r="LTB45" s="478"/>
      <c r="LTC45" s="478"/>
      <c r="LTD45" s="478"/>
      <c r="LTE45" s="478"/>
      <c r="LTF45" s="478"/>
      <c r="LTG45" s="478"/>
      <c r="LTH45" s="478"/>
      <c r="LTI45" s="478"/>
      <c r="LTJ45" s="478"/>
      <c r="LTK45" s="478"/>
      <c r="LTL45" s="478"/>
      <c r="LTM45" s="478"/>
      <c r="LTN45" s="478"/>
      <c r="LTO45" s="478"/>
      <c r="LTP45" s="478"/>
      <c r="LTQ45" s="478"/>
      <c r="LTR45" s="478"/>
      <c r="LTS45" s="478"/>
      <c r="LTT45" s="478"/>
      <c r="LTU45" s="478"/>
      <c r="LTV45" s="478"/>
      <c r="LTW45" s="478"/>
      <c r="LTX45" s="478"/>
      <c r="LTY45" s="478"/>
      <c r="LTZ45" s="478"/>
      <c r="LUA45" s="478"/>
      <c r="LUB45" s="478"/>
      <c r="LUC45" s="478"/>
      <c r="LUD45" s="478"/>
      <c r="LUE45" s="478"/>
      <c r="LUF45" s="478"/>
      <c r="LUG45" s="478"/>
      <c r="LUH45" s="478"/>
      <c r="LUI45" s="478"/>
      <c r="LUJ45" s="478"/>
      <c r="LUK45" s="478"/>
      <c r="LUL45" s="478"/>
      <c r="LUM45" s="478"/>
      <c r="LUN45" s="478"/>
      <c r="LUO45" s="478"/>
      <c r="LUP45" s="478"/>
      <c r="LUQ45" s="478"/>
      <c r="LUR45" s="478"/>
      <c r="LUS45" s="478"/>
      <c r="LUT45" s="478"/>
      <c r="LUU45" s="478"/>
      <c r="LUV45" s="478"/>
      <c r="LUW45" s="478"/>
      <c r="LUX45" s="478"/>
      <c r="LUY45" s="478"/>
      <c r="LUZ45" s="478"/>
      <c r="LVA45" s="478"/>
      <c r="LVB45" s="478"/>
      <c r="LVC45" s="478"/>
      <c r="LVD45" s="478"/>
      <c r="LVE45" s="478"/>
      <c r="LVF45" s="478"/>
      <c r="LVG45" s="478"/>
      <c r="LVH45" s="478"/>
      <c r="LVI45" s="478"/>
      <c r="LVJ45" s="478"/>
      <c r="LVK45" s="478"/>
      <c r="LVL45" s="478"/>
      <c r="LVM45" s="478"/>
      <c r="LVN45" s="478"/>
      <c r="LVO45" s="478"/>
      <c r="LVP45" s="478"/>
      <c r="LVQ45" s="478"/>
      <c r="LVR45" s="478"/>
      <c r="LVS45" s="478"/>
      <c r="LVT45" s="478"/>
      <c r="LVU45" s="478"/>
      <c r="LVV45" s="478"/>
      <c r="LVW45" s="478"/>
      <c r="LVX45" s="478"/>
      <c r="LVY45" s="478"/>
      <c r="LVZ45" s="478"/>
      <c r="LWA45" s="478"/>
      <c r="LWB45" s="478"/>
      <c r="LWC45" s="478"/>
      <c r="LWD45" s="478"/>
      <c r="LWE45" s="478"/>
      <c r="LWF45" s="478"/>
      <c r="LWG45" s="478"/>
      <c r="LWH45" s="478"/>
      <c r="LWI45" s="478"/>
      <c r="LWJ45" s="478"/>
      <c r="LWK45" s="478"/>
      <c r="LWL45" s="478"/>
      <c r="LWM45" s="478"/>
      <c r="LWN45" s="478"/>
      <c r="LWO45" s="478"/>
      <c r="LWP45" s="478"/>
      <c r="LWQ45" s="478"/>
      <c r="LWR45" s="478"/>
      <c r="LWS45" s="478"/>
      <c r="LWT45" s="478"/>
      <c r="LWU45" s="478"/>
      <c r="LWV45" s="478"/>
      <c r="LWW45" s="478"/>
      <c r="LWX45" s="478"/>
      <c r="LWY45" s="478"/>
      <c r="LWZ45" s="478"/>
      <c r="LXA45" s="478"/>
      <c r="LXB45" s="478"/>
      <c r="LXC45" s="478"/>
      <c r="LXD45" s="478"/>
      <c r="LXE45" s="478"/>
      <c r="LXF45" s="478"/>
      <c r="LXG45" s="478"/>
      <c r="LXH45" s="478"/>
      <c r="LXI45" s="478"/>
      <c r="LXJ45" s="478"/>
      <c r="LXK45" s="478"/>
      <c r="LXL45" s="478"/>
      <c r="LXM45" s="478"/>
      <c r="LXN45" s="478"/>
      <c r="LXO45" s="478"/>
      <c r="LXP45" s="478"/>
      <c r="LXQ45" s="478"/>
      <c r="LXR45" s="478"/>
      <c r="LXS45" s="478"/>
      <c r="LXT45" s="478"/>
      <c r="LXU45" s="478"/>
      <c r="LXV45" s="478"/>
      <c r="LXW45" s="478"/>
      <c r="LXX45" s="478"/>
      <c r="LXY45" s="478"/>
      <c r="LXZ45" s="478"/>
      <c r="LYA45" s="478"/>
      <c r="LYB45" s="478"/>
      <c r="LYC45" s="478"/>
      <c r="LYD45" s="478"/>
      <c r="LYE45" s="478"/>
      <c r="LYF45" s="478"/>
      <c r="LYG45" s="478"/>
      <c r="LYH45" s="478"/>
      <c r="LYI45" s="478"/>
      <c r="LYJ45" s="478"/>
      <c r="LYK45" s="478"/>
      <c r="LYL45" s="478"/>
      <c r="LYM45" s="478"/>
      <c r="LYN45" s="478"/>
      <c r="LYO45" s="478"/>
      <c r="LYP45" s="478"/>
      <c r="LYQ45" s="478"/>
      <c r="LYR45" s="478"/>
      <c r="LYS45" s="478"/>
      <c r="LYT45" s="478"/>
      <c r="LYU45" s="478"/>
      <c r="LYV45" s="478"/>
      <c r="LYW45" s="478"/>
      <c r="LYX45" s="478"/>
      <c r="LYY45" s="478"/>
      <c r="LYZ45" s="478"/>
      <c r="LZA45" s="478"/>
      <c r="LZB45" s="478"/>
      <c r="LZC45" s="478"/>
      <c r="LZD45" s="478"/>
      <c r="LZE45" s="478"/>
      <c r="LZF45" s="478"/>
      <c r="LZG45" s="478"/>
      <c r="LZH45" s="478"/>
      <c r="LZI45" s="478"/>
      <c r="LZJ45" s="478"/>
      <c r="LZK45" s="478"/>
      <c r="LZL45" s="478"/>
      <c r="LZM45" s="478"/>
      <c r="LZN45" s="478"/>
      <c r="LZO45" s="478"/>
      <c r="LZP45" s="478"/>
      <c r="LZQ45" s="478"/>
      <c r="LZR45" s="478"/>
      <c r="LZS45" s="478"/>
      <c r="LZT45" s="478"/>
      <c r="LZU45" s="478"/>
      <c r="LZV45" s="478"/>
      <c r="LZW45" s="478"/>
      <c r="LZX45" s="478"/>
      <c r="LZY45" s="478"/>
      <c r="LZZ45" s="478"/>
      <c r="MAA45" s="478"/>
      <c r="MAB45" s="478"/>
      <c r="MAC45" s="478"/>
      <c r="MAD45" s="478"/>
      <c r="MAE45" s="478"/>
      <c r="MAF45" s="478"/>
      <c r="MAG45" s="478"/>
      <c r="MAH45" s="478"/>
      <c r="MAI45" s="478"/>
      <c r="MAJ45" s="478"/>
      <c r="MAK45" s="478"/>
      <c r="MAL45" s="478"/>
      <c r="MAM45" s="478"/>
      <c r="MAN45" s="478"/>
      <c r="MAO45" s="478"/>
      <c r="MAP45" s="478"/>
      <c r="MAQ45" s="478"/>
      <c r="MAR45" s="478"/>
      <c r="MAS45" s="478"/>
      <c r="MAT45" s="478"/>
      <c r="MAU45" s="478"/>
      <c r="MAV45" s="478"/>
      <c r="MAW45" s="478"/>
      <c r="MAX45" s="478"/>
      <c r="MAY45" s="478"/>
      <c r="MAZ45" s="478"/>
      <c r="MBA45" s="478"/>
      <c r="MBB45" s="478"/>
      <c r="MBC45" s="478"/>
      <c r="MBD45" s="478"/>
      <c r="MBE45" s="478"/>
      <c r="MBF45" s="478"/>
      <c r="MBG45" s="478"/>
      <c r="MBH45" s="478"/>
      <c r="MBI45" s="478"/>
      <c r="MBJ45" s="478"/>
      <c r="MBK45" s="478"/>
      <c r="MBL45" s="478"/>
      <c r="MBM45" s="478"/>
      <c r="MBN45" s="478"/>
      <c r="MBO45" s="478"/>
      <c r="MBP45" s="478"/>
      <c r="MBQ45" s="478"/>
      <c r="MBR45" s="478"/>
      <c r="MBS45" s="478"/>
      <c r="MBT45" s="478"/>
      <c r="MBU45" s="478"/>
      <c r="MBV45" s="478"/>
      <c r="MBW45" s="478"/>
      <c r="MBX45" s="478"/>
      <c r="MBY45" s="478"/>
      <c r="MBZ45" s="478"/>
      <c r="MCA45" s="478"/>
      <c r="MCB45" s="478"/>
      <c r="MCC45" s="478"/>
      <c r="MCD45" s="478"/>
      <c r="MCE45" s="478"/>
      <c r="MCF45" s="478"/>
      <c r="MCG45" s="478"/>
      <c r="MCH45" s="478"/>
      <c r="MCI45" s="478"/>
      <c r="MCJ45" s="478"/>
      <c r="MCK45" s="478"/>
      <c r="MCL45" s="478"/>
      <c r="MCM45" s="478"/>
      <c r="MCN45" s="478"/>
      <c r="MCO45" s="478"/>
      <c r="MCP45" s="478"/>
      <c r="MCQ45" s="478"/>
      <c r="MCR45" s="478"/>
      <c r="MCS45" s="478"/>
      <c r="MCT45" s="478"/>
      <c r="MCU45" s="478"/>
      <c r="MCV45" s="478"/>
      <c r="MCW45" s="478"/>
      <c r="MCX45" s="478"/>
      <c r="MCY45" s="478"/>
      <c r="MCZ45" s="478"/>
      <c r="MDA45" s="478"/>
      <c r="MDB45" s="478"/>
      <c r="MDC45" s="478"/>
      <c r="MDD45" s="478"/>
      <c r="MDE45" s="478"/>
      <c r="MDF45" s="478"/>
      <c r="MDG45" s="478"/>
      <c r="MDH45" s="478"/>
      <c r="MDI45" s="478"/>
      <c r="MDJ45" s="478"/>
      <c r="MDK45" s="478"/>
      <c r="MDL45" s="478"/>
      <c r="MDM45" s="478"/>
      <c r="MDN45" s="478"/>
      <c r="MDO45" s="478"/>
      <c r="MDP45" s="478"/>
      <c r="MDQ45" s="478"/>
      <c r="MDR45" s="478"/>
      <c r="MDS45" s="478"/>
      <c r="MDT45" s="478"/>
      <c r="MDU45" s="478"/>
      <c r="MDV45" s="478"/>
      <c r="MDW45" s="478"/>
      <c r="MDX45" s="478"/>
      <c r="MDY45" s="478"/>
      <c r="MDZ45" s="478"/>
      <c r="MEA45" s="478"/>
      <c r="MEB45" s="478"/>
      <c r="MEC45" s="478"/>
      <c r="MED45" s="478"/>
      <c r="MEE45" s="478"/>
      <c r="MEF45" s="478"/>
      <c r="MEG45" s="478"/>
      <c r="MEH45" s="478"/>
      <c r="MEI45" s="478"/>
      <c r="MEJ45" s="478"/>
      <c r="MEK45" s="478"/>
      <c r="MEL45" s="478"/>
      <c r="MEM45" s="478"/>
      <c r="MEN45" s="478"/>
      <c r="MEO45" s="478"/>
      <c r="MEP45" s="478"/>
      <c r="MEQ45" s="478"/>
      <c r="MER45" s="478"/>
      <c r="MES45" s="478"/>
      <c r="MET45" s="478"/>
      <c r="MEU45" s="478"/>
      <c r="MEV45" s="478"/>
      <c r="MEW45" s="478"/>
      <c r="MEX45" s="478"/>
      <c r="MEY45" s="478"/>
      <c r="MEZ45" s="478"/>
      <c r="MFA45" s="478"/>
      <c r="MFB45" s="478"/>
      <c r="MFC45" s="478"/>
      <c r="MFD45" s="478"/>
      <c r="MFE45" s="478"/>
      <c r="MFF45" s="478"/>
      <c r="MFG45" s="478"/>
      <c r="MFH45" s="478"/>
      <c r="MFI45" s="478"/>
      <c r="MFJ45" s="478"/>
      <c r="MFK45" s="478"/>
      <c r="MFL45" s="478"/>
      <c r="MFM45" s="478"/>
      <c r="MFN45" s="478"/>
      <c r="MFO45" s="478"/>
      <c r="MFP45" s="478"/>
      <c r="MFQ45" s="478"/>
      <c r="MFR45" s="478"/>
      <c r="MFS45" s="478"/>
      <c r="MFT45" s="478"/>
      <c r="MFU45" s="478"/>
      <c r="MFV45" s="478"/>
      <c r="MFW45" s="478"/>
      <c r="MFX45" s="478"/>
      <c r="MFY45" s="478"/>
      <c r="MFZ45" s="478"/>
      <c r="MGA45" s="478"/>
      <c r="MGB45" s="478"/>
      <c r="MGC45" s="478"/>
      <c r="MGD45" s="478"/>
      <c r="MGE45" s="478"/>
      <c r="MGF45" s="478"/>
      <c r="MGG45" s="478"/>
      <c r="MGH45" s="478"/>
      <c r="MGI45" s="478"/>
      <c r="MGJ45" s="478"/>
      <c r="MGK45" s="478"/>
      <c r="MGL45" s="478"/>
      <c r="MGM45" s="478"/>
      <c r="MGN45" s="478"/>
      <c r="MGO45" s="478"/>
      <c r="MGP45" s="478"/>
      <c r="MGQ45" s="478"/>
      <c r="MGR45" s="478"/>
      <c r="MGS45" s="478"/>
      <c r="MGT45" s="478"/>
      <c r="MGU45" s="478"/>
      <c r="MGV45" s="478"/>
      <c r="MGW45" s="478"/>
      <c r="MGX45" s="478"/>
      <c r="MGY45" s="478"/>
      <c r="MGZ45" s="478"/>
      <c r="MHA45" s="478"/>
      <c r="MHB45" s="478"/>
      <c r="MHC45" s="478"/>
      <c r="MHD45" s="478"/>
      <c r="MHE45" s="478"/>
      <c r="MHF45" s="478"/>
      <c r="MHG45" s="478"/>
      <c r="MHH45" s="478"/>
      <c r="MHI45" s="478"/>
      <c r="MHJ45" s="478"/>
      <c r="MHK45" s="478"/>
      <c r="MHL45" s="478"/>
      <c r="MHM45" s="478"/>
      <c r="MHN45" s="478"/>
      <c r="MHO45" s="478"/>
      <c r="MHP45" s="478"/>
      <c r="MHQ45" s="478"/>
      <c r="MHR45" s="478"/>
      <c r="MHS45" s="478"/>
      <c r="MHT45" s="478"/>
      <c r="MHU45" s="478"/>
      <c r="MHV45" s="478"/>
      <c r="MHW45" s="478"/>
      <c r="MHX45" s="478"/>
      <c r="MHY45" s="478"/>
      <c r="MHZ45" s="478"/>
      <c r="MIA45" s="478"/>
      <c r="MIB45" s="478"/>
      <c r="MIC45" s="478"/>
      <c r="MID45" s="478"/>
      <c r="MIE45" s="478"/>
      <c r="MIF45" s="478"/>
      <c r="MIG45" s="478"/>
      <c r="MIH45" s="478"/>
      <c r="MII45" s="478"/>
      <c r="MIJ45" s="478"/>
      <c r="MIK45" s="478"/>
      <c r="MIL45" s="478"/>
      <c r="MIM45" s="478"/>
      <c r="MIN45" s="478"/>
      <c r="MIO45" s="478"/>
      <c r="MIP45" s="478"/>
      <c r="MIQ45" s="478"/>
      <c r="MIR45" s="478"/>
      <c r="MIS45" s="478"/>
      <c r="MIT45" s="478"/>
      <c r="MIU45" s="478"/>
      <c r="MIV45" s="478"/>
      <c r="MIW45" s="478"/>
      <c r="MIX45" s="478"/>
      <c r="MIY45" s="478"/>
      <c r="MIZ45" s="478"/>
      <c r="MJA45" s="478"/>
      <c r="MJB45" s="478"/>
      <c r="MJC45" s="478"/>
      <c r="MJD45" s="478"/>
      <c r="MJE45" s="478"/>
      <c r="MJF45" s="478"/>
      <c r="MJG45" s="478"/>
      <c r="MJH45" s="478"/>
      <c r="MJI45" s="478"/>
      <c r="MJJ45" s="478"/>
      <c r="MJK45" s="478"/>
      <c r="MJL45" s="478"/>
      <c r="MJM45" s="478"/>
      <c r="MJN45" s="478"/>
      <c r="MJO45" s="478"/>
      <c r="MJP45" s="478"/>
      <c r="MJQ45" s="478"/>
      <c r="MJR45" s="478"/>
      <c r="MJS45" s="478"/>
      <c r="MJT45" s="478"/>
      <c r="MJU45" s="478"/>
      <c r="MJV45" s="478"/>
      <c r="MJW45" s="478"/>
      <c r="MJX45" s="478"/>
      <c r="MJY45" s="478"/>
      <c r="MJZ45" s="478"/>
      <c r="MKA45" s="478"/>
      <c r="MKB45" s="478"/>
      <c r="MKC45" s="478"/>
      <c r="MKD45" s="478"/>
      <c r="MKE45" s="478"/>
      <c r="MKF45" s="478"/>
      <c r="MKG45" s="478"/>
      <c r="MKH45" s="478"/>
      <c r="MKI45" s="478"/>
      <c r="MKJ45" s="478"/>
      <c r="MKK45" s="478"/>
      <c r="MKL45" s="478"/>
      <c r="MKM45" s="478"/>
      <c r="MKN45" s="478"/>
      <c r="MKO45" s="478"/>
      <c r="MKP45" s="478"/>
      <c r="MKQ45" s="478"/>
      <c r="MKR45" s="478"/>
      <c r="MKS45" s="478"/>
      <c r="MKT45" s="478"/>
      <c r="MKU45" s="478"/>
      <c r="MKV45" s="478"/>
      <c r="MKW45" s="478"/>
      <c r="MKX45" s="478"/>
      <c r="MKY45" s="478"/>
      <c r="MKZ45" s="478"/>
      <c r="MLA45" s="478"/>
      <c r="MLB45" s="478"/>
      <c r="MLC45" s="478"/>
      <c r="MLD45" s="478"/>
      <c r="MLE45" s="478"/>
      <c r="MLF45" s="478"/>
      <c r="MLG45" s="478"/>
      <c r="MLH45" s="478"/>
      <c r="MLI45" s="478"/>
      <c r="MLJ45" s="478"/>
      <c r="MLK45" s="478"/>
      <c r="MLL45" s="478"/>
      <c r="MLM45" s="478"/>
      <c r="MLN45" s="478"/>
      <c r="MLO45" s="478"/>
      <c r="MLP45" s="478"/>
      <c r="MLQ45" s="478"/>
      <c r="MLR45" s="478"/>
      <c r="MLS45" s="478"/>
      <c r="MLT45" s="478"/>
      <c r="MLU45" s="478"/>
      <c r="MLV45" s="478"/>
      <c r="MLW45" s="478"/>
      <c r="MLX45" s="478"/>
      <c r="MLY45" s="478"/>
      <c r="MLZ45" s="478"/>
      <c r="MMA45" s="478"/>
      <c r="MMB45" s="478"/>
      <c r="MMC45" s="478"/>
      <c r="MMD45" s="478"/>
      <c r="MME45" s="478"/>
      <c r="MMF45" s="478"/>
      <c r="MMG45" s="478"/>
      <c r="MMH45" s="478"/>
      <c r="MMI45" s="478"/>
      <c r="MMJ45" s="478"/>
      <c r="MMK45" s="478"/>
      <c r="MML45" s="478"/>
      <c r="MMM45" s="478"/>
      <c r="MMN45" s="478"/>
      <c r="MMO45" s="478"/>
      <c r="MMP45" s="478"/>
      <c r="MMQ45" s="478"/>
      <c r="MMR45" s="478"/>
      <c r="MMS45" s="478"/>
      <c r="MMT45" s="478"/>
      <c r="MMU45" s="478"/>
      <c r="MMV45" s="478"/>
      <c r="MMW45" s="478"/>
      <c r="MMX45" s="478"/>
      <c r="MMY45" s="478"/>
      <c r="MMZ45" s="478"/>
      <c r="MNA45" s="478"/>
      <c r="MNB45" s="478"/>
      <c r="MNC45" s="478"/>
      <c r="MND45" s="478"/>
      <c r="MNE45" s="478"/>
      <c r="MNF45" s="478"/>
      <c r="MNG45" s="478"/>
      <c r="MNH45" s="478"/>
      <c r="MNI45" s="478"/>
      <c r="MNJ45" s="478"/>
      <c r="MNK45" s="478"/>
      <c r="MNL45" s="478"/>
      <c r="MNM45" s="478"/>
      <c r="MNN45" s="478"/>
      <c r="MNO45" s="478"/>
      <c r="MNP45" s="478"/>
      <c r="MNQ45" s="478"/>
      <c r="MNR45" s="478"/>
      <c r="MNS45" s="478"/>
      <c r="MNT45" s="478"/>
      <c r="MNU45" s="478"/>
      <c r="MNV45" s="478"/>
      <c r="MNW45" s="478"/>
      <c r="MNX45" s="478"/>
      <c r="MNY45" s="478"/>
      <c r="MNZ45" s="478"/>
      <c r="MOA45" s="478"/>
      <c r="MOB45" s="478"/>
      <c r="MOC45" s="478"/>
      <c r="MOD45" s="478"/>
      <c r="MOE45" s="478"/>
      <c r="MOF45" s="478"/>
      <c r="MOG45" s="478"/>
      <c r="MOH45" s="478"/>
      <c r="MOI45" s="478"/>
      <c r="MOJ45" s="478"/>
      <c r="MOK45" s="478"/>
      <c r="MOL45" s="478"/>
      <c r="MOM45" s="478"/>
      <c r="MON45" s="478"/>
      <c r="MOO45" s="478"/>
      <c r="MOP45" s="478"/>
      <c r="MOQ45" s="478"/>
      <c r="MOR45" s="478"/>
      <c r="MOS45" s="478"/>
      <c r="MOT45" s="478"/>
      <c r="MOU45" s="478"/>
      <c r="MOV45" s="478"/>
      <c r="MOW45" s="478"/>
      <c r="MOX45" s="478"/>
      <c r="MOY45" s="478"/>
      <c r="MOZ45" s="478"/>
      <c r="MPA45" s="478"/>
      <c r="MPB45" s="478"/>
      <c r="MPC45" s="478"/>
      <c r="MPD45" s="478"/>
      <c r="MPE45" s="478"/>
      <c r="MPF45" s="478"/>
      <c r="MPG45" s="478"/>
      <c r="MPH45" s="478"/>
      <c r="MPI45" s="478"/>
      <c r="MPJ45" s="478"/>
      <c r="MPK45" s="478"/>
      <c r="MPL45" s="478"/>
      <c r="MPM45" s="478"/>
      <c r="MPN45" s="478"/>
      <c r="MPO45" s="478"/>
      <c r="MPP45" s="478"/>
      <c r="MPQ45" s="478"/>
      <c r="MPR45" s="478"/>
      <c r="MPS45" s="478"/>
      <c r="MPT45" s="478"/>
      <c r="MPU45" s="478"/>
      <c r="MPV45" s="478"/>
      <c r="MPW45" s="478"/>
      <c r="MPX45" s="478"/>
      <c r="MPY45" s="478"/>
      <c r="MPZ45" s="478"/>
      <c r="MQA45" s="478"/>
      <c r="MQB45" s="478"/>
      <c r="MQC45" s="478"/>
      <c r="MQD45" s="478"/>
      <c r="MQE45" s="478"/>
      <c r="MQF45" s="478"/>
      <c r="MQG45" s="478"/>
      <c r="MQH45" s="478"/>
      <c r="MQI45" s="478"/>
      <c r="MQJ45" s="478"/>
      <c r="MQK45" s="478"/>
      <c r="MQL45" s="478"/>
      <c r="MQM45" s="478"/>
      <c r="MQN45" s="478"/>
      <c r="MQO45" s="478"/>
      <c r="MQP45" s="478"/>
      <c r="MQQ45" s="478"/>
      <c r="MQR45" s="478"/>
      <c r="MQS45" s="478"/>
      <c r="MQT45" s="478"/>
      <c r="MQU45" s="478"/>
      <c r="MQV45" s="478"/>
      <c r="MQW45" s="478"/>
      <c r="MQX45" s="478"/>
      <c r="MQY45" s="478"/>
      <c r="MQZ45" s="478"/>
      <c r="MRA45" s="478"/>
      <c r="MRB45" s="478"/>
      <c r="MRC45" s="478"/>
      <c r="MRD45" s="478"/>
      <c r="MRE45" s="478"/>
      <c r="MRF45" s="478"/>
      <c r="MRG45" s="478"/>
      <c r="MRH45" s="478"/>
      <c r="MRI45" s="478"/>
      <c r="MRJ45" s="478"/>
      <c r="MRK45" s="478"/>
      <c r="MRL45" s="478"/>
      <c r="MRM45" s="478"/>
      <c r="MRN45" s="478"/>
      <c r="MRO45" s="478"/>
      <c r="MRP45" s="478"/>
      <c r="MRQ45" s="478"/>
      <c r="MRR45" s="478"/>
      <c r="MRS45" s="478"/>
      <c r="MRT45" s="478"/>
      <c r="MRU45" s="478"/>
      <c r="MRV45" s="478"/>
      <c r="MRW45" s="478"/>
      <c r="MRX45" s="478"/>
      <c r="MRY45" s="478"/>
      <c r="MRZ45" s="478"/>
      <c r="MSA45" s="478"/>
      <c r="MSB45" s="478"/>
      <c r="MSC45" s="478"/>
      <c r="MSD45" s="478"/>
      <c r="MSE45" s="478"/>
      <c r="MSF45" s="478"/>
      <c r="MSG45" s="478"/>
      <c r="MSH45" s="478"/>
      <c r="MSI45" s="478"/>
      <c r="MSJ45" s="478"/>
      <c r="MSK45" s="478"/>
      <c r="MSL45" s="478"/>
      <c r="MSM45" s="478"/>
      <c r="MSN45" s="478"/>
      <c r="MSO45" s="478"/>
      <c r="MSP45" s="478"/>
      <c r="MSQ45" s="478"/>
      <c r="MSR45" s="478"/>
      <c r="MSS45" s="478"/>
      <c r="MST45" s="478"/>
      <c r="MSU45" s="478"/>
      <c r="MSV45" s="478"/>
      <c r="MSW45" s="478"/>
      <c r="MSX45" s="478"/>
      <c r="MSY45" s="478"/>
      <c r="MSZ45" s="478"/>
      <c r="MTA45" s="478"/>
      <c r="MTB45" s="478"/>
      <c r="MTC45" s="478"/>
      <c r="MTD45" s="478"/>
      <c r="MTE45" s="478"/>
      <c r="MTF45" s="478"/>
      <c r="MTG45" s="478"/>
      <c r="MTH45" s="478"/>
      <c r="MTI45" s="478"/>
      <c r="MTJ45" s="478"/>
      <c r="MTK45" s="478"/>
      <c r="MTL45" s="478"/>
      <c r="MTM45" s="478"/>
      <c r="MTN45" s="478"/>
      <c r="MTO45" s="478"/>
      <c r="MTP45" s="478"/>
      <c r="MTQ45" s="478"/>
      <c r="MTR45" s="478"/>
      <c r="MTS45" s="478"/>
      <c r="MTT45" s="478"/>
      <c r="MTU45" s="478"/>
      <c r="MTV45" s="478"/>
      <c r="MTW45" s="478"/>
      <c r="MTX45" s="478"/>
      <c r="MTY45" s="478"/>
      <c r="MTZ45" s="478"/>
      <c r="MUA45" s="478"/>
      <c r="MUB45" s="478"/>
      <c r="MUC45" s="478"/>
      <c r="MUD45" s="478"/>
      <c r="MUE45" s="478"/>
      <c r="MUF45" s="478"/>
      <c r="MUG45" s="478"/>
      <c r="MUH45" s="478"/>
      <c r="MUI45" s="478"/>
      <c r="MUJ45" s="478"/>
      <c r="MUK45" s="478"/>
      <c r="MUL45" s="478"/>
      <c r="MUM45" s="478"/>
      <c r="MUN45" s="478"/>
      <c r="MUO45" s="478"/>
      <c r="MUP45" s="478"/>
      <c r="MUQ45" s="478"/>
      <c r="MUR45" s="478"/>
      <c r="MUS45" s="478"/>
      <c r="MUT45" s="478"/>
      <c r="MUU45" s="478"/>
      <c r="MUV45" s="478"/>
      <c r="MUW45" s="478"/>
      <c r="MUX45" s="478"/>
      <c r="MUY45" s="478"/>
      <c r="MUZ45" s="478"/>
      <c r="MVA45" s="478"/>
      <c r="MVB45" s="478"/>
      <c r="MVC45" s="478"/>
      <c r="MVD45" s="478"/>
      <c r="MVE45" s="478"/>
      <c r="MVF45" s="478"/>
      <c r="MVG45" s="478"/>
      <c r="MVH45" s="478"/>
      <c r="MVI45" s="478"/>
      <c r="MVJ45" s="478"/>
      <c r="MVK45" s="478"/>
      <c r="MVL45" s="478"/>
      <c r="MVM45" s="478"/>
      <c r="MVN45" s="478"/>
      <c r="MVO45" s="478"/>
      <c r="MVP45" s="478"/>
      <c r="MVQ45" s="478"/>
      <c r="MVR45" s="478"/>
      <c r="MVS45" s="478"/>
      <c r="MVT45" s="478"/>
      <c r="MVU45" s="478"/>
      <c r="MVV45" s="478"/>
      <c r="MVW45" s="478"/>
      <c r="MVX45" s="478"/>
      <c r="MVY45" s="478"/>
      <c r="MVZ45" s="478"/>
      <c r="MWA45" s="478"/>
      <c r="MWB45" s="478"/>
      <c r="MWC45" s="478"/>
      <c r="MWD45" s="478"/>
      <c r="MWE45" s="478"/>
      <c r="MWF45" s="478"/>
      <c r="MWG45" s="478"/>
      <c r="MWH45" s="478"/>
      <c r="MWI45" s="478"/>
      <c r="MWJ45" s="478"/>
      <c r="MWK45" s="478"/>
      <c r="MWL45" s="478"/>
      <c r="MWM45" s="478"/>
      <c r="MWN45" s="478"/>
      <c r="MWO45" s="478"/>
      <c r="MWP45" s="478"/>
      <c r="MWQ45" s="478"/>
      <c r="MWR45" s="478"/>
      <c r="MWS45" s="478"/>
      <c r="MWT45" s="478"/>
      <c r="MWU45" s="478"/>
      <c r="MWV45" s="478"/>
      <c r="MWW45" s="478"/>
      <c r="MWX45" s="478"/>
      <c r="MWY45" s="478"/>
      <c r="MWZ45" s="478"/>
      <c r="MXA45" s="478"/>
      <c r="MXB45" s="478"/>
      <c r="MXC45" s="478"/>
      <c r="MXD45" s="478"/>
      <c r="MXE45" s="478"/>
      <c r="MXF45" s="478"/>
      <c r="MXG45" s="478"/>
      <c r="MXH45" s="478"/>
      <c r="MXI45" s="478"/>
      <c r="MXJ45" s="478"/>
      <c r="MXK45" s="478"/>
      <c r="MXL45" s="478"/>
      <c r="MXM45" s="478"/>
      <c r="MXN45" s="478"/>
      <c r="MXO45" s="478"/>
      <c r="MXP45" s="478"/>
      <c r="MXQ45" s="478"/>
      <c r="MXR45" s="478"/>
      <c r="MXS45" s="478"/>
      <c r="MXT45" s="478"/>
      <c r="MXU45" s="478"/>
      <c r="MXV45" s="478"/>
      <c r="MXW45" s="478"/>
      <c r="MXX45" s="478"/>
      <c r="MXY45" s="478"/>
      <c r="MXZ45" s="478"/>
      <c r="MYA45" s="478"/>
      <c r="MYB45" s="478"/>
      <c r="MYC45" s="478"/>
      <c r="MYD45" s="478"/>
      <c r="MYE45" s="478"/>
      <c r="MYF45" s="478"/>
      <c r="MYG45" s="478"/>
      <c r="MYH45" s="478"/>
      <c r="MYI45" s="478"/>
      <c r="MYJ45" s="478"/>
      <c r="MYK45" s="478"/>
      <c r="MYL45" s="478"/>
      <c r="MYM45" s="478"/>
      <c r="MYN45" s="478"/>
      <c r="MYO45" s="478"/>
      <c r="MYP45" s="478"/>
      <c r="MYQ45" s="478"/>
      <c r="MYR45" s="478"/>
      <c r="MYS45" s="478"/>
      <c r="MYT45" s="478"/>
      <c r="MYU45" s="478"/>
      <c r="MYV45" s="478"/>
      <c r="MYW45" s="478"/>
      <c r="MYX45" s="478"/>
      <c r="MYY45" s="478"/>
      <c r="MYZ45" s="478"/>
      <c r="MZA45" s="478"/>
      <c r="MZB45" s="478"/>
      <c r="MZC45" s="478"/>
      <c r="MZD45" s="478"/>
      <c r="MZE45" s="478"/>
      <c r="MZF45" s="478"/>
      <c r="MZG45" s="478"/>
      <c r="MZH45" s="478"/>
      <c r="MZI45" s="478"/>
      <c r="MZJ45" s="478"/>
      <c r="MZK45" s="478"/>
      <c r="MZL45" s="478"/>
      <c r="MZM45" s="478"/>
      <c r="MZN45" s="478"/>
      <c r="MZO45" s="478"/>
      <c r="MZP45" s="478"/>
      <c r="MZQ45" s="478"/>
      <c r="MZR45" s="478"/>
      <c r="MZS45" s="478"/>
      <c r="MZT45" s="478"/>
      <c r="MZU45" s="478"/>
      <c r="MZV45" s="478"/>
      <c r="MZW45" s="478"/>
      <c r="MZX45" s="478"/>
      <c r="MZY45" s="478"/>
      <c r="MZZ45" s="478"/>
      <c r="NAA45" s="478"/>
      <c r="NAB45" s="478"/>
      <c r="NAC45" s="478"/>
      <c r="NAD45" s="478"/>
      <c r="NAE45" s="478"/>
      <c r="NAF45" s="478"/>
      <c r="NAG45" s="478"/>
      <c r="NAH45" s="478"/>
      <c r="NAI45" s="478"/>
      <c r="NAJ45" s="478"/>
      <c r="NAK45" s="478"/>
      <c r="NAL45" s="478"/>
      <c r="NAM45" s="478"/>
      <c r="NAN45" s="478"/>
      <c r="NAO45" s="478"/>
      <c r="NAP45" s="478"/>
      <c r="NAQ45" s="478"/>
      <c r="NAR45" s="478"/>
      <c r="NAS45" s="478"/>
      <c r="NAT45" s="478"/>
      <c r="NAU45" s="478"/>
      <c r="NAV45" s="478"/>
      <c r="NAW45" s="478"/>
      <c r="NAX45" s="478"/>
      <c r="NAY45" s="478"/>
      <c r="NAZ45" s="478"/>
      <c r="NBA45" s="478"/>
      <c r="NBB45" s="478"/>
      <c r="NBC45" s="478"/>
      <c r="NBD45" s="478"/>
      <c r="NBE45" s="478"/>
      <c r="NBF45" s="478"/>
      <c r="NBG45" s="478"/>
      <c r="NBH45" s="478"/>
      <c r="NBI45" s="478"/>
      <c r="NBJ45" s="478"/>
      <c r="NBK45" s="478"/>
      <c r="NBL45" s="478"/>
      <c r="NBM45" s="478"/>
      <c r="NBN45" s="478"/>
      <c r="NBO45" s="478"/>
      <c r="NBP45" s="478"/>
      <c r="NBQ45" s="478"/>
      <c r="NBR45" s="478"/>
      <c r="NBS45" s="478"/>
      <c r="NBT45" s="478"/>
      <c r="NBU45" s="478"/>
      <c r="NBV45" s="478"/>
      <c r="NBW45" s="478"/>
      <c r="NBX45" s="478"/>
      <c r="NBY45" s="478"/>
      <c r="NBZ45" s="478"/>
      <c r="NCA45" s="478"/>
      <c r="NCB45" s="478"/>
      <c r="NCC45" s="478"/>
      <c r="NCD45" s="478"/>
      <c r="NCE45" s="478"/>
      <c r="NCF45" s="478"/>
      <c r="NCG45" s="478"/>
      <c r="NCH45" s="478"/>
      <c r="NCI45" s="478"/>
      <c r="NCJ45" s="478"/>
      <c r="NCK45" s="478"/>
      <c r="NCL45" s="478"/>
      <c r="NCM45" s="478"/>
      <c r="NCN45" s="478"/>
      <c r="NCO45" s="478"/>
      <c r="NCP45" s="478"/>
      <c r="NCQ45" s="478"/>
      <c r="NCR45" s="478"/>
      <c r="NCS45" s="478"/>
      <c r="NCT45" s="478"/>
      <c r="NCU45" s="478"/>
      <c r="NCV45" s="478"/>
      <c r="NCW45" s="478"/>
      <c r="NCX45" s="478"/>
      <c r="NCY45" s="478"/>
      <c r="NCZ45" s="478"/>
      <c r="NDA45" s="478"/>
      <c r="NDB45" s="478"/>
      <c r="NDC45" s="478"/>
      <c r="NDD45" s="478"/>
      <c r="NDE45" s="478"/>
      <c r="NDF45" s="478"/>
      <c r="NDG45" s="478"/>
      <c r="NDH45" s="478"/>
      <c r="NDI45" s="478"/>
      <c r="NDJ45" s="478"/>
      <c r="NDK45" s="478"/>
      <c r="NDL45" s="478"/>
      <c r="NDM45" s="478"/>
      <c r="NDN45" s="478"/>
      <c r="NDO45" s="478"/>
      <c r="NDP45" s="478"/>
      <c r="NDQ45" s="478"/>
      <c r="NDR45" s="478"/>
      <c r="NDS45" s="478"/>
      <c r="NDT45" s="478"/>
      <c r="NDU45" s="478"/>
      <c r="NDV45" s="478"/>
      <c r="NDW45" s="478"/>
      <c r="NDX45" s="478"/>
      <c r="NDY45" s="478"/>
      <c r="NDZ45" s="478"/>
      <c r="NEA45" s="478"/>
      <c r="NEB45" s="478"/>
      <c r="NEC45" s="478"/>
      <c r="NED45" s="478"/>
      <c r="NEE45" s="478"/>
      <c r="NEF45" s="478"/>
      <c r="NEG45" s="478"/>
      <c r="NEH45" s="478"/>
      <c r="NEI45" s="478"/>
      <c r="NEJ45" s="478"/>
      <c r="NEK45" s="478"/>
      <c r="NEL45" s="478"/>
      <c r="NEM45" s="478"/>
      <c r="NEN45" s="478"/>
      <c r="NEO45" s="478"/>
      <c r="NEP45" s="478"/>
      <c r="NEQ45" s="478"/>
      <c r="NER45" s="478"/>
      <c r="NES45" s="478"/>
      <c r="NET45" s="478"/>
      <c r="NEU45" s="478"/>
      <c r="NEV45" s="478"/>
      <c r="NEW45" s="478"/>
      <c r="NEX45" s="478"/>
      <c r="NEY45" s="478"/>
      <c r="NEZ45" s="478"/>
      <c r="NFA45" s="478"/>
      <c r="NFB45" s="478"/>
      <c r="NFC45" s="478"/>
      <c r="NFD45" s="478"/>
      <c r="NFE45" s="478"/>
      <c r="NFF45" s="478"/>
      <c r="NFG45" s="478"/>
      <c r="NFH45" s="478"/>
      <c r="NFI45" s="478"/>
      <c r="NFJ45" s="478"/>
      <c r="NFK45" s="478"/>
      <c r="NFL45" s="478"/>
      <c r="NFM45" s="478"/>
      <c r="NFN45" s="478"/>
      <c r="NFO45" s="478"/>
      <c r="NFP45" s="478"/>
      <c r="NFQ45" s="478"/>
      <c r="NFR45" s="478"/>
      <c r="NFS45" s="478"/>
      <c r="NFT45" s="478"/>
      <c r="NFU45" s="478"/>
      <c r="NFV45" s="478"/>
      <c r="NFW45" s="478"/>
      <c r="NFX45" s="478"/>
      <c r="NFY45" s="478"/>
      <c r="NFZ45" s="478"/>
      <c r="NGA45" s="478"/>
      <c r="NGB45" s="478"/>
      <c r="NGC45" s="478"/>
      <c r="NGD45" s="478"/>
      <c r="NGE45" s="478"/>
      <c r="NGF45" s="478"/>
      <c r="NGG45" s="478"/>
      <c r="NGH45" s="478"/>
      <c r="NGI45" s="478"/>
      <c r="NGJ45" s="478"/>
      <c r="NGK45" s="478"/>
      <c r="NGL45" s="478"/>
      <c r="NGM45" s="478"/>
      <c r="NGN45" s="478"/>
      <c r="NGO45" s="478"/>
      <c r="NGP45" s="478"/>
      <c r="NGQ45" s="478"/>
      <c r="NGR45" s="478"/>
      <c r="NGS45" s="478"/>
      <c r="NGT45" s="478"/>
      <c r="NGU45" s="478"/>
      <c r="NGV45" s="478"/>
      <c r="NGW45" s="478"/>
      <c r="NGX45" s="478"/>
      <c r="NGY45" s="478"/>
      <c r="NGZ45" s="478"/>
      <c r="NHA45" s="478"/>
      <c r="NHB45" s="478"/>
      <c r="NHC45" s="478"/>
      <c r="NHD45" s="478"/>
      <c r="NHE45" s="478"/>
      <c r="NHF45" s="478"/>
      <c r="NHG45" s="478"/>
      <c r="NHH45" s="478"/>
      <c r="NHI45" s="478"/>
      <c r="NHJ45" s="478"/>
      <c r="NHK45" s="478"/>
      <c r="NHL45" s="478"/>
      <c r="NHM45" s="478"/>
      <c r="NHN45" s="478"/>
      <c r="NHO45" s="478"/>
      <c r="NHP45" s="478"/>
      <c r="NHQ45" s="478"/>
      <c r="NHR45" s="478"/>
      <c r="NHS45" s="478"/>
      <c r="NHT45" s="478"/>
      <c r="NHU45" s="478"/>
      <c r="NHV45" s="478"/>
      <c r="NHW45" s="478"/>
      <c r="NHX45" s="478"/>
      <c r="NHY45" s="478"/>
      <c r="NHZ45" s="478"/>
      <c r="NIA45" s="478"/>
      <c r="NIB45" s="478"/>
      <c r="NIC45" s="478"/>
      <c r="NID45" s="478"/>
      <c r="NIE45" s="478"/>
      <c r="NIF45" s="478"/>
      <c r="NIG45" s="478"/>
      <c r="NIH45" s="478"/>
      <c r="NII45" s="478"/>
      <c r="NIJ45" s="478"/>
      <c r="NIK45" s="478"/>
      <c r="NIL45" s="478"/>
      <c r="NIM45" s="478"/>
      <c r="NIN45" s="478"/>
      <c r="NIO45" s="478"/>
      <c r="NIP45" s="478"/>
      <c r="NIQ45" s="478"/>
      <c r="NIR45" s="478"/>
      <c r="NIS45" s="478"/>
      <c r="NIT45" s="478"/>
      <c r="NIU45" s="478"/>
      <c r="NIV45" s="478"/>
      <c r="NIW45" s="478"/>
      <c r="NIX45" s="478"/>
      <c r="NIY45" s="478"/>
      <c r="NIZ45" s="478"/>
      <c r="NJA45" s="478"/>
      <c r="NJB45" s="478"/>
      <c r="NJC45" s="478"/>
      <c r="NJD45" s="478"/>
      <c r="NJE45" s="478"/>
      <c r="NJF45" s="478"/>
      <c r="NJG45" s="478"/>
      <c r="NJH45" s="478"/>
      <c r="NJI45" s="478"/>
      <c r="NJJ45" s="478"/>
      <c r="NJK45" s="478"/>
      <c r="NJL45" s="478"/>
      <c r="NJM45" s="478"/>
      <c r="NJN45" s="478"/>
      <c r="NJO45" s="478"/>
      <c r="NJP45" s="478"/>
      <c r="NJQ45" s="478"/>
      <c r="NJR45" s="478"/>
      <c r="NJS45" s="478"/>
      <c r="NJT45" s="478"/>
      <c r="NJU45" s="478"/>
      <c r="NJV45" s="478"/>
      <c r="NJW45" s="478"/>
      <c r="NJX45" s="478"/>
      <c r="NJY45" s="478"/>
      <c r="NJZ45" s="478"/>
      <c r="NKA45" s="478"/>
      <c r="NKB45" s="478"/>
      <c r="NKC45" s="478"/>
      <c r="NKD45" s="478"/>
      <c r="NKE45" s="478"/>
      <c r="NKF45" s="478"/>
      <c r="NKG45" s="478"/>
      <c r="NKH45" s="478"/>
      <c r="NKI45" s="478"/>
      <c r="NKJ45" s="478"/>
      <c r="NKK45" s="478"/>
      <c r="NKL45" s="478"/>
      <c r="NKM45" s="478"/>
      <c r="NKN45" s="478"/>
      <c r="NKO45" s="478"/>
      <c r="NKP45" s="478"/>
      <c r="NKQ45" s="478"/>
      <c r="NKR45" s="478"/>
      <c r="NKS45" s="478"/>
      <c r="NKT45" s="478"/>
      <c r="NKU45" s="478"/>
      <c r="NKV45" s="478"/>
      <c r="NKW45" s="478"/>
      <c r="NKX45" s="478"/>
      <c r="NKY45" s="478"/>
      <c r="NKZ45" s="478"/>
      <c r="NLA45" s="478"/>
      <c r="NLB45" s="478"/>
      <c r="NLC45" s="478"/>
      <c r="NLD45" s="478"/>
      <c r="NLE45" s="478"/>
      <c r="NLF45" s="478"/>
      <c r="NLG45" s="478"/>
      <c r="NLH45" s="478"/>
      <c r="NLI45" s="478"/>
      <c r="NLJ45" s="478"/>
      <c r="NLK45" s="478"/>
      <c r="NLL45" s="478"/>
      <c r="NLM45" s="478"/>
      <c r="NLN45" s="478"/>
      <c r="NLO45" s="478"/>
      <c r="NLP45" s="478"/>
      <c r="NLQ45" s="478"/>
      <c r="NLR45" s="478"/>
      <c r="NLS45" s="478"/>
      <c r="NLT45" s="478"/>
      <c r="NLU45" s="478"/>
      <c r="NLV45" s="478"/>
      <c r="NLW45" s="478"/>
      <c r="NLX45" s="478"/>
      <c r="NLY45" s="478"/>
      <c r="NLZ45" s="478"/>
      <c r="NMA45" s="478"/>
      <c r="NMB45" s="478"/>
      <c r="NMC45" s="478"/>
      <c r="NMD45" s="478"/>
      <c r="NME45" s="478"/>
      <c r="NMF45" s="478"/>
      <c r="NMG45" s="478"/>
      <c r="NMH45" s="478"/>
      <c r="NMI45" s="478"/>
      <c r="NMJ45" s="478"/>
      <c r="NMK45" s="478"/>
      <c r="NML45" s="478"/>
      <c r="NMM45" s="478"/>
      <c r="NMN45" s="478"/>
      <c r="NMO45" s="478"/>
      <c r="NMP45" s="478"/>
      <c r="NMQ45" s="478"/>
      <c r="NMR45" s="478"/>
      <c r="NMS45" s="478"/>
      <c r="NMT45" s="478"/>
      <c r="NMU45" s="478"/>
      <c r="NMV45" s="478"/>
      <c r="NMW45" s="478"/>
      <c r="NMX45" s="478"/>
      <c r="NMY45" s="478"/>
      <c r="NMZ45" s="478"/>
      <c r="NNA45" s="478"/>
      <c r="NNB45" s="478"/>
      <c r="NNC45" s="478"/>
      <c r="NND45" s="478"/>
      <c r="NNE45" s="478"/>
      <c r="NNF45" s="478"/>
      <c r="NNG45" s="478"/>
      <c r="NNH45" s="478"/>
      <c r="NNI45" s="478"/>
      <c r="NNJ45" s="478"/>
      <c r="NNK45" s="478"/>
      <c r="NNL45" s="478"/>
      <c r="NNM45" s="478"/>
      <c r="NNN45" s="478"/>
      <c r="NNO45" s="478"/>
      <c r="NNP45" s="478"/>
      <c r="NNQ45" s="478"/>
      <c r="NNR45" s="478"/>
      <c r="NNS45" s="478"/>
      <c r="NNT45" s="478"/>
      <c r="NNU45" s="478"/>
      <c r="NNV45" s="478"/>
      <c r="NNW45" s="478"/>
      <c r="NNX45" s="478"/>
      <c r="NNY45" s="478"/>
      <c r="NNZ45" s="478"/>
      <c r="NOA45" s="478"/>
      <c r="NOB45" s="478"/>
      <c r="NOC45" s="478"/>
      <c r="NOD45" s="478"/>
      <c r="NOE45" s="478"/>
      <c r="NOF45" s="478"/>
      <c r="NOG45" s="478"/>
      <c r="NOH45" s="478"/>
      <c r="NOI45" s="478"/>
      <c r="NOJ45" s="478"/>
      <c r="NOK45" s="478"/>
      <c r="NOL45" s="478"/>
      <c r="NOM45" s="478"/>
      <c r="NON45" s="478"/>
      <c r="NOO45" s="478"/>
      <c r="NOP45" s="478"/>
      <c r="NOQ45" s="478"/>
      <c r="NOR45" s="478"/>
      <c r="NOS45" s="478"/>
      <c r="NOT45" s="478"/>
      <c r="NOU45" s="478"/>
      <c r="NOV45" s="478"/>
      <c r="NOW45" s="478"/>
      <c r="NOX45" s="478"/>
      <c r="NOY45" s="478"/>
      <c r="NOZ45" s="478"/>
      <c r="NPA45" s="478"/>
      <c r="NPB45" s="478"/>
      <c r="NPC45" s="478"/>
      <c r="NPD45" s="478"/>
      <c r="NPE45" s="478"/>
      <c r="NPF45" s="478"/>
      <c r="NPG45" s="478"/>
      <c r="NPH45" s="478"/>
      <c r="NPI45" s="478"/>
      <c r="NPJ45" s="478"/>
      <c r="NPK45" s="478"/>
      <c r="NPL45" s="478"/>
      <c r="NPM45" s="478"/>
      <c r="NPN45" s="478"/>
      <c r="NPO45" s="478"/>
      <c r="NPP45" s="478"/>
      <c r="NPQ45" s="478"/>
      <c r="NPR45" s="478"/>
      <c r="NPS45" s="478"/>
      <c r="NPT45" s="478"/>
      <c r="NPU45" s="478"/>
      <c r="NPV45" s="478"/>
      <c r="NPW45" s="478"/>
      <c r="NPX45" s="478"/>
      <c r="NPY45" s="478"/>
      <c r="NPZ45" s="478"/>
      <c r="NQA45" s="478"/>
      <c r="NQB45" s="478"/>
      <c r="NQC45" s="478"/>
      <c r="NQD45" s="478"/>
      <c r="NQE45" s="478"/>
      <c r="NQF45" s="478"/>
      <c r="NQG45" s="478"/>
      <c r="NQH45" s="478"/>
      <c r="NQI45" s="478"/>
      <c r="NQJ45" s="478"/>
      <c r="NQK45" s="478"/>
      <c r="NQL45" s="478"/>
      <c r="NQM45" s="478"/>
      <c r="NQN45" s="478"/>
      <c r="NQO45" s="478"/>
      <c r="NQP45" s="478"/>
      <c r="NQQ45" s="478"/>
      <c r="NQR45" s="478"/>
      <c r="NQS45" s="478"/>
      <c r="NQT45" s="478"/>
      <c r="NQU45" s="478"/>
      <c r="NQV45" s="478"/>
      <c r="NQW45" s="478"/>
      <c r="NQX45" s="478"/>
      <c r="NQY45" s="478"/>
      <c r="NQZ45" s="478"/>
      <c r="NRA45" s="478"/>
      <c r="NRB45" s="478"/>
      <c r="NRC45" s="478"/>
      <c r="NRD45" s="478"/>
      <c r="NRE45" s="478"/>
      <c r="NRF45" s="478"/>
      <c r="NRG45" s="478"/>
      <c r="NRH45" s="478"/>
      <c r="NRI45" s="478"/>
      <c r="NRJ45" s="478"/>
      <c r="NRK45" s="478"/>
      <c r="NRL45" s="478"/>
      <c r="NRM45" s="478"/>
      <c r="NRN45" s="478"/>
      <c r="NRO45" s="478"/>
      <c r="NRP45" s="478"/>
      <c r="NRQ45" s="478"/>
      <c r="NRR45" s="478"/>
      <c r="NRS45" s="478"/>
      <c r="NRT45" s="478"/>
      <c r="NRU45" s="478"/>
      <c r="NRV45" s="478"/>
      <c r="NRW45" s="478"/>
      <c r="NRX45" s="478"/>
      <c r="NRY45" s="478"/>
      <c r="NRZ45" s="478"/>
      <c r="NSA45" s="478"/>
      <c r="NSB45" s="478"/>
      <c r="NSC45" s="478"/>
      <c r="NSD45" s="478"/>
      <c r="NSE45" s="478"/>
      <c r="NSF45" s="478"/>
      <c r="NSG45" s="478"/>
      <c r="NSH45" s="478"/>
      <c r="NSI45" s="478"/>
      <c r="NSJ45" s="478"/>
      <c r="NSK45" s="478"/>
      <c r="NSL45" s="478"/>
      <c r="NSM45" s="478"/>
      <c r="NSN45" s="478"/>
      <c r="NSO45" s="478"/>
      <c r="NSP45" s="478"/>
      <c r="NSQ45" s="478"/>
      <c r="NSR45" s="478"/>
      <c r="NSS45" s="478"/>
      <c r="NST45" s="478"/>
      <c r="NSU45" s="478"/>
      <c r="NSV45" s="478"/>
      <c r="NSW45" s="478"/>
      <c r="NSX45" s="478"/>
      <c r="NSY45" s="478"/>
      <c r="NSZ45" s="478"/>
      <c r="NTA45" s="478"/>
      <c r="NTB45" s="478"/>
      <c r="NTC45" s="478"/>
      <c r="NTD45" s="478"/>
      <c r="NTE45" s="478"/>
      <c r="NTF45" s="478"/>
      <c r="NTG45" s="478"/>
      <c r="NTH45" s="478"/>
      <c r="NTI45" s="478"/>
      <c r="NTJ45" s="478"/>
      <c r="NTK45" s="478"/>
      <c r="NTL45" s="478"/>
      <c r="NTM45" s="478"/>
      <c r="NTN45" s="478"/>
      <c r="NTO45" s="478"/>
      <c r="NTP45" s="478"/>
      <c r="NTQ45" s="478"/>
      <c r="NTR45" s="478"/>
      <c r="NTS45" s="478"/>
      <c r="NTT45" s="478"/>
      <c r="NTU45" s="478"/>
      <c r="NTV45" s="478"/>
      <c r="NTW45" s="478"/>
      <c r="NTX45" s="478"/>
      <c r="NTY45" s="478"/>
      <c r="NTZ45" s="478"/>
      <c r="NUA45" s="478"/>
      <c r="NUB45" s="478"/>
      <c r="NUC45" s="478"/>
      <c r="NUD45" s="478"/>
      <c r="NUE45" s="478"/>
      <c r="NUF45" s="478"/>
      <c r="NUG45" s="478"/>
      <c r="NUH45" s="478"/>
      <c r="NUI45" s="478"/>
      <c r="NUJ45" s="478"/>
      <c r="NUK45" s="478"/>
      <c r="NUL45" s="478"/>
      <c r="NUM45" s="478"/>
      <c r="NUN45" s="478"/>
      <c r="NUO45" s="478"/>
      <c r="NUP45" s="478"/>
      <c r="NUQ45" s="478"/>
      <c r="NUR45" s="478"/>
      <c r="NUS45" s="478"/>
      <c r="NUT45" s="478"/>
      <c r="NUU45" s="478"/>
      <c r="NUV45" s="478"/>
      <c r="NUW45" s="478"/>
      <c r="NUX45" s="478"/>
      <c r="NUY45" s="478"/>
      <c r="NUZ45" s="478"/>
      <c r="NVA45" s="478"/>
      <c r="NVB45" s="478"/>
      <c r="NVC45" s="478"/>
      <c r="NVD45" s="478"/>
      <c r="NVE45" s="478"/>
      <c r="NVF45" s="478"/>
      <c r="NVG45" s="478"/>
      <c r="NVH45" s="478"/>
      <c r="NVI45" s="478"/>
      <c r="NVJ45" s="478"/>
      <c r="NVK45" s="478"/>
      <c r="NVL45" s="478"/>
      <c r="NVM45" s="478"/>
      <c r="NVN45" s="478"/>
      <c r="NVO45" s="478"/>
      <c r="NVP45" s="478"/>
      <c r="NVQ45" s="478"/>
      <c r="NVR45" s="478"/>
      <c r="NVS45" s="478"/>
      <c r="NVT45" s="478"/>
      <c r="NVU45" s="478"/>
      <c r="NVV45" s="478"/>
      <c r="NVW45" s="478"/>
      <c r="NVX45" s="478"/>
      <c r="NVY45" s="478"/>
      <c r="NVZ45" s="478"/>
      <c r="NWA45" s="478"/>
      <c r="NWB45" s="478"/>
      <c r="NWC45" s="478"/>
      <c r="NWD45" s="478"/>
      <c r="NWE45" s="478"/>
      <c r="NWF45" s="478"/>
      <c r="NWG45" s="478"/>
      <c r="NWH45" s="478"/>
      <c r="NWI45" s="478"/>
      <c r="NWJ45" s="478"/>
      <c r="NWK45" s="478"/>
      <c r="NWL45" s="478"/>
      <c r="NWM45" s="478"/>
      <c r="NWN45" s="478"/>
      <c r="NWO45" s="478"/>
      <c r="NWP45" s="478"/>
      <c r="NWQ45" s="478"/>
      <c r="NWR45" s="478"/>
      <c r="NWS45" s="478"/>
      <c r="NWT45" s="478"/>
      <c r="NWU45" s="478"/>
      <c r="NWV45" s="478"/>
      <c r="NWW45" s="478"/>
      <c r="NWX45" s="478"/>
      <c r="NWY45" s="478"/>
      <c r="NWZ45" s="478"/>
      <c r="NXA45" s="478"/>
      <c r="NXB45" s="478"/>
      <c r="NXC45" s="478"/>
      <c r="NXD45" s="478"/>
      <c r="NXE45" s="478"/>
      <c r="NXF45" s="478"/>
      <c r="NXG45" s="478"/>
      <c r="NXH45" s="478"/>
      <c r="NXI45" s="478"/>
      <c r="NXJ45" s="478"/>
      <c r="NXK45" s="478"/>
      <c r="NXL45" s="478"/>
      <c r="NXM45" s="478"/>
      <c r="NXN45" s="478"/>
      <c r="NXO45" s="478"/>
      <c r="NXP45" s="478"/>
      <c r="NXQ45" s="478"/>
      <c r="NXR45" s="478"/>
      <c r="NXS45" s="478"/>
      <c r="NXT45" s="478"/>
      <c r="NXU45" s="478"/>
      <c r="NXV45" s="478"/>
      <c r="NXW45" s="478"/>
      <c r="NXX45" s="478"/>
      <c r="NXY45" s="478"/>
      <c r="NXZ45" s="478"/>
      <c r="NYA45" s="478"/>
      <c r="NYB45" s="478"/>
      <c r="NYC45" s="478"/>
      <c r="NYD45" s="478"/>
      <c r="NYE45" s="478"/>
      <c r="NYF45" s="478"/>
      <c r="NYG45" s="478"/>
      <c r="NYH45" s="478"/>
      <c r="NYI45" s="478"/>
      <c r="NYJ45" s="478"/>
      <c r="NYK45" s="478"/>
      <c r="NYL45" s="478"/>
      <c r="NYM45" s="478"/>
      <c r="NYN45" s="478"/>
      <c r="NYO45" s="478"/>
      <c r="NYP45" s="478"/>
      <c r="NYQ45" s="478"/>
      <c r="NYR45" s="478"/>
      <c r="NYS45" s="478"/>
      <c r="NYT45" s="478"/>
      <c r="NYU45" s="478"/>
      <c r="NYV45" s="478"/>
      <c r="NYW45" s="478"/>
      <c r="NYX45" s="478"/>
      <c r="NYY45" s="478"/>
      <c r="NYZ45" s="478"/>
      <c r="NZA45" s="478"/>
      <c r="NZB45" s="478"/>
      <c r="NZC45" s="478"/>
      <c r="NZD45" s="478"/>
      <c r="NZE45" s="478"/>
      <c r="NZF45" s="478"/>
      <c r="NZG45" s="478"/>
      <c r="NZH45" s="478"/>
      <c r="NZI45" s="478"/>
      <c r="NZJ45" s="478"/>
      <c r="NZK45" s="478"/>
      <c r="NZL45" s="478"/>
      <c r="NZM45" s="478"/>
      <c r="NZN45" s="478"/>
      <c r="NZO45" s="478"/>
      <c r="NZP45" s="478"/>
      <c r="NZQ45" s="478"/>
      <c r="NZR45" s="478"/>
      <c r="NZS45" s="478"/>
      <c r="NZT45" s="478"/>
      <c r="NZU45" s="478"/>
      <c r="NZV45" s="478"/>
      <c r="NZW45" s="478"/>
      <c r="NZX45" s="478"/>
      <c r="NZY45" s="478"/>
      <c r="NZZ45" s="478"/>
      <c r="OAA45" s="478"/>
      <c r="OAB45" s="478"/>
      <c r="OAC45" s="478"/>
      <c r="OAD45" s="478"/>
      <c r="OAE45" s="478"/>
      <c r="OAF45" s="478"/>
      <c r="OAG45" s="478"/>
      <c r="OAH45" s="478"/>
      <c r="OAI45" s="478"/>
      <c r="OAJ45" s="478"/>
      <c r="OAK45" s="478"/>
      <c r="OAL45" s="478"/>
      <c r="OAM45" s="478"/>
      <c r="OAN45" s="478"/>
      <c r="OAO45" s="478"/>
      <c r="OAP45" s="478"/>
      <c r="OAQ45" s="478"/>
      <c r="OAR45" s="478"/>
      <c r="OAS45" s="478"/>
      <c r="OAT45" s="478"/>
      <c r="OAU45" s="478"/>
      <c r="OAV45" s="478"/>
      <c r="OAW45" s="478"/>
      <c r="OAX45" s="478"/>
      <c r="OAY45" s="478"/>
      <c r="OAZ45" s="478"/>
      <c r="OBA45" s="478"/>
      <c r="OBB45" s="478"/>
      <c r="OBC45" s="478"/>
      <c r="OBD45" s="478"/>
      <c r="OBE45" s="478"/>
      <c r="OBF45" s="478"/>
      <c r="OBG45" s="478"/>
      <c r="OBH45" s="478"/>
      <c r="OBI45" s="478"/>
      <c r="OBJ45" s="478"/>
      <c r="OBK45" s="478"/>
      <c r="OBL45" s="478"/>
      <c r="OBM45" s="478"/>
      <c r="OBN45" s="478"/>
      <c r="OBO45" s="478"/>
      <c r="OBP45" s="478"/>
      <c r="OBQ45" s="478"/>
      <c r="OBR45" s="478"/>
      <c r="OBS45" s="478"/>
      <c r="OBT45" s="478"/>
      <c r="OBU45" s="478"/>
      <c r="OBV45" s="478"/>
      <c r="OBW45" s="478"/>
      <c r="OBX45" s="478"/>
      <c r="OBY45" s="478"/>
      <c r="OBZ45" s="478"/>
      <c r="OCA45" s="478"/>
      <c r="OCB45" s="478"/>
      <c r="OCC45" s="478"/>
      <c r="OCD45" s="478"/>
      <c r="OCE45" s="478"/>
      <c r="OCF45" s="478"/>
      <c r="OCG45" s="478"/>
      <c r="OCH45" s="478"/>
      <c r="OCI45" s="478"/>
      <c r="OCJ45" s="478"/>
      <c r="OCK45" s="478"/>
      <c r="OCL45" s="478"/>
      <c r="OCM45" s="478"/>
      <c r="OCN45" s="478"/>
      <c r="OCO45" s="478"/>
      <c r="OCP45" s="478"/>
      <c r="OCQ45" s="478"/>
      <c r="OCR45" s="478"/>
      <c r="OCS45" s="478"/>
      <c r="OCT45" s="478"/>
      <c r="OCU45" s="478"/>
      <c r="OCV45" s="478"/>
      <c r="OCW45" s="478"/>
      <c r="OCX45" s="478"/>
      <c r="OCY45" s="478"/>
      <c r="OCZ45" s="478"/>
      <c r="ODA45" s="478"/>
      <c r="ODB45" s="478"/>
      <c r="ODC45" s="478"/>
      <c r="ODD45" s="478"/>
      <c r="ODE45" s="478"/>
      <c r="ODF45" s="478"/>
      <c r="ODG45" s="478"/>
      <c r="ODH45" s="478"/>
      <c r="ODI45" s="478"/>
      <c r="ODJ45" s="478"/>
      <c r="ODK45" s="478"/>
      <c r="ODL45" s="478"/>
      <c r="ODM45" s="478"/>
      <c r="ODN45" s="478"/>
      <c r="ODO45" s="478"/>
      <c r="ODP45" s="478"/>
      <c r="ODQ45" s="478"/>
      <c r="ODR45" s="478"/>
      <c r="ODS45" s="478"/>
      <c r="ODT45" s="478"/>
      <c r="ODU45" s="478"/>
      <c r="ODV45" s="478"/>
      <c r="ODW45" s="478"/>
      <c r="ODX45" s="478"/>
      <c r="ODY45" s="478"/>
      <c r="ODZ45" s="478"/>
      <c r="OEA45" s="478"/>
      <c r="OEB45" s="478"/>
      <c r="OEC45" s="478"/>
      <c r="OED45" s="478"/>
      <c r="OEE45" s="478"/>
      <c r="OEF45" s="478"/>
      <c r="OEG45" s="478"/>
      <c r="OEH45" s="478"/>
      <c r="OEI45" s="478"/>
      <c r="OEJ45" s="478"/>
      <c r="OEK45" s="478"/>
      <c r="OEL45" s="478"/>
      <c r="OEM45" s="478"/>
      <c r="OEN45" s="478"/>
      <c r="OEO45" s="478"/>
      <c r="OEP45" s="478"/>
      <c r="OEQ45" s="478"/>
      <c r="OER45" s="478"/>
      <c r="OES45" s="478"/>
      <c r="OET45" s="478"/>
      <c r="OEU45" s="478"/>
      <c r="OEV45" s="478"/>
      <c r="OEW45" s="478"/>
      <c r="OEX45" s="478"/>
      <c r="OEY45" s="478"/>
      <c r="OEZ45" s="478"/>
      <c r="OFA45" s="478"/>
      <c r="OFB45" s="478"/>
      <c r="OFC45" s="478"/>
      <c r="OFD45" s="478"/>
      <c r="OFE45" s="478"/>
      <c r="OFF45" s="478"/>
      <c r="OFG45" s="478"/>
      <c r="OFH45" s="478"/>
      <c r="OFI45" s="478"/>
      <c r="OFJ45" s="478"/>
      <c r="OFK45" s="478"/>
      <c r="OFL45" s="478"/>
      <c r="OFM45" s="478"/>
      <c r="OFN45" s="478"/>
      <c r="OFO45" s="478"/>
      <c r="OFP45" s="478"/>
      <c r="OFQ45" s="478"/>
      <c r="OFR45" s="478"/>
      <c r="OFS45" s="478"/>
      <c r="OFT45" s="478"/>
      <c r="OFU45" s="478"/>
      <c r="OFV45" s="478"/>
      <c r="OFW45" s="478"/>
      <c r="OFX45" s="478"/>
      <c r="OFY45" s="478"/>
      <c r="OFZ45" s="478"/>
      <c r="OGA45" s="478"/>
      <c r="OGB45" s="478"/>
      <c r="OGC45" s="478"/>
      <c r="OGD45" s="478"/>
      <c r="OGE45" s="478"/>
      <c r="OGF45" s="478"/>
      <c r="OGG45" s="478"/>
      <c r="OGH45" s="478"/>
      <c r="OGI45" s="478"/>
      <c r="OGJ45" s="478"/>
      <c r="OGK45" s="478"/>
      <c r="OGL45" s="478"/>
      <c r="OGM45" s="478"/>
      <c r="OGN45" s="478"/>
      <c r="OGO45" s="478"/>
      <c r="OGP45" s="478"/>
      <c r="OGQ45" s="478"/>
      <c r="OGR45" s="478"/>
      <c r="OGS45" s="478"/>
      <c r="OGT45" s="478"/>
      <c r="OGU45" s="478"/>
      <c r="OGV45" s="478"/>
      <c r="OGW45" s="478"/>
      <c r="OGX45" s="478"/>
      <c r="OGY45" s="478"/>
      <c r="OGZ45" s="478"/>
      <c r="OHA45" s="478"/>
      <c r="OHB45" s="478"/>
      <c r="OHC45" s="478"/>
      <c r="OHD45" s="478"/>
      <c r="OHE45" s="478"/>
      <c r="OHF45" s="478"/>
      <c r="OHG45" s="478"/>
      <c r="OHH45" s="478"/>
      <c r="OHI45" s="478"/>
      <c r="OHJ45" s="478"/>
      <c r="OHK45" s="478"/>
      <c r="OHL45" s="478"/>
      <c r="OHM45" s="478"/>
      <c r="OHN45" s="478"/>
      <c r="OHO45" s="478"/>
      <c r="OHP45" s="478"/>
      <c r="OHQ45" s="478"/>
      <c r="OHR45" s="478"/>
      <c r="OHS45" s="478"/>
      <c r="OHT45" s="478"/>
      <c r="OHU45" s="478"/>
      <c r="OHV45" s="478"/>
      <c r="OHW45" s="478"/>
      <c r="OHX45" s="478"/>
      <c r="OHY45" s="478"/>
      <c r="OHZ45" s="478"/>
      <c r="OIA45" s="478"/>
      <c r="OIB45" s="478"/>
      <c r="OIC45" s="478"/>
      <c r="OID45" s="478"/>
      <c r="OIE45" s="478"/>
      <c r="OIF45" s="478"/>
      <c r="OIG45" s="478"/>
      <c r="OIH45" s="478"/>
      <c r="OII45" s="478"/>
      <c r="OIJ45" s="478"/>
      <c r="OIK45" s="478"/>
      <c r="OIL45" s="478"/>
      <c r="OIM45" s="478"/>
      <c r="OIN45" s="478"/>
      <c r="OIO45" s="478"/>
      <c r="OIP45" s="478"/>
      <c r="OIQ45" s="478"/>
      <c r="OIR45" s="478"/>
      <c r="OIS45" s="478"/>
      <c r="OIT45" s="478"/>
      <c r="OIU45" s="478"/>
      <c r="OIV45" s="478"/>
      <c r="OIW45" s="478"/>
      <c r="OIX45" s="478"/>
      <c r="OIY45" s="478"/>
      <c r="OIZ45" s="478"/>
      <c r="OJA45" s="478"/>
      <c r="OJB45" s="478"/>
      <c r="OJC45" s="478"/>
      <c r="OJD45" s="478"/>
      <c r="OJE45" s="478"/>
      <c r="OJF45" s="478"/>
      <c r="OJG45" s="478"/>
      <c r="OJH45" s="478"/>
      <c r="OJI45" s="478"/>
      <c r="OJJ45" s="478"/>
      <c r="OJK45" s="478"/>
      <c r="OJL45" s="478"/>
      <c r="OJM45" s="478"/>
      <c r="OJN45" s="478"/>
      <c r="OJO45" s="478"/>
      <c r="OJP45" s="478"/>
      <c r="OJQ45" s="478"/>
      <c r="OJR45" s="478"/>
      <c r="OJS45" s="478"/>
      <c r="OJT45" s="478"/>
      <c r="OJU45" s="478"/>
      <c r="OJV45" s="478"/>
      <c r="OJW45" s="478"/>
      <c r="OJX45" s="478"/>
      <c r="OJY45" s="478"/>
      <c r="OJZ45" s="478"/>
      <c r="OKA45" s="478"/>
      <c r="OKB45" s="478"/>
      <c r="OKC45" s="478"/>
      <c r="OKD45" s="478"/>
      <c r="OKE45" s="478"/>
      <c r="OKF45" s="478"/>
      <c r="OKG45" s="478"/>
      <c r="OKH45" s="478"/>
      <c r="OKI45" s="478"/>
      <c r="OKJ45" s="478"/>
      <c r="OKK45" s="478"/>
      <c r="OKL45" s="478"/>
      <c r="OKM45" s="478"/>
      <c r="OKN45" s="478"/>
      <c r="OKO45" s="478"/>
      <c r="OKP45" s="478"/>
      <c r="OKQ45" s="478"/>
      <c r="OKR45" s="478"/>
      <c r="OKS45" s="478"/>
      <c r="OKT45" s="478"/>
      <c r="OKU45" s="478"/>
      <c r="OKV45" s="478"/>
      <c r="OKW45" s="478"/>
      <c r="OKX45" s="478"/>
      <c r="OKY45" s="478"/>
      <c r="OKZ45" s="478"/>
      <c r="OLA45" s="478"/>
      <c r="OLB45" s="478"/>
      <c r="OLC45" s="478"/>
      <c r="OLD45" s="478"/>
      <c r="OLE45" s="478"/>
      <c r="OLF45" s="478"/>
      <c r="OLG45" s="478"/>
      <c r="OLH45" s="478"/>
      <c r="OLI45" s="478"/>
      <c r="OLJ45" s="478"/>
      <c r="OLK45" s="478"/>
      <c r="OLL45" s="478"/>
      <c r="OLM45" s="478"/>
      <c r="OLN45" s="478"/>
      <c r="OLO45" s="478"/>
      <c r="OLP45" s="478"/>
      <c r="OLQ45" s="478"/>
      <c r="OLR45" s="478"/>
      <c r="OLS45" s="478"/>
      <c r="OLT45" s="478"/>
      <c r="OLU45" s="478"/>
      <c r="OLV45" s="478"/>
      <c r="OLW45" s="478"/>
      <c r="OLX45" s="478"/>
      <c r="OLY45" s="478"/>
      <c r="OLZ45" s="478"/>
      <c r="OMA45" s="478"/>
      <c r="OMB45" s="478"/>
      <c r="OMC45" s="478"/>
      <c r="OMD45" s="478"/>
      <c r="OME45" s="478"/>
      <c r="OMF45" s="478"/>
      <c r="OMG45" s="478"/>
      <c r="OMH45" s="478"/>
      <c r="OMI45" s="478"/>
      <c r="OMJ45" s="478"/>
      <c r="OMK45" s="478"/>
      <c r="OML45" s="478"/>
      <c r="OMM45" s="478"/>
      <c r="OMN45" s="478"/>
      <c r="OMO45" s="478"/>
      <c r="OMP45" s="478"/>
      <c r="OMQ45" s="478"/>
      <c r="OMR45" s="478"/>
      <c r="OMS45" s="478"/>
      <c r="OMT45" s="478"/>
      <c r="OMU45" s="478"/>
      <c r="OMV45" s="478"/>
      <c r="OMW45" s="478"/>
      <c r="OMX45" s="478"/>
      <c r="OMY45" s="478"/>
      <c r="OMZ45" s="478"/>
      <c r="ONA45" s="478"/>
      <c r="ONB45" s="478"/>
      <c r="ONC45" s="478"/>
      <c r="OND45" s="478"/>
      <c r="ONE45" s="478"/>
      <c r="ONF45" s="478"/>
      <c r="ONG45" s="478"/>
      <c r="ONH45" s="478"/>
      <c r="ONI45" s="478"/>
      <c r="ONJ45" s="478"/>
      <c r="ONK45" s="478"/>
      <c r="ONL45" s="478"/>
      <c r="ONM45" s="478"/>
      <c r="ONN45" s="478"/>
      <c r="ONO45" s="478"/>
      <c r="ONP45" s="478"/>
      <c r="ONQ45" s="478"/>
      <c r="ONR45" s="478"/>
      <c r="ONS45" s="478"/>
      <c r="ONT45" s="478"/>
      <c r="ONU45" s="478"/>
      <c r="ONV45" s="478"/>
      <c r="ONW45" s="478"/>
      <c r="ONX45" s="478"/>
      <c r="ONY45" s="478"/>
      <c r="ONZ45" s="478"/>
      <c r="OOA45" s="478"/>
      <c r="OOB45" s="478"/>
      <c r="OOC45" s="478"/>
      <c r="OOD45" s="478"/>
      <c r="OOE45" s="478"/>
      <c r="OOF45" s="478"/>
      <c r="OOG45" s="478"/>
      <c r="OOH45" s="478"/>
      <c r="OOI45" s="478"/>
      <c r="OOJ45" s="478"/>
      <c r="OOK45" s="478"/>
      <c r="OOL45" s="478"/>
      <c r="OOM45" s="478"/>
      <c r="OON45" s="478"/>
      <c r="OOO45" s="478"/>
      <c r="OOP45" s="478"/>
      <c r="OOQ45" s="478"/>
      <c r="OOR45" s="478"/>
      <c r="OOS45" s="478"/>
      <c r="OOT45" s="478"/>
      <c r="OOU45" s="478"/>
      <c r="OOV45" s="478"/>
      <c r="OOW45" s="478"/>
      <c r="OOX45" s="478"/>
      <c r="OOY45" s="478"/>
      <c r="OOZ45" s="478"/>
      <c r="OPA45" s="478"/>
      <c r="OPB45" s="478"/>
      <c r="OPC45" s="478"/>
      <c r="OPD45" s="478"/>
      <c r="OPE45" s="478"/>
      <c r="OPF45" s="478"/>
      <c r="OPG45" s="478"/>
      <c r="OPH45" s="478"/>
      <c r="OPI45" s="478"/>
      <c r="OPJ45" s="478"/>
      <c r="OPK45" s="478"/>
      <c r="OPL45" s="478"/>
      <c r="OPM45" s="478"/>
      <c r="OPN45" s="478"/>
      <c r="OPO45" s="478"/>
      <c r="OPP45" s="478"/>
      <c r="OPQ45" s="478"/>
      <c r="OPR45" s="478"/>
      <c r="OPS45" s="478"/>
      <c r="OPT45" s="478"/>
      <c r="OPU45" s="478"/>
      <c r="OPV45" s="478"/>
      <c r="OPW45" s="478"/>
      <c r="OPX45" s="478"/>
      <c r="OPY45" s="478"/>
      <c r="OPZ45" s="478"/>
      <c r="OQA45" s="478"/>
      <c r="OQB45" s="478"/>
      <c r="OQC45" s="478"/>
      <c r="OQD45" s="478"/>
      <c r="OQE45" s="478"/>
      <c r="OQF45" s="478"/>
      <c r="OQG45" s="478"/>
      <c r="OQH45" s="478"/>
      <c r="OQI45" s="478"/>
      <c r="OQJ45" s="478"/>
      <c r="OQK45" s="478"/>
      <c r="OQL45" s="478"/>
      <c r="OQM45" s="478"/>
      <c r="OQN45" s="478"/>
      <c r="OQO45" s="478"/>
      <c r="OQP45" s="478"/>
      <c r="OQQ45" s="478"/>
      <c r="OQR45" s="478"/>
      <c r="OQS45" s="478"/>
      <c r="OQT45" s="478"/>
      <c r="OQU45" s="478"/>
      <c r="OQV45" s="478"/>
      <c r="OQW45" s="478"/>
      <c r="OQX45" s="478"/>
      <c r="OQY45" s="478"/>
      <c r="OQZ45" s="478"/>
      <c r="ORA45" s="478"/>
      <c r="ORB45" s="478"/>
      <c r="ORC45" s="478"/>
      <c r="ORD45" s="478"/>
      <c r="ORE45" s="478"/>
      <c r="ORF45" s="478"/>
      <c r="ORG45" s="478"/>
      <c r="ORH45" s="478"/>
      <c r="ORI45" s="478"/>
      <c r="ORJ45" s="478"/>
      <c r="ORK45" s="478"/>
      <c r="ORL45" s="478"/>
      <c r="ORM45" s="478"/>
      <c r="ORN45" s="478"/>
      <c r="ORO45" s="478"/>
      <c r="ORP45" s="478"/>
      <c r="ORQ45" s="478"/>
      <c r="ORR45" s="478"/>
      <c r="ORS45" s="478"/>
      <c r="ORT45" s="478"/>
      <c r="ORU45" s="478"/>
      <c r="ORV45" s="478"/>
      <c r="ORW45" s="478"/>
      <c r="ORX45" s="478"/>
      <c r="ORY45" s="478"/>
      <c r="ORZ45" s="478"/>
      <c r="OSA45" s="478"/>
      <c r="OSB45" s="478"/>
      <c r="OSC45" s="478"/>
      <c r="OSD45" s="478"/>
      <c r="OSE45" s="478"/>
      <c r="OSF45" s="478"/>
      <c r="OSG45" s="478"/>
      <c r="OSH45" s="478"/>
      <c r="OSI45" s="478"/>
      <c r="OSJ45" s="478"/>
      <c r="OSK45" s="478"/>
      <c r="OSL45" s="478"/>
      <c r="OSM45" s="478"/>
      <c r="OSN45" s="478"/>
      <c r="OSO45" s="478"/>
      <c r="OSP45" s="478"/>
      <c r="OSQ45" s="478"/>
      <c r="OSR45" s="478"/>
      <c r="OSS45" s="478"/>
      <c r="OST45" s="478"/>
      <c r="OSU45" s="478"/>
      <c r="OSV45" s="478"/>
      <c r="OSW45" s="478"/>
      <c r="OSX45" s="478"/>
      <c r="OSY45" s="478"/>
      <c r="OSZ45" s="478"/>
      <c r="OTA45" s="478"/>
      <c r="OTB45" s="478"/>
      <c r="OTC45" s="478"/>
      <c r="OTD45" s="478"/>
      <c r="OTE45" s="478"/>
      <c r="OTF45" s="478"/>
      <c r="OTG45" s="478"/>
      <c r="OTH45" s="478"/>
      <c r="OTI45" s="478"/>
      <c r="OTJ45" s="478"/>
      <c r="OTK45" s="478"/>
      <c r="OTL45" s="478"/>
      <c r="OTM45" s="478"/>
      <c r="OTN45" s="478"/>
      <c r="OTO45" s="478"/>
      <c r="OTP45" s="478"/>
      <c r="OTQ45" s="478"/>
      <c r="OTR45" s="478"/>
      <c r="OTS45" s="478"/>
      <c r="OTT45" s="478"/>
      <c r="OTU45" s="478"/>
      <c r="OTV45" s="478"/>
      <c r="OTW45" s="478"/>
      <c r="OTX45" s="478"/>
      <c r="OTY45" s="478"/>
      <c r="OTZ45" s="478"/>
      <c r="OUA45" s="478"/>
      <c r="OUB45" s="478"/>
      <c r="OUC45" s="478"/>
      <c r="OUD45" s="478"/>
      <c r="OUE45" s="478"/>
      <c r="OUF45" s="478"/>
      <c r="OUG45" s="478"/>
      <c r="OUH45" s="478"/>
      <c r="OUI45" s="478"/>
      <c r="OUJ45" s="478"/>
      <c r="OUK45" s="478"/>
      <c r="OUL45" s="478"/>
      <c r="OUM45" s="478"/>
      <c r="OUN45" s="478"/>
      <c r="OUO45" s="478"/>
      <c r="OUP45" s="478"/>
      <c r="OUQ45" s="478"/>
      <c r="OUR45" s="478"/>
      <c r="OUS45" s="478"/>
      <c r="OUT45" s="478"/>
      <c r="OUU45" s="478"/>
      <c r="OUV45" s="478"/>
      <c r="OUW45" s="478"/>
      <c r="OUX45" s="478"/>
      <c r="OUY45" s="478"/>
      <c r="OUZ45" s="478"/>
      <c r="OVA45" s="478"/>
      <c r="OVB45" s="478"/>
      <c r="OVC45" s="478"/>
      <c r="OVD45" s="478"/>
      <c r="OVE45" s="478"/>
      <c r="OVF45" s="478"/>
      <c r="OVG45" s="478"/>
      <c r="OVH45" s="478"/>
      <c r="OVI45" s="478"/>
      <c r="OVJ45" s="478"/>
      <c r="OVK45" s="478"/>
      <c r="OVL45" s="478"/>
      <c r="OVM45" s="478"/>
      <c r="OVN45" s="478"/>
      <c r="OVO45" s="478"/>
      <c r="OVP45" s="478"/>
      <c r="OVQ45" s="478"/>
      <c r="OVR45" s="478"/>
      <c r="OVS45" s="478"/>
      <c r="OVT45" s="478"/>
      <c r="OVU45" s="478"/>
      <c r="OVV45" s="478"/>
      <c r="OVW45" s="478"/>
      <c r="OVX45" s="478"/>
      <c r="OVY45" s="478"/>
      <c r="OVZ45" s="478"/>
      <c r="OWA45" s="478"/>
      <c r="OWB45" s="478"/>
      <c r="OWC45" s="478"/>
      <c r="OWD45" s="478"/>
      <c r="OWE45" s="478"/>
      <c r="OWF45" s="478"/>
      <c r="OWG45" s="478"/>
      <c r="OWH45" s="478"/>
      <c r="OWI45" s="478"/>
      <c r="OWJ45" s="478"/>
      <c r="OWK45" s="478"/>
      <c r="OWL45" s="478"/>
      <c r="OWM45" s="478"/>
      <c r="OWN45" s="478"/>
      <c r="OWO45" s="478"/>
      <c r="OWP45" s="478"/>
      <c r="OWQ45" s="478"/>
      <c r="OWR45" s="478"/>
      <c r="OWS45" s="478"/>
      <c r="OWT45" s="478"/>
      <c r="OWU45" s="478"/>
      <c r="OWV45" s="478"/>
      <c r="OWW45" s="478"/>
      <c r="OWX45" s="478"/>
      <c r="OWY45" s="478"/>
      <c r="OWZ45" s="478"/>
      <c r="OXA45" s="478"/>
      <c r="OXB45" s="478"/>
      <c r="OXC45" s="478"/>
      <c r="OXD45" s="478"/>
      <c r="OXE45" s="478"/>
      <c r="OXF45" s="478"/>
      <c r="OXG45" s="478"/>
      <c r="OXH45" s="478"/>
      <c r="OXI45" s="478"/>
      <c r="OXJ45" s="478"/>
      <c r="OXK45" s="478"/>
      <c r="OXL45" s="478"/>
      <c r="OXM45" s="478"/>
      <c r="OXN45" s="478"/>
      <c r="OXO45" s="478"/>
      <c r="OXP45" s="478"/>
      <c r="OXQ45" s="478"/>
      <c r="OXR45" s="478"/>
      <c r="OXS45" s="478"/>
      <c r="OXT45" s="478"/>
      <c r="OXU45" s="478"/>
      <c r="OXV45" s="478"/>
      <c r="OXW45" s="478"/>
      <c r="OXX45" s="478"/>
      <c r="OXY45" s="478"/>
      <c r="OXZ45" s="478"/>
      <c r="OYA45" s="478"/>
      <c r="OYB45" s="478"/>
      <c r="OYC45" s="478"/>
      <c r="OYD45" s="478"/>
      <c r="OYE45" s="478"/>
      <c r="OYF45" s="478"/>
      <c r="OYG45" s="478"/>
      <c r="OYH45" s="478"/>
      <c r="OYI45" s="478"/>
      <c r="OYJ45" s="478"/>
      <c r="OYK45" s="478"/>
      <c r="OYL45" s="478"/>
      <c r="OYM45" s="478"/>
      <c r="OYN45" s="478"/>
      <c r="OYO45" s="478"/>
      <c r="OYP45" s="478"/>
      <c r="OYQ45" s="478"/>
      <c r="OYR45" s="478"/>
      <c r="OYS45" s="478"/>
      <c r="OYT45" s="478"/>
      <c r="OYU45" s="478"/>
      <c r="OYV45" s="478"/>
      <c r="OYW45" s="478"/>
      <c r="OYX45" s="478"/>
      <c r="OYY45" s="478"/>
      <c r="OYZ45" s="478"/>
      <c r="OZA45" s="478"/>
      <c r="OZB45" s="478"/>
      <c r="OZC45" s="478"/>
      <c r="OZD45" s="478"/>
      <c r="OZE45" s="478"/>
      <c r="OZF45" s="478"/>
      <c r="OZG45" s="478"/>
      <c r="OZH45" s="478"/>
      <c r="OZI45" s="478"/>
      <c r="OZJ45" s="478"/>
      <c r="OZK45" s="478"/>
      <c r="OZL45" s="478"/>
      <c r="OZM45" s="478"/>
      <c r="OZN45" s="478"/>
      <c r="OZO45" s="478"/>
      <c r="OZP45" s="478"/>
      <c r="OZQ45" s="478"/>
      <c r="OZR45" s="478"/>
      <c r="OZS45" s="478"/>
      <c r="OZT45" s="478"/>
      <c r="OZU45" s="478"/>
      <c r="OZV45" s="478"/>
      <c r="OZW45" s="478"/>
      <c r="OZX45" s="478"/>
      <c r="OZY45" s="478"/>
      <c r="OZZ45" s="478"/>
      <c r="PAA45" s="478"/>
      <c r="PAB45" s="478"/>
      <c r="PAC45" s="478"/>
      <c r="PAD45" s="478"/>
      <c r="PAE45" s="478"/>
      <c r="PAF45" s="478"/>
      <c r="PAG45" s="478"/>
      <c r="PAH45" s="478"/>
      <c r="PAI45" s="478"/>
      <c r="PAJ45" s="478"/>
      <c r="PAK45" s="478"/>
      <c r="PAL45" s="478"/>
      <c r="PAM45" s="478"/>
      <c r="PAN45" s="478"/>
      <c r="PAO45" s="478"/>
      <c r="PAP45" s="478"/>
      <c r="PAQ45" s="478"/>
      <c r="PAR45" s="478"/>
      <c r="PAS45" s="478"/>
      <c r="PAT45" s="478"/>
      <c r="PAU45" s="478"/>
      <c r="PAV45" s="478"/>
      <c r="PAW45" s="478"/>
      <c r="PAX45" s="478"/>
      <c r="PAY45" s="478"/>
      <c r="PAZ45" s="478"/>
      <c r="PBA45" s="478"/>
      <c r="PBB45" s="478"/>
      <c r="PBC45" s="478"/>
      <c r="PBD45" s="478"/>
      <c r="PBE45" s="478"/>
      <c r="PBF45" s="478"/>
      <c r="PBG45" s="478"/>
      <c r="PBH45" s="478"/>
      <c r="PBI45" s="478"/>
      <c r="PBJ45" s="478"/>
      <c r="PBK45" s="478"/>
      <c r="PBL45" s="478"/>
      <c r="PBM45" s="478"/>
      <c r="PBN45" s="478"/>
      <c r="PBO45" s="478"/>
      <c r="PBP45" s="478"/>
      <c r="PBQ45" s="478"/>
      <c r="PBR45" s="478"/>
      <c r="PBS45" s="478"/>
      <c r="PBT45" s="478"/>
      <c r="PBU45" s="478"/>
      <c r="PBV45" s="478"/>
      <c r="PBW45" s="478"/>
      <c r="PBX45" s="478"/>
      <c r="PBY45" s="478"/>
      <c r="PBZ45" s="478"/>
      <c r="PCA45" s="478"/>
      <c r="PCB45" s="478"/>
      <c r="PCC45" s="478"/>
      <c r="PCD45" s="478"/>
      <c r="PCE45" s="478"/>
      <c r="PCF45" s="478"/>
      <c r="PCG45" s="478"/>
      <c r="PCH45" s="478"/>
      <c r="PCI45" s="478"/>
      <c r="PCJ45" s="478"/>
      <c r="PCK45" s="478"/>
      <c r="PCL45" s="478"/>
      <c r="PCM45" s="478"/>
      <c r="PCN45" s="478"/>
      <c r="PCO45" s="478"/>
      <c r="PCP45" s="478"/>
      <c r="PCQ45" s="478"/>
      <c r="PCR45" s="478"/>
      <c r="PCS45" s="478"/>
      <c r="PCT45" s="478"/>
      <c r="PCU45" s="478"/>
      <c r="PCV45" s="478"/>
      <c r="PCW45" s="478"/>
      <c r="PCX45" s="478"/>
      <c r="PCY45" s="478"/>
      <c r="PCZ45" s="478"/>
      <c r="PDA45" s="478"/>
      <c r="PDB45" s="478"/>
      <c r="PDC45" s="478"/>
      <c r="PDD45" s="478"/>
      <c r="PDE45" s="478"/>
      <c r="PDF45" s="478"/>
      <c r="PDG45" s="478"/>
      <c r="PDH45" s="478"/>
      <c r="PDI45" s="478"/>
      <c r="PDJ45" s="478"/>
      <c r="PDK45" s="478"/>
      <c r="PDL45" s="478"/>
      <c r="PDM45" s="478"/>
      <c r="PDN45" s="478"/>
      <c r="PDO45" s="478"/>
      <c r="PDP45" s="478"/>
      <c r="PDQ45" s="478"/>
      <c r="PDR45" s="478"/>
      <c r="PDS45" s="478"/>
      <c r="PDT45" s="478"/>
      <c r="PDU45" s="478"/>
      <c r="PDV45" s="478"/>
      <c r="PDW45" s="478"/>
      <c r="PDX45" s="478"/>
      <c r="PDY45" s="478"/>
      <c r="PDZ45" s="478"/>
      <c r="PEA45" s="478"/>
      <c r="PEB45" s="478"/>
      <c r="PEC45" s="478"/>
      <c r="PED45" s="478"/>
      <c r="PEE45" s="478"/>
      <c r="PEF45" s="478"/>
      <c r="PEG45" s="478"/>
      <c r="PEH45" s="478"/>
      <c r="PEI45" s="478"/>
      <c r="PEJ45" s="478"/>
      <c r="PEK45" s="478"/>
      <c r="PEL45" s="478"/>
      <c r="PEM45" s="478"/>
      <c r="PEN45" s="478"/>
      <c r="PEO45" s="478"/>
      <c r="PEP45" s="478"/>
      <c r="PEQ45" s="478"/>
      <c r="PER45" s="478"/>
      <c r="PES45" s="478"/>
      <c r="PET45" s="478"/>
      <c r="PEU45" s="478"/>
      <c r="PEV45" s="478"/>
      <c r="PEW45" s="478"/>
      <c r="PEX45" s="478"/>
      <c r="PEY45" s="478"/>
      <c r="PEZ45" s="478"/>
      <c r="PFA45" s="478"/>
      <c r="PFB45" s="478"/>
      <c r="PFC45" s="478"/>
      <c r="PFD45" s="478"/>
      <c r="PFE45" s="478"/>
      <c r="PFF45" s="478"/>
      <c r="PFG45" s="478"/>
      <c r="PFH45" s="478"/>
      <c r="PFI45" s="478"/>
      <c r="PFJ45" s="478"/>
      <c r="PFK45" s="478"/>
      <c r="PFL45" s="478"/>
      <c r="PFM45" s="478"/>
      <c r="PFN45" s="478"/>
      <c r="PFO45" s="478"/>
      <c r="PFP45" s="478"/>
      <c r="PFQ45" s="478"/>
      <c r="PFR45" s="478"/>
      <c r="PFS45" s="478"/>
      <c r="PFT45" s="478"/>
      <c r="PFU45" s="478"/>
      <c r="PFV45" s="478"/>
      <c r="PFW45" s="478"/>
      <c r="PFX45" s="478"/>
      <c r="PFY45" s="478"/>
      <c r="PFZ45" s="478"/>
      <c r="PGA45" s="478"/>
      <c r="PGB45" s="478"/>
      <c r="PGC45" s="478"/>
      <c r="PGD45" s="478"/>
      <c r="PGE45" s="478"/>
      <c r="PGF45" s="478"/>
      <c r="PGG45" s="478"/>
      <c r="PGH45" s="478"/>
      <c r="PGI45" s="478"/>
      <c r="PGJ45" s="478"/>
      <c r="PGK45" s="478"/>
      <c r="PGL45" s="478"/>
      <c r="PGM45" s="478"/>
      <c r="PGN45" s="478"/>
      <c r="PGO45" s="478"/>
      <c r="PGP45" s="478"/>
      <c r="PGQ45" s="478"/>
      <c r="PGR45" s="478"/>
      <c r="PGS45" s="478"/>
      <c r="PGT45" s="478"/>
      <c r="PGU45" s="478"/>
      <c r="PGV45" s="478"/>
      <c r="PGW45" s="478"/>
      <c r="PGX45" s="478"/>
      <c r="PGY45" s="478"/>
      <c r="PGZ45" s="478"/>
      <c r="PHA45" s="478"/>
      <c r="PHB45" s="478"/>
      <c r="PHC45" s="478"/>
      <c r="PHD45" s="478"/>
      <c r="PHE45" s="478"/>
      <c r="PHF45" s="478"/>
      <c r="PHG45" s="478"/>
      <c r="PHH45" s="478"/>
      <c r="PHI45" s="478"/>
      <c r="PHJ45" s="478"/>
      <c r="PHK45" s="478"/>
      <c r="PHL45" s="478"/>
      <c r="PHM45" s="478"/>
      <c r="PHN45" s="478"/>
      <c r="PHO45" s="478"/>
      <c r="PHP45" s="478"/>
      <c r="PHQ45" s="478"/>
      <c r="PHR45" s="478"/>
      <c r="PHS45" s="478"/>
      <c r="PHT45" s="478"/>
      <c r="PHU45" s="478"/>
      <c r="PHV45" s="478"/>
      <c r="PHW45" s="478"/>
      <c r="PHX45" s="478"/>
      <c r="PHY45" s="478"/>
      <c r="PHZ45" s="478"/>
      <c r="PIA45" s="478"/>
      <c r="PIB45" s="478"/>
      <c r="PIC45" s="478"/>
      <c r="PID45" s="478"/>
      <c r="PIE45" s="478"/>
      <c r="PIF45" s="478"/>
      <c r="PIG45" s="478"/>
      <c r="PIH45" s="478"/>
      <c r="PII45" s="478"/>
      <c r="PIJ45" s="478"/>
      <c r="PIK45" s="478"/>
      <c r="PIL45" s="478"/>
      <c r="PIM45" s="478"/>
      <c r="PIN45" s="478"/>
      <c r="PIO45" s="478"/>
      <c r="PIP45" s="478"/>
      <c r="PIQ45" s="478"/>
      <c r="PIR45" s="478"/>
      <c r="PIS45" s="478"/>
      <c r="PIT45" s="478"/>
      <c r="PIU45" s="478"/>
      <c r="PIV45" s="478"/>
      <c r="PIW45" s="478"/>
      <c r="PIX45" s="478"/>
      <c r="PIY45" s="478"/>
      <c r="PIZ45" s="478"/>
      <c r="PJA45" s="478"/>
      <c r="PJB45" s="478"/>
      <c r="PJC45" s="478"/>
      <c r="PJD45" s="478"/>
      <c r="PJE45" s="478"/>
      <c r="PJF45" s="478"/>
      <c r="PJG45" s="478"/>
      <c r="PJH45" s="478"/>
      <c r="PJI45" s="478"/>
      <c r="PJJ45" s="478"/>
      <c r="PJK45" s="478"/>
      <c r="PJL45" s="478"/>
      <c r="PJM45" s="478"/>
      <c r="PJN45" s="478"/>
      <c r="PJO45" s="478"/>
      <c r="PJP45" s="478"/>
      <c r="PJQ45" s="478"/>
      <c r="PJR45" s="478"/>
      <c r="PJS45" s="478"/>
      <c r="PJT45" s="478"/>
      <c r="PJU45" s="478"/>
      <c r="PJV45" s="478"/>
      <c r="PJW45" s="478"/>
      <c r="PJX45" s="478"/>
      <c r="PJY45" s="478"/>
      <c r="PJZ45" s="478"/>
      <c r="PKA45" s="478"/>
      <c r="PKB45" s="478"/>
      <c r="PKC45" s="478"/>
      <c r="PKD45" s="478"/>
      <c r="PKE45" s="478"/>
      <c r="PKF45" s="478"/>
      <c r="PKG45" s="478"/>
      <c r="PKH45" s="478"/>
      <c r="PKI45" s="478"/>
      <c r="PKJ45" s="478"/>
      <c r="PKK45" s="478"/>
      <c r="PKL45" s="478"/>
      <c r="PKM45" s="478"/>
      <c r="PKN45" s="478"/>
      <c r="PKO45" s="478"/>
      <c r="PKP45" s="478"/>
      <c r="PKQ45" s="478"/>
      <c r="PKR45" s="478"/>
      <c r="PKS45" s="478"/>
      <c r="PKT45" s="478"/>
      <c r="PKU45" s="478"/>
      <c r="PKV45" s="478"/>
      <c r="PKW45" s="478"/>
      <c r="PKX45" s="478"/>
      <c r="PKY45" s="478"/>
      <c r="PKZ45" s="478"/>
      <c r="PLA45" s="478"/>
      <c r="PLB45" s="478"/>
      <c r="PLC45" s="478"/>
      <c r="PLD45" s="478"/>
      <c r="PLE45" s="478"/>
      <c r="PLF45" s="478"/>
      <c r="PLG45" s="478"/>
      <c r="PLH45" s="478"/>
      <c r="PLI45" s="478"/>
      <c r="PLJ45" s="478"/>
      <c r="PLK45" s="478"/>
      <c r="PLL45" s="478"/>
      <c r="PLM45" s="478"/>
      <c r="PLN45" s="478"/>
      <c r="PLO45" s="478"/>
      <c r="PLP45" s="478"/>
      <c r="PLQ45" s="478"/>
      <c r="PLR45" s="478"/>
      <c r="PLS45" s="478"/>
      <c r="PLT45" s="478"/>
      <c r="PLU45" s="478"/>
      <c r="PLV45" s="478"/>
      <c r="PLW45" s="478"/>
      <c r="PLX45" s="478"/>
      <c r="PLY45" s="478"/>
      <c r="PLZ45" s="478"/>
      <c r="PMA45" s="478"/>
      <c r="PMB45" s="478"/>
      <c r="PMC45" s="478"/>
      <c r="PMD45" s="478"/>
      <c r="PME45" s="478"/>
      <c r="PMF45" s="478"/>
      <c r="PMG45" s="478"/>
      <c r="PMH45" s="478"/>
      <c r="PMI45" s="478"/>
      <c r="PMJ45" s="478"/>
      <c r="PMK45" s="478"/>
      <c r="PML45" s="478"/>
      <c r="PMM45" s="478"/>
      <c r="PMN45" s="478"/>
      <c r="PMO45" s="478"/>
      <c r="PMP45" s="478"/>
      <c r="PMQ45" s="478"/>
      <c r="PMR45" s="478"/>
      <c r="PMS45" s="478"/>
      <c r="PMT45" s="478"/>
      <c r="PMU45" s="478"/>
      <c r="PMV45" s="478"/>
      <c r="PMW45" s="478"/>
      <c r="PMX45" s="478"/>
      <c r="PMY45" s="478"/>
      <c r="PMZ45" s="478"/>
      <c r="PNA45" s="478"/>
      <c r="PNB45" s="478"/>
      <c r="PNC45" s="478"/>
      <c r="PND45" s="478"/>
      <c r="PNE45" s="478"/>
      <c r="PNF45" s="478"/>
      <c r="PNG45" s="478"/>
      <c r="PNH45" s="478"/>
      <c r="PNI45" s="478"/>
      <c r="PNJ45" s="478"/>
      <c r="PNK45" s="478"/>
      <c r="PNL45" s="478"/>
      <c r="PNM45" s="478"/>
      <c r="PNN45" s="478"/>
      <c r="PNO45" s="478"/>
      <c r="PNP45" s="478"/>
      <c r="PNQ45" s="478"/>
      <c r="PNR45" s="478"/>
      <c r="PNS45" s="478"/>
      <c r="PNT45" s="478"/>
      <c r="PNU45" s="478"/>
      <c r="PNV45" s="478"/>
      <c r="PNW45" s="478"/>
      <c r="PNX45" s="478"/>
      <c r="PNY45" s="478"/>
      <c r="PNZ45" s="478"/>
      <c r="POA45" s="478"/>
      <c r="POB45" s="478"/>
      <c r="POC45" s="478"/>
      <c r="POD45" s="478"/>
      <c r="POE45" s="478"/>
      <c r="POF45" s="478"/>
      <c r="POG45" s="478"/>
      <c r="POH45" s="478"/>
      <c r="POI45" s="478"/>
      <c r="POJ45" s="478"/>
      <c r="POK45" s="478"/>
      <c r="POL45" s="478"/>
      <c r="POM45" s="478"/>
      <c r="PON45" s="478"/>
      <c r="POO45" s="478"/>
      <c r="POP45" s="478"/>
      <c r="POQ45" s="478"/>
      <c r="POR45" s="478"/>
      <c r="POS45" s="478"/>
      <c r="POT45" s="478"/>
      <c r="POU45" s="478"/>
      <c r="POV45" s="478"/>
      <c r="POW45" s="478"/>
      <c r="POX45" s="478"/>
      <c r="POY45" s="478"/>
      <c r="POZ45" s="478"/>
      <c r="PPA45" s="478"/>
      <c r="PPB45" s="478"/>
      <c r="PPC45" s="478"/>
      <c r="PPD45" s="478"/>
      <c r="PPE45" s="478"/>
      <c r="PPF45" s="478"/>
      <c r="PPG45" s="478"/>
      <c r="PPH45" s="478"/>
      <c r="PPI45" s="478"/>
      <c r="PPJ45" s="478"/>
      <c r="PPK45" s="478"/>
      <c r="PPL45" s="478"/>
      <c r="PPM45" s="478"/>
      <c r="PPN45" s="478"/>
      <c r="PPO45" s="478"/>
      <c r="PPP45" s="478"/>
      <c r="PPQ45" s="478"/>
      <c r="PPR45" s="478"/>
      <c r="PPS45" s="478"/>
      <c r="PPT45" s="478"/>
      <c r="PPU45" s="478"/>
      <c r="PPV45" s="478"/>
      <c r="PPW45" s="478"/>
      <c r="PPX45" s="478"/>
      <c r="PPY45" s="478"/>
      <c r="PPZ45" s="478"/>
      <c r="PQA45" s="478"/>
      <c r="PQB45" s="478"/>
      <c r="PQC45" s="478"/>
      <c r="PQD45" s="478"/>
      <c r="PQE45" s="478"/>
      <c r="PQF45" s="478"/>
      <c r="PQG45" s="478"/>
      <c r="PQH45" s="478"/>
      <c r="PQI45" s="478"/>
      <c r="PQJ45" s="478"/>
      <c r="PQK45" s="478"/>
      <c r="PQL45" s="478"/>
      <c r="PQM45" s="478"/>
      <c r="PQN45" s="478"/>
      <c r="PQO45" s="478"/>
      <c r="PQP45" s="478"/>
      <c r="PQQ45" s="478"/>
      <c r="PQR45" s="478"/>
      <c r="PQS45" s="478"/>
      <c r="PQT45" s="478"/>
      <c r="PQU45" s="478"/>
      <c r="PQV45" s="478"/>
      <c r="PQW45" s="478"/>
      <c r="PQX45" s="478"/>
      <c r="PQY45" s="478"/>
      <c r="PQZ45" s="478"/>
      <c r="PRA45" s="478"/>
      <c r="PRB45" s="478"/>
      <c r="PRC45" s="478"/>
      <c r="PRD45" s="478"/>
      <c r="PRE45" s="478"/>
      <c r="PRF45" s="478"/>
      <c r="PRG45" s="478"/>
      <c r="PRH45" s="478"/>
      <c r="PRI45" s="478"/>
      <c r="PRJ45" s="478"/>
      <c r="PRK45" s="478"/>
      <c r="PRL45" s="478"/>
      <c r="PRM45" s="478"/>
      <c r="PRN45" s="478"/>
      <c r="PRO45" s="478"/>
      <c r="PRP45" s="478"/>
      <c r="PRQ45" s="478"/>
      <c r="PRR45" s="478"/>
      <c r="PRS45" s="478"/>
      <c r="PRT45" s="478"/>
      <c r="PRU45" s="478"/>
      <c r="PRV45" s="478"/>
      <c r="PRW45" s="478"/>
      <c r="PRX45" s="478"/>
      <c r="PRY45" s="478"/>
      <c r="PRZ45" s="478"/>
      <c r="PSA45" s="478"/>
      <c r="PSB45" s="478"/>
      <c r="PSC45" s="478"/>
      <c r="PSD45" s="478"/>
      <c r="PSE45" s="478"/>
      <c r="PSF45" s="478"/>
      <c r="PSG45" s="478"/>
      <c r="PSH45" s="478"/>
      <c r="PSI45" s="478"/>
      <c r="PSJ45" s="478"/>
      <c r="PSK45" s="478"/>
      <c r="PSL45" s="478"/>
      <c r="PSM45" s="478"/>
      <c r="PSN45" s="478"/>
      <c r="PSO45" s="478"/>
      <c r="PSP45" s="478"/>
      <c r="PSQ45" s="478"/>
      <c r="PSR45" s="478"/>
      <c r="PSS45" s="478"/>
      <c r="PST45" s="478"/>
      <c r="PSU45" s="478"/>
      <c r="PSV45" s="478"/>
      <c r="PSW45" s="478"/>
      <c r="PSX45" s="478"/>
      <c r="PSY45" s="478"/>
      <c r="PSZ45" s="478"/>
      <c r="PTA45" s="478"/>
      <c r="PTB45" s="478"/>
      <c r="PTC45" s="478"/>
      <c r="PTD45" s="478"/>
      <c r="PTE45" s="478"/>
      <c r="PTF45" s="478"/>
      <c r="PTG45" s="478"/>
      <c r="PTH45" s="478"/>
      <c r="PTI45" s="478"/>
      <c r="PTJ45" s="478"/>
      <c r="PTK45" s="478"/>
      <c r="PTL45" s="478"/>
      <c r="PTM45" s="478"/>
      <c r="PTN45" s="478"/>
      <c r="PTO45" s="478"/>
      <c r="PTP45" s="478"/>
      <c r="PTQ45" s="478"/>
      <c r="PTR45" s="478"/>
      <c r="PTS45" s="478"/>
      <c r="PTT45" s="478"/>
      <c r="PTU45" s="478"/>
      <c r="PTV45" s="478"/>
      <c r="PTW45" s="478"/>
      <c r="PTX45" s="478"/>
      <c r="PTY45" s="478"/>
      <c r="PTZ45" s="478"/>
      <c r="PUA45" s="478"/>
      <c r="PUB45" s="478"/>
      <c r="PUC45" s="478"/>
      <c r="PUD45" s="478"/>
      <c r="PUE45" s="478"/>
      <c r="PUF45" s="478"/>
      <c r="PUG45" s="478"/>
      <c r="PUH45" s="478"/>
      <c r="PUI45" s="478"/>
      <c r="PUJ45" s="478"/>
      <c r="PUK45" s="478"/>
      <c r="PUL45" s="478"/>
      <c r="PUM45" s="478"/>
      <c r="PUN45" s="478"/>
      <c r="PUO45" s="478"/>
      <c r="PUP45" s="478"/>
      <c r="PUQ45" s="478"/>
      <c r="PUR45" s="478"/>
      <c r="PUS45" s="478"/>
      <c r="PUT45" s="478"/>
      <c r="PUU45" s="478"/>
      <c r="PUV45" s="478"/>
      <c r="PUW45" s="478"/>
      <c r="PUX45" s="478"/>
      <c r="PUY45" s="478"/>
      <c r="PUZ45" s="478"/>
      <c r="PVA45" s="478"/>
      <c r="PVB45" s="478"/>
      <c r="PVC45" s="478"/>
      <c r="PVD45" s="478"/>
      <c r="PVE45" s="478"/>
      <c r="PVF45" s="478"/>
      <c r="PVG45" s="478"/>
      <c r="PVH45" s="478"/>
      <c r="PVI45" s="478"/>
      <c r="PVJ45" s="478"/>
      <c r="PVK45" s="478"/>
      <c r="PVL45" s="478"/>
      <c r="PVM45" s="478"/>
      <c r="PVN45" s="478"/>
      <c r="PVO45" s="478"/>
      <c r="PVP45" s="478"/>
      <c r="PVQ45" s="478"/>
      <c r="PVR45" s="478"/>
      <c r="PVS45" s="478"/>
      <c r="PVT45" s="478"/>
      <c r="PVU45" s="478"/>
      <c r="PVV45" s="478"/>
      <c r="PVW45" s="478"/>
      <c r="PVX45" s="478"/>
      <c r="PVY45" s="478"/>
      <c r="PVZ45" s="478"/>
      <c r="PWA45" s="478"/>
      <c r="PWB45" s="478"/>
      <c r="PWC45" s="478"/>
      <c r="PWD45" s="478"/>
      <c r="PWE45" s="478"/>
      <c r="PWF45" s="478"/>
      <c r="PWG45" s="478"/>
      <c r="PWH45" s="478"/>
      <c r="PWI45" s="478"/>
      <c r="PWJ45" s="478"/>
      <c r="PWK45" s="478"/>
      <c r="PWL45" s="478"/>
      <c r="PWM45" s="478"/>
      <c r="PWN45" s="478"/>
      <c r="PWO45" s="478"/>
      <c r="PWP45" s="478"/>
      <c r="PWQ45" s="478"/>
      <c r="PWR45" s="478"/>
      <c r="PWS45" s="478"/>
      <c r="PWT45" s="478"/>
      <c r="PWU45" s="478"/>
      <c r="PWV45" s="478"/>
      <c r="PWW45" s="478"/>
      <c r="PWX45" s="478"/>
      <c r="PWY45" s="478"/>
      <c r="PWZ45" s="478"/>
      <c r="PXA45" s="478"/>
      <c r="PXB45" s="478"/>
      <c r="PXC45" s="478"/>
      <c r="PXD45" s="478"/>
      <c r="PXE45" s="478"/>
      <c r="PXF45" s="478"/>
      <c r="PXG45" s="478"/>
      <c r="PXH45" s="478"/>
      <c r="PXI45" s="478"/>
      <c r="PXJ45" s="478"/>
      <c r="PXK45" s="478"/>
      <c r="PXL45" s="478"/>
      <c r="PXM45" s="478"/>
      <c r="PXN45" s="478"/>
      <c r="PXO45" s="478"/>
      <c r="PXP45" s="478"/>
      <c r="PXQ45" s="478"/>
      <c r="PXR45" s="478"/>
      <c r="PXS45" s="478"/>
      <c r="PXT45" s="478"/>
      <c r="PXU45" s="478"/>
      <c r="PXV45" s="478"/>
      <c r="PXW45" s="478"/>
      <c r="PXX45" s="478"/>
      <c r="PXY45" s="478"/>
      <c r="PXZ45" s="478"/>
      <c r="PYA45" s="478"/>
      <c r="PYB45" s="478"/>
      <c r="PYC45" s="478"/>
      <c r="PYD45" s="478"/>
      <c r="PYE45" s="478"/>
      <c r="PYF45" s="478"/>
      <c r="PYG45" s="478"/>
      <c r="PYH45" s="478"/>
      <c r="PYI45" s="478"/>
      <c r="PYJ45" s="478"/>
      <c r="PYK45" s="478"/>
      <c r="PYL45" s="478"/>
      <c r="PYM45" s="478"/>
      <c r="PYN45" s="478"/>
      <c r="PYO45" s="478"/>
      <c r="PYP45" s="478"/>
      <c r="PYQ45" s="478"/>
      <c r="PYR45" s="478"/>
      <c r="PYS45" s="478"/>
      <c r="PYT45" s="478"/>
      <c r="PYU45" s="478"/>
      <c r="PYV45" s="478"/>
      <c r="PYW45" s="478"/>
      <c r="PYX45" s="478"/>
      <c r="PYY45" s="478"/>
      <c r="PYZ45" s="478"/>
      <c r="PZA45" s="478"/>
      <c r="PZB45" s="478"/>
      <c r="PZC45" s="478"/>
      <c r="PZD45" s="478"/>
      <c r="PZE45" s="478"/>
      <c r="PZF45" s="478"/>
      <c r="PZG45" s="478"/>
      <c r="PZH45" s="478"/>
      <c r="PZI45" s="478"/>
      <c r="PZJ45" s="478"/>
      <c r="PZK45" s="478"/>
      <c r="PZL45" s="478"/>
      <c r="PZM45" s="478"/>
      <c r="PZN45" s="478"/>
      <c r="PZO45" s="478"/>
      <c r="PZP45" s="478"/>
      <c r="PZQ45" s="478"/>
      <c r="PZR45" s="478"/>
      <c r="PZS45" s="478"/>
      <c r="PZT45" s="478"/>
      <c r="PZU45" s="478"/>
      <c r="PZV45" s="478"/>
      <c r="PZW45" s="478"/>
      <c r="PZX45" s="478"/>
      <c r="PZY45" s="478"/>
      <c r="PZZ45" s="478"/>
      <c r="QAA45" s="478"/>
      <c r="QAB45" s="478"/>
      <c r="QAC45" s="478"/>
      <c r="QAD45" s="478"/>
      <c r="QAE45" s="478"/>
      <c r="QAF45" s="478"/>
      <c r="QAG45" s="478"/>
      <c r="QAH45" s="478"/>
      <c r="QAI45" s="478"/>
      <c r="QAJ45" s="478"/>
      <c r="QAK45" s="478"/>
      <c r="QAL45" s="478"/>
      <c r="QAM45" s="478"/>
      <c r="QAN45" s="478"/>
      <c r="QAO45" s="478"/>
      <c r="QAP45" s="478"/>
      <c r="QAQ45" s="478"/>
      <c r="QAR45" s="478"/>
      <c r="QAS45" s="478"/>
      <c r="QAT45" s="478"/>
      <c r="QAU45" s="478"/>
      <c r="QAV45" s="478"/>
      <c r="QAW45" s="478"/>
      <c r="QAX45" s="478"/>
      <c r="QAY45" s="478"/>
      <c r="QAZ45" s="478"/>
      <c r="QBA45" s="478"/>
      <c r="QBB45" s="478"/>
      <c r="QBC45" s="478"/>
      <c r="QBD45" s="478"/>
      <c r="QBE45" s="478"/>
      <c r="QBF45" s="478"/>
      <c r="QBG45" s="478"/>
      <c r="QBH45" s="478"/>
      <c r="QBI45" s="478"/>
      <c r="QBJ45" s="478"/>
      <c r="QBK45" s="478"/>
      <c r="QBL45" s="478"/>
      <c r="QBM45" s="478"/>
      <c r="QBN45" s="478"/>
      <c r="QBO45" s="478"/>
      <c r="QBP45" s="478"/>
      <c r="QBQ45" s="478"/>
      <c r="QBR45" s="478"/>
      <c r="QBS45" s="478"/>
      <c r="QBT45" s="478"/>
      <c r="QBU45" s="478"/>
      <c r="QBV45" s="478"/>
      <c r="QBW45" s="478"/>
      <c r="QBX45" s="478"/>
      <c r="QBY45" s="478"/>
      <c r="QBZ45" s="478"/>
      <c r="QCA45" s="478"/>
      <c r="QCB45" s="478"/>
      <c r="QCC45" s="478"/>
      <c r="QCD45" s="478"/>
      <c r="QCE45" s="478"/>
      <c r="QCF45" s="478"/>
      <c r="QCG45" s="478"/>
      <c r="QCH45" s="478"/>
      <c r="QCI45" s="478"/>
      <c r="QCJ45" s="478"/>
      <c r="QCK45" s="478"/>
      <c r="QCL45" s="478"/>
      <c r="QCM45" s="478"/>
      <c r="QCN45" s="478"/>
      <c r="QCO45" s="478"/>
      <c r="QCP45" s="478"/>
      <c r="QCQ45" s="478"/>
      <c r="QCR45" s="478"/>
      <c r="QCS45" s="478"/>
      <c r="QCT45" s="478"/>
      <c r="QCU45" s="478"/>
      <c r="QCV45" s="478"/>
      <c r="QCW45" s="478"/>
      <c r="QCX45" s="478"/>
      <c r="QCY45" s="478"/>
      <c r="QCZ45" s="478"/>
      <c r="QDA45" s="478"/>
      <c r="QDB45" s="478"/>
      <c r="QDC45" s="478"/>
      <c r="QDD45" s="478"/>
      <c r="QDE45" s="478"/>
      <c r="QDF45" s="478"/>
      <c r="QDG45" s="478"/>
      <c r="QDH45" s="478"/>
      <c r="QDI45" s="478"/>
      <c r="QDJ45" s="478"/>
      <c r="QDK45" s="478"/>
      <c r="QDL45" s="478"/>
      <c r="QDM45" s="478"/>
      <c r="QDN45" s="478"/>
      <c r="QDO45" s="478"/>
      <c r="QDP45" s="478"/>
      <c r="QDQ45" s="478"/>
      <c r="QDR45" s="478"/>
      <c r="QDS45" s="478"/>
      <c r="QDT45" s="478"/>
      <c r="QDU45" s="478"/>
      <c r="QDV45" s="478"/>
      <c r="QDW45" s="478"/>
      <c r="QDX45" s="478"/>
      <c r="QDY45" s="478"/>
      <c r="QDZ45" s="478"/>
      <c r="QEA45" s="478"/>
      <c r="QEB45" s="478"/>
      <c r="QEC45" s="478"/>
      <c r="QED45" s="478"/>
      <c r="QEE45" s="478"/>
      <c r="QEF45" s="478"/>
      <c r="QEG45" s="478"/>
      <c r="QEH45" s="478"/>
      <c r="QEI45" s="478"/>
      <c r="QEJ45" s="478"/>
      <c r="QEK45" s="478"/>
      <c r="QEL45" s="478"/>
      <c r="QEM45" s="478"/>
      <c r="QEN45" s="478"/>
      <c r="QEO45" s="478"/>
      <c r="QEP45" s="478"/>
      <c r="QEQ45" s="478"/>
      <c r="QER45" s="478"/>
      <c r="QES45" s="478"/>
      <c r="QET45" s="478"/>
      <c r="QEU45" s="478"/>
      <c r="QEV45" s="478"/>
      <c r="QEW45" s="478"/>
      <c r="QEX45" s="478"/>
      <c r="QEY45" s="478"/>
      <c r="QEZ45" s="478"/>
      <c r="QFA45" s="478"/>
      <c r="QFB45" s="478"/>
      <c r="QFC45" s="478"/>
      <c r="QFD45" s="478"/>
      <c r="QFE45" s="478"/>
      <c r="QFF45" s="478"/>
      <c r="QFG45" s="478"/>
      <c r="QFH45" s="478"/>
      <c r="QFI45" s="478"/>
      <c r="QFJ45" s="478"/>
      <c r="QFK45" s="478"/>
      <c r="QFL45" s="478"/>
      <c r="QFM45" s="478"/>
      <c r="QFN45" s="478"/>
      <c r="QFO45" s="478"/>
      <c r="QFP45" s="478"/>
      <c r="QFQ45" s="478"/>
      <c r="QFR45" s="478"/>
      <c r="QFS45" s="478"/>
      <c r="QFT45" s="478"/>
      <c r="QFU45" s="478"/>
      <c r="QFV45" s="478"/>
      <c r="QFW45" s="478"/>
      <c r="QFX45" s="478"/>
      <c r="QFY45" s="478"/>
      <c r="QFZ45" s="478"/>
      <c r="QGA45" s="478"/>
      <c r="QGB45" s="478"/>
      <c r="QGC45" s="478"/>
      <c r="QGD45" s="478"/>
      <c r="QGE45" s="478"/>
      <c r="QGF45" s="478"/>
      <c r="QGG45" s="478"/>
      <c r="QGH45" s="478"/>
      <c r="QGI45" s="478"/>
      <c r="QGJ45" s="478"/>
      <c r="QGK45" s="478"/>
      <c r="QGL45" s="478"/>
      <c r="QGM45" s="478"/>
      <c r="QGN45" s="478"/>
      <c r="QGO45" s="478"/>
      <c r="QGP45" s="478"/>
      <c r="QGQ45" s="478"/>
      <c r="QGR45" s="478"/>
      <c r="QGS45" s="478"/>
      <c r="QGT45" s="478"/>
      <c r="QGU45" s="478"/>
      <c r="QGV45" s="478"/>
      <c r="QGW45" s="478"/>
      <c r="QGX45" s="478"/>
      <c r="QGY45" s="478"/>
      <c r="QGZ45" s="478"/>
      <c r="QHA45" s="478"/>
      <c r="QHB45" s="478"/>
      <c r="QHC45" s="478"/>
      <c r="QHD45" s="478"/>
      <c r="QHE45" s="478"/>
      <c r="QHF45" s="478"/>
      <c r="QHG45" s="478"/>
      <c r="QHH45" s="478"/>
      <c r="QHI45" s="478"/>
      <c r="QHJ45" s="478"/>
      <c r="QHK45" s="478"/>
      <c r="QHL45" s="478"/>
      <c r="QHM45" s="478"/>
      <c r="QHN45" s="478"/>
      <c r="QHO45" s="478"/>
      <c r="QHP45" s="478"/>
      <c r="QHQ45" s="478"/>
      <c r="QHR45" s="478"/>
      <c r="QHS45" s="478"/>
      <c r="QHT45" s="478"/>
      <c r="QHU45" s="478"/>
      <c r="QHV45" s="478"/>
      <c r="QHW45" s="478"/>
      <c r="QHX45" s="478"/>
      <c r="QHY45" s="478"/>
      <c r="QHZ45" s="478"/>
      <c r="QIA45" s="478"/>
      <c r="QIB45" s="478"/>
      <c r="QIC45" s="478"/>
      <c r="QID45" s="478"/>
      <c r="QIE45" s="478"/>
      <c r="QIF45" s="478"/>
      <c r="QIG45" s="478"/>
      <c r="QIH45" s="478"/>
      <c r="QII45" s="478"/>
      <c r="QIJ45" s="478"/>
      <c r="QIK45" s="478"/>
      <c r="QIL45" s="478"/>
      <c r="QIM45" s="478"/>
      <c r="QIN45" s="478"/>
      <c r="QIO45" s="478"/>
      <c r="QIP45" s="478"/>
      <c r="QIQ45" s="478"/>
      <c r="QIR45" s="478"/>
      <c r="QIS45" s="478"/>
      <c r="QIT45" s="478"/>
      <c r="QIU45" s="478"/>
      <c r="QIV45" s="478"/>
      <c r="QIW45" s="478"/>
      <c r="QIX45" s="478"/>
      <c r="QIY45" s="478"/>
      <c r="QIZ45" s="478"/>
      <c r="QJA45" s="478"/>
      <c r="QJB45" s="478"/>
      <c r="QJC45" s="478"/>
      <c r="QJD45" s="478"/>
      <c r="QJE45" s="478"/>
      <c r="QJF45" s="478"/>
      <c r="QJG45" s="478"/>
      <c r="QJH45" s="478"/>
      <c r="QJI45" s="478"/>
      <c r="QJJ45" s="478"/>
      <c r="QJK45" s="478"/>
      <c r="QJL45" s="478"/>
      <c r="QJM45" s="478"/>
      <c r="QJN45" s="478"/>
      <c r="QJO45" s="478"/>
      <c r="QJP45" s="478"/>
      <c r="QJQ45" s="478"/>
      <c r="QJR45" s="478"/>
      <c r="QJS45" s="478"/>
      <c r="QJT45" s="478"/>
      <c r="QJU45" s="478"/>
      <c r="QJV45" s="478"/>
      <c r="QJW45" s="478"/>
      <c r="QJX45" s="478"/>
      <c r="QJY45" s="478"/>
      <c r="QJZ45" s="478"/>
      <c r="QKA45" s="478"/>
      <c r="QKB45" s="478"/>
      <c r="QKC45" s="478"/>
      <c r="QKD45" s="478"/>
      <c r="QKE45" s="478"/>
      <c r="QKF45" s="478"/>
      <c r="QKG45" s="478"/>
      <c r="QKH45" s="478"/>
      <c r="QKI45" s="478"/>
      <c r="QKJ45" s="478"/>
      <c r="QKK45" s="478"/>
      <c r="QKL45" s="478"/>
      <c r="QKM45" s="478"/>
      <c r="QKN45" s="478"/>
      <c r="QKO45" s="478"/>
      <c r="QKP45" s="478"/>
      <c r="QKQ45" s="478"/>
      <c r="QKR45" s="478"/>
      <c r="QKS45" s="478"/>
      <c r="QKT45" s="478"/>
      <c r="QKU45" s="478"/>
      <c r="QKV45" s="478"/>
      <c r="QKW45" s="478"/>
      <c r="QKX45" s="478"/>
      <c r="QKY45" s="478"/>
      <c r="QKZ45" s="478"/>
      <c r="QLA45" s="478"/>
      <c r="QLB45" s="478"/>
      <c r="QLC45" s="478"/>
      <c r="QLD45" s="478"/>
      <c r="QLE45" s="478"/>
      <c r="QLF45" s="478"/>
      <c r="QLG45" s="478"/>
      <c r="QLH45" s="478"/>
      <c r="QLI45" s="478"/>
      <c r="QLJ45" s="478"/>
      <c r="QLK45" s="478"/>
      <c r="QLL45" s="478"/>
      <c r="QLM45" s="478"/>
      <c r="QLN45" s="478"/>
      <c r="QLO45" s="478"/>
      <c r="QLP45" s="478"/>
      <c r="QLQ45" s="478"/>
      <c r="QLR45" s="478"/>
      <c r="QLS45" s="478"/>
      <c r="QLT45" s="478"/>
      <c r="QLU45" s="478"/>
      <c r="QLV45" s="478"/>
      <c r="QLW45" s="478"/>
      <c r="QLX45" s="478"/>
      <c r="QLY45" s="478"/>
      <c r="QLZ45" s="478"/>
      <c r="QMA45" s="478"/>
      <c r="QMB45" s="478"/>
      <c r="QMC45" s="478"/>
      <c r="QMD45" s="478"/>
      <c r="QME45" s="478"/>
      <c r="QMF45" s="478"/>
      <c r="QMG45" s="478"/>
      <c r="QMH45" s="478"/>
      <c r="QMI45" s="478"/>
      <c r="QMJ45" s="478"/>
      <c r="QMK45" s="478"/>
      <c r="QML45" s="478"/>
      <c r="QMM45" s="478"/>
      <c r="QMN45" s="478"/>
      <c r="QMO45" s="478"/>
      <c r="QMP45" s="478"/>
      <c r="QMQ45" s="478"/>
      <c r="QMR45" s="478"/>
      <c r="QMS45" s="478"/>
      <c r="QMT45" s="478"/>
      <c r="QMU45" s="478"/>
      <c r="QMV45" s="478"/>
      <c r="QMW45" s="478"/>
      <c r="QMX45" s="478"/>
      <c r="QMY45" s="478"/>
      <c r="QMZ45" s="478"/>
      <c r="QNA45" s="478"/>
      <c r="QNB45" s="478"/>
      <c r="QNC45" s="478"/>
      <c r="QND45" s="478"/>
      <c r="QNE45" s="478"/>
      <c r="QNF45" s="478"/>
      <c r="QNG45" s="478"/>
      <c r="QNH45" s="478"/>
      <c r="QNI45" s="478"/>
      <c r="QNJ45" s="478"/>
      <c r="QNK45" s="478"/>
      <c r="QNL45" s="478"/>
      <c r="QNM45" s="478"/>
      <c r="QNN45" s="478"/>
      <c r="QNO45" s="478"/>
      <c r="QNP45" s="478"/>
      <c r="QNQ45" s="478"/>
      <c r="QNR45" s="478"/>
      <c r="QNS45" s="478"/>
      <c r="QNT45" s="478"/>
      <c r="QNU45" s="478"/>
      <c r="QNV45" s="478"/>
      <c r="QNW45" s="478"/>
      <c r="QNX45" s="478"/>
      <c r="QNY45" s="478"/>
      <c r="QNZ45" s="478"/>
      <c r="QOA45" s="478"/>
      <c r="QOB45" s="478"/>
      <c r="QOC45" s="478"/>
      <c r="QOD45" s="478"/>
      <c r="QOE45" s="478"/>
      <c r="QOF45" s="478"/>
      <c r="QOG45" s="478"/>
      <c r="QOH45" s="478"/>
      <c r="QOI45" s="478"/>
      <c r="QOJ45" s="478"/>
      <c r="QOK45" s="478"/>
      <c r="QOL45" s="478"/>
      <c r="QOM45" s="478"/>
      <c r="QON45" s="478"/>
      <c r="QOO45" s="478"/>
      <c r="QOP45" s="478"/>
      <c r="QOQ45" s="478"/>
      <c r="QOR45" s="478"/>
      <c r="QOS45" s="478"/>
      <c r="QOT45" s="478"/>
      <c r="QOU45" s="478"/>
      <c r="QOV45" s="478"/>
      <c r="QOW45" s="478"/>
      <c r="QOX45" s="478"/>
      <c r="QOY45" s="478"/>
      <c r="QOZ45" s="478"/>
      <c r="QPA45" s="478"/>
      <c r="QPB45" s="478"/>
      <c r="QPC45" s="478"/>
      <c r="QPD45" s="478"/>
      <c r="QPE45" s="478"/>
      <c r="QPF45" s="478"/>
      <c r="QPG45" s="478"/>
      <c r="QPH45" s="478"/>
      <c r="QPI45" s="478"/>
      <c r="QPJ45" s="478"/>
      <c r="QPK45" s="478"/>
      <c r="QPL45" s="478"/>
      <c r="QPM45" s="478"/>
      <c r="QPN45" s="478"/>
      <c r="QPO45" s="478"/>
      <c r="QPP45" s="478"/>
      <c r="QPQ45" s="478"/>
      <c r="QPR45" s="478"/>
      <c r="QPS45" s="478"/>
      <c r="QPT45" s="478"/>
      <c r="QPU45" s="478"/>
      <c r="QPV45" s="478"/>
      <c r="QPW45" s="478"/>
      <c r="QPX45" s="478"/>
      <c r="QPY45" s="478"/>
      <c r="QPZ45" s="478"/>
      <c r="QQA45" s="478"/>
      <c r="QQB45" s="478"/>
      <c r="QQC45" s="478"/>
      <c r="QQD45" s="478"/>
      <c r="QQE45" s="478"/>
      <c r="QQF45" s="478"/>
      <c r="QQG45" s="478"/>
      <c r="QQH45" s="478"/>
      <c r="QQI45" s="478"/>
      <c r="QQJ45" s="478"/>
      <c r="QQK45" s="478"/>
      <c r="QQL45" s="478"/>
      <c r="QQM45" s="478"/>
      <c r="QQN45" s="478"/>
      <c r="QQO45" s="478"/>
      <c r="QQP45" s="478"/>
      <c r="QQQ45" s="478"/>
      <c r="QQR45" s="478"/>
      <c r="QQS45" s="478"/>
      <c r="QQT45" s="478"/>
      <c r="QQU45" s="478"/>
      <c r="QQV45" s="478"/>
      <c r="QQW45" s="478"/>
      <c r="QQX45" s="478"/>
      <c r="QQY45" s="478"/>
      <c r="QQZ45" s="478"/>
      <c r="QRA45" s="478"/>
      <c r="QRB45" s="478"/>
      <c r="QRC45" s="478"/>
      <c r="QRD45" s="478"/>
      <c r="QRE45" s="478"/>
      <c r="QRF45" s="478"/>
      <c r="QRG45" s="478"/>
      <c r="QRH45" s="478"/>
      <c r="QRI45" s="478"/>
      <c r="QRJ45" s="478"/>
      <c r="QRK45" s="478"/>
      <c r="QRL45" s="478"/>
      <c r="QRM45" s="478"/>
      <c r="QRN45" s="478"/>
      <c r="QRO45" s="478"/>
      <c r="QRP45" s="478"/>
      <c r="QRQ45" s="478"/>
      <c r="QRR45" s="478"/>
      <c r="QRS45" s="478"/>
      <c r="QRT45" s="478"/>
      <c r="QRU45" s="478"/>
      <c r="QRV45" s="478"/>
      <c r="QRW45" s="478"/>
      <c r="QRX45" s="478"/>
      <c r="QRY45" s="478"/>
      <c r="QRZ45" s="478"/>
      <c r="QSA45" s="478"/>
      <c r="QSB45" s="478"/>
      <c r="QSC45" s="478"/>
      <c r="QSD45" s="478"/>
      <c r="QSE45" s="478"/>
      <c r="QSF45" s="478"/>
      <c r="QSG45" s="478"/>
      <c r="QSH45" s="478"/>
      <c r="QSI45" s="478"/>
      <c r="QSJ45" s="478"/>
      <c r="QSK45" s="478"/>
      <c r="QSL45" s="478"/>
      <c r="QSM45" s="478"/>
      <c r="QSN45" s="478"/>
      <c r="QSO45" s="478"/>
      <c r="QSP45" s="478"/>
      <c r="QSQ45" s="478"/>
      <c r="QSR45" s="478"/>
      <c r="QSS45" s="478"/>
      <c r="QST45" s="478"/>
      <c r="QSU45" s="478"/>
      <c r="QSV45" s="478"/>
      <c r="QSW45" s="478"/>
      <c r="QSX45" s="478"/>
      <c r="QSY45" s="478"/>
      <c r="QSZ45" s="478"/>
      <c r="QTA45" s="478"/>
      <c r="QTB45" s="478"/>
      <c r="QTC45" s="478"/>
      <c r="QTD45" s="478"/>
      <c r="QTE45" s="478"/>
      <c r="QTF45" s="478"/>
      <c r="QTG45" s="478"/>
      <c r="QTH45" s="478"/>
      <c r="QTI45" s="478"/>
      <c r="QTJ45" s="478"/>
      <c r="QTK45" s="478"/>
      <c r="QTL45" s="478"/>
      <c r="QTM45" s="478"/>
      <c r="QTN45" s="478"/>
      <c r="QTO45" s="478"/>
      <c r="QTP45" s="478"/>
      <c r="QTQ45" s="478"/>
      <c r="QTR45" s="478"/>
      <c r="QTS45" s="478"/>
      <c r="QTT45" s="478"/>
      <c r="QTU45" s="478"/>
      <c r="QTV45" s="478"/>
      <c r="QTW45" s="478"/>
      <c r="QTX45" s="478"/>
      <c r="QTY45" s="478"/>
      <c r="QTZ45" s="478"/>
      <c r="QUA45" s="478"/>
      <c r="QUB45" s="478"/>
      <c r="QUC45" s="478"/>
      <c r="QUD45" s="478"/>
      <c r="QUE45" s="478"/>
      <c r="QUF45" s="478"/>
      <c r="QUG45" s="478"/>
      <c r="QUH45" s="478"/>
      <c r="QUI45" s="478"/>
      <c r="QUJ45" s="478"/>
      <c r="QUK45" s="478"/>
      <c r="QUL45" s="478"/>
      <c r="QUM45" s="478"/>
      <c r="QUN45" s="478"/>
      <c r="QUO45" s="478"/>
      <c r="QUP45" s="478"/>
      <c r="QUQ45" s="478"/>
      <c r="QUR45" s="478"/>
      <c r="QUS45" s="478"/>
      <c r="QUT45" s="478"/>
      <c r="QUU45" s="478"/>
      <c r="QUV45" s="478"/>
      <c r="QUW45" s="478"/>
      <c r="QUX45" s="478"/>
      <c r="QUY45" s="478"/>
      <c r="QUZ45" s="478"/>
      <c r="QVA45" s="478"/>
      <c r="QVB45" s="478"/>
      <c r="QVC45" s="478"/>
      <c r="QVD45" s="478"/>
      <c r="QVE45" s="478"/>
      <c r="QVF45" s="478"/>
      <c r="QVG45" s="478"/>
      <c r="QVH45" s="478"/>
      <c r="QVI45" s="478"/>
      <c r="QVJ45" s="478"/>
      <c r="QVK45" s="478"/>
      <c r="QVL45" s="478"/>
      <c r="QVM45" s="478"/>
      <c r="QVN45" s="478"/>
      <c r="QVO45" s="478"/>
      <c r="QVP45" s="478"/>
      <c r="QVQ45" s="478"/>
      <c r="QVR45" s="478"/>
      <c r="QVS45" s="478"/>
      <c r="QVT45" s="478"/>
      <c r="QVU45" s="478"/>
      <c r="QVV45" s="478"/>
      <c r="QVW45" s="478"/>
      <c r="QVX45" s="478"/>
      <c r="QVY45" s="478"/>
      <c r="QVZ45" s="478"/>
      <c r="QWA45" s="478"/>
      <c r="QWB45" s="478"/>
      <c r="QWC45" s="478"/>
      <c r="QWD45" s="478"/>
      <c r="QWE45" s="478"/>
      <c r="QWF45" s="478"/>
      <c r="QWG45" s="478"/>
      <c r="QWH45" s="478"/>
      <c r="QWI45" s="478"/>
      <c r="QWJ45" s="478"/>
      <c r="QWK45" s="478"/>
      <c r="QWL45" s="478"/>
      <c r="QWM45" s="478"/>
      <c r="QWN45" s="478"/>
      <c r="QWO45" s="478"/>
      <c r="QWP45" s="478"/>
      <c r="QWQ45" s="478"/>
      <c r="QWR45" s="478"/>
      <c r="QWS45" s="478"/>
      <c r="QWT45" s="478"/>
      <c r="QWU45" s="478"/>
      <c r="QWV45" s="478"/>
      <c r="QWW45" s="478"/>
      <c r="QWX45" s="478"/>
      <c r="QWY45" s="478"/>
      <c r="QWZ45" s="478"/>
      <c r="QXA45" s="478"/>
      <c r="QXB45" s="478"/>
      <c r="QXC45" s="478"/>
      <c r="QXD45" s="478"/>
      <c r="QXE45" s="478"/>
      <c r="QXF45" s="478"/>
      <c r="QXG45" s="478"/>
      <c r="QXH45" s="478"/>
      <c r="QXI45" s="478"/>
      <c r="QXJ45" s="478"/>
      <c r="QXK45" s="478"/>
      <c r="QXL45" s="478"/>
      <c r="QXM45" s="478"/>
      <c r="QXN45" s="478"/>
      <c r="QXO45" s="478"/>
      <c r="QXP45" s="478"/>
      <c r="QXQ45" s="478"/>
      <c r="QXR45" s="478"/>
      <c r="QXS45" s="478"/>
      <c r="QXT45" s="478"/>
      <c r="QXU45" s="478"/>
      <c r="QXV45" s="478"/>
      <c r="QXW45" s="478"/>
      <c r="QXX45" s="478"/>
      <c r="QXY45" s="478"/>
      <c r="QXZ45" s="478"/>
      <c r="QYA45" s="478"/>
      <c r="QYB45" s="478"/>
      <c r="QYC45" s="478"/>
      <c r="QYD45" s="478"/>
      <c r="QYE45" s="478"/>
      <c r="QYF45" s="478"/>
      <c r="QYG45" s="478"/>
      <c r="QYH45" s="478"/>
      <c r="QYI45" s="478"/>
      <c r="QYJ45" s="478"/>
      <c r="QYK45" s="478"/>
      <c r="QYL45" s="478"/>
      <c r="QYM45" s="478"/>
      <c r="QYN45" s="478"/>
      <c r="QYO45" s="478"/>
      <c r="QYP45" s="478"/>
      <c r="QYQ45" s="478"/>
      <c r="QYR45" s="478"/>
      <c r="QYS45" s="478"/>
      <c r="QYT45" s="478"/>
      <c r="QYU45" s="478"/>
      <c r="QYV45" s="478"/>
      <c r="QYW45" s="478"/>
      <c r="QYX45" s="478"/>
      <c r="QYY45" s="478"/>
      <c r="QYZ45" s="478"/>
      <c r="QZA45" s="478"/>
      <c r="QZB45" s="478"/>
      <c r="QZC45" s="478"/>
      <c r="QZD45" s="478"/>
      <c r="QZE45" s="478"/>
      <c r="QZF45" s="478"/>
      <c r="QZG45" s="478"/>
      <c r="QZH45" s="478"/>
      <c r="QZI45" s="478"/>
      <c r="QZJ45" s="478"/>
      <c r="QZK45" s="478"/>
      <c r="QZL45" s="478"/>
      <c r="QZM45" s="478"/>
      <c r="QZN45" s="478"/>
      <c r="QZO45" s="478"/>
      <c r="QZP45" s="478"/>
      <c r="QZQ45" s="478"/>
      <c r="QZR45" s="478"/>
      <c r="QZS45" s="478"/>
      <c r="QZT45" s="478"/>
      <c r="QZU45" s="478"/>
      <c r="QZV45" s="478"/>
      <c r="QZW45" s="478"/>
      <c r="QZX45" s="478"/>
      <c r="QZY45" s="478"/>
      <c r="QZZ45" s="478"/>
      <c r="RAA45" s="478"/>
      <c r="RAB45" s="478"/>
      <c r="RAC45" s="478"/>
      <c r="RAD45" s="478"/>
      <c r="RAE45" s="478"/>
      <c r="RAF45" s="478"/>
      <c r="RAG45" s="478"/>
      <c r="RAH45" s="478"/>
      <c r="RAI45" s="478"/>
      <c r="RAJ45" s="478"/>
      <c r="RAK45" s="478"/>
      <c r="RAL45" s="478"/>
      <c r="RAM45" s="478"/>
      <c r="RAN45" s="478"/>
      <c r="RAO45" s="478"/>
      <c r="RAP45" s="478"/>
      <c r="RAQ45" s="478"/>
      <c r="RAR45" s="478"/>
      <c r="RAS45" s="478"/>
      <c r="RAT45" s="478"/>
      <c r="RAU45" s="478"/>
      <c r="RAV45" s="478"/>
      <c r="RAW45" s="478"/>
      <c r="RAX45" s="478"/>
      <c r="RAY45" s="478"/>
      <c r="RAZ45" s="478"/>
      <c r="RBA45" s="478"/>
      <c r="RBB45" s="478"/>
      <c r="RBC45" s="478"/>
      <c r="RBD45" s="478"/>
      <c r="RBE45" s="478"/>
      <c r="RBF45" s="478"/>
      <c r="RBG45" s="478"/>
      <c r="RBH45" s="478"/>
      <c r="RBI45" s="478"/>
      <c r="RBJ45" s="478"/>
      <c r="RBK45" s="478"/>
      <c r="RBL45" s="478"/>
      <c r="RBM45" s="478"/>
      <c r="RBN45" s="478"/>
      <c r="RBO45" s="478"/>
      <c r="RBP45" s="478"/>
      <c r="RBQ45" s="478"/>
      <c r="RBR45" s="478"/>
      <c r="RBS45" s="478"/>
      <c r="RBT45" s="478"/>
      <c r="RBU45" s="478"/>
      <c r="RBV45" s="478"/>
      <c r="RBW45" s="478"/>
      <c r="RBX45" s="478"/>
      <c r="RBY45" s="478"/>
      <c r="RBZ45" s="478"/>
      <c r="RCA45" s="478"/>
      <c r="RCB45" s="478"/>
      <c r="RCC45" s="478"/>
      <c r="RCD45" s="478"/>
      <c r="RCE45" s="478"/>
      <c r="RCF45" s="478"/>
      <c r="RCG45" s="478"/>
      <c r="RCH45" s="478"/>
      <c r="RCI45" s="478"/>
      <c r="RCJ45" s="478"/>
      <c r="RCK45" s="478"/>
      <c r="RCL45" s="478"/>
      <c r="RCM45" s="478"/>
      <c r="RCN45" s="478"/>
      <c r="RCO45" s="478"/>
      <c r="RCP45" s="478"/>
      <c r="RCQ45" s="478"/>
      <c r="RCR45" s="478"/>
      <c r="RCS45" s="478"/>
      <c r="RCT45" s="478"/>
      <c r="RCU45" s="478"/>
      <c r="RCV45" s="478"/>
      <c r="RCW45" s="478"/>
      <c r="RCX45" s="478"/>
      <c r="RCY45" s="478"/>
      <c r="RCZ45" s="478"/>
      <c r="RDA45" s="478"/>
      <c r="RDB45" s="478"/>
      <c r="RDC45" s="478"/>
      <c r="RDD45" s="478"/>
      <c r="RDE45" s="478"/>
      <c r="RDF45" s="478"/>
      <c r="RDG45" s="478"/>
      <c r="RDH45" s="478"/>
      <c r="RDI45" s="478"/>
      <c r="RDJ45" s="478"/>
      <c r="RDK45" s="478"/>
      <c r="RDL45" s="478"/>
      <c r="RDM45" s="478"/>
      <c r="RDN45" s="478"/>
      <c r="RDO45" s="478"/>
      <c r="RDP45" s="478"/>
      <c r="RDQ45" s="478"/>
      <c r="RDR45" s="478"/>
      <c r="RDS45" s="478"/>
      <c r="RDT45" s="478"/>
      <c r="RDU45" s="478"/>
      <c r="RDV45" s="478"/>
      <c r="RDW45" s="478"/>
      <c r="RDX45" s="478"/>
      <c r="RDY45" s="478"/>
      <c r="RDZ45" s="478"/>
      <c r="REA45" s="478"/>
      <c r="REB45" s="478"/>
      <c r="REC45" s="478"/>
      <c r="RED45" s="478"/>
      <c r="REE45" s="478"/>
      <c r="REF45" s="478"/>
      <c r="REG45" s="478"/>
      <c r="REH45" s="478"/>
      <c r="REI45" s="478"/>
      <c r="REJ45" s="478"/>
      <c r="REK45" s="478"/>
      <c r="REL45" s="478"/>
      <c r="REM45" s="478"/>
      <c r="REN45" s="478"/>
      <c r="REO45" s="478"/>
      <c r="REP45" s="478"/>
      <c r="REQ45" s="478"/>
      <c r="RER45" s="478"/>
      <c r="RES45" s="478"/>
      <c r="RET45" s="478"/>
      <c r="REU45" s="478"/>
      <c r="REV45" s="478"/>
      <c r="REW45" s="478"/>
      <c r="REX45" s="478"/>
      <c r="REY45" s="478"/>
      <c r="REZ45" s="478"/>
      <c r="RFA45" s="478"/>
      <c r="RFB45" s="478"/>
      <c r="RFC45" s="478"/>
      <c r="RFD45" s="478"/>
      <c r="RFE45" s="478"/>
      <c r="RFF45" s="478"/>
      <c r="RFG45" s="478"/>
      <c r="RFH45" s="478"/>
      <c r="RFI45" s="478"/>
      <c r="RFJ45" s="478"/>
      <c r="RFK45" s="478"/>
      <c r="RFL45" s="478"/>
      <c r="RFM45" s="478"/>
      <c r="RFN45" s="478"/>
      <c r="RFO45" s="478"/>
      <c r="RFP45" s="478"/>
      <c r="RFQ45" s="478"/>
      <c r="RFR45" s="478"/>
      <c r="RFS45" s="478"/>
      <c r="RFT45" s="478"/>
      <c r="RFU45" s="478"/>
      <c r="RFV45" s="478"/>
      <c r="RFW45" s="478"/>
      <c r="RFX45" s="478"/>
      <c r="RFY45" s="478"/>
      <c r="RFZ45" s="478"/>
      <c r="RGA45" s="478"/>
      <c r="RGB45" s="478"/>
      <c r="RGC45" s="478"/>
      <c r="RGD45" s="478"/>
      <c r="RGE45" s="478"/>
      <c r="RGF45" s="478"/>
      <c r="RGG45" s="478"/>
      <c r="RGH45" s="478"/>
      <c r="RGI45" s="478"/>
      <c r="RGJ45" s="478"/>
      <c r="RGK45" s="478"/>
      <c r="RGL45" s="478"/>
      <c r="RGM45" s="478"/>
      <c r="RGN45" s="478"/>
      <c r="RGO45" s="478"/>
      <c r="RGP45" s="478"/>
      <c r="RGQ45" s="478"/>
      <c r="RGR45" s="478"/>
      <c r="RGS45" s="478"/>
      <c r="RGT45" s="478"/>
      <c r="RGU45" s="478"/>
      <c r="RGV45" s="478"/>
      <c r="RGW45" s="478"/>
      <c r="RGX45" s="478"/>
      <c r="RGY45" s="478"/>
      <c r="RGZ45" s="478"/>
      <c r="RHA45" s="478"/>
      <c r="RHB45" s="478"/>
      <c r="RHC45" s="478"/>
      <c r="RHD45" s="478"/>
      <c r="RHE45" s="478"/>
      <c r="RHF45" s="478"/>
      <c r="RHG45" s="478"/>
      <c r="RHH45" s="478"/>
      <c r="RHI45" s="478"/>
      <c r="RHJ45" s="478"/>
      <c r="RHK45" s="478"/>
      <c r="RHL45" s="478"/>
      <c r="RHM45" s="478"/>
      <c r="RHN45" s="478"/>
      <c r="RHO45" s="478"/>
      <c r="RHP45" s="478"/>
      <c r="RHQ45" s="478"/>
      <c r="RHR45" s="478"/>
      <c r="RHS45" s="478"/>
      <c r="RHT45" s="478"/>
      <c r="RHU45" s="478"/>
      <c r="RHV45" s="478"/>
      <c r="RHW45" s="478"/>
      <c r="RHX45" s="478"/>
      <c r="RHY45" s="478"/>
      <c r="RHZ45" s="478"/>
      <c r="RIA45" s="478"/>
      <c r="RIB45" s="478"/>
      <c r="RIC45" s="478"/>
      <c r="RID45" s="478"/>
      <c r="RIE45" s="478"/>
      <c r="RIF45" s="478"/>
      <c r="RIG45" s="478"/>
      <c r="RIH45" s="478"/>
      <c r="RII45" s="478"/>
      <c r="RIJ45" s="478"/>
      <c r="RIK45" s="478"/>
      <c r="RIL45" s="478"/>
      <c r="RIM45" s="478"/>
      <c r="RIN45" s="478"/>
      <c r="RIO45" s="478"/>
      <c r="RIP45" s="478"/>
      <c r="RIQ45" s="478"/>
      <c r="RIR45" s="478"/>
      <c r="RIS45" s="478"/>
      <c r="RIT45" s="478"/>
      <c r="RIU45" s="478"/>
      <c r="RIV45" s="478"/>
      <c r="RIW45" s="478"/>
      <c r="RIX45" s="478"/>
      <c r="RIY45" s="478"/>
      <c r="RIZ45" s="478"/>
      <c r="RJA45" s="478"/>
      <c r="RJB45" s="478"/>
      <c r="RJC45" s="478"/>
      <c r="RJD45" s="478"/>
      <c r="RJE45" s="478"/>
      <c r="RJF45" s="478"/>
      <c r="RJG45" s="478"/>
      <c r="RJH45" s="478"/>
      <c r="RJI45" s="478"/>
      <c r="RJJ45" s="478"/>
      <c r="RJK45" s="478"/>
      <c r="RJL45" s="478"/>
      <c r="RJM45" s="478"/>
      <c r="RJN45" s="478"/>
      <c r="RJO45" s="478"/>
      <c r="RJP45" s="478"/>
      <c r="RJQ45" s="478"/>
      <c r="RJR45" s="478"/>
      <c r="RJS45" s="478"/>
      <c r="RJT45" s="478"/>
      <c r="RJU45" s="478"/>
      <c r="RJV45" s="478"/>
      <c r="RJW45" s="478"/>
      <c r="RJX45" s="478"/>
      <c r="RJY45" s="478"/>
      <c r="RJZ45" s="478"/>
      <c r="RKA45" s="478"/>
      <c r="RKB45" s="478"/>
      <c r="RKC45" s="478"/>
      <c r="RKD45" s="478"/>
      <c r="RKE45" s="478"/>
      <c r="RKF45" s="478"/>
      <c r="RKG45" s="478"/>
      <c r="RKH45" s="478"/>
      <c r="RKI45" s="478"/>
      <c r="RKJ45" s="478"/>
      <c r="RKK45" s="478"/>
      <c r="RKL45" s="478"/>
      <c r="RKM45" s="478"/>
      <c r="RKN45" s="478"/>
      <c r="RKO45" s="478"/>
      <c r="RKP45" s="478"/>
      <c r="RKQ45" s="478"/>
      <c r="RKR45" s="478"/>
      <c r="RKS45" s="478"/>
      <c r="RKT45" s="478"/>
      <c r="RKU45" s="478"/>
      <c r="RKV45" s="478"/>
      <c r="RKW45" s="478"/>
      <c r="RKX45" s="478"/>
      <c r="RKY45" s="478"/>
      <c r="RKZ45" s="478"/>
      <c r="RLA45" s="478"/>
      <c r="RLB45" s="478"/>
      <c r="RLC45" s="478"/>
      <c r="RLD45" s="478"/>
      <c r="RLE45" s="478"/>
      <c r="RLF45" s="478"/>
      <c r="RLG45" s="478"/>
      <c r="RLH45" s="478"/>
      <c r="RLI45" s="478"/>
      <c r="RLJ45" s="478"/>
      <c r="RLK45" s="478"/>
      <c r="RLL45" s="478"/>
      <c r="RLM45" s="478"/>
      <c r="RLN45" s="478"/>
      <c r="RLO45" s="478"/>
      <c r="RLP45" s="478"/>
      <c r="RLQ45" s="478"/>
      <c r="RLR45" s="478"/>
      <c r="RLS45" s="478"/>
      <c r="RLT45" s="478"/>
      <c r="RLU45" s="478"/>
      <c r="RLV45" s="478"/>
      <c r="RLW45" s="478"/>
      <c r="RLX45" s="478"/>
      <c r="RLY45" s="478"/>
      <c r="RLZ45" s="478"/>
      <c r="RMA45" s="478"/>
      <c r="RMB45" s="478"/>
      <c r="RMC45" s="478"/>
      <c r="RMD45" s="478"/>
      <c r="RME45" s="478"/>
      <c r="RMF45" s="478"/>
      <c r="RMG45" s="478"/>
      <c r="RMH45" s="478"/>
      <c r="RMI45" s="478"/>
      <c r="RMJ45" s="478"/>
      <c r="RMK45" s="478"/>
      <c r="RML45" s="478"/>
      <c r="RMM45" s="478"/>
      <c r="RMN45" s="478"/>
      <c r="RMO45" s="478"/>
      <c r="RMP45" s="478"/>
      <c r="RMQ45" s="478"/>
      <c r="RMR45" s="478"/>
      <c r="RMS45" s="478"/>
      <c r="RMT45" s="478"/>
      <c r="RMU45" s="478"/>
      <c r="RMV45" s="478"/>
      <c r="RMW45" s="478"/>
      <c r="RMX45" s="478"/>
      <c r="RMY45" s="478"/>
      <c r="RMZ45" s="478"/>
      <c r="RNA45" s="478"/>
      <c r="RNB45" s="478"/>
      <c r="RNC45" s="478"/>
      <c r="RND45" s="478"/>
      <c r="RNE45" s="478"/>
      <c r="RNF45" s="478"/>
      <c r="RNG45" s="478"/>
      <c r="RNH45" s="478"/>
      <c r="RNI45" s="478"/>
      <c r="RNJ45" s="478"/>
      <c r="RNK45" s="478"/>
      <c r="RNL45" s="478"/>
      <c r="RNM45" s="478"/>
      <c r="RNN45" s="478"/>
      <c r="RNO45" s="478"/>
      <c r="RNP45" s="478"/>
      <c r="RNQ45" s="478"/>
      <c r="RNR45" s="478"/>
      <c r="RNS45" s="478"/>
      <c r="RNT45" s="478"/>
      <c r="RNU45" s="478"/>
      <c r="RNV45" s="478"/>
      <c r="RNW45" s="478"/>
      <c r="RNX45" s="478"/>
      <c r="RNY45" s="478"/>
      <c r="RNZ45" s="478"/>
      <c r="ROA45" s="478"/>
      <c r="ROB45" s="478"/>
      <c r="ROC45" s="478"/>
      <c r="ROD45" s="478"/>
      <c r="ROE45" s="478"/>
      <c r="ROF45" s="478"/>
      <c r="ROG45" s="478"/>
      <c r="ROH45" s="478"/>
      <c r="ROI45" s="478"/>
      <c r="ROJ45" s="478"/>
      <c r="ROK45" s="478"/>
      <c r="ROL45" s="478"/>
      <c r="ROM45" s="478"/>
      <c r="RON45" s="478"/>
      <c r="ROO45" s="478"/>
      <c r="ROP45" s="478"/>
      <c r="ROQ45" s="478"/>
      <c r="ROR45" s="478"/>
      <c r="ROS45" s="478"/>
      <c r="ROT45" s="478"/>
      <c r="ROU45" s="478"/>
      <c r="ROV45" s="478"/>
      <c r="ROW45" s="478"/>
      <c r="ROX45" s="478"/>
      <c r="ROY45" s="478"/>
      <c r="ROZ45" s="478"/>
      <c r="RPA45" s="478"/>
      <c r="RPB45" s="478"/>
      <c r="RPC45" s="478"/>
      <c r="RPD45" s="478"/>
      <c r="RPE45" s="478"/>
      <c r="RPF45" s="478"/>
      <c r="RPG45" s="478"/>
      <c r="RPH45" s="478"/>
      <c r="RPI45" s="478"/>
      <c r="RPJ45" s="478"/>
      <c r="RPK45" s="478"/>
      <c r="RPL45" s="478"/>
      <c r="RPM45" s="478"/>
      <c r="RPN45" s="478"/>
      <c r="RPO45" s="478"/>
      <c r="RPP45" s="478"/>
      <c r="RPQ45" s="478"/>
      <c r="RPR45" s="478"/>
      <c r="RPS45" s="478"/>
      <c r="RPT45" s="478"/>
      <c r="RPU45" s="478"/>
      <c r="RPV45" s="478"/>
      <c r="RPW45" s="478"/>
      <c r="RPX45" s="478"/>
      <c r="RPY45" s="478"/>
      <c r="RPZ45" s="478"/>
      <c r="RQA45" s="478"/>
      <c r="RQB45" s="478"/>
      <c r="RQC45" s="478"/>
      <c r="RQD45" s="478"/>
      <c r="RQE45" s="478"/>
      <c r="RQF45" s="478"/>
      <c r="RQG45" s="478"/>
      <c r="RQH45" s="478"/>
      <c r="RQI45" s="478"/>
      <c r="RQJ45" s="478"/>
      <c r="RQK45" s="478"/>
      <c r="RQL45" s="478"/>
      <c r="RQM45" s="478"/>
      <c r="RQN45" s="478"/>
      <c r="RQO45" s="478"/>
      <c r="RQP45" s="478"/>
      <c r="RQQ45" s="478"/>
      <c r="RQR45" s="478"/>
      <c r="RQS45" s="478"/>
      <c r="RQT45" s="478"/>
      <c r="RQU45" s="478"/>
      <c r="RQV45" s="478"/>
      <c r="RQW45" s="478"/>
      <c r="RQX45" s="478"/>
      <c r="RQY45" s="478"/>
      <c r="RQZ45" s="478"/>
      <c r="RRA45" s="478"/>
      <c r="RRB45" s="478"/>
      <c r="RRC45" s="478"/>
      <c r="RRD45" s="478"/>
      <c r="RRE45" s="478"/>
      <c r="RRF45" s="478"/>
      <c r="RRG45" s="478"/>
      <c r="RRH45" s="478"/>
      <c r="RRI45" s="478"/>
      <c r="RRJ45" s="478"/>
      <c r="RRK45" s="478"/>
      <c r="RRL45" s="478"/>
      <c r="RRM45" s="478"/>
      <c r="RRN45" s="478"/>
      <c r="RRO45" s="478"/>
      <c r="RRP45" s="478"/>
      <c r="RRQ45" s="478"/>
      <c r="RRR45" s="478"/>
      <c r="RRS45" s="478"/>
      <c r="RRT45" s="478"/>
      <c r="RRU45" s="478"/>
      <c r="RRV45" s="478"/>
      <c r="RRW45" s="478"/>
      <c r="RRX45" s="478"/>
      <c r="RRY45" s="478"/>
      <c r="RRZ45" s="478"/>
      <c r="RSA45" s="478"/>
      <c r="RSB45" s="478"/>
      <c r="RSC45" s="478"/>
      <c r="RSD45" s="478"/>
      <c r="RSE45" s="478"/>
      <c r="RSF45" s="478"/>
      <c r="RSG45" s="478"/>
      <c r="RSH45" s="478"/>
      <c r="RSI45" s="478"/>
      <c r="RSJ45" s="478"/>
      <c r="RSK45" s="478"/>
      <c r="RSL45" s="478"/>
      <c r="RSM45" s="478"/>
      <c r="RSN45" s="478"/>
      <c r="RSO45" s="478"/>
      <c r="RSP45" s="478"/>
      <c r="RSQ45" s="478"/>
      <c r="RSR45" s="478"/>
      <c r="RSS45" s="478"/>
      <c r="RST45" s="478"/>
      <c r="RSU45" s="478"/>
      <c r="RSV45" s="478"/>
      <c r="RSW45" s="478"/>
      <c r="RSX45" s="478"/>
      <c r="RSY45" s="478"/>
      <c r="RSZ45" s="478"/>
      <c r="RTA45" s="478"/>
      <c r="RTB45" s="478"/>
      <c r="RTC45" s="478"/>
      <c r="RTD45" s="478"/>
      <c r="RTE45" s="478"/>
      <c r="RTF45" s="478"/>
      <c r="RTG45" s="478"/>
      <c r="RTH45" s="478"/>
      <c r="RTI45" s="478"/>
      <c r="RTJ45" s="478"/>
      <c r="RTK45" s="478"/>
      <c r="RTL45" s="478"/>
      <c r="RTM45" s="478"/>
      <c r="RTN45" s="478"/>
      <c r="RTO45" s="478"/>
      <c r="RTP45" s="478"/>
      <c r="RTQ45" s="478"/>
      <c r="RTR45" s="478"/>
      <c r="RTS45" s="478"/>
      <c r="RTT45" s="478"/>
      <c r="RTU45" s="478"/>
      <c r="RTV45" s="478"/>
      <c r="RTW45" s="478"/>
      <c r="RTX45" s="478"/>
      <c r="RTY45" s="478"/>
      <c r="RTZ45" s="478"/>
      <c r="RUA45" s="478"/>
      <c r="RUB45" s="478"/>
      <c r="RUC45" s="478"/>
      <c r="RUD45" s="478"/>
      <c r="RUE45" s="478"/>
      <c r="RUF45" s="478"/>
      <c r="RUG45" s="478"/>
      <c r="RUH45" s="478"/>
      <c r="RUI45" s="478"/>
      <c r="RUJ45" s="478"/>
      <c r="RUK45" s="478"/>
      <c r="RUL45" s="478"/>
      <c r="RUM45" s="478"/>
      <c r="RUN45" s="478"/>
      <c r="RUO45" s="478"/>
      <c r="RUP45" s="478"/>
      <c r="RUQ45" s="478"/>
      <c r="RUR45" s="478"/>
      <c r="RUS45" s="478"/>
      <c r="RUT45" s="478"/>
      <c r="RUU45" s="478"/>
      <c r="RUV45" s="478"/>
      <c r="RUW45" s="478"/>
      <c r="RUX45" s="478"/>
      <c r="RUY45" s="478"/>
      <c r="RUZ45" s="478"/>
      <c r="RVA45" s="478"/>
      <c r="RVB45" s="478"/>
      <c r="RVC45" s="478"/>
      <c r="RVD45" s="478"/>
      <c r="RVE45" s="478"/>
      <c r="RVF45" s="478"/>
      <c r="RVG45" s="478"/>
      <c r="RVH45" s="478"/>
      <c r="RVI45" s="478"/>
      <c r="RVJ45" s="478"/>
      <c r="RVK45" s="478"/>
      <c r="RVL45" s="478"/>
      <c r="RVM45" s="478"/>
      <c r="RVN45" s="478"/>
      <c r="RVO45" s="478"/>
      <c r="RVP45" s="478"/>
      <c r="RVQ45" s="478"/>
      <c r="RVR45" s="478"/>
      <c r="RVS45" s="478"/>
      <c r="RVT45" s="478"/>
      <c r="RVU45" s="478"/>
      <c r="RVV45" s="478"/>
      <c r="RVW45" s="478"/>
      <c r="RVX45" s="478"/>
      <c r="RVY45" s="478"/>
      <c r="RVZ45" s="478"/>
      <c r="RWA45" s="478"/>
      <c r="RWB45" s="478"/>
      <c r="RWC45" s="478"/>
      <c r="RWD45" s="478"/>
      <c r="RWE45" s="478"/>
      <c r="RWF45" s="478"/>
      <c r="RWG45" s="478"/>
      <c r="RWH45" s="478"/>
      <c r="RWI45" s="478"/>
      <c r="RWJ45" s="478"/>
      <c r="RWK45" s="478"/>
      <c r="RWL45" s="478"/>
      <c r="RWM45" s="478"/>
      <c r="RWN45" s="478"/>
      <c r="RWO45" s="478"/>
      <c r="RWP45" s="478"/>
      <c r="RWQ45" s="478"/>
      <c r="RWR45" s="478"/>
      <c r="RWS45" s="478"/>
      <c r="RWT45" s="478"/>
      <c r="RWU45" s="478"/>
      <c r="RWV45" s="478"/>
      <c r="RWW45" s="478"/>
      <c r="RWX45" s="478"/>
      <c r="RWY45" s="478"/>
      <c r="RWZ45" s="478"/>
      <c r="RXA45" s="478"/>
      <c r="RXB45" s="478"/>
      <c r="RXC45" s="478"/>
      <c r="RXD45" s="478"/>
      <c r="RXE45" s="478"/>
      <c r="RXF45" s="478"/>
      <c r="RXG45" s="478"/>
      <c r="RXH45" s="478"/>
      <c r="RXI45" s="478"/>
      <c r="RXJ45" s="478"/>
      <c r="RXK45" s="478"/>
      <c r="RXL45" s="478"/>
      <c r="RXM45" s="478"/>
      <c r="RXN45" s="478"/>
      <c r="RXO45" s="478"/>
      <c r="RXP45" s="478"/>
      <c r="RXQ45" s="478"/>
      <c r="RXR45" s="478"/>
      <c r="RXS45" s="478"/>
      <c r="RXT45" s="478"/>
      <c r="RXU45" s="478"/>
      <c r="RXV45" s="478"/>
      <c r="RXW45" s="478"/>
      <c r="RXX45" s="478"/>
      <c r="RXY45" s="478"/>
      <c r="RXZ45" s="478"/>
      <c r="RYA45" s="478"/>
      <c r="RYB45" s="478"/>
      <c r="RYC45" s="478"/>
      <c r="RYD45" s="478"/>
      <c r="RYE45" s="478"/>
      <c r="RYF45" s="478"/>
      <c r="RYG45" s="478"/>
      <c r="RYH45" s="478"/>
      <c r="RYI45" s="478"/>
      <c r="RYJ45" s="478"/>
      <c r="RYK45" s="478"/>
      <c r="RYL45" s="478"/>
      <c r="RYM45" s="478"/>
      <c r="RYN45" s="478"/>
      <c r="RYO45" s="478"/>
      <c r="RYP45" s="478"/>
      <c r="RYQ45" s="478"/>
      <c r="RYR45" s="478"/>
      <c r="RYS45" s="478"/>
      <c r="RYT45" s="478"/>
      <c r="RYU45" s="478"/>
      <c r="RYV45" s="478"/>
      <c r="RYW45" s="478"/>
      <c r="RYX45" s="478"/>
      <c r="RYY45" s="478"/>
      <c r="RYZ45" s="478"/>
      <c r="RZA45" s="478"/>
      <c r="RZB45" s="478"/>
      <c r="RZC45" s="478"/>
      <c r="RZD45" s="478"/>
      <c r="RZE45" s="478"/>
      <c r="RZF45" s="478"/>
      <c r="RZG45" s="478"/>
      <c r="RZH45" s="478"/>
      <c r="RZI45" s="478"/>
      <c r="RZJ45" s="478"/>
      <c r="RZK45" s="478"/>
      <c r="RZL45" s="478"/>
      <c r="RZM45" s="478"/>
      <c r="RZN45" s="478"/>
      <c r="RZO45" s="478"/>
      <c r="RZP45" s="478"/>
      <c r="RZQ45" s="478"/>
      <c r="RZR45" s="478"/>
      <c r="RZS45" s="478"/>
      <c r="RZT45" s="478"/>
      <c r="RZU45" s="478"/>
      <c r="RZV45" s="478"/>
      <c r="RZW45" s="478"/>
      <c r="RZX45" s="478"/>
      <c r="RZY45" s="478"/>
      <c r="RZZ45" s="478"/>
      <c r="SAA45" s="478"/>
      <c r="SAB45" s="478"/>
      <c r="SAC45" s="478"/>
      <c r="SAD45" s="478"/>
      <c r="SAE45" s="478"/>
      <c r="SAF45" s="478"/>
      <c r="SAG45" s="478"/>
      <c r="SAH45" s="478"/>
      <c r="SAI45" s="478"/>
      <c r="SAJ45" s="478"/>
      <c r="SAK45" s="478"/>
      <c r="SAL45" s="478"/>
      <c r="SAM45" s="478"/>
      <c r="SAN45" s="478"/>
      <c r="SAO45" s="478"/>
      <c r="SAP45" s="478"/>
      <c r="SAQ45" s="478"/>
      <c r="SAR45" s="478"/>
      <c r="SAS45" s="478"/>
      <c r="SAT45" s="478"/>
      <c r="SAU45" s="478"/>
      <c r="SAV45" s="478"/>
      <c r="SAW45" s="478"/>
      <c r="SAX45" s="478"/>
      <c r="SAY45" s="478"/>
      <c r="SAZ45" s="478"/>
      <c r="SBA45" s="478"/>
      <c r="SBB45" s="478"/>
      <c r="SBC45" s="478"/>
      <c r="SBD45" s="478"/>
      <c r="SBE45" s="478"/>
      <c r="SBF45" s="478"/>
      <c r="SBG45" s="478"/>
      <c r="SBH45" s="478"/>
      <c r="SBI45" s="478"/>
      <c r="SBJ45" s="478"/>
      <c r="SBK45" s="478"/>
      <c r="SBL45" s="478"/>
      <c r="SBM45" s="478"/>
      <c r="SBN45" s="478"/>
      <c r="SBO45" s="478"/>
      <c r="SBP45" s="478"/>
      <c r="SBQ45" s="478"/>
      <c r="SBR45" s="478"/>
      <c r="SBS45" s="478"/>
      <c r="SBT45" s="478"/>
      <c r="SBU45" s="478"/>
      <c r="SBV45" s="478"/>
      <c r="SBW45" s="478"/>
      <c r="SBX45" s="478"/>
      <c r="SBY45" s="478"/>
      <c r="SBZ45" s="478"/>
      <c r="SCA45" s="478"/>
      <c r="SCB45" s="478"/>
      <c r="SCC45" s="478"/>
      <c r="SCD45" s="478"/>
      <c r="SCE45" s="478"/>
      <c r="SCF45" s="478"/>
      <c r="SCG45" s="478"/>
      <c r="SCH45" s="478"/>
      <c r="SCI45" s="478"/>
      <c r="SCJ45" s="478"/>
      <c r="SCK45" s="478"/>
      <c r="SCL45" s="478"/>
      <c r="SCM45" s="478"/>
      <c r="SCN45" s="478"/>
      <c r="SCO45" s="478"/>
      <c r="SCP45" s="478"/>
      <c r="SCQ45" s="478"/>
      <c r="SCR45" s="478"/>
      <c r="SCS45" s="478"/>
      <c r="SCT45" s="478"/>
      <c r="SCU45" s="478"/>
      <c r="SCV45" s="478"/>
      <c r="SCW45" s="478"/>
      <c r="SCX45" s="478"/>
      <c r="SCY45" s="478"/>
      <c r="SCZ45" s="478"/>
      <c r="SDA45" s="478"/>
      <c r="SDB45" s="478"/>
      <c r="SDC45" s="478"/>
      <c r="SDD45" s="478"/>
      <c r="SDE45" s="478"/>
      <c r="SDF45" s="478"/>
      <c r="SDG45" s="478"/>
      <c r="SDH45" s="478"/>
      <c r="SDI45" s="478"/>
      <c r="SDJ45" s="478"/>
      <c r="SDK45" s="478"/>
      <c r="SDL45" s="478"/>
      <c r="SDM45" s="478"/>
      <c r="SDN45" s="478"/>
      <c r="SDO45" s="478"/>
      <c r="SDP45" s="478"/>
      <c r="SDQ45" s="478"/>
      <c r="SDR45" s="478"/>
      <c r="SDS45" s="478"/>
      <c r="SDT45" s="478"/>
      <c r="SDU45" s="478"/>
      <c r="SDV45" s="478"/>
      <c r="SDW45" s="478"/>
      <c r="SDX45" s="478"/>
      <c r="SDY45" s="478"/>
      <c r="SDZ45" s="478"/>
      <c r="SEA45" s="478"/>
      <c r="SEB45" s="478"/>
      <c r="SEC45" s="478"/>
      <c r="SED45" s="478"/>
      <c r="SEE45" s="478"/>
      <c r="SEF45" s="478"/>
      <c r="SEG45" s="478"/>
      <c r="SEH45" s="478"/>
      <c r="SEI45" s="478"/>
      <c r="SEJ45" s="478"/>
      <c r="SEK45" s="478"/>
      <c r="SEL45" s="478"/>
      <c r="SEM45" s="478"/>
      <c r="SEN45" s="478"/>
      <c r="SEO45" s="478"/>
      <c r="SEP45" s="478"/>
      <c r="SEQ45" s="478"/>
      <c r="SER45" s="478"/>
      <c r="SES45" s="478"/>
      <c r="SET45" s="478"/>
      <c r="SEU45" s="478"/>
      <c r="SEV45" s="478"/>
      <c r="SEW45" s="478"/>
      <c r="SEX45" s="478"/>
      <c r="SEY45" s="478"/>
      <c r="SEZ45" s="478"/>
      <c r="SFA45" s="478"/>
      <c r="SFB45" s="478"/>
      <c r="SFC45" s="478"/>
      <c r="SFD45" s="478"/>
      <c r="SFE45" s="478"/>
      <c r="SFF45" s="478"/>
      <c r="SFG45" s="478"/>
      <c r="SFH45" s="478"/>
      <c r="SFI45" s="478"/>
      <c r="SFJ45" s="478"/>
      <c r="SFK45" s="478"/>
      <c r="SFL45" s="478"/>
      <c r="SFM45" s="478"/>
      <c r="SFN45" s="478"/>
      <c r="SFO45" s="478"/>
      <c r="SFP45" s="478"/>
      <c r="SFQ45" s="478"/>
      <c r="SFR45" s="478"/>
      <c r="SFS45" s="478"/>
      <c r="SFT45" s="478"/>
      <c r="SFU45" s="478"/>
      <c r="SFV45" s="478"/>
      <c r="SFW45" s="478"/>
      <c r="SFX45" s="478"/>
      <c r="SFY45" s="478"/>
      <c r="SFZ45" s="478"/>
      <c r="SGA45" s="478"/>
      <c r="SGB45" s="478"/>
      <c r="SGC45" s="478"/>
      <c r="SGD45" s="478"/>
      <c r="SGE45" s="478"/>
      <c r="SGF45" s="478"/>
      <c r="SGG45" s="478"/>
      <c r="SGH45" s="478"/>
      <c r="SGI45" s="478"/>
      <c r="SGJ45" s="478"/>
      <c r="SGK45" s="478"/>
      <c r="SGL45" s="478"/>
      <c r="SGM45" s="478"/>
      <c r="SGN45" s="478"/>
      <c r="SGO45" s="478"/>
      <c r="SGP45" s="478"/>
      <c r="SGQ45" s="478"/>
      <c r="SGR45" s="478"/>
      <c r="SGS45" s="478"/>
      <c r="SGT45" s="478"/>
      <c r="SGU45" s="478"/>
      <c r="SGV45" s="478"/>
      <c r="SGW45" s="478"/>
      <c r="SGX45" s="478"/>
      <c r="SGY45" s="478"/>
      <c r="SGZ45" s="478"/>
      <c r="SHA45" s="478"/>
      <c r="SHB45" s="478"/>
      <c r="SHC45" s="478"/>
      <c r="SHD45" s="478"/>
      <c r="SHE45" s="478"/>
      <c r="SHF45" s="478"/>
      <c r="SHG45" s="478"/>
      <c r="SHH45" s="478"/>
      <c r="SHI45" s="478"/>
      <c r="SHJ45" s="478"/>
      <c r="SHK45" s="478"/>
      <c r="SHL45" s="478"/>
      <c r="SHM45" s="478"/>
      <c r="SHN45" s="478"/>
      <c r="SHO45" s="478"/>
      <c r="SHP45" s="478"/>
      <c r="SHQ45" s="478"/>
      <c r="SHR45" s="478"/>
      <c r="SHS45" s="478"/>
      <c r="SHT45" s="478"/>
      <c r="SHU45" s="478"/>
      <c r="SHV45" s="478"/>
      <c r="SHW45" s="478"/>
      <c r="SHX45" s="478"/>
      <c r="SHY45" s="478"/>
      <c r="SHZ45" s="478"/>
      <c r="SIA45" s="478"/>
      <c r="SIB45" s="478"/>
      <c r="SIC45" s="478"/>
      <c r="SID45" s="478"/>
      <c r="SIE45" s="478"/>
      <c r="SIF45" s="478"/>
      <c r="SIG45" s="478"/>
      <c r="SIH45" s="478"/>
      <c r="SII45" s="478"/>
      <c r="SIJ45" s="478"/>
      <c r="SIK45" s="478"/>
      <c r="SIL45" s="478"/>
      <c r="SIM45" s="478"/>
      <c r="SIN45" s="478"/>
      <c r="SIO45" s="478"/>
      <c r="SIP45" s="478"/>
      <c r="SIQ45" s="478"/>
      <c r="SIR45" s="478"/>
      <c r="SIS45" s="478"/>
      <c r="SIT45" s="478"/>
      <c r="SIU45" s="478"/>
      <c r="SIV45" s="478"/>
      <c r="SIW45" s="478"/>
      <c r="SIX45" s="478"/>
      <c r="SIY45" s="478"/>
      <c r="SIZ45" s="478"/>
      <c r="SJA45" s="478"/>
      <c r="SJB45" s="478"/>
      <c r="SJC45" s="478"/>
      <c r="SJD45" s="478"/>
      <c r="SJE45" s="478"/>
      <c r="SJF45" s="478"/>
      <c r="SJG45" s="478"/>
      <c r="SJH45" s="478"/>
      <c r="SJI45" s="478"/>
      <c r="SJJ45" s="478"/>
      <c r="SJK45" s="478"/>
      <c r="SJL45" s="478"/>
      <c r="SJM45" s="478"/>
      <c r="SJN45" s="478"/>
      <c r="SJO45" s="478"/>
      <c r="SJP45" s="478"/>
      <c r="SJQ45" s="478"/>
      <c r="SJR45" s="478"/>
      <c r="SJS45" s="478"/>
      <c r="SJT45" s="478"/>
      <c r="SJU45" s="478"/>
      <c r="SJV45" s="478"/>
      <c r="SJW45" s="478"/>
      <c r="SJX45" s="478"/>
      <c r="SJY45" s="478"/>
      <c r="SJZ45" s="478"/>
      <c r="SKA45" s="478"/>
      <c r="SKB45" s="478"/>
      <c r="SKC45" s="478"/>
      <c r="SKD45" s="478"/>
      <c r="SKE45" s="478"/>
      <c r="SKF45" s="478"/>
      <c r="SKG45" s="478"/>
      <c r="SKH45" s="478"/>
      <c r="SKI45" s="478"/>
      <c r="SKJ45" s="478"/>
      <c r="SKK45" s="478"/>
      <c r="SKL45" s="478"/>
      <c r="SKM45" s="478"/>
      <c r="SKN45" s="478"/>
      <c r="SKO45" s="478"/>
      <c r="SKP45" s="478"/>
      <c r="SKQ45" s="478"/>
      <c r="SKR45" s="478"/>
      <c r="SKS45" s="478"/>
      <c r="SKT45" s="478"/>
      <c r="SKU45" s="478"/>
      <c r="SKV45" s="478"/>
      <c r="SKW45" s="478"/>
      <c r="SKX45" s="478"/>
      <c r="SKY45" s="478"/>
      <c r="SKZ45" s="478"/>
      <c r="SLA45" s="478"/>
      <c r="SLB45" s="478"/>
      <c r="SLC45" s="478"/>
      <c r="SLD45" s="478"/>
      <c r="SLE45" s="478"/>
      <c r="SLF45" s="478"/>
      <c r="SLG45" s="478"/>
      <c r="SLH45" s="478"/>
      <c r="SLI45" s="478"/>
      <c r="SLJ45" s="478"/>
      <c r="SLK45" s="478"/>
      <c r="SLL45" s="478"/>
      <c r="SLM45" s="478"/>
      <c r="SLN45" s="478"/>
      <c r="SLO45" s="478"/>
      <c r="SLP45" s="478"/>
      <c r="SLQ45" s="478"/>
      <c r="SLR45" s="478"/>
      <c r="SLS45" s="478"/>
      <c r="SLT45" s="478"/>
      <c r="SLU45" s="478"/>
      <c r="SLV45" s="478"/>
      <c r="SLW45" s="478"/>
      <c r="SLX45" s="478"/>
      <c r="SLY45" s="478"/>
      <c r="SLZ45" s="478"/>
      <c r="SMA45" s="478"/>
      <c r="SMB45" s="478"/>
      <c r="SMC45" s="478"/>
      <c r="SMD45" s="478"/>
      <c r="SME45" s="478"/>
      <c r="SMF45" s="478"/>
      <c r="SMG45" s="478"/>
      <c r="SMH45" s="478"/>
      <c r="SMI45" s="478"/>
      <c r="SMJ45" s="478"/>
      <c r="SMK45" s="478"/>
      <c r="SML45" s="478"/>
      <c r="SMM45" s="478"/>
      <c r="SMN45" s="478"/>
      <c r="SMO45" s="478"/>
      <c r="SMP45" s="478"/>
      <c r="SMQ45" s="478"/>
      <c r="SMR45" s="478"/>
      <c r="SMS45" s="478"/>
      <c r="SMT45" s="478"/>
      <c r="SMU45" s="478"/>
      <c r="SMV45" s="478"/>
      <c r="SMW45" s="478"/>
      <c r="SMX45" s="478"/>
      <c r="SMY45" s="478"/>
      <c r="SMZ45" s="478"/>
      <c r="SNA45" s="478"/>
      <c r="SNB45" s="478"/>
      <c r="SNC45" s="478"/>
      <c r="SND45" s="478"/>
      <c r="SNE45" s="478"/>
      <c r="SNF45" s="478"/>
      <c r="SNG45" s="478"/>
      <c r="SNH45" s="478"/>
      <c r="SNI45" s="478"/>
      <c r="SNJ45" s="478"/>
      <c r="SNK45" s="478"/>
      <c r="SNL45" s="478"/>
      <c r="SNM45" s="478"/>
      <c r="SNN45" s="478"/>
      <c r="SNO45" s="478"/>
      <c r="SNP45" s="478"/>
      <c r="SNQ45" s="478"/>
      <c r="SNR45" s="478"/>
      <c r="SNS45" s="478"/>
      <c r="SNT45" s="478"/>
      <c r="SNU45" s="478"/>
      <c r="SNV45" s="478"/>
      <c r="SNW45" s="478"/>
      <c r="SNX45" s="478"/>
      <c r="SNY45" s="478"/>
      <c r="SNZ45" s="478"/>
      <c r="SOA45" s="478"/>
      <c r="SOB45" s="478"/>
      <c r="SOC45" s="478"/>
      <c r="SOD45" s="478"/>
      <c r="SOE45" s="478"/>
      <c r="SOF45" s="478"/>
      <c r="SOG45" s="478"/>
      <c r="SOH45" s="478"/>
      <c r="SOI45" s="478"/>
      <c r="SOJ45" s="478"/>
      <c r="SOK45" s="478"/>
      <c r="SOL45" s="478"/>
      <c r="SOM45" s="478"/>
      <c r="SON45" s="478"/>
      <c r="SOO45" s="478"/>
      <c r="SOP45" s="478"/>
      <c r="SOQ45" s="478"/>
      <c r="SOR45" s="478"/>
      <c r="SOS45" s="478"/>
      <c r="SOT45" s="478"/>
      <c r="SOU45" s="478"/>
      <c r="SOV45" s="478"/>
      <c r="SOW45" s="478"/>
      <c r="SOX45" s="478"/>
      <c r="SOY45" s="478"/>
      <c r="SOZ45" s="478"/>
      <c r="SPA45" s="478"/>
      <c r="SPB45" s="478"/>
      <c r="SPC45" s="478"/>
      <c r="SPD45" s="478"/>
      <c r="SPE45" s="478"/>
      <c r="SPF45" s="478"/>
      <c r="SPG45" s="478"/>
      <c r="SPH45" s="478"/>
      <c r="SPI45" s="478"/>
      <c r="SPJ45" s="478"/>
      <c r="SPK45" s="478"/>
      <c r="SPL45" s="478"/>
      <c r="SPM45" s="478"/>
      <c r="SPN45" s="478"/>
      <c r="SPO45" s="478"/>
      <c r="SPP45" s="478"/>
      <c r="SPQ45" s="478"/>
      <c r="SPR45" s="478"/>
      <c r="SPS45" s="478"/>
      <c r="SPT45" s="478"/>
      <c r="SPU45" s="478"/>
      <c r="SPV45" s="478"/>
      <c r="SPW45" s="478"/>
      <c r="SPX45" s="478"/>
      <c r="SPY45" s="478"/>
      <c r="SPZ45" s="478"/>
      <c r="SQA45" s="478"/>
      <c r="SQB45" s="478"/>
      <c r="SQC45" s="478"/>
      <c r="SQD45" s="478"/>
      <c r="SQE45" s="478"/>
      <c r="SQF45" s="478"/>
      <c r="SQG45" s="478"/>
      <c r="SQH45" s="478"/>
      <c r="SQI45" s="478"/>
      <c r="SQJ45" s="478"/>
      <c r="SQK45" s="478"/>
      <c r="SQL45" s="478"/>
      <c r="SQM45" s="478"/>
      <c r="SQN45" s="478"/>
      <c r="SQO45" s="478"/>
      <c r="SQP45" s="478"/>
      <c r="SQQ45" s="478"/>
      <c r="SQR45" s="478"/>
      <c r="SQS45" s="478"/>
      <c r="SQT45" s="478"/>
      <c r="SQU45" s="478"/>
      <c r="SQV45" s="478"/>
      <c r="SQW45" s="478"/>
      <c r="SQX45" s="478"/>
      <c r="SQY45" s="478"/>
      <c r="SQZ45" s="478"/>
      <c r="SRA45" s="478"/>
      <c r="SRB45" s="478"/>
      <c r="SRC45" s="478"/>
      <c r="SRD45" s="478"/>
      <c r="SRE45" s="478"/>
      <c r="SRF45" s="478"/>
      <c r="SRG45" s="478"/>
      <c r="SRH45" s="478"/>
      <c r="SRI45" s="478"/>
      <c r="SRJ45" s="478"/>
      <c r="SRK45" s="478"/>
      <c r="SRL45" s="478"/>
      <c r="SRM45" s="478"/>
      <c r="SRN45" s="478"/>
      <c r="SRO45" s="478"/>
      <c r="SRP45" s="478"/>
      <c r="SRQ45" s="478"/>
      <c r="SRR45" s="478"/>
      <c r="SRS45" s="478"/>
      <c r="SRT45" s="478"/>
      <c r="SRU45" s="478"/>
      <c r="SRV45" s="478"/>
      <c r="SRW45" s="478"/>
      <c r="SRX45" s="478"/>
      <c r="SRY45" s="478"/>
      <c r="SRZ45" s="478"/>
      <c r="SSA45" s="478"/>
      <c r="SSB45" s="478"/>
      <c r="SSC45" s="478"/>
      <c r="SSD45" s="478"/>
      <c r="SSE45" s="478"/>
      <c r="SSF45" s="478"/>
      <c r="SSG45" s="478"/>
      <c r="SSH45" s="478"/>
      <c r="SSI45" s="478"/>
      <c r="SSJ45" s="478"/>
      <c r="SSK45" s="478"/>
      <c r="SSL45" s="478"/>
      <c r="SSM45" s="478"/>
      <c r="SSN45" s="478"/>
      <c r="SSO45" s="478"/>
      <c r="SSP45" s="478"/>
      <c r="SSQ45" s="478"/>
      <c r="SSR45" s="478"/>
      <c r="SSS45" s="478"/>
      <c r="SST45" s="478"/>
      <c r="SSU45" s="478"/>
      <c r="SSV45" s="478"/>
      <c r="SSW45" s="478"/>
      <c r="SSX45" s="478"/>
      <c r="SSY45" s="478"/>
      <c r="SSZ45" s="478"/>
      <c r="STA45" s="478"/>
      <c r="STB45" s="478"/>
      <c r="STC45" s="478"/>
      <c r="STD45" s="478"/>
      <c r="STE45" s="478"/>
      <c r="STF45" s="478"/>
      <c r="STG45" s="478"/>
      <c r="STH45" s="478"/>
      <c r="STI45" s="478"/>
      <c r="STJ45" s="478"/>
      <c r="STK45" s="478"/>
      <c r="STL45" s="478"/>
      <c r="STM45" s="478"/>
      <c r="STN45" s="478"/>
      <c r="STO45" s="478"/>
      <c r="STP45" s="478"/>
      <c r="STQ45" s="478"/>
      <c r="STR45" s="478"/>
      <c r="STS45" s="478"/>
      <c r="STT45" s="478"/>
      <c r="STU45" s="478"/>
      <c r="STV45" s="478"/>
      <c r="STW45" s="478"/>
      <c r="STX45" s="478"/>
      <c r="STY45" s="478"/>
      <c r="STZ45" s="478"/>
      <c r="SUA45" s="478"/>
      <c r="SUB45" s="478"/>
      <c r="SUC45" s="478"/>
      <c r="SUD45" s="478"/>
      <c r="SUE45" s="478"/>
      <c r="SUF45" s="478"/>
      <c r="SUG45" s="478"/>
      <c r="SUH45" s="478"/>
      <c r="SUI45" s="478"/>
      <c r="SUJ45" s="478"/>
      <c r="SUK45" s="478"/>
      <c r="SUL45" s="478"/>
      <c r="SUM45" s="478"/>
      <c r="SUN45" s="478"/>
      <c r="SUO45" s="478"/>
      <c r="SUP45" s="478"/>
      <c r="SUQ45" s="478"/>
      <c r="SUR45" s="478"/>
      <c r="SUS45" s="478"/>
      <c r="SUT45" s="478"/>
      <c r="SUU45" s="478"/>
      <c r="SUV45" s="478"/>
      <c r="SUW45" s="478"/>
      <c r="SUX45" s="478"/>
      <c r="SUY45" s="478"/>
      <c r="SUZ45" s="478"/>
      <c r="SVA45" s="478"/>
      <c r="SVB45" s="478"/>
      <c r="SVC45" s="478"/>
      <c r="SVD45" s="478"/>
      <c r="SVE45" s="478"/>
      <c r="SVF45" s="478"/>
      <c r="SVG45" s="478"/>
      <c r="SVH45" s="478"/>
      <c r="SVI45" s="478"/>
      <c r="SVJ45" s="478"/>
      <c r="SVK45" s="478"/>
      <c r="SVL45" s="478"/>
      <c r="SVM45" s="478"/>
      <c r="SVN45" s="478"/>
      <c r="SVO45" s="478"/>
      <c r="SVP45" s="478"/>
      <c r="SVQ45" s="478"/>
      <c r="SVR45" s="478"/>
      <c r="SVS45" s="478"/>
      <c r="SVT45" s="478"/>
      <c r="SVU45" s="478"/>
      <c r="SVV45" s="478"/>
      <c r="SVW45" s="478"/>
      <c r="SVX45" s="478"/>
      <c r="SVY45" s="478"/>
      <c r="SVZ45" s="478"/>
      <c r="SWA45" s="478"/>
      <c r="SWB45" s="478"/>
      <c r="SWC45" s="478"/>
      <c r="SWD45" s="478"/>
      <c r="SWE45" s="478"/>
      <c r="SWF45" s="478"/>
      <c r="SWG45" s="478"/>
      <c r="SWH45" s="478"/>
      <c r="SWI45" s="478"/>
      <c r="SWJ45" s="478"/>
      <c r="SWK45" s="478"/>
      <c r="SWL45" s="478"/>
      <c r="SWM45" s="478"/>
      <c r="SWN45" s="478"/>
      <c r="SWO45" s="478"/>
      <c r="SWP45" s="478"/>
      <c r="SWQ45" s="478"/>
      <c r="SWR45" s="478"/>
      <c r="SWS45" s="478"/>
      <c r="SWT45" s="478"/>
      <c r="SWU45" s="478"/>
      <c r="SWV45" s="478"/>
      <c r="SWW45" s="478"/>
      <c r="SWX45" s="478"/>
      <c r="SWY45" s="478"/>
      <c r="SWZ45" s="478"/>
      <c r="SXA45" s="478"/>
      <c r="SXB45" s="478"/>
      <c r="SXC45" s="478"/>
      <c r="SXD45" s="478"/>
      <c r="SXE45" s="478"/>
      <c r="SXF45" s="478"/>
      <c r="SXG45" s="478"/>
      <c r="SXH45" s="478"/>
      <c r="SXI45" s="478"/>
      <c r="SXJ45" s="478"/>
      <c r="SXK45" s="478"/>
      <c r="SXL45" s="478"/>
      <c r="SXM45" s="478"/>
      <c r="SXN45" s="478"/>
      <c r="SXO45" s="478"/>
      <c r="SXP45" s="478"/>
      <c r="SXQ45" s="478"/>
      <c r="SXR45" s="478"/>
      <c r="SXS45" s="478"/>
      <c r="SXT45" s="478"/>
      <c r="SXU45" s="478"/>
      <c r="SXV45" s="478"/>
      <c r="SXW45" s="478"/>
      <c r="SXX45" s="478"/>
      <c r="SXY45" s="478"/>
      <c r="SXZ45" s="478"/>
      <c r="SYA45" s="478"/>
      <c r="SYB45" s="478"/>
      <c r="SYC45" s="478"/>
      <c r="SYD45" s="478"/>
      <c r="SYE45" s="478"/>
      <c r="SYF45" s="478"/>
      <c r="SYG45" s="478"/>
      <c r="SYH45" s="478"/>
      <c r="SYI45" s="478"/>
      <c r="SYJ45" s="478"/>
      <c r="SYK45" s="478"/>
      <c r="SYL45" s="478"/>
      <c r="SYM45" s="478"/>
      <c r="SYN45" s="478"/>
      <c r="SYO45" s="478"/>
      <c r="SYP45" s="478"/>
      <c r="SYQ45" s="478"/>
      <c r="SYR45" s="478"/>
      <c r="SYS45" s="478"/>
      <c r="SYT45" s="478"/>
      <c r="SYU45" s="478"/>
      <c r="SYV45" s="478"/>
      <c r="SYW45" s="478"/>
      <c r="SYX45" s="478"/>
      <c r="SYY45" s="478"/>
      <c r="SYZ45" s="478"/>
      <c r="SZA45" s="478"/>
      <c r="SZB45" s="478"/>
      <c r="SZC45" s="478"/>
      <c r="SZD45" s="478"/>
      <c r="SZE45" s="478"/>
      <c r="SZF45" s="478"/>
      <c r="SZG45" s="478"/>
      <c r="SZH45" s="478"/>
      <c r="SZI45" s="478"/>
      <c r="SZJ45" s="478"/>
      <c r="SZK45" s="478"/>
      <c r="SZL45" s="478"/>
      <c r="SZM45" s="478"/>
      <c r="SZN45" s="478"/>
      <c r="SZO45" s="478"/>
      <c r="SZP45" s="478"/>
      <c r="SZQ45" s="478"/>
      <c r="SZR45" s="478"/>
      <c r="SZS45" s="478"/>
      <c r="SZT45" s="478"/>
      <c r="SZU45" s="478"/>
      <c r="SZV45" s="478"/>
      <c r="SZW45" s="478"/>
      <c r="SZX45" s="478"/>
      <c r="SZY45" s="478"/>
      <c r="SZZ45" s="478"/>
      <c r="TAA45" s="478"/>
      <c r="TAB45" s="478"/>
      <c r="TAC45" s="478"/>
      <c r="TAD45" s="478"/>
      <c r="TAE45" s="478"/>
      <c r="TAF45" s="478"/>
      <c r="TAG45" s="478"/>
      <c r="TAH45" s="478"/>
      <c r="TAI45" s="478"/>
      <c r="TAJ45" s="478"/>
      <c r="TAK45" s="478"/>
      <c r="TAL45" s="478"/>
      <c r="TAM45" s="478"/>
      <c r="TAN45" s="478"/>
      <c r="TAO45" s="478"/>
      <c r="TAP45" s="478"/>
      <c r="TAQ45" s="478"/>
      <c r="TAR45" s="478"/>
      <c r="TAS45" s="478"/>
      <c r="TAT45" s="478"/>
      <c r="TAU45" s="478"/>
      <c r="TAV45" s="478"/>
      <c r="TAW45" s="478"/>
      <c r="TAX45" s="478"/>
      <c r="TAY45" s="478"/>
      <c r="TAZ45" s="478"/>
      <c r="TBA45" s="478"/>
      <c r="TBB45" s="478"/>
      <c r="TBC45" s="478"/>
      <c r="TBD45" s="478"/>
      <c r="TBE45" s="478"/>
      <c r="TBF45" s="478"/>
      <c r="TBG45" s="478"/>
      <c r="TBH45" s="478"/>
      <c r="TBI45" s="478"/>
      <c r="TBJ45" s="478"/>
      <c r="TBK45" s="478"/>
      <c r="TBL45" s="478"/>
      <c r="TBM45" s="478"/>
      <c r="TBN45" s="478"/>
      <c r="TBO45" s="478"/>
      <c r="TBP45" s="478"/>
      <c r="TBQ45" s="478"/>
      <c r="TBR45" s="478"/>
      <c r="TBS45" s="478"/>
      <c r="TBT45" s="478"/>
      <c r="TBU45" s="478"/>
      <c r="TBV45" s="478"/>
      <c r="TBW45" s="478"/>
      <c r="TBX45" s="478"/>
      <c r="TBY45" s="478"/>
      <c r="TBZ45" s="478"/>
      <c r="TCA45" s="478"/>
      <c r="TCB45" s="478"/>
      <c r="TCC45" s="478"/>
      <c r="TCD45" s="478"/>
      <c r="TCE45" s="478"/>
      <c r="TCF45" s="478"/>
      <c r="TCG45" s="478"/>
      <c r="TCH45" s="478"/>
      <c r="TCI45" s="478"/>
      <c r="TCJ45" s="478"/>
      <c r="TCK45" s="478"/>
      <c r="TCL45" s="478"/>
      <c r="TCM45" s="478"/>
      <c r="TCN45" s="478"/>
      <c r="TCO45" s="478"/>
      <c r="TCP45" s="478"/>
      <c r="TCQ45" s="478"/>
      <c r="TCR45" s="478"/>
      <c r="TCS45" s="478"/>
      <c r="TCT45" s="478"/>
      <c r="TCU45" s="478"/>
      <c r="TCV45" s="478"/>
      <c r="TCW45" s="478"/>
      <c r="TCX45" s="478"/>
      <c r="TCY45" s="478"/>
      <c r="TCZ45" s="478"/>
      <c r="TDA45" s="478"/>
      <c r="TDB45" s="478"/>
      <c r="TDC45" s="478"/>
      <c r="TDD45" s="478"/>
      <c r="TDE45" s="478"/>
      <c r="TDF45" s="478"/>
      <c r="TDG45" s="478"/>
      <c r="TDH45" s="478"/>
      <c r="TDI45" s="478"/>
      <c r="TDJ45" s="478"/>
      <c r="TDK45" s="478"/>
      <c r="TDL45" s="478"/>
      <c r="TDM45" s="478"/>
      <c r="TDN45" s="478"/>
      <c r="TDO45" s="478"/>
      <c r="TDP45" s="478"/>
      <c r="TDQ45" s="478"/>
      <c r="TDR45" s="478"/>
      <c r="TDS45" s="478"/>
      <c r="TDT45" s="478"/>
      <c r="TDU45" s="478"/>
      <c r="TDV45" s="478"/>
      <c r="TDW45" s="478"/>
      <c r="TDX45" s="478"/>
      <c r="TDY45" s="478"/>
      <c r="TDZ45" s="478"/>
      <c r="TEA45" s="478"/>
      <c r="TEB45" s="478"/>
      <c r="TEC45" s="478"/>
      <c r="TED45" s="478"/>
      <c r="TEE45" s="478"/>
      <c r="TEF45" s="478"/>
      <c r="TEG45" s="478"/>
      <c r="TEH45" s="478"/>
      <c r="TEI45" s="478"/>
      <c r="TEJ45" s="478"/>
      <c r="TEK45" s="478"/>
      <c r="TEL45" s="478"/>
      <c r="TEM45" s="478"/>
      <c r="TEN45" s="478"/>
      <c r="TEO45" s="478"/>
      <c r="TEP45" s="478"/>
      <c r="TEQ45" s="478"/>
      <c r="TER45" s="478"/>
      <c r="TES45" s="478"/>
      <c r="TET45" s="478"/>
      <c r="TEU45" s="478"/>
      <c r="TEV45" s="478"/>
      <c r="TEW45" s="478"/>
      <c r="TEX45" s="478"/>
      <c r="TEY45" s="478"/>
      <c r="TEZ45" s="478"/>
      <c r="TFA45" s="478"/>
      <c r="TFB45" s="478"/>
      <c r="TFC45" s="478"/>
      <c r="TFD45" s="478"/>
      <c r="TFE45" s="478"/>
      <c r="TFF45" s="478"/>
      <c r="TFG45" s="478"/>
      <c r="TFH45" s="478"/>
      <c r="TFI45" s="478"/>
      <c r="TFJ45" s="478"/>
      <c r="TFK45" s="478"/>
      <c r="TFL45" s="478"/>
      <c r="TFM45" s="478"/>
      <c r="TFN45" s="478"/>
      <c r="TFO45" s="478"/>
      <c r="TFP45" s="478"/>
      <c r="TFQ45" s="478"/>
      <c r="TFR45" s="478"/>
      <c r="TFS45" s="478"/>
      <c r="TFT45" s="478"/>
      <c r="TFU45" s="478"/>
      <c r="TFV45" s="478"/>
      <c r="TFW45" s="478"/>
      <c r="TFX45" s="478"/>
      <c r="TFY45" s="478"/>
      <c r="TFZ45" s="478"/>
      <c r="TGA45" s="478"/>
      <c r="TGB45" s="478"/>
      <c r="TGC45" s="478"/>
      <c r="TGD45" s="478"/>
      <c r="TGE45" s="478"/>
      <c r="TGF45" s="478"/>
      <c r="TGG45" s="478"/>
      <c r="TGH45" s="478"/>
      <c r="TGI45" s="478"/>
      <c r="TGJ45" s="478"/>
      <c r="TGK45" s="478"/>
      <c r="TGL45" s="478"/>
      <c r="TGM45" s="478"/>
      <c r="TGN45" s="478"/>
      <c r="TGO45" s="478"/>
      <c r="TGP45" s="478"/>
      <c r="TGQ45" s="478"/>
      <c r="TGR45" s="478"/>
      <c r="TGS45" s="478"/>
      <c r="TGT45" s="478"/>
      <c r="TGU45" s="478"/>
      <c r="TGV45" s="478"/>
      <c r="TGW45" s="478"/>
      <c r="TGX45" s="478"/>
      <c r="TGY45" s="478"/>
      <c r="TGZ45" s="478"/>
      <c r="THA45" s="478"/>
      <c r="THB45" s="478"/>
      <c r="THC45" s="478"/>
      <c r="THD45" s="478"/>
      <c r="THE45" s="478"/>
      <c r="THF45" s="478"/>
      <c r="THG45" s="478"/>
      <c r="THH45" s="478"/>
      <c r="THI45" s="478"/>
      <c r="THJ45" s="478"/>
      <c r="THK45" s="478"/>
      <c r="THL45" s="478"/>
      <c r="THM45" s="478"/>
      <c r="THN45" s="478"/>
      <c r="THO45" s="478"/>
      <c r="THP45" s="478"/>
      <c r="THQ45" s="478"/>
      <c r="THR45" s="478"/>
      <c r="THS45" s="478"/>
      <c r="THT45" s="478"/>
      <c r="THU45" s="478"/>
      <c r="THV45" s="478"/>
      <c r="THW45" s="478"/>
      <c r="THX45" s="478"/>
      <c r="THY45" s="478"/>
      <c r="THZ45" s="478"/>
      <c r="TIA45" s="478"/>
      <c r="TIB45" s="478"/>
      <c r="TIC45" s="478"/>
      <c r="TID45" s="478"/>
      <c r="TIE45" s="478"/>
      <c r="TIF45" s="478"/>
      <c r="TIG45" s="478"/>
      <c r="TIH45" s="478"/>
      <c r="TII45" s="478"/>
      <c r="TIJ45" s="478"/>
      <c r="TIK45" s="478"/>
      <c r="TIL45" s="478"/>
      <c r="TIM45" s="478"/>
      <c r="TIN45" s="478"/>
      <c r="TIO45" s="478"/>
      <c r="TIP45" s="478"/>
      <c r="TIQ45" s="478"/>
      <c r="TIR45" s="478"/>
      <c r="TIS45" s="478"/>
      <c r="TIT45" s="478"/>
      <c r="TIU45" s="478"/>
      <c r="TIV45" s="478"/>
      <c r="TIW45" s="478"/>
      <c r="TIX45" s="478"/>
      <c r="TIY45" s="478"/>
      <c r="TIZ45" s="478"/>
      <c r="TJA45" s="478"/>
      <c r="TJB45" s="478"/>
      <c r="TJC45" s="478"/>
      <c r="TJD45" s="478"/>
      <c r="TJE45" s="478"/>
      <c r="TJF45" s="478"/>
      <c r="TJG45" s="478"/>
      <c r="TJH45" s="478"/>
      <c r="TJI45" s="478"/>
      <c r="TJJ45" s="478"/>
      <c r="TJK45" s="478"/>
      <c r="TJL45" s="478"/>
      <c r="TJM45" s="478"/>
      <c r="TJN45" s="478"/>
      <c r="TJO45" s="478"/>
      <c r="TJP45" s="478"/>
      <c r="TJQ45" s="478"/>
      <c r="TJR45" s="478"/>
      <c r="TJS45" s="478"/>
      <c r="TJT45" s="478"/>
      <c r="TJU45" s="478"/>
      <c r="TJV45" s="478"/>
      <c r="TJW45" s="478"/>
      <c r="TJX45" s="478"/>
      <c r="TJY45" s="478"/>
      <c r="TJZ45" s="478"/>
      <c r="TKA45" s="478"/>
      <c r="TKB45" s="478"/>
      <c r="TKC45" s="478"/>
      <c r="TKD45" s="478"/>
      <c r="TKE45" s="478"/>
      <c r="TKF45" s="478"/>
      <c r="TKG45" s="478"/>
      <c r="TKH45" s="478"/>
      <c r="TKI45" s="478"/>
      <c r="TKJ45" s="478"/>
      <c r="TKK45" s="478"/>
      <c r="TKL45" s="478"/>
      <c r="TKM45" s="478"/>
      <c r="TKN45" s="478"/>
      <c r="TKO45" s="478"/>
      <c r="TKP45" s="478"/>
      <c r="TKQ45" s="478"/>
      <c r="TKR45" s="478"/>
      <c r="TKS45" s="478"/>
      <c r="TKT45" s="478"/>
      <c r="TKU45" s="478"/>
      <c r="TKV45" s="478"/>
      <c r="TKW45" s="478"/>
      <c r="TKX45" s="478"/>
      <c r="TKY45" s="478"/>
      <c r="TKZ45" s="478"/>
      <c r="TLA45" s="478"/>
      <c r="TLB45" s="478"/>
      <c r="TLC45" s="478"/>
      <c r="TLD45" s="478"/>
      <c r="TLE45" s="478"/>
      <c r="TLF45" s="478"/>
      <c r="TLG45" s="478"/>
      <c r="TLH45" s="478"/>
      <c r="TLI45" s="478"/>
      <c r="TLJ45" s="478"/>
      <c r="TLK45" s="478"/>
      <c r="TLL45" s="478"/>
      <c r="TLM45" s="478"/>
      <c r="TLN45" s="478"/>
      <c r="TLO45" s="478"/>
      <c r="TLP45" s="478"/>
      <c r="TLQ45" s="478"/>
      <c r="TLR45" s="478"/>
      <c r="TLS45" s="478"/>
      <c r="TLT45" s="478"/>
      <c r="TLU45" s="478"/>
      <c r="TLV45" s="478"/>
      <c r="TLW45" s="478"/>
      <c r="TLX45" s="478"/>
      <c r="TLY45" s="478"/>
      <c r="TLZ45" s="478"/>
      <c r="TMA45" s="478"/>
      <c r="TMB45" s="478"/>
      <c r="TMC45" s="478"/>
      <c r="TMD45" s="478"/>
      <c r="TME45" s="478"/>
      <c r="TMF45" s="478"/>
      <c r="TMG45" s="478"/>
      <c r="TMH45" s="478"/>
      <c r="TMI45" s="478"/>
      <c r="TMJ45" s="478"/>
      <c r="TMK45" s="478"/>
      <c r="TML45" s="478"/>
      <c r="TMM45" s="478"/>
      <c r="TMN45" s="478"/>
      <c r="TMO45" s="478"/>
      <c r="TMP45" s="478"/>
      <c r="TMQ45" s="478"/>
      <c r="TMR45" s="478"/>
      <c r="TMS45" s="478"/>
      <c r="TMT45" s="478"/>
      <c r="TMU45" s="478"/>
      <c r="TMV45" s="478"/>
      <c r="TMW45" s="478"/>
      <c r="TMX45" s="478"/>
      <c r="TMY45" s="478"/>
      <c r="TMZ45" s="478"/>
      <c r="TNA45" s="478"/>
      <c r="TNB45" s="478"/>
      <c r="TNC45" s="478"/>
      <c r="TND45" s="478"/>
      <c r="TNE45" s="478"/>
      <c r="TNF45" s="478"/>
      <c r="TNG45" s="478"/>
      <c r="TNH45" s="478"/>
      <c r="TNI45" s="478"/>
      <c r="TNJ45" s="478"/>
      <c r="TNK45" s="478"/>
      <c r="TNL45" s="478"/>
      <c r="TNM45" s="478"/>
      <c r="TNN45" s="478"/>
      <c r="TNO45" s="478"/>
      <c r="TNP45" s="478"/>
      <c r="TNQ45" s="478"/>
      <c r="TNR45" s="478"/>
      <c r="TNS45" s="478"/>
      <c r="TNT45" s="478"/>
      <c r="TNU45" s="478"/>
      <c r="TNV45" s="478"/>
      <c r="TNW45" s="478"/>
      <c r="TNX45" s="478"/>
      <c r="TNY45" s="478"/>
      <c r="TNZ45" s="478"/>
      <c r="TOA45" s="478"/>
      <c r="TOB45" s="478"/>
      <c r="TOC45" s="478"/>
      <c r="TOD45" s="478"/>
      <c r="TOE45" s="478"/>
      <c r="TOF45" s="478"/>
      <c r="TOG45" s="478"/>
      <c r="TOH45" s="478"/>
      <c r="TOI45" s="478"/>
      <c r="TOJ45" s="478"/>
      <c r="TOK45" s="478"/>
      <c r="TOL45" s="478"/>
      <c r="TOM45" s="478"/>
      <c r="TON45" s="478"/>
      <c r="TOO45" s="478"/>
      <c r="TOP45" s="478"/>
      <c r="TOQ45" s="478"/>
      <c r="TOR45" s="478"/>
      <c r="TOS45" s="478"/>
      <c r="TOT45" s="478"/>
      <c r="TOU45" s="478"/>
      <c r="TOV45" s="478"/>
      <c r="TOW45" s="478"/>
      <c r="TOX45" s="478"/>
      <c r="TOY45" s="478"/>
      <c r="TOZ45" s="478"/>
      <c r="TPA45" s="478"/>
      <c r="TPB45" s="478"/>
      <c r="TPC45" s="478"/>
      <c r="TPD45" s="478"/>
      <c r="TPE45" s="478"/>
      <c r="TPF45" s="478"/>
      <c r="TPG45" s="478"/>
      <c r="TPH45" s="478"/>
      <c r="TPI45" s="478"/>
      <c r="TPJ45" s="478"/>
      <c r="TPK45" s="478"/>
      <c r="TPL45" s="478"/>
      <c r="TPM45" s="478"/>
      <c r="TPN45" s="478"/>
      <c r="TPO45" s="478"/>
      <c r="TPP45" s="478"/>
      <c r="TPQ45" s="478"/>
      <c r="TPR45" s="478"/>
      <c r="TPS45" s="478"/>
      <c r="TPT45" s="478"/>
      <c r="TPU45" s="478"/>
      <c r="TPV45" s="478"/>
      <c r="TPW45" s="478"/>
      <c r="TPX45" s="478"/>
      <c r="TPY45" s="478"/>
      <c r="TPZ45" s="478"/>
      <c r="TQA45" s="478"/>
      <c r="TQB45" s="478"/>
      <c r="TQC45" s="478"/>
      <c r="TQD45" s="478"/>
      <c r="TQE45" s="478"/>
      <c r="TQF45" s="478"/>
      <c r="TQG45" s="478"/>
      <c r="TQH45" s="478"/>
      <c r="TQI45" s="478"/>
      <c r="TQJ45" s="478"/>
      <c r="TQK45" s="478"/>
      <c r="TQL45" s="478"/>
      <c r="TQM45" s="478"/>
      <c r="TQN45" s="478"/>
      <c r="TQO45" s="478"/>
      <c r="TQP45" s="478"/>
      <c r="TQQ45" s="478"/>
      <c r="TQR45" s="478"/>
      <c r="TQS45" s="478"/>
      <c r="TQT45" s="478"/>
      <c r="TQU45" s="478"/>
      <c r="TQV45" s="478"/>
      <c r="TQW45" s="478"/>
      <c r="TQX45" s="478"/>
      <c r="TQY45" s="478"/>
      <c r="TQZ45" s="478"/>
      <c r="TRA45" s="478"/>
      <c r="TRB45" s="478"/>
      <c r="TRC45" s="478"/>
      <c r="TRD45" s="478"/>
      <c r="TRE45" s="478"/>
      <c r="TRF45" s="478"/>
      <c r="TRG45" s="478"/>
      <c r="TRH45" s="478"/>
      <c r="TRI45" s="478"/>
      <c r="TRJ45" s="478"/>
      <c r="TRK45" s="478"/>
      <c r="TRL45" s="478"/>
      <c r="TRM45" s="478"/>
      <c r="TRN45" s="478"/>
      <c r="TRO45" s="478"/>
      <c r="TRP45" s="478"/>
      <c r="TRQ45" s="478"/>
      <c r="TRR45" s="478"/>
      <c r="TRS45" s="478"/>
      <c r="TRT45" s="478"/>
      <c r="TRU45" s="478"/>
      <c r="TRV45" s="478"/>
      <c r="TRW45" s="478"/>
      <c r="TRX45" s="478"/>
      <c r="TRY45" s="478"/>
      <c r="TRZ45" s="478"/>
      <c r="TSA45" s="478"/>
      <c r="TSB45" s="478"/>
      <c r="TSC45" s="478"/>
      <c r="TSD45" s="478"/>
      <c r="TSE45" s="478"/>
      <c r="TSF45" s="478"/>
      <c r="TSG45" s="478"/>
      <c r="TSH45" s="478"/>
      <c r="TSI45" s="478"/>
      <c r="TSJ45" s="478"/>
      <c r="TSK45" s="478"/>
      <c r="TSL45" s="478"/>
      <c r="TSM45" s="478"/>
      <c r="TSN45" s="478"/>
      <c r="TSO45" s="478"/>
      <c r="TSP45" s="478"/>
      <c r="TSQ45" s="478"/>
      <c r="TSR45" s="478"/>
      <c r="TSS45" s="478"/>
      <c r="TST45" s="478"/>
      <c r="TSU45" s="478"/>
      <c r="TSV45" s="478"/>
      <c r="TSW45" s="478"/>
      <c r="TSX45" s="478"/>
      <c r="TSY45" s="478"/>
      <c r="TSZ45" s="478"/>
      <c r="TTA45" s="478"/>
      <c r="TTB45" s="478"/>
      <c r="TTC45" s="478"/>
      <c r="TTD45" s="478"/>
      <c r="TTE45" s="478"/>
      <c r="TTF45" s="478"/>
      <c r="TTG45" s="478"/>
      <c r="TTH45" s="478"/>
      <c r="TTI45" s="478"/>
      <c r="TTJ45" s="478"/>
      <c r="TTK45" s="478"/>
      <c r="TTL45" s="478"/>
      <c r="TTM45" s="478"/>
      <c r="TTN45" s="478"/>
      <c r="TTO45" s="478"/>
      <c r="TTP45" s="478"/>
      <c r="TTQ45" s="478"/>
      <c r="TTR45" s="478"/>
      <c r="TTS45" s="478"/>
      <c r="TTT45" s="478"/>
      <c r="TTU45" s="478"/>
      <c r="TTV45" s="478"/>
      <c r="TTW45" s="478"/>
      <c r="TTX45" s="478"/>
      <c r="TTY45" s="478"/>
      <c r="TTZ45" s="478"/>
      <c r="TUA45" s="478"/>
      <c r="TUB45" s="478"/>
      <c r="TUC45" s="478"/>
      <c r="TUD45" s="478"/>
      <c r="TUE45" s="478"/>
      <c r="TUF45" s="478"/>
      <c r="TUG45" s="478"/>
      <c r="TUH45" s="478"/>
      <c r="TUI45" s="478"/>
      <c r="TUJ45" s="478"/>
      <c r="TUK45" s="478"/>
      <c r="TUL45" s="478"/>
      <c r="TUM45" s="478"/>
      <c r="TUN45" s="478"/>
      <c r="TUO45" s="478"/>
      <c r="TUP45" s="478"/>
      <c r="TUQ45" s="478"/>
      <c r="TUR45" s="478"/>
      <c r="TUS45" s="478"/>
      <c r="TUT45" s="478"/>
      <c r="TUU45" s="478"/>
      <c r="TUV45" s="478"/>
      <c r="TUW45" s="478"/>
      <c r="TUX45" s="478"/>
      <c r="TUY45" s="478"/>
      <c r="TUZ45" s="478"/>
      <c r="TVA45" s="478"/>
      <c r="TVB45" s="478"/>
      <c r="TVC45" s="478"/>
      <c r="TVD45" s="478"/>
      <c r="TVE45" s="478"/>
      <c r="TVF45" s="478"/>
      <c r="TVG45" s="478"/>
      <c r="TVH45" s="478"/>
      <c r="TVI45" s="478"/>
      <c r="TVJ45" s="478"/>
      <c r="TVK45" s="478"/>
      <c r="TVL45" s="478"/>
      <c r="TVM45" s="478"/>
      <c r="TVN45" s="478"/>
      <c r="TVO45" s="478"/>
      <c r="TVP45" s="478"/>
      <c r="TVQ45" s="478"/>
      <c r="TVR45" s="478"/>
      <c r="TVS45" s="478"/>
      <c r="TVT45" s="478"/>
      <c r="TVU45" s="478"/>
      <c r="TVV45" s="478"/>
      <c r="TVW45" s="478"/>
      <c r="TVX45" s="478"/>
      <c r="TVY45" s="478"/>
      <c r="TVZ45" s="478"/>
      <c r="TWA45" s="478"/>
      <c r="TWB45" s="478"/>
      <c r="TWC45" s="478"/>
      <c r="TWD45" s="478"/>
      <c r="TWE45" s="478"/>
      <c r="TWF45" s="478"/>
      <c r="TWG45" s="478"/>
      <c r="TWH45" s="478"/>
      <c r="TWI45" s="478"/>
      <c r="TWJ45" s="478"/>
      <c r="TWK45" s="478"/>
      <c r="TWL45" s="478"/>
      <c r="TWM45" s="478"/>
      <c r="TWN45" s="478"/>
      <c r="TWO45" s="478"/>
      <c r="TWP45" s="478"/>
      <c r="TWQ45" s="478"/>
      <c r="TWR45" s="478"/>
      <c r="TWS45" s="478"/>
      <c r="TWT45" s="478"/>
      <c r="TWU45" s="478"/>
      <c r="TWV45" s="478"/>
      <c r="TWW45" s="478"/>
      <c r="TWX45" s="478"/>
      <c r="TWY45" s="478"/>
      <c r="TWZ45" s="478"/>
      <c r="TXA45" s="478"/>
      <c r="TXB45" s="478"/>
      <c r="TXC45" s="478"/>
      <c r="TXD45" s="478"/>
      <c r="TXE45" s="478"/>
      <c r="TXF45" s="478"/>
      <c r="TXG45" s="478"/>
      <c r="TXH45" s="478"/>
      <c r="TXI45" s="478"/>
      <c r="TXJ45" s="478"/>
      <c r="TXK45" s="478"/>
      <c r="TXL45" s="478"/>
      <c r="TXM45" s="478"/>
      <c r="TXN45" s="478"/>
      <c r="TXO45" s="478"/>
      <c r="TXP45" s="478"/>
      <c r="TXQ45" s="478"/>
      <c r="TXR45" s="478"/>
      <c r="TXS45" s="478"/>
      <c r="TXT45" s="478"/>
      <c r="TXU45" s="478"/>
      <c r="TXV45" s="478"/>
      <c r="TXW45" s="478"/>
      <c r="TXX45" s="478"/>
      <c r="TXY45" s="478"/>
      <c r="TXZ45" s="478"/>
      <c r="TYA45" s="478"/>
      <c r="TYB45" s="478"/>
      <c r="TYC45" s="478"/>
      <c r="TYD45" s="478"/>
      <c r="TYE45" s="478"/>
      <c r="TYF45" s="478"/>
      <c r="TYG45" s="478"/>
      <c r="TYH45" s="478"/>
      <c r="TYI45" s="478"/>
      <c r="TYJ45" s="478"/>
      <c r="TYK45" s="478"/>
      <c r="TYL45" s="478"/>
      <c r="TYM45" s="478"/>
      <c r="TYN45" s="478"/>
      <c r="TYO45" s="478"/>
      <c r="TYP45" s="478"/>
      <c r="TYQ45" s="478"/>
      <c r="TYR45" s="478"/>
      <c r="TYS45" s="478"/>
      <c r="TYT45" s="478"/>
      <c r="TYU45" s="478"/>
      <c r="TYV45" s="478"/>
      <c r="TYW45" s="478"/>
      <c r="TYX45" s="478"/>
      <c r="TYY45" s="478"/>
      <c r="TYZ45" s="478"/>
      <c r="TZA45" s="478"/>
      <c r="TZB45" s="478"/>
      <c r="TZC45" s="478"/>
      <c r="TZD45" s="478"/>
      <c r="TZE45" s="478"/>
      <c r="TZF45" s="478"/>
      <c r="TZG45" s="478"/>
      <c r="TZH45" s="478"/>
      <c r="TZI45" s="478"/>
      <c r="TZJ45" s="478"/>
      <c r="TZK45" s="478"/>
      <c r="TZL45" s="478"/>
      <c r="TZM45" s="478"/>
      <c r="TZN45" s="478"/>
      <c r="TZO45" s="478"/>
      <c r="TZP45" s="478"/>
      <c r="TZQ45" s="478"/>
      <c r="TZR45" s="478"/>
      <c r="TZS45" s="478"/>
      <c r="TZT45" s="478"/>
      <c r="TZU45" s="478"/>
      <c r="TZV45" s="478"/>
      <c r="TZW45" s="478"/>
      <c r="TZX45" s="478"/>
      <c r="TZY45" s="478"/>
      <c r="TZZ45" s="478"/>
      <c r="UAA45" s="478"/>
      <c r="UAB45" s="478"/>
      <c r="UAC45" s="478"/>
      <c r="UAD45" s="478"/>
      <c r="UAE45" s="478"/>
      <c r="UAF45" s="478"/>
      <c r="UAG45" s="478"/>
      <c r="UAH45" s="478"/>
      <c r="UAI45" s="478"/>
      <c r="UAJ45" s="478"/>
      <c r="UAK45" s="478"/>
      <c r="UAL45" s="478"/>
      <c r="UAM45" s="478"/>
      <c r="UAN45" s="478"/>
      <c r="UAO45" s="478"/>
      <c r="UAP45" s="478"/>
      <c r="UAQ45" s="478"/>
      <c r="UAR45" s="478"/>
      <c r="UAS45" s="478"/>
      <c r="UAT45" s="478"/>
      <c r="UAU45" s="478"/>
      <c r="UAV45" s="478"/>
      <c r="UAW45" s="478"/>
      <c r="UAX45" s="478"/>
      <c r="UAY45" s="478"/>
      <c r="UAZ45" s="478"/>
      <c r="UBA45" s="478"/>
      <c r="UBB45" s="478"/>
      <c r="UBC45" s="478"/>
      <c r="UBD45" s="478"/>
      <c r="UBE45" s="478"/>
      <c r="UBF45" s="478"/>
      <c r="UBG45" s="478"/>
      <c r="UBH45" s="478"/>
      <c r="UBI45" s="478"/>
      <c r="UBJ45" s="478"/>
      <c r="UBK45" s="478"/>
      <c r="UBL45" s="478"/>
      <c r="UBM45" s="478"/>
      <c r="UBN45" s="478"/>
      <c r="UBO45" s="478"/>
      <c r="UBP45" s="478"/>
      <c r="UBQ45" s="478"/>
      <c r="UBR45" s="478"/>
      <c r="UBS45" s="478"/>
      <c r="UBT45" s="478"/>
      <c r="UBU45" s="478"/>
      <c r="UBV45" s="478"/>
      <c r="UBW45" s="478"/>
      <c r="UBX45" s="478"/>
      <c r="UBY45" s="478"/>
      <c r="UBZ45" s="478"/>
      <c r="UCA45" s="478"/>
      <c r="UCB45" s="478"/>
      <c r="UCC45" s="478"/>
      <c r="UCD45" s="478"/>
      <c r="UCE45" s="478"/>
      <c r="UCF45" s="478"/>
      <c r="UCG45" s="478"/>
      <c r="UCH45" s="478"/>
      <c r="UCI45" s="478"/>
      <c r="UCJ45" s="478"/>
      <c r="UCK45" s="478"/>
      <c r="UCL45" s="478"/>
      <c r="UCM45" s="478"/>
      <c r="UCN45" s="478"/>
      <c r="UCO45" s="478"/>
      <c r="UCP45" s="478"/>
      <c r="UCQ45" s="478"/>
      <c r="UCR45" s="478"/>
      <c r="UCS45" s="478"/>
      <c r="UCT45" s="478"/>
      <c r="UCU45" s="478"/>
      <c r="UCV45" s="478"/>
      <c r="UCW45" s="478"/>
      <c r="UCX45" s="478"/>
      <c r="UCY45" s="478"/>
      <c r="UCZ45" s="478"/>
      <c r="UDA45" s="478"/>
      <c r="UDB45" s="478"/>
      <c r="UDC45" s="478"/>
      <c r="UDD45" s="478"/>
      <c r="UDE45" s="478"/>
      <c r="UDF45" s="478"/>
      <c r="UDG45" s="478"/>
      <c r="UDH45" s="478"/>
      <c r="UDI45" s="478"/>
      <c r="UDJ45" s="478"/>
      <c r="UDK45" s="478"/>
      <c r="UDL45" s="478"/>
      <c r="UDM45" s="478"/>
      <c r="UDN45" s="478"/>
      <c r="UDO45" s="478"/>
      <c r="UDP45" s="478"/>
      <c r="UDQ45" s="478"/>
      <c r="UDR45" s="478"/>
      <c r="UDS45" s="478"/>
      <c r="UDT45" s="478"/>
      <c r="UDU45" s="478"/>
      <c r="UDV45" s="478"/>
      <c r="UDW45" s="478"/>
      <c r="UDX45" s="478"/>
      <c r="UDY45" s="478"/>
      <c r="UDZ45" s="478"/>
      <c r="UEA45" s="478"/>
      <c r="UEB45" s="478"/>
      <c r="UEC45" s="478"/>
      <c r="UED45" s="478"/>
      <c r="UEE45" s="478"/>
      <c r="UEF45" s="478"/>
      <c r="UEG45" s="478"/>
      <c r="UEH45" s="478"/>
      <c r="UEI45" s="478"/>
      <c r="UEJ45" s="478"/>
      <c r="UEK45" s="478"/>
      <c r="UEL45" s="478"/>
      <c r="UEM45" s="478"/>
      <c r="UEN45" s="478"/>
      <c r="UEO45" s="478"/>
      <c r="UEP45" s="478"/>
      <c r="UEQ45" s="478"/>
      <c r="UER45" s="478"/>
      <c r="UES45" s="478"/>
      <c r="UET45" s="478"/>
      <c r="UEU45" s="478"/>
      <c r="UEV45" s="478"/>
      <c r="UEW45" s="478"/>
      <c r="UEX45" s="478"/>
      <c r="UEY45" s="478"/>
      <c r="UEZ45" s="478"/>
      <c r="UFA45" s="478"/>
      <c r="UFB45" s="478"/>
      <c r="UFC45" s="478"/>
      <c r="UFD45" s="478"/>
      <c r="UFE45" s="478"/>
      <c r="UFF45" s="478"/>
      <c r="UFG45" s="478"/>
      <c r="UFH45" s="478"/>
      <c r="UFI45" s="478"/>
      <c r="UFJ45" s="478"/>
      <c r="UFK45" s="478"/>
      <c r="UFL45" s="478"/>
      <c r="UFM45" s="478"/>
      <c r="UFN45" s="478"/>
      <c r="UFO45" s="478"/>
      <c r="UFP45" s="478"/>
      <c r="UFQ45" s="478"/>
      <c r="UFR45" s="478"/>
      <c r="UFS45" s="478"/>
      <c r="UFT45" s="478"/>
      <c r="UFU45" s="478"/>
      <c r="UFV45" s="478"/>
      <c r="UFW45" s="478"/>
      <c r="UFX45" s="478"/>
      <c r="UFY45" s="478"/>
      <c r="UFZ45" s="478"/>
      <c r="UGA45" s="478"/>
      <c r="UGB45" s="478"/>
      <c r="UGC45" s="478"/>
      <c r="UGD45" s="478"/>
      <c r="UGE45" s="478"/>
      <c r="UGF45" s="478"/>
      <c r="UGG45" s="478"/>
      <c r="UGH45" s="478"/>
      <c r="UGI45" s="478"/>
      <c r="UGJ45" s="478"/>
      <c r="UGK45" s="478"/>
      <c r="UGL45" s="478"/>
      <c r="UGM45" s="478"/>
      <c r="UGN45" s="478"/>
      <c r="UGO45" s="478"/>
      <c r="UGP45" s="478"/>
      <c r="UGQ45" s="478"/>
      <c r="UGR45" s="478"/>
      <c r="UGS45" s="478"/>
      <c r="UGT45" s="478"/>
      <c r="UGU45" s="478"/>
      <c r="UGV45" s="478"/>
      <c r="UGW45" s="478"/>
      <c r="UGX45" s="478"/>
      <c r="UGY45" s="478"/>
      <c r="UGZ45" s="478"/>
      <c r="UHA45" s="478"/>
      <c r="UHB45" s="478"/>
      <c r="UHC45" s="478"/>
      <c r="UHD45" s="478"/>
      <c r="UHE45" s="478"/>
      <c r="UHF45" s="478"/>
      <c r="UHG45" s="478"/>
      <c r="UHH45" s="478"/>
      <c r="UHI45" s="478"/>
      <c r="UHJ45" s="478"/>
      <c r="UHK45" s="478"/>
      <c r="UHL45" s="478"/>
      <c r="UHM45" s="478"/>
      <c r="UHN45" s="478"/>
      <c r="UHO45" s="478"/>
      <c r="UHP45" s="478"/>
      <c r="UHQ45" s="478"/>
      <c r="UHR45" s="478"/>
      <c r="UHS45" s="478"/>
      <c r="UHT45" s="478"/>
      <c r="UHU45" s="478"/>
      <c r="UHV45" s="478"/>
      <c r="UHW45" s="478"/>
      <c r="UHX45" s="478"/>
      <c r="UHY45" s="478"/>
      <c r="UHZ45" s="478"/>
      <c r="UIA45" s="478"/>
      <c r="UIB45" s="478"/>
      <c r="UIC45" s="478"/>
      <c r="UID45" s="478"/>
      <c r="UIE45" s="478"/>
      <c r="UIF45" s="478"/>
      <c r="UIG45" s="478"/>
      <c r="UIH45" s="478"/>
      <c r="UII45" s="478"/>
      <c r="UIJ45" s="478"/>
      <c r="UIK45" s="478"/>
      <c r="UIL45" s="478"/>
      <c r="UIM45" s="478"/>
      <c r="UIN45" s="478"/>
      <c r="UIO45" s="478"/>
      <c r="UIP45" s="478"/>
      <c r="UIQ45" s="478"/>
      <c r="UIR45" s="478"/>
      <c r="UIS45" s="478"/>
      <c r="UIT45" s="478"/>
      <c r="UIU45" s="478"/>
      <c r="UIV45" s="478"/>
      <c r="UIW45" s="478"/>
      <c r="UIX45" s="478"/>
      <c r="UIY45" s="478"/>
      <c r="UIZ45" s="478"/>
      <c r="UJA45" s="478"/>
      <c r="UJB45" s="478"/>
      <c r="UJC45" s="478"/>
      <c r="UJD45" s="478"/>
      <c r="UJE45" s="478"/>
      <c r="UJF45" s="478"/>
      <c r="UJG45" s="478"/>
      <c r="UJH45" s="478"/>
      <c r="UJI45" s="478"/>
      <c r="UJJ45" s="478"/>
      <c r="UJK45" s="478"/>
      <c r="UJL45" s="478"/>
      <c r="UJM45" s="478"/>
      <c r="UJN45" s="478"/>
      <c r="UJO45" s="478"/>
      <c r="UJP45" s="478"/>
      <c r="UJQ45" s="478"/>
      <c r="UJR45" s="478"/>
      <c r="UJS45" s="478"/>
      <c r="UJT45" s="478"/>
      <c r="UJU45" s="478"/>
      <c r="UJV45" s="478"/>
      <c r="UJW45" s="478"/>
      <c r="UJX45" s="478"/>
      <c r="UJY45" s="478"/>
      <c r="UJZ45" s="478"/>
      <c r="UKA45" s="478"/>
      <c r="UKB45" s="478"/>
      <c r="UKC45" s="478"/>
      <c r="UKD45" s="478"/>
      <c r="UKE45" s="478"/>
      <c r="UKF45" s="478"/>
      <c r="UKG45" s="478"/>
      <c r="UKH45" s="478"/>
      <c r="UKI45" s="478"/>
      <c r="UKJ45" s="478"/>
      <c r="UKK45" s="478"/>
      <c r="UKL45" s="478"/>
      <c r="UKM45" s="478"/>
      <c r="UKN45" s="478"/>
      <c r="UKO45" s="478"/>
      <c r="UKP45" s="478"/>
      <c r="UKQ45" s="478"/>
      <c r="UKR45" s="478"/>
      <c r="UKS45" s="478"/>
      <c r="UKT45" s="478"/>
      <c r="UKU45" s="478"/>
      <c r="UKV45" s="478"/>
      <c r="UKW45" s="478"/>
      <c r="UKX45" s="478"/>
      <c r="UKY45" s="478"/>
      <c r="UKZ45" s="478"/>
      <c r="ULA45" s="478"/>
      <c r="ULB45" s="478"/>
      <c r="ULC45" s="478"/>
      <c r="ULD45" s="478"/>
      <c r="ULE45" s="478"/>
      <c r="ULF45" s="478"/>
      <c r="ULG45" s="478"/>
      <c r="ULH45" s="478"/>
      <c r="ULI45" s="478"/>
      <c r="ULJ45" s="478"/>
      <c r="ULK45" s="478"/>
      <c r="ULL45" s="478"/>
      <c r="ULM45" s="478"/>
      <c r="ULN45" s="478"/>
      <c r="ULO45" s="478"/>
      <c r="ULP45" s="478"/>
      <c r="ULQ45" s="478"/>
      <c r="ULR45" s="478"/>
      <c r="ULS45" s="478"/>
      <c r="ULT45" s="478"/>
      <c r="ULU45" s="478"/>
      <c r="ULV45" s="478"/>
      <c r="ULW45" s="478"/>
      <c r="ULX45" s="478"/>
      <c r="ULY45" s="478"/>
      <c r="ULZ45" s="478"/>
      <c r="UMA45" s="478"/>
      <c r="UMB45" s="478"/>
      <c r="UMC45" s="478"/>
      <c r="UMD45" s="478"/>
      <c r="UME45" s="478"/>
      <c r="UMF45" s="478"/>
      <c r="UMG45" s="478"/>
      <c r="UMH45" s="478"/>
      <c r="UMI45" s="478"/>
      <c r="UMJ45" s="478"/>
      <c r="UMK45" s="478"/>
      <c r="UML45" s="478"/>
      <c r="UMM45" s="478"/>
      <c r="UMN45" s="478"/>
      <c r="UMO45" s="478"/>
      <c r="UMP45" s="478"/>
      <c r="UMQ45" s="478"/>
      <c r="UMR45" s="478"/>
      <c r="UMS45" s="478"/>
      <c r="UMT45" s="478"/>
      <c r="UMU45" s="478"/>
      <c r="UMV45" s="478"/>
      <c r="UMW45" s="478"/>
      <c r="UMX45" s="478"/>
      <c r="UMY45" s="478"/>
      <c r="UMZ45" s="478"/>
      <c r="UNA45" s="478"/>
      <c r="UNB45" s="478"/>
      <c r="UNC45" s="478"/>
      <c r="UND45" s="478"/>
      <c r="UNE45" s="478"/>
      <c r="UNF45" s="478"/>
      <c r="UNG45" s="478"/>
      <c r="UNH45" s="478"/>
      <c r="UNI45" s="478"/>
      <c r="UNJ45" s="478"/>
      <c r="UNK45" s="478"/>
      <c r="UNL45" s="478"/>
      <c r="UNM45" s="478"/>
      <c r="UNN45" s="478"/>
      <c r="UNO45" s="478"/>
      <c r="UNP45" s="478"/>
      <c r="UNQ45" s="478"/>
      <c r="UNR45" s="478"/>
      <c r="UNS45" s="478"/>
      <c r="UNT45" s="478"/>
      <c r="UNU45" s="478"/>
      <c r="UNV45" s="478"/>
      <c r="UNW45" s="478"/>
      <c r="UNX45" s="478"/>
      <c r="UNY45" s="478"/>
      <c r="UNZ45" s="478"/>
      <c r="UOA45" s="478"/>
      <c r="UOB45" s="478"/>
      <c r="UOC45" s="478"/>
      <c r="UOD45" s="478"/>
      <c r="UOE45" s="478"/>
      <c r="UOF45" s="478"/>
      <c r="UOG45" s="478"/>
      <c r="UOH45" s="478"/>
      <c r="UOI45" s="478"/>
      <c r="UOJ45" s="478"/>
      <c r="UOK45" s="478"/>
      <c r="UOL45" s="478"/>
      <c r="UOM45" s="478"/>
      <c r="UON45" s="478"/>
      <c r="UOO45" s="478"/>
      <c r="UOP45" s="478"/>
      <c r="UOQ45" s="478"/>
      <c r="UOR45" s="478"/>
      <c r="UOS45" s="478"/>
      <c r="UOT45" s="478"/>
      <c r="UOU45" s="478"/>
      <c r="UOV45" s="478"/>
      <c r="UOW45" s="478"/>
      <c r="UOX45" s="478"/>
      <c r="UOY45" s="478"/>
      <c r="UOZ45" s="478"/>
      <c r="UPA45" s="478"/>
      <c r="UPB45" s="478"/>
      <c r="UPC45" s="478"/>
      <c r="UPD45" s="478"/>
      <c r="UPE45" s="478"/>
      <c r="UPF45" s="478"/>
      <c r="UPG45" s="478"/>
      <c r="UPH45" s="478"/>
      <c r="UPI45" s="478"/>
      <c r="UPJ45" s="478"/>
      <c r="UPK45" s="478"/>
      <c r="UPL45" s="478"/>
      <c r="UPM45" s="478"/>
      <c r="UPN45" s="478"/>
      <c r="UPO45" s="478"/>
      <c r="UPP45" s="478"/>
      <c r="UPQ45" s="478"/>
      <c r="UPR45" s="478"/>
      <c r="UPS45" s="478"/>
      <c r="UPT45" s="478"/>
      <c r="UPU45" s="478"/>
      <c r="UPV45" s="478"/>
      <c r="UPW45" s="478"/>
      <c r="UPX45" s="478"/>
      <c r="UPY45" s="478"/>
      <c r="UPZ45" s="478"/>
      <c r="UQA45" s="478"/>
      <c r="UQB45" s="478"/>
      <c r="UQC45" s="478"/>
      <c r="UQD45" s="478"/>
      <c r="UQE45" s="478"/>
      <c r="UQF45" s="478"/>
      <c r="UQG45" s="478"/>
      <c r="UQH45" s="478"/>
      <c r="UQI45" s="478"/>
      <c r="UQJ45" s="478"/>
      <c r="UQK45" s="478"/>
      <c r="UQL45" s="478"/>
      <c r="UQM45" s="478"/>
      <c r="UQN45" s="478"/>
      <c r="UQO45" s="478"/>
      <c r="UQP45" s="478"/>
      <c r="UQQ45" s="478"/>
      <c r="UQR45" s="478"/>
      <c r="UQS45" s="478"/>
      <c r="UQT45" s="478"/>
      <c r="UQU45" s="478"/>
      <c r="UQV45" s="478"/>
      <c r="UQW45" s="478"/>
      <c r="UQX45" s="478"/>
      <c r="UQY45" s="478"/>
      <c r="UQZ45" s="478"/>
      <c r="URA45" s="478"/>
      <c r="URB45" s="478"/>
      <c r="URC45" s="478"/>
      <c r="URD45" s="478"/>
      <c r="URE45" s="478"/>
      <c r="URF45" s="478"/>
      <c r="URG45" s="478"/>
      <c r="URH45" s="478"/>
      <c r="URI45" s="478"/>
      <c r="URJ45" s="478"/>
      <c r="URK45" s="478"/>
      <c r="URL45" s="478"/>
      <c r="URM45" s="478"/>
      <c r="URN45" s="478"/>
      <c r="URO45" s="478"/>
      <c r="URP45" s="478"/>
      <c r="URQ45" s="478"/>
      <c r="URR45" s="478"/>
      <c r="URS45" s="478"/>
      <c r="URT45" s="478"/>
      <c r="URU45" s="478"/>
      <c r="URV45" s="478"/>
      <c r="URW45" s="478"/>
      <c r="URX45" s="478"/>
      <c r="URY45" s="478"/>
      <c r="URZ45" s="478"/>
      <c r="USA45" s="478"/>
      <c r="USB45" s="478"/>
      <c r="USC45" s="478"/>
      <c r="USD45" s="478"/>
      <c r="USE45" s="478"/>
      <c r="USF45" s="478"/>
      <c r="USG45" s="478"/>
      <c r="USH45" s="478"/>
      <c r="USI45" s="478"/>
      <c r="USJ45" s="478"/>
      <c r="USK45" s="478"/>
      <c r="USL45" s="478"/>
      <c r="USM45" s="478"/>
      <c r="USN45" s="478"/>
      <c r="USO45" s="478"/>
      <c r="USP45" s="478"/>
      <c r="USQ45" s="478"/>
      <c r="USR45" s="478"/>
      <c r="USS45" s="478"/>
      <c r="UST45" s="478"/>
      <c r="USU45" s="478"/>
      <c r="USV45" s="478"/>
      <c r="USW45" s="478"/>
      <c r="USX45" s="478"/>
      <c r="USY45" s="478"/>
      <c r="USZ45" s="478"/>
      <c r="UTA45" s="478"/>
      <c r="UTB45" s="478"/>
      <c r="UTC45" s="478"/>
      <c r="UTD45" s="478"/>
      <c r="UTE45" s="478"/>
      <c r="UTF45" s="478"/>
      <c r="UTG45" s="478"/>
      <c r="UTH45" s="478"/>
      <c r="UTI45" s="478"/>
      <c r="UTJ45" s="478"/>
      <c r="UTK45" s="478"/>
      <c r="UTL45" s="478"/>
      <c r="UTM45" s="478"/>
      <c r="UTN45" s="478"/>
      <c r="UTO45" s="478"/>
      <c r="UTP45" s="478"/>
      <c r="UTQ45" s="478"/>
      <c r="UTR45" s="478"/>
      <c r="UTS45" s="478"/>
      <c r="UTT45" s="478"/>
      <c r="UTU45" s="478"/>
      <c r="UTV45" s="478"/>
      <c r="UTW45" s="478"/>
      <c r="UTX45" s="478"/>
      <c r="UTY45" s="478"/>
      <c r="UTZ45" s="478"/>
      <c r="UUA45" s="478"/>
      <c r="UUB45" s="478"/>
      <c r="UUC45" s="478"/>
      <c r="UUD45" s="478"/>
      <c r="UUE45" s="478"/>
      <c r="UUF45" s="478"/>
      <c r="UUG45" s="478"/>
      <c r="UUH45" s="478"/>
      <c r="UUI45" s="478"/>
      <c r="UUJ45" s="478"/>
      <c r="UUK45" s="478"/>
      <c r="UUL45" s="478"/>
      <c r="UUM45" s="478"/>
      <c r="UUN45" s="478"/>
      <c r="UUO45" s="478"/>
      <c r="UUP45" s="478"/>
      <c r="UUQ45" s="478"/>
      <c r="UUR45" s="478"/>
      <c r="UUS45" s="478"/>
      <c r="UUT45" s="478"/>
      <c r="UUU45" s="478"/>
      <c r="UUV45" s="478"/>
      <c r="UUW45" s="478"/>
      <c r="UUX45" s="478"/>
      <c r="UUY45" s="478"/>
      <c r="UUZ45" s="478"/>
      <c r="UVA45" s="478"/>
      <c r="UVB45" s="478"/>
      <c r="UVC45" s="478"/>
      <c r="UVD45" s="478"/>
      <c r="UVE45" s="478"/>
      <c r="UVF45" s="478"/>
      <c r="UVG45" s="478"/>
      <c r="UVH45" s="478"/>
      <c r="UVI45" s="478"/>
      <c r="UVJ45" s="478"/>
      <c r="UVK45" s="478"/>
      <c r="UVL45" s="478"/>
      <c r="UVM45" s="478"/>
      <c r="UVN45" s="478"/>
      <c r="UVO45" s="478"/>
      <c r="UVP45" s="478"/>
      <c r="UVQ45" s="478"/>
      <c r="UVR45" s="478"/>
      <c r="UVS45" s="478"/>
      <c r="UVT45" s="478"/>
      <c r="UVU45" s="478"/>
      <c r="UVV45" s="478"/>
      <c r="UVW45" s="478"/>
      <c r="UVX45" s="478"/>
      <c r="UVY45" s="478"/>
      <c r="UVZ45" s="478"/>
      <c r="UWA45" s="478"/>
      <c r="UWB45" s="478"/>
      <c r="UWC45" s="478"/>
      <c r="UWD45" s="478"/>
      <c r="UWE45" s="478"/>
      <c r="UWF45" s="478"/>
      <c r="UWG45" s="478"/>
      <c r="UWH45" s="478"/>
      <c r="UWI45" s="478"/>
      <c r="UWJ45" s="478"/>
      <c r="UWK45" s="478"/>
      <c r="UWL45" s="478"/>
      <c r="UWM45" s="478"/>
      <c r="UWN45" s="478"/>
      <c r="UWO45" s="478"/>
      <c r="UWP45" s="478"/>
      <c r="UWQ45" s="478"/>
      <c r="UWR45" s="478"/>
      <c r="UWS45" s="478"/>
      <c r="UWT45" s="478"/>
      <c r="UWU45" s="478"/>
      <c r="UWV45" s="478"/>
      <c r="UWW45" s="478"/>
      <c r="UWX45" s="478"/>
      <c r="UWY45" s="478"/>
      <c r="UWZ45" s="478"/>
      <c r="UXA45" s="478"/>
      <c r="UXB45" s="478"/>
      <c r="UXC45" s="478"/>
      <c r="UXD45" s="478"/>
      <c r="UXE45" s="478"/>
      <c r="UXF45" s="478"/>
      <c r="UXG45" s="478"/>
      <c r="UXH45" s="478"/>
      <c r="UXI45" s="478"/>
      <c r="UXJ45" s="478"/>
      <c r="UXK45" s="478"/>
      <c r="UXL45" s="478"/>
      <c r="UXM45" s="478"/>
      <c r="UXN45" s="478"/>
      <c r="UXO45" s="478"/>
      <c r="UXP45" s="478"/>
      <c r="UXQ45" s="478"/>
      <c r="UXR45" s="478"/>
      <c r="UXS45" s="478"/>
      <c r="UXT45" s="478"/>
      <c r="UXU45" s="478"/>
      <c r="UXV45" s="478"/>
      <c r="UXW45" s="478"/>
      <c r="UXX45" s="478"/>
      <c r="UXY45" s="478"/>
      <c r="UXZ45" s="478"/>
      <c r="UYA45" s="478"/>
      <c r="UYB45" s="478"/>
      <c r="UYC45" s="478"/>
      <c r="UYD45" s="478"/>
      <c r="UYE45" s="478"/>
      <c r="UYF45" s="478"/>
      <c r="UYG45" s="478"/>
      <c r="UYH45" s="478"/>
      <c r="UYI45" s="478"/>
      <c r="UYJ45" s="478"/>
      <c r="UYK45" s="478"/>
      <c r="UYL45" s="478"/>
      <c r="UYM45" s="478"/>
      <c r="UYN45" s="478"/>
      <c r="UYO45" s="478"/>
      <c r="UYP45" s="478"/>
      <c r="UYQ45" s="478"/>
      <c r="UYR45" s="478"/>
      <c r="UYS45" s="478"/>
      <c r="UYT45" s="478"/>
      <c r="UYU45" s="478"/>
      <c r="UYV45" s="478"/>
      <c r="UYW45" s="478"/>
      <c r="UYX45" s="478"/>
      <c r="UYY45" s="478"/>
      <c r="UYZ45" s="478"/>
      <c r="UZA45" s="478"/>
      <c r="UZB45" s="478"/>
      <c r="UZC45" s="478"/>
      <c r="UZD45" s="478"/>
      <c r="UZE45" s="478"/>
      <c r="UZF45" s="478"/>
      <c r="UZG45" s="478"/>
      <c r="UZH45" s="478"/>
      <c r="UZI45" s="478"/>
      <c r="UZJ45" s="478"/>
      <c r="UZK45" s="478"/>
      <c r="UZL45" s="478"/>
      <c r="UZM45" s="478"/>
      <c r="UZN45" s="478"/>
      <c r="UZO45" s="478"/>
      <c r="UZP45" s="478"/>
      <c r="UZQ45" s="478"/>
      <c r="UZR45" s="478"/>
      <c r="UZS45" s="478"/>
      <c r="UZT45" s="478"/>
      <c r="UZU45" s="478"/>
      <c r="UZV45" s="478"/>
      <c r="UZW45" s="478"/>
      <c r="UZX45" s="478"/>
      <c r="UZY45" s="478"/>
      <c r="UZZ45" s="478"/>
      <c r="VAA45" s="478"/>
      <c r="VAB45" s="478"/>
      <c r="VAC45" s="478"/>
      <c r="VAD45" s="478"/>
      <c r="VAE45" s="478"/>
      <c r="VAF45" s="478"/>
      <c r="VAG45" s="478"/>
      <c r="VAH45" s="478"/>
      <c r="VAI45" s="478"/>
      <c r="VAJ45" s="478"/>
      <c r="VAK45" s="478"/>
      <c r="VAL45" s="478"/>
      <c r="VAM45" s="478"/>
      <c r="VAN45" s="478"/>
      <c r="VAO45" s="478"/>
      <c r="VAP45" s="478"/>
      <c r="VAQ45" s="478"/>
      <c r="VAR45" s="478"/>
      <c r="VAS45" s="478"/>
      <c r="VAT45" s="478"/>
      <c r="VAU45" s="478"/>
      <c r="VAV45" s="478"/>
      <c r="VAW45" s="478"/>
      <c r="VAX45" s="478"/>
      <c r="VAY45" s="478"/>
      <c r="VAZ45" s="478"/>
      <c r="VBA45" s="478"/>
      <c r="VBB45" s="478"/>
      <c r="VBC45" s="478"/>
      <c r="VBD45" s="478"/>
      <c r="VBE45" s="478"/>
      <c r="VBF45" s="478"/>
      <c r="VBG45" s="478"/>
      <c r="VBH45" s="478"/>
      <c r="VBI45" s="478"/>
      <c r="VBJ45" s="478"/>
      <c r="VBK45" s="478"/>
      <c r="VBL45" s="478"/>
      <c r="VBM45" s="478"/>
      <c r="VBN45" s="478"/>
      <c r="VBO45" s="478"/>
      <c r="VBP45" s="478"/>
      <c r="VBQ45" s="478"/>
      <c r="VBR45" s="478"/>
      <c r="VBS45" s="478"/>
      <c r="VBT45" s="478"/>
      <c r="VBU45" s="478"/>
      <c r="VBV45" s="478"/>
      <c r="VBW45" s="478"/>
      <c r="VBX45" s="478"/>
      <c r="VBY45" s="478"/>
      <c r="VBZ45" s="478"/>
      <c r="VCA45" s="478"/>
      <c r="VCB45" s="478"/>
      <c r="VCC45" s="478"/>
      <c r="VCD45" s="478"/>
      <c r="VCE45" s="478"/>
      <c r="VCF45" s="478"/>
      <c r="VCG45" s="478"/>
      <c r="VCH45" s="478"/>
      <c r="VCI45" s="478"/>
      <c r="VCJ45" s="478"/>
      <c r="VCK45" s="478"/>
      <c r="VCL45" s="478"/>
      <c r="VCM45" s="478"/>
      <c r="VCN45" s="478"/>
      <c r="VCO45" s="478"/>
      <c r="VCP45" s="478"/>
      <c r="VCQ45" s="478"/>
      <c r="VCR45" s="478"/>
      <c r="VCS45" s="478"/>
      <c r="VCT45" s="478"/>
      <c r="VCU45" s="478"/>
      <c r="VCV45" s="478"/>
      <c r="VCW45" s="478"/>
      <c r="VCX45" s="478"/>
      <c r="VCY45" s="478"/>
      <c r="VCZ45" s="478"/>
      <c r="VDA45" s="478"/>
      <c r="VDB45" s="478"/>
      <c r="VDC45" s="478"/>
      <c r="VDD45" s="478"/>
      <c r="VDE45" s="478"/>
      <c r="VDF45" s="478"/>
      <c r="VDG45" s="478"/>
      <c r="VDH45" s="478"/>
      <c r="VDI45" s="478"/>
      <c r="VDJ45" s="478"/>
      <c r="VDK45" s="478"/>
      <c r="VDL45" s="478"/>
      <c r="VDM45" s="478"/>
      <c r="VDN45" s="478"/>
      <c r="VDO45" s="478"/>
      <c r="VDP45" s="478"/>
      <c r="VDQ45" s="478"/>
      <c r="VDR45" s="478"/>
      <c r="VDS45" s="478"/>
      <c r="VDT45" s="478"/>
      <c r="VDU45" s="478"/>
      <c r="VDV45" s="478"/>
      <c r="VDW45" s="478"/>
      <c r="VDX45" s="478"/>
      <c r="VDY45" s="478"/>
      <c r="VDZ45" s="478"/>
      <c r="VEA45" s="478"/>
      <c r="VEB45" s="478"/>
      <c r="VEC45" s="478"/>
      <c r="VED45" s="478"/>
      <c r="VEE45" s="478"/>
      <c r="VEF45" s="478"/>
      <c r="VEG45" s="478"/>
      <c r="VEH45" s="478"/>
      <c r="VEI45" s="478"/>
      <c r="VEJ45" s="478"/>
      <c r="VEK45" s="478"/>
      <c r="VEL45" s="478"/>
      <c r="VEM45" s="478"/>
      <c r="VEN45" s="478"/>
      <c r="VEO45" s="478"/>
      <c r="VEP45" s="478"/>
      <c r="VEQ45" s="478"/>
      <c r="VER45" s="478"/>
      <c r="VES45" s="478"/>
      <c r="VET45" s="478"/>
      <c r="VEU45" s="478"/>
      <c r="VEV45" s="478"/>
      <c r="VEW45" s="478"/>
      <c r="VEX45" s="478"/>
      <c r="VEY45" s="478"/>
      <c r="VEZ45" s="478"/>
      <c r="VFA45" s="478"/>
      <c r="VFB45" s="478"/>
      <c r="VFC45" s="478"/>
      <c r="VFD45" s="478"/>
      <c r="VFE45" s="478"/>
      <c r="VFF45" s="478"/>
      <c r="VFG45" s="478"/>
      <c r="VFH45" s="478"/>
      <c r="VFI45" s="478"/>
      <c r="VFJ45" s="478"/>
      <c r="VFK45" s="478"/>
      <c r="VFL45" s="478"/>
      <c r="VFM45" s="478"/>
      <c r="VFN45" s="478"/>
      <c r="VFO45" s="478"/>
      <c r="VFP45" s="478"/>
      <c r="VFQ45" s="478"/>
      <c r="VFR45" s="478"/>
      <c r="VFS45" s="478"/>
      <c r="VFT45" s="478"/>
      <c r="VFU45" s="478"/>
      <c r="VFV45" s="478"/>
      <c r="VFW45" s="478"/>
      <c r="VFX45" s="478"/>
      <c r="VFY45" s="478"/>
      <c r="VFZ45" s="478"/>
      <c r="VGA45" s="478"/>
      <c r="VGB45" s="478"/>
      <c r="VGC45" s="478"/>
      <c r="VGD45" s="478"/>
      <c r="VGE45" s="478"/>
      <c r="VGF45" s="478"/>
      <c r="VGG45" s="478"/>
      <c r="VGH45" s="478"/>
      <c r="VGI45" s="478"/>
      <c r="VGJ45" s="478"/>
      <c r="VGK45" s="478"/>
      <c r="VGL45" s="478"/>
      <c r="VGM45" s="478"/>
      <c r="VGN45" s="478"/>
      <c r="VGO45" s="478"/>
      <c r="VGP45" s="478"/>
      <c r="VGQ45" s="478"/>
      <c r="VGR45" s="478"/>
      <c r="VGS45" s="478"/>
      <c r="VGT45" s="478"/>
      <c r="VGU45" s="478"/>
      <c r="VGV45" s="478"/>
      <c r="VGW45" s="478"/>
      <c r="VGX45" s="478"/>
      <c r="VGY45" s="478"/>
      <c r="VGZ45" s="478"/>
      <c r="VHA45" s="478"/>
      <c r="VHB45" s="478"/>
      <c r="VHC45" s="478"/>
      <c r="VHD45" s="478"/>
      <c r="VHE45" s="478"/>
      <c r="VHF45" s="478"/>
      <c r="VHG45" s="478"/>
      <c r="VHH45" s="478"/>
      <c r="VHI45" s="478"/>
      <c r="VHJ45" s="478"/>
      <c r="VHK45" s="478"/>
      <c r="VHL45" s="478"/>
      <c r="VHM45" s="478"/>
      <c r="VHN45" s="478"/>
      <c r="VHO45" s="478"/>
      <c r="VHP45" s="478"/>
      <c r="VHQ45" s="478"/>
      <c r="VHR45" s="478"/>
      <c r="VHS45" s="478"/>
      <c r="VHT45" s="478"/>
      <c r="VHU45" s="478"/>
      <c r="VHV45" s="478"/>
      <c r="VHW45" s="478"/>
      <c r="VHX45" s="478"/>
      <c r="VHY45" s="478"/>
      <c r="VHZ45" s="478"/>
      <c r="VIA45" s="478"/>
      <c r="VIB45" s="478"/>
      <c r="VIC45" s="478"/>
      <c r="VID45" s="478"/>
      <c r="VIE45" s="478"/>
      <c r="VIF45" s="478"/>
      <c r="VIG45" s="478"/>
      <c r="VIH45" s="478"/>
      <c r="VII45" s="478"/>
      <c r="VIJ45" s="478"/>
      <c r="VIK45" s="478"/>
      <c r="VIL45" s="478"/>
      <c r="VIM45" s="478"/>
      <c r="VIN45" s="478"/>
      <c r="VIO45" s="478"/>
      <c r="VIP45" s="478"/>
      <c r="VIQ45" s="478"/>
      <c r="VIR45" s="478"/>
      <c r="VIS45" s="478"/>
      <c r="VIT45" s="478"/>
      <c r="VIU45" s="478"/>
      <c r="VIV45" s="478"/>
      <c r="VIW45" s="478"/>
      <c r="VIX45" s="478"/>
      <c r="VIY45" s="478"/>
      <c r="VIZ45" s="478"/>
      <c r="VJA45" s="478"/>
      <c r="VJB45" s="478"/>
      <c r="VJC45" s="478"/>
      <c r="VJD45" s="478"/>
      <c r="VJE45" s="478"/>
      <c r="VJF45" s="478"/>
      <c r="VJG45" s="478"/>
      <c r="VJH45" s="478"/>
      <c r="VJI45" s="478"/>
      <c r="VJJ45" s="478"/>
      <c r="VJK45" s="478"/>
      <c r="VJL45" s="478"/>
      <c r="VJM45" s="478"/>
      <c r="VJN45" s="478"/>
      <c r="VJO45" s="478"/>
      <c r="VJP45" s="478"/>
      <c r="VJQ45" s="478"/>
      <c r="VJR45" s="478"/>
      <c r="VJS45" s="478"/>
      <c r="VJT45" s="478"/>
      <c r="VJU45" s="478"/>
      <c r="VJV45" s="478"/>
      <c r="VJW45" s="478"/>
      <c r="VJX45" s="478"/>
      <c r="VJY45" s="478"/>
      <c r="VJZ45" s="478"/>
      <c r="VKA45" s="478"/>
      <c r="VKB45" s="478"/>
      <c r="VKC45" s="478"/>
      <c r="VKD45" s="478"/>
      <c r="VKE45" s="478"/>
      <c r="VKF45" s="478"/>
      <c r="VKG45" s="478"/>
      <c r="VKH45" s="478"/>
      <c r="VKI45" s="478"/>
      <c r="VKJ45" s="478"/>
      <c r="VKK45" s="478"/>
      <c r="VKL45" s="478"/>
      <c r="VKM45" s="478"/>
      <c r="VKN45" s="478"/>
      <c r="VKO45" s="478"/>
      <c r="VKP45" s="478"/>
      <c r="VKQ45" s="478"/>
      <c r="VKR45" s="478"/>
      <c r="VKS45" s="478"/>
      <c r="VKT45" s="478"/>
      <c r="VKU45" s="478"/>
      <c r="VKV45" s="478"/>
      <c r="VKW45" s="478"/>
      <c r="VKX45" s="478"/>
      <c r="VKY45" s="478"/>
      <c r="VKZ45" s="478"/>
      <c r="VLA45" s="478"/>
      <c r="VLB45" s="478"/>
      <c r="VLC45" s="478"/>
      <c r="VLD45" s="478"/>
      <c r="VLE45" s="478"/>
      <c r="VLF45" s="478"/>
      <c r="VLG45" s="478"/>
      <c r="VLH45" s="478"/>
      <c r="VLI45" s="478"/>
      <c r="VLJ45" s="478"/>
      <c r="VLK45" s="478"/>
      <c r="VLL45" s="478"/>
      <c r="VLM45" s="478"/>
      <c r="VLN45" s="478"/>
      <c r="VLO45" s="478"/>
      <c r="VLP45" s="478"/>
      <c r="VLQ45" s="478"/>
      <c r="VLR45" s="478"/>
      <c r="VLS45" s="478"/>
      <c r="VLT45" s="478"/>
      <c r="VLU45" s="478"/>
      <c r="VLV45" s="478"/>
      <c r="VLW45" s="478"/>
      <c r="VLX45" s="478"/>
      <c r="VLY45" s="478"/>
      <c r="VLZ45" s="478"/>
      <c r="VMA45" s="478"/>
      <c r="VMB45" s="478"/>
      <c r="VMC45" s="478"/>
      <c r="VMD45" s="478"/>
      <c r="VME45" s="478"/>
      <c r="VMF45" s="478"/>
      <c r="VMG45" s="478"/>
      <c r="VMH45" s="478"/>
      <c r="VMI45" s="478"/>
      <c r="VMJ45" s="478"/>
      <c r="VMK45" s="478"/>
      <c r="VML45" s="478"/>
      <c r="VMM45" s="478"/>
      <c r="VMN45" s="478"/>
      <c r="VMO45" s="478"/>
      <c r="VMP45" s="478"/>
      <c r="VMQ45" s="478"/>
      <c r="VMR45" s="478"/>
      <c r="VMS45" s="478"/>
      <c r="VMT45" s="478"/>
      <c r="VMU45" s="478"/>
      <c r="VMV45" s="478"/>
      <c r="VMW45" s="478"/>
      <c r="VMX45" s="478"/>
      <c r="VMY45" s="478"/>
      <c r="VMZ45" s="478"/>
      <c r="VNA45" s="478"/>
      <c r="VNB45" s="478"/>
      <c r="VNC45" s="478"/>
      <c r="VND45" s="478"/>
      <c r="VNE45" s="478"/>
      <c r="VNF45" s="478"/>
      <c r="VNG45" s="478"/>
      <c r="VNH45" s="478"/>
      <c r="VNI45" s="478"/>
      <c r="VNJ45" s="478"/>
      <c r="VNK45" s="478"/>
      <c r="VNL45" s="478"/>
      <c r="VNM45" s="478"/>
      <c r="VNN45" s="478"/>
      <c r="VNO45" s="478"/>
      <c r="VNP45" s="478"/>
      <c r="VNQ45" s="478"/>
      <c r="VNR45" s="478"/>
      <c r="VNS45" s="478"/>
      <c r="VNT45" s="478"/>
      <c r="VNU45" s="478"/>
      <c r="VNV45" s="478"/>
      <c r="VNW45" s="478"/>
      <c r="VNX45" s="478"/>
      <c r="VNY45" s="478"/>
      <c r="VNZ45" s="478"/>
      <c r="VOA45" s="478"/>
      <c r="VOB45" s="478"/>
      <c r="VOC45" s="478"/>
      <c r="VOD45" s="478"/>
      <c r="VOE45" s="478"/>
      <c r="VOF45" s="478"/>
      <c r="VOG45" s="478"/>
      <c r="VOH45" s="478"/>
      <c r="VOI45" s="478"/>
      <c r="VOJ45" s="478"/>
      <c r="VOK45" s="478"/>
      <c r="VOL45" s="478"/>
      <c r="VOM45" s="478"/>
      <c r="VON45" s="478"/>
      <c r="VOO45" s="478"/>
      <c r="VOP45" s="478"/>
      <c r="VOQ45" s="478"/>
      <c r="VOR45" s="478"/>
      <c r="VOS45" s="478"/>
      <c r="VOT45" s="478"/>
      <c r="VOU45" s="478"/>
      <c r="VOV45" s="478"/>
      <c r="VOW45" s="478"/>
      <c r="VOX45" s="478"/>
      <c r="VOY45" s="478"/>
      <c r="VOZ45" s="478"/>
      <c r="VPA45" s="478"/>
      <c r="VPB45" s="478"/>
      <c r="VPC45" s="478"/>
      <c r="VPD45" s="478"/>
      <c r="VPE45" s="478"/>
      <c r="VPF45" s="478"/>
      <c r="VPG45" s="478"/>
      <c r="VPH45" s="478"/>
      <c r="VPI45" s="478"/>
      <c r="VPJ45" s="478"/>
      <c r="VPK45" s="478"/>
      <c r="VPL45" s="478"/>
      <c r="VPM45" s="478"/>
      <c r="VPN45" s="478"/>
      <c r="VPO45" s="478"/>
      <c r="VPP45" s="478"/>
      <c r="VPQ45" s="478"/>
      <c r="VPR45" s="478"/>
      <c r="VPS45" s="478"/>
      <c r="VPT45" s="478"/>
      <c r="VPU45" s="478"/>
      <c r="VPV45" s="478"/>
      <c r="VPW45" s="478"/>
      <c r="VPX45" s="478"/>
      <c r="VPY45" s="478"/>
      <c r="VPZ45" s="478"/>
      <c r="VQA45" s="478"/>
      <c r="VQB45" s="478"/>
      <c r="VQC45" s="478"/>
      <c r="VQD45" s="478"/>
      <c r="VQE45" s="478"/>
      <c r="VQF45" s="478"/>
      <c r="VQG45" s="478"/>
      <c r="VQH45" s="478"/>
      <c r="VQI45" s="478"/>
      <c r="VQJ45" s="478"/>
      <c r="VQK45" s="478"/>
      <c r="VQL45" s="478"/>
      <c r="VQM45" s="478"/>
      <c r="VQN45" s="478"/>
      <c r="VQO45" s="478"/>
      <c r="VQP45" s="478"/>
      <c r="VQQ45" s="478"/>
      <c r="VQR45" s="478"/>
      <c r="VQS45" s="478"/>
      <c r="VQT45" s="478"/>
      <c r="VQU45" s="478"/>
      <c r="VQV45" s="478"/>
      <c r="VQW45" s="478"/>
      <c r="VQX45" s="478"/>
      <c r="VQY45" s="478"/>
      <c r="VQZ45" s="478"/>
      <c r="VRA45" s="478"/>
      <c r="VRB45" s="478"/>
      <c r="VRC45" s="478"/>
      <c r="VRD45" s="478"/>
      <c r="VRE45" s="478"/>
      <c r="VRF45" s="478"/>
      <c r="VRG45" s="478"/>
      <c r="VRH45" s="478"/>
      <c r="VRI45" s="478"/>
      <c r="VRJ45" s="478"/>
      <c r="VRK45" s="478"/>
      <c r="VRL45" s="478"/>
      <c r="VRM45" s="478"/>
      <c r="VRN45" s="478"/>
      <c r="VRO45" s="478"/>
      <c r="VRP45" s="478"/>
      <c r="VRQ45" s="478"/>
      <c r="VRR45" s="478"/>
      <c r="VRS45" s="478"/>
      <c r="VRT45" s="478"/>
      <c r="VRU45" s="478"/>
      <c r="VRV45" s="478"/>
      <c r="VRW45" s="478"/>
      <c r="VRX45" s="478"/>
      <c r="VRY45" s="478"/>
      <c r="VRZ45" s="478"/>
      <c r="VSA45" s="478"/>
      <c r="VSB45" s="478"/>
      <c r="VSC45" s="478"/>
      <c r="VSD45" s="478"/>
      <c r="VSE45" s="478"/>
      <c r="VSF45" s="478"/>
      <c r="VSG45" s="478"/>
      <c r="VSH45" s="478"/>
      <c r="VSI45" s="478"/>
      <c r="VSJ45" s="478"/>
      <c r="VSK45" s="478"/>
      <c r="VSL45" s="478"/>
      <c r="VSM45" s="478"/>
      <c r="VSN45" s="478"/>
      <c r="VSO45" s="478"/>
      <c r="VSP45" s="478"/>
      <c r="VSQ45" s="478"/>
      <c r="VSR45" s="478"/>
      <c r="VSS45" s="478"/>
      <c r="VST45" s="478"/>
      <c r="VSU45" s="478"/>
      <c r="VSV45" s="478"/>
      <c r="VSW45" s="478"/>
      <c r="VSX45" s="478"/>
      <c r="VSY45" s="478"/>
      <c r="VSZ45" s="478"/>
      <c r="VTA45" s="478"/>
      <c r="VTB45" s="478"/>
      <c r="VTC45" s="478"/>
      <c r="VTD45" s="478"/>
      <c r="VTE45" s="478"/>
      <c r="VTF45" s="478"/>
      <c r="VTG45" s="478"/>
      <c r="VTH45" s="478"/>
      <c r="VTI45" s="478"/>
      <c r="VTJ45" s="478"/>
      <c r="VTK45" s="478"/>
      <c r="VTL45" s="478"/>
      <c r="VTM45" s="478"/>
      <c r="VTN45" s="478"/>
      <c r="VTO45" s="478"/>
      <c r="VTP45" s="478"/>
      <c r="VTQ45" s="478"/>
      <c r="VTR45" s="478"/>
      <c r="VTS45" s="478"/>
      <c r="VTT45" s="478"/>
      <c r="VTU45" s="478"/>
      <c r="VTV45" s="478"/>
      <c r="VTW45" s="478"/>
      <c r="VTX45" s="478"/>
      <c r="VTY45" s="478"/>
      <c r="VTZ45" s="478"/>
      <c r="VUA45" s="478"/>
      <c r="VUB45" s="478"/>
      <c r="VUC45" s="478"/>
      <c r="VUD45" s="478"/>
      <c r="VUE45" s="478"/>
      <c r="VUF45" s="478"/>
      <c r="VUG45" s="478"/>
      <c r="VUH45" s="478"/>
      <c r="VUI45" s="478"/>
      <c r="VUJ45" s="478"/>
      <c r="VUK45" s="478"/>
      <c r="VUL45" s="478"/>
      <c r="VUM45" s="478"/>
      <c r="VUN45" s="478"/>
      <c r="VUO45" s="478"/>
      <c r="VUP45" s="478"/>
      <c r="VUQ45" s="478"/>
      <c r="VUR45" s="478"/>
      <c r="VUS45" s="478"/>
      <c r="VUT45" s="478"/>
      <c r="VUU45" s="478"/>
      <c r="VUV45" s="478"/>
      <c r="VUW45" s="478"/>
      <c r="VUX45" s="478"/>
      <c r="VUY45" s="478"/>
      <c r="VUZ45" s="478"/>
      <c r="VVA45" s="478"/>
      <c r="VVB45" s="478"/>
      <c r="VVC45" s="478"/>
      <c r="VVD45" s="478"/>
      <c r="VVE45" s="478"/>
      <c r="VVF45" s="478"/>
      <c r="VVG45" s="478"/>
      <c r="VVH45" s="478"/>
      <c r="VVI45" s="478"/>
      <c r="VVJ45" s="478"/>
      <c r="VVK45" s="478"/>
      <c r="VVL45" s="478"/>
      <c r="VVM45" s="478"/>
      <c r="VVN45" s="478"/>
      <c r="VVO45" s="478"/>
      <c r="VVP45" s="478"/>
      <c r="VVQ45" s="478"/>
      <c r="VVR45" s="478"/>
      <c r="VVS45" s="478"/>
      <c r="VVT45" s="478"/>
      <c r="VVU45" s="478"/>
      <c r="VVV45" s="478"/>
      <c r="VVW45" s="478"/>
      <c r="VVX45" s="478"/>
      <c r="VVY45" s="478"/>
      <c r="VVZ45" s="478"/>
      <c r="VWA45" s="478"/>
      <c r="VWB45" s="478"/>
      <c r="VWC45" s="478"/>
      <c r="VWD45" s="478"/>
      <c r="VWE45" s="478"/>
      <c r="VWF45" s="478"/>
      <c r="VWG45" s="478"/>
      <c r="VWH45" s="478"/>
      <c r="VWI45" s="478"/>
      <c r="VWJ45" s="478"/>
      <c r="VWK45" s="478"/>
      <c r="VWL45" s="478"/>
      <c r="VWM45" s="478"/>
      <c r="VWN45" s="478"/>
      <c r="VWO45" s="478"/>
      <c r="VWP45" s="478"/>
      <c r="VWQ45" s="478"/>
      <c r="VWR45" s="478"/>
      <c r="VWS45" s="478"/>
      <c r="VWT45" s="478"/>
      <c r="VWU45" s="478"/>
      <c r="VWV45" s="478"/>
      <c r="VWW45" s="478"/>
      <c r="VWX45" s="478"/>
      <c r="VWY45" s="478"/>
      <c r="VWZ45" s="478"/>
      <c r="VXA45" s="478"/>
      <c r="VXB45" s="478"/>
      <c r="VXC45" s="478"/>
      <c r="VXD45" s="478"/>
      <c r="VXE45" s="478"/>
      <c r="VXF45" s="478"/>
      <c r="VXG45" s="478"/>
      <c r="VXH45" s="478"/>
      <c r="VXI45" s="478"/>
      <c r="VXJ45" s="478"/>
      <c r="VXK45" s="478"/>
      <c r="VXL45" s="478"/>
      <c r="VXM45" s="478"/>
      <c r="VXN45" s="478"/>
      <c r="VXO45" s="478"/>
      <c r="VXP45" s="478"/>
      <c r="VXQ45" s="478"/>
      <c r="VXR45" s="478"/>
      <c r="VXS45" s="478"/>
      <c r="VXT45" s="478"/>
      <c r="VXU45" s="478"/>
      <c r="VXV45" s="478"/>
      <c r="VXW45" s="478"/>
      <c r="VXX45" s="478"/>
      <c r="VXY45" s="478"/>
      <c r="VXZ45" s="478"/>
      <c r="VYA45" s="478"/>
      <c r="VYB45" s="478"/>
      <c r="VYC45" s="478"/>
      <c r="VYD45" s="478"/>
      <c r="VYE45" s="478"/>
      <c r="VYF45" s="478"/>
      <c r="VYG45" s="478"/>
      <c r="VYH45" s="478"/>
      <c r="VYI45" s="478"/>
      <c r="VYJ45" s="478"/>
      <c r="VYK45" s="478"/>
      <c r="VYL45" s="478"/>
      <c r="VYM45" s="478"/>
      <c r="VYN45" s="478"/>
      <c r="VYO45" s="478"/>
      <c r="VYP45" s="478"/>
      <c r="VYQ45" s="478"/>
      <c r="VYR45" s="478"/>
      <c r="VYS45" s="478"/>
      <c r="VYT45" s="478"/>
      <c r="VYU45" s="478"/>
      <c r="VYV45" s="478"/>
      <c r="VYW45" s="478"/>
      <c r="VYX45" s="478"/>
      <c r="VYY45" s="478"/>
      <c r="VYZ45" s="478"/>
      <c r="VZA45" s="478"/>
      <c r="VZB45" s="478"/>
      <c r="VZC45" s="478"/>
      <c r="VZD45" s="478"/>
      <c r="VZE45" s="478"/>
      <c r="VZF45" s="478"/>
      <c r="VZG45" s="478"/>
      <c r="VZH45" s="478"/>
      <c r="VZI45" s="478"/>
      <c r="VZJ45" s="478"/>
      <c r="VZK45" s="478"/>
      <c r="VZL45" s="478"/>
      <c r="VZM45" s="478"/>
      <c r="VZN45" s="478"/>
      <c r="VZO45" s="478"/>
      <c r="VZP45" s="478"/>
      <c r="VZQ45" s="478"/>
      <c r="VZR45" s="478"/>
      <c r="VZS45" s="478"/>
      <c r="VZT45" s="478"/>
      <c r="VZU45" s="478"/>
      <c r="VZV45" s="478"/>
      <c r="VZW45" s="478"/>
      <c r="VZX45" s="478"/>
      <c r="VZY45" s="478"/>
      <c r="VZZ45" s="478"/>
      <c r="WAA45" s="478"/>
      <c r="WAB45" s="478"/>
      <c r="WAC45" s="478"/>
      <c r="WAD45" s="478"/>
      <c r="WAE45" s="478"/>
      <c r="WAF45" s="478"/>
      <c r="WAG45" s="478"/>
      <c r="WAH45" s="478"/>
      <c r="WAI45" s="478"/>
      <c r="WAJ45" s="478"/>
      <c r="WAK45" s="478"/>
      <c r="WAL45" s="478"/>
      <c r="WAM45" s="478"/>
      <c r="WAN45" s="478"/>
      <c r="WAO45" s="478"/>
      <c r="WAP45" s="478"/>
      <c r="WAQ45" s="478"/>
      <c r="WAR45" s="478"/>
      <c r="WAS45" s="478"/>
      <c r="WAT45" s="478"/>
      <c r="WAU45" s="478"/>
      <c r="WAV45" s="478"/>
      <c r="WAW45" s="478"/>
      <c r="WAX45" s="478"/>
      <c r="WAY45" s="478"/>
      <c r="WAZ45" s="478"/>
      <c r="WBA45" s="478"/>
      <c r="WBB45" s="478"/>
      <c r="WBC45" s="478"/>
      <c r="WBD45" s="478"/>
      <c r="WBE45" s="478"/>
      <c r="WBF45" s="478"/>
      <c r="WBG45" s="478"/>
      <c r="WBH45" s="478"/>
      <c r="WBI45" s="478"/>
      <c r="WBJ45" s="478"/>
      <c r="WBK45" s="478"/>
      <c r="WBL45" s="478"/>
      <c r="WBM45" s="478"/>
      <c r="WBN45" s="478"/>
      <c r="WBO45" s="478"/>
      <c r="WBP45" s="478"/>
      <c r="WBQ45" s="478"/>
      <c r="WBR45" s="478"/>
      <c r="WBS45" s="478"/>
      <c r="WBT45" s="478"/>
      <c r="WBU45" s="478"/>
      <c r="WBV45" s="478"/>
      <c r="WBW45" s="478"/>
      <c r="WBX45" s="478"/>
      <c r="WBY45" s="478"/>
      <c r="WBZ45" s="478"/>
      <c r="WCA45" s="478"/>
      <c r="WCB45" s="478"/>
      <c r="WCC45" s="478"/>
      <c r="WCD45" s="478"/>
      <c r="WCE45" s="478"/>
      <c r="WCF45" s="478"/>
      <c r="WCG45" s="478"/>
      <c r="WCH45" s="478"/>
      <c r="WCI45" s="478"/>
      <c r="WCJ45" s="478"/>
      <c r="WCK45" s="478"/>
      <c r="WCL45" s="478"/>
      <c r="WCM45" s="478"/>
      <c r="WCN45" s="478"/>
      <c r="WCO45" s="478"/>
      <c r="WCP45" s="478"/>
      <c r="WCQ45" s="478"/>
      <c r="WCR45" s="478"/>
      <c r="WCS45" s="478"/>
      <c r="WCT45" s="478"/>
      <c r="WCU45" s="478"/>
      <c r="WCV45" s="478"/>
      <c r="WCW45" s="478"/>
      <c r="WCX45" s="478"/>
      <c r="WCY45" s="478"/>
      <c r="WCZ45" s="478"/>
      <c r="WDA45" s="478"/>
      <c r="WDB45" s="478"/>
      <c r="WDC45" s="478"/>
      <c r="WDD45" s="478"/>
      <c r="WDE45" s="478"/>
      <c r="WDF45" s="478"/>
      <c r="WDG45" s="478"/>
      <c r="WDH45" s="478"/>
      <c r="WDI45" s="478"/>
      <c r="WDJ45" s="478"/>
      <c r="WDK45" s="478"/>
      <c r="WDL45" s="478"/>
      <c r="WDM45" s="478"/>
      <c r="WDN45" s="478"/>
      <c r="WDO45" s="478"/>
      <c r="WDP45" s="478"/>
      <c r="WDQ45" s="478"/>
      <c r="WDR45" s="478"/>
      <c r="WDS45" s="478"/>
      <c r="WDT45" s="478"/>
      <c r="WDU45" s="478"/>
      <c r="WDV45" s="478"/>
      <c r="WDW45" s="478"/>
      <c r="WDX45" s="478"/>
      <c r="WDY45" s="478"/>
      <c r="WDZ45" s="478"/>
      <c r="WEA45" s="478"/>
      <c r="WEB45" s="478"/>
      <c r="WEC45" s="478"/>
      <c r="WED45" s="478"/>
      <c r="WEE45" s="478"/>
      <c r="WEF45" s="478"/>
      <c r="WEG45" s="478"/>
      <c r="WEH45" s="478"/>
      <c r="WEI45" s="478"/>
      <c r="WEJ45" s="478"/>
      <c r="WEK45" s="478"/>
      <c r="WEL45" s="478"/>
      <c r="WEM45" s="478"/>
      <c r="WEN45" s="478"/>
      <c r="WEO45" s="478"/>
      <c r="WEP45" s="478"/>
      <c r="WEQ45" s="478"/>
      <c r="WER45" s="478"/>
      <c r="WES45" s="478"/>
      <c r="WET45" s="478"/>
      <c r="WEU45" s="478"/>
      <c r="WEV45" s="478"/>
      <c r="WEW45" s="478"/>
      <c r="WEX45" s="478"/>
      <c r="WEY45" s="478"/>
      <c r="WEZ45" s="478"/>
      <c r="WFA45" s="478"/>
      <c r="WFB45" s="478"/>
      <c r="WFC45" s="478"/>
      <c r="WFD45" s="478"/>
      <c r="WFE45" s="478"/>
      <c r="WFF45" s="478"/>
      <c r="WFG45" s="478"/>
      <c r="WFH45" s="478"/>
      <c r="WFI45" s="478"/>
      <c r="WFJ45" s="478"/>
      <c r="WFK45" s="478"/>
      <c r="WFL45" s="478"/>
      <c r="WFM45" s="478"/>
      <c r="WFN45" s="478"/>
      <c r="WFO45" s="478"/>
      <c r="WFP45" s="478"/>
      <c r="WFQ45" s="478"/>
      <c r="WFR45" s="478"/>
      <c r="WFS45" s="478"/>
      <c r="WFT45" s="478"/>
      <c r="WFU45" s="478"/>
      <c r="WFV45" s="478"/>
      <c r="WFW45" s="478"/>
      <c r="WFX45" s="478"/>
      <c r="WFY45" s="478"/>
      <c r="WFZ45" s="478"/>
      <c r="WGA45" s="478"/>
      <c r="WGB45" s="478"/>
      <c r="WGC45" s="478"/>
      <c r="WGD45" s="478"/>
      <c r="WGE45" s="478"/>
      <c r="WGF45" s="478"/>
      <c r="WGG45" s="478"/>
      <c r="WGH45" s="478"/>
      <c r="WGI45" s="478"/>
      <c r="WGJ45" s="478"/>
      <c r="WGK45" s="478"/>
      <c r="WGL45" s="478"/>
      <c r="WGM45" s="478"/>
      <c r="WGN45" s="478"/>
      <c r="WGO45" s="478"/>
      <c r="WGP45" s="478"/>
      <c r="WGQ45" s="478"/>
      <c r="WGR45" s="478"/>
      <c r="WGS45" s="478"/>
      <c r="WGT45" s="478"/>
      <c r="WGU45" s="478"/>
      <c r="WGV45" s="478"/>
      <c r="WGW45" s="478"/>
      <c r="WGX45" s="478"/>
      <c r="WGY45" s="478"/>
      <c r="WGZ45" s="478"/>
      <c r="WHA45" s="478"/>
      <c r="WHB45" s="478"/>
      <c r="WHC45" s="478"/>
      <c r="WHD45" s="478"/>
      <c r="WHE45" s="478"/>
      <c r="WHF45" s="478"/>
      <c r="WHG45" s="478"/>
      <c r="WHH45" s="478"/>
      <c r="WHI45" s="478"/>
      <c r="WHJ45" s="478"/>
      <c r="WHK45" s="478"/>
      <c r="WHL45" s="478"/>
      <c r="WHM45" s="478"/>
      <c r="WHN45" s="478"/>
      <c r="WHO45" s="478"/>
      <c r="WHP45" s="478"/>
      <c r="WHQ45" s="478"/>
      <c r="WHR45" s="478"/>
      <c r="WHS45" s="478"/>
      <c r="WHT45" s="478"/>
      <c r="WHU45" s="478"/>
      <c r="WHV45" s="478"/>
      <c r="WHW45" s="478"/>
      <c r="WHX45" s="478"/>
      <c r="WHY45" s="478"/>
      <c r="WHZ45" s="478"/>
      <c r="WIA45" s="478"/>
      <c r="WIB45" s="478"/>
      <c r="WIC45" s="478"/>
      <c r="WID45" s="478"/>
      <c r="WIE45" s="478"/>
      <c r="WIF45" s="478"/>
      <c r="WIG45" s="478"/>
      <c r="WIH45" s="478"/>
      <c r="WII45" s="478"/>
      <c r="WIJ45" s="478"/>
      <c r="WIK45" s="478"/>
      <c r="WIL45" s="478"/>
      <c r="WIM45" s="478"/>
      <c r="WIN45" s="478"/>
      <c r="WIO45" s="478"/>
      <c r="WIP45" s="478"/>
      <c r="WIQ45" s="478"/>
      <c r="WIR45" s="478"/>
      <c r="WIS45" s="478"/>
      <c r="WIT45" s="478"/>
      <c r="WIU45" s="478"/>
      <c r="WIV45" s="478"/>
      <c r="WIW45" s="478"/>
      <c r="WIX45" s="478"/>
      <c r="WIY45" s="478"/>
      <c r="WIZ45" s="478"/>
      <c r="WJA45" s="478"/>
      <c r="WJB45" s="478"/>
      <c r="WJC45" s="478"/>
      <c r="WJD45" s="478"/>
      <c r="WJE45" s="478"/>
      <c r="WJF45" s="478"/>
      <c r="WJG45" s="478"/>
      <c r="WJH45" s="478"/>
      <c r="WJI45" s="478"/>
      <c r="WJJ45" s="478"/>
      <c r="WJK45" s="478"/>
      <c r="WJL45" s="478"/>
      <c r="WJM45" s="478"/>
      <c r="WJN45" s="478"/>
      <c r="WJO45" s="478"/>
      <c r="WJP45" s="478"/>
      <c r="WJQ45" s="478"/>
      <c r="WJR45" s="478"/>
      <c r="WJS45" s="478"/>
      <c r="WJT45" s="478"/>
      <c r="WJU45" s="478"/>
      <c r="WJV45" s="478"/>
      <c r="WJW45" s="478"/>
      <c r="WJX45" s="478"/>
      <c r="WJY45" s="478"/>
      <c r="WJZ45" s="478"/>
      <c r="WKA45" s="478"/>
      <c r="WKB45" s="478"/>
      <c r="WKC45" s="478"/>
      <c r="WKD45" s="478"/>
      <c r="WKE45" s="478"/>
      <c r="WKF45" s="478"/>
      <c r="WKG45" s="478"/>
      <c r="WKH45" s="478"/>
      <c r="WKI45" s="478"/>
      <c r="WKJ45" s="478"/>
      <c r="WKK45" s="478"/>
      <c r="WKL45" s="478"/>
      <c r="WKM45" s="478"/>
      <c r="WKN45" s="478"/>
      <c r="WKO45" s="478"/>
      <c r="WKP45" s="478"/>
      <c r="WKQ45" s="478"/>
      <c r="WKR45" s="478"/>
      <c r="WKS45" s="478"/>
      <c r="WKT45" s="478"/>
      <c r="WKU45" s="478"/>
      <c r="WKV45" s="478"/>
      <c r="WKW45" s="478"/>
      <c r="WKX45" s="478"/>
      <c r="WKY45" s="478"/>
      <c r="WKZ45" s="478"/>
      <c r="WLA45" s="478"/>
      <c r="WLB45" s="478"/>
      <c r="WLC45" s="478"/>
      <c r="WLD45" s="478"/>
      <c r="WLE45" s="478"/>
      <c r="WLF45" s="478"/>
      <c r="WLG45" s="478"/>
      <c r="WLH45" s="478"/>
      <c r="WLI45" s="478"/>
      <c r="WLJ45" s="478"/>
      <c r="WLK45" s="478"/>
      <c r="WLL45" s="478"/>
      <c r="WLM45" s="478"/>
      <c r="WLN45" s="478"/>
      <c r="WLO45" s="478"/>
      <c r="WLP45" s="478"/>
      <c r="WLQ45" s="478"/>
      <c r="WLR45" s="478"/>
      <c r="WLS45" s="478"/>
      <c r="WLT45" s="478"/>
      <c r="WLU45" s="478"/>
      <c r="WLV45" s="478"/>
      <c r="WLW45" s="478"/>
      <c r="WLX45" s="478"/>
      <c r="WLY45" s="478"/>
      <c r="WLZ45" s="478"/>
      <c r="WMA45" s="478"/>
      <c r="WMB45" s="478"/>
      <c r="WMC45" s="478"/>
      <c r="WMD45" s="478"/>
      <c r="WME45" s="478"/>
      <c r="WMF45" s="478"/>
      <c r="WMG45" s="478"/>
      <c r="WMH45" s="478"/>
      <c r="WMI45" s="478"/>
      <c r="WMJ45" s="478"/>
      <c r="WMK45" s="478"/>
      <c r="WML45" s="478"/>
      <c r="WMM45" s="478"/>
      <c r="WMN45" s="478"/>
      <c r="WMO45" s="478"/>
      <c r="WMP45" s="478"/>
      <c r="WMQ45" s="478"/>
      <c r="WMR45" s="478"/>
      <c r="WMS45" s="478"/>
      <c r="WMT45" s="478"/>
      <c r="WMU45" s="478"/>
      <c r="WMV45" s="478"/>
      <c r="WMW45" s="478"/>
      <c r="WMX45" s="478"/>
      <c r="WMY45" s="478"/>
      <c r="WMZ45" s="478"/>
      <c r="WNA45" s="478"/>
      <c r="WNB45" s="478"/>
      <c r="WNC45" s="478"/>
      <c r="WND45" s="478"/>
      <c r="WNE45" s="478"/>
      <c r="WNF45" s="478"/>
      <c r="WNG45" s="478"/>
      <c r="WNH45" s="478"/>
      <c r="WNI45" s="478"/>
      <c r="WNJ45" s="478"/>
      <c r="WNK45" s="478"/>
      <c r="WNL45" s="478"/>
      <c r="WNM45" s="478"/>
      <c r="WNN45" s="478"/>
      <c r="WNO45" s="478"/>
      <c r="WNP45" s="478"/>
      <c r="WNQ45" s="478"/>
      <c r="WNR45" s="478"/>
      <c r="WNS45" s="478"/>
      <c r="WNT45" s="478"/>
      <c r="WNU45" s="478"/>
      <c r="WNV45" s="478"/>
      <c r="WNW45" s="478"/>
      <c r="WNX45" s="478"/>
      <c r="WNY45" s="478"/>
      <c r="WNZ45" s="478"/>
      <c r="WOA45" s="478"/>
      <c r="WOB45" s="478"/>
      <c r="WOC45" s="478"/>
      <c r="WOD45" s="478"/>
      <c r="WOE45" s="478"/>
      <c r="WOF45" s="478"/>
      <c r="WOG45" s="478"/>
      <c r="WOH45" s="478"/>
      <c r="WOI45" s="478"/>
      <c r="WOJ45" s="478"/>
      <c r="WOK45" s="478"/>
      <c r="WOL45" s="478"/>
      <c r="WOM45" s="478"/>
      <c r="WON45" s="478"/>
      <c r="WOO45" s="478"/>
      <c r="WOP45" s="478"/>
      <c r="WOQ45" s="478"/>
      <c r="WOR45" s="478"/>
      <c r="WOS45" s="478"/>
      <c r="WOT45" s="478"/>
      <c r="WOU45" s="478"/>
      <c r="WOV45" s="478"/>
      <c r="WOW45" s="478"/>
      <c r="WOX45" s="478"/>
      <c r="WOY45" s="478"/>
      <c r="WOZ45" s="478"/>
      <c r="WPA45" s="478"/>
      <c r="WPB45" s="478"/>
      <c r="WPC45" s="478"/>
      <c r="WPD45" s="478"/>
      <c r="WPE45" s="478"/>
      <c r="WPF45" s="478"/>
      <c r="WPG45" s="478"/>
      <c r="WPH45" s="478"/>
      <c r="WPI45" s="478"/>
      <c r="WPJ45" s="478"/>
      <c r="WPK45" s="478"/>
      <c r="WPL45" s="478"/>
      <c r="WPM45" s="478"/>
      <c r="WPN45" s="478"/>
      <c r="WPO45" s="478"/>
      <c r="WPP45" s="478"/>
      <c r="WPQ45" s="478"/>
      <c r="WPR45" s="478"/>
      <c r="WPS45" s="478"/>
      <c r="WPT45" s="478"/>
      <c r="WPU45" s="478"/>
      <c r="WPV45" s="478"/>
      <c r="WPW45" s="478"/>
      <c r="WPX45" s="478"/>
      <c r="WPY45" s="478"/>
      <c r="WPZ45" s="478"/>
      <c r="WQA45" s="478"/>
      <c r="WQB45" s="478"/>
      <c r="WQC45" s="478"/>
      <c r="WQD45" s="478"/>
      <c r="WQE45" s="478"/>
      <c r="WQF45" s="478"/>
      <c r="WQG45" s="478"/>
      <c r="WQH45" s="478"/>
      <c r="WQI45" s="478"/>
      <c r="WQJ45" s="478"/>
      <c r="WQK45" s="478"/>
      <c r="WQL45" s="478"/>
      <c r="WQM45" s="478"/>
      <c r="WQN45" s="478"/>
      <c r="WQO45" s="478"/>
      <c r="WQP45" s="478"/>
      <c r="WQQ45" s="478"/>
      <c r="WQR45" s="478"/>
      <c r="WQS45" s="478"/>
      <c r="WQT45" s="478"/>
      <c r="WQU45" s="478"/>
      <c r="WQV45" s="478"/>
      <c r="WQW45" s="478"/>
      <c r="WQX45" s="478"/>
      <c r="WQY45" s="478"/>
      <c r="WQZ45" s="478"/>
      <c r="WRA45" s="478"/>
      <c r="WRB45" s="478"/>
      <c r="WRC45" s="478"/>
      <c r="WRD45" s="478"/>
      <c r="WRE45" s="478"/>
      <c r="WRF45" s="478"/>
      <c r="WRG45" s="478"/>
      <c r="WRH45" s="478"/>
      <c r="WRI45" s="478"/>
      <c r="WRJ45" s="478"/>
      <c r="WRK45" s="478"/>
      <c r="WRL45" s="478"/>
      <c r="WRM45" s="478"/>
      <c r="WRN45" s="478"/>
      <c r="WRO45" s="478"/>
      <c r="WRP45" s="478"/>
      <c r="WRQ45" s="478"/>
      <c r="WRR45" s="478"/>
      <c r="WRS45" s="478"/>
      <c r="WRT45" s="478"/>
      <c r="WRU45" s="478"/>
      <c r="WRV45" s="478"/>
      <c r="WRW45" s="478"/>
      <c r="WRX45" s="478"/>
      <c r="WRY45" s="478"/>
      <c r="WRZ45" s="478"/>
      <c r="WSA45" s="478"/>
      <c r="WSB45" s="478"/>
      <c r="WSC45" s="478"/>
      <c r="WSD45" s="478"/>
      <c r="WSE45" s="478"/>
      <c r="WSF45" s="478"/>
      <c r="WSG45" s="478"/>
      <c r="WSH45" s="478"/>
      <c r="WSI45" s="478"/>
      <c r="WSJ45" s="478"/>
      <c r="WSK45" s="478"/>
      <c r="WSL45" s="478"/>
      <c r="WSM45" s="478"/>
      <c r="WSN45" s="478"/>
      <c r="WSO45" s="478"/>
      <c r="WSP45" s="478"/>
      <c r="WSQ45" s="478"/>
      <c r="WSR45" s="478"/>
      <c r="WSS45" s="478"/>
      <c r="WST45" s="478"/>
      <c r="WSU45" s="478"/>
      <c r="WSV45" s="478"/>
      <c r="WSW45" s="478"/>
      <c r="WSX45" s="478"/>
      <c r="WSY45" s="478"/>
      <c r="WSZ45" s="478"/>
      <c r="WTA45" s="478"/>
      <c r="WTB45" s="478"/>
      <c r="WTC45" s="478"/>
      <c r="WTD45" s="478"/>
      <c r="WTE45" s="478"/>
      <c r="WTF45" s="478"/>
      <c r="WTG45" s="478"/>
      <c r="WTH45" s="478"/>
      <c r="WTI45" s="478"/>
      <c r="WTJ45" s="478"/>
      <c r="WTK45" s="478"/>
      <c r="WTL45" s="478"/>
      <c r="WTM45" s="478"/>
      <c r="WTN45" s="478"/>
      <c r="WTO45" s="478"/>
      <c r="WTP45" s="478"/>
      <c r="WTQ45" s="478"/>
      <c r="WTR45" s="478"/>
      <c r="WTS45" s="478"/>
      <c r="WTT45" s="478"/>
      <c r="WTU45" s="478"/>
      <c r="WTV45" s="478"/>
      <c r="WTW45" s="478"/>
      <c r="WTX45" s="478"/>
      <c r="WTY45" s="478"/>
      <c r="WTZ45" s="478"/>
      <c r="WUA45" s="478"/>
      <c r="WUB45" s="478"/>
      <c r="WUC45" s="478"/>
      <c r="WUD45" s="478"/>
      <c r="WUE45" s="478"/>
      <c r="WUF45" s="478"/>
      <c r="WUG45" s="478"/>
      <c r="WUH45" s="478"/>
      <c r="WUI45" s="478"/>
      <c r="WUJ45" s="478"/>
      <c r="WUK45" s="478"/>
      <c r="WUL45" s="478"/>
      <c r="WUM45" s="478"/>
      <c r="WUN45" s="478"/>
      <c r="WUO45" s="478"/>
      <c r="WUP45" s="478"/>
      <c r="WUQ45" s="478"/>
      <c r="WUR45" s="478"/>
      <c r="WUS45" s="478"/>
      <c r="WUT45" s="478"/>
      <c r="WUU45" s="478"/>
      <c r="WUV45" s="478"/>
      <c r="WUW45" s="478"/>
      <c r="WUX45" s="478"/>
      <c r="WUY45" s="478"/>
      <c r="WUZ45" s="478"/>
      <c r="WVA45" s="478"/>
      <c r="WVB45" s="478"/>
      <c r="WVC45" s="478"/>
      <c r="WVD45" s="478"/>
      <c r="WVE45" s="478"/>
      <c r="WVF45" s="478"/>
      <c r="WVG45" s="478"/>
      <c r="WVH45" s="478"/>
      <c r="WVI45" s="478"/>
      <c r="WVJ45" s="478"/>
      <c r="WVK45" s="478"/>
      <c r="WVL45" s="478"/>
      <c r="WVM45" s="478"/>
      <c r="WVN45" s="478"/>
      <c r="WVO45" s="478"/>
      <c r="WVP45" s="478"/>
      <c r="WVQ45" s="478"/>
      <c r="WVR45" s="478"/>
      <c r="WVS45" s="478"/>
      <c r="WVT45" s="478"/>
      <c r="WVU45" s="478"/>
      <c r="WVV45" s="478"/>
      <c r="WVW45" s="478"/>
      <c r="WVX45" s="478"/>
      <c r="WVY45" s="478"/>
      <c r="WVZ45" s="478"/>
      <c r="WWA45" s="478"/>
      <c r="WWB45" s="478"/>
      <c r="WWC45" s="478"/>
      <c r="WWD45" s="478"/>
      <c r="WWE45" s="478"/>
      <c r="WWF45" s="478"/>
      <c r="WWG45" s="478"/>
      <c r="WWH45" s="478"/>
      <c r="WWI45" s="478"/>
      <c r="WWJ45" s="478"/>
      <c r="WWK45" s="478"/>
      <c r="WWL45" s="478"/>
      <c r="WWM45" s="478"/>
      <c r="WWN45" s="478"/>
      <c r="WWO45" s="478"/>
      <c r="WWP45" s="478"/>
      <c r="WWQ45" s="478"/>
      <c r="WWR45" s="478"/>
      <c r="WWS45" s="478"/>
      <c r="WWT45" s="478"/>
      <c r="WWU45" s="478"/>
      <c r="WWV45" s="478"/>
      <c r="WWW45" s="478"/>
      <c r="WWX45" s="478"/>
      <c r="WWY45" s="478"/>
      <c r="WWZ45" s="478"/>
      <c r="WXA45" s="478"/>
      <c r="WXB45" s="478"/>
      <c r="WXC45" s="478"/>
      <c r="WXD45" s="478"/>
      <c r="WXE45" s="478"/>
      <c r="WXF45" s="478"/>
      <c r="WXG45" s="478"/>
      <c r="WXH45" s="478"/>
      <c r="WXI45" s="478"/>
      <c r="WXJ45" s="478"/>
      <c r="WXK45" s="478"/>
      <c r="WXL45" s="478"/>
      <c r="WXM45" s="478"/>
      <c r="WXN45" s="478"/>
      <c r="WXO45" s="478"/>
      <c r="WXP45" s="478"/>
      <c r="WXQ45" s="478"/>
      <c r="WXR45" s="478"/>
      <c r="WXS45" s="478"/>
      <c r="WXT45" s="478"/>
      <c r="WXU45" s="478"/>
      <c r="WXV45" s="478"/>
      <c r="WXW45" s="478"/>
      <c r="WXX45" s="478"/>
      <c r="WXY45" s="478"/>
      <c r="WXZ45" s="478"/>
      <c r="WYA45" s="478"/>
      <c r="WYB45" s="478"/>
      <c r="WYC45" s="478"/>
      <c r="WYD45" s="478"/>
      <c r="WYE45" s="478"/>
      <c r="WYF45" s="478"/>
      <c r="WYG45" s="478"/>
      <c r="WYH45" s="478"/>
      <c r="WYI45" s="478"/>
      <c r="WYJ45" s="478"/>
      <c r="WYK45" s="478"/>
      <c r="WYL45" s="478"/>
      <c r="WYM45" s="478"/>
      <c r="WYN45" s="478"/>
      <c r="WYO45" s="478"/>
      <c r="WYP45" s="478"/>
      <c r="WYQ45" s="478"/>
      <c r="WYR45" s="478"/>
      <c r="WYS45" s="478"/>
      <c r="WYT45" s="478"/>
      <c r="WYU45" s="478"/>
      <c r="WYV45" s="478"/>
      <c r="WYW45" s="478"/>
      <c r="WYX45" s="478"/>
      <c r="WYY45" s="478"/>
      <c r="WYZ45" s="478"/>
      <c r="WZA45" s="478"/>
      <c r="WZB45" s="478"/>
      <c r="WZC45" s="478"/>
      <c r="WZD45" s="478"/>
      <c r="WZE45" s="478"/>
      <c r="WZF45" s="478"/>
      <c r="WZG45" s="478"/>
      <c r="WZH45" s="478"/>
      <c r="WZI45" s="478"/>
      <c r="WZJ45" s="478"/>
      <c r="WZK45" s="478"/>
      <c r="WZL45" s="478"/>
      <c r="WZM45" s="478"/>
      <c r="WZN45" s="478"/>
      <c r="WZO45" s="478"/>
      <c r="WZP45" s="478"/>
      <c r="WZQ45" s="478"/>
      <c r="WZR45" s="478"/>
      <c r="WZS45" s="478"/>
      <c r="WZT45" s="478"/>
      <c r="WZU45" s="478"/>
      <c r="WZV45" s="478"/>
      <c r="WZW45" s="478"/>
      <c r="WZX45" s="478"/>
      <c r="WZY45" s="478"/>
      <c r="WZZ45" s="478"/>
      <c r="XAA45" s="478"/>
      <c r="XAB45" s="478"/>
      <c r="XAC45" s="478"/>
      <c r="XAD45" s="478"/>
      <c r="XAE45" s="478"/>
      <c r="XAF45" s="478"/>
      <c r="XAG45" s="478"/>
      <c r="XAH45" s="478"/>
      <c r="XAI45" s="478"/>
      <c r="XAJ45" s="478"/>
      <c r="XAK45" s="478"/>
      <c r="XAL45" s="478"/>
      <c r="XAM45" s="478"/>
      <c r="XAN45" s="478"/>
      <c r="XAO45" s="478"/>
      <c r="XAP45" s="478"/>
      <c r="XAQ45" s="478"/>
      <c r="XAR45" s="478"/>
      <c r="XAS45" s="478"/>
      <c r="XAT45" s="478"/>
      <c r="XAU45" s="478"/>
      <c r="XAV45" s="478"/>
      <c r="XAW45" s="478"/>
      <c r="XAX45" s="478"/>
      <c r="XAY45" s="478"/>
      <c r="XAZ45" s="478"/>
      <c r="XBA45" s="478"/>
      <c r="XBB45" s="478"/>
      <c r="XBC45" s="478"/>
      <c r="XBD45" s="478"/>
      <c r="XBE45" s="478"/>
      <c r="XBF45" s="478"/>
      <c r="XBG45" s="478"/>
      <c r="XBH45" s="478"/>
      <c r="XBI45" s="478"/>
      <c r="XBJ45" s="478"/>
      <c r="XBK45" s="478"/>
      <c r="XBL45" s="478"/>
      <c r="XBM45" s="478"/>
      <c r="XBN45" s="478"/>
      <c r="XBO45" s="478"/>
      <c r="XBP45" s="478"/>
      <c r="XBQ45" s="478"/>
      <c r="XBR45" s="478"/>
      <c r="XBS45" s="478"/>
      <c r="XBT45" s="478"/>
      <c r="XBU45" s="478"/>
      <c r="XBV45" s="478"/>
      <c r="XBW45" s="478"/>
      <c r="XBX45" s="478"/>
      <c r="XBY45" s="478"/>
      <c r="XBZ45" s="478"/>
      <c r="XCA45" s="478"/>
      <c r="XCB45" s="478"/>
      <c r="XCC45" s="478"/>
      <c r="XCD45" s="478"/>
      <c r="XCE45" s="478"/>
      <c r="XCF45" s="478"/>
      <c r="XCG45" s="478"/>
      <c r="XCH45" s="478"/>
      <c r="XCI45" s="478"/>
      <c r="XCJ45" s="478"/>
      <c r="XCK45" s="478"/>
      <c r="XCL45" s="478"/>
      <c r="XCM45" s="478"/>
      <c r="XCN45" s="478"/>
      <c r="XCO45" s="478"/>
      <c r="XCP45" s="478"/>
      <c r="XCQ45" s="478"/>
      <c r="XCR45" s="478"/>
      <c r="XCS45" s="478"/>
      <c r="XCT45" s="478"/>
      <c r="XCU45" s="478"/>
      <c r="XCV45" s="478"/>
      <c r="XCW45" s="478"/>
      <c r="XCX45" s="478"/>
      <c r="XCY45" s="478"/>
      <c r="XCZ45" s="478"/>
      <c r="XDA45" s="478"/>
      <c r="XDB45" s="478"/>
      <c r="XDC45" s="478"/>
      <c r="XDD45" s="478"/>
      <c r="XDE45" s="478"/>
      <c r="XDF45" s="478"/>
      <c r="XDG45" s="478"/>
      <c r="XDH45" s="478"/>
      <c r="XDI45" s="478"/>
      <c r="XDJ45" s="478"/>
      <c r="XDK45" s="478"/>
      <c r="XDL45" s="478"/>
      <c r="XDM45" s="478"/>
      <c r="XDN45" s="478"/>
      <c r="XDO45" s="478"/>
      <c r="XDP45" s="478"/>
      <c r="XDQ45" s="478"/>
      <c r="XDR45" s="478"/>
      <c r="XDS45" s="478"/>
      <c r="XDT45" s="478"/>
      <c r="XDU45" s="478"/>
      <c r="XDV45" s="478"/>
      <c r="XDW45" s="478"/>
      <c r="XDX45" s="478"/>
      <c r="XDY45" s="478"/>
      <c r="XDZ45" s="478"/>
      <c r="XEA45" s="478"/>
      <c r="XEB45" s="478"/>
      <c r="XEC45" s="478"/>
      <c r="XED45" s="478"/>
      <c r="XEE45" s="478"/>
      <c r="XEF45" s="478"/>
      <c r="XEG45" s="478"/>
      <c r="XEH45" s="478"/>
      <c r="XEI45" s="478"/>
      <c r="XEJ45" s="478"/>
      <c r="XEK45" s="478"/>
      <c r="XEL45" s="478"/>
      <c r="XEM45" s="478"/>
      <c r="XEN45" s="478"/>
      <c r="XEO45" s="478"/>
      <c r="XEP45" s="478"/>
      <c r="XEQ45" s="478"/>
      <c r="XER45" s="478"/>
      <c r="XES45" s="478"/>
      <c r="XET45" s="478"/>
      <c r="XEU45" s="478"/>
      <c r="XEV45" s="478"/>
      <c r="XEW45" s="478"/>
      <c r="XEX45" s="478"/>
      <c r="XEY45" s="478"/>
      <c r="XEZ45" s="478"/>
      <c r="XFA45" s="478"/>
      <c r="XFB45" s="478"/>
      <c r="XFC45" s="478"/>
      <c r="XFD45" s="478"/>
    </row>
    <row r="46" s="344" customFormat="1" customHeight="1" spans="1:16384">
      <c r="A46" s="380" t="str">
        <f t="shared" si="28"/>
        <v>ZU6-1</v>
      </c>
      <c r="B46" s="381">
        <f t="shared" si="4"/>
        <v>210.09</v>
      </c>
      <c r="C46" s="381">
        <f t="shared" si="5"/>
        <v>230.09</v>
      </c>
      <c r="D46" s="382">
        <f t="shared" si="6"/>
        <v>20</v>
      </c>
      <c r="E46" s="383">
        <f t="shared" si="7"/>
        <v>3.348</v>
      </c>
      <c r="F46" s="383">
        <f t="shared" si="8"/>
        <v>3.348</v>
      </c>
      <c r="G46" s="383">
        <f t="shared" si="9"/>
        <v>-1.15032</v>
      </c>
      <c r="H46" s="383">
        <f t="shared" si="10"/>
        <v>-1.928</v>
      </c>
      <c r="I46" s="383">
        <f t="shared" si="11"/>
        <v>4.49832</v>
      </c>
      <c r="J46" s="414">
        <f t="shared" si="12"/>
        <v>5.276</v>
      </c>
      <c r="K46" s="415">
        <f t="shared" si="13"/>
        <v>0.7</v>
      </c>
      <c r="L46" s="415">
        <f>LOOKUP(MAX(J46,I46),{0,3,4,5,6.5,7.5,9,10},{0.3,0.4,0.5,0.6,0.7,0.8,0.9})</f>
        <v>0.6</v>
      </c>
      <c r="M46" s="415">
        <f t="shared" si="14"/>
        <v>13.7</v>
      </c>
      <c r="N46" s="415">
        <f t="shared" si="15"/>
        <v>13.7</v>
      </c>
      <c r="O46" s="416">
        <f t="shared" si="16"/>
        <v>2.33428</v>
      </c>
      <c r="P46" s="417">
        <f t="shared" si="17"/>
        <v>2.61196</v>
      </c>
      <c r="Q46" s="417">
        <f t="shared" si="18"/>
        <v>1.75</v>
      </c>
      <c r="R46" s="382">
        <f t="shared" si="19"/>
        <v>1.75</v>
      </c>
      <c r="S46" s="456">
        <f t="shared" si="20"/>
        <v>0</v>
      </c>
      <c r="T46" s="457">
        <f t="shared" si="21"/>
        <v>2.11827</v>
      </c>
      <c r="U46" s="416">
        <f t="shared" si="22"/>
        <v>2.10595</v>
      </c>
      <c r="V46" s="416">
        <f t="shared" si="23"/>
        <v>0.45</v>
      </c>
      <c r="W46" s="457">
        <f t="shared" si="24"/>
        <v>0.45</v>
      </c>
      <c r="X46" s="458">
        <f t="shared" si="25"/>
        <v>0</v>
      </c>
      <c r="Y46" s="447">
        <f t="shared" si="26"/>
        <v>0</v>
      </c>
      <c r="Z46" s="447">
        <f t="shared" si="27"/>
        <v>0</v>
      </c>
      <c r="AA46" s="478"/>
      <c r="AB46" s="479"/>
      <c r="AC46" s="479"/>
      <c r="AD46" s="478"/>
      <c r="AE46" s="478"/>
      <c r="AF46" s="478"/>
      <c r="AG46" s="478"/>
      <c r="AH46" s="478"/>
      <c r="AI46" s="478"/>
      <c r="AJ46" s="478"/>
      <c r="AK46" s="478"/>
      <c r="AL46" s="478"/>
      <c r="AM46" s="478"/>
      <c r="AN46" s="478"/>
      <c r="AO46" s="478"/>
      <c r="AP46" s="478"/>
      <c r="AQ46" s="478"/>
      <c r="AR46" s="478"/>
      <c r="AS46" s="478"/>
      <c r="AT46" s="478"/>
      <c r="AU46" s="478"/>
      <c r="AV46" s="478"/>
      <c r="AW46" s="478"/>
      <c r="AX46" s="478"/>
      <c r="AY46" s="478"/>
      <c r="AZ46" s="478"/>
      <c r="BA46" s="478"/>
      <c r="BB46" s="478"/>
      <c r="BC46" s="478"/>
      <c r="BD46" s="478"/>
      <c r="BE46" s="478"/>
      <c r="BF46" s="478"/>
      <c r="BG46" s="478"/>
      <c r="BH46" s="478"/>
      <c r="BI46" s="478"/>
      <c r="BJ46" s="478"/>
      <c r="BK46" s="478"/>
      <c r="BL46" s="478"/>
      <c r="BM46" s="478"/>
      <c r="BN46" s="478"/>
      <c r="BO46" s="478"/>
      <c r="BP46" s="478"/>
      <c r="BQ46" s="478"/>
      <c r="BR46" s="478"/>
      <c r="BS46" s="478"/>
      <c r="BT46" s="478"/>
      <c r="BU46" s="478"/>
      <c r="BV46" s="478"/>
      <c r="BW46" s="478"/>
      <c r="BX46" s="478"/>
      <c r="BY46" s="478"/>
      <c r="BZ46" s="478"/>
      <c r="CA46" s="478"/>
      <c r="CB46" s="478"/>
      <c r="CC46" s="478"/>
      <c r="CD46" s="478"/>
      <c r="CE46" s="478"/>
      <c r="CF46" s="478"/>
      <c r="CG46" s="478"/>
      <c r="CH46" s="478"/>
      <c r="CI46" s="478"/>
      <c r="CJ46" s="478"/>
      <c r="CK46" s="478"/>
      <c r="CL46" s="478"/>
      <c r="CM46" s="478"/>
      <c r="CN46" s="478"/>
      <c r="CO46" s="478"/>
      <c r="CP46" s="478"/>
      <c r="CQ46" s="478"/>
      <c r="CR46" s="478"/>
      <c r="CS46" s="478"/>
      <c r="CT46" s="478"/>
      <c r="CU46" s="478"/>
      <c r="CV46" s="478"/>
      <c r="CW46" s="478"/>
      <c r="CX46" s="478"/>
      <c r="CY46" s="478"/>
      <c r="CZ46" s="478"/>
      <c r="DA46" s="478"/>
      <c r="DB46" s="478"/>
      <c r="DC46" s="478"/>
      <c r="DD46" s="478"/>
      <c r="DE46" s="478"/>
      <c r="DF46" s="478"/>
      <c r="DG46" s="478"/>
      <c r="DH46" s="478"/>
      <c r="DI46" s="478"/>
      <c r="DJ46" s="478"/>
      <c r="DK46" s="478"/>
      <c r="DL46" s="478"/>
      <c r="DM46" s="478"/>
      <c r="DN46" s="478"/>
      <c r="DO46" s="478"/>
      <c r="DP46" s="478"/>
      <c r="DQ46" s="478"/>
      <c r="DR46" s="478"/>
      <c r="DS46" s="478"/>
      <c r="DT46" s="478"/>
      <c r="DU46" s="478"/>
      <c r="DV46" s="478"/>
      <c r="DW46" s="478"/>
      <c r="DX46" s="478"/>
      <c r="DY46" s="478"/>
      <c r="DZ46" s="478"/>
      <c r="EA46" s="478"/>
      <c r="EB46" s="478"/>
      <c r="EC46" s="478"/>
      <c r="ED46" s="478"/>
      <c r="EE46" s="478"/>
      <c r="EF46" s="478"/>
      <c r="EG46" s="478"/>
      <c r="EH46" s="478"/>
      <c r="EI46" s="478"/>
      <c r="EJ46" s="478"/>
      <c r="EK46" s="478"/>
      <c r="EL46" s="478"/>
      <c r="EM46" s="478"/>
      <c r="EN46" s="478"/>
      <c r="EO46" s="478"/>
      <c r="EP46" s="478"/>
      <c r="EQ46" s="478"/>
      <c r="ER46" s="478"/>
      <c r="ES46" s="478"/>
      <c r="ET46" s="478"/>
      <c r="EU46" s="478"/>
      <c r="EV46" s="478"/>
      <c r="EW46" s="478"/>
      <c r="EX46" s="478"/>
      <c r="EY46" s="478"/>
      <c r="EZ46" s="478"/>
      <c r="FA46" s="478"/>
      <c r="FB46" s="478"/>
      <c r="FC46" s="478"/>
      <c r="FD46" s="478"/>
      <c r="FE46" s="478"/>
      <c r="FF46" s="478"/>
      <c r="FG46" s="478"/>
      <c r="FH46" s="478"/>
      <c r="FI46" s="478"/>
      <c r="FJ46" s="478"/>
      <c r="FK46" s="478"/>
      <c r="FL46" s="478"/>
      <c r="FM46" s="478"/>
      <c r="FN46" s="478"/>
      <c r="FO46" s="478"/>
      <c r="FP46" s="478"/>
      <c r="FQ46" s="478"/>
      <c r="FR46" s="478"/>
      <c r="FS46" s="478"/>
      <c r="FT46" s="478"/>
      <c r="FU46" s="478"/>
      <c r="FV46" s="478"/>
      <c r="FW46" s="478"/>
      <c r="FX46" s="478"/>
      <c r="FY46" s="478"/>
      <c r="FZ46" s="478"/>
      <c r="GA46" s="478"/>
      <c r="GB46" s="478"/>
      <c r="GC46" s="478"/>
      <c r="GD46" s="478"/>
      <c r="GE46" s="478"/>
      <c r="GF46" s="478"/>
      <c r="GG46" s="478"/>
      <c r="GH46" s="478"/>
      <c r="GI46" s="478"/>
      <c r="GJ46" s="478"/>
      <c r="GK46" s="478"/>
      <c r="GL46" s="478"/>
      <c r="GM46" s="478"/>
      <c r="GN46" s="478"/>
      <c r="GO46" s="478"/>
      <c r="GP46" s="478"/>
      <c r="GQ46" s="478"/>
      <c r="GR46" s="478"/>
      <c r="GS46" s="478"/>
      <c r="GT46" s="478"/>
      <c r="GU46" s="478"/>
      <c r="GV46" s="478"/>
      <c r="GW46" s="478"/>
      <c r="GX46" s="478"/>
      <c r="GY46" s="478"/>
      <c r="GZ46" s="478"/>
      <c r="HA46" s="478"/>
      <c r="HB46" s="478"/>
      <c r="HC46" s="478"/>
      <c r="HD46" s="478"/>
      <c r="HE46" s="478"/>
      <c r="HF46" s="478"/>
      <c r="HG46" s="478"/>
      <c r="HH46" s="478"/>
      <c r="HI46" s="478"/>
      <c r="HJ46" s="478"/>
      <c r="HK46" s="478"/>
      <c r="HL46" s="478"/>
      <c r="HM46" s="478"/>
      <c r="HN46" s="478"/>
      <c r="HO46" s="478"/>
      <c r="HP46" s="478"/>
      <c r="HQ46" s="478"/>
      <c r="HR46" s="478"/>
      <c r="HS46" s="478"/>
      <c r="HT46" s="478"/>
      <c r="HU46" s="478"/>
      <c r="HV46" s="478"/>
      <c r="HW46" s="478"/>
      <c r="HX46" s="478"/>
      <c r="HY46" s="478"/>
      <c r="HZ46" s="478"/>
      <c r="IA46" s="478"/>
      <c r="IB46" s="478"/>
      <c r="IC46" s="478"/>
      <c r="ID46" s="478"/>
      <c r="IE46" s="478"/>
      <c r="IF46" s="478"/>
      <c r="IG46" s="478"/>
      <c r="IH46" s="478"/>
      <c r="II46" s="478"/>
      <c r="IJ46" s="478"/>
      <c r="IK46" s="478"/>
      <c r="IL46" s="478"/>
      <c r="IM46" s="478"/>
      <c r="IN46" s="478"/>
      <c r="IO46" s="478"/>
      <c r="IP46" s="478"/>
      <c r="IQ46" s="478"/>
      <c r="IR46" s="478"/>
      <c r="IS46" s="478"/>
      <c r="IT46" s="478"/>
      <c r="IU46" s="478"/>
      <c r="IV46" s="478"/>
      <c r="IW46" s="478"/>
      <c r="IX46" s="478"/>
      <c r="IY46" s="478"/>
      <c r="IZ46" s="478"/>
      <c r="JA46" s="478"/>
      <c r="JB46" s="478"/>
      <c r="JC46" s="478"/>
      <c r="JD46" s="478"/>
      <c r="JE46" s="478"/>
      <c r="JF46" s="478"/>
      <c r="JG46" s="478"/>
      <c r="JH46" s="478"/>
      <c r="JI46" s="478"/>
      <c r="JJ46" s="478"/>
      <c r="JK46" s="478"/>
      <c r="JL46" s="478"/>
      <c r="JM46" s="478"/>
      <c r="JN46" s="478"/>
      <c r="JO46" s="478"/>
      <c r="JP46" s="478"/>
      <c r="JQ46" s="478"/>
      <c r="JR46" s="478"/>
      <c r="JS46" s="478"/>
      <c r="JT46" s="478"/>
      <c r="JU46" s="478"/>
      <c r="JV46" s="478"/>
      <c r="JW46" s="478"/>
      <c r="JX46" s="478"/>
      <c r="JY46" s="478"/>
      <c r="JZ46" s="478"/>
      <c r="KA46" s="478"/>
      <c r="KB46" s="478"/>
      <c r="KC46" s="478"/>
      <c r="KD46" s="478"/>
      <c r="KE46" s="478"/>
      <c r="KF46" s="478"/>
      <c r="KG46" s="478"/>
      <c r="KH46" s="478"/>
      <c r="KI46" s="478"/>
      <c r="KJ46" s="478"/>
      <c r="KK46" s="478"/>
      <c r="KL46" s="478"/>
      <c r="KM46" s="478"/>
      <c r="KN46" s="478"/>
      <c r="KO46" s="478"/>
      <c r="KP46" s="478"/>
      <c r="KQ46" s="478"/>
      <c r="KR46" s="478"/>
      <c r="KS46" s="478"/>
      <c r="KT46" s="478"/>
      <c r="KU46" s="478"/>
      <c r="KV46" s="478"/>
      <c r="KW46" s="478"/>
      <c r="KX46" s="478"/>
      <c r="KY46" s="478"/>
      <c r="KZ46" s="478"/>
      <c r="LA46" s="478"/>
      <c r="LB46" s="478"/>
      <c r="LC46" s="478"/>
      <c r="LD46" s="478"/>
      <c r="LE46" s="478"/>
      <c r="LF46" s="478"/>
      <c r="LG46" s="478"/>
      <c r="LH46" s="478"/>
      <c r="LI46" s="478"/>
      <c r="LJ46" s="478"/>
      <c r="LK46" s="478"/>
      <c r="LL46" s="478"/>
      <c r="LM46" s="478"/>
      <c r="LN46" s="478"/>
      <c r="LO46" s="478"/>
      <c r="LP46" s="478"/>
      <c r="LQ46" s="478"/>
      <c r="LR46" s="478"/>
      <c r="LS46" s="478"/>
      <c r="LT46" s="478"/>
      <c r="LU46" s="478"/>
      <c r="LV46" s="478"/>
      <c r="LW46" s="478"/>
      <c r="LX46" s="478"/>
      <c r="LY46" s="478"/>
      <c r="LZ46" s="478"/>
      <c r="MA46" s="478"/>
      <c r="MB46" s="478"/>
      <c r="MC46" s="478"/>
      <c r="MD46" s="478"/>
      <c r="ME46" s="478"/>
      <c r="MF46" s="478"/>
      <c r="MG46" s="478"/>
      <c r="MH46" s="478"/>
      <c r="MI46" s="478"/>
      <c r="MJ46" s="478"/>
      <c r="MK46" s="478"/>
      <c r="ML46" s="478"/>
      <c r="MM46" s="478"/>
      <c r="MN46" s="478"/>
      <c r="MO46" s="478"/>
      <c r="MP46" s="478"/>
      <c r="MQ46" s="478"/>
      <c r="MR46" s="478"/>
      <c r="MS46" s="478"/>
      <c r="MT46" s="478"/>
      <c r="MU46" s="478"/>
      <c r="MV46" s="478"/>
      <c r="MW46" s="478"/>
      <c r="MX46" s="478"/>
      <c r="MY46" s="478"/>
      <c r="MZ46" s="478"/>
      <c r="NA46" s="478"/>
      <c r="NB46" s="478"/>
      <c r="NC46" s="478"/>
      <c r="ND46" s="478"/>
      <c r="NE46" s="478"/>
      <c r="NF46" s="478"/>
      <c r="NG46" s="478"/>
      <c r="NH46" s="478"/>
      <c r="NI46" s="478"/>
      <c r="NJ46" s="478"/>
      <c r="NK46" s="478"/>
      <c r="NL46" s="478"/>
      <c r="NM46" s="478"/>
      <c r="NN46" s="478"/>
      <c r="NO46" s="478"/>
      <c r="NP46" s="478"/>
      <c r="NQ46" s="478"/>
      <c r="NR46" s="478"/>
      <c r="NS46" s="478"/>
      <c r="NT46" s="478"/>
      <c r="NU46" s="478"/>
      <c r="NV46" s="478"/>
      <c r="NW46" s="478"/>
      <c r="NX46" s="478"/>
      <c r="NY46" s="478"/>
      <c r="NZ46" s="478"/>
      <c r="OA46" s="478"/>
      <c r="OB46" s="478"/>
      <c r="OC46" s="478"/>
      <c r="OD46" s="478"/>
      <c r="OE46" s="478"/>
      <c r="OF46" s="478"/>
      <c r="OG46" s="478"/>
      <c r="OH46" s="478"/>
      <c r="OI46" s="478"/>
      <c r="OJ46" s="478"/>
      <c r="OK46" s="478"/>
      <c r="OL46" s="478"/>
      <c r="OM46" s="478"/>
      <c r="ON46" s="478"/>
      <c r="OO46" s="478"/>
      <c r="OP46" s="478"/>
      <c r="OQ46" s="478"/>
      <c r="OR46" s="478"/>
      <c r="OS46" s="478"/>
      <c r="OT46" s="478"/>
      <c r="OU46" s="478"/>
      <c r="OV46" s="478"/>
      <c r="OW46" s="478"/>
      <c r="OX46" s="478"/>
      <c r="OY46" s="478"/>
      <c r="OZ46" s="478"/>
      <c r="PA46" s="478"/>
      <c r="PB46" s="478"/>
      <c r="PC46" s="478"/>
      <c r="PD46" s="478"/>
      <c r="PE46" s="478"/>
      <c r="PF46" s="478"/>
      <c r="PG46" s="478"/>
      <c r="PH46" s="478"/>
      <c r="PI46" s="478"/>
      <c r="PJ46" s="478"/>
      <c r="PK46" s="478"/>
      <c r="PL46" s="478"/>
      <c r="PM46" s="478"/>
      <c r="PN46" s="478"/>
      <c r="PO46" s="478"/>
      <c r="PP46" s="478"/>
      <c r="PQ46" s="478"/>
      <c r="PR46" s="478"/>
      <c r="PS46" s="478"/>
      <c r="PT46" s="478"/>
      <c r="PU46" s="478"/>
      <c r="PV46" s="478"/>
      <c r="PW46" s="478"/>
      <c r="PX46" s="478"/>
      <c r="PY46" s="478"/>
      <c r="PZ46" s="478"/>
      <c r="QA46" s="478"/>
      <c r="QB46" s="478"/>
      <c r="QC46" s="478"/>
      <c r="QD46" s="478"/>
      <c r="QE46" s="478"/>
      <c r="QF46" s="478"/>
      <c r="QG46" s="478"/>
      <c r="QH46" s="478"/>
      <c r="QI46" s="478"/>
      <c r="QJ46" s="478"/>
      <c r="QK46" s="478"/>
      <c r="QL46" s="478"/>
      <c r="QM46" s="478"/>
      <c r="QN46" s="478"/>
      <c r="QO46" s="478"/>
      <c r="QP46" s="478"/>
      <c r="QQ46" s="478"/>
      <c r="QR46" s="478"/>
      <c r="QS46" s="478"/>
      <c r="QT46" s="478"/>
      <c r="QU46" s="478"/>
      <c r="QV46" s="478"/>
      <c r="QW46" s="478"/>
      <c r="QX46" s="478"/>
      <c r="QY46" s="478"/>
      <c r="QZ46" s="478"/>
      <c r="RA46" s="478"/>
      <c r="RB46" s="478"/>
      <c r="RC46" s="478"/>
      <c r="RD46" s="478"/>
      <c r="RE46" s="478"/>
      <c r="RF46" s="478"/>
      <c r="RG46" s="478"/>
      <c r="RH46" s="478"/>
      <c r="RI46" s="478"/>
      <c r="RJ46" s="478"/>
      <c r="RK46" s="478"/>
      <c r="RL46" s="478"/>
      <c r="RM46" s="478"/>
      <c r="RN46" s="478"/>
      <c r="RO46" s="478"/>
      <c r="RP46" s="478"/>
      <c r="RQ46" s="478"/>
      <c r="RR46" s="478"/>
      <c r="RS46" s="478"/>
      <c r="RT46" s="478"/>
      <c r="RU46" s="478"/>
      <c r="RV46" s="478"/>
      <c r="RW46" s="478"/>
      <c r="RX46" s="478"/>
      <c r="RY46" s="478"/>
      <c r="RZ46" s="478"/>
      <c r="SA46" s="478"/>
      <c r="SB46" s="478"/>
      <c r="SC46" s="478"/>
      <c r="SD46" s="478"/>
      <c r="SE46" s="478"/>
      <c r="SF46" s="478"/>
      <c r="SG46" s="478"/>
      <c r="SH46" s="478"/>
      <c r="SI46" s="478"/>
      <c r="SJ46" s="478"/>
      <c r="SK46" s="478"/>
      <c r="SL46" s="478"/>
      <c r="SM46" s="478"/>
      <c r="SN46" s="478"/>
      <c r="SO46" s="478"/>
      <c r="SP46" s="478"/>
      <c r="SQ46" s="478"/>
      <c r="SR46" s="478"/>
      <c r="SS46" s="478"/>
      <c r="ST46" s="478"/>
      <c r="SU46" s="478"/>
      <c r="SV46" s="478"/>
      <c r="SW46" s="478"/>
      <c r="SX46" s="478"/>
      <c r="SY46" s="478"/>
      <c r="SZ46" s="478"/>
      <c r="TA46" s="478"/>
      <c r="TB46" s="478"/>
      <c r="TC46" s="478"/>
      <c r="TD46" s="478"/>
      <c r="TE46" s="478"/>
      <c r="TF46" s="478"/>
      <c r="TG46" s="478"/>
      <c r="TH46" s="478"/>
      <c r="TI46" s="478"/>
      <c r="TJ46" s="478"/>
      <c r="TK46" s="478"/>
      <c r="TL46" s="478"/>
      <c r="TM46" s="478"/>
      <c r="TN46" s="478"/>
      <c r="TO46" s="478"/>
      <c r="TP46" s="478"/>
      <c r="TQ46" s="478"/>
      <c r="TR46" s="478"/>
      <c r="TS46" s="478"/>
      <c r="TT46" s="478"/>
      <c r="TU46" s="478"/>
      <c r="TV46" s="478"/>
      <c r="TW46" s="478"/>
      <c r="TX46" s="478"/>
      <c r="TY46" s="478"/>
      <c r="TZ46" s="478"/>
      <c r="UA46" s="478"/>
      <c r="UB46" s="478"/>
      <c r="UC46" s="478"/>
      <c r="UD46" s="478"/>
      <c r="UE46" s="478"/>
      <c r="UF46" s="478"/>
      <c r="UG46" s="478"/>
      <c r="UH46" s="478"/>
      <c r="UI46" s="478"/>
      <c r="UJ46" s="478"/>
      <c r="UK46" s="478"/>
      <c r="UL46" s="478"/>
      <c r="UM46" s="478"/>
      <c r="UN46" s="478"/>
      <c r="UO46" s="478"/>
      <c r="UP46" s="478"/>
      <c r="UQ46" s="478"/>
      <c r="UR46" s="478"/>
      <c r="US46" s="478"/>
      <c r="UT46" s="478"/>
      <c r="UU46" s="478"/>
      <c r="UV46" s="478"/>
      <c r="UW46" s="478"/>
      <c r="UX46" s="478"/>
      <c r="UY46" s="478"/>
      <c r="UZ46" s="478"/>
      <c r="VA46" s="478"/>
      <c r="VB46" s="478"/>
      <c r="VC46" s="478"/>
      <c r="VD46" s="478"/>
      <c r="VE46" s="478"/>
      <c r="VF46" s="478"/>
      <c r="VG46" s="478"/>
      <c r="VH46" s="478"/>
      <c r="VI46" s="478"/>
      <c r="VJ46" s="478"/>
      <c r="VK46" s="478"/>
      <c r="VL46" s="478"/>
      <c r="VM46" s="478"/>
      <c r="VN46" s="478"/>
      <c r="VO46" s="478"/>
      <c r="VP46" s="478"/>
      <c r="VQ46" s="478"/>
      <c r="VR46" s="478"/>
      <c r="VS46" s="478"/>
      <c r="VT46" s="478"/>
      <c r="VU46" s="478"/>
      <c r="VV46" s="478"/>
      <c r="VW46" s="478"/>
      <c r="VX46" s="478"/>
      <c r="VY46" s="478"/>
      <c r="VZ46" s="478"/>
      <c r="WA46" s="478"/>
      <c r="WB46" s="478"/>
      <c r="WC46" s="478"/>
      <c r="WD46" s="478"/>
      <c r="WE46" s="478"/>
      <c r="WF46" s="478"/>
      <c r="WG46" s="478"/>
      <c r="WH46" s="478"/>
      <c r="WI46" s="478"/>
      <c r="WJ46" s="478"/>
      <c r="WK46" s="478"/>
      <c r="WL46" s="478"/>
      <c r="WM46" s="478"/>
      <c r="WN46" s="478"/>
      <c r="WO46" s="478"/>
      <c r="WP46" s="478"/>
      <c r="WQ46" s="478"/>
      <c r="WR46" s="478"/>
      <c r="WS46" s="478"/>
      <c r="WT46" s="478"/>
      <c r="WU46" s="478"/>
      <c r="WV46" s="478"/>
      <c r="WW46" s="478"/>
      <c r="WX46" s="478"/>
      <c r="WY46" s="478"/>
      <c r="WZ46" s="478"/>
      <c r="XA46" s="478"/>
      <c r="XB46" s="478"/>
      <c r="XC46" s="478"/>
      <c r="XD46" s="478"/>
      <c r="XE46" s="478"/>
      <c r="XF46" s="478"/>
      <c r="XG46" s="478"/>
      <c r="XH46" s="478"/>
      <c r="XI46" s="478"/>
      <c r="XJ46" s="478"/>
      <c r="XK46" s="478"/>
      <c r="XL46" s="478"/>
      <c r="XM46" s="478"/>
      <c r="XN46" s="478"/>
      <c r="XO46" s="478"/>
      <c r="XP46" s="478"/>
      <c r="XQ46" s="478"/>
      <c r="XR46" s="478"/>
      <c r="XS46" s="478"/>
      <c r="XT46" s="478"/>
      <c r="XU46" s="478"/>
      <c r="XV46" s="478"/>
      <c r="XW46" s="478"/>
      <c r="XX46" s="478"/>
      <c r="XY46" s="478"/>
      <c r="XZ46" s="478"/>
      <c r="YA46" s="478"/>
      <c r="YB46" s="478"/>
      <c r="YC46" s="478"/>
      <c r="YD46" s="478"/>
      <c r="YE46" s="478"/>
      <c r="YF46" s="478"/>
      <c r="YG46" s="478"/>
      <c r="YH46" s="478"/>
      <c r="YI46" s="478"/>
      <c r="YJ46" s="478"/>
      <c r="YK46" s="478"/>
      <c r="YL46" s="478"/>
      <c r="YM46" s="478"/>
      <c r="YN46" s="478"/>
      <c r="YO46" s="478"/>
      <c r="YP46" s="478"/>
      <c r="YQ46" s="478"/>
      <c r="YR46" s="478"/>
      <c r="YS46" s="478"/>
      <c r="YT46" s="478"/>
      <c r="YU46" s="478"/>
      <c r="YV46" s="478"/>
      <c r="YW46" s="478"/>
      <c r="YX46" s="478"/>
      <c r="YY46" s="478"/>
      <c r="YZ46" s="478"/>
      <c r="ZA46" s="478"/>
      <c r="ZB46" s="478"/>
      <c r="ZC46" s="478"/>
      <c r="ZD46" s="478"/>
      <c r="ZE46" s="478"/>
      <c r="ZF46" s="478"/>
      <c r="ZG46" s="478"/>
      <c r="ZH46" s="478"/>
      <c r="ZI46" s="478"/>
      <c r="ZJ46" s="478"/>
      <c r="ZK46" s="478"/>
      <c r="ZL46" s="478"/>
      <c r="ZM46" s="478"/>
      <c r="ZN46" s="478"/>
      <c r="ZO46" s="478"/>
      <c r="ZP46" s="478"/>
      <c r="ZQ46" s="478"/>
      <c r="ZR46" s="478"/>
      <c r="ZS46" s="478"/>
      <c r="ZT46" s="478"/>
      <c r="ZU46" s="478"/>
      <c r="ZV46" s="478"/>
      <c r="ZW46" s="478"/>
      <c r="ZX46" s="478"/>
      <c r="ZY46" s="478"/>
      <c r="ZZ46" s="478"/>
      <c r="AAA46" s="478"/>
      <c r="AAB46" s="478"/>
      <c r="AAC46" s="478"/>
      <c r="AAD46" s="478"/>
      <c r="AAE46" s="478"/>
      <c r="AAF46" s="478"/>
      <c r="AAG46" s="478"/>
      <c r="AAH46" s="478"/>
      <c r="AAI46" s="478"/>
      <c r="AAJ46" s="478"/>
      <c r="AAK46" s="478"/>
      <c r="AAL46" s="478"/>
      <c r="AAM46" s="478"/>
      <c r="AAN46" s="478"/>
      <c r="AAO46" s="478"/>
      <c r="AAP46" s="478"/>
      <c r="AAQ46" s="478"/>
      <c r="AAR46" s="478"/>
      <c r="AAS46" s="478"/>
      <c r="AAT46" s="478"/>
      <c r="AAU46" s="478"/>
      <c r="AAV46" s="478"/>
      <c r="AAW46" s="478"/>
      <c r="AAX46" s="478"/>
      <c r="AAY46" s="478"/>
      <c r="AAZ46" s="478"/>
      <c r="ABA46" s="478"/>
      <c r="ABB46" s="478"/>
      <c r="ABC46" s="478"/>
      <c r="ABD46" s="478"/>
      <c r="ABE46" s="478"/>
      <c r="ABF46" s="478"/>
      <c r="ABG46" s="478"/>
      <c r="ABH46" s="478"/>
      <c r="ABI46" s="478"/>
      <c r="ABJ46" s="478"/>
      <c r="ABK46" s="478"/>
      <c r="ABL46" s="478"/>
      <c r="ABM46" s="478"/>
      <c r="ABN46" s="478"/>
      <c r="ABO46" s="478"/>
      <c r="ABP46" s="478"/>
      <c r="ABQ46" s="478"/>
      <c r="ABR46" s="478"/>
      <c r="ABS46" s="478"/>
      <c r="ABT46" s="478"/>
      <c r="ABU46" s="478"/>
      <c r="ABV46" s="478"/>
      <c r="ABW46" s="478"/>
      <c r="ABX46" s="478"/>
      <c r="ABY46" s="478"/>
      <c r="ABZ46" s="478"/>
      <c r="ACA46" s="478"/>
      <c r="ACB46" s="478"/>
      <c r="ACC46" s="478"/>
      <c r="ACD46" s="478"/>
      <c r="ACE46" s="478"/>
      <c r="ACF46" s="478"/>
      <c r="ACG46" s="478"/>
      <c r="ACH46" s="478"/>
      <c r="ACI46" s="478"/>
      <c r="ACJ46" s="478"/>
      <c r="ACK46" s="478"/>
      <c r="ACL46" s="478"/>
      <c r="ACM46" s="478"/>
      <c r="ACN46" s="478"/>
      <c r="ACO46" s="478"/>
      <c r="ACP46" s="478"/>
      <c r="ACQ46" s="478"/>
      <c r="ACR46" s="478"/>
      <c r="ACS46" s="478"/>
      <c r="ACT46" s="478"/>
      <c r="ACU46" s="478"/>
      <c r="ACV46" s="478"/>
      <c r="ACW46" s="478"/>
      <c r="ACX46" s="478"/>
      <c r="ACY46" s="478"/>
      <c r="ACZ46" s="478"/>
      <c r="ADA46" s="478"/>
      <c r="ADB46" s="478"/>
      <c r="ADC46" s="478"/>
      <c r="ADD46" s="478"/>
      <c r="ADE46" s="478"/>
      <c r="ADF46" s="478"/>
      <c r="ADG46" s="478"/>
      <c r="ADH46" s="478"/>
      <c r="ADI46" s="478"/>
      <c r="ADJ46" s="478"/>
      <c r="ADK46" s="478"/>
      <c r="ADL46" s="478"/>
      <c r="ADM46" s="478"/>
      <c r="ADN46" s="478"/>
      <c r="ADO46" s="478"/>
      <c r="ADP46" s="478"/>
      <c r="ADQ46" s="478"/>
      <c r="ADR46" s="478"/>
      <c r="ADS46" s="478"/>
      <c r="ADT46" s="478"/>
      <c r="ADU46" s="478"/>
      <c r="ADV46" s="478"/>
      <c r="ADW46" s="478"/>
      <c r="ADX46" s="478"/>
      <c r="ADY46" s="478"/>
      <c r="ADZ46" s="478"/>
      <c r="AEA46" s="478"/>
      <c r="AEB46" s="478"/>
      <c r="AEC46" s="478"/>
      <c r="AED46" s="478"/>
      <c r="AEE46" s="478"/>
      <c r="AEF46" s="478"/>
      <c r="AEG46" s="478"/>
      <c r="AEH46" s="478"/>
      <c r="AEI46" s="478"/>
      <c r="AEJ46" s="478"/>
      <c r="AEK46" s="478"/>
      <c r="AEL46" s="478"/>
      <c r="AEM46" s="478"/>
      <c r="AEN46" s="478"/>
      <c r="AEO46" s="478"/>
      <c r="AEP46" s="478"/>
      <c r="AEQ46" s="478"/>
      <c r="AER46" s="478"/>
      <c r="AES46" s="478"/>
      <c r="AET46" s="478"/>
      <c r="AEU46" s="478"/>
      <c r="AEV46" s="478"/>
      <c r="AEW46" s="478"/>
      <c r="AEX46" s="478"/>
      <c r="AEY46" s="478"/>
      <c r="AEZ46" s="478"/>
      <c r="AFA46" s="478"/>
      <c r="AFB46" s="478"/>
      <c r="AFC46" s="478"/>
      <c r="AFD46" s="478"/>
      <c r="AFE46" s="478"/>
      <c r="AFF46" s="478"/>
      <c r="AFG46" s="478"/>
      <c r="AFH46" s="478"/>
      <c r="AFI46" s="478"/>
      <c r="AFJ46" s="478"/>
      <c r="AFK46" s="478"/>
      <c r="AFL46" s="478"/>
      <c r="AFM46" s="478"/>
      <c r="AFN46" s="478"/>
      <c r="AFO46" s="478"/>
      <c r="AFP46" s="478"/>
      <c r="AFQ46" s="478"/>
      <c r="AFR46" s="478"/>
      <c r="AFS46" s="478"/>
      <c r="AFT46" s="478"/>
      <c r="AFU46" s="478"/>
      <c r="AFV46" s="478"/>
      <c r="AFW46" s="478"/>
      <c r="AFX46" s="478"/>
      <c r="AFY46" s="478"/>
      <c r="AFZ46" s="478"/>
      <c r="AGA46" s="478"/>
      <c r="AGB46" s="478"/>
      <c r="AGC46" s="478"/>
      <c r="AGD46" s="478"/>
      <c r="AGE46" s="478"/>
      <c r="AGF46" s="478"/>
      <c r="AGG46" s="478"/>
      <c r="AGH46" s="478"/>
      <c r="AGI46" s="478"/>
      <c r="AGJ46" s="478"/>
      <c r="AGK46" s="478"/>
      <c r="AGL46" s="478"/>
      <c r="AGM46" s="478"/>
      <c r="AGN46" s="478"/>
      <c r="AGO46" s="478"/>
      <c r="AGP46" s="478"/>
      <c r="AGQ46" s="478"/>
      <c r="AGR46" s="478"/>
      <c r="AGS46" s="478"/>
      <c r="AGT46" s="478"/>
      <c r="AGU46" s="478"/>
      <c r="AGV46" s="478"/>
      <c r="AGW46" s="478"/>
      <c r="AGX46" s="478"/>
      <c r="AGY46" s="478"/>
      <c r="AGZ46" s="478"/>
      <c r="AHA46" s="478"/>
      <c r="AHB46" s="478"/>
      <c r="AHC46" s="478"/>
      <c r="AHD46" s="478"/>
      <c r="AHE46" s="478"/>
      <c r="AHF46" s="478"/>
      <c r="AHG46" s="478"/>
      <c r="AHH46" s="478"/>
      <c r="AHI46" s="478"/>
      <c r="AHJ46" s="478"/>
      <c r="AHK46" s="478"/>
      <c r="AHL46" s="478"/>
      <c r="AHM46" s="478"/>
      <c r="AHN46" s="478"/>
      <c r="AHO46" s="478"/>
      <c r="AHP46" s="478"/>
      <c r="AHQ46" s="478"/>
      <c r="AHR46" s="478"/>
      <c r="AHS46" s="478"/>
      <c r="AHT46" s="478"/>
      <c r="AHU46" s="478"/>
      <c r="AHV46" s="478"/>
      <c r="AHW46" s="478"/>
      <c r="AHX46" s="478"/>
      <c r="AHY46" s="478"/>
      <c r="AHZ46" s="478"/>
      <c r="AIA46" s="478"/>
      <c r="AIB46" s="478"/>
      <c r="AIC46" s="478"/>
      <c r="AID46" s="478"/>
      <c r="AIE46" s="478"/>
      <c r="AIF46" s="478"/>
      <c r="AIG46" s="478"/>
      <c r="AIH46" s="478"/>
      <c r="AII46" s="478"/>
      <c r="AIJ46" s="478"/>
      <c r="AIK46" s="478"/>
      <c r="AIL46" s="478"/>
      <c r="AIM46" s="478"/>
      <c r="AIN46" s="478"/>
      <c r="AIO46" s="478"/>
      <c r="AIP46" s="478"/>
      <c r="AIQ46" s="478"/>
      <c r="AIR46" s="478"/>
      <c r="AIS46" s="478"/>
      <c r="AIT46" s="478"/>
      <c r="AIU46" s="478"/>
      <c r="AIV46" s="478"/>
      <c r="AIW46" s="478"/>
      <c r="AIX46" s="478"/>
      <c r="AIY46" s="478"/>
      <c r="AIZ46" s="478"/>
      <c r="AJA46" s="478"/>
      <c r="AJB46" s="478"/>
      <c r="AJC46" s="478"/>
      <c r="AJD46" s="478"/>
      <c r="AJE46" s="478"/>
      <c r="AJF46" s="478"/>
      <c r="AJG46" s="478"/>
      <c r="AJH46" s="478"/>
      <c r="AJI46" s="478"/>
      <c r="AJJ46" s="478"/>
      <c r="AJK46" s="478"/>
      <c r="AJL46" s="478"/>
      <c r="AJM46" s="478"/>
      <c r="AJN46" s="478"/>
      <c r="AJO46" s="478"/>
      <c r="AJP46" s="478"/>
      <c r="AJQ46" s="478"/>
      <c r="AJR46" s="478"/>
      <c r="AJS46" s="478"/>
      <c r="AJT46" s="478"/>
      <c r="AJU46" s="478"/>
      <c r="AJV46" s="478"/>
      <c r="AJW46" s="478"/>
      <c r="AJX46" s="478"/>
      <c r="AJY46" s="478"/>
      <c r="AJZ46" s="478"/>
      <c r="AKA46" s="478"/>
      <c r="AKB46" s="478"/>
      <c r="AKC46" s="478"/>
      <c r="AKD46" s="478"/>
      <c r="AKE46" s="478"/>
      <c r="AKF46" s="478"/>
      <c r="AKG46" s="478"/>
      <c r="AKH46" s="478"/>
      <c r="AKI46" s="478"/>
      <c r="AKJ46" s="478"/>
      <c r="AKK46" s="478"/>
      <c r="AKL46" s="478"/>
      <c r="AKM46" s="478"/>
      <c r="AKN46" s="478"/>
      <c r="AKO46" s="478"/>
      <c r="AKP46" s="478"/>
      <c r="AKQ46" s="478"/>
      <c r="AKR46" s="478"/>
      <c r="AKS46" s="478"/>
      <c r="AKT46" s="478"/>
      <c r="AKU46" s="478"/>
      <c r="AKV46" s="478"/>
      <c r="AKW46" s="478"/>
      <c r="AKX46" s="478"/>
      <c r="AKY46" s="478"/>
      <c r="AKZ46" s="478"/>
      <c r="ALA46" s="478"/>
      <c r="ALB46" s="478"/>
      <c r="ALC46" s="478"/>
      <c r="ALD46" s="478"/>
      <c r="ALE46" s="478"/>
      <c r="ALF46" s="478"/>
      <c r="ALG46" s="478"/>
      <c r="ALH46" s="478"/>
      <c r="ALI46" s="478"/>
      <c r="ALJ46" s="478"/>
      <c r="ALK46" s="478"/>
      <c r="ALL46" s="478"/>
      <c r="ALM46" s="478"/>
      <c r="ALN46" s="478"/>
      <c r="ALO46" s="478"/>
      <c r="ALP46" s="478"/>
      <c r="ALQ46" s="478"/>
      <c r="ALR46" s="478"/>
      <c r="ALS46" s="478"/>
      <c r="ALT46" s="478"/>
      <c r="ALU46" s="478"/>
      <c r="ALV46" s="478"/>
      <c r="ALW46" s="478"/>
      <c r="ALX46" s="478"/>
      <c r="ALY46" s="478"/>
      <c r="ALZ46" s="478"/>
      <c r="AMA46" s="478"/>
      <c r="AMB46" s="478"/>
      <c r="AMC46" s="478"/>
      <c r="AMD46" s="478"/>
      <c r="AME46" s="478"/>
      <c r="AMF46" s="478"/>
      <c r="AMG46" s="478"/>
      <c r="AMH46" s="478"/>
      <c r="AMI46" s="478"/>
      <c r="AMJ46" s="478"/>
      <c r="AMK46" s="478"/>
      <c r="AML46" s="478"/>
      <c r="AMM46" s="478"/>
      <c r="AMN46" s="478"/>
      <c r="AMO46" s="478"/>
      <c r="AMP46" s="478"/>
      <c r="AMQ46" s="478"/>
      <c r="AMR46" s="478"/>
      <c r="AMS46" s="478"/>
      <c r="AMT46" s="478"/>
      <c r="AMU46" s="478"/>
      <c r="AMV46" s="478"/>
      <c r="AMW46" s="478"/>
      <c r="AMX46" s="478"/>
      <c r="AMY46" s="478"/>
      <c r="AMZ46" s="478"/>
      <c r="ANA46" s="478"/>
      <c r="ANB46" s="478"/>
      <c r="ANC46" s="478"/>
      <c r="AND46" s="478"/>
      <c r="ANE46" s="478"/>
      <c r="ANF46" s="478"/>
      <c r="ANG46" s="478"/>
      <c r="ANH46" s="478"/>
      <c r="ANI46" s="478"/>
      <c r="ANJ46" s="478"/>
      <c r="ANK46" s="478"/>
      <c r="ANL46" s="478"/>
      <c r="ANM46" s="478"/>
      <c r="ANN46" s="478"/>
      <c r="ANO46" s="478"/>
      <c r="ANP46" s="478"/>
      <c r="ANQ46" s="478"/>
      <c r="ANR46" s="478"/>
      <c r="ANS46" s="478"/>
      <c r="ANT46" s="478"/>
      <c r="ANU46" s="478"/>
      <c r="ANV46" s="478"/>
      <c r="ANW46" s="478"/>
      <c r="ANX46" s="478"/>
      <c r="ANY46" s="478"/>
      <c r="ANZ46" s="478"/>
      <c r="AOA46" s="478"/>
      <c r="AOB46" s="478"/>
      <c r="AOC46" s="478"/>
      <c r="AOD46" s="478"/>
      <c r="AOE46" s="478"/>
      <c r="AOF46" s="478"/>
      <c r="AOG46" s="478"/>
      <c r="AOH46" s="478"/>
      <c r="AOI46" s="478"/>
      <c r="AOJ46" s="478"/>
      <c r="AOK46" s="478"/>
      <c r="AOL46" s="478"/>
      <c r="AOM46" s="478"/>
      <c r="AON46" s="478"/>
      <c r="AOO46" s="478"/>
      <c r="AOP46" s="478"/>
      <c r="AOQ46" s="478"/>
      <c r="AOR46" s="478"/>
      <c r="AOS46" s="478"/>
      <c r="AOT46" s="478"/>
      <c r="AOU46" s="478"/>
      <c r="AOV46" s="478"/>
      <c r="AOW46" s="478"/>
      <c r="AOX46" s="478"/>
      <c r="AOY46" s="478"/>
      <c r="AOZ46" s="478"/>
      <c r="APA46" s="478"/>
      <c r="APB46" s="478"/>
      <c r="APC46" s="478"/>
      <c r="APD46" s="478"/>
      <c r="APE46" s="478"/>
      <c r="APF46" s="478"/>
      <c r="APG46" s="478"/>
      <c r="APH46" s="478"/>
      <c r="API46" s="478"/>
      <c r="APJ46" s="478"/>
      <c r="APK46" s="478"/>
      <c r="APL46" s="478"/>
      <c r="APM46" s="478"/>
      <c r="APN46" s="478"/>
      <c r="APO46" s="478"/>
      <c r="APP46" s="478"/>
      <c r="APQ46" s="478"/>
      <c r="APR46" s="478"/>
      <c r="APS46" s="478"/>
      <c r="APT46" s="478"/>
      <c r="APU46" s="478"/>
      <c r="APV46" s="478"/>
      <c r="APW46" s="478"/>
      <c r="APX46" s="478"/>
      <c r="APY46" s="478"/>
      <c r="APZ46" s="478"/>
      <c r="AQA46" s="478"/>
      <c r="AQB46" s="478"/>
      <c r="AQC46" s="478"/>
      <c r="AQD46" s="478"/>
      <c r="AQE46" s="478"/>
      <c r="AQF46" s="478"/>
      <c r="AQG46" s="478"/>
      <c r="AQH46" s="478"/>
      <c r="AQI46" s="478"/>
      <c r="AQJ46" s="478"/>
      <c r="AQK46" s="478"/>
      <c r="AQL46" s="478"/>
      <c r="AQM46" s="478"/>
      <c r="AQN46" s="478"/>
      <c r="AQO46" s="478"/>
      <c r="AQP46" s="478"/>
      <c r="AQQ46" s="478"/>
      <c r="AQR46" s="478"/>
      <c r="AQS46" s="478"/>
      <c r="AQT46" s="478"/>
      <c r="AQU46" s="478"/>
      <c r="AQV46" s="478"/>
      <c r="AQW46" s="478"/>
      <c r="AQX46" s="478"/>
      <c r="AQY46" s="478"/>
      <c r="AQZ46" s="478"/>
      <c r="ARA46" s="478"/>
      <c r="ARB46" s="478"/>
      <c r="ARC46" s="478"/>
      <c r="ARD46" s="478"/>
      <c r="ARE46" s="478"/>
      <c r="ARF46" s="478"/>
      <c r="ARG46" s="478"/>
      <c r="ARH46" s="478"/>
      <c r="ARI46" s="478"/>
      <c r="ARJ46" s="478"/>
      <c r="ARK46" s="478"/>
      <c r="ARL46" s="478"/>
      <c r="ARM46" s="478"/>
      <c r="ARN46" s="478"/>
      <c r="ARO46" s="478"/>
      <c r="ARP46" s="478"/>
      <c r="ARQ46" s="478"/>
      <c r="ARR46" s="478"/>
      <c r="ARS46" s="478"/>
      <c r="ART46" s="478"/>
      <c r="ARU46" s="478"/>
      <c r="ARV46" s="478"/>
      <c r="ARW46" s="478"/>
      <c r="ARX46" s="478"/>
      <c r="ARY46" s="478"/>
      <c r="ARZ46" s="478"/>
      <c r="ASA46" s="478"/>
      <c r="ASB46" s="478"/>
      <c r="ASC46" s="478"/>
      <c r="ASD46" s="478"/>
      <c r="ASE46" s="478"/>
      <c r="ASF46" s="478"/>
      <c r="ASG46" s="478"/>
      <c r="ASH46" s="478"/>
      <c r="ASI46" s="478"/>
      <c r="ASJ46" s="478"/>
      <c r="ASK46" s="478"/>
      <c r="ASL46" s="478"/>
      <c r="ASM46" s="478"/>
      <c r="ASN46" s="478"/>
      <c r="ASO46" s="478"/>
      <c r="ASP46" s="478"/>
      <c r="ASQ46" s="478"/>
      <c r="ASR46" s="478"/>
      <c r="ASS46" s="478"/>
      <c r="AST46" s="478"/>
      <c r="ASU46" s="478"/>
      <c r="ASV46" s="478"/>
      <c r="ASW46" s="478"/>
      <c r="ASX46" s="478"/>
      <c r="ASY46" s="478"/>
      <c r="ASZ46" s="478"/>
      <c r="ATA46" s="478"/>
      <c r="ATB46" s="478"/>
      <c r="ATC46" s="478"/>
      <c r="ATD46" s="478"/>
      <c r="ATE46" s="478"/>
      <c r="ATF46" s="478"/>
      <c r="ATG46" s="478"/>
      <c r="ATH46" s="478"/>
      <c r="ATI46" s="478"/>
      <c r="ATJ46" s="478"/>
      <c r="ATK46" s="478"/>
      <c r="ATL46" s="478"/>
      <c r="ATM46" s="478"/>
      <c r="ATN46" s="478"/>
      <c r="ATO46" s="478"/>
      <c r="ATP46" s="478"/>
      <c r="ATQ46" s="478"/>
      <c r="ATR46" s="478"/>
      <c r="ATS46" s="478"/>
      <c r="ATT46" s="478"/>
      <c r="ATU46" s="478"/>
      <c r="ATV46" s="478"/>
      <c r="ATW46" s="478"/>
      <c r="ATX46" s="478"/>
      <c r="ATY46" s="478"/>
      <c r="ATZ46" s="478"/>
      <c r="AUA46" s="478"/>
      <c r="AUB46" s="478"/>
      <c r="AUC46" s="478"/>
      <c r="AUD46" s="478"/>
      <c r="AUE46" s="478"/>
      <c r="AUF46" s="478"/>
      <c r="AUG46" s="478"/>
      <c r="AUH46" s="478"/>
      <c r="AUI46" s="478"/>
      <c r="AUJ46" s="478"/>
      <c r="AUK46" s="478"/>
      <c r="AUL46" s="478"/>
      <c r="AUM46" s="478"/>
      <c r="AUN46" s="478"/>
      <c r="AUO46" s="478"/>
      <c r="AUP46" s="478"/>
      <c r="AUQ46" s="478"/>
      <c r="AUR46" s="478"/>
      <c r="AUS46" s="478"/>
      <c r="AUT46" s="478"/>
      <c r="AUU46" s="478"/>
      <c r="AUV46" s="478"/>
      <c r="AUW46" s="478"/>
      <c r="AUX46" s="478"/>
      <c r="AUY46" s="478"/>
      <c r="AUZ46" s="478"/>
      <c r="AVA46" s="478"/>
      <c r="AVB46" s="478"/>
      <c r="AVC46" s="478"/>
      <c r="AVD46" s="478"/>
      <c r="AVE46" s="478"/>
      <c r="AVF46" s="478"/>
      <c r="AVG46" s="478"/>
      <c r="AVH46" s="478"/>
      <c r="AVI46" s="478"/>
      <c r="AVJ46" s="478"/>
      <c r="AVK46" s="478"/>
      <c r="AVL46" s="478"/>
      <c r="AVM46" s="478"/>
      <c r="AVN46" s="478"/>
      <c r="AVO46" s="478"/>
      <c r="AVP46" s="478"/>
      <c r="AVQ46" s="478"/>
      <c r="AVR46" s="478"/>
      <c r="AVS46" s="478"/>
      <c r="AVT46" s="478"/>
      <c r="AVU46" s="478"/>
      <c r="AVV46" s="478"/>
      <c r="AVW46" s="478"/>
      <c r="AVX46" s="478"/>
      <c r="AVY46" s="478"/>
      <c r="AVZ46" s="478"/>
      <c r="AWA46" s="478"/>
      <c r="AWB46" s="478"/>
      <c r="AWC46" s="478"/>
      <c r="AWD46" s="478"/>
      <c r="AWE46" s="478"/>
      <c r="AWF46" s="478"/>
      <c r="AWG46" s="478"/>
      <c r="AWH46" s="478"/>
      <c r="AWI46" s="478"/>
      <c r="AWJ46" s="478"/>
      <c r="AWK46" s="478"/>
      <c r="AWL46" s="478"/>
      <c r="AWM46" s="478"/>
      <c r="AWN46" s="478"/>
      <c r="AWO46" s="478"/>
      <c r="AWP46" s="478"/>
      <c r="AWQ46" s="478"/>
      <c r="AWR46" s="478"/>
      <c r="AWS46" s="478"/>
      <c r="AWT46" s="478"/>
      <c r="AWU46" s="478"/>
      <c r="AWV46" s="478"/>
      <c r="AWW46" s="478"/>
      <c r="AWX46" s="478"/>
      <c r="AWY46" s="478"/>
      <c r="AWZ46" s="478"/>
      <c r="AXA46" s="478"/>
      <c r="AXB46" s="478"/>
      <c r="AXC46" s="478"/>
      <c r="AXD46" s="478"/>
      <c r="AXE46" s="478"/>
      <c r="AXF46" s="478"/>
      <c r="AXG46" s="478"/>
      <c r="AXH46" s="478"/>
      <c r="AXI46" s="478"/>
      <c r="AXJ46" s="478"/>
      <c r="AXK46" s="478"/>
      <c r="AXL46" s="478"/>
      <c r="AXM46" s="478"/>
      <c r="AXN46" s="478"/>
      <c r="AXO46" s="478"/>
      <c r="AXP46" s="478"/>
      <c r="AXQ46" s="478"/>
      <c r="AXR46" s="478"/>
      <c r="AXS46" s="478"/>
      <c r="AXT46" s="478"/>
      <c r="AXU46" s="478"/>
      <c r="AXV46" s="478"/>
      <c r="AXW46" s="478"/>
      <c r="AXX46" s="478"/>
      <c r="AXY46" s="478"/>
      <c r="AXZ46" s="478"/>
      <c r="AYA46" s="478"/>
      <c r="AYB46" s="478"/>
      <c r="AYC46" s="478"/>
      <c r="AYD46" s="478"/>
      <c r="AYE46" s="478"/>
      <c r="AYF46" s="478"/>
      <c r="AYG46" s="478"/>
      <c r="AYH46" s="478"/>
      <c r="AYI46" s="478"/>
      <c r="AYJ46" s="478"/>
      <c r="AYK46" s="478"/>
      <c r="AYL46" s="478"/>
      <c r="AYM46" s="478"/>
      <c r="AYN46" s="478"/>
      <c r="AYO46" s="478"/>
      <c r="AYP46" s="478"/>
      <c r="AYQ46" s="478"/>
      <c r="AYR46" s="478"/>
      <c r="AYS46" s="478"/>
      <c r="AYT46" s="478"/>
      <c r="AYU46" s="478"/>
      <c r="AYV46" s="478"/>
      <c r="AYW46" s="478"/>
      <c r="AYX46" s="478"/>
      <c r="AYY46" s="478"/>
      <c r="AYZ46" s="478"/>
      <c r="AZA46" s="478"/>
      <c r="AZB46" s="478"/>
      <c r="AZC46" s="478"/>
      <c r="AZD46" s="478"/>
      <c r="AZE46" s="478"/>
      <c r="AZF46" s="478"/>
      <c r="AZG46" s="478"/>
      <c r="AZH46" s="478"/>
      <c r="AZI46" s="478"/>
      <c r="AZJ46" s="478"/>
      <c r="AZK46" s="478"/>
      <c r="AZL46" s="478"/>
      <c r="AZM46" s="478"/>
      <c r="AZN46" s="478"/>
      <c r="AZO46" s="478"/>
      <c r="AZP46" s="478"/>
      <c r="AZQ46" s="478"/>
      <c r="AZR46" s="478"/>
      <c r="AZS46" s="478"/>
      <c r="AZT46" s="478"/>
      <c r="AZU46" s="478"/>
      <c r="AZV46" s="478"/>
      <c r="AZW46" s="478"/>
      <c r="AZX46" s="478"/>
      <c r="AZY46" s="478"/>
      <c r="AZZ46" s="478"/>
      <c r="BAA46" s="478"/>
      <c r="BAB46" s="478"/>
      <c r="BAC46" s="478"/>
      <c r="BAD46" s="478"/>
      <c r="BAE46" s="478"/>
      <c r="BAF46" s="478"/>
      <c r="BAG46" s="478"/>
      <c r="BAH46" s="478"/>
      <c r="BAI46" s="478"/>
      <c r="BAJ46" s="478"/>
      <c r="BAK46" s="478"/>
      <c r="BAL46" s="478"/>
      <c r="BAM46" s="478"/>
      <c r="BAN46" s="478"/>
      <c r="BAO46" s="478"/>
      <c r="BAP46" s="478"/>
      <c r="BAQ46" s="478"/>
      <c r="BAR46" s="478"/>
      <c r="BAS46" s="478"/>
      <c r="BAT46" s="478"/>
      <c r="BAU46" s="478"/>
      <c r="BAV46" s="478"/>
      <c r="BAW46" s="478"/>
      <c r="BAX46" s="478"/>
      <c r="BAY46" s="478"/>
      <c r="BAZ46" s="478"/>
      <c r="BBA46" s="478"/>
      <c r="BBB46" s="478"/>
      <c r="BBC46" s="478"/>
      <c r="BBD46" s="478"/>
      <c r="BBE46" s="478"/>
      <c r="BBF46" s="478"/>
      <c r="BBG46" s="478"/>
      <c r="BBH46" s="478"/>
      <c r="BBI46" s="478"/>
      <c r="BBJ46" s="478"/>
      <c r="BBK46" s="478"/>
      <c r="BBL46" s="478"/>
      <c r="BBM46" s="478"/>
      <c r="BBN46" s="478"/>
      <c r="BBO46" s="478"/>
      <c r="BBP46" s="478"/>
      <c r="BBQ46" s="478"/>
      <c r="BBR46" s="478"/>
      <c r="BBS46" s="478"/>
      <c r="BBT46" s="478"/>
      <c r="BBU46" s="478"/>
      <c r="BBV46" s="478"/>
      <c r="BBW46" s="478"/>
      <c r="BBX46" s="478"/>
      <c r="BBY46" s="478"/>
      <c r="BBZ46" s="478"/>
      <c r="BCA46" s="478"/>
      <c r="BCB46" s="478"/>
      <c r="BCC46" s="478"/>
      <c r="BCD46" s="478"/>
      <c r="BCE46" s="478"/>
      <c r="BCF46" s="478"/>
      <c r="BCG46" s="478"/>
      <c r="BCH46" s="478"/>
      <c r="BCI46" s="478"/>
      <c r="BCJ46" s="478"/>
      <c r="BCK46" s="478"/>
      <c r="BCL46" s="478"/>
      <c r="BCM46" s="478"/>
      <c r="BCN46" s="478"/>
      <c r="BCO46" s="478"/>
      <c r="BCP46" s="478"/>
      <c r="BCQ46" s="478"/>
      <c r="BCR46" s="478"/>
      <c r="BCS46" s="478"/>
      <c r="BCT46" s="478"/>
      <c r="BCU46" s="478"/>
      <c r="BCV46" s="478"/>
      <c r="BCW46" s="478"/>
      <c r="BCX46" s="478"/>
      <c r="BCY46" s="478"/>
      <c r="BCZ46" s="478"/>
      <c r="BDA46" s="478"/>
      <c r="BDB46" s="478"/>
      <c r="BDC46" s="478"/>
      <c r="BDD46" s="478"/>
      <c r="BDE46" s="478"/>
      <c r="BDF46" s="478"/>
      <c r="BDG46" s="478"/>
      <c r="BDH46" s="478"/>
      <c r="BDI46" s="478"/>
      <c r="BDJ46" s="478"/>
      <c r="BDK46" s="478"/>
      <c r="BDL46" s="478"/>
      <c r="BDM46" s="478"/>
      <c r="BDN46" s="478"/>
      <c r="BDO46" s="478"/>
      <c r="BDP46" s="478"/>
      <c r="BDQ46" s="478"/>
      <c r="BDR46" s="478"/>
      <c r="BDS46" s="478"/>
      <c r="BDT46" s="478"/>
      <c r="BDU46" s="478"/>
      <c r="BDV46" s="478"/>
      <c r="BDW46" s="478"/>
      <c r="BDX46" s="478"/>
      <c r="BDY46" s="478"/>
      <c r="BDZ46" s="478"/>
      <c r="BEA46" s="478"/>
      <c r="BEB46" s="478"/>
      <c r="BEC46" s="478"/>
      <c r="BED46" s="478"/>
      <c r="BEE46" s="478"/>
      <c r="BEF46" s="478"/>
      <c r="BEG46" s="478"/>
      <c r="BEH46" s="478"/>
      <c r="BEI46" s="478"/>
      <c r="BEJ46" s="478"/>
      <c r="BEK46" s="478"/>
      <c r="BEL46" s="478"/>
      <c r="BEM46" s="478"/>
      <c r="BEN46" s="478"/>
      <c r="BEO46" s="478"/>
      <c r="BEP46" s="478"/>
      <c r="BEQ46" s="478"/>
      <c r="BER46" s="478"/>
      <c r="BES46" s="478"/>
      <c r="BET46" s="478"/>
      <c r="BEU46" s="478"/>
      <c r="BEV46" s="478"/>
      <c r="BEW46" s="478"/>
      <c r="BEX46" s="478"/>
      <c r="BEY46" s="478"/>
      <c r="BEZ46" s="478"/>
      <c r="BFA46" s="478"/>
      <c r="BFB46" s="478"/>
      <c r="BFC46" s="478"/>
      <c r="BFD46" s="478"/>
      <c r="BFE46" s="478"/>
      <c r="BFF46" s="478"/>
      <c r="BFG46" s="478"/>
      <c r="BFH46" s="478"/>
      <c r="BFI46" s="478"/>
      <c r="BFJ46" s="478"/>
      <c r="BFK46" s="478"/>
      <c r="BFL46" s="478"/>
      <c r="BFM46" s="478"/>
      <c r="BFN46" s="478"/>
      <c r="BFO46" s="478"/>
      <c r="BFP46" s="478"/>
      <c r="BFQ46" s="478"/>
      <c r="BFR46" s="478"/>
      <c r="BFS46" s="478"/>
      <c r="BFT46" s="478"/>
      <c r="BFU46" s="478"/>
      <c r="BFV46" s="478"/>
      <c r="BFW46" s="478"/>
      <c r="BFX46" s="478"/>
      <c r="BFY46" s="478"/>
      <c r="BFZ46" s="478"/>
      <c r="BGA46" s="478"/>
      <c r="BGB46" s="478"/>
      <c r="BGC46" s="478"/>
      <c r="BGD46" s="478"/>
      <c r="BGE46" s="478"/>
      <c r="BGF46" s="478"/>
      <c r="BGG46" s="478"/>
      <c r="BGH46" s="478"/>
      <c r="BGI46" s="478"/>
      <c r="BGJ46" s="478"/>
      <c r="BGK46" s="478"/>
      <c r="BGL46" s="478"/>
      <c r="BGM46" s="478"/>
      <c r="BGN46" s="478"/>
      <c r="BGO46" s="478"/>
      <c r="BGP46" s="478"/>
      <c r="BGQ46" s="478"/>
      <c r="BGR46" s="478"/>
      <c r="BGS46" s="478"/>
      <c r="BGT46" s="478"/>
      <c r="BGU46" s="478"/>
      <c r="BGV46" s="478"/>
      <c r="BGW46" s="478"/>
      <c r="BGX46" s="478"/>
      <c r="BGY46" s="478"/>
      <c r="BGZ46" s="478"/>
      <c r="BHA46" s="478"/>
      <c r="BHB46" s="478"/>
      <c r="BHC46" s="478"/>
      <c r="BHD46" s="478"/>
      <c r="BHE46" s="478"/>
      <c r="BHF46" s="478"/>
      <c r="BHG46" s="478"/>
      <c r="BHH46" s="478"/>
      <c r="BHI46" s="478"/>
      <c r="BHJ46" s="478"/>
      <c r="BHK46" s="478"/>
      <c r="BHL46" s="478"/>
      <c r="BHM46" s="478"/>
      <c r="BHN46" s="478"/>
      <c r="BHO46" s="478"/>
      <c r="BHP46" s="478"/>
      <c r="BHQ46" s="478"/>
      <c r="BHR46" s="478"/>
      <c r="BHS46" s="478"/>
      <c r="BHT46" s="478"/>
      <c r="BHU46" s="478"/>
      <c r="BHV46" s="478"/>
      <c r="BHW46" s="478"/>
      <c r="BHX46" s="478"/>
      <c r="BHY46" s="478"/>
      <c r="BHZ46" s="478"/>
      <c r="BIA46" s="478"/>
      <c r="BIB46" s="478"/>
      <c r="BIC46" s="478"/>
      <c r="BID46" s="478"/>
      <c r="BIE46" s="478"/>
      <c r="BIF46" s="478"/>
      <c r="BIG46" s="478"/>
      <c r="BIH46" s="478"/>
      <c r="BII46" s="478"/>
      <c r="BIJ46" s="478"/>
      <c r="BIK46" s="478"/>
      <c r="BIL46" s="478"/>
      <c r="BIM46" s="478"/>
      <c r="BIN46" s="478"/>
      <c r="BIO46" s="478"/>
      <c r="BIP46" s="478"/>
      <c r="BIQ46" s="478"/>
      <c r="BIR46" s="478"/>
      <c r="BIS46" s="478"/>
      <c r="BIT46" s="478"/>
      <c r="BIU46" s="478"/>
      <c r="BIV46" s="478"/>
      <c r="BIW46" s="478"/>
      <c r="BIX46" s="478"/>
      <c r="BIY46" s="478"/>
      <c r="BIZ46" s="478"/>
      <c r="BJA46" s="478"/>
      <c r="BJB46" s="478"/>
      <c r="BJC46" s="478"/>
      <c r="BJD46" s="478"/>
      <c r="BJE46" s="478"/>
      <c r="BJF46" s="478"/>
      <c r="BJG46" s="478"/>
      <c r="BJH46" s="478"/>
      <c r="BJI46" s="478"/>
      <c r="BJJ46" s="478"/>
      <c r="BJK46" s="478"/>
      <c r="BJL46" s="478"/>
      <c r="BJM46" s="478"/>
      <c r="BJN46" s="478"/>
      <c r="BJO46" s="478"/>
      <c r="BJP46" s="478"/>
      <c r="BJQ46" s="478"/>
      <c r="BJR46" s="478"/>
      <c r="BJS46" s="478"/>
      <c r="BJT46" s="478"/>
      <c r="BJU46" s="478"/>
      <c r="BJV46" s="478"/>
      <c r="BJW46" s="478"/>
      <c r="BJX46" s="478"/>
      <c r="BJY46" s="478"/>
      <c r="BJZ46" s="478"/>
      <c r="BKA46" s="478"/>
      <c r="BKB46" s="478"/>
      <c r="BKC46" s="478"/>
      <c r="BKD46" s="478"/>
      <c r="BKE46" s="478"/>
      <c r="BKF46" s="478"/>
      <c r="BKG46" s="478"/>
      <c r="BKH46" s="478"/>
      <c r="BKI46" s="478"/>
      <c r="BKJ46" s="478"/>
      <c r="BKK46" s="478"/>
      <c r="BKL46" s="478"/>
      <c r="BKM46" s="478"/>
      <c r="BKN46" s="478"/>
      <c r="BKO46" s="478"/>
      <c r="BKP46" s="478"/>
      <c r="BKQ46" s="478"/>
      <c r="BKR46" s="478"/>
      <c r="BKS46" s="478"/>
      <c r="BKT46" s="478"/>
      <c r="BKU46" s="478"/>
      <c r="BKV46" s="478"/>
      <c r="BKW46" s="478"/>
      <c r="BKX46" s="478"/>
      <c r="BKY46" s="478"/>
      <c r="BKZ46" s="478"/>
      <c r="BLA46" s="478"/>
      <c r="BLB46" s="478"/>
      <c r="BLC46" s="478"/>
      <c r="BLD46" s="478"/>
      <c r="BLE46" s="478"/>
      <c r="BLF46" s="478"/>
      <c r="BLG46" s="478"/>
      <c r="BLH46" s="478"/>
      <c r="BLI46" s="478"/>
      <c r="BLJ46" s="478"/>
      <c r="BLK46" s="478"/>
      <c r="BLL46" s="478"/>
      <c r="BLM46" s="478"/>
      <c r="BLN46" s="478"/>
      <c r="BLO46" s="478"/>
      <c r="BLP46" s="478"/>
      <c r="BLQ46" s="478"/>
      <c r="BLR46" s="478"/>
      <c r="BLS46" s="478"/>
      <c r="BLT46" s="478"/>
      <c r="BLU46" s="478"/>
      <c r="BLV46" s="478"/>
      <c r="BLW46" s="478"/>
      <c r="BLX46" s="478"/>
      <c r="BLY46" s="478"/>
      <c r="BLZ46" s="478"/>
      <c r="BMA46" s="478"/>
      <c r="BMB46" s="478"/>
      <c r="BMC46" s="478"/>
      <c r="BMD46" s="478"/>
      <c r="BME46" s="478"/>
      <c r="BMF46" s="478"/>
      <c r="BMG46" s="478"/>
      <c r="BMH46" s="478"/>
      <c r="BMI46" s="478"/>
      <c r="BMJ46" s="478"/>
      <c r="BMK46" s="478"/>
      <c r="BML46" s="478"/>
      <c r="BMM46" s="478"/>
      <c r="BMN46" s="478"/>
      <c r="BMO46" s="478"/>
      <c r="BMP46" s="478"/>
      <c r="BMQ46" s="478"/>
      <c r="BMR46" s="478"/>
      <c r="BMS46" s="478"/>
      <c r="BMT46" s="478"/>
      <c r="BMU46" s="478"/>
      <c r="BMV46" s="478"/>
      <c r="BMW46" s="478"/>
      <c r="BMX46" s="478"/>
      <c r="BMY46" s="478"/>
      <c r="BMZ46" s="478"/>
      <c r="BNA46" s="478"/>
      <c r="BNB46" s="478"/>
      <c r="BNC46" s="478"/>
      <c r="BND46" s="478"/>
      <c r="BNE46" s="478"/>
      <c r="BNF46" s="478"/>
      <c r="BNG46" s="478"/>
      <c r="BNH46" s="478"/>
      <c r="BNI46" s="478"/>
      <c r="BNJ46" s="478"/>
      <c r="BNK46" s="478"/>
      <c r="BNL46" s="478"/>
      <c r="BNM46" s="478"/>
      <c r="BNN46" s="478"/>
      <c r="BNO46" s="478"/>
      <c r="BNP46" s="478"/>
      <c r="BNQ46" s="478"/>
      <c r="BNR46" s="478"/>
      <c r="BNS46" s="478"/>
      <c r="BNT46" s="478"/>
      <c r="BNU46" s="478"/>
      <c r="BNV46" s="478"/>
      <c r="BNW46" s="478"/>
      <c r="BNX46" s="478"/>
      <c r="BNY46" s="478"/>
      <c r="BNZ46" s="478"/>
      <c r="BOA46" s="478"/>
      <c r="BOB46" s="478"/>
      <c r="BOC46" s="478"/>
      <c r="BOD46" s="478"/>
      <c r="BOE46" s="478"/>
      <c r="BOF46" s="478"/>
      <c r="BOG46" s="478"/>
      <c r="BOH46" s="478"/>
      <c r="BOI46" s="478"/>
      <c r="BOJ46" s="478"/>
      <c r="BOK46" s="478"/>
      <c r="BOL46" s="478"/>
      <c r="BOM46" s="478"/>
      <c r="BON46" s="478"/>
      <c r="BOO46" s="478"/>
      <c r="BOP46" s="478"/>
      <c r="BOQ46" s="478"/>
      <c r="BOR46" s="478"/>
      <c r="BOS46" s="478"/>
      <c r="BOT46" s="478"/>
      <c r="BOU46" s="478"/>
      <c r="BOV46" s="478"/>
      <c r="BOW46" s="478"/>
      <c r="BOX46" s="478"/>
      <c r="BOY46" s="478"/>
      <c r="BOZ46" s="478"/>
      <c r="BPA46" s="478"/>
      <c r="BPB46" s="478"/>
      <c r="BPC46" s="478"/>
      <c r="BPD46" s="478"/>
      <c r="BPE46" s="478"/>
      <c r="BPF46" s="478"/>
      <c r="BPG46" s="478"/>
      <c r="BPH46" s="478"/>
      <c r="BPI46" s="478"/>
      <c r="BPJ46" s="478"/>
      <c r="BPK46" s="478"/>
      <c r="BPL46" s="478"/>
      <c r="BPM46" s="478"/>
      <c r="BPN46" s="478"/>
      <c r="BPO46" s="478"/>
      <c r="BPP46" s="478"/>
      <c r="BPQ46" s="478"/>
      <c r="BPR46" s="478"/>
      <c r="BPS46" s="478"/>
      <c r="BPT46" s="478"/>
      <c r="BPU46" s="478"/>
      <c r="BPV46" s="478"/>
      <c r="BPW46" s="478"/>
      <c r="BPX46" s="478"/>
      <c r="BPY46" s="478"/>
      <c r="BPZ46" s="478"/>
      <c r="BQA46" s="478"/>
      <c r="BQB46" s="478"/>
      <c r="BQC46" s="478"/>
      <c r="BQD46" s="478"/>
      <c r="BQE46" s="478"/>
      <c r="BQF46" s="478"/>
      <c r="BQG46" s="478"/>
      <c r="BQH46" s="478"/>
      <c r="BQI46" s="478"/>
      <c r="BQJ46" s="478"/>
      <c r="BQK46" s="478"/>
      <c r="BQL46" s="478"/>
      <c r="BQM46" s="478"/>
      <c r="BQN46" s="478"/>
      <c r="BQO46" s="478"/>
      <c r="BQP46" s="478"/>
      <c r="BQQ46" s="478"/>
      <c r="BQR46" s="478"/>
      <c r="BQS46" s="478"/>
      <c r="BQT46" s="478"/>
      <c r="BQU46" s="478"/>
      <c r="BQV46" s="478"/>
      <c r="BQW46" s="478"/>
      <c r="BQX46" s="478"/>
      <c r="BQY46" s="478"/>
      <c r="BQZ46" s="478"/>
      <c r="BRA46" s="478"/>
      <c r="BRB46" s="478"/>
      <c r="BRC46" s="478"/>
      <c r="BRD46" s="478"/>
      <c r="BRE46" s="478"/>
      <c r="BRF46" s="478"/>
      <c r="BRG46" s="478"/>
      <c r="BRH46" s="478"/>
      <c r="BRI46" s="478"/>
      <c r="BRJ46" s="478"/>
      <c r="BRK46" s="478"/>
      <c r="BRL46" s="478"/>
      <c r="BRM46" s="478"/>
      <c r="BRN46" s="478"/>
      <c r="BRO46" s="478"/>
      <c r="BRP46" s="478"/>
      <c r="BRQ46" s="478"/>
      <c r="BRR46" s="478"/>
      <c r="BRS46" s="478"/>
      <c r="BRT46" s="478"/>
      <c r="BRU46" s="478"/>
      <c r="BRV46" s="478"/>
      <c r="BRW46" s="478"/>
      <c r="BRX46" s="478"/>
      <c r="BRY46" s="478"/>
      <c r="BRZ46" s="478"/>
      <c r="BSA46" s="478"/>
      <c r="BSB46" s="478"/>
      <c r="BSC46" s="478"/>
      <c r="BSD46" s="478"/>
      <c r="BSE46" s="478"/>
      <c r="BSF46" s="478"/>
      <c r="BSG46" s="478"/>
      <c r="BSH46" s="478"/>
      <c r="BSI46" s="478"/>
      <c r="BSJ46" s="478"/>
      <c r="BSK46" s="478"/>
      <c r="BSL46" s="478"/>
      <c r="BSM46" s="478"/>
      <c r="BSN46" s="478"/>
      <c r="BSO46" s="478"/>
      <c r="BSP46" s="478"/>
      <c r="BSQ46" s="478"/>
      <c r="BSR46" s="478"/>
      <c r="BSS46" s="478"/>
      <c r="BST46" s="478"/>
      <c r="BSU46" s="478"/>
      <c r="BSV46" s="478"/>
      <c r="BSW46" s="478"/>
      <c r="BSX46" s="478"/>
      <c r="BSY46" s="478"/>
      <c r="BSZ46" s="478"/>
      <c r="BTA46" s="478"/>
      <c r="BTB46" s="478"/>
      <c r="BTC46" s="478"/>
      <c r="BTD46" s="478"/>
      <c r="BTE46" s="478"/>
      <c r="BTF46" s="478"/>
      <c r="BTG46" s="478"/>
      <c r="BTH46" s="478"/>
      <c r="BTI46" s="478"/>
      <c r="BTJ46" s="478"/>
      <c r="BTK46" s="478"/>
      <c r="BTL46" s="478"/>
      <c r="BTM46" s="478"/>
      <c r="BTN46" s="478"/>
      <c r="BTO46" s="478"/>
      <c r="BTP46" s="478"/>
      <c r="BTQ46" s="478"/>
      <c r="BTR46" s="478"/>
      <c r="BTS46" s="478"/>
      <c r="BTT46" s="478"/>
      <c r="BTU46" s="478"/>
      <c r="BTV46" s="478"/>
      <c r="BTW46" s="478"/>
      <c r="BTX46" s="478"/>
      <c r="BTY46" s="478"/>
      <c r="BTZ46" s="478"/>
      <c r="BUA46" s="478"/>
      <c r="BUB46" s="478"/>
      <c r="BUC46" s="478"/>
      <c r="BUD46" s="478"/>
      <c r="BUE46" s="478"/>
      <c r="BUF46" s="478"/>
      <c r="BUG46" s="478"/>
      <c r="BUH46" s="478"/>
      <c r="BUI46" s="478"/>
      <c r="BUJ46" s="478"/>
      <c r="BUK46" s="478"/>
      <c r="BUL46" s="478"/>
      <c r="BUM46" s="478"/>
      <c r="BUN46" s="478"/>
      <c r="BUO46" s="478"/>
      <c r="BUP46" s="478"/>
      <c r="BUQ46" s="478"/>
      <c r="BUR46" s="478"/>
      <c r="BUS46" s="478"/>
      <c r="BUT46" s="478"/>
      <c r="BUU46" s="478"/>
      <c r="BUV46" s="478"/>
      <c r="BUW46" s="478"/>
      <c r="BUX46" s="478"/>
      <c r="BUY46" s="478"/>
      <c r="BUZ46" s="478"/>
      <c r="BVA46" s="478"/>
      <c r="BVB46" s="478"/>
      <c r="BVC46" s="478"/>
      <c r="BVD46" s="478"/>
      <c r="BVE46" s="478"/>
      <c r="BVF46" s="478"/>
      <c r="BVG46" s="478"/>
      <c r="BVH46" s="478"/>
      <c r="BVI46" s="478"/>
      <c r="BVJ46" s="478"/>
      <c r="BVK46" s="478"/>
      <c r="BVL46" s="478"/>
      <c r="BVM46" s="478"/>
      <c r="BVN46" s="478"/>
      <c r="BVO46" s="478"/>
      <c r="BVP46" s="478"/>
      <c r="BVQ46" s="478"/>
      <c r="BVR46" s="478"/>
      <c r="BVS46" s="478"/>
      <c r="BVT46" s="478"/>
      <c r="BVU46" s="478"/>
      <c r="BVV46" s="478"/>
      <c r="BVW46" s="478"/>
      <c r="BVX46" s="478"/>
      <c r="BVY46" s="478"/>
      <c r="BVZ46" s="478"/>
      <c r="BWA46" s="478"/>
      <c r="BWB46" s="478"/>
      <c r="BWC46" s="478"/>
      <c r="BWD46" s="478"/>
      <c r="BWE46" s="478"/>
      <c r="BWF46" s="478"/>
      <c r="BWG46" s="478"/>
      <c r="BWH46" s="478"/>
      <c r="BWI46" s="478"/>
      <c r="BWJ46" s="478"/>
      <c r="BWK46" s="478"/>
      <c r="BWL46" s="478"/>
      <c r="BWM46" s="478"/>
      <c r="BWN46" s="478"/>
      <c r="BWO46" s="478"/>
      <c r="BWP46" s="478"/>
      <c r="BWQ46" s="478"/>
      <c r="BWR46" s="478"/>
      <c r="BWS46" s="478"/>
      <c r="BWT46" s="478"/>
      <c r="BWU46" s="478"/>
      <c r="BWV46" s="478"/>
      <c r="BWW46" s="478"/>
      <c r="BWX46" s="478"/>
      <c r="BWY46" s="478"/>
      <c r="BWZ46" s="478"/>
      <c r="BXA46" s="478"/>
      <c r="BXB46" s="478"/>
      <c r="BXC46" s="478"/>
      <c r="BXD46" s="478"/>
      <c r="BXE46" s="478"/>
      <c r="BXF46" s="478"/>
      <c r="BXG46" s="478"/>
      <c r="BXH46" s="478"/>
      <c r="BXI46" s="478"/>
      <c r="BXJ46" s="478"/>
      <c r="BXK46" s="478"/>
      <c r="BXL46" s="478"/>
      <c r="BXM46" s="478"/>
      <c r="BXN46" s="478"/>
      <c r="BXO46" s="478"/>
      <c r="BXP46" s="478"/>
      <c r="BXQ46" s="478"/>
      <c r="BXR46" s="478"/>
      <c r="BXS46" s="478"/>
      <c r="BXT46" s="478"/>
      <c r="BXU46" s="478"/>
      <c r="BXV46" s="478"/>
      <c r="BXW46" s="478"/>
      <c r="BXX46" s="478"/>
      <c r="BXY46" s="478"/>
      <c r="BXZ46" s="478"/>
      <c r="BYA46" s="478"/>
      <c r="BYB46" s="478"/>
      <c r="BYC46" s="478"/>
      <c r="BYD46" s="478"/>
      <c r="BYE46" s="478"/>
      <c r="BYF46" s="478"/>
      <c r="BYG46" s="478"/>
      <c r="BYH46" s="478"/>
      <c r="BYI46" s="478"/>
      <c r="BYJ46" s="478"/>
      <c r="BYK46" s="478"/>
      <c r="BYL46" s="478"/>
      <c r="BYM46" s="478"/>
      <c r="BYN46" s="478"/>
      <c r="BYO46" s="478"/>
      <c r="BYP46" s="478"/>
      <c r="BYQ46" s="478"/>
      <c r="BYR46" s="478"/>
      <c r="BYS46" s="478"/>
      <c r="BYT46" s="478"/>
      <c r="BYU46" s="478"/>
      <c r="BYV46" s="478"/>
      <c r="BYW46" s="478"/>
      <c r="BYX46" s="478"/>
      <c r="BYY46" s="478"/>
      <c r="BYZ46" s="478"/>
      <c r="BZA46" s="478"/>
      <c r="BZB46" s="478"/>
      <c r="BZC46" s="478"/>
      <c r="BZD46" s="478"/>
      <c r="BZE46" s="478"/>
      <c r="BZF46" s="478"/>
      <c r="BZG46" s="478"/>
      <c r="BZH46" s="478"/>
      <c r="BZI46" s="478"/>
      <c r="BZJ46" s="478"/>
      <c r="BZK46" s="478"/>
      <c r="BZL46" s="478"/>
      <c r="BZM46" s="478"/>
      <c r="BZN46" s="478"/>
      <c r="BZO46" s="478"/>
      <c r="BZP46" s="478"/>
      <c r="BZQ46" s="478"/>
      <c r="BZR46" s="478"/>
      <c r="BZS46" s="478"/>
      <c r="BZT46" s="478"/>
      <c r="BZU46" s="478"/>
      <c r="BZV46" s="478"/>
      <c r="BZW46" s="478"/>
      <c r="BZX46" s="478"/>
      <c r="BZY46" s="478"/>
      <c r="BZZ46" s="478"/>
      <c r="CAA46" s="478"/>
      <c r="CAB46" s="478"/>
      <c r="CAC46" s="478"/>
      <c r="CAD46" s="478"/>
      <c r="CAE46" s="478"/>
      <c r="CAF46" s="478"/>
      <c r="CAG46" s="478"/>
      <c r="CAH46" s="478"/>
      <c r="CAI46" s="478"/>
      <c r="CAJ46" s="478"/>
      <c r="CAK46" s="478"/>
      <c r="CAL46" s="478"/>
      <c r="CAM46" s="478"/>
      <c r="CAN46" s="478"/>
      <c r="CAO46" s="478"/>
      <c r="CAP46" s="478"/>
      <c r="CAQ46" s="478"/>
      <c r="CAR46" s="478"/>
      <c r="CAS46" s="478"/>
      <c r="CAT46" s="478"/>
      <c r="CAU46" s="478"/>
      <c r="CAV46" s="478"/>
      <c r="CAW46" s="478"/>
      <c r="CAX46" s="478"/>
      <c r="CAY46" s="478"/>
      <c r="CAZ46" s="478"/>
      <c r="CBA46" s="478"/>
      <c r="CBB46" s="478"/>
      <c r="CBC46" s="478"/>
      <c r="CBD46" s="478"/>
      <c r="CBE46" s="478"/>
      <c r="CBF46" s="478"/>
      <c r="CBG46" s="478"/>
      <c r="CBH46" s="478"/>
      <c r="CBI46" s="478"/>
      <c r="CBJ46" s="478"/>
      <c r="CBK46" s="478"/>
      <c r="CBL46" s="478"/>
      <c r="CBM46" s="478"/>
      <c r="CBN46" s="478"/>
      <c r="CBO46" s="478"/>
      <c r="CBP46" s="478"/>
      <c r="CBQ46" s="478"/>
      <c r="CBR46" s="478"/>
      <c r="CBS46" s="478"/>
      <c r="CBT46" s="478"/>
      <c r="CBU46" s="478"/>
      <c r="CBV46" s="478"/>
      <c r="CBW46" s="478"/>
      <c r="CBX46" s="478"/>
      <c r="CBY46" s="478"/>
      <c r="CBZ46" s="478"/>
      <c r="CCA46" s="478"/>
      <c r="CCB46" s="478"/>
      <c r="CCC46" s="478"/>
      <c r="CCD46" s="478"/>
      <c r="CCE46" s="478"/>
      <c r="CCF46" s="478"/>
      <c r="CCG46" s="478"/>
      <c r="CCH46" s="478"/>
      <c r="CCI46" s="478"/>
      <c r="CCJ46" s="478"/>
      <c r="CCK46" s="478"/>
      <c r="CCL46" s="478"/>
      <c r="CCM46" s="478"/>
      <c r="CCN46" s="478"/>
      <c r="CCO46" s="478"/>
      <c r="CCP46" s="478"/>
      <c r="CCQ46" s="478"/>
      <c r="CCR46" s="478"/>
      <c r="CCS46" s="478"/>
      <c r="CCT46" s="478"/>
      <c r="CCU46" s="478"/>
      <c r="CCV46" s="478"/>
      <c r="CCW46" s="478"/>
      <c r="CCX46" s="478"/>
      <c r="CCY46" s="478"/>
      <c r="CCZ46" s="478"/>
      <c r="CDA46" s="478"/>
      <c r="CDB46" s="478"/>
      <c r="CDC46" s="478"/>
      <c r="CDD46" s="478"/>
      <c r="CDE46" s="478"/>
      <c r="CDF46" s="478"/>
      <c r="CDG46" s="478"/>
      <c r="CDH46" s="478"/>
      <c r="CDI46" s="478"/>
      <c r="CDJ46" s="478"/>
      <c r="CDK46" s="478"/>
      <c r="CDL46" s="478"/>
      <c r="CDM46" s="478"/>
      <c r="CDN46" s="478"/>
      <c r="CDO46" s="478"/>
      <c r="CDP46" s="478"/>
      <c r="CDQ46" s="478"/>
      <c r="CDR46" s="478"/>
      <c r="CDS46" s="478"/>
      <c r="CDT46" s="478"/>
      <c r="CDU46" s="478"/>
      <c r="CDV46" s="478"/>
      <c r="CDW46" s="478"/>
      <c r="CDX46" s="478"/>
      <c r="CDY46" s="478"/>
      <c r="CDZ46" s="478"/>
      <c r="CEA46" s="478"/>
      <c r="CEB46" s="478"/>
      <c r="CEC46" s="478"/>
      <c r="CED46" s="478"/>
      <c r="CEE46" s="478"/>
      <c r="CEF46" s="478"/>
      <c r="CEG46" s="478"/>
      <c r="CEH46" s="478"/>
      <c r="CEI46" s="478"/>
      <c r="CEJ46" s="478"/>
      <c r="CEK46" s="478"/>
      <c r="CEL46" s="478"/>
      <c r="CEM46" s="478"/>
      <c r="CEN46" s="478"/>
      <c r="CEO46" s="478"/>
      <c r="CEP46" s="478"/>
      <c r="CEQ46" s="478"/>
      <c r="CER46" s="478"/>
      <c r="CES46" s="478"/>
      <c r="CET46" s="478"/>
      <c r="CEU46" s="478"/>
      <c r="CEV46" s="478"/>
      <c r="CEW46" s="478"/>
      <c r="CEX46" s="478"/>
      <c r="CEY46" s="478"/>
      <c r="CEZ46" s="478"/>
      <c r="CFA46" s="478"/>
      <c r="CFB46" s="478"/>
      <c r="CFC46" s="478"/>
      <c r="CFD46" s="478"/>
      <c r="CFE46" s="478"/>
      <c r="CFF46" s="478"/>
      <c r="CFG46" s="478"/>
      <c r="CFH46" s="478"/>
      <c r="CFI46" s="478"/>
      <c r="CFJ46" s="478"/>
      <c r="CFK46" s="478"/>
      <c r="CFL46" s="478"/>
      <c r="CFM46" s="478"/>
      <c r="CFN46" s="478"/>
      <c r="CFO46" s="478"/>
      <c r="CFP46" s="478"/>
      <c r="CFQ46" s="478"/>
      <c r="CFR46" s="478"/>
      <c r="CFS46" s="478"/>
      <c r="CFT46" s="478"/>
      <c r="CFU46" s="478"/>
      <c r="CFV46" s="478"/>
      <c r="CFW46" s="478"/>
      <c r="CFX46" s="478"/>
      <c r="CFY46" s="478"/>
      <c r="CFZ46" s="478"/>
      <c r="CGA46" s="478"/>
      <c r="CGB46" s="478"/>
      <c r="CGC46" s="478"/>
      <c r="CGD46" s="478"/>
      <c r="CGE46" s="478"/>
      <c r="CGF46" s="478"/>
      <c r="CGG46" s="478"/>
      <c r="CGH46" s="478"/>
      <c r="CGI46" s="478"/>
      <c r="CGJ46" s="478"/>
      <c r="CGK46" s="478"/>
      <c r="CGL46" s="478"/>
      <c r="CGM46" s="478"/>
      <c r="CGN46" s="478"/>
      <c r="CGO46" s="478"/>
      <c r="CGP46" s="478"/>
      <c r="CGQ46" s="478"/>
      <c r="CGR46" s="478"/>
      <c r="CGS46" s="478"/>
      <c r="CGT46" s="478"/>
      <c r="CGU46" s="478"/>
      <c r="CGV46" s="478"/>
      <c r="CGW46" s="478"/>
      <c r="CGX46" s="478"/>
      <c r="CGY46" s="478"/>
      <c r="CGZ46" s="478"/>
      <c r="CHA46" s="478"/>
      <c r="CHB46" s="478"/>
      <c r="CHC46" s="478"/>
      <c r="CHD46" s="478"/>
      <c r="CHE46" s="478"/>
      <c r="CHF46" s="478"/>
      <c r="CHG46" s="478"/>
      <c r="CHH46" s="478"/>
      <c r="CHI46" s="478"/>
      <c r="CHJ46" s="478"/>
      <c r="CHK46" s="478"/>
      <c r="CHL46" s="478"/>
      <c r="CHM46" s="478"/>
      <c r="CHN46" s="478"/>
      <c r="CHO46" s="478"/>
      <c r="CHP46" s="478"/>
      <c r="CHQ46" s="478"/>
      <c r="CHR46" s="478"/>
      <c r="CHS46" s="478"/>
      <c r="CHT46" s="478"/>
      <c r="CHU46" s="478"/>
      <c r="CHV46" s="478"/>
      <c r="CHW46" s="478"/>
      <c r="CHX46" s="478"/>
      <c r="CHY46" s="478"/>
      <c r="CHZ46" s="478"/>
      <c r="CIA46" s="478"/>
      <c r="CIB46" s="478"/>
      <c r="CIC46" s="478"/>
      <c r="CID46" s="478"/>
      <c r="CIE46" s="478"/>
      <c r="CIF46" s="478"/>
      <c r="CIG46" s="478"/>
      <c r="CIH46" s="478"/>
      <c r="CII46" s="478"/>
      <c r="CIJ46" s="478"/>
      <c r="CIK46" s="478"/>
      <c r="CIL46" s="478"/>
      <c r="CIM46" s="478"/>
      <c r="CIN46" s="478"/>
      <c r="CIO46" s="478"/>
      <c r="CIP46" s="478"/>
      <c r="CIQ46" s="478"/>
      <c r="CIR46" s="478"/>
      <c r="CIS46" s="478"/>
      <c r="CIT46" s="478"/>
      <c r="CIU46" s="478"/>
      <c r="CIV46" s="478"/>
      <c r="CIW46" s="478"/>
      <c r="CIX46" s="478"/>
      <c r="CIY46" s="478"/>
      <c r="CIZ46" s="478"/>
      <c r="CJA46" s="478"/>
      <c r="CJB46" s="478"/>
      <c r="CJC46" s="478"/>
      <c r="CJD46" s="478"/>
      <c r="CJE46" s="478"/>
      <c r="CJF46" s="478"/>
      <c r="CJG46" s="478"/>
      <c r="CJH46" s="478"/>
      <c r="CJI46" s="478"/>
      <c r="CJJ46" s="478"/>
      <c r="CJK46" s="478"/>
      <c r="CJL46" s="478"/>
      <c r="CJM46" s="478"/>
      <c r="CJN46" s="478"/>
      <c r="CJO46" s="478"/>
      <c r="CJP46" s="478"/>
      <c r="CJQ46" s="478"/>
      <c r="CJR46" s="478"/>
      <c r="CJS46" s="478"/>
      <c r="CJT46" s="478"/>
      <c r="CJU46" s="478"/>
      <c r="CJV46" s="478"/>
      <c r="CJW46" s="478"/>
      <c r="CJX46" s="478"/>
      <c r="CJY46" s="478"/>
      <c r="CJZ46" s="478"/>
      <c r="CKA46" s="478"/>
      <c r="CKB46" s="478"/>
      <c r="CKC46" s="478"/>
      <c r="CKD46" s="478"/>
      <c r="CKE46" s="478"/>
      <c r="CKF46" s="478"/>
      <c r="CKG46" s="478"/>
      <c r="CKH46" s="478"/>
      <c r="CKI46" s="478"/>
      <c r="CKJ46" s="478"/>
      <c r="CKK46" s="478"/>
      <c r="CKL46" s="478"/>
      <c r="CKM46" s="478"/>
      <c r="CKN46" s="478"/>
      <c r="CKO46" s="478"/>
      <c r="CKP46" s="478"/>
      <c r="CKQ46" s="478"/>
      <c r="CKR46" s="478"/>
      <c r="CKS46" s="478"/>
      <c r="CKT46" s="478"/>
      <c r="CKU46" s="478"/>
      <c r="CKV46" s="478"/>
      <c r="CKW46" s="478"/>
      <c r="CKX46" s="478"/>
      <c r="CKY46" s="478"/>
      <c r="CKZ46" s="478"/>
      <c r="CLA46" s="478"/>
      <c r="CLB46" s="478"/>
      <c r="CLC46" s="478"/>
      <c r="CLD46" s="478"/>
      <c r="CLE46" s="478"/>
      <c r="CLF46" s="478"/>
      <c r="CLG46" s="478"/>
      <c r="CLH46" s="478"/>
      <c r="CLI46" s="478"/>
      <c r="CLJ46" s="478"/>
      <c r="CLK46" s="478"/>
      <c r="CLL46" s="478"/>
      <c r="CLM46" s="478"/>
      <c r="CLN46" s="478"/>
      <c r="CLO46" s="478"/>
      <c r="CLP46" s="478"/>
      <c r="CLQ46" s="478"/>
      <c r="CLR46" s="478"/>
      <c r="CLS46" s="478"/>
      <c r="CLT46" s="478"/>
      <c r="CLU46" s="478"/>
      <c r="CLV46" s="478"/>
      <c r="CLW46" s="478"/>
      <c r="CLX46" s="478"/>
      <c r="CLY46" s="478"/>
      <c r="CLZ46" s="478"/>
      <c r="CMA46" s="478"/>
      <c r="CMB46" s="478"/>
      <c r="CMC46" s="478"/>
      <c r="CMD46" s="478"/>
      <c r="CME46" s="478"/>
      <c r="CMF46" s="478"/>
      <c r="CMG46" s="478"/>
      <c r="CMH46" s="478"/>
      <c r="CMI46" s="478"/>
      <c r="CMJ46" s="478"/>
      <c r="CMK46" s="478"/>
      <c r="CML46" s="478"/>
      <c r="CMM46" s="478"/>
      <c r="CMN46" s="478"/>
      <c r="CMO46" s="478"/>
      <c r="CMP46" s="478"/>
      <c r="CMQ46" s="478"/>
      <c r="CMR46" s="478"/>
      <c r="CMS46" s="478"/>
      <c r="CMT46" s="478"/>
      <c r="CMU46" s="478"/>
      <c r="CMV46" s="478"/>
      <c r="CMW46" s="478"/>
      <c r="CMX46" s="478"/>
      <c r="CMY46" s="478"/>
      <c r="CMZ46" s="478"/>
      <c r="CNA46" s="478"/>
      <c r="CNB46" s="478"/>
      <c r="CNC46" s="478"/>
      <c r="CND46" s="478"/>
      <c r="CNE46" s="478"/>
      <c r="CNF46" s="478"/>
      <c r="CNG46" s="478"/>
      <c r="CNH46" s="478"/>
      <c r="CNI46" s="478"/>
      <c r="CNJ46" s="478"/>
      <c r="CNK46" s="478"/>
      <c r="CNL46" s="478"/>
      <c r="CNM46" s="478"/>
      <c r="CNN46" s="478"/>
      <c r="CNO46" s="478"/>
      <c r="CNP46" s="478"/>
      <c r="CNQ46" s="478"/>
      <c r="CNR46" s="478"/>
      <c r="CNS46" s="478"/>
      <c r="CNT46" s="478"/>
      <c r="CNU46" s="478"/>
      <c r="CNV46" s="478"/>
      <c r="CNW46" s="478"/>
      <c r="CNX46" s="478"/>
      <c r="CNY46" s="478"/>
      <c r="CNZ46" s="478"/>
      <c r="COA46" s="478"/>
      <c r="COB46" s="478"/>
      <c r="COC46" s="478"/>
      <c r="COD46" s="478"/>
      <c r="COE46" s="478"/>
      <c r="COF46" s="478"/>
      <c r="COG46" s="478"/>
      <c r="COH46" s="478"/>
      <c r="COI46" s="478"/>
      <c r="COJ46" s="478"/>
      <c r="COK46" s="478"/>
      <c r="COL46" s="478"/>
      <c r="COM46" s="478"/>
      <c r="CON46" s="478"/>
      <c r="COO46" s="478"/>
      <c r="COP46" s="478"/>
      <c r="COQ46" s="478"/>
      <c r="COR46" s="478"/>
      <c r="COS46" s="478"/>
      <c r="COT46" s="478"/>
      <c r="COU46" s="478"/>
      <c r="COV46" s="478"/>
      <c r="COW46" s="478"/>
      <c r="COX46" s="478"/>
      <c r="COY46" s="478"/>
      <c r="COZ46" s="478"/>
      <c r="CPA46" s="478"/>
      <c r="CPB46" s="478"/>
      <c r="CPC46" s="478"/>
      <c r="CPD46" s="478"/>
      <c r="CPE46" s="478"/>
      <c r="CPF46" s="478"/>
      <c r="CPG46" s="478"/>
      <c r="CPH46" s="478"/>
      <c r="CPI46" s="478"/>
      <c r="CPJ46" s="478"/>
      <c r="CPK46" s="478"/>
      <c r="CPL46" s="478"/>
      <c r="CPM46" s="478"/>
      <c r="CPN46" s="478"/>
      <c r="CPO46" s="478"/>
      <c r="CPP46" s="478"/>
      <c r="CPQ46" s="478"/>
      <c r="CPR46" s="478"/>
      <c r="CPS46" s="478"/>
      <c r="CPT46" s="478"/>
      <c r="CPU46" s="478"/>
      <c r="CPV46" s="478"/>
      <c r="CPW46" s="478"/>
      <c r="CPX46" s="478"/>
      <c r="CPY46" s="478"/>
      <c r="CPZ46" s="478"/>
      <c r="CQA46" s="478"/>
      <c r="CQB46" s="478"/>
      <c r="CQC46" s="478"/>
      <c r="CQD46" s="478"/>
      <c r="CQE46" s="478"/>
      <c r="CQF46" s="478"/>
      <c r="CQG46" s="478"/>
      <c r="CQH46" s="478"/>
      <c r="CQI46" s="478"/>
      <c r="CQJ46" s="478"/>
      <c r="CQK46" s="478"/>
      <c r="CQL46" s="478"/>
      <c r="CQM46" s="478"/>
      <c r="CQN46" s="478"/>
      <c r="CQO46" s="478"/>
      <c r="CQP46" s="478"/>
      <c r="CQQ46" s="478"/>
      <c r="CQR46" s="478"/>
      <c r="CQS46" s="478"/>
      <c r="CQT46" s="478"/>
      <c r="CQU46" s="478"/>
      <c r="CQV46" s="478"/>
      <c r="CQW46" s="478"/>
      <c r="CQX46" s="478"/>
      <c r="CQY46" s="478"/>
      <c r="CQZ46" s="478"/>
      <c r="CRA46" s="478"/>
      <c r="CRB46" s="478"/>
      <c r="CRC46" s="478"/>
      <c r="CRD46" s="478"/>
      <c r="CRE46" s="478"/>
      <c r="CRF46" s="478"/>
      <c r="CRG46" s="478"/>
      <c r="CRH46" s="478"/>
      <c r="CRI46" s="478"/>
      <c r="CRJ46" s="478"/>
      <c r="CRK46" s="478"/>
      <c r="CRL46" s="478"/>
      <c r="CRM46" s="478"/>
      <c r="CRN46" s="478"/>
      <c r="CRO46" s="478"/>
      <c r="CRP46" s="478"/>
      <c r="CRQ46" s="478"/>
      <c r="CRR46" s="478"/>
      <c r="CRS46" s="478"/>
      <c r="CRT46" s="478"/>
      <c r="CRU46" s="478"/>
      <c r="CRV46" s="478"/>
      <c r="CRW46" s="478"/>
      <c r="CRX46" s="478"/>
      <c r="CRY46" s="478"/>
      <c r="CRZ46" s="478"/>
      <c r="CSA46" s="478"/>
      <c r="CSB46" s="478"/>
      <c r="CSC46" s="478"/>
      <c r="CSD46" s="478"/>
      <c r="CSE46" s="478"/>
      <c r="CSF46" s="478"/>
      <c r="CSG46" s="478"/>
      <c r="CSH46" s="478"/>
      <c r="CSI46" s="478"/>
      <c r="CSJ46" s="478"/>
      <c r="CSK46" s="478"/>
      <c r="CSL46" s="478"/>
      <c r="CSM46" s="478"/>
      <c r="CSN46" s="478"/>
      <c r="CSO46" s="478"/>
      <c r="CSP46" s="478"/>
      <c r="CSQ46" s="478"/>
      <c r="CSR46" s="478"/>
      <c r="CSS46" s="478"/>
      <c r="CST46" s="478"/>
      <c r="CSU46" s="478"/>
      <c r="CSV46" s="478"/>
      <c r="CSW46" s="478"/>
      <c r="CSX46" s="478"/>
      <c r="CSY46" s="478"/>
      <c r="CSZ46" s="478"/>
      <c r="CTA46" s="478"/>
      <c r="CTB46" s="478"/>
      <c r="CTC46" s="478"/>
      <c r="CTD46" s="478"/>
      <c r="CTE46" s="478"/>
      <c r="CTF46" s="478"/>
      <c r="CTG46" s="478"/>
      <c r="CTH46" s="478"/>
      <c r="CTI46" s="478"/>
      <c r="CTJ46" s="478"/>
      <c r="CTK46" s="478"/>
      <c r="CTL46" s="478"/>
      <c r="CTM46" s="478"/>
      <c r="CTN46" s="478"/>
      <c r="CTO46" s="478"/>
      <c r="CTP46" s="478"/>
      <c r="CTQ46" s="478"/>
      <c r="CTR46" s="478"/>
      <c r="CTS46" s="478"/>
      <c r="CTT46" s="478"/>
      <c r="CTU46" s="478"/>
      <c r="CTV46" s="478"/>
      <c r="CTW46" s="478"/>
      <c r="CTX46" s="478"/>
      <c r="CTY46" s="478"/>
      <c r="CTZ46" s="478"/>
      <c r="CUA46" s="478"/>
      <c r="CUB46" s="478"/>
      <c r="CUC46" s="478"/>
      <c r="CUD46" s="478"/>
      <c r="CUE46" s="478"/>
      <c r="CUF46" s="478"/>
      <c r="CUG46" s="478"/>
      <c r="CUH46" s="478"/>
      <c r="CUI46" s="478"/>
      <c r="CUJ46" s="478"/>
      <c r="CUK46" s="478"/>
      <c r="CUL46" s="478"/>
      <c r="CUM46" s="478"/>
      <c r="CUN46" s="478"/>
      <c r="CUO46" s="478"/>
      <c r="CUP46" s="478"/>
      <c r="CUQ46" s="478"/>
      <c r="CUR46" s="478"/>
      <c r="CUS46" s="478"/>
      <c r="CUT46" s="478"/>
      <c r="CUU46" s="478"/>
      <c r="CUV46" s="478"/>
      <c r="CUW46" s="478"/>
      <c r="CUX46" s="478"/>
      <c r="CUY46" s="478"/>
      <c r="CUZ46" s="478"/>
      <c r="CVA46" s="478"/>
      <c r="CVB46" s="478"/>
      <c r="CVC46" s="478"/>
      <c r="CVD46" s="478"/>
      <c r="CVE46" s="478"/>
      <c r="CVF46" s="478"/>
      <c r="CVG46" s="478"/>
      <c r="CVH46" s="478"/>
      <c r="CVI46" s="478"/>
      <c r="CVJ46" s="478"/>
      <c r="CVK46" s="478"/>
      <c r="CVL46" s="478"/>
      <c r="CVM46" s="478"/>
      <c r="CVN46" s="478"/>
      <c r="CVO46" s="478"/>
      <c r="CVP46" s="478"/>
      <c r="CVQ46" s="478"/>
      <c r="CVR46" s="478"/>
      <c r="CVS46" s="478"/>
      <c r="CVT46" s="478"/>
      <c r="CVU46" s="478"/>
      <c r="CVV46" s="478"/>
      <c r="CVW46" s="478"/>
      <c r="CVX46" s="478"/>
      <c r="CVY46" s="478"/>
      <c r="CVZ46" s="478"/>
      <c r="CWA46" s="478"/>
      <c r="CWB46" s="478"/>
      <c r="CWC46" s="478"/>
      <c r="CWD46" s="478"/>
      <c r="CWE46" s="478"/>
      <c r="CWF46" s="478"/>
      <c r="CWG46" s="478"/>
      <c r="CWH46" s="478"/>
      <c r="CWI46" s="478"/>
      <c r="CWJ46" s="478"/>
      <c r="CWK46" s="478"/>
      <c r="CWL46" s="478"/>
      <c r="CWM46" s="478"/>
      <c r="CWN46" s="478"/>
      <c r="CWO46" s="478"/>
      <c r="CWP46" s="478"/>
      <c r="CWQ46" s="478"/>
      <c r="CWR46" s="478"/>
      <c r="CWS46" s="478"/>
      <c r="CWT46" s="478"/>
      <c r="CWU46" s="478"/>
      <c r="CWV46" s="478"/>
      <c r="CWW46" s="478"/>
      <c r="CWX46" s="478"/>
      <c r="CWY46" s="478"/>
      <c r="CWZ46" s="478"/>
      <c r="CXA46" s="478"/>
      <c r="CXB46" s="478"/>
      <c r="CXC46" s="478"/>
      <c r="CXD46" s="478"/>
      <c r="CXE46" s="478"/>
      <c r="CXF46" s="478"/>
      <c r="CXG46" s="478"/>
      <c r="CXH46" s="478"/>
      <c r="CXI46" s="478"/>
      <c r="CXJ46" s="478"/>
      <c r="CXK46" s="478"/>
      <c r="CXL46" s="478"/>
      <c r="CXM46" s="478"/>
      <c r="CXN46" s="478"/>
      <c r="CXO46" s="478"/>
      <c r="CXP46" s="478"/>
      <c r="CXQ46" s="478"/>
      <c r="CXR46" s="478"/>
      <c r="CXS46" s="478"/>
      <c r="CXT46" s="478"/>
      <c r="CXU46" s="478"/>
      <c r="CXV46" s="478"/>
      <c r="CXW46" s="478"/>
      <c r="CXX46" s="478"/>
      <c r="CXY46" s="478"/>
      <c r="CXZ46" s="478"/>
      <c r="CYA46" s="478"/>
      <c r="CYB46" s="478"/>
      <c r="CYC46" s="478"/>
      <c r="CYD46" s="478"/>
      <c r="CYE46" s="478"/>
      <c r="CYF46" s="478"/>
      <c r="CYG46" s="478"/>
      <c r="CYH46" s="478"/>
      <c r="CYI46" s="478"/>
      <c r="CYJ46" s="478"/>
      <c r="CYK46" s="478"/>
      <c r="CYL46" s="478"/>
      <c r="CYM46" s="478"/>
      <c r="CYN46" s="478"/>
      <c r="CYO46" s="478"/>
      <c r="CYP46" s="478"/>
      <c r="CYQ46" s="478"/>
      <c r="CYR46" s="478"/>
      <c r="CYS46" s="478"/>
      <c r="CYT46" s="478"/>
      <c r="CYU46" s="478"/>
      <c r="CYV46" s="478"/>
      <c r="CYW46" s="478"/>
      <c r="CYX46" s="478"/>
      <c r="CYY46" s="478"/>
      <c r="CYZ46" s="478"/>
      <c r="CZA46" s="478"/>
      <c r="CZB46" s="478"/>
      <c r="CZC46" s="478"/>
      <c r="CZD46" s="478"/>
      <c r="CZE46" s="478"/>
      <c r="CZF46" s="478"/>
      <c r="CZG46" s="478"/>
      <c r="CZH46" s="478"/>
      <c r="CZI46" s="478"/>
      <c r="CZJ46" s="478"/>
      <c r="CZK46" s="478"/>
      <c r="CZL46" s="478"/>
      <c r="CZM46" s="478"/>
      <c r="CZN46" s="478"/>
      <c r="CZO46" s="478"/>
      <c r="CZP46" s="478"/>
      <c r="CZQ46" s="478"/>
      <c r="CZR46" s="478"/>
      <c r="CZS46" s="478"/>
      <c r="CZT46" s="478"/>
      <c r="CZU46" s="478"/>
      <c r="CZV46" s="478"/>
      <c r="CZW46" s="478"/>
      <c r="CZX46" s="478"/>
      <c r="CZY46" s="478"/>
      <c r="CZZ46" s="478"/>
      <c r="DAA46" s="478"/>
      <c r="DAB46" s="478"/>
      <c r="DAC46" s="478"/>
      <c r="DAD46" s="478"/>
      <c r="DAE46" s="478"/>
      <c r="DAF46" s="478"/>
      <c r="DAG46" s="478"/>
      <c r="DAH46" s="478"/>
      <c r="DAI46" s="478"/>
      <c r="DAJ46" s="478"/>
      <c r="DAK46" s="478"/>
      <c r="DAL46" s="478"/>
      <c r="DAM46" s="478"/>
      <c r="DAN46" s="478"/>
      <c r="DAO46" s="478"/>
      <c r="DAP46" s="478"/>
      <c r="DAQ46" s="478"/>
      <c r="DAR46" s="478"/>
      <c r="DAS46" s="478"/>
      <c r="DAT46" s="478"/>
      <c r="DAU46" s="478"/>
      <c r="DAV46" s="478"/>
      <c r="DAW46" s="478"/>
      <c r="DAX46" s="478"/>
      <c r="DAY46" s="478"/>
      <c r="DAZ46" s="478"/>
      <c r="DBA46" s="478"/>
      <c r="DBB46" s="478"/>
      <c r="DBC46" s="478"/>
      <c r="DBD46" s="478"/>
      <c r="DBE46" s="478"/>
      <c r="DBF46" s="478"/>
      <c r="DBG46" s="478"/>
      <c r="DBH46" s="478"/>
      <c r="DBI46" s="478"/>
      <c r="DBJ46" s="478"/>
      <c r="DBK46" s="478"/>
      <c r="DBL46" s="478"/>
      <c r="DBM46" s="478"/>
      <c r="DBN46" s="478"/>
      <c r="DBO46" s="478"/>
      <c r="DBP46" s="478"/>
      <c r="DBQ46" s="478"/>
      <c r="DBR46" s="478"/>
      <c r="DBS46" s="478"/>
      <c r="DBT46" s="478"/>
      <c r="DBU46" s="478"/>
      <c r="DBV46" s="478"/>
      <c r="DBW46" s="478"/>
      <c r="DBX46" s="478"/>
      <c r="DBY46" s="478"/>
      <c r="DBZ46" s="478"/>
      <c r="DCA46" s="478"/>
      <c r="DCB46" s="478"/>
      <c r="DCC46" s="478"/>
      <c r="DCD46" s="478"/>
      <c r="DCE46" s="478"/>
      <c r="DCF46" s="478"/>
      <c r="DCG46" s="478"/>
      <c r="DCH46" s="478"/>
      <c r="DCI46" s="478"/>
      <c r="DCJ46" s="478"/>
      <c r="DCK46" s="478"/>
      <c r="DCL46" s="478"/>
      <c r="DCM46" s="478"/>
      <c r="DCN46" s="478"/>
      <c r="DCO46" s="478"/>
      <c r="DCP46" s="478"/>
      <c r="DCQ46" s="478"/>
      <c r="DCR46" s="478"/>
      <c r="DCS46" s="478"/>
      <c r="DCT46" s="478"/>
      <c r="DCU46" s="478"/>
      <c r="DCV46" s="478"/>
      <c r="DCW46" s="478"/>
      <c r="DCX46" s="478"/>
      <c r="DCY46" s="478"/>
      <c r="DCZ46" s="478"/>
      <c r="DDA46" s="478"/>
      <c r="DDB46" s="478"/>
      <c r="DDC46" s="478"/>
      <c r="DDD46" s="478"/>
      <c r="DDE46" s="478"/>
      <c r="DDF46" s="478"/>
      <c r="DDG46" s="478"/>
      <c r="DDH46" s="478"/>
      <c r="DDI46" s="478"/>
      <c r="DDJ46" s="478"/>
      <c r="DDK46" s="478"/>
      <c r="DDL46" s="478"/>
      <c r="DDM46" s="478"/>
      <c r="DDN46" s="478"/>
      <c r="DDO46" s="478"/>
      <c r="DDP46" s="478"/>
      <c r="DDQ46" s="478"/>
      <c r="DDR46" s="478"/>
      <c r="DDS46" s="478"/>
      <c r="DDT46" s="478"/>
      <c r="DDU46" s="478"/>
      <c r="DDV46" s="478"/>
      <c r="DDW46" s="478"/>
      <c r="DDX46" s="478"/>
      <c r="DDY46" s="478"/>
      <c r="DDZ46" s="478"/>
      <c r="DEA46" s="478"/>
      <c r="DEB46" s="478"/>
      <c r="DEC46" s="478"/>
      <c r="DED46" s="478"/>
      <c r="DEE46" s="478"/>
      <c r="DEF46" s="478"/>
      <c r="DEG46" s="478"/>
      <c r="DEH46" s="478"/>
      <c r="DEI46" s="478"/>
      <c r="DEJ46" s="478"/>
      <c r="DEK46" s="478"/>
      <c r="DEL46" s="478"/>
      <c r="DEM46" s="478"/>
      <c r="DEN46" s="478"/>
      <c r="DEO46" s="478"/>
      <c r="DEP46" s="478"/>
      <c r="DEQ46" s="478"/>
      <c r="DER46" s="478"/>
      <c r="DES46" s="478"/>
      <c r="DET46" s="478"/>
      <c r="DEU46" s="478"/>
      <c r="DEV46" s="478"/>
      <c r="DEW46" s="478"/>
      <c r="DEX46" s="478"/>
      <c r="DEY46" s="478"/>
      <c r="DEZ46" s="478"/>
      <c r="DFA46" s="478"/>
      <c r="DFB46" s="478"/>
      <c r="DFC46" s="478"/>
      <c r="DFD46" s="478"/>
      <c r="DFE46" s="478"/>
      <c r="DFF46" s="478"/>
      <c r="DFG46" s="478"/>
      <c r="DFH46" s="478"/>
      <c r="DFI46" s="478"/>
      <c r="DFJ46" s="478"/>
      <c r="DFK46" s="478"/>
      <c r="DFL46" s="478"/>
      <c r="DFM46" s="478"/>
      <c r="DFN46" s="478"/>
      <c r="DFO46" s="478"/>
      <c r="DFP46" s="478"/>
      <c r="DFQ46" s="478"/>
      <c r="DFR46" s="478"/>
      <c r="DFS46" s="478"/>
      <c r="DFT46" s="478"/>
      <c r="DFU46" s="478"/>
      <c r="DFV46" s="478"/>
      <c r="DFW46" s="478"/>
      <c r="DFX46" s="478"/>
      <c r="DFY46" s="478"/>
      <c r="DFZ46" s="478"/>
      <c r="DGA46" s="478"/>
      <c r="DGB46" s="478"/>
      <c r="DGC46" s="478"/>
      <c r="DGD46" s="478"/>
      <c r="DGE46" s="478"/>
      <c r="DGF46" s="478"/>
      <c r="DGG46" s="478"/>
      <c r="DGH46" s="478"/>
      <c r="DGI46" s="478"/>
      <c r="DGJ46" s="478"/>
      <c r="DGK46" s="478"/>
      <c r="DGL46" s="478"/>
      <c r="DGM46" s="478"/>
      <c r="DGN46" s="478"/>
      <c r="DGO46" s="478"/>
      <c r="DGP46" s="478"/>
      <c r="DGQ46" s="478"/>
      <c r="DGR46" s="478"/>
      <c r="DGS46" s="478"/>
      <c r="DGT46" s="478"/>
      <c r="DGU46" s="478"/>
      <c r="DGV46" s="478"/>
      <c r="DGW46" s="478"/>
      <c r="DGX46" s="478"/>
      <c r="DGY46" s="478"/>
      <c r="DGZ46" s="478"/>
      <c r="DHA46" s="478"/>
      <c r="DHB46" s="478"/>
      <c r="DHC46" s="478"/>
      <c r="DHD46" s="478"/>
      <c r="DHE46" s="478"/>
      <c r="DHF46" s="478"/>
      <c r="DHG46" s="478"/>
      <c r="DHH46" s="478"/>
      <c r="DHI46" s="478"/>
      <c r="DHJ46" s="478"/>
      <c r="DHK46" s="478"/>
      <c r="DHL46" s="478"/>
      <c r="DHM46" s="478"/>
      <c r="DHN46" s="478"/>
      <c r="DHO46" s="478"/>
      <c r="DHP46" s="478"/>
      <c r="DHQ46" s="478"/>
      <c r="DHR46" s="478"/>
      <c r="DHS46" s="478"/>
      <c r="DHT46" s="478"/>
      <c r="DHU46" s="478"/>
      <c r="DHV46" s="478"/>
      <c r="DHW46" s="478"/>
      <c r="DHX46" s="478"/>
      <c r="DHY46" s="478"/>
      <c r="DHZ46" s="478"/>
      <c r="DIA46" s="478"/>
      <c r="DIB46" s="478"/>
      <c r="DIC46" s="478"/>
      <c r="DID46" s="478"/>
      <c r="DIE46" s="478"/>
      <c r="DIF46" s="478"/>
      <c r="DIG46" s="478"/>
      <c r="DIH46" s="478"/>
      <c r="DII46" s="478"/>
      <c r="DIJ46" s="478"/>
      <c r="DIK46" s="478"/>
      <c r="DIL46" s="478"/>
      <c r="DIM46" s="478"/>
      <c r="DIN46" s="478"/>
      <c r="DIO46" s="478"/>
      <c r="DIP46" s="478"/>
      <c r="DIQ46" s="478"/>
      <c r="DIR46" s="478"/>
      <c r="DIS46" s="478"/>
      <c r="DIT46" s="478"/>
      <c r="DIU46" s="478"/>
      <c r="DIV46" s="478"/>
      <c r="DIW46" s="478"/>
      <c r="DIX46" s="478"/>
      <c r="DIY46" s="478"/>
      <c r="DIZ46" s="478"/>
      <c r="DJA46" s="478"/>
      <c r="DJB46" s="478"/>
      <c r="DJC46" s="478"/>
      <c r="DJD46" s="478"/>
      <c r="DJE46" s="478"/>
      <c r="DJF46" s="478"/>
      <c r="DJG46" s="478"/>
      <c r="DJH46" s="478"/>
      <c r="DJI46" s="478"/>
      <c r="DJJ46" s="478"/>
      <c r="DJK46" s="478"/>
      <c r="DJL46" s="478"/>
      <c r="DJM46" s="478"/>
      <c r="DJN46" s="478"/>
      <c r="DJO46" s="478"/>
      <c r="DJP46" s="478"/>
      <c r="DJQ46" s="478"/>
      <c r="DJR46" s="478"/>
      <c r="DJS46" s="478"/>
      <c r="DJT46" s="478"/>
      <c r="DJU46" s="478"/>
      <c r="DJV46" s="478"/>
      <c r="DJW46" s="478"/>
      <c r="DJX46" s="478"/>
      <c r="DJY46" s="478"/>
      <c r="DJZ46" s="478"/>
      <c r="DKA46" s="478"/>
      <c r="DKB46" s="478"/>
      <c r="DKC46" s="478"/>
      <c r="DKD46" s="478"/>
      <c r="DKE46" s="478"/>
      <c r="DKF46" s="478"/>
      <c r="DKG46" s="478"/>
      <c r="DKH46" s="478"/>
      <c r="DKI46" s="478"/>
      <c r="DKJ46" s="478"/>
      <c r="DKK46" s="478"/>
      <c r="DKL46" s="478"/>
      <c r="DKM46" s="478"/>
      <c r="DKN46" s="478"/>
      <c r="DKO46" s="478"/>
      <c r="DKP46" s="478"/>
      <c r="DKQ46" s="478"/>
      <c r="DKR46" s="478"/>
      <c r="DKS46" s="478"/>
      <c r="DKT46" s="478"/>
      <c r="DKU46" s="478"/>
      <c r="DKV46" s="478"/>
      <c r="DKW46" s="478"/>
      <c r="DKX46" s="478"/>
      <c r="DKY46" s="478"/>
      <c r="DKZ46" s="478"/>
      <c r="DLA46" s="478"/>
      <c r="DLB46" s="478"/>
      <c r="DLC46" s="478"/>
      <c r="DLD46" s="478"/>
      <c r="DLE46" s="478"/>
      <c r="DLF46" s="478"/>
      <c r="DLG46" s="478"/>
      <c r="DLH46" s="478"/>
      <c r="DLI46" s="478"/>
      <c r="DLJ46" s="478"/>
      <c r="DLK46" s="478"/>
      <c r="DLL46" s="478"/>
      <c r="DLM46" s="478"/>
      <c r="DLN46" s="478"/>
      <c r="DLO46" s="478"/>
      <c r="DLP46" s="478"/>
      <c r="DLQ46" s="478"/>
      <c r="DLR46" s="478"/>
      <c r="DLS46" s="478"/>
      <c r="DLT46" s="478"/>
      <c r="DLU46" s="478"/>
      <c r="DLV46" s="478"/>
      <c r="DLW46" s="478"/>
      <c r="DLX46" s="478"/>
      <c r="DLY46" s="478"/>
      <c r="DLZ46" s="478"/>
      <c r="DMA46" s="478"/>
      <c r="DMB46" s="478"/>
      <c r="DMC46" s="478"/>
      <c r="DMD46" s="478"/>
      <c r="DME46" s="478"/>
      <c r="DMF46" s="478"/>
      <c r="DMG46" s="478"/>
      <c r="DMH46" s="478"/>
      <c r="DMI46" s="478"/>
      <c r="DMJ46" s="478"/>
      <c r="DMK46" s="478"/>
      <c r="DML46" s="478"/>
      <c r="DMM46" s="478"/>
      <c r="DMN46" s="478"/>
      <c r="DMO46" s="478"/>
      <c r="DMP46" s="478"/>
      <c r="DMQ46" s="478"/>
      <c r="DMR46" s="478"/>
      <c r="DMS46" s="478"/>
      <c r="DMT46" s="478"/>
      <c r="DMU46" s="478"/>
      <c r="DMV46" s="478"/>
      <c r="DMW46" s="478"/>
      <c r="DMX46" s="478"/>
      <c r="DMY46" s="478"/>
      <c r="DMZ46" s="478"/>
      <c r="DNA46" s="478"/>
      <c r="DNB46" s="478"/>
      <c r="DNC46" s="478"/>
      <c r="DND46" s="478"/>
      <c r="DNE46" s="478"/>
      <c r="DNF46" s="478"/>
      <c r="DNG46" s="478"/>
      <c r="DNH46" s="478"/>
      <c r="DNI46" s="478"/>
      <c r="DNJ46" s="478"/>
      <c r="DNK46" s="478"/>
      <c r="DNL46" s="478"/>
      <c r="DNM46" s="478"/>
      <c r="DNN46" s="478"/>
      <c r="DNO46" s="478"/>
      <c r="DNP46" s="478"/>
      <c r="DNQ46" s="478"/>
      <c r="DNR46" s="478"/>
      <c r="DNS46" s="478"/>
      <c r="DNT46" s="478"/>
      <c r="DNU46" s="478"/>
      <c r="DNV46" s="478"/>
      <c r="DNW46" s="478"/>
      <c r="DNX46" s="478"/>
      <c r="DNY46" s="478"/>
      <c r="DNZ46" s="478"/>
      <c r="DOA46" s="478"/>
      <c r="DOB46" s="478"/>
      <c r="DOC46" s="478"/>
      <c r="DOD46" s="478"/>
      <c r="DOE46" s="478"/>
      <c r="DOF46" s="478"/>
      <c r="DOG46" s="478"/>
      <c r="DOH46" s="478"/>
      <c r="DOI46" s="478"/>
      <c r="DOJ46" s="478"/>
      <c r="DOK46" s="478"/>
      <c r="DOL46" s="478"/>
      <c r="DOM46" s="478"/>
      <c r="DON46" s="478"/>
      <c r="DOO46" s="478"/>
      <c r="DOP46" s="478"/>
      <c r="DOQ46" s="478"/>
      <c r="DOR46" s="478"/>
      <c r="DOS46" s="478"/>
      <c r="DOT46" s="478"/>
      <c r="DOU46" s="478"/>
      <c r="DOV46" s="478"/>
      <c r="DOW46" s="478"/>
      <c r="DOX46" s="478"/>
      <c r="DOY46" s="478"/>
      <c r="DOZ46" s="478"/>
      <c r="DPA46" s="478"/>
      <c r="DPB46" s="478"/>
      <c r="DPC46" s="478"/>
      <c r="DPD46" s="478"/>
      <c r="DPE46" s="478"/>
      <c r="DPF46" s="478"/>
      <c r="DPG46" s="478"/>
      <c r="DPH46" s="478"/>
      <c r="DPI46" s="478"/>
      <c r="DPJ46" s="478"/>
      <c r="DPK46" s="478"/>
      <c r="DPL46" s="478"/>
      <c r="DPM46" s="478"/>
      <c r="DPN46" s="478"/>
      <c r="DPO46" s="478"/>
      <c r="DPP46" s="478"/>
      <c r="DPQ46" s="478"/>
      <c r="DPR46" s="478"/>
      <c r="DPS46" s="478"/>
      <c r="DPT46" s="478"/>
      <c r="DPU46" s="478"/>
      <c r="DPV46" s="478"/>
      <c r="DPW46" s="478"/>
      <c r="DPX46" s="478"/>
      <c r="DPY46" s="478"/>
      <c r="DPZ46" s="478"/>
      <c r="DQA46" s="478"/>
      <c r="DQB46" s="478"/>
      <c r="DQC46" s="478"/>
      <c r="DQD46" s="478"/>
      <c r="DQE46" s="478"/>
      <c r="DQF46" s="478"/>
      <c r="DQG46" s="478"/>
      <c r="DQH46" s="478"/>
      <c r="DQI46" s="478"/>
      <c r="DQJ46" s="478"/>
      <c r="DQK46" s="478"/>
      <c r="DQL46" s="478"/>
      <c r="DQM46" s="478"/>
      <c r="DQN46" s="478"/>
      <c r="DQO46" s="478"/>
      <c r="DQP46" s="478"/>
      <c r="DQQ46" s="478"/>
      <c r="DQR46" s="478"/>
      <c r="DQS46" s="478"/>
      <c r="DQT46" s="478"/>
      <c r="DQU46" s="478"/>
      <c r="DQV46" s="478"/>
      <c r="DQW46" s="478"/>
      <c r="DQX46" s="478"/>
      <c r="DQY46" s="478"/>
      <c r="DQZ46" s="478"/>
      <c r="DRA46" s="478"/>
      <c r="DRB46" s="478"/>
      <c r="DRC46" s="478"/>
      <c r="DRD46" s="478"/>
      <c r="DRE46" s="478"/>
      <c r="DRF46" s="478"/>
      <c r="DRG46" s="478"/>
      <c r="DRH46" s="478"/>
      <c r="DRI46" s="478"/>
      <c r="DRJ46" s="478"/>
      <c r="DRK46" s="478"/>
      <c r="DRL46" s="478"/>
      <c r="DRM46" s="478"/>
      <c r="DRN46" s="478"/>
      <c r="DRO46" s="478"/>
      <c r="DRP46" s="478"/>
      <c r="DRQ46" s="478"/>
      <c r="DRR46" s="478"/>
      <c r="DRS46" s="478"/>
      <c r="DRT46" s="478"/>
      <c r="DRU46" s="478"/>
      <c r="DRV46" s="478"/>
      <c r="DRW46" s="478"/>
      <c r="DRX46" s="478"/>
      <c r="DRY46" s="478"/>
      <c r="DRZ46" s="478"/>
      <c r="DSA46" s="478"/>
      <c r="DSB46" s="478"/>
      <c r="DSC46" s="478"/>
      <c r="DSD46" s="478"/>
      <c r="DSE46" s="478"/>
      <c r="DSF46" s="478"/>
      <c r="DSG46" s="478"/>
      <c r="DSH46" s="478"/>
      <c r="DSI46" s="478"/>
      <c r="DSJ46" s="478"/>
      <c r="DSK46" s="478"/>
      <c r="DSL46" s="478"/>
      <c r="DSM46" s="478"/>
      <c r="DSN46" s="478"/>
      <c r="DSO46" s="478"/>
      <c r="DSP46" s="478"/>
      <c r="DSQ46" s="478"/>
      <c r="DSR46" s="478"/>
      <c r="DSS46" s="478"/>
      <c r="DST46" s="478"/>
      <c r="DSU46" s="478"/>
      <c r="DSV46" s="478"/>
      <c r="DSW46" s="478"/>
      <c r="DSX46" s="478"/>
      <c r="DSY46" s="478"/>
      <c r="DSZ46" s="478"/>
      <c r="DTA46" s="478"/>
      <c r="DTB46" s="478"/>
      <c r="DTC46" s="478"/>
      <c r="DTD46" s="478"/>
      <c r="DTE46" s="478"/>
      <c r="DTF46" s="478"/>
      <c r="DTG46" s="478"/>
      <c r="DTH46" s="478"/>
      <c r="DTI46" s="478"/>
      <c r="DTJ46" s="478"/>
      <c r="DTK46" s="478"/>
      <c r="DTL46" s="478"/>
      <c r="DTM46" s="478"/>
      <c r="DTN46" s="478"/>
      <c r="DTO46" s="478"/>
      <c r="DTP46" s="478"/>
      <c r="DTQ46" s="478"/>
      <c r="DTR46" s="478"/>
      <c r="DTS46" s="478"/>
      <c r="DTT46" s="478"/>
      <c r="DTU46" s="478"/>
      <c r="DTV46" s="478"/>
      <c r="DTW46" s="478"/>
      <c r="DTX46" s="478"/>
      <c r="DTY46" s="478"/>
      <c r="DTZ46" s="478"/>
      <c r="DUA46" s="478"/>
      <c r="DUB46" s="478"/>
      <c r="DUC46" s="478"/>
      <c r="DUD46" s="478"/>
      <c r="DUE46" s="478"/>
      <c r="DUF46" s="478"/>
      <c r="DUG46" s="478"/>
      <c r="DUH46" s="478"/>
      <c r="DUI46" s="478"/>
      <c r="DUJ46" s="478"/>
      <c r="DUK46" s="478"/>
      <c r="DUL46" s="478"/>
      <c r="DUM46" s="478"/>
      <c r="DUN46" s="478"/>
      <c r="DUO46" s="478"/>
      <c r="DUP46" s="478"/>
      <c r="DUQ46" s="478"/>
      <c r="DUR46" s="478"/>
      <c r="DUS46" s="478"/>
      <c r="DUT46" s="478"/>
      <c r="DUU46" s="478"/>
      <c r="DUV46" s="478"/>
      <c r="DUW46" s="478"/>
      <c r="DUX46" s="478"/>
      <c r="DUY46" s="478"/>
      <c r="DUZ46" s="478"/>
      <c r="DVA46" s="478"/>
      <c r="DVB46" s="478"/>
      <c r="DVC46" s="478"/>
      <c r="DVD46" s="478"/>
      <c r="DVE46" s="478"/>
      <c r="DVF46" s="478"/>
      <c r="DVG46" s="478"/>
      <c r="DVH46" s="478"/>
      <c r="DVI46" s="478"/>
      <c r="DVJ46" s="478"/>
      <c r="DVK46" s="478"/>
      <c r="DVL46" s="478"/>
      <c r="DVM46" s="478"/>
      <c r="DVN46" s="478"/>
      <c r="DVO46" s="478"/>
      <c r="DVP46" s="478"/>
      <c r="DVQ46" s="478"/>
      <c r="DVR46" s="478"/>
      <c r="DVS46" s="478"/>
      <c r="DVT46" s="478"/>
      <c r="DVU46" s="478"/>
      <c r="DVV46" s="478"/>
      <c r="DVW46" s="478"/>
      <c r="DVX46" s="478"/>
      <c r="DVY46" s="478"/>
      <c r="DVZ46" s="478"/>
      <c r="DWA46" s="478"/>
      <c r="DWB46" s="478"/>
      <c r="DWC46" s="478"/>
      <c r="DWD46" s="478"/>
      <c r="DWE46" s="478"/>
      <c r="DWF46" s="478"/>
      <c r="DWG46" s="478"/>
      <c r="DWH46" s="478"/>
      <c r="DWI46" s="478"/>
      <c r="DWJ46" s="478"/>
      <c r="DWK46" s="478"/>
      <c r="DWL46" s="478"/>
      <c r="DWM46" s="478"/>
      <c r="DWN46" s="478"/>
      <c r="DWO46" s="478"/>
      <c r="DWP46" s="478"/>
      <c r="DWQ46" s="478"/>
      <c r="DWR46" s="478"/>
      <c r="DWS46" s="478"/>
      <c r="DWT46" s="478"/>
      <c r="DWU46" s="478"/>
      <c r="DWV46" s="478"/>
      <c r="DWW46" s="478"/>
      <c r="DWX46" s="478"/>
      <c r="DWY46" s="478"/>
      <c r="DWZ46" s="478"/>
      <c r="DXA46" s="478"/>
      <c r="DXB46" s="478"/>
      <c r="DXC46" s="478"/>
      <c r="DXD46" s="478"/>
      <c r="DXE46" s="478"/>
      <c r="DXF46" s="478"/>
      <c r="DXG46" s="478"/>
      <c r="DXH46" s="478"/>
      <c r="DXI46" s="478"/>
      <c r="DXJ46" s="478"/>
      <c r="DXK46" s="478"/>
      <c r="DXL46" s="478"/>
      <c r="DXM46" s="478"/>
      <c r="DXN46" s="478"/>
      <c r="DXO46" s="478"/>
      <c r="DXP46" s="478"/>
      <c r="DXQ46" s="478"/>
      <c r="DXR46" s="478"/>
      <c r="DXS46" s="478"/>
      <c r="DXT46" s="478"/>
      <c r="DXU46" s="478"/>
      <c r="DXV46" s="478"/>
      <c r="DXW46" s="478"/>
      <c r="DXX46" s="478"/>
      <c r="DXY46" s="478"/>
      <c r="DXZ46" s="478"/>
      <c r="DYA46" s="478"/>
      <c r="DYB46" s="478"/>
      <c r="DYC46" s="478"/>
      <c r="DYD46" s="478"/>
      <c r="DYE46" s="478"/>
      <c r="DYF46" s="478"/>
      <c r="DYG46" s="478"/>
      <c r="DYH46" s="478"/>
      <c r="DYI46" s="478"/>
      <c r="DYJ46" s="478"/>
      <c r="DYK46" s="478"/>
      <c r="DYL46" s="478"/>
      <c r="DYM46" s="478"/>
      <c r="DYN46" s="478"/>
      <c r="DYO46" s="478"/>
      <c r="DYP46" s="478"/>
      <c r="DYQ46" s="478"/>
      <c r="DYR46" s="478"/>
      <c r="DYS46" s="478"/>
      <c r="DYT46" s="478"/>
      <c r="DYU46" s="478"/>
      <c r="DYV46" s="478"/>
      <c r="DYW46" s="478"/>
      <c r="DYX46" s="478"/>
      <c r="DYY46" s="478"/>
      <c r="DYZ46" s="478"/>
      <c r="DZA46" s="478"/>
      <c r="DZB46" s="478"/>
      <c r="DZC46" s="478"/>
      <c r="DZD46" s="478"/>
      <c r="DZE46" s="478"/>
      <c r="DZF46" s="478"/>
      <c r="DZG46" s="478"/>
      <c r="DZH46" s="478"/>
      <c r="DZI46" s="478"/>
      <c r="DZJ46" s="478"/>
      <c r="DZK46" s="478"/>
      <c r="DZL46" s="478"/>
      <c r="DZM46" s="478"/>
      <c r="DZN46" s="478"/>
      <c r="DZO46" s="478"/>
      <c r="DZP46" s="478"/>
      <c r="DZQ46" s="478"/>
      <c r="DZR46" s="478"/>
      <c r="DZS46" s="478"/>
      <c r="DZT46" s="478"/>
      <c r="DZU46" s="478"/>
      <c r="DZV46" s="478"/>
      <c r="DZW46" s="478"/>
      <c r="DZX46" s="478"/>
      <c r="DZY46" s="478"/>
      <c r="DZZ46" s="478"/>
      <c r="EAA46" s="478"/>
      <c r="EAB46" s="478"/>
      <c r="EAC46" s="478"/>
      <c r="EAD46" s="478"/>
      <c r="EAE46" s="478"/>
      <c r="EAF46" s="478"/>
      <c r="EAG46" s="478"/>
      <c r="EAH46" s="478"/>
      <c r="EAI46" s="478"/>
      <c r="EAJ46" s="478"/>
      <c r="EAK46" s="478"/>
      <c r="EAL46" s="478"/>
      <c r="EAM46" s="478"/>
      <c r="EAN46" s="478"/>
      <c r="EAO46" s="478"/>
      <c r="EAP46" s="478"/>
      <c r="EAQ46" s="478"/>
      <c r="EAR46" s="478"/>
      <c r="EAS46" s="478"/>
      <c r="EAT46" s="478"/>
      <c r="EAU46" s="478"/>
      <c r="EAV46" s="478"/>
      <c r="EAW46" s="478"/>
      <c r="EAX46" s="478"/>
      <c r="EAY46" s="478"/>
      <c r="EAZ46" s="478"/>
      <c r="EBA46" s="478"/>
      <c r="EBB46" s="478"/>
      <c r="EBC46" s="478"/>
      <c r="EBD46" s="478"/>
      <c r="EBE46" s="478"/>
      <c r="EBF46" s="478"/>
      <c r="EBG46" s="478"/>
      <c r="EBH46" s="478"/>
      <c r="EBI46" s="478"/>
      <c r="EBJ46" s="478"/>
      <c r="EBK46" s="478"/>
      <c r="EBL46" s="478"/>
      <c r="EBM46" s="478"/>
      <c r="EBN46" s="478"/>
      <c r="EBO46" s="478"/>
      <c r="EBP46" s="478"/>
      <c r="EBQ46" s="478"/>
      <c r="EBR46" s="478"/>
      <c r="EBS46" s="478"/>
      <c r="EBT46" s="478"/>
      <c r="EBU46" s="478"/>
      <c r="EBV46" s="478"/>
      <c r="EBW46" s="478"/>
      <c r="EBX46" s="478"/>
      <c r="EBY46" s="478"/>
      <c r="EBZ46" s="478"/>
      <c r="ECA46" s="478"/>
      <c r="ECB46" s="478"/>
      <c r="ECC46" s="478"/>
      <c r="ECD46" s="478"/>
      <c r="ECE46" s="478"/>
      <c r="ECF46" s="478"/>
      <c r="ECG46" s="478"/>
      <c r="ECH46" s="478"/>
      <c r="ECI46" s="478"/>
      <c r="ECJ46" s="478"/>
      <c r="ECK46" s="478"/>
      <c r="ECL46" s="478"/>
      <c r="ECM46" s="478"/>
      <c r="ECN46" s="478"/>
      <c r="ECO46" s="478"/>
      <c r="ECP46" s="478"/>
      <c r="ECQ46" s="478"/>
      <c r="ECR46" s="478"/>
      <c r="ECS46" s="478"/>
      <c r="ECT46" s="478"/>
      <c r="ECU46" s="478"/>
      <c r="ECV46" s="478"/>
      <c r="ECW46" s="478"/>
      <c r="ECX46" s="478"/>
      <c r="ECY46" s="478"/>
      <c r="ECZ46" s="478"/>
      <c r="EDA46" s="478"/>
      <c r="EDB46" s="478"/>
      <c r="EDC46" s="478"/>
      <c r="EDD46" s="478"/>
      <c r="EDE46" s="478"/>
      <c r="EDF46" s="478"/>
      <c r="EDG46" s="478"/>
      <c r="EDH46" s="478"/>
      <c r="EDI46" s="478"/>
      <c r="EDJ46" s="478"/>
      <c r="EDK46" s="478"/>
      <c r="EDL46" s="478"/>
      <c r="EDM46" s="478"/>
      <c r="EDN46" s="478"/>
      <c r="EDO46" s="478"/>
      <c r="EDP46" s="478"/>
      <c r="EDQ46" s="478"/>
      <c r="EDR46" s="478"/>
      <c r="EDS46" s="478"/>
      <c r="EDT46" s="478"/>
      <c r="EDU46" s="478"/>
      <c r="EDV46" s="478"/>
      <c r="EDW46" s="478"/>
      <c r="EDX46" s="478"/>
      <c r="EDY46" s="478"/>
      <c r="EDZ46" s="478"/>
      <c r="EEA46" s="478"/>
      <c r="EEB46" s="478"/>
      <c r="EEC46" s="478"/>
      <c r="EED46" s="478"/>
      <c r="EEE46" s="478"/>
      <c r="EEF46" s="478"/>
      <c r="EEG46" s="478"/>
      <c r="EEH46" s="478"/>
      <c r="EEI46" s="478"/>
      <c r="EEJ46" s="478"/>
      <c r="EEK46" s="478"/>
      <c r="EEL46" s="478"/>
      <c r="EEM46" s="478"/>
      <c r="EEN46" s="478"/>
      <c r="EEO46" s="478"/>
      <c r="EEP46" s="478"/>
      <c r="EEQ46" s="478"/>
      <c r="EER46" s="478"/>
      <c r="EES46" s="478"/>
      <c r="EET46" s="478"/>
      <c r="EEU46" s="478"/>
      <c r="EEV46" s="478"/>
      <c r="EEW46" s="478"/>
      <c r="EEX46" s="478"/>
      <c r="EEY46" s="478"/>
      <c r="EEZ46" s="478"/>
      <c r="EFA46" s="478"/>
      <c r="EFB46" s="478"/>
      <c r="EFC46" s="478"/>
      <c r="EFD46" s="478"/>
      <c r="EFE46" s="478"/>
      <c r="EFF46" s="478"/>
      <c r="EFG46" s="478"/>
      <c r="EFH46" s="478"/>
      <c r="EFI46" s="478"/>
      <c r="EFJ46" s="478"/>
      <c r="EFK46" s="478"/>
      <c r="EFL46" s="478"/>
      <c r="EFM46" s="478"/>
      <c r="EFN46" s="478"/>
      <c r="EFO46" s="478"/>
      <c r="EFP46" s="478"/>
      <c r="EFQ46" s="478"/>
      <c r="EFR46" s="478"/>
      <c r="EFS46" s="478"/>
      <c r="EFT46" s="478"/>
      <c r="EFU46" s="478"/>
      <c r="EFV46" s="478"/>
      <c r="EFW46" s="478"/>
      <c r="EFX46" s="478"/>
      <c r="EFY46" s="478"/>
      <c r="EFZ46" s="478"/>
      <c r="EGA46" s="478"/>
      <c r="EGB46" s="478"/>
      <c r="EGC46" s="478"/>
      <c r="EGD46" s="478"/>
      <c r="EGE46" s="478"/>
      <c r="EGF46" s="478"/>
      <c r="EGG46" s="478"/>
      <c r="EGH46" s="478"/>
      <c r="EGI46" s="478"/>
      <c r="EGJ46" s="478"/>
      <c r="EGK46" s="478"/>
      <c r="EGL46" s="478"/>
      <c r="EGM46" s="478"/>
      <c r="EGN46" s="478"/>
      <c r="EGO46" s="478"/>
      <c r="EGP46" s="478"/>
      <c r="EGQ46" s="478"/>
      <c r="EGR46" s="478"/>
      <c r="EGS46" s="478"/>
      <c r="EGT46" s="478"/>
      <c r="EGU46" s="478"/>
      <c r="EGV46" s="478"/>
      <c r="EGW46" s="478"/>
      <c r="EGX46" s="478"/>
      <c r="EGY46" s="478"/>
      <c r="EGZ46" s="478"/>
      <c r="EHA46" s="478"/>
      <c r="EHB46" s="478"/>
      <c r="EHC46" s="478"/>
      <c r="EHD46" s="478"/>
      <c r="EHE46" s="478"/>
      <c r="EHF46" s="478"/>
      <c r="EHG46" s="478"/>
      <c r="EHH46" s="478"/>
      <c r="EHI46" s="478"/>
      <c r="EHJ46" s="478"/>
      <c r="EHK46" s="478"/>
      <c r="EHL46" s="478"/>
      <c r="EHM46" s="478"/>
      <c r="EHN46" s="478"/>
      <c r="EHO46" s="478"/>
      <c r="EHP46" s="478"/>
      <c r="EHQ46" s="478"/>
      <c r="EHR46" s="478"/>
      <c r="EHS46" s="478"/>
      <c r="EHT46" s="478"/>
      <c r="EHU46" s="478"/>
      <c r="EHV46" s="478"/>
      <c r="EHW46" s="478"/>
      <c r="EHX46" s="478"/>
      <c r="EHY46" s="478"/>
      <c r="EHZ46" s="478"/>
      <c r="EIA46" s="478"/>
      <c r="EIB46" s="478"/>
      <c r="EIC46" s="478"/>
      <c r="EID46" s="478"/>
      <c r="EIE46" s="478"/>
      <c r="EIF46" s="478"/>
      <c r="EIG46" s="478"/>
      <c r="EIH46" s="478"/>
      <c r="EII46" s="478"/>
      <c r="EIJ46" s="478"/>
      <c r="EIK46" s="478"/>
      <c r="EIL46" s="478"/>
      <c r="EIM46" s="478"/>
      <c r="EIN46" s="478"/>
      <c r="EIO46" s="478"/>
      <c r="EIP46" s="478"/>
      <c r="EIQ46" s="478"/>
      <c r="EIR46" s="478"/>
      <c r="EIS46" s="478"/>
      <c r="EIT46" s="478"/>
      <c r="EIU46" s="478"/>
      <c r="EIV46" s="478"/>
      <c r="EIW46" s="478"/>
      <c r="EIX46" s="478"/>
      <c r="EIY46" s="478"/>
      <c r="EIZ46" s="478"/>
      <c r="EJA46" s="478"/>
      <c r="EJB46" s="478"/>
      <c r="EJC46" s="478"/>
      <c r="EJD46" s="478"/>
      <c r="EJE46" s="478"/>
      <c r="EJF46" s="478"/>
      <c r="EJG46" s="478"/>
      <c r="EJH46" s="478"/>
      <c r="EJI46" s="478"/>
      <c r="EJJ46" s="478"/>
      <c r="EJK46" s="478"/>
      <c r="EJL46" s="478"/>
      <c r="EJM46" s="478"/>
      <c r="EJN46" s="478"/>
      <c r="EJO46" s="478"/>
      <c r="EJP46" s="478"/>
      <c r="EJQ46" s="478"/>
      <c r="EJR46" s="478"/>
      <c r="EJS46" s="478"/>
      <c r="EJT46" s="478"/>
      <c r="EJU46" s="478"/>
      <c r="EJV46" s="478"/>
      <c r="EJW46" s="478"/>
      <c r="EJX46" s="478"/>
      <c r="EJY46" s="478"/>
      <c r="EJZ46" s="478"/>
      <c r="EKA46" s="478"/>
      <c r="EKB46" s="478"/>
      <c r="EKC46" s="478"/>
      <c r="EKD46" s="478"/>
      <c r="EKE46" s="478"/>
      <c r="EKF46" s="478"/>
      <c r="EKG46" s="478"/>
      <c r="EKH46" s="478"/>
      <c r="EKI46" s="478"/>
      <c r="EKJ46" s="478"/>
      <c r="EKK46" s="478"/>
      <c r="EKL46" s="478"/>
      <c r="EKM46" s="478"/>
      <c r="EKN46" s="478"/>
      <c r="EKO46" s="478"/>
      <c r="EKP46" s="478"/>
      <c r="EKQ46" s="478"/>
      <c r="EKR46" s="478"/>
      <c r="EKS46" s="478"/>
      <c r="EKT46" s="478"/>
      <c r="EKU46" s="478"/>
      <c r="EKV46" s="478"/>
      <c r="EKW46" s="478"/>
      <c r="EKX46" s="478"/>
      <c r="EKY46" s="478"/>
      <c r="EKZ46" s="478"/>
      <c r="ELA46" s="478"/>
      <c r="ELB46" s="478"/>
      <c r="ELC46" s="478"/>
      <c r="ELD46" s="478"/>
      <c r="ELE46" s="478"/>
      <c r="ELF46" s="478"/>
      <c r="ELG46" s="478"/>
      <c r="ELH46" s="478"/>
      <c r="ELI46" s="478"/>
      <c r="ELJ46" s="478"/>
      <c r="ELK46" s="478"/>
      <c r="ELL46" s="478"/>
      <c r="ELM46" s="478"/>
      <c r="ELN46" s="478"/>
      <c r="ELO46" s="478"/>
      <c r="ELP46" s="478"/>
      <c r="ELQ46" s="478"/>
      <c r="ELR46" s="478"/>
      <c r="ELS46" s="478"/>
      <c r="ELT46" s="478"/>
      <c r="ELU46" s="478"/>
      <c r="ELV46" s="478"/>
      <c r="ELW46" s="478"/>
      <c r="ELX46" s="478"/>
      <c r="ELY46" s="478"/>
      <c r="ELZ46" s="478"/>
      <c r="EMA46" s="478"/>
      <c r="EMB46" s="478"/>
      <c r="EMC46" s="478"/>
      <c r="EMD46" s="478"/>
      <c r="EME46" s="478"/>
      <c r="EMF46" s="478"/>
      <c r="EMG46" s="478"/>
      <c r="EMH46" s="478"/>
      <c r="EMI46" s="478"/>
      <c r="EMJ46" s="478"/>
      <c r="EMK46" s="478"/>
      <c r="EML46" s="478"/>
      <c r="EMM46" s="478"/>
      <c r="EMN46" s="478"/>
      <c r="EMO46" s="478"/>
      <c r="EMP46" s="478"/>
      <c r="EMQ46" s="478"/>
      <c r="EMR46" s="478"/>
      <c r="EMS46" s="478"/>
      <c r="EMT46" s="478"/>
      <c r="EMU46" s="478"/>
      <c r="EMV46" s="478"/>
      <c r="EMW46" s="478"/>
      <c r="EMX46" s="478"/>
      <c r="EMY46" s="478"/>
      <c r="EMZ46" s="478"/>
      <c r="ENA46" s="478"/>
      <c r="ENB46" s="478"/>
      <c r="ENC46" s="478"/>
      <c r="END46" s="478"/>
      <c r="ENE46" s="478"/>
      <c r="ENF46" s="478"/>
      <c r="ENG46" s="478"/>
      <c r="ENH46" s="478"/>
      <c r="ENI46" s="478"/>
      <c r="ENJ46" s="478"/>
      <c r="ENK46" s="478"/>
      <c r="ENL46" s="478"/>
      <c r="ENM46" s="478"/>
      <c r="ENN46" s="478"/>
      <c r="ENO46" s="478"/>
      <c r="ENP46" s="478"/>
      <c r="ENQ46" s="478"/>
      <c r="ENR46" s="478"/>
      <c r="ENS46" s="478"/>
      <c r="ENT46" s="478"/>
      <c r="ENU46" s="478"/>
      <c r="ENV46" s="478"/>
      <c r="ENW46" s="478"/>
      <c r="ENX46" s="478"/>
      <c r="ENY46" s="478"/>
      <c r="ENZ46" s="478"/>
      <c r="EOA46" s="478"/>
      <c r="EOB46" s="478"/>
      <c r="EOC46" s="478"/>
      <c r="EOD46" s="478"/>
      <c r="EOE46" s="478"/>
      <c r="EOF46" s="478"/>
      <c r="EOG46" s="478"/>
      <c r="EOH46" s="478"/>
      <c r="EOI46" s="478"/>
      <c r="EOJ46" s="478"/>
      <c r="EOK46" s="478"/>
      <c r="EOL46" s="478"/>
      <c r="EOM46" s="478"/>
      <c r="EON46" s="478"/>
      <c r="EOO46" s="478"/>
      <c r="EOP46" s="478"/>
      <c r="EOQ46" s="478"/>
      <c r="EOR46" s="478"/>
      <c r="EOS46" s="478"/>
      <c r="EOT46" s="478"/>
      <c r="EOU46" s="478"/>
      <c r="EOV46" s="478"/>
      <c r="EOW46" s="478"/>
      <c r="EOX46" s="478"/>
      <c r="EOY46" s="478"/>
      <c r="EOZ46" s="478"/>
      <c r="EPA46" s="478"/>
      <c r="EPB46" s="478"/>
      <c r="EPC46" s="478"/>
      <c r="EPD46" s="478"/>
      <c r="EPE46" s="478"/>
      <c r="EPF46" s="478"/>
      <c r="EPG46" s="478"/>
      <c r="EPH46" s="478"/>
      <c r="EPI46" s="478"/>
      <c r="EPJ46" s="478"/>
      <c r="EPK46" s="478"/>
      <c r="EPL46" s="478"/>
      <c r="EPM46" s="478"/>
      <c r="EPN46" s="478"/>
      <c r="EPO46" s="478"/>
      <c r="EPP46" s="478"/>
      <c r="EPQ46" s="478"/>
      <c r="EPR46" s="478"/>
      <c r="EPS46" s="478"/>
      <c r="EPT46" s="478"/>
      <c r="EPU46" s="478"/>
      <c r="EPV46" s="478"/>
      <c r="EPW46" s="478"/>
      <c r="EPX46" s="478"/>
      <c r="EPY46" s="478"/>
      <c r="EPZ46" s="478"/>
      <c r="EQA46" s="478"/>
      <c r="EQB46" s="478"/>
      <c r="EQC46" s="478"/>
      <c r="EQD46" s="478"/>
      <c r="EQE46" s="478"/>
      <c r="EQF46" s="478"/>
      <c r="EQG46" s="478"/>
      <c r="EQH46" s="478"/>
      <c r="EQI46" s="478"/>
      <c r="EQJ46" s="478"/>
      <c r="EQK46" s="478"/>
      <c r="EQL46" s="478"/>
      <c r="EQM46" s="478"/>
      <c r="EQN46" s="478"/>
      <c r="EQO46" s="478"/>
      <c r="EQP46" s="478"/>
      <c r="EQQ46" s="478"/>
      <c r="EQR46" s="478"/>
      <c r="EQS46" s="478"/>
      <c r="EQT46" s="478"/>
      <c r="EQU46" s="478"/>
      <c r="EQV46" s="478"/>
      <c r="EQW46" s="478"/>
      <c r="EQX46" s="478"/>
      <c r="EQY46" s="478"/>
      <c r="EQZ46" s="478"/>
      <c r="ERA46" s="478"/>
      <c r="ERB46" s="478"/>
      <c r="ERC46" s="478"/>
      <c r="ERD46" s="478"/>
      <c r="ERE46" s="478"/>
      <c r="ERF46" s="478"/>
      <c r="ERG46" s="478"/>
      <c r="ERH46" s="478"/>
      <c r="ERI46" s="478"/>
      <c r="ERJ46" s="478"/>
      <c r="ERK46" s="478"/>
      <c r="ERL46" s="478"/>
      <c r="ERM46" s="478"/>
      <c r="ERN46" s="478"/>
      <c r="ERO46" s="478"/>
      <c r="ERP46" s="478"/>
      <c r="ERQ46" s="478"/>
      <c r="ERR46" s="478"/>
      <c r="ERS46" s="478"/>
      <c r="ERT46" s="478"/>
      <c r="ERU46" s="478"/>
      <c r="ERV46" s="478"/>
      <c r="ERW46" s="478"/>
      <c r="ERX46" s="478"/>
      <c r="ERY46" s="478"/>
      <c r="ERZ46" s="478"/>
      <c r="ESA46" s="478"/>
      <c r="ESB46" s="478"/>
      <c r="ESC46" s="478"/>
      <c r="ESD46" s="478"/>
      <c r="ESE46" s="478"/>
      <c r="ESF46" s="478"/>
      <c r="ESG46" s="478"/>
      <c r="ESH46" s="478"/>
      <c r="ESI46" s="478"/>
      <c r="ESJ46" s="478"/>
      <c r="ESK46" s="478"/>
      <c r="ESL46" s="478"/>
      <c r="ESM46" s="478"/>
      <c r="ESN46" s="478"/>
      <c r="ESO46" s="478"/>
      <c r="ESP46" s="478"/>
      <c r="ESQ46" s="478"/>
      <c r="ESR46" s="478"/>
      <c r="ESS46" s="478"/>
      <c r="EST46" s="478"/>
      <c r="ESU46" s="478"/>
      <c r="ESV46" s="478"/>
      <c r="ESW46" s="478"/>
      <c r="ESX46" s="478"/>
      <c r="ESY46" s="478"/>
      <c r="ESZ46" s="478"/>
      <c r="ETA46" s="478"/>
      <c r="ETB46" s="478"/>
      <c r="ETC46" s="478"/>
      <c r="ETD46" s="478"/>
      <c r="ETE46" s="478"/>
      <c r="ETF46" s="478"/>
      <c r="ETG46" s="478"/>
      <c r="ETH46" s="478"/>
      <c r="ETI46" s="478"/>
      <c r="ETJ46" s="478"/>
      <c r="ETK46" s="478"/>
      <c r="ETL46" s="478"/>
      <c r="ETM46" s="478"/>
      <c r="ETN46" s="478"/>
      <c r="ETO46" s="478"/>
      <c r="ETP46" s="478"/>
      <c r="ETQ46" s="478"/>
      <c r="ETR46" s="478"/>
      <c r="ETS46" s="478"/>
      <c r="ETT46" s="478"/>
      <c r="ETU46" s="478"/>
      <c r="ETV46" s="478"/>
      <c r="ETW46" s="478"/>
      <c r="ETX46" s="478"/>
      <c r="ETY46" s="478"/>
      <c r="ETZ46" s="478"/>
      <c r="EUA46" s="478"/>
      <c r="EUB46" s="478"/>
      <c r="EUC46" s="478"/>
      <c r="EUD46" s="478"/>
      <c r="EUE46" s="478"/>
      <c r="EUF46" s="478"/>
      <c r="EUG46" s="478"/>
      <c r="EUH46" s="478"/>
      <c r="EUI46" s="478"/>
      <c r="EUJ46" s="478"/>
      <c r="EUK46" s="478"/>
      <c r="EUL46" s="478"/>
      <c r="EUM46" s="478"/>
      <c r="EUN46" s="478"/>
      <c r="EUO46" s="478"/>
      <c r="EUP46" s="478"/>
      <c r="EUQ46" s="478"/>
      <c r="EUR46" s="478"/>
      <c r="EUS46" s="478"/>
      <c r="EUT46" s="478"/>
      <c r="EUU46" s="478"/>
      <c r="EUV46" s="478"/>
      <c r="EUW46" s="478"/>
      <c r="EUX46" s="478"/>
      <c r="EUY46" s="478"/>
      <c r="EUZ46" s="478"/>
      <c r="EVA46" s="478"/>
      <c r="EVB46" s="478"/>
      <c r="EVC46" s="478"/>
      <c r="EVD46" s="478"/>
      <c r="EVE46" s="478"/>
      <c r="EVF46" s="478"/>
      <c r="EVG46" s="478"/>
      <c r="EVH46" s="478"/>
      <c r="EVI46" s="478"/>
      <c r="EVJ46" s="478"/>
      <c r="EVK46" s="478"/>
      <c r="EVL46" s="478"/>
      <c r="EVM46" s="478"/>
      <c r="EVN46" s="478"/>
      <c r="EVO46" s="478"/>
      <c r="EVP46" s="478"/>
      <c r="EVQ46" s="478"/>
      <c r="EVR46" s="478"/>
      <c r="EVS46" s="478"/>
      <c r="EVT46" s="478"/>
      <c r="EVU46" s="478"/>
      <c r="EVV46" s="478"/>
      <c r="EVW46" s="478"/>
      <c r="EVX46" s="478"/>
      <c r="EVY46" s="478"/>
      <c r="EVZ46" s="478"/>
      <c r="EWA46" s="478"/>
      <c r="EWB46" s="478"/>
      <c r="EWC46" s="478"/>
      <c r="EWD46" s="478"/>
      <c r="EWE46" s="478"/>
      <c r="EWF46" s="478"/>
      <c r="EWG46" s="478"/>
      <c r="EWH46" s="478"/>
      <c r="EWI46" s="478"/>
      <c r="EWJ46" s="478"/>
      <c r="EWK46" s="478"/>
      <c r="EWL46" s="478"/>
      <c r="EWM46" s="478"/>
      <c r="EWN46" s="478"/>
      <c r="EWO46" s="478"/>
      <c r="EWP46" s="478"/>
      <c r="EWQ46" s="478"/>
      <c r="EWR46" s="478"/>
      <c r="EWS46" s="478"/>
      <c r="EWT46" s="478"/>
      <c r="EWU46" s="478"/>
      <c r="EWV46" s="478"/>
      <c r="EWW46" s="478"/>
      <c r="EWX46" s="478"/>
      <c r="EWY46" s="478"/>
      <c r="EWZ46" s="478"/>
      <c r="EXA46" s="478"/>
      <c r="EXB46" s="478"/>
      <c r="EXC46" s="478"/>
      <c r="EXD46" s="478"/>
      <c r="EXE46" s="478"/>
      <c r="EXF46" s="478"/>
      <c r="EXG46" s="478"/>
      <c r="EXH46" s="478"/>
      <c r="EXI46" s="478"/>
      <c r="EXJ46" s="478"/>
      <c r="EXK46" s="478"/>
      <c r="EXL46" s="478"/>
      <c r="EXM46" s="478"/>
      <c r="EXN46" s="478"/>
      <c r="EXO46" s="478"/>
      <c r="EXP46" s="478"/>
      <c r="EXQ46" s="478"/>
      <c r="EXR46" s="478"/>
      <c r="EXS46" s="478"/>
      <c r="EXT46" s="478"/>
      <c r="EXU46" s="478"/>
      <c r="EXV46" s="478"/>
      <c r="EXW46" s="478"/>
      <c r="EXX46" s="478"/>
      <c r="EXY46" s="478"/>
      <c r="EXZ46" s="478"/>
      <c r="EYA46" s="478"/>
      <c r="EYB46" s="478"/>
      <c r="EYC46" s="478"/>
      <c r="EYD46" s="478"/>
      <c r="EYE46" s="478"/>
      <c r="EYF46" s="478"/>
      <c r="EYG46" s="478"/>
      <c r="EYH46" s="478"/>
      <c r="EYI46" s="478"/>
      <c r="EYJ46" s="478"/>
      <c r="EYK46" s="478"/>
      <c r="EYL46" s="478"/>
      <c r="EYM46" s="478"/>
      <c r="EYN46" s="478"/>
      <c r="EYO46" s="478"/>
      <c r="EYP46" s="478"/>
      <c r="EYQ46" s="478"/>
      <c r="EYR46" s="478"/>
      <c r="EYS46" s="478"/>
      <c r="EYT46" s="478"/>
      <c r="EYU46" s="478"/>
      <c r="EYV46" s="478"/>
      <c r="EYW46" s="478"/>
      <c r="EYX46" s="478"/>
      <c r="EYY46" s="478"/>
      <c r="EYZ46" s="478"/>
      <c r="EZA46" s="478"/>
      <c r="EZB46" s="478"/>
      <c r="EZC46" s="478"/>
      <c r="EZD46" s="478"/>
      <c r="EZE46" s="478"/>
      <c r="EZF46" s="478"/>
      <c r="EZG46" s="478"/>
      <c r="EZH46" s="478"/>
      <c r="EZI46" s="478"/>
      <c r="EZJ46" s="478"/>
      <c r="EZK46" s="478"/>
      <c r="EZL46" s="478"/>
      <c r="EZM46" s="478"/>
      <c r="EZN46" s="478"/>
      <c r="EZO46" s="478"/>
      <c r="EZP46" s="478"/>
      <c r="EZQ46" s="478"/>
      <c r="EZR46" s="478"/>
      <c r="EZS46" s="478"/>
      <c r="EZT46" s="478"/>
      <c r="EZU46" s="478"/>
      <c r="EZV46" s="478"/>
      <c r="EZW46" s="478"/>
      <c r="EZX46" s="478"/>
      <c r="EZY46" s="478"/>
      <c r="EZZ46" s="478"/>
      <c r="FAA46" s="478"/>
      <c r="FAB46" s="478"/>
      <c r="FAC46" s="478"/>
      <c r="FAD46" s="478"/>
      <c r="FAE46" s="478"/>
      <c r="FAF46" s="478"/>
      <c r="FAG46" s="478"/>
      <c r="FAH46" s="478"/>
      <c r="FAI46" s="478"/>
      <c r="FAJ46" s="478"/>
      <c r="FAK46" s="478"/>
      <c r="FAL46" s="478"/>
      <c r="FAM46" s="478"/>
      <c r="FAN46" s="478"/>
      <c r="FAO46" s="478"/>
      <c r="FAP46" s="478"/>
      <c r="FAQ46" s="478"/>
      <c r="FAR46" s="478"/>
      <c r="FAS46" s="478"/>
      <c r="FAT46" s="478"/>
      <c r="FAU46" s="478"/>
      <c r="FAV46" s="478"/>
      <c r="FAW46" s="478"/>
      <c r="FAX46" s="478"/>
      <c r="FAY46" s="478"/>
      <c r="FAZ46" s="478"/>
      <c r="FBA46" s="478"/>
      <c r="FBB46" s="478"/>
      <c r="FBC46" s="478"/>
      <c r="FBD46" s="478"/>
      <c r="FBE46" s="478"/>
      <c r="FBF46" s="478"/>
      <c r="FBG46" s="478"/>
      <c r="FBH46" s="478"/>
      <c r="FBI46" s="478"/>
      <c r="FBJ46" s="478"/>
      <c r="FBK46" s="478"/>
      <c r="FBL46" s="478"/>
      <c r="FBM46" s="478"/>
      <c r="FBN46" s="478"/>
      <c r="FBO46" s="478"/>
      <c r="FBP46" s="478"/>
      <c r="FBQ46" s="478"/>
      <c r="FBR46" s="478"/>
      <c r="FBS46" s="478"/>
      <c r="FBT46" s="478"/>
      <c r="FBU46" s="478"/>
      <c r="FBV46" s="478"/>
      <c r="FBW46" s="478"/>
      <c r="FBX46" s="478"/>
      <c r="FBY46" s="478"/>
      <c r="FBZ46" s="478"/>
      <c r="FCA46" s="478"/>
      <c r="FCB46" s="478"/>
      <c r="FCC46" s="478"/>
      <c r="FCD46" s="478"/>
      <c r="FCE46" s="478"/>
      <c r="FCF46" s="478"/>
      <c r="FCG46" s="478"/>
      <c r="FCH46" s="478"/>
      <c r="FCI46" s="478"/>
      <c r="FCJ46" s="478"/>
      <c r="FCK46" s="478"/>
      <c r="FCL46" s="478"/>
      <c r="FCM46" s="478"/>
      <c r="FCN46" s="478"/>
      <c r="FCO46" s="478"/>
      <c r="FCP46" s="478"/>
      <c r="FCQ46" s="478"/>
      <c r="FCR46" s="478"/>
      <c r="FCS46" s="478"/>
      <c r="FCT46" s="478"/>
      <c r="FCU46" s="478"/>
      <c r="FCV46" s="478"/>
      <c r="FCW46" s="478"/>
      <c r="FCX46" s="478"/>
      <c r="FCY46" s="478"/>
      <c r="FCZ46" s="478"/>
      <c r="FDA46" s="478"/>
      <c r="FDB46" s="478"/>
      <c r="FDC46" s="478"/>
      <c r="FDD46" s="478"/>
      <c r="FDE46" s="478"/>
      <c r="FDF46" s="478"/>
      <c r="FDG46" s="478"/>
      <c r="FDH46" s="478"/>
      <c r="FDI46" s="478"/>
      <c r="FDJ46" s="478"/>
      <c r="FDK46" s="478"/>
      <c r="FDL46" s="478"/>
      <c r="FDM46" s="478"/>
      <c r="FDN46" s="478"/>
      <c r="FDO46" s="478"/>
      <c r="FDP46" s="478"/>
      <c r="FDQ46" s="478"/>
      <c r="FDR46" s="478"/>
      <c r="FDS46" s="478"/>
      <c r="FDT46" s="478"/>
      <c r="FDU46" s="478"/>
      <c r="FDV46" s="478"/>
      <c r="FDW46" s="478"/>
      <c r="FDX46" s="478"/>
      <c r="FDY46" s="478"/>
      <c r="FDZ46" s="478"/>
      <c r="FEA46" s="478"/>
      <c r="FEB46" s="478"/>
      <c r="FEC46" s="478"/>
      <c r="FED46" s="478"/>
      <c r="FEE46" s="478"/>
      <c r="FEF46" s="478"/>
      <c r="FEG46" s="478"/>
      <c r="FEH46" s="478"/>
      <c r="FEI46" s="478"/>
      <c r="FEJ46" s="478"/>
      <c r="FEK46" s="478"/>
      <c r="FEL46" s="478"/>
      <c r="FEM46" s="478"/>
      <c r="FEN46" s="478"/>
      <c r="FEO46" s="478"/>
      <c r="FEP46" s="478"/>
      <c r="FEQ46" s="478"/>
      <c r="FER46" s="478"/>
      <c r="FES46" s="478"/>
      <c r="FET46" s="478"/>
      <c r="FEU46" s="478"/>
      <c r="FEV46" s="478"/>
      <c r="FEW46" s="478"/>
      <c r="FEX46" s="478"/>
      <c r="FEY46" s="478"/>
      <c r="FEZ46" s="478"/>
      <c r="FFA46" s="478"/>
      <c r="FFB46" s="478"/>
      <c r="FFC46" s="478"/>
      <c r="FFD46" s="478"/>
      <c r="FFE46" s="478"/>
      <c r="FFF46" s="478"/>
      <c r="FFG46" s="478"/>
      <c r="FFH46" s="478"/>
      <c r="FFI46" s="478"/>
      <c r="FFJ46" s="478"/>
      <c r="FFK46" s="478"/>
      <c r="FFL46" s="478"/>
      <c r="FFM46" s="478"/>
      <c r="FFN46" s="478"/>
      <c r="FFO46" s="478"/>
      <c r="FFP46" s="478"/>
      <c r="FFQ46" s="478"/>
      <c r="FFR46" s="478"/>
      <c r="FFS46" s="478"/>
      <c r="FFT46" s="478"/>
      <c r="FFU46" s="478"/>
      <c r="FFV46" s="478"/>
      <c r="FFW46" s="478"/>
      <c r="FFX46" s="478"/>
      <c r="FFY46" s="478"/>
      <c r="FFZ46" s="478"/>
      <c r="FGA46" s="478"/>
      <c r="FGB46" s="478"/>
      <c r="FGC46" s="478"/>
      <c r="FGD46" s="478"/>
      <c r="FGE46" s="478"/>
      <c r="FGF46" s="478"/>
      <c r="FGG46" s="478"/>
      <c r="FGH46" s="478"/>
      <c r="FGI46" s="478"/>
      <c r="FGJ46" s="478"/>
      <c r="FGK46" s="478"/>
      <c r="FGL46" s="478"/>
      <c r="FGM46" s="478"/>
      <c r="FGN46" s="478"/>
      <c r="FGO46" s="478"/>
      <c r="FGP46" s="478"/>
      <c r="FGQ46" s="478"/>
      <c r="FGR46" s="478"/>
      <c r="FGS46" s="478"/>
      <c r="FGT46" s="478"/>
      <c r="FGU46" s="478"/>
      <c r="FGV46" s="478"/>
      <c r="FGW46" s="478"/>
      <c r="FGX46" s="478"/>
      <c r="FGY46" s="478"/>
      <c r="FGZ46" s="478"/>
      <c r="FHA46" s="478"/>
      <c r="FHB46" s="478"/>
      <c r="FHC46" s="478"/>
      <c r="FHD46" s="478"/>
      <c r="FHE46" s="478"/>
      <c r="FHF46" s="478"/>
      <c r="FHG46" s="478"/>
      <c r="FHH46" s="478"/>
      <c r="FHI46" s="478"/>
      <c r="FHJ46" s="478"/>
      <c r="FHK46" s="478"/>
      <c r="FHL46" s="478"/>
      <c r="FHM46" s="478"/>
      <c r="FHN46" s="478"/>
      <c r="FHO46" s="478"/>
      <c r="FHP46" s="478"/>
      <c r="FHQ46" s="478"/>
      <c r="FHR46" s="478"/>
      <c r="FHS46" s="478"/>
      <c r="FHT46" s="478"/>
      <c r="FHU46" s="478"/>
      <c r="FHV46" s="478"/>
      <c r="FHW46" s="478"/>
      <c r="FHX46" s="478"/>
      <c r="FHY46" s="478"/>
      <c r="FHZ46" s="478"/>
      <c r="FIA46" s="478"/>
      <c r="FIB46" s="478"/>
      <c r="FIC46" s="478"/>
      <c r="FID46" s="478"/>
      <c r="FIE46" s="478"/>
      <c r="FIF46" s="478"/>
      <c r="FIG46" s="478"/>
      <c r="FIH46" s="478"/>
      <c r="FII46" s="478"/>
      <c r="FIJ46" s="478"/>
      <c r="FIK46" s="478"/>
      <c r="FIL46" s="478"/>
      <c r="FIM46" s="478"/>
      <c r="FIN46" s="478"/>
      <c r="FIO46" s="478"/>
      <c r="FIP46" s="478"/>
      <c r="FIQ46" s="478"/>
      <c r="FIR46" s="478"/>
      <c r="FIS46" s="478"/>
      <c r="FIT46" s="478"/>
      <c r="FIU46" s="478"/>
      <c r="FIV46" s="478"/>
      <c r="FIW46" s="478"/>
      <c r="FIX46" s="478"/>
      <c r="FIY46" s="478"/>
      <c r="FIZ46" s="478"/>
      <c r="FJA46" s="478"/>
      <c r="FJB46" s="478"/>
      <c r="FJC46" s="478"/>
      <c r="FJD46" s="478"/>
      <c r="FJE46" s="478"/>
      <c r="FJF46" s="478"/>
      <c r="FJG46" s="478"/>
      <c r="FJH46" s="478"/>
      <c r="FJI46" s="478"/>
      <c r="FJJ46" s="478"/>
      <c r="FJK46" s="478"/>
      <c r="FJL46" s="478"/>
      <c r="FJM46" s="478"/>
      <c r="FJN46" s="478"/>
      <c r="FJO46" s="478"/>
      <c r="FJP46" s="478"/>
      <c r="FJQ46" s="478"/>
      <c r="FJR46" s="478"/>
      <c r="FJS46" s="478"/>
      <c r="FJT46" s="478"/>
      <c r="FJU46" s="478"/>
      <c r="FJV46" s="478"/>
      <c r="FJW46" s="478"/>
      <c r="FJX46" s="478"/>
      <c r="FJY46" s="478"/>
      <c r="FJZ46" s="478"/>
      <c r="FKA46" s="478"/>
      <c r="FKB46" s="478"/>
      <c r="FKC46" s="478"/>
      <c r="FKD46" s="478"/>
      <c r="FKE46" s="478"/>
      <c r="FKF46" s="478"/>
      <c r="FKG46" s="478"/>
      <c r="FKH46" s="478"/>
      <c r="FKI46" s="478"/>
      <c r="FKJ46" s="478"/>
      <c r="FKK46" s="478"/>
      <c r="FKL46" s="478"/>
      <c r="FKM46" s="478"/>
      <c r="FKN46" s="478"/>
      <c r="FKO46" s="478"/>
      <c r="FKP46" s="478"/>
      <c r="FKQ46" s="478"/>
      <c r="FKR46" s="478"/>
      <c r="FKS46" s="478"/>
      <c r="FKT46" s="478"/>
      <c r="FKU46" s="478"/>
      <c r="FKV46" s="478"/>
      <c r="FKW46" s="478"/>
      <c r="FKX46" s="478"/>
      <c r="FKY46" s="478"/>
      <c r="FKZ46" s="478"/>
      <c r="FLA46" s="478"/>
      <c r="FLB46" s="478"/>
      <c r="FLC46" s="478"/>
      <c r="FLD46" s="478"/>
      <c r="FLE46" s="478"/>
      <c r="FLF46" s="478"/>
      <c r="FLG46" s="478"/>
      <c r="FLH46" s="478"/>
      <c r="FLI46" s="478"/>
      <c r="FLJ46" s="478"/>
      <c r="FLK46" s="478"/>
      <c r="FLL46" s="478"/>
      <c r="FLM46" s="478"/>
      <c r="FLN46" s="478"/>
      <c r="FLO46" s="478"/>
      <c r="FLP46" s="478"/>
      <c r="FLQ46" s="478"/>
      <c r="FLR46" s="478"/>
      <c r="FLS46" s="478"/>
      <c r="FLT46" s="478"/>
      <c r="FLU46" s="478"/>
      <c r="FLV46" s="478"/>
      <c r="FLW46" s="478"/>
      <c r="FLX46" s="478"/>
      <c r="FLY46" s="478"/>
      <c r="FLZ46" s="478"/>
      <c r="FMA46" s="478"/>
      <c r="FMB46" s="478"/>
      <c r="FMC46" s="478"/>
      <c r="FMD46" s="478"/>
      <c r="FME46" s="478"/>
      <c r="FMF46" s="478"/>
      <c r="FMG46" s="478"/>
      <c r="FMH46" s="478"/>
      <c r="FMI46" s="478"/>
      <c r="FMJ46" s="478"/>
      <c r="FMK46" s="478"/>
      <c r="FML46" s="478"/>
      <c r="FMM46" s="478"/>
      <c r="FMN46" s="478"/>
      <c r="FMO46" s="478"/>
      <c r="FMP46" s="478"/>
      <c r="FMQ46" s="478"/>
      <c r="FMR46" s="478"/>
      <c r="FMS46" s="478"/>
      <c r="FMT46" s="478"/>
      <c r="FMU46" s="478"/>
      <c r="FMV46" s="478"/>
      <c r="FMW46" s="478"/>
      <c r="FMX46" s="478"/>
      <c r="FMY46" s="478"/>
      <c r="FMZ46" s="478"/>
      <c r="FNA46" s="478"/>
      <c r="FNB46" s="478"/>
      <c r="FNC46" s="478"/>
      <c r="FND46" s="478"/>
      <c r="FNE46" s="478"/>
      <c r="FNF46" s="478"/>
      <c r="FNG46" s="478"/>
      <c r="FNH46" s="478"/>
      <c r="FNI46" s="478"/>
      <c r="FNJ46" s="478"/>
      <c r="FNK46" s="478"/>
      <c r="FNL46" s="478"/>
      <c r="FNM46" s="478"/>
      <c r="FNN46" s="478"/>
      <c r="FNO46" s="478"/>
      <c r="FNP46" s="478"/>
      <c r="FNQ46" s="478"/>
      <c r="FNR46" s="478"/>
      <c r="FNS46" s="478"/>
      <c r="FNT46" s="478"/>
      <c r="FNU46" s="478"/>
      <c r="FNV46" s="478"/>
      <c r="FNW46" s="478"/>
      <c r="FNX46" s="478"/>
      <c r="FNY46" s="478"/>
      <c r="FNZ46" s="478"/>
      <c r="FOA46" s="478"/>
      <c r="FOB46" s="478"/>
      <c r="FOC46" s="478"/>
      <c r="FOD46" s="478"/>
      <c r="FOE46" s="478"/>
      <c r="FOF46" s="478"/>
      <c r="FOG46" s="478"/>
      <c r="FOH46" s="478"/>
      <c r="FOI46" s="478"/>
      <c r="FOJ46" s="478"/>
      <c r="FOK46" s="478"/>
      <c r="FOL46" s="478"/>
      <c r="FOM46" s="478"/>
      <c r="FON46" s="478"/>
      <c r="FOO46" s="478"/>
      <c r="FOP46" s="478"/>
      <c r="FOQ46" s="478"/>
      <c r="FOR46" s="478"/>
      <c r="FOS46" s="478"/>
      <c r="FOT46" s="478"/>
      <c r="FOU46" s="478"/>
      <c r="FOV46" s="478"/>
      <c r="FOW46" s="478"/>
      <c r="FOX46" s="478"/>
      <c r="FOY46" s="478"/>
      <c r="FOZ46" s="478"/>
      <c r="FPA46" s="478"/>
      <c r="FPB46" s="478"/>
      <c r="FPC46" s="478"/>
      <c r="FPD46" s="478"/>
      <c r="FPE46" s="478"/>
      <c r="FPF46" s="478"/>
      <c r="FPG46" s="478"/>
      <c r="FPH46" s="478"/>
      <c r="FPI46" s="478"/>
      <c r="FPJ46" s="478"/>
      <c r="FPK46" s="478"/>
      <c r="FPL46" s="478"/>
      <c r="FPM46" s="478"/>
      <c r="FPN46" s="478"/>
      <c r="FPO46" s="478"/>
      <c r="FPP46" s="478"/>
      <c r="FPQ46" s="478"/>
      <c r="FPR46" s="478"/>
      <c r="FPS46" s="478"/>
      <c r="FPT46" s="478"/>
      <c r="FPU46" s="478"/>
      <c r="FPV46" s="478"/>
      <c r="FPW46" s="478"/>
      <c r="FPX46" s="478"/>
      <c r="FPY46" s="478"/>
      <c r="FPZ46" s="478"/>
      <c r="FQA46" s="478"/>
      <c r="FQB46" s="478"/>
      <c r="FQC46" s="478"/>
      <c r="FQD46" s="478"/>
      <c r="FQE46" s="478"/>
      <c r="FQF46" s="478"/>
      <c r="FQG46" s="478"/>
      <c r="FQH46" s="478"/>
      <c r="FQI46" s="478"/>
      <c r="FQJ46" s="478"/>
      <c r="FQK46" s="478"/>
      <c r="FQL46" s="478"/>
      <c r="FQM46" s="478"/>
      <c r="FQN46" s="478"/>
      <c r="FQO46" s="478"/>
      <c r="FQP46" s="478"/>
      <c r="FQQ46" s="478"/>
      <c r="FQR46" s="478"/>
      <c r="FQS46" s="478"/>
      <c r="FQT46" s="478"/>
      <c r="FQU46" s="478"/>
      <c r="FQV46" s="478"/>
      <c r="FQW46" s="478"/>
      <c r="FQX46" s="478"/>
      <c r="FQY46" s="478"/>
      <c r="FQZ46" s="478"/>
      <c r="FRA46" s="478"/>
      <c r="FRB46" s="478"/>
      <c r="FRC46" s="478"/>
      <c r="FRD46" s="478"/>
      <c r="FRE46" s="478"/>
      <c r="FRF46" s="478"/>
      <c r="FRG46" s="478"/>
      <c r="FRH46" s="478"/>
      <c r="FRI46" s="478"/>
      <c r="FRJ46" s="478"/>
      <c r="FRK46" s="478"/>
      <c r="FRL46" s="478"/>
      <c r="FRM46" s="478"/>
      <c r="FRN46" s="478"/>
      <c r="FRO46" s="478"/>
      <c r="FRP46" s="478"/>
      <c r="FRQ46" s="478"/>
      <c r="FRR46" s="478"/>
      <c r="FRS46" s="478"/>
      <c r="FRT46" s="478"/>
      <c r="FRU46" s="478"/>
      <c r="FRV46" s="478"/>
      <c r="FRW46" s="478"/>
      <c r="FRX46" s="478"/>
      <c r="FRY46" s="478"/>
      <c r="FRZ46" s="478"/>
      <c r="FSA46" s="478"/>
      <c r="FSB46" s="478"/>
      <c r="FSC46" s="478"/>
      <c r="FSD46" s="478"/>
      <c r="FSE46" s="478"/>
      <c r="FSF46" s="478"/>
      <c r="FSG46" s="478"/>
      <c r="FSH46" s="478"/>
      <c r="FSI46" s="478"/>
      <c r="FSJ46" s="478"/>
      <c r="FSK46" s="478"/>
      <c r="FSL46" s="478"/>
      <c r="FSM46" s="478"/>
      <c r="FSN46" s="478"/>
      <c r="FSO46" s="478"/>
      <c r="FSP46" s="478"/>
      <c r="FSQ46" s="478"/>
      <c r="FSR46" s="478"/>
      <c r="FSS46" s="478"/>
      <c r="FST46" s="478"/>
      <c r="FSU46" s="478"/>
      <c r="FSV46" s="478"/>
      <c r="FSW46" s="478"/>
      <c r="FSX46" s="478"/>
      <c r="FSY46" s="478"/>
      <c r="FSZ46" s="478"/>
      <c r="FTA46" s="478"/>
      <c r="FTB46" s="478"/>
      <c r="FTC46" s="478"/>
      <c r="FTD46" s="478"/>
      <c r="FTE46" s="478"/>
      <c r="FTF46" s="478"/>
      <c r="FTG46" s="478"/>
      <c r="FTH46" s="478"/>
      <c r="FTI46" s="478"/>
      <c r="FTJ46" s="478"/>
      <c r="FTK46" s="478"/>
      <c r="FTL46" s="478"/>
      <c r="FTM46" s="478"/>
      <c r="FTN46" s="478"/>
      <c r="FTO46" s="478"/>
      <c r="FTP46" s="478"/>
      <c r="FTQ46" s="478"/>
      <c r="FTR46" s="478"/>
      <c r="FTS46" s="478"/>
      <c r="FTT46" s="478"/>
      <c r="FTU46" s="478"/>
      <c r="FTV46" s="478"/>
      <c r="FTW46" s="478"/>
      <c r="FTX46" s="478"/>
      <c r="FTY46" s="478"/>
      <c r="FTZ46" s="478"/>
      <c r="FUA46" s="478"/>
      <c r="FUB46" s="478"/>
      <c r="FUC46" s="478"/>
      <c r="FUD46" s="478"/>
      <c r="FUE46" s="478"/>
      <c r="FUF46" s="478"/>
      <c r="FUG46" s="478"/>
      <c r="FUH46" s="478"/>
      <c r="FUI46" s="478"/>
      <c r="FUJ46" s="478"/>
      <c r="FUK46" s="478"/>
      <c r="FUL46" s="478"/>
      <c r="FUM46" s="478"/>
      <c r="FUN46" s="478"/>
      <c r="FUO46" s="478"/>
      <c r="FUP46" s="478"/>
      <c r="FUQ46" s="478"/>
      <c r="FUR46" s="478"/>
      <c r="FUS46" s="478"/>
      <c r="FUT46" s="478"/>
      <c r="FUU46" s="478"/>
      <c r="FUV46" s="478"/>
      <c r="FUW46" s="478"/>
      <c r="FUX46" s="478"/>
      <c r="FUY46" s="478"/>
      <c r="FUZ46" s="478"/>
      <c r="FVA46" s="478"/>
      <c r="FVB46" s="478"/>
      <c r="FVC46" s="478"/>
      <c r="FVD46" s="478"/>
      <c r="FVE46" s="478"/>
      <c r="FVF46" s="478"/>
      <c r="FVG46" s="478"/>
      <c r="FVH46" s="478"/>
      <c r="FVI46" s="478"/>
      <c r="FVJ46" s="478"/>
      <c r="FVK46" s="478"/>
      <c r="FVL46" s="478"/>
      <c r="FVM46" s="478"/>
      <c r="FVN46" s="478"/>
      <c r="FVO46" s="478"/>
      <c r="FVP46" s="478"/>
      <c r="FVQ46" s="478"/>
      <c r="FVR46" s="478"/>
      <c r="FVS46" s="478"/>
      <c r="FVT46" s="478"/>
      <c r="FVU46" s="478"/>
      <c r="FVV46" s="478"/>
      <c r="FVW46" s="478"/>
      <c r="FVX46" s="478"/>
      <c r="FVY46" s="478"/>
      <c r="FVZ46" s="478"/>
      <c r="FWA46" s="478"/>
      <c r="FWB46" s="478"/>
      <c r="FWC46" s="478"/>
      <c r="FWD46" s="478"/>
      <c r="FWE46" s="478"/>
      <c r="FWF46" s="478"/>
      <c r="FWG46" s="478"/>
      <c r="FWH46" s="478"/>
      <c r="FWI46" s="478"/>
      <c r="FWJ46" s="478"/>
      <c r="FWK46" s="478"/>
      <c r="FWL46" s="478"/>
      <c r="FWM46" s="478"/>
      <c r="FWN46" s="478"/>
      <c r="FWO46" s="478"/>
      <c r="FWP46" s="478"/>
      <c r="FWQ46" s="478"/>
      <c r="FWR46" s="478"/>
      <c r="FWS46" s="478"/>
      <c r="FWT46" s="478"/>
      <c r="FWU46" s="478"/>
      <c r="FWV46" s="478"/>
      <c r="FWW46" s="478"/>
      <c r="FWX46" s="478"/>
      <c r="FWY46" s="478"/>
      <c r="FWZ46" s="478"/>
      <c r="FXA46" s="478"/>
      <c r="FXB46" s="478"/>
      <c r="FXC46" s="478"/>
      <c r="FXD46" s="478"/>
      <c r="FXE46" s="478"/>
      <c r="FXF46" s="478"/>
      <c r="FXG46" s="478"/>
      <c r="FXH46" s="478"/>
      <c r="FXI46" s="478"/>
      <c r="FXJ46" s="478"/>
      <c r="FXK46" s="478"/>
      <c r="FXL46" s="478"/>
      <c r="FXM46" s="478"/>
      <c r="FXN46" s="478"/>
      <c r="FXO46" s="478"/>
      <c r="FXP46" s="478"/>
      <c r="FXQ46" s="478"/>
      <c r="FXR46" s="478"/>
      <c r="FXS46" s="478"/>
      <c r="FXT46" s="478"/>
      <c r="FXU46" s="478"/>
      <c r="FXV46" s="478"/>
      <c r="FXW46" s="478"/>
      <c r="FXX46" s="478"/>
      <c r="FXY46" s="478"/>
      <c r="FXZ46" s="478"/>
      <c r="FYA46" s="478"/>
      <c r="FYB46" s="478"/>
      <c r="FYC46" s="478"/>
      <c r="FYD46" s="478"/>
      <c r="FYE46" s="478"/>
      <c r="FYF46" s="478"/>
      <c r="FYG46" s="478"/>
      <c r="FYH46" s="478"/>
      <c r="FYI46" s="478"/>
      <c r="FYJ46" s="478"/>
      <c r="FYK46" s="478"/>
      <c r="FYL46" s="478"/>
      <c r="FYM46" s="478"/>
      <c r="FYN46" s="478"/>
      <c r="FYO46" s="478"/>
      <c r="FYP46" s="478"/>
      <c r="FYQ46" s="478"/>
      <c r="FYR46" s="478"/>
      <c r="FYS46" s="478"/>
      <c r="FYT46" s="478"/>
      <c r="FYU46" s="478"/>
      <c r="FYV46" s="478"/>
      <c r="FYW46" s="478"/>
      <c r="FYX46" s="478"/>
      <c r="FYY46" s="478"/>
      <c r="FYZ46" s="478"/>
      <c r="FZA46" s="478"/>
      <c r="FZB46" s="478"/>
      <c r="FZC46" s="478"/>
      <c r="FZD46" s="478"/>
      <c r="FZE46" s="478"/>
      <c r="FZF46" s="478"/>
      <c r="FZG46" s="478"/>
      <c r="FZH46" s="478"/>
      <c r="FZI46" s="478"/>
      <c r="FZJ46" s="478"/>
      <c r="FZK46" s="478"/>
      <c r="FZL46" s="478"/>
      <c r="FZM46" s="478"/>
      <c r="FZN46" s="478"/>
      <c r="FZO46" s="478"/>
      <c r="FZP46" s="478"/>
      <c r="FZQ46" s="478"/>
      <c r="FZR46" s="478"/>
      <c r="FZS46" s="478"/>
      <c r="FZT46" s="478"/>
      <c r="FZU46" s="478"/>
      <c r="FZV46" s="478"/>
      <c r="FZW46" s="478"/>
      <c r="FZX46" s="478"/>
      <c r="FZY46" s="478"/>
      <c r="FZZ46" s="478"/>
      <c r="GAA46" s="478"/>
      <c r="GAB46" s="478"/>
      <c r="GAC46" s="478"/>
      <c r="GAD46" s="478"/>
      <c r="GAE46" s="478"/>
      <c r="GAF46" s="478"/>
      <c r="GAG46" s="478"/>
      <c r="GAH46" s="478"/>
      <c r="GAI46" s="478"/>
      <c r="GAJ46" s="478"/>
      <c r="GAK46" s="478"/>
      <c r="GAL46" s="478"/>
      <c r="GAM46" s="478"/>
      <c r="GAN46" s="478"/>
      <c r="GAO46" s="478"/>
      <c r="GAP46" s="478"/>
      <c r="GAQ46" s="478"/>
      <c r="GAR46" s="478"/>
      <c r="GAS46" s="478"/>
      <c r="GAT46" s="478"/>
      <c r="GAU46" s="478"/>
      <c r="GAV46" s="478"/>
      <c r="GAW46" s="478"/>
      <c r="GAX46" s="478"/>
      <c r="GAY46" s="478"/>
      <c r="GAZ46" s="478"/>
      <c r="GBA46" s="478"/>
      <c r="GBB46" s="478"/>
      <c r="GBC46" s="478"/>
      <c r="GBD46" s="478"/>
      <c r="GBE46" s="478"/>
      <c r="GBF46" s="478"/>
      <c r="GBG46" s="478"/>
      <c r="GBH46" s="478"/>
      <c r="GBI46" s="478"/>
      <c r="GBJ46" s="478"/>
      <c r="GBK46" s="478"/>
      <c r="GBL46" s="478"/>
      <c r="GBM46" s="478"/>
      <c r="GBN46" s="478"/>
      <c r="GBO46" s="478"/>
      <c r="GBP46" s="478"/>
      <c r="GBQ46" s="478"/>
      <c r="GBR46" s="478"/>
      <c r="GBS46" s="478"/>
      <c r="GBT46" s="478"/>
      <c r="GBU46" s="478"/>
      <c r="GBV46" s="478"/>
      <c r="GBW46" s="478"/>
      <c r="GBX46" s="478"/>
      <c r="GBY46" s="478"/>
      <c r="GBZ46" s="478"/>
      <c r="GCA46" s="478"/>
      <c r="GCB46" s="478"/>
      <c r="GCC46" s="478"/>
      <c r="GCD46" s="478"/>
      <c r="GCE46" s="478"/>
      <c r="GCF46" s="478"/>
      <c r="GCG46" s="478"/>
      <c r="GCH46" s="478"/>
      <c r="GCI46" s="478"/>
      <c r="GCJ46" s="478"/>
      <c r="GCK46" s="478"/>
      <c r="GCL46" s="478"/>
      <c r="GCM46" s="478"/>
      <c r="GCN46" s="478"/>
      <c r="GCO46" s="478"/>
      <c r="GCP46" s="478"/>
      <c r="GCQ46" s="478"/>
      <c r="GCR46" s="478"/>
      <c r="GCS46" s="478"/>
      <c r="GCT46" s="478"/>
      <c r="GCU46" s="478"/>
      <c r="GCV46" s="478"/>
      <c r="GCW46" s="478"/>
      <c r="GCX46" s="478"/>
      <c r="GCY46" s="478"/>
      <c r="GCZ46" s="478"/>
      <c r="GDA46" s="478"/>
      <c r="GDB46" s="478"/>
      <c r="GDC46" s="478"/>
      <c r="GDD46" s="478"/>
      <c r="GDE46" s="478"/>
      <c r="GDF46" s="478"/>
      <c r="GDG46" s="478"/>
      <c r="GDH46" s="478"/>
      <c r="GDI46" s="478"/>
      <c r="GDJ46" s="478"/>
      <c r="GDK46" s="478"/>
      <c r="GDL46" s="478"/>
      <c r="GDM46" s="478"/>
      <c r="GDN46" s="478"/>
      <c r="GDO46" s="478"/>
      <c r="GDP46" s="478"/>
      <c r="GDQ46" s="478"/>
      <c r="GDR46" s="478"/>
      <c r="GDS46" s="478"/>
      <c r="GDT46" s="478"/>
      <c r="GDU46" s="478"/>
      <c r="GDV46" s="478"/>
      <c r="GDW46" s="478"/>
      <c r="GDX46" s="478"/>
      <c r="GDY46" s="478"/>
      <c r="GDZ46" s="478"/>
      <c r="GEA46" s="478"/>
      <c r="GEB46" s="478"/>
      <c r="GEC46" s="478"/>
      <c r="GED46" s="478"/>
      <c r="GEE46" s="478"/>
      <c r="GEF46" s="478"/>
      <c r="GEG46" s="478"/>
      <c r="GEH46" s="478"/>
      <c r="GEI46" s="478"/>
      <c r="GEJ46" s="478"/>
      <c r="GEK46" s="478"/>
      <c r="GEL46" s="478"/>
      <c r="GEM46" s="478"/>
      <c r="GEN46" s="478"/>
      <c r="GEO46" s="478"/>
      <c r="GEP46" s="478"/>
      <c r="GEQ46" s="478"/>
      <c r="GER46" s="478"/>
      <c r="GES46" s="478"/>
      <c r="GET46" s="478"/>
      <c r="GEU46" s="478"/>
      <c r="GEV46" s="478"/>
      <c r="GEW46" s="478"/>
      <c r="GEX46" s="478"/>
      <c r="GEY46" s="478"/>
      <c r="GEZ46" s="478"/>
      <c r="GFA46" s="478"/>
      <c r="GFB46" s="478"/>
      <c r="GFC46" s="478"/>
      <c r="GFD46" s="478"/>
      <c r="GFE46" s="478"/>
      <c r="GFF46" s="478"/>
      <c r="GFG46" s="478"/>
      <c r="GFH46" s="478"/>
      <c r="GFI46" s="478"/>
      <c r="GFJ46" s="478"/>
      <c r="GFK46" s="478"/>
      <c r="GFL46" s="478"/>
      <c r="GFM46" s="478"/>
      <c r="GFN46" s="478"/>
      <c r="GFO46" s="478"/>
      <c r="GFP46" s="478"/>
      <c r="GFQ46" s="478"/>
      <c r="GFR46" s="478"/>
      <c r="GFS46" s="478"/>
      <c r="GFT46" s="478"/>
      <c r="GFU46" s="478"/>
      <c r="GFV46" s="478"/>
      <c r="GFW46" s="478"/>
      <c r="GFX46" s="478"/>
      <c r="GFY46" s="478"/>
      <c r="GFZ46" s="478"/>
      <c r="GGA46" s="478"/>
      <c r="GGB46" s="478"/>
      <c r="GGC46" s="478"/>
      <c r="GGD46" s="478"/>
      <c r="GGE46" s="478"/>
      <c r="GGF46" s="478"/>
      <c r="GGG46" s="478"/>
      <c r="GGH46" s="478"/>
      <c r="GGI46" s="478"/>
      <c r="GGJ46" s="478"/>
      <c r="GGK46" s="478"/>
      <c r="GGL46" s="478"/>
      <c r="GGM46" s="478"/>
      <c r="GGN46" s="478"/>
      <c r="GGO46" s="478"/>
      <c r="GGP46" s="478"/>
      <c r="GGQ46" s="478"/>
      <c r="GGR46" s="478"/>
      <c r="GGS46" s="478"/>
      <c r="GGT46" s="478"/>
      <c r="GGU46" s="478"/>
      <c r="GGV46" s="478"/>
      <c r="GGW46" s="478"/>
      <c r="GGX46" s="478"/>
      <c r="GGY46" s="478"/>
      <c r="GGZ46" s="478"/>
      <c r="GHA46" s="478"/>
      <c r="GHB46" s="478"/>
      <c r="GHC46" s="478"/>
      <c r="GHD46" s="478"/>
      <c r="GHE46" s="478"/>
      <c r="GHF46" s="478"/>
      <c r="GHG46" s="478"/>
      <c r="GHH46" s="478"/>
      <c r="GHI46" s="478"/>
      <c r="GHJ46" s="478"/>
      <c r="GHK46" s="478"/>
      <c r="GHL46" s="478"/>
      <c r="GHM46" s="478"/>
      <c r="GHN46" s="478"/>
      <c r="GHO46" s="478"/>
      <c r="GHP46" s="478"/>
      <c r="GHQ46" s="478"/>
      <c r="GHR46" s="478"/>
      <c r="GHS46" s="478"/>
      <c r="GHT46" s="478"/>
      <c r="GHU46" s="478"/>
      <c r="GHV46" s="478"/>
      <c r="GHW46" s="478"/>
      <c r="GHX46" s="478"/>
      <c r="GHY46" s="478"/>
      <c r="GHZ46" s="478"/>
      <c r="GIA46" s="478"/>
      <c r="GIB46" s="478"/>
      <c r="GIC46" s="478"/>
      <c r="GID46" s="478"/>
      <c r="GIE46" s="478"/>
      <c r="GIF46" s="478"/>
      <c r="GIG46" s="478"/>
      <c r="GIH46" s="478"/>
      <c r="GII46" s="478"/>
      <c r="GIJ46" s="478"/>
      <c r="GIK46" s="478"/>
      <c r="GIL46" s="478"/>
      <c r="GIM46" s="478"/>
      <c r="GIN46" s="478"/>
      <c r="GIO46" s="478"/>
      <c r="GIP46" s="478"/>
      <c r="GIQ46" s="478"/>
      <c r="GIR46" s="478"/>
      <c r="GIS46" s="478"/>
      <c r="GIT46" s="478"/>
      <c r="GIU46" s="478"/>
      <c r="GIV46" s="478"/>
      <c r="GIW46" s="478"/>
      <c r="GIX46" s="478"/>
      <c r="GIY46" s="478"/>
      <c r="GIZ46" s="478"/>
      <c r="GJA46" s="478"/>
      <c r="GJB46" s="478"/>
      <c r="GJC46" s="478"/>
      <c r="GJD46" s="478"/>
      <c r="GJE46" s="478"/>
      <c r="GJF46" s="478"/>
      <c r="GJG46" s="478"/>
      <c r="GJH46" s="478"/>
      <c r="GJI46" s="478"/>
      <c r="GJJ46" s="478"/>
      <c r="GJK46" s="478"/>
      <c r="GJL46" s="478"/>
      <c r="GJM46" s="478"/>
      <c r="GJN46" s="478"/>
      <c r="GJO46" s="478"/>
      <c r="GJP46" s="478"/>
      <c r="GJQ46" s="478"/>
      <c r="GJR46" s="478"/>
      <c r="GJS46" s="478"/>
      <c r="GJT46" s="478"/>
      <c r="GJU46" s="478"/>
      <c r="GJV46" s="478"/>
      <c r="GJW46" s="478"/>
      <c r="GJX46" s="478"/>
      <c r="GJY46" s="478"/>
      <c r="GJZ46" s="478"/>
      <c r="GKA46" s="478"/>
      <c r="GKB46" s="478"/>
      <c r="GKC46" s="478"/>
      <c r="GKD46" s="478"/>
      <c r="GKE46" s="478"/>
      <c r="GKF46" s="478"/>
      <c r="GKG46" s="478"/>
      <c r="GKH46" s="478"/>
      <c r="GKI46" s="478"/>
      <c r="GKJ46" s="478"/>
      <c r="GKK46" s="478"/>
      <c r="GKL46" s="478"/>
      <c r="GKM46" s="478"/>
      <c r="GKN46" s="478"/>
      <c r="GKO46" s="478"/>
      <c r="GKP46" s="478"/>
      <c r="GKQ46" s="478"/>
      <c r="GKR46" s="478"/>
      <c r="GKS46" s="478"/>
      <c r="GKT46" s="478"/>
      <c r="GKU46" s="478"/>
      <c r="GKV46" s="478"/>
      <c r="GKW46" s="478"/>
      <c r="GKX46" s="478"/>
      <c r="GKY46" s="478"/>
      <c r="GKZ46" s="478"/>
      <c r="GLA46" s="478"/>
      <c r="GLB46" s="478"/>
      <c r="GLC46" s="478"/>
      <c r="GLD46" s="478"/>
      <c r="GLE46" s="478"/>
      <c r="GLF46" s="478"/>
      <c r="GLG46" s="478"/>
      <c r="GLH46" s="478"/>
      <c r="GLI46" s="478"/>
      <c r="GLJ46" s="478"/>
      <c r="GLK46" s="478"/>
      <c r="GLL46" s="478"/>
      <c r="GLM46" s="478"/>
      <c r="GLN46" s="478"/>
      <c r="GLO46" s="478"/>
      <c r="GLP46" s="478"/>
      <c r="GLQ46" s="478"/>
      <c r="GLR46" s="478"/>
      <c r="GLS46" s="478"/>
      <c r="GLT46" s="478"/>
      <c r="GLU46" s="478"/>
      <c r="GLV46" s="478"/>
      <c r="GLW46" s="478"/>
      <c r="GLX46" s="478"/>
      <c r="GLY46" s="478"/>
      <c r="GLZ46" s="478"/>
      <c r="GMA46" s="478"/>
      <c r="GMB46" s="478"/>
      <c r="GMC46" s="478"/>
      <c r="GMD46" s="478"/>
      <c r="GME46" s="478"/>
      <c r="GMF46" s="478"/>
      <c r="GMG46" s="478"/>
      <c r="GMH46" s="478"/>
      <c r="GMI46" s="478"/>
      <c r="GMJ46" s="478"/>
      <c r="GMK46" s="478"/>
      <c r="GML46" s="478"/>
      <c r="GMM46" s="478"/>
      <c r="GMN46" s="478"/>
      <c r="GMO46" s="478"/>
      <c r="GMP46" s="478"/>
      <c r="GMQ46" s="478"/>
      <c r="GMR46" s="478"/>
      <c r="GMS46" s="478"/>
      <c r="GMT46" s="478"/>
      <c r="GMU46" s="478"/>
      <c r="GMV46" s="478"/>
      <c r="GMW46" s="478"/>
      <c r="GMX46" s="478"/>
      <c r="GMY46" s="478"/>
      <c r="GMZ46" s="478"/>
      <c r="GNA46" s="478"/>
      <c r="GNB46" s="478"/>
      <c r="GNC46" s="478"/>
      <c r="GND46" s="478"/>
      <c r="GNE46" s="478"/>
      <c r="GNF46" s="478"/>
      <c r="GNG46" s="478"/>
      <c r="GNH46" s="478"/>
      <c r="GNI46" s="478"/>
      <c r="GNJ46" s="478"/>
      <c r="GNK46" s="478"/>
      <c r="GNL46" s="478"/>
      <c r="GNM46" s="478"/>
      <c r="GNN46" s="478"/>
      <c r="GNO46" s="478"/>
      <c r="GNP46" s="478"/>
      <c r="GNQ46" s="478"/>
      <c r="GNR46" s="478"/>
      <c r="GNS46" s="478"/>
      <c r="GNT46" s="478"/>
      <c r="GNU46" s="478"/>
      <c r="GNV46" s="478"/>
      <c r="GNW46" s="478"/>
      <c r="GNX46" s="478"/>
      <c r="GNY46" s="478"/>
      <c r="GNZ46" s="478"/>
      <c r="GOA46" s="478"/>
      <c r="GOB46" s="478"/>
      <c r="GOC46" s="478"/>
      <c r="GOD46" s="478"/>
      <c r="GOE46" s="478"/>
      <c r="GOF46" s="478"/>
      <c r="GOG46" s="478"/>
      <c r="GOH46" s="478"/>
      <c r="GOI46" s="478"/>
      <c r="GOJ46" s="478"/>
      <c r="GOK46" s="478"/>
      <c r="GOL46" s="478"/>
      <c r="GOM46" s="478"/>
      <c r="GON46" s="478"/>
      <c r="GOO46" s="478"/>
      <c r="GOP46" s="478"/>
      <c r="GOQ46" s="478"/>
      <c r="GOR46" s="478"/>
      <c r="GOS46" s="478"/>
      <c r="GOT46" s="478"/>
      <c r="GOU46" s="478"/>
      <c r="GOV46" s="478"/>
      <c r="GOW46" s="478"/>
      <c r="GOX46" s="478"/>
      <c r="GOY46" s="478"/>
      <c r="GOZ46" s="478"/>
      <c r="GPA46" s="478"/>
      <c r="GPB46" s="478"/>
      <c r="GPC46" s="478"/>
      <c r="GPD46" s="478"/>
      <c r="GPE46" s="478"/>
      <c r="GPF46" s="478"/>
      <c r="GPG46" s="478"/>
      <c r="GPH46" s="478"/>
      <c r="GPI46" s="478"/>
      <c r="GPJ46" s="478"/>
      <c r="GPK46" s="478"/>
      <c r="GPL46" s="478"/>
      <c r="GPM46" s="478"/>
      <c r="GPN46" s="478"/>
      <c r="GPO46" s="478"/>
      <c r="GPP46" s="478"/>
      <c r="GPQ46" s="478"/>
      <c r="GPR46" s="478"/>
      <c r="GPS46" s="478"/>
      <c r="GPT46" s="478"/>
      <c r="GPU46" s="478"/>
      <c r="GPV46" s="478"/>
      <c r="GPW46" s="478"/>
      <c r="GPX46" s="478"/>
      <c r="GPY46" s="478"/>
      <c r="GPZ46" s="478"/>
      <c r="GQA46" s="478"/>
      <c r="GQB46" s="478"/>
      <c r="GQC46" s="478"/>
      <c r="GQD46" s="478"/>
      <c r="GQE46" s="478"/>
      <c r="GQF46" s="478"/>
      <c r="GQG46" s="478"/>
      <c r="GQH46" s="478"/>
      <c r="GQI46" s="478"/>
      <c r="GQJ46" s="478"/>
      <c r="GQK46" s="478"/>
      <c r="GQL46" s="478"/>
      <c r="GQM46" s="478"/>
      <c r="GQN46" s="478"/>
      <c r="GQO46" s="478"/>
      <c r="GQP46" s="478"/>
      <c r="GQQ46" s="478"/>
      <c r="GQR46" s="478"/>
      <c r="GQS46" s="478"/>
      <c r="GQT46" s="478"/>
      <c r="GQU46" s="478"/>
      <c r="GQV46" s="478"/>
      <c r="GQW46" s="478"/>
      <c r="GQX46" s="478"/>
      <c r="GQY46" s="478"/>
      <c r="GQZ46" s="478"/>
      <c r="GRA46" s="478"/>
      <c r="GRB46" s="478"/>
      <c r="GRC46" s="478"/>
      <c r="GRD46" s="478"/>
      <c r="GRE46" s="478"/>
      <c r="GRF46" s="478"/>
      <c r="GRG46" s="478"/>
      <c r="GRH46" s="478"/>
      <c r="GRI46" s="478"/>
      <c r="GRJ46" s="478"/>
      <c r="GRK46" s="478"/>
      <c r="GRL46" s="478"/>
      <c r="GRM46" s="478"/>
      <c r="GRN46" s="478"/>
      <c r="GRO46" s="478"/>
      <c r="GRP46" s="478"/>
      <c r="GRQ46" s="478"/>
      <c r="GRR46" s="478"/>
      <c r="GRS46" s="478"/>
      <c r="GRT46" s="478"/>
      <c r="GRU46" s="478"/>
      <c r="GRV46" s="478"/>
      <c r="GRW46" s="478"/>
      <c r="GRX46" s="478"/>
      <c r="GRY46" s="478"/>
      <c r="GRZ46" s="478"/>
      <c r="GSA46" s="478"/>
      <c r="GSB46" s="478"/>
      <c r="GSC46" s="478"/>
      <c r="GSD46" s="478"/>
      <c r="GSE46" s="478"/>
      <c r="GSF46" s="478"/>
      <c r="GSG46" s="478"/>
      <c r="GSH46" s="478"/>
      <c r="GSI46" s="478"/>
      <c r="GSJ46" s="478"/>
      <c r="GSK46" s="478"/>
      <c r="GSL46" s="478"/>
      <c r="GSM46" s="478"/>
      <c r="GSN46" s="478"/>
      <c r="GSO46" s="478"/>
      <c r="GSP46" s="478"/>
      <c r="GSQ46" s="478"/>
      <c r="GSR46" s="478"/>
      <c r="GSS46" s="478"/>
      <c r="GST46" s="478"/>
      <c r="GSU46" s="478"/>
      <c r="GSV46" s="478"/>
      <c r="GSW46" s="478"/>
      <c r="GSX46" s="478"/>
      <c r="GSY46" s="478"/>
      <c r="GSZ46" s="478"/>
      <c r="GTA46" s="478"/>
      <c r="GTB46" s="478"/>
      <c r="GTC46" s="478"/>
      <c r="GTD46" s="478"/>
      <c r="GTE46" s="478"/>
      <c r="GTF46" s="478"/>
      <c r="GTG46" s="478"/>
      <c r="GTH46" s="478"/>
      <c r="GTI46" s="478"/>
      <c r="GTJ46" s="478"/>
      <c r="GTK46" s="478"/>
      <c r="GTL46" s="478"/>
      <c r="GTM46" s="478"/>
      <c r="GTN46" s="478"/>
      <c r="GTO46" s="478"/>
      <c r="GTP46" s="478"/>
      <c r="GTQ46" s="478"/>
      <c r="GTR46" s="478"/>
      <c r="GTS46" s="478"/>
      <c r="GTT46" s="478"/>
      <c r="GTU46" s="478"/>
      <c r="GTV46" s="478"/>
      <c r="GTW46" s="478"/>
      <c r="GTX46" s="478"/>
      <c r="GTY46" s="478"/>
      <c r="GTZ46" s="478"/>
      <c r="GUA46" s="478"/>
      <c r="GUB46" s="478"/>
      <c r="GUC46" s="478"/>
      <c r="GUD46" s="478"/>
      <c r="GUE46" s="478"/>
      <c r="GUF46" s="478"/>
      <c r="GUG46" s="478"/>
      <c r="GUH46" s="478"/>
      <c r="GUI46" s="478"/>
      <c r="GUJ46" s="478"/>
      <c r="GUK46" s="478"/>
      <c r="GUL46" s="478"/>
      <c r="GUM46" s="478"/>
      <c r="GUN46" s="478"/>
      <c r="GUO46" s="478"/>
      <c r="GUP46" s="478"/>
      <c r="GUQ46" s="478"/>
      <c r="GUR46" s="478"/>
      <c r="GUS46" s="478"/>
      <c r="GUT46" s="478"/>
      <c r="GUU46" s="478"/>
      <c r="GUV46" s="478"/>
      <c r="GUW46" s="478"/>
      <c r="GUX46" s="478"/>
      <c r="GUY46" s="478"/>
      <c r="GUZ46" s="478"/>
      <c r="GVA46" s="478"/>
      <c r="GVB46" s="478"/>
      <c r="GVC46" s="478"/>
      <c r="GVD46" s="478"/>
      <c r="GVE46" s="478"/>
      <c r="GVF46" s="478"/>
      <c r="GVG46" s="478"/>
      <c r="GVH46" s="478"/>
      <c r="GVI46" s="478"/>
      <c r="GVJ46" s="478"/>
      <c r="GVK46" s="478"/>
      <c r="GVL46" s="478"/>
      <c r="GVM46" s="478"/>
      <c r="GVN46" s="478"/>
      <c r="GVO46" s="478"/>
      <c r="GVP46" s="478"/>
      <c r="GVQ46" s="478"/>
      <c r="GVR46" s="478"/>
      <c r="GVS46" s="478"/>
      <c r="GVT46" s="478"/>
      <c r="GVU46" s="478"/>
      <c r="GVV46" s="478"/>
      <c r="GVW46" s="478"/>
      <c r="GVX46" s="478"/>
      <c r="GVY46" s="478"/>
      <c r="GVZ46" s="478"/>
      <c r="GWA46" s="478"/>
      <c r="GWB46" s="478"/>
      <c r="GWC46" s="478"/>
      <c r="GWD46" s="478"/>
      <c r="GWE46" s="478"/>
      <c r="GWF46" s="478"/>
      <c r="GWG46" s="478"/>
      <c r="GWH46" s="478"/>
      <c r="GWI46" s="478"/>
      <c r="GWJ46" s="478"/>
      <c r="GWK46" s="478"/>
      <c r="GWL46" s="478"/>
      <c r="GWM46" s="478"/>
      <c r="GWN46" s="478"/>
      <c r="GWO46" s="478"/>
      <c r="GWP46" s="478"/>
      <c r="GWQ46" s="478"/>
      <c r="GWR46" s="478"/>
      <c r="GWS46" s="478"/>
      <c r="GWT46" s="478"/>
      <c r="GWU46" s="478"/>
      <c r="GWV46" s="478"/>
      <c r="GWW46" s="478"/>
      <c r="GWX46" s="478"/>
      <c r="GWY46" s="478"/>
      <c r="GWZ46" s="478"/>
      <c r="GXA46" s="478"/>
      <c r="GXB46" s="478"/>
      <c r="GXC46" s="478"/>
      <c r="GXD46" s="478"/>
      <c r="GXE46" s="478"/>
      <c r="GXF46" s="478"/>
      <c r="GXG46" s="478"/>
      <c r="GXH46" s="478"/>
      <c r="GXI46" s="478"/>
      <c r="GXJ46" s="478"/>
      <c r="GXK46" s="478"/>
      <c r="GXL46" s="478"/>
      <c r="GXM46" s="478"/>
      <c r="GXN46" s="478"/>
      <c r="GXO46" s="478"/>
      <c r="GXP46" s="478"/>
      <c r="GXQ46" s="478"/>
      <c r="GXR46" s="478"/>
      <c r="GXS46" s="478"/>
      <c r="GXT46" s="478"/>
      <c r="GXU46" s="478"/>
      <c r="GXV46" s="478"/>
      <c r="GXW46" s="478"/>
      <c r="GXX46" s="478"/>
      <c r="GXY46" s="478"/>
      <c r="GXZ46" s="478"/>
      <c r="GYA46" s="478"/>
      <c r="GYB46" s="478"/>
      <c r="GYC46" s="478"/>
      <c r="GYD46" s="478"/>
      <c r="GYE46" s="478"/>
      <c r="GYF46" s="478"/>
      <c r="GYG46" s="478"/>
      <c r="GYH46" s="478"/>
      <c r="GYI46" s="478"/>
      <c r="GYJ46" s="478"/>
      <c r="GYK46" s="478"/>
      <c r="GYL46" s="478"/>
      <c r="GYM46" s="478"/>
      <c r="GYN46" s="478"/>
      <c r="GYO46" s="478"/>
      <c r="GYP46" s="478"/>
      <c r="GYQ46" s="478"/>
      <c r="GYR46" s="478"/>
      <c r="GYS46" s="478"/>
      <c r="GYT46" s="478"/>
      <c r="GYU46" s="478"/>
      <c r="GYV46" s="478"/>
      <c r="GYW46" s="478"/>
      <c r="GYX46" s="478"/>
      <c r="GYY46" s="478"/>
      <c r="GYZ46" s="478"/>
      <c r="GZA46" s="478"/>
      <c r="GZB46" s="478"/>
      <c r="GZC46" s="478"/>
      <c r="GZD46" s="478"/>
      <c r="GZE46" s="478"/>
      <c r="GZF46" s="478"/>
      <c r="GZG46" s="478"/>
      <c r="GZH46" s="478"/>
      <c r="GZI46" s="478"/>
      <c r="GZJ46" s="478"/>
      <c r="GZK46" s="478"/>
      <c r="GZL46" s="478"/>
      <c r="GZM46" s="478"/>
      <c r="GZN46" s="478"/>
      <c r="GZO46" s="478"/>
      <c r="GZP46" s="478"/>
      <c r="GZQ46" s="478"/>
      <c r="GZR46" s="478"/>
      <c r="GZS46" s="478"/>
      <c r="GZT46" s="478"/>
      <c r="GZU46" s="478"/>
      <c r="GZV46" s="478"/>
      <c r="GZW46" s="478"/>
      <c r="GZX46" s="478"/>
      <c r="GZY46" s="478"/>
      <c r="GZZ46" s="478"/>
      <c r="HAA46" s="478"/>
      <c r="HAB46" s="478"/>
      <c r="HAC46" s="478"/>
      <c r="HAD46" s="478"/>
      <c r="HAE46" s="478"/>
      <c r="HAF46" s="478"/>
      <c r="HAG46" s="478"/>
      <c r="HAH46" s="478"/>
      <c r="HAI46" s="478"/>
      <c r="HAJ46" s="478"/>
      <c r="HAK46" s="478"/>
      <c r="HAL46" s="478"/>
      <c r="HAM46" s="478"/>
      <c r="HAN46" s="478"/>
      <c r="HAO46" s="478"/>
      <c r="HAP46" s="478"/>
      <c r="HAQ46" s="478"/>
      <c r="HAR46" s="478"/>
      <c r="HAS46" s="478"/>
      <c r="HAT46" s="478"/>
      <c r="HAU46" s="478"/>
      <c r="HAV46" s="478"/>
      <c r="HAW46" s="478"/>
      <c r="HAX46" s="478"/>
      <c r="HAY46" s="478"/>
      <c r="HAZ46" s="478"/>
      <c r="HBA46" s="478"/>
      <c r="HBB46" s="478"/>
      <c r="HBC46" s="478"/>
      <c r="HBD46" s="478"/>
      <c r="HBE46" s="478"/>
      <c r="HBF46" s="478"/>
      <c r="HBG46" s="478"/>
      <c r="HBH46" s="478"/>
      <c r="HBI46" s="478"/>
      <c r="HBJ46" s="478"/>
      <c r="HBK46" s="478"/>
      <c r="HBL46" s="478"/>
      <c r="HBM46" s="478"/>
      <c r="HBN46" s="478"/>
      <c r="HBO46" s="478"/>
      <c r="HBP46" s="478"/>
      <c r="HBQ46" s="478"/>
      <c r="HBR46" s="478"/>
      <c r="HBS46" s="478"/>
      <c r="HBT46" s="478"/>
      <c r="HBU46" s="478"/>
      <c r="HBV46" s="478"/>
      <c r="HBW46" s="478"/>
      <c r="HBX46" s="478"/>
      <c r="HBY46" s="478"/>
      <c r="HBZ46" s="478"/>
      <c r="HCA46" s="478"/>
      <c r="HCB46" s="478"/>
      <c r="HCC46" s="478"/>
      <c r="HCD46" s="478"/>
      <c r="HCE46" s="478"/>
      <c r="HCF46" s="478"/>
      <c r="HCG46" s="478"/>
      <c r="HCH46" s="478"/>
      <c r="HCI46" s="478"/>
      <c r="HCJ46" s="478"/>
      <c r="HCK46" s="478"/>
      <c r="HCL46" s="478"/>
      <c r="HCM46" s="478"/>
      <c r="HCN46" s="478"/>
      <c r="HCO46" s="478"/>
      <c r="HCP46" s="478"/>
      <c r="HCQ46" s="478"/>
      <c r="HCR46" s="478"/>
      <c r="HCS46" s="478"/>
      <c r="HCT46" s="478"/>
      <c r="HCU46" s="478"/>
      <c r="HCV46" s="478"/>
      <c r="HCW46" s="478"/>
      <c r="HCX46" s="478"/>
      <c r="HCY46" s="478"/>
      <c r="HCZ46" s="478"/>
      <c r="HDA46" s="478"/>
      <c r="HDB46" s="478"/>
      <c r="HDC46" s="478"/>
      <c r="HDD46" s="478"/>
      <c r="HDE46" s="478"/>
      <c r="HDF46" s="478"/>
      <c r="HDG46" s="478"/>
      <c r="HDH46" s="478"/>
      <c r="HDI46" s="478"/>
      <c r="HDJ46" s="478"/>
      <c r="HDK46" s="478"/>
      <c r="HDL46" s="478"/>
      <c r="HDM46" s="478"/>
      <c r="HDN46" s="478"/>
      <c r="HDO46" s="478"/>
      <c r="HDP46" s="478"/>
      <c r="HDQ46" s="478"/>
      <c r="HDR46" s="478"/>
      <c r="HDS46" s="478"/>
      <c r="HDT46" s="478"/>
      <c r="HDU46" s="478"/>
      <c r="HDV46" s="478"/>
      <c r="HDW46" s="478"/>
      <c r="HDX46" s="478"/>
      <c r="HDY46" s="478"/>
      <c r="HDZ46" s="478"/>
      <c r="HEA46" s="478"/>
      <c r="HEB46" s="478"/>
      <c r="HEC46" s="478"/>
      <c r="HED46" s="478"/>
      <c r="HEE46" s="478"/>
      <c r="HEF46" s="478"/>
      <c r="HEG46" s="478"/>
      <c r="HEH46" s="478"/>
      <c r="HEI46" s="478"/>
      <c r="HEJ46" s="478"/>
      <c r="HEK46" s="478"/>
      <c r="HEL46" s="478"/>
      <c r="HEM46" s="478"/>
      <c r="HEN46" s="478"/>
      <c r="HEO46" s="478"/>
      <c r="HEP46" s="478"/>
      <c r="HEQ46" s="478"/>
      <c r="HER46" s="478"/>
      <c r="HES46" s="478"/>
      <c r="HET46" s="478"/>
      <c r="HEU46" s="478"/>
      <c r="HEV46" s="478"/>
      <c r="HEW46" s="478"/>
      <c r="HEX46" s="478"/>
      <c r="HEY46" s="478"/>
      <c r="HEZ46" s="478"/>
      <c r="HFA46" s="478"/>
      <c r="HFB46" s="478"/>
      <c r="HFC46" s="478"/>
      <c r="HFD46" s="478"/>
      <c r="HFE46" s="478"/>
      <c r="HFF46" s="478"/>
      <c r="HFG46" s="478"/>
      <c r="HFH46" s="478"/>
      <c r="HFI46" s="478"/>
      <c r="HFJ46" s="478"/>
      <c r="HFK46" s="478"/>
      <c r="HFL46" s="478"/>
      <c r="HFM46" s="478"/>
      <c r="HFN46" s="478"/>
      <c r="HFO46" s="478"/>
      <c r="HFP46" s="478"/>
      <c r="HFQ46" s="478"/>
      <c r="HFR46" s="478"/>
      <c r="HFS46" s="478"/>
      <c r="HFT46" s="478"/>
      <c r="HFU46" s="478"/>
      <c r="HFV46" s="478"/>
      <c r="HFW46" s="478"/>
      <c r="HFX46" s="478"/>
      <c r="HFY46" s="478"/>
      <c r="HFZ46" s="478"/>
      <c r="HGA46" s="478"/>
      <c r="HGB46" s="478"/>
      <c r="HGC46" s="478"/>
      <c r="HGD46" s="478"/>
      <c r="HGE46" s="478"/>
      <c r="HGF46" s="478"/>
      <c r="HGG46" s="478"/>
      <c r="HGH46" s="478"/>
      <c r="HGI46" s="478"/>
      <c r="HGJ46" s="478"/>
      <c r="HGK46" s="478"/>
      <c r="HGL46" s="478"/>
      <c r="HGM46" s="478"/>
      <c r="HGN46" s="478"/>
      <c r="HGO46" s="478"/>
      <c r="HGP46" s="478"/>
      <c r="HGQ46" s="478"/>
      <c r="HGR46" s="478"/>
      <c r="HGS46" s="478"/>
      <c r="HGT46" s="478"/>
      <c r="HGU46" s="478"/>
      <c r="HGV46" s="478"/>
      <c r="HGW46" s="478"/>
      <c r="HGX46" s="478"/>
      <c r="HGY46" s="478"/>
      <c r="HGZ46" s="478"/>
      <c r="HHA46" s="478"/>
      <c r="HHB46" s="478"/>
      <c r="HHC46" s="478"/>
      <c r="HHD46" s="478"/>
      <c r="HHE46" s="478"/>
      <c r="HHF46" s="478"/>
      <c r="HHG46" s="478"/>
      <c r="HHH46" s="478"/>
      <c r="HHI46" s="478"/>
      <c r="HHJ46" s="478"/>
      <c r="HHK46" s="478"/>
      <c r="HHL46" s="478"/>
      <c r="HHM46" s="478"/>
      <c r="HHN46" s="478"/>
      <c r="HHO46" s="478"/>
      <c r="HHP46" s="478"/>
      <c r="HHQ46" s="478"/>
      <c r="HHR46" s="478"/>
      <c r="HHS46" s="478"/>
      <c r="HHT46" s="478"/>
      <c r="HHU46" s="478"/>
      <c r="HHV46" s="478"/>
      <c r="HHW46" s="478"/>
      <c r="HHX46" s="478"/>
      <c r="HHY46" s="478"/>
      <c r="HHZ46" s="478"/>
      <c r="HIA46" s="478"/>
      <c r="HIB46" s="478"/>
      <c r="HIC46" s="478"/>
      <c r="HID46" s="478"/>
      <c r="HIE46" s="478"/>
      <c r="HIF46" s="478"/>
      <c r="HIG46" s="478"/>
      <c r="HIH46" s="478"/>
      <c r="HII46" s="478"/>
      <c r="HIJ46" s="478"/>
      <c r="HIK46" s="478"/>
      <c r="HIL46" s="478"/>
      <c r="HIM46" s="478"/>
      <c r="HIN46" s="478"/>
      <c r="HIO46" s="478"/>
      <c r="HIP46" s="478"/>
      <c r="HIQ46" s="478"/>
      <c r="HIR46" s="478"/>
      <c r="HIS46" s="478"/>
      <c r="HIT46" s="478"/>
      <c r="HIU46" s="478"/>
      <c r="HIV46" s="478"/>
      <c r="HIW46" s="478"/>
      <c r="HIX46" s="478"/>
      <c r="HIY46" s="478"/>
      <c r="HIZ46" s="478"/>
      <c r="HJA46" s="478"/>
      <c r="HJB46" s="478"/>
      <c r="HJC46" s="478"/>
      <c r="HJD46" s="478"/>
      <c r="HJE46" s="478"/>
      <c r="HJF46" s="478"/>
      <c r="HJG46" s="478"/>
      <c r="HJH46" s="478"/>
      <c r="HJI46" s="478"/>
      <c r="HJJ46" s="478"/>
      <c r="HJK46" s="478"/>
      <c r="HJL46" s="478"/>
      <c r="HJM46" s="478"/>
      <c r="HJN46" s="478"/>
      <c r="HJO46" s="478"/>
      <c r="HJP46" s="478"/>
      <c r="HJQ46" s="478"/>
      <c r="HJR46" s="478"/>
      <c r="HJS46" s="478"/>
      <c r="HJT46" s="478"/>
      <c r="HJU46" s="478"/>
      <c r="HJV46" s="478"/>
      <c r="HJW46" s="478"/>
      <c r="HJX46" s="478"/>
      <c r="HJY46" s="478"/>
      <c r="HJZ46" s="478"/>
      <c r="HKA46" s="478"/>
      <c r="HKB46" s="478"/>
      <c r="HKC46" s="478"/>
      <c r="HKD46" s="478"/>
      <c r="HKE46" s="478"/>
      <c r="HKF46" s="478"/>
      <c r="HKG46" s="478"/>
      <c r="HKH46" s="478"/>
      <c r="HKI46" s="478"/>
      <c r="HKJ46" s="478"/>
      <c r="HKK46" s="478"/>
      <c r="HKL46" s="478"/>
      <c r="HKM46" s="478"/>
      <c r="HKN46" s="478"/>
      <c r="HKO46" s="478"/>
      <c r="HKP46" s="478"/>
      <c r="HKQ46" s="478"/>
      <c r="HKR46" s="478"/>
      <c r="HKS46" s="478"/>
      <c r="HKT46" s="478"/>
      <c r="HKU46" s="478"/>
      <c r="HKV46" s="478"/>
      <c r="HKW46" s="478"/>
      <c r="HKX46" s="478"/>
      <c r="HKY46" s="478"/>
      <c r="HKZ46" s="478"/>
      <c r="HLA46" s="478"/>
      <c r="HLB46" s="478"/>
      <c r="HLC46" s="478"/>
      <c r="HLD46" s="478"/>
      <c r="HLE46" s="478"/>
      <c r="HLF46" s="478"/>
      <c r="HLG46" s="478"/>
      <c r="HLH46" s="478"/>
      <c r="HLI46" s="478"/>
      <c r="HLJ46" s="478"/>
      <c r="HLK46" s="478"/>
      <c r="HLL46" s="478"/>
      <c r="HLM46" s="478"/>
      <c r="HLN46" s="478"/>
      <c r="HLO46" s="478"/>
      <c r="HLP46" s="478"/>
      <c r="HLQ46" s="478"/>
      <c r="HLR46" s="478"/>
      <c r="HLS46" s="478"/>
      <c r="HLT46" s="478"/>
      <c r="HLU46" s="478"/>
      <c r="HLV46" s="478"/>
      <c r="HLW46" s="478"/>
      <c r="HLX46" s="478"/>
      <c r="HLY46" s="478"/>
      <c r="HLZ46" s="478"/>
      <c r="HMA46" s="478"/>
      <c r="HMB46" s="478"/>
      <c r="HMC46" s="478"/>
      <c r="HMD46" s="478"/>
      <c r="HME46" s="478"/>
      <c r="HMF46" s="478"/>
      <c r="HMG46" s="478"/>
      <c r="HMH46" s="478"/>
      <c r="HMI46" s="478"/>
      <c r="HMJ46" s="478"/>
      <c r="HMK46" s="478"/>
      <c r="HML46" s="478"/>
      <c r="HMM46" s="478"/>
      <c r="HMN46" s="478"/>
      <c r="HMO46" s="478"/>
      <c r="HMP46" s="478"/>
      <c r="HMQ46" s="478"/>
      <c r="HMR46" s="478"/>
      <c r="HMS46" s="478"/>
      <c r="HMT46" s="478"/>
      <c r="HMU46" s="478"/>
      <c r="HMV46" s="478"/>
      <c r="HMW46" s="478"/>
      <c r="HMX46" s="478"/>
      <c r="HMY46" s="478"/>
      <c r="HMZ46" s="478"/>
      <c r="HNA46" s="478"/>
      <c r="HNB46" s="478"/>
      <c r="HNC46" s="478"/>
      <c r="HND46" s="478"/>
      <c r="HNE46" s="478"/>
      <c r="HNF46" s="478"/>
      <c r="HNG46" s="478"/>
      <c r="HNH46" s="478"/>
      <c r="HNI46" s="478"/>
      <c r="HNJ46" s="478"/>
      <c r="HNK46" s="478"/>
      <c r="HNL46" s="478"/>
      <c r="HNM46" s="478"/>
      <c r="HNN46" s="478"/>
      <c r="HNO46" s="478"/>
      <c r="HNP46" s="478"/>
      <c r="HNQ46" s="478"/>
      <c r="HNR46" s="478"/>
      <c r="HNS46" s="478"/>
      <c r="HNT46" s="478"/>
      <c r="HNU46" s="478"/>
      <c r="HNV46" s="478"/>
      <c r="HNW46" s="478"/>
      <c r="HNX46" s="478"/>
      <c r="HNY46" s="478"/>
      <c r="HNZ46" s="478"/>
      <c r="HOA46" s="478"/>
      <c r="HOB46" s="478"/>
      <c r="HOC46" s="478"/>
      <c r="HOD46" s="478"/>
      <c r="HOE46" s="478"/>
      <c r="HOF46" s="478"/>
      <c r="HOG46" s="478"/>
      <c r="HOH46" s="478"/>
      <c r="HOI46" s="478"/>
      <c r="HOJ46" s="478"/>
      <c r="HOK46" s="478"/>
      <c r="HOL46" s="478"/>
      <c r="HOM46" s="478"/>
      <c r="HON46" s="478"/>
      <c r="HOO46" s="478"/>
      <c r="HOP46" s="478"/>
      <c r="HOQ46" s="478"/>
      <c r="HOR46" s="478"/>
      <c r="HOS46" s="478"/>
      <c r="HOT46" s="478"/>
      <c r="HOU46" s="478"/>
      <c r="HOV46" s="478"/>
      <c r="HOW46" s="478"/>
      <c r="HOX46" s="478"/>
      <c r="HOY46" s="478"/>
      <c r="HOZ46" s="478"/>
      <c r="HPA46" s="478"/>
      <c r="HPB46" s="478"/>
      <c r="HPC46" s="478"/>
      <c r="HPD46" s="478"/>
      <c r="HPE46" s="478"/>
      <c r="HPF46" s="478"/>
      <c r="HPG46" s="478"/>
      <c r="HPH46" s="478"/>
      <c r="HPI46" s="478"/>
      <c r="HPJ46" s="478"/>
      <c r="HPK46" s="478"/>
      <c r="HPL46" s="478"/>
      <c r="HPM46" s="478"/>
      <c r="HPN46" s="478"/>
      <c r="HPO46" s="478"/>
      <c r="HPP46" s="478"/>
      <c r="HPQ46" s="478"/>
      <c r="HPR46" s="478"/>
      <c r="HPS46" s="478"/>
      <c r="HPT46" s="478"/>
      <c r="HPU46" s="478"/>
      <c r="HPV46" s="478"/>
      <c r="HPW46" s="478"/>
      <c r="HPX46" s="478"/>
      <c r="HPY46" s="478"/>
      <c r="HPZ46" s="478"/>
      <c r="HQA46" s="478"/>
      <c r="HQB46" s="478"/>
      <c r="HQC46" s="478"/>
      <c r="HQD46" s="478"/>
      <c r="HQE46" s="478"/>
      <c r="HQF46" s="478"/>
      <c r="HQG46" s="478"/>
      <c r="HQH46" s="478"/>
      <c r="HQI46" s="478"/>
      <c r="HQJ46" s="478"/>
      <c r="HQK46" s="478"/>
      <c r="HQL46" s="478"/>
      <c r="HQM46" s="478"/>
      <c r="HQN46" s="478"/>
      <c r="HQO46" s="478"/>
      <c r="HQP46" s="478"/>
      <c r="HQQ46" s="478"/>
      <c r="HQR46" s="478"/>
      <c r="HQS46" s="478"/>
      <c r="HQT46" s="478"/>
      <c r="HQU46" s="478"/>
      <c r="HQV46" s="478"/>
      <c r="HQW46" s="478"/>
      <c r="HQX46" s="478"/>
      <c r="HQY46" s="478"/>
      <c r="HQZ46" s="478"/>
      <c r="HRA46" s="478"/>
      <c r="HRB46" s="478"/>
      <c r="HRC46" s="478"/>
      <c r="HRD46" s="478"/>
      <c r="HRE46" s="478"/>
      <c r="HRF46" s="478"/>
      <c r="HRG46" s="478"/>
      <c r="HRH46" s="478"/>
      <c r="HRI46" s="478"/>
      <c r="HRJ46" s="478"/>
      <c r="HRK46" s="478"/>
      <c r="HRL46" s="478"/>
      <c r="HRM46" s="478"/>
      <c r="HRN46" s="478"/>
      <c r="HRO46" s="478"/>
      <c r="HRP46" s="478"/>
      <c r="HRQ46" s="478"/>
      <c r="HRR46" s="478"/>
      <c r="HRS46" s="478"/>
      <c r="HRT46" s="478"/>
      <c r="HRU46" s="478"/>
      <c r="HRV46" s="478"/>
      <c r="HRW46" s="478"/>
      <c r="HRX46" s="478"/>
      <c r="HRY46" s="478"/>
      <c r="HRZ46" s="478"/>
      <c r="HSA46" s="478"/>
      <c r="HSB46" s="478"/>
      <c r="HSC46" s="478"/>
      <c r="HSD46" s="478"/>
      <c r="HSE46" s="478"/>
      <c r="HSF46" s="478"/>
      <c r="HSG46" s="478"/>
      <c r="HSH46" s="478"/>
      <c r="HSI46" s="478"/>
      <c r="HSJ46" s="478"/>
      <c r="HSK46" s="478"/>
      <c r="HSL46" s="478"/>
      <c r="HSM46" s="478"/>
      <c r="HSN46" s="478"/>
      <c r="HSO46" s="478"/>
      <c r="HSP46" s="478"/>
      <c r="HSQ46" s="478"/>
      <c r="HSR46" s="478"/>
      <c r="HSS46" s="478"/>
      <c r="HST46" s="478"/>
      <c r="HSU46" s="478"/>
      <c r="HSV46" s="478"/>
      <c r="HSW46" s="478"/>
      <c r="HSX46" s="478"/>
      <c r="HSY46" s="478"/>
      <c r="HSZ46" s="478"/>
      <c r="HTA46" s="478"/>
      <c r="HTB46" s="478"/>
      <c r="HTC46" s="478"/>
      <c r="HTD46" s="478"/>
      <c r="HTE46" s="478"/>
      <c r="HTF46" s="478"/>
      <c r="HTG46" s="478"/>
      <c r="HTH46" s="478"/>
      <c r="HTI46" s="478"/>
      <c r="HTJ46" s="478"/>
      <c r="HTK46" s="478"/>
      <c r="HTL46" s="478"/>
      <c r="HTM46" s="478"/>
      <c r="HTN46" s="478"/>
      <c r="HTO46" s="478"/>
      <c r="HTP46" s="478"/>
      <c r="HTQ46" s="478"/>
      <c r="HTR46" s="478"/>
      <c r="HTS46" s="478"/>
      <c r="HTT46" s="478"/>
      <c r="HTU46" s="478"/>
      <c r="HTV46" s="478"/>
      <c r="HTW46" s="478"/>
      <c r="HTX46" s="478"/>
      <c r="HTY46" s="478"/>
      <c r="HTZ46" s="478"/>
      <c r="HUA46" s="478"/>
      <c r="HUB46" s="478"/>
      <c r="HUC46" s="478"/>
      <c r="HUD46" s="478"/>
      <c r="HUE46" s="478"/>
      <c r="HUF46" s="478"/>
      <c r="HUG46" s="478"/>
      <c r="HUH46" s="478"/>
      <c r="HUI46" s="478"/>
      <c r="HUJ46" s="478"/>
      <c r="HUK46" s="478"/>
      <c r="HUL46" s="478"/>
      <c r="HUM46" s="478"/>
      <c r="HUN46" s="478"/>
      <c r="HUO46" s="478"/>
      <c r="HUP46" s="478"/>
      <c r="HUQ46" s="478"/>
      <c r="HUR46" s="478"/>
      <c r="HUS46" s="478"/>
      <c r="HUT46" s="478"/>
      <c r="HUU46" s="478"/>
      <c r="HUV46" s="478"/>
      <c r="HUW46" s="478"/>
      <c r="HUX46" s="478"/>
      <c r="HUY46" s="478"/>
      <c r="HUZ46" s="478"/>
      <c r="HVA46" s="478"/>
      <c r="HVB46" s="478"/>
      <c r="HVC46" s="478"/>
      <c r="HVD46" s="478"/>
      <c r="HVE46" s="478"/>
      <c r="HVF46" s="478"/>
      <c r="HVG46" s="478"/>
      <c r="HVH46" s="478"/>
      <c r="HVI46" s="478"/>
      <c r="HVJ46" s="478"/>
      <c r="HVK46" s="478"/>
      <c r="HVL46" s="478"/>
      <c r="HVM46" s="478"/>
      <c r="HVN46" s="478"/>
      <c r="HVO46" s="478"/>
      <c r="HVP46" s="478"/>
      <c r="HVQ46" s="478"/>
      <c r="HVR46" s="478"/>
      <c r="HVS46" s="478"/>
      <c r="HVT46" s="478"/>
      <c r="HVU46" s="478"/>
      <c r="HVV46" s="478"/>
      <c r="HVW46" s="478"/>
      <c r="HVX46" s="478"/>
      <c r="HVY46" s="478"/>
      <c r="HVZ46" s="478"/>
      <c r="HWA46" s="478"/>
      <c r="HWB46" s="478"/>
      <c r="HWC46" s="478"/>
      <c r="HWD46" s="478"/>
      <c r="HWE46" s="478"/>
      <c r="HWF46" s="478"/>
      <c r="HWG46" s="478"/>
      <c r="HWH46" s="478"/>
      <c r="HWI46" s="478"/>
      <c r="HWJ46" s="478"/>
      <c r="HWK46" s="478"/>
      <c r="HWL46" s="478"/>
      <c r="HWM46" s="478"/>
      <c r="HWN46" s="478"/>
      <c r="HWO46" s="478"/>
      <c r="HWP46" s="478"/>
      <c r="HWQ46" s="478"/>
      <c r="HWR46" s="478"/>
      <c r="HWS46" s="478"/>
      <c r="HWT46" s="478"/>
      <c r="HWU46" s="478"/>
      <c r="HWV46" s="478"/>
      <c r="HWW46" s="478"/>
      <c r="HWX46" s="478"/>
      <c r="HWY46" s="478"/>
      <c r="HWZ46" s="478"/>
      <c r="HXA46" s="478"/>
      <c r="HXB46" s="478"/>
      <c r="HXC46" s="478"/>
      <c r="HXD46" s="478"/>
      <c r="HXE46" s="478"/>
      <c r="HXF46" s="478"/>
      <c r="HXG46" s="478"/>
      <c r="HXH46" s="478"/>
      <c r="HXI46" s="478"/>
      <c r="HXJ46" s="478"/>
      <c r="HXK46" s="478"/>
      <c r="HXL46" s="478"/>
      <c r="HXM46" s="478"/>
      <c r="HXN46" s="478"/>
      <c r="HXO46" s="478"/>
      <c r="HXP46" s="478"/>
      <c r="HXQ46" s="478"/>
      <c r="HXR46" s="478"/>
      <c r="HXS46" s="478"/>
      <c r="HXT46" s="478"/>
      <c r="HXU46" s="478"/>
      <c r="HXV46" s="478"/>
      <c r="HXW46" s="478"/>
      <c r="HXX46" s="478"/>
      <c r="HXY46" s="478"/>
      <c r="HXZ46" s="478"/>
      <c r="HYA46" s="478"/>
      <c r="HYB46" s="478"/>
      <c r="HYC46" s="478"/>
      <c r="HYD46" s="478"/>
      <c r="HYE46" s="478"/>
      <c r="HYF46" s="478"/>
      <c r="HYG46" s="478"/>
      <c r="HYH46" s="478"/>
      <c r="HYI46" s="478"/>
      <c r="HYJ46" s="478"/>
      <c r="HYK46" s="478"/>
      <c r="HYL46" s="478"/>
      <c r="HYM46" s="478"/>
      <c r="HYN46" s="478"/>
      <c r="HYO46" s="478"/>
      <c r="HYP46" s="478"/>
      <c r="HYQ46" s="478"/>
      <c r="HYR46" s="478"/>
      <c r="HYS46" s="478"/>
      <c r="HYT46" s="478"/>
      <c r="HYU46" s="478"/>
      <c r="HYV46" s="478"/>
      <c r="HYW46" s="478"/>
      <c r="HYX46" s="478"/>
      <c r="HYY46" s="478"/>
      <c r="HYZ46" s="478"/>
      <c r="HZA46" s="478"/>
      <c r="HZB46" s="478"/>
      <c r="HZC46" s="478"/>
      <c r="HZD46" s="478"/>
      <c r="HZE46" s="478"/>
      <c r="HZF46" s="478"/>
      <c r="HZG46" s="478"/>
      <c r="HZH46" s="478"/>
      <c r="HZI46" s="478"/>
      <c r="HZJ46" s="478"/>
      <c r="HZK46" s="478"/>
      <c r="HZL46" s="478"/>
      <c r="HZM46" s="478"/>
      <c r="HZN46" s="478"/>
      <c r="HZO46" s="478"/>
      <c r="HZP46" s="478"/>
      <c r="HZQ46" s="478"/>
      <c r="HZR46" s="478"/>
      <c r="HZS46" s="478"/>
      <c r="HZT46" s="478"/>
      <c r="HZU46" s="478"/>
      <c r="HZV46" s="478"/>
      <c r="HZW46" s="478"/>
      <c r="HZX46" s="478"/>
      <c r="HZY46" s="478"/>
      <c r="HZZ46" s="478"/>
      <c r="IAA46" s="478"/>
      <c r="IAB46" s="478"/>
      <c r="IAC46" s="478"/>
      <c r="IAD46" s="478"/>
      <c r="IAE46" s="478"/>
      <c r="IAF46" s="478"/>
      <c r="IAG46" s="478"/>
      <c r="IAH46" s="478"/>
      <c r="IAI46" s="478"/>
      <c r="IAJ46" s="478"/>
      <c r="IAK46" s="478"/>
      <c r="IAL46" s="478"/>
      <c r="IAM46" s="478"/>
      <c r="IAN46" s="478"/>
      <c r="IAO46" s="478"/>
      <c r="IAP46" s="478"/>
      <c r="IAQ46" s="478"/>
      <c r="IAR46" s="478"/>
      <c r="IAS46" s="478"/>
      <c r="IAT46" s="478"/>
      <c r="IAU46" s="478"/>
      <c r="IAV46" s="478"/>
      <c r="IAW46" s="478"/>
      <c r="IAX46" s="478"/>
      <c r="IAY46" s="478"/>
      <c r="IAZ46" s="478"/>
      <c r="IBA46" s="478"/>
      <c r="IBB46" s="478"/>
      <c r="IBC46" s="478"/>
      <c r="IBD46" s="478"/>
      <c r="IBE46" s="478"/>
      <c r="IBF46" s="478"/>
      <c r="IBG46" s="478"/>
      <c r="IBH46" s="478"/>
      <c r="IBI46" s="478"/>
      <c r="IBJ46" s="478"/>
      <c r="IBK46" s="478"/>
      <c r="IBL46" s="478"/>
      <c r="IBM46" s="478"/>
      <c r="IBN46" s="478"/>
      <c r="IBO46" s="478"/>
      <c r="IBP46" s="478"/>
      <c r="IBQ46" s="478"/>
      <c r="IBR46" s="478"/>
      <c r="IBS46" s="478"/>
      <c r="IBT46" s="478"/>
      <c r="IBU46" s="478"/>
      <c r="IBV46" s="478"/>
      <c r="IBW46" s="478"/>
      <c r="IBX46" s="478"/>
      <c r="IBY46" s="478"/>
      <c r="IBZ46" s="478"/>
      <c r="ICA46" s="478"/>
      <c r="ICB46" s="478"/>
      <c r="ICC46" s="478"/>
      <c r="ICD46" s="478"/>
      <c r="ICE46" s="478"/>
      <c r="ICF46" s="478"/>
      <c r="ICG46" s="478"/>
      <c r="ICH46" s="478"/>
      <c r="ICI46" s="478"/>
      <c r="ICJ46" s="478"/>
      <c r="ICK46" s="478"/>
      <c r="ICL46" s="478"/>
      <c r="ICM46" s="478"/>
      <c r="ICN46" s="478"/>
      <c r="ICO46" s="478"/>
      <c r="ICP46" s="478"/>
      <c r="ICQ46" s="478"/>
      <c r="ICR46" s="478"/>
      <c r="ICS46" s="478"/>
      <c r="ICT46" s="478"/>
      <c r="ICU46" s="478"/>
      <c r="ICV46" s="478"/>
      <c r="ICW46" s="478"/>
      <c r="ICX46" s="478"/>
      <c r="ICY46" s="478"/>
      <c r="ICZ46" s="478"/>
      <c r="IDA46" s="478"/>
      <c r="IDB46" s="478"/>
      <c r="IDC46" s="478"/>
      <c r="IDD46" s="478"/>
      <c r="IDE46" s="478"/>
      <c r="IDF46" s="478"/>
      <c r="IDG46" s="478"/>
      <c r="IDH46" s="478"/>
      <c r="IDI46" s="478"/>
      <c r="IDJ46" s="478"/>
      <c r="IDK46" s="478"/>
      <c r="IDL46" s="478"/>
      <c r="IDM46" s="478"/>
      <c r="IDN46" s="478"/>
      <c r="IDO46" s="478"/>
      <c r="IDP46" s="478"/>
      <c r="IDQ46" s="478"/>
      <c r="IDR46" s="478"/>
      <c r="IDS46" s="478"/>
      <c r="IDT46" s="478"/>
      <c r="IDU46" s="478"/>
      <c r="IDV46" s="478"/>
      <c r="IDW46" s="478"/>
      <c r="IDX46" s="478"/>
      <c r="IDY46" s="478"/>
      <c r="IDZ46" s="478"/>
      <c r="IEA46" s="478"/>
      <c r="IEB46" s="478"/>
      <c r="IEC46" s="478"/>
      <c r="IED46" s="478"/>
      <c r="IEE46" s="478"/>
      <c r="IEF46" s="478"/>
      <c r="IEG46" s="478"/>
      <c r="IEH46" s="478"/>
      <c r="IEI46" s="478"/>
      <c r="IEJ46" s="478"/>
      <c r="IEK46" s="478"/>
      <c r="IEL46" s="478"/>
      <c r="IEM46" s="478"/>
      <c r="IEN46" s="478"/>
      <c r="IEO46" s="478"/>
      <c r="IEP46" s="478"/>
      <c r="IEQ46" s="478"/>
      <c r="IER46" s="478"/>
      <c r="IES46" s="478"/>
      <c r="IET46" s="478"/>
      <c r="IEU46" s="478"/>
      <c r="IEV46" s="478"/>
      <c r="IEW46" s="478"/>
      <c r="IEX46" s="478"/>
      <c r="IEY46" s="478"/>
      <c r="IEZ46" s="478"/>
      <c r="IFA46" s="478"/>
      <c r="IFB46" s="478"/>
      <c r="IFC46" s="478"/>
      <c r="IFD46" s="478"/>
      <c r="IFE46" s="478"/>
      <c r="IFF46" s="478"/>
      <c r="IFG46" s="478"/>
      <c r="IFH46" s="478"/>
      <c r="IFI46" s="478"/>
      <c r="IFJ46" s="478"/>
      <c r="IFK46" s="478"/>
      <c r="IFL46" s="478"/>
      <c r="IFM46" s="478"/>
      <c r="IFN46" s="478"/>
      <c r="IFO46" s="478"/>
      <c r="IFP46" s="478"/>
      <c r="IFQ46" s="478"/>
      <c r="IFR46" s="478"/>
      <c r="IFS46" s="478"/>
      <c r="IFT46" s="478"/>
      <c r="IFU46" s="478"/>
      <c r="IFV46" s="478"/>
      <c r="IFW46" s="478"/>
      <c r="IFX46" s="478"/>
      <c r="IFY46" s="478"/>
      <c r="IFZ46" s="478"/>
      <c r="IGA46" s="478"/>
      <c r="IGB46" s="478"/>
      <c r="IGC46" s="478"/>
      <c r="IGD46" s="478"/>
      <c r="IGE46" s="478"/>
      <c r="IGF46" s="478"/>
      <c r="IGG46" s="478"/>
      <c r="IGH46" s="478"/>
      <c r="IGI46" s="478"/>
      <c r="IGJ46" s="478"/>
      <c r="IGK46" s="478"/>
      <c r="IGL46" s="478"/>
      <c r="IGM46" s="478"/>
      <c r="IGN46" s="478"/>
      <c r="IGO46" s="478"/>
      <c r="IGP46" s="478"/>
      <c r="IGQ46" s="478"/>
      <c r="IGR46" s="478"/>
      <c r="IGS46" s="478"/>
      <c r="IGT46" s="478"/>
      <c r="IGU46" s="478"/>
      <c r="IGV46" s="478"/>
      <c r="IGW46" s="478"/>
      <c r="IGX46" s="478"/>
      <c r="IGY46" s="478"/>
      <c r="IGZ46" s="478"/>
      <c r="IHA46" s="478"/>
      <c r="IHB46" s="478"/>
      <c r="IHC46" s="478"/>
      <c r="IHD46" s="478"/>
      <c r="IHE46" s="478"/>
      <c r="IHF46" s="478"/>
      <c r="IHG46" s="478"/>
      <c r="IHH46" s="478"/>
      <c r="IHI46" s="478"/>
      <c r="IHJ46" s="478"/>
      <c r="IHK46" s="478"/>
      <c r="IHL46" s="478"/>
      <c r="IHM46" s="478"/>
      <c r="IHN46" s="478"/>
      <c r="IHO46" s="478"/>
      <c r="IHP46" s="478"/>
      <c r="IHQ46" s="478"/>
      <c r="IHR46" s="478"/>
      <c r="IHS46" s="478"/>
      <c r="IHT46" s="478"/>
      <c r="IHU46" s="478"/>
      <c r="IHV46" s="478"/>
      <c r="IHW46" s="478"/>
      <c r="IHX46" s="478"/>
      <c r="IHY46" s="478"/>
      <c r="IHZ46" s="478"/>
      <c r="IIA46" s="478"/>
      <c r="IIB46" s="478"/>
      <c r="IIC46" s="478"/>
      <c r="IID46" s="478"/>
      <c r="IIE46" s="478"/>
      <c r="IIF46" s="478"/>
      <c r="IIG46" s="478"/>
      <c r="IIH46" s="478"/>
      <c r="III46" s="478"/>
      <c r="IIJ46" s="478"/>
      <c r="IIK46" s="478"/>
      <c r="IIL46" s="478"/>
      <c r="IIM46" s="478"/>
      <c r="IIN46" s="478"/>
      <c r="IIO46" s="478"/>
      <c r="IIP46" s="478"/>
      <c r="IIQ46" s="478"/>
      <c r="IIR46" s="478"/>
      <c r="IIS46" s="478"/>
      <c r="IIT46" s="478"/>
      <c r="IIU46" s="478"/>
      <c r="IIV46" s="478"/>
      <c r="IIW46" s="478"/>
      <c r="IIX46" s="478"/>
      <c r="IIY46" s="478"/>
      <c r="IIZ46" s="478"/>
      <c r="IJA46" s="478"/>
      <c r="IJB46" s="478"/>
      <c r="IJC46" s="478"/>
      <c r="IJD46" s="478"/>
      <c r="IJE46" s="478"/>
      <c r="IJF46" s="478"/>
      <c r="IJG46" s="478"/>
      <c r="IJH46" s="478"/>
      <c r="IJI46" s="478"/>
      <c r="IJJ46" s="478"/>
      <c r="IJK46" s="478"/>
      <c r="IJL46" s="478"/>
      <c r="IJM46" s="478"/>
      <c r="IJN46" s="478"/>
      <c r="IJO46" s="478"/>
      <c r="IJP46" s="478"/>
      <c r="IJQ46" s="478"/>
      <c r="IJR46" s="478"/>
      <c r="IJS46" s="478"/>
      <c r="IJT46" s="478"/>
      <c r="IJU46" s="478"/>
      <c r="IJV46" s="478"/>
      <c r="IJW46" s="478"/>
      <c r="IJX46" s="478"/>
      <c r="IJY46" s="478"/>
      <c r="IJZ46" s="478"/>
      <c r="IKA46" s="478"/>
      <c r="IKB46" s="478"/>
      <c r="IKC46" s="478"/>
      <c r="IKD46" s="478"/>
      <c r="IKE46" s="478"/>
      <c r="IKF46" s="478"/>
      <c r="IKG46" s="478"/>
      <c r="IKH46" s="478"/>
      <c r="IKI46" s="478"/>
      <c r="IKJ46" s="478"/>
      <c r="IKK46" s="478"/>
      <c r="IKL46" s="478"/>
      <c r="IKM46" s="478"/>
      <c r="IKN46" s="478"/>
      <c r="IKO46" s="478"/>
      <c r="IKP46" s="478"/>
      <c r="IKQ46" s="478"/>
      <c r="IKR46" s="478"/>
      <c r="IKS46" s="478"/>
      <c r="IKT46" s="478"/>
      <c r="IKU46" s="478"/>
      <c r="IKV46" s="478"/>
      <c r="IKW46" s="478"/>
      <c r="IKX46" s="478"/>
      <c r="IKY46" s="478"/>
      <c r="IKZ46" s="478"/>
      <c r="ILA46" s="478"/>
      <c r="ILB46" s="478"/>
      <c r="ILC46" s="478"/>
      <c r="ILD46" s="478"/>
      <c r="ILE46" s="478"/>
      <c r="ILF46" s="478"/>
      <c r="ILG46" s="478"/>
      <c r="ILH46" s="478"/>
      <c r="ILI46" s="478"/>
      <c r="ILJ46" s="478"/>
      <c r="ILK46" s="478"/>
      <c r="ILL46" s="478"/>
      <c r="ILM46" s="478"/>
      <c r="ILN46" s="478"/>
      <c r="ILO46" s="478"/>
      <c r="ILP46" s="478"/>
      <c r="ILQ46" s="478"/>
      <c r="ILR46" s="478"/>
      <c r="ILS46" s="478"/>
      <c r="ILT46" s="478"/>
      <c r="ILU46" s="478"/>
      <c r="ILV46" s="478"/>
      <c r="ILW46" s="478"/>
      <c r="ILX46" s="478"/>
      <c r="ILY46" s="478"/>
      <c r="ILZ46" s="478"/>
      <c r="IMA46" s="478"/>
      <c r="IMB46" s="478"/>
      <c r="IMC46" s="478"/>
      <c r="IMD46" s="478"/>
      <c r="IME46" s="478"/>
      <c r="IMF46" s="478"/>
      <c r="IMG46" s="478"/>
      <c r="IMH46" s="478"/>
      <c r="IMI46" s="478"/>
      <c r="IMJ46" s="478"/>
      <c r="IMK46" s="478"/>
      <c r="IML46" s="478"/>
      <c r="IMM46" s="478"/>
      <c r="IMN46" s="478"/>
      <c r="IMO46" s="478"/>
      <c r="IMP46" s="478"/>
      <c r="IMQ46" s="478"/>
      <c r="IMR46" s="478"/>
      <c r="IMS46" s="478"/>
      <c r="IMT46" s="478"/>
      <c r="IMU46" s="478"/>
      <c r="IMV46" s="478"/>
      <c r="IMW46" s="478"/>
      <c r="IMX46" s="478"/>
      <c r="IMY46" s="478"/>
      <c r="IMZ46" s="478"/>
      <c r="INA46" s="478"/>
      <c r="INB46" s="478"/>
      <c r="INC46" s="478"/>
      <c r="IND46" s="478"/>
      <c r="INE46" s="478"/>
      <c r="INF46" s="478"/>
      <c r="ING46" s="478"/>
      <c r="INH46" s="478"/>
      <c r="INI46" s="478"/>
      <c r="INJ46" s="478"/>
      <c r="INK46" s="478"/>
      <c r="INL46" s="478"/>
      <c r="INM46" s="478"/>
      <c r="INN46" s="478"/>
      <c r="INO46" s="478"/>
      <c r="INP46" s="478"/>
      <c r="INQ46" s="478"/>
      <c r="INR46" s="478"/>
      <c r="INS46" s="478"/>
      <c r="INT46" s="478"/>
      <c r="INU46" s="478"/>
      <c r="INV46" s="478"/>
      <c r="INW46" s="478"/>
      <c r="INX46" s="478"/>
      <c r="INY46" s="478"/>
      <c r="INZ46" s="478"/>
      <c r="IOA46" s="478"/>
      <c r="IOB46" s="478"/>
      <c r="IOC46" s="478"/>
      <c r="IOD46" s="478"/>
      <c r="IOE46" s="478"/>
      <c r="IOF46" s="478"/>
      <c r="IOG46" s="478"/>
      <c r="IOH46" s="478"/>
      <c r="IOI46" s="478"/>
      <c r="IOJ46" s="478"/>
      <c r="IOK46" s="478"/>
      <c r="IOL46" s="478"/>
      <c r="IOM46" s="478"/>
      <c r="ION46" s="478"/>
      <c r="IOO46" s="478"/>
      <c r="IOP46" s="478"/>
      <c r="IOQ46" s="478"/>
      <c r="IOR46" s="478"/>
      <c r="IOS46" s="478"/>
      <c r="IOT46" s="478"/>
      <c r="IOU46" s="478"/>
      <c r="IOV46" s="478"/>
      <c r="IOW46" s="478"/>
      <c r="IOX46" s="478"/>
      <c r="IOY46" s="478"/>
      <c r="IOZ46" s="478"/>
      <c r="IPA46" s="478"/>
      <c r="IPB46" s="478"/>
      <c r="IPC46" s="478"/>
      <c r="IPD46" s="478"/>
      <c r="IPE46" s="478"/>
      <c r="IPF46" s="478"/>
      <c r="IPG46" s="478"/>
      <c r="IPH46" s="478"/>
      <c r="IPI46" s="478"/>
      <c r="IPJ46" s="478"/>
      <c r="IPK46" s="478"/>
      <c r="IPL46" s="478"/>
      <c r="IPM46" s="478"/>
      <c r="IPN46" s="478"/>
      <c r="IPO46" s="478"/>
      <c r="IPP46" s="478"/>
      <c r="IPQ46" s="478"/>
      <c r="IPR46" s="478"/>
      <c r="IPS46" s="478"/>
      <c r="IPT46" s="478"/>
      <c r="IPU46" s="478"/>
      <c r="IPV46" s="478"/>
      <c r="IPW46" s="478"/>
      <c r="IPX46" s="478"/>
      <c r="IPY46" s="478"/>
      <c r="IPZ46" s="478"/>
      <c r="IQA46" s="478"/>
      <c r="IQB46" s="478"/>
      <c r="IQC46" s="478"/>
      <c r="IQD46" s="478"/>
      <c r="IQE46" s="478"/>
      <c r="IQF46" s="478"/>
      <c r="IQG46" s="478"/>
      <c r="IQH46" s="478"/>
      <c r="IQI46" s="478"/>
      <c r="IQJ46" s="478"/>
      <c r="IQK46" s="478"/>
      <c r="IQL46" s="478"/>
      <c r="IQM46" s="478"/>
      <c r="IQN46" s="478"/>
      <c r="IQO46" s="478"/>
      <c r="IQP46" s="478"/>
      <c r="IQQ46" s="478"/>
      <c r="IQR46" s="478"/>
      <c r="IQS46" s="478"/>
      <c r="IQT46" s="478"/>
      <c r="IQU46" s="478"/>
      <c r="IQV46" s="478"/>
      <c r="IQW46" s="478"/>
      <c r="IQX46" s="478"/>
      <c r="IQY46" s="478"/>
      <c r="IQZ46" s="478"/>
      <c r="IRA46" s="478"/>
      <c r="IRB46" s="478"/>
      <c r="IRC46" s="478"/>
      <c r="IRD46" s="478"/>
      <c r="IRE46" s="478"/>
      <c r="IRF46" s="478"/>
      <c r="IRG46" s="478"/>
      <c r="IRH46" s="478"/>
      <c r="IRI46" s="478"/>
      <c r="IRJ46" s="478"/>
      <c r="IRK46" s="478"/>
      <c r="IRL46" s="478"/>
      <c r="IRM46" s="478"/>
      <c r="IRN46" s="478"/>
      <c r="IRO46" s="478"/>
      <c r="IRP46" s="478"/>
      <c r="IRQ46" s="478"/>
      <c r="IRR46" s="478"/>
      <c r="IRS46" s="478"/>
      <c r="IRT46" s="478"/>
      <c r="IRU46" s="478"/>
      <c r="IRV46" s="478"/>
      <c r="IRW46" s="478"/>
      <c r="IRX46" s="478"/>
      <c r="IRY46" s="478"/>
      <c r="IRZ46" s="478"/>
      <c r="ISA46" s="478"/>
      <c r="ISB46" s="478"/>
      <c r="ISC46" s="478"/>
      <c r="ISD46" s="478"/>
      <c r="ISE46" s="478"/>
      <c r="ISF46" s="478"/>
      <c r="ISG46" s="478"/>
      <c r="ISH46" s="478"/>
      <c r="ISI46" s="478"/>
      <c r="ISJ46" s="478"/>
      <c r="ISK46" s="478"/>
      <c r="ISL46" s="478"/>
      <c r="ISM46" s="478"/>
      <c r="ISN46" s="478"/>
      <c r="ISO46" s="478"/>
      <c r="ISP46" s="478"/>
      <c r="ISQ46" s="478"/>
      <c r="ISR46" s="478"/>
      <c r="ISS46" s="478"/>
      <c r="IST46" s="478"/>
      <c r="ISU46" s="478"/>
      <c r="ISV46" s="478"/>
      <c r="ISW46" s="478"/>
      <c r="ISX46" s="478"/>
      <c r="ISY46" s="478"/>
      <c r="ISZ46" s="478"/>
      <c r="ITA46" s="478"/>
      <c r="ITB46" s="478"/>
      <c r="ITC46" s="478"/>
      <c r="ITD46" s="478"/>
      <c r="ITE46" s="478"/>
      <c r="ITF46" s="478"/>
      <c r="ITG46" s="478"/>
      <c r="ITH46" s="478"/>
      <c r="ITI46" s="478"/>
      <c r="ITJ46" s="478"/>
      <c r="ITK46" s="478"/>
      <c r="ITL46" s="478"/>
      <c r="ITM46" s="478"/>
      <c r="ITN46" s="478"/>
      <c r="ITO46" s="478"/>
      <c r="ITP46" s="478"/>
      <c r="ITQ46" s="478"/>
      <c r="ITR46" s="478"/>
      <c r="ITS46" s="478"/>
      <c r="ITT46" s="478"/>
      <c r="ITU46" s="478"/>
      <c r="ITV46" s="478"/>
      <c r="ITW46" s="478"/>
      <c r="ITX46" s="478"/>
      <c r="ITY46" s="478"/>
      <c r="ITZ46" s="478"/>
      <c r="IUA46" s="478"/>
      <c r="IUB46" s="478"/>
      <c r="IUC46" s="478"/>
      <c r="IUD46" s="478"/>
      <c r="IUE46" s="478"/>
      <c r="IUF46" s="478"/>
      <c r="IUG46" s="478"/>
      <c r="IUH46" s="478"/>
      <c r="IUI46" s="478"/>
      <c r="IUJ46" s="478"/>
      <c r="IUK46" s="478"/>
      <c r="IUL46" s="478"/>
      <c r="IUM46" s="478"/>
      <c r="IUN46" s="478"/>
      <c r="IUO46" s="478"/>
      <c r="IUP46" s="478"/>
      <c r="IUQ46" s="478"/>
      <c r="IUR46" s="478"/>
      <c r="IUS46" s="478"/>
      <c r="IUT46" s="478"/>
      <c r="IUU46" s="478"/>
      <c r="IUV46" s="478"/>
      <c r="IUW46" s="478"/>
      <c r="IUX46" s="478"/>
      <c r="IUY46" s="478"/>
      <c r="IUZ46" s="478"/>
      <c r="IVA46" s="478"/>
      <c r="IVB46" s="478"/>
      <c r="IVC46" s="478"/>
      <c r="IVD46" s="478"/>
      <c r="IVE46" s="478"/>
      <c r="IVF46" s="478"/>
      <c r="IVG46" s="478"/>
      <c r="IVH46" s="478"/>
      <c r="IVI46" s="478"/>
      <c r="IVJ46" s="478"/>
      <c r="IVK46" s="478"/>
      <c r="IVL46" s="478"/>
      <c r="IVM46" s="478"/>
      <c r="IVN46" s="478"/>
      <c r="IVO46" s="478"/>
      <c r="IVP46" s="478"/>
      <c r="IVQ46" s="478"/>
      <c r="IVR46" s="478"/>
      <c r="IVS46" s="478"/>
      <c r="IVT46" s="478"/>
      <c r="IVU46" s="478"/>
      <c r="IVV46" s="478"/>
      <c r="IVW46" s="478"/>
      <c r="IVX46" s="478"/>
      <c r="IVY46" s="478"/>
      <c r="IVZ46" s="478"/>
      <c r="IWA46" s="478"/>
      <c r="IWB46" s="478"/>
      <c r="IWC46" s="478"/>
      <c r="IWD46" s="478"/>
      <c r="IWE46" s="478"/>
      <c r="IWF46" s="478"/>
      <c r="IWG46" s="478"/>
      <c r="IWH46" s="478"/>
      <c r="IWI46" s="478"/>
      <c r="IWJ46" s="478"/>
      <c r="IWK46" s="478"/>
      <c r="IWL46" s="478"/>
      <c r="IWM46" s="478"/>
      <c r="IWN46" s="478"/>
      <c r="IWO46" s="478"/>
      <c r="IWP46" s="478"/>
      <c r="IWQ46" s="478"/>
      <c r="IWR46" s="478"/>
      <c r="IWS46" s="478"/>
      <c r="IWT46" s="478"/>
      <c r="IWU46" s="478"/>
      <c r="IWV46" s="478"/>
      <c r="IWW46" s="478"/>
      <c r="IWX46" s="478"/>
      <c r="IWY46" s="478"/>
      <c r="IWZ46" s="478"/>
      <c r="IXA46" s="478"/>
      <c r="IXB46" s="478"/>
      <c r="IXC46" s="478"/>
      <c r="IXD46" s="478"/>
      <c r="IXE46" s="478"/>
      <c r="IXF46" s="478"/>
      <c r="IXG46" s="478"/>
      <c r="IXH46" s="478"/>
      <c r="IXI46" s="478"/>
      <c r="IXJ46" s="478"/>
      <c r="IXK46" s="478"/>
      <c r="IXL46" s="478"/>
      <c r="IXM46" s="478"/>
      <c r="IXN46" s="478"/>
      <c r="IXO46" s="478"/>
      <c r="IXP46" s="478"/>
      <c r="IXQ46" s="478"/>
      <c r="IXR46" s="478"/>
      <c r="IXS46" s="478"/>
      <c r="IXT46" s="478"/>
      <c r="IXU46" s="478"/>
      <c r="IXV46" s="478"/>
      <c r="IXW46" s="478"/>
      <c r="IXX46" s="478"/>
      <c r="IXY46" s="478"/>
      <c r="IXZ46" s="478"/>
      <c r="IYA46" s="478"/>
      <c r="IYB46" s="478"/>
      <c r="IYC46" s="478"/>
      <c r="IYD46" s="478"/>
      <c r="IYE46" s="478"/>
      <c r="IYF46" s="478"/>
      <c r="IYG46" s="478"/>
      <c r="IYH46" s="478"/>
      <c r="IYI46" s="478"/>
      <c r="IYJ46" s="478"/>
      <c r="IYK46" s="478"/>
      <c r="IYL46" s="478"/>
      <c r="IYM46" s="478"/>
      <c r="IYN46" s="478"/>
      <c r="IYO46" s="478"/>
      <c r="IYP46" s="478"/>
      <c r="IYQ46" s="478"/>
      <c r="IYR46" s="478"/>
      <c r="IYS46" s="478"/>
      <c r="IYT46" s="478"/>
      <c r="IYU46" s="478"/>
      <c r="IYV46" s="478"/>
      <c r="IYW46" s="478"/>
      <c r="IYX46" s="478"/>
      <c r="IYY46" s="478"/>
      <c r="IYZ46" s="478"/>
      <c r="IZA46" s="478"/>
      <c r="IZB46" s="478"/>
      <c r="IZC46" s="478"/>
      <c r="IZD46" s="478"/>
      <c r="IZE46" s="478"/>
      <c r="IZF46" s="478"/>
      <c r="IZG46" s="478"/>
      <c r="IZH46" s="478"/>
      <c r="IZI46" s="478"/>
      <c r="IZJ46" s="478"/>
      <c r="IZK46" s="478"/>
      <c r="IZL46" s="478"/>
      <c r="IZM46" s="478"/>
      <c r="IZN46" s="478"/>
      <c r="IZO46" s="478"/>
      <c r="IZP46" s="478"/>
      <c r="IZQ46" s="478"/>
      <c r="IZR46" s="478"/>
      <c r="IZS46" s="478"/>
      <c r="IZT46" s="478"/>
      <c r="IZU46" s="478"/>
      <c r="IZV46" s="478"/>
      <c r="IZW46" s="478"/>
      <c r="IZX46" s="478"/>
      <c r="IZY46" s="478"/>
      <c r="IZZ46" s="478"/>
      <c r="JAA46" s="478"/>
      <c r="JAB46" s="478"/>
      <c r="JAC46" s="478"/>
      <c r="JAD46" s="478"/>
      <c r="JAE46" s="478"/>
      <c r="JAF46" s="478"/>
      <c r="JAG46" s="478"/>
      <c r="JAH46" s="478"/>
      <c r="JAI46" s="478"/>
      <c r="JAJ46" s="478"/>
      <c r="JAK46" s="478"/>
      <c r="JAL46" s="478"/>
      <c r="JAM46" s="478"/>
      <c r="JAN46" s="478"/>
      <c r="JAO46" s="478"/>
      <c r="JAP46" s="478"/>
      <c r="JAQ46" s="478"/>
      <c r="JAR46" s="478"/>
      <c r="JAS46" s="478"/>
      <c r="JAT46" s="478"/>
      <c r="JAU46" s="478"/>
      <c r="JAV46" s="478"/>
      <c r="JAW46" s="478"/>
      <c r="JAX46" s="478"/>
      <c r="JAY46" s="478"/>
      <c r="JAZ46" s="478"/>
      <c r="JBA46" s="478"/>
      <c r="JBB46" s="478"/>
      <c r="JBC46" s="478"/>
      <c r="JBD46" s="478"/>
      <c r="JBE46" s="478"/>
      <c r="JBF46" s="478"/>
      <c r="JBG46" s="478"/>
      <c r="JBH46" s="478"/>
      <c r="JBI46" s="478"/>
      <c r="JBJ46" s="478"/>
      <c r="JBK46" s="478"/>
      <c r="JBL46" s="478"/>
      <c r="JBM46" s="478"/>
      <c r="JBN46" s="478"/>
      <c r="JBO46" s="478"/>
      <c r="JBP46" s="478"/>
      <c r="JBQ46" s="478"/>
      <c r="JBR46" s="478"/>
      <c r="JBS46" s="478"/>
      <c r="JBT46" s="478"/>
      <c r="JBU46" s="478"/>
      <c r="JBV46" s="478"/>
      <c r="JBW46" s="478"/>
      <c r="JBX46" s="478"/>
      <c r="JBY46" s="478"/>
      <c r="JBZ46" s="478"/>
      <c r="JCA46" s="478"/>
      <c r="JCB46" s="478"/>
      <c r="JCC46" s="478"/>
      <c r="JCD46" s="478"/>
      <c r="JCE46" s="478"/>
      <c r="JCF46" s="478"/>
      <c r="JCG46" s="478"/>
      <c r="JCH46" s="478"/>
      <c r="JCI46" s="478"/>
      <c r="JCJ46" s="478"/>
      <c r="JCK46" s="478"/>
      <c r="JCL46" s="478"/>
      <c r="JCM46" s="478"/>
      <c r="JCN46" s="478"/>
      <c r="JCO46" s="478"/>
      <c r="JCP46" s="478"/>
      <c r="JCQ46" s="478"/>
      <c r="JCR46" s="478"/>
      <c r="JCS46" s="478"/>
      <c r="JCT46" s="478"/>
      <c r="JCU46" s="478"/>
      <c r="JCV46" s="478"/>
      <c r="JCW46" s="478"/>
      <c r="JCX46" s="478"/>
      <c r="JCY46" s="478"/>
      <c r="JCZ46" s="478"/>
      <c r="JDA46" s="478"/>
      <c r="JDB46" s="478"/>
      <c r="JDC46" s="478"/>
      <c r="JDD46" s="478"/>
      <c r="JDE46" s="478"/>
      <c r="JDF46" s="478"/>
      <c r="JDG46" s="478"/>
      <c r="JDH46" s="478"/>
      <c r="JDI46" s="478"/>
      <c r="JDJ46" s="478"/>
      <c r="JDK46" s="478"/>
      <c r="JDL46" s="478"/>
      <c r="JDM46" s="478"/>
      <c r="JDN46" s="478"/>
      <c r="JDO46" s="478"/>
      <c r="JDP46" s="478"/>
      <c r="JDQ46" s="478"/>
      <c r="JDR46" s="478"/>
      <c r="JDS46" s="478"/>
      <c r="JDT46" s="478"/>
      <c r="JDU46" s="478"/>
      <c r="JDV46" s="478"/>
      <c r="JDW46" s="478"/>
      <c r="JDX46" s="478"/>
      <c r="JDY46" s="478"/>
      <c r="JDZ46" s="478"/>
      <c r="JEA46" s="478"/>
      <c r="JEB46" s="478"/>
      <c r="JEC46" s="478"/>
      <c r="JED46" s="478"/>
      <c r="JEE46" s="478"/>
      <c r="JEF46" s="478"/>
      <c r="JEG46" s="478"/>
      <c r="JEH46" s="478"/>
      <c r="JEI46" s="478"/>
      <c r="JEJ46" s="478"/>
      <c r="JEK46" s="478"/>
      <c r="JEL46" s="478"/>
      <c r="JEM46" s="478"/>
      <c r="JEN46" s="478"/>
      <c r="JEO46" s="478"/>
      <c r="JEP46" s="478"/>
      <c r="JEQ46" s="478"/>
      <c r="JER46" s="478"/>
      <c r="JES46" s="478"/>
      <c r="JET46" s="478"/>
      <c r="JEU46" s="478"/>
      <c r="JEV46" s="478"/>
      <c r="JEW46" s="478"/>
      <c r="JEX46" s="478"/>
      <c r="JEY46" s="478"/>
      <c r="JEZ46" s="478"/>
      <c r="JFA46" s="478"/>
      <c r="JFB46" s="478"/>
      <c r="JFC46" s="478"/>
      <c r="JFD46" s="478"/>
      <c r="JFE46" s="478"/>
      <c r="JFF46" s="478"/>
      <c r="JFG46" s="478"/>
      <c r="JFH46" s="478"/>
      <c r="JFI46" s="478"/>
      <c r="JFJ46" s="478"/>
      <c r="JFK46" s="478"/>
      <c r="JFL46" s="478"/>
      <c r="JFM46" s="478"/>
      <c r="JFN46" s="478"/>
      <c r="JFO46" s="478"/>
      <c r="JFP46" s="478"/>
      <c r="JFQ46" s="478"/>
      <c r="JFR46" s="478"/>
      <c r="JFS46" s="478"/>
      <c r="JFT46" s="478"/>
      <c r="JFU46" s="478"/>
      <c r="JFV46" s="478"/>
      <c r="JFW46" s="478"/>
      <c r="JFX46" s="478"/>
      <c r="JFY46" s="478"/>
      <c r="JFZ46" s="478"/>
      <c r="JGA46" s="478"/>
      <c r="JGB46" s="478"/>
      <c r="JGC46" s="478"/>
      <c r="JGD46" s="478"/>
      <c r="JGE46" s="478"/>
      <c r="JGF46" s="478"/>
      <c r="JGG46" s="478"/>
      <c r="JGH46" s="478"/>
      <c r="JGI46" s="478"/>
      <c r="JGJ46" s="478"/>
      <c r="JGK46" s="478"/>
      <c r="JGL46" s="478"/>
      <c r="JGM46" s="478"/>
      <c r="JGN46" s="478"/>
      <c r="JGO46" s="478"/>
      <c r="JGP46" s="478"/>
      <c r="JGQ46" s="478"/>
      <c r="JGR46" s="478"/>
      <c r="JGS46" s="478"/>
      <c r="JGT46" s="478"/>
      <c r="JGU46" s="478"/>
      <c r="JGV46" s="478"/>
      <c r="JGW46" s="478"/>
      <c r="JGX46" s="478"/>
      <c r="JGY46" s="478"/>
      <c r="JGZ46" s="478"/>
      <c r="JHA46" s="478"/>
      <c r="JHB46" s="478"/>
      <c r="JHC46" s="478"/>
      <c r="JHD46" s="478"/>
      <c r="JHE46" s="478"/>
      <c r="JHF46" s="478"/>
      <c r="JHG46" s="478"/>
      <c r="JHH46" s="478"/>
      <c r="JHI46" s="478"/>
      <c r="JHJ46" s="478"/>
      <c r="JHK46" s="478"/>
      <c r="JHL46" s="478"/>
      <c r="JHM46" s="478"/>
      <c r="JHN46" s="478"/>
      <c r="JHO46" s="478"/>
      <c r="JHP46" s="478"/>
      <c r="JHQ46" s="478"/>
      <c r="JHR46" s="478"/>
      <c r="JHS46" s="478"/>
      <c r="JHT46" s="478"/>
      <c r="JHU46" s="478"/>
      <c r="JHV46" s="478"/>
      <c r="JHW46" s="478"/>
      <c r="JHX46" s="478"/>
      <c r="JHY46" s="478"/>
      <c r="JHZ46" s="478"/>
      <c r="JIA46" s="478"/>
      <c r="JIB46" s="478"/>
      <c r="JIC46" s="478"/>
      <c r="JID46" s="478"/>
      <c r="JIE46" s="478"/>
      <c r="JIF46" s="478"/>
      <c r="JIG46" s="478"/>
      <c r="JIH46" s="478"/>
      <c r="JII46" s="478"/>
      <c r="JIJ46" s="478"/>
      <c r="JIK46" s="478"/>
      <c r="JIL46" s="478"/>
      <c r="JIM46" s="478"/>
      <c r="JIN46" s="478"/>
      <c r="JIO46" s="478"/>
      <c r="JIP46" s="478"/>
      <c r="JIQ46" s="478"/>
      <c r="JIR46" s="478"/>
      <c r="JIS46" s="478"/>
      <c r="JIT46" s="478"/>
      <c r="JIU46" s="478"/>
      <c r="JIV46" s="478"/>
      <c r="JIW46" s="478"/>
      <c r="JIX46" s="478"/>
      <c r="JIY46" s="478"/>
      <c r="JIZ46" s="478"/>
      <c r="JJA46" s="478"/>
      <c r="JJB46" s="478"/>
      <c r="JJC46" s="478"/>
      <c r="JJD46" s="478"/>
      <c r="JJE46" s="478"/>
      <c r="JJF46" s="478"/>
      <c r="JJG46" s="478"/>
      <c r="JJH46" s="478"/>
      <c r="JJI46" s="478"/>
      <c r="JJJ46" s="478"/>
      <c r="JJK46" s="478"/>
      <c r="JJL46" s="478"/>
      <c r="JJM46" s="478"/>
      <c r="JJN46" s="478"/>
      <c r="JJO46" s="478"/>
      <c r="JJP46" s="478"/>
      <c r="JJQ46" s="478"/>
      <c r="JJR46" s="478"/>
      <c r="JJS46" s="478"/>
      <c r="JJT46" s="478"/>
      <c r="JJU46" s="478"/>
      <c r="JJV46" s="478"/>
      <c r="JJW46" s="478"/>
      <c r="JJX46" s="478"/>
      <c r="JJY46" s="478"/>
      <c r="JJZ46" s="478"/>
      <c r="JKA46" s="478"/>
      <c r="JKB46" s="478"/>
      <c r="JKC46" s="478"/>
      <c r="JKD46" s="478"/>
      <c r="JKE46" s="478"/>
      <c r="JKF46" s="478"/>
      <c r="JKG46" s="478"/>
      <c r="JKH46" s="478"/>
      <c r="JKI46" s="478"/>
      <c r="JKJ46" s="478"/>
      <c r="JKK46" s="478"/>
      <c r="JKL46" s="478"/>
      <c r="JKM46" s="478"/>
      <c r="JKN46" s="478"/>
      <c r="JKO46" s="478"/>
      <c r="JKP46" s="478"/>
      <c r="JKQ46" s="478"/>
      <c r="JKR46" s="478"/>
      <c r="JKS46" s="478"/>
      <c r="JKT46" s="478"/>
      <c r="JKU46" s="478"/>
      <c r="JKV46" s="478"/>
      <c r="JKW46" s="478"/>
      <c r="JKX46" s="478"/>
      <c r="JKY46" s="478"/>
      <c r="JKZ46" s="478"/>
      <c r="JLA46" s="478"/>
      <c r="JLB46" s="478"/>
      <c r="JLC46" s="478"/>
      <c r="JLD46" s="478"/>
      <c r="JLE46" s="478"/>
      <c r="JLF46" s="478"/>
      <c r="JLG46" s="478"/>
      <c r="JLH46" s="478"/>
      <c r="JLI46" s="478"/>
      <c r="JLJ46" s="478"/>
      <c r="JLK46" s="478"/>
      <c r="JLL46" s="478"/>
      <c r="JLM46" s="478"/>
      <c r="JLN46" s="478"/>
      <c r="JLO46" s="478"/>
      <c r="JLP46" s="478"/>
      <c r="JLQ46" s="478"/>
      <c r="JLR46" s="478"/>
      <c r="JLS46" s="478"/>
      <c r="JLT46" s="478"/>
      <c r="JLU46" s="478"/>
      <c r="JLV46" s="478"/>
      <c r="JLW46" s="478"/>
      <c r="JLX46" s="478"/>
      <c r="JLY46" s="478"/>
      <c r="JLZ46" s="478"/>
      <c r="JMA46" s="478"/>
      <c r="JMB46" s="478"/>
      <c r="JMC46" s="478"/>
      <c r="JMD46" s="478"/>
      <c r="JME46" s="478"/>
      <c r="JMF46" s="478"/>
      <c r="JMG46" s="478"/>
      <c r="JMH46" s="478"/>
      <c r="JMI46" s="478"/>
      <c r="JMJ46" s="478"/>
      <c r="JMK46" s="478"/>
      <c r="JML46" s="478"/>
      <c r="JMM46" s="478"/>
      <c r="JMN46" s="478"/>
      <c r="JMO46" s="478"/>
      <c r="JMP46" s="478"/>
      <c r="JMQ46" s="478"/>
      <c r="JMR46" s="478"/>
      <c r="JMS46" s="478"/>
      <c r="JMT46" s="478"/>
      <c r="JMU46" s="478"/>
      <c r="JMV46" s="478"/>
      <c r="JMW46" s="478"/>
      <c r="JMX46" s="478"/>
      <c r="JMY46" s="478"/>
      <c r="JMZ46" s="478"/>
      <c r="JNA46" s="478"/>
      <c r="JNB46" s="478"/>
      <c r="JNC46" s="478"/>
      <c r="JND46" s="478"/>
      <c r="JNE46" s="478"/>
      <c r="JNF46" s="478"/>
      <c r="JNG46" s="478"/>
      <c r="JNH46" s="478"/>
      <c r="JNI46" s="478"/>
      <c r="JNJ46" s="478"/>
      <c r="JNK46" s="478"/>
      <c r="JNL46" s="478"/>
      <c r="JNM46" s="478"/>
      <c r="JNN46" s="478"/>
      <c r="JNO46" s="478"/>
      <c r="JNP46" s="478"/>
      <c r="JNQ46" s="478"/>
      <c r="JNR46" s="478"/>
      <c r="JNS46" s="478"/>
      <c r="JNT46" s="478"/>
      <c r="JNU46" s="478"/>
      <c r="JNV46" s="478"/>
      <c r="JNW46" s="478"/>
      <c r="JNX46" s="478"/>
      <c r="JNY46" s="478"/>
      <c r="JNZ46" s="478"/>
      <c r="JOA46" s="478"/>
      <c r="JOB46" s="478"/>
      <c r="JOC46" s="478"/>
      <c r="JOD46" s="478"/>
      <c r="JOE46" s="478"/>
      <c r="JOF46" s="478"/>
      <c r="JOG46" s="478"/>
      <c r="JOH46" s="478"/>
      <c r="JOI46" s="478"/>
      <c r="JOJ46" s="478"/>
      <c r="JOK46" s="478"/>
      <c r="JOL46" s="478"/>
      <c r="JOM46" s="478"/>
      <c r="JON46" s="478"/>
      <c r="JOO46" s="478"/>
      <c r="JOP46" s="478"/>
      <c r="JOQ46" s="478"/>
      <c r="JOR46" s="478"/>
      <c r="JOS46" s="478"/>
      <c r="JOT46" s="478"/>
      <c r="JOU46" s="478"/>
      <c r="JOV46" s="478"/>
      <c r="JOW46" s="478"/>
      <c r="JOX46" s="478"/>
      <c r="JOY46" s="478"/>
      <c r="JOZ46" s="478"/>
      <c r="JPA46" s="478"/>
      <c r="JPB46" s="478"/>
      <c r="JPC46" s="478"/>
      <c r="JPD46" s="478"/>
      <c r="JPE46" s="478"/>
      <c r="JPF46" s="478"/>
      <c r="JPG46" s="478"/>
      <c r="JPH46" s="478"/>
      <c r="JPI46" s="478"/>
      <c r="JPJ46" s="478"/>
      <c r="JPK46" s="478"/>
      <c r="JPL46" s="478"/>
      <c r="JPM46" s="478"/>
      <c r="JPN46" s="478"/>
      <c r="JPO46" s="478"/>
      <c r="JPP46" s="478"/>
      <c r="JPQ46" s="478"/>
      <c r="JPR46" s="478"/>
      <c r="JPS46" s="478"/>
      <c r="JPT46" s="478"/>
      <c r="JPU46" s="478"/>
      <c r="JPV46" s="478"/>
      <c r="JPW46" s="478"/>
      <c r="JPX46" s="478"/>
      <c r="JPY46" s="478"/>
      <c r="JPZ46" s="478"/>
      <c r="JQA46" s="478"/>
      <c r="JQB46" s="478"/>
      <c r="JQC46" s="478"/>
      <c r="JQD46" s="478"/>
      <c r="JQE46" s="478"/>
      <c r="JQF46" s="478"/>
      <c r="JQG46" s="478"/>
      <c r="JQH46" s="478"/>
      <c r="JQI46" s="478"/>
      <c r="JQJ46" s="478"/>
      <c r="JQK46" s="478"/>
      <c r="JQL46" s="478"/>
      <c r="JQM46" s="478"/>
      <c r="JQN46" s="478"/>
      <c r="JQO46" s="478"/>
      <c r="JQP46" s="478"/>
      <c r="JQQ46" s="478"/>
      <c r="JQR46" s="478"/>
      <c r="JQS46" s="478"/>
      <c r="JQT46" s="478"/>
      <c r="JQU46" s="478"/>
      <c r="JQV46" s="478"/>
      <c r="JQW46" s="478"/>
      <c r="JQX46" s="478"/>
      <c r="JQY46" s="478"/>
      <c r="JQZ46" s="478"/>
      <c r="JRA46" s="478"/>
      <c r="JRB46" s="478"/>
      <c r="JRC46" s="478"/>
      <c r="JRD46" s="478"/>
      <c r="JRE46" s="478"/>
      <c r="JRF46" s="478"/>
      <c r="JRG46" s="478"/>
      <c r="JRH46" s="478"/>
      <c r="JRI46" s="478"/>
      <c r="JRJ46" s="478"/>
      <c r="JRK46" s="478"/>
      <c r="JRL46" s="478"/>
      <c r="JRM46" s="478"/>
      <c r="JRN46" s="478"/>
      <c r="JRO46" s="478"/>
      <c r="JRP46" s="478"/>
      <c r="JRQ46" s="478"/>
      <c r="JRR46" s="478"/>
      <c r="JRS46" s="478"/>
      <c r="JRT46" s="478"/>
      <c r="JRU46" s="478"/>
      <c r="JRV46" s="478"/>
      <c r="JRW46" s="478"/>
      <c r="JRX46" s="478"/>
      <c r="JRY46" s="478"/>
      <c r="JRZ46" s="478"/>
      <c r="JSA46" s="478"/>
      <c r="JSB46" s="478"/>
      <c r="JSC46" s="478"/>
      <c r="JSD46" s="478"/>
      <c r="JSE46" s="478"/>
      <c r="JSF46" s="478"/>
      <c r="JSG46" s="478"/>
      <c r="JSH46" s="478"/>
      <c r="JSI46" s="478"/>
      <c r="JSJ46" s="478"/>
      <c r="JSK46" s="478"/>
      <c r="JSL46" s="478"/>
      <c r="JSM46" s="478"/>
      <c r="JSN46" s="478"/>
      <c r="JSO46" s="478"/>
      <c r="JSP46" s="478"/>
      <c r="JSQ46" s="478"/>
      <c r="JSR46" s="478"/>
      <c r="JSS46" s="478"/>
      <c r="JST46" s="478"/>
      <c r="JSU46" s="478"/>
      <c r="JSV46" s="478"/>
      <c r="JSW46" s="478"/>
      <c r="JSX46" s="478"/>
      <c r="JSY46" s="478"/>
      <c r="JSZ46" s="478"/>
      <c r="JTA46" s="478"/>
      <c r="JTB46" s="478"/>
      <c r="JTC46" s="478"/>
      <c r="JTD46" s="478"/>
      <c r="JTE46" s="478"/>
      <c r="JTF46" s="478"/>
      <c r="JTG46" s="478"/>
      <c r="JTH46" s="478"/>
      <c r="JTI46" s="478"/>
      <c r="JTJ46" s="478"/>
      <c r="JTK46" s="478"/>
      <c r="JTL46" s="478"/>
      <c r="JTM46" s="478"/>
      <c r="JTN46" s="478"/>
      <c r="JTO46" s="478"/>
      <c r="JTP46" s="478"/>
      <c r="JTQ46" s="478"/>
      <c r="JTR46" s="478"/>
      <c r="JTS46" s="478"/>
      <c r="JTT46" s="478"/>
      <c r="JTU46" s="478"/>
      <c r="JTV46" s="478"/>
      <c r="JTW46" s="478"/>
      <c r="JTX46" s="478"/>
      <c r="JTY46" s="478"/>
      <c r="JTZ46" s="478"/>
      <c r="JUA46" s="478"/>
      <c r="JUB46" s="478"/>
      <c r="JUC46" s="478"/>
      <c r="JUD46" s="478"/>
      <c r="JUE46" s="478"/>
      <c r="JUF46" s="478"/>
      <c r="JUG46" s="478"/>
      <c r="JUH46" s="478"/>
      <c r="JUI46" s="478"/>
      <c r="JUJ46" s="478"/>
      <c r="JUK46" s="478"/>
      <c r="JUL46" s="478"/>
      <c r="JUM46" s="478"/>
      <c r="JUN46" s="478"/>
      <c r="JUO46" s="478"/>
      <c r="JUP46" s="478"/>
      <c r="JUQ46" s="478"/>
      <c r="JUR46" s="478"/>
      <c r="JUS46" s="478"/>
      <c r="JUT46" s="478"/>
      <c r="JUU46" s="478"/>
      <c r="JUV46" s="478"/>
      <c r="JUW46" s="478"/>
      <c r="JUX46" s="478"/>
      <c r="JUY46" s="478"/>
      <c r="JUZ46" s="478"/>
      <c r="JVA46" s="478"/>
      <c r="JVB46" s="478"/>
      <c r="JVC46" s="478"/>
      <c r="JVD46" s="478"/>
      <c r="JVE46" s="478"/>
      <c r="JVF46" s="478"/>
      <c r="JVG46" s="478"/>
      <c r="JVH46" s="478"/>
      <c r="JVI46" s="478"/>
      <c r="JVJ46" s="478"/>
      <c r="JVK46" s="478"/>
      <c r="JVL46" s="478"/>
      <c r="JVM46" s="478"/>
      <c r="JVN46" s="478"/>
      <c r="JVO46" s="478"/>
      <c r="JVP46" s="478"/>
      <c r="JVQ46" s="478"/>
      <c r="JVR46" s="478"/>
      <c r="JVS46" s="478"/>
      <c r="JVT46" s="478"/>
      <c r="JVU46" s="478"/>
      <c r="JVV46" s="478"/>
      <c r="JVW46" s="478"/>
      <c r="JVX46" s="478"/>
      <c r="JVY46" s="478"/>
      <c r="JVZ46" s="478"/>
      <c r="JWA46" s="478"/>
      <c r="JWB46" s="478"/>
      <c r="JWC46" s="478"/>
      <c r="JWD46" s="478"/>
      <c r="JWE46" s="478"/>
      <c r="JWF46" s="478"/>
      <c r="JWG46" s="478"/>
      <c r="JWH46" s="478"/>
      <c r="JWI46" s="478"/>
      <c r="JWJ46" s="478"/>
      <c r="JWK46" s="478"/>
      <c r="JWL46" s="478"/>
      <c r="JWM46" s="478"/>
      <c r="JWN46" s="478"/>
      <c r="JWO46" s="478"/>
      <c r="JWP46" s="478"/>
      <c r="JWQ46" s="478"/>
      <c r="JWR46" s="478"/>
      <c r="JWS46" s="478"/>
      <c r="JWT46" s="478"/>
      <c r="JWU46" s="478"/>
      <c r="JWV46" s="478"/>
      <c r="JWW46" s="478"/>
      <c r="JWX46" s="478"/>
      <c r="JWY46" s="478"/>
      <c r="JWZ46" s="478"/>
      <c r="JXA46" s="478"/>
      <c r="JXB46" s="478"/>
      <c r="JXC46" s="478"/>
      <c r="JXD46" s="478"/>
      <c r="JXE46" s="478"/>
      <c r="JXF46" s="478"/>
      <c r="JXG46" s="478"/>
      <c r="JXH46" s="478"/>
      <c r="JXI46" s="478"/>
      <c r="JXJ46" s="478"/>
      <c r="JXK46" s="478"/>
      <c r="JXL46" s="478"/>
      <c r="JXM46" s="478"/>
      <c r="JXN46" s="478"/>
      <c r="JXO46" s="478"/>
      <c r="JXP46" s="478"/>
      <c r="JXQ46" s="478"/>
      <c r="JXR46" s="478"/>
      <c r="JXS46" s="478"/>
      <c r="JXT46" s="478"/>
      <c r="JXU46" s="478"/>
      <c r="JXV46" s="478"/>
      <c r="JXW46" s="478"/>
      <c r="JXX46" s="478"/>
      <c r="JXY46" s="478"/>
      <c r="JXZ46" s="478"/>
      <c r="JYA46" s="478"/>
      <c r="JYB46" s="478"/>
      <c r="JYC46" s="478"/>
      <c r="JYD46" s="478"/>
      <c r="JYE46" s="478"/>
      <c r="JYF46" s="478"/>
      <c r="JYG46" s="478"/>
      <c r="JYH46" s="478"/>
      <c r="JYI46" s="478"/>
      <c r="JYJ46" s="478"/>
      <c r="JYK46" s="478"/>
      <c r="JYL46" s="478"/>
      <c r="JYM46" s="478"/>
      <c r="JYN46" s="478"/>
      <c r="JYO46" s="478"/>
      <c r="JYP46" s="478"/>
      <c r="JYQ46" s="478"/>
      <c r="JYR46" s="478"/>
      <c r="JYS46" s="478"/>
      <c r="JYT46" s="478"/>
      <c r="JYU46" s="478"/>
      <c r="JYV46" s="478"/>
      <c r="JYW46" s="478"/>
      <c r="JYX46" s="478"/>
      <c r="JYY46" s="478"/>
      <c r="JYZ46" s="478"/>
      <c r="JZA46" s="478"/>
      <c r="JZB46" s="478"/>
      <c r="JZC46" s="478"/>
      <c r="JZD46" s="478"/>
      <c r="JZE46" s="478"/>
      <c r="JZF46" s="478"/>
      <c r="JZG46" s="478"/>
      <c r="JZH46" s="478"/>
      <c r="JZI46" s="478"/>
      <c r="JZJ46" s="478"/>
      <c r="JZK46" s="478"/>
      <c r="JZL46" s="478"/>
      <c r="JZM46" s="478"/>
      <c r="JZN46" s="478"/>
      <c r="JZO46" s="478"/>
      <c r="JZP46" s="478"/>
      <c r="JZQ46" s="478"/>
      <c r="JZR46" s="478"/>
      <c r="JZS46" s="478"/>
      <c r="JZT46" s="478"/>
      <c r="JZU46" s="478"/>
      <c r="JZV46" s="478"/>
      <c r="JZW46" s="478"/>
      <c r="JZX46" s="478"/>
      <c r="JZY46" s="478"/>
      <c r="JZZ46" s="478"/>
      <c r="KAA46" s="478"/>
      <c r="KAB46" s="478"/>
      <c r="KAC46" s="478"/>
      <c r="KAD46" s="478"/>
      <c r="KAE46" s="478"/>
      <c r="KAF46" s="478"/>
      <c r="KAG46" s="478"/>
      <c r="KAH46" s="478"/>
      <c r="KAI46" s="478"/>
      <c r="KAJ46" s="478"/>
      <c r="KAK46" s="478"/>
      <c r="KAL46" s="478"/>
      <c r="KAM46" s="478"/>
      <c r="KAN46" s="478"/>
      <c r="KAO46" s="478"/>
      <c r="KAP46" s="478"/>
      <c r="KAQ46" s="478"/>
      <c r="KAR46" s="478"/>
      <c r="KAS46" s="478"/>
      <c r="KAT46" s="478"/>
      <c r="KAU46" s="478"/>
      <c r="KAV46" s="478"/>
      <c r="KAW46" s="478"/>
      <c r="KAX46" s="478"/>
      <c r="KAY46" s="478"/>
      <c r="KAZ46" s="478"/>
      <c r="KBA46" s="478"/>
      <c r="KBB46" s="478"/>
      <c r="KBC46" s="478"/>
      <c r="KBD46" s="478"/>
      <c r="KBE46" s="478"/>
      <c r="KBF46" s="478"/>
      <c r="KBG46" s="478"/>
      <c r="KBH46" s="478"/>
      <c r="KBI46" s="478"/>
      <c r="KBJ46" s="478"/>
      <c r="KBK46" s="478"/>
      <c r="KBL46" s="478"/>
      <c r="KBM46" s="478"/>
      <c r="KBN46" s="478"/>
      <c r="KBO46" s="478"/>
      <c r="KBP46" s="478"/>
      <c r="KBQ46" s="478"/>
      <c r="KBR46" s="478"/>
      <c r="KBS46" s="478"/>
      <c r="KBT46" s="478"/>
      <c r="KBU46" s="478"/>
      <c r="KBV46" s="478"/>
      <c r="KBW46" s="478"/>
      <c r="KBX46" s="478"/>
      <c r="KBY46" s="478"/>
      <c r="KBZ46" s="478"/>
      <c r="KCA46" s="478"/>
      <c r="KCB46" s="478"/>
      <c r="KCC46" s="478"/>
      <c r="KCD46" s="478"/>
      <c r="KCE46" s="478"/>
      <c r="KCF46" s="478"/>
      <c r="KCG46" s="478"/>
      <c r="KCH46" s="478"/>
      <c r="KCI46" s="478"/>
      <c r="KCJ46" s="478"/>
      <c r="KCK46" s="478"/>
      <c r="KCL46" s="478"/>
      <c r="KCM46" s="478"/>
      <c r="KCN46" s="478"/>
      <c r="KCO46" s="478"/>
      <c r="KCP46" s="478"/>
      <c r="KCQ46" s="478"/>
      <c r="KCR46" s="478"/>
      <c r="KCS46" s="478"/>
      <c r="KCT46" s="478"/>
      <c r="KCU46" s="478"/>
      <c r="KCV46" s="478"/>
      <c r="KCW46" s="478"/>
      <c r="KCX46" s="478"/>
      <c r="KCY46" s="478"/>
      <c r="KCZ46" s="478"/>
      <c r="KDA46" s="478"/>
      <c r="KDB46" s="478"/>
      <c r="KDC46" s="478"/>
      <c r="KDD46" s="478"/>
      <c r="KDE46" s="478"/>
      <c r="KDF46" s="478"/>
      <c r="KDG46" s="478"/>
      <c r="KDH46" s="478"/>
      <c r="KDI46" s="478"/>
      <c r="KDJ46" s="478"/>
      <c r="KDK46" s="478"/>
      <c r="KDL46" s="478"/>
      <c r="KDM46" s="478"/>
      <c r="KDN46" s="478"/>
      <c r="KDO46" s="478"/>
      <c r="KDP46" s="478"/>
      <c r="KDQ46" s="478"/>
      <c r="KDR46" s="478"/>
      <c r="KDS46" s="478"/>
      <c r="KDT46" s="478"/>
      <c r="KDU46" s="478"/>
      <c r="KDV46" s="478"/>
      <c r="KDW46" s="478"/>
      <c r="KDX46" s="478"/>
      <c r="KDY46" s="478"/>
      <c r="KDZ46" s="478"/>
      <c r="KEA46" s="478"/>
      <c r="KEB46" s="478"/>
      <c r="KEC46" s="478"/>
      <c r="KED46" s="478"/>
      <c r="KEE46" s="478"/>
      <c r="KEF46" s="478"/>
      <c r="KEG46" s="478"/>
      <c r="KEH46" s="478"/>
      <c r="KEI46" s="478"/>
      <c r="KEJ46" s="478"/>
      <c r="KEK46" s="478"/>
      <c r="KEL46" s="478"/>
      <c r="KEM46" s="478"/>
      <c r="KEN46" s="478"/>
      <c r="KEO46" s="478"/>
      <c r="KEP46" s="478"/>
      <c r="KEQ46" s="478"/>
      <c r="KER46" s="478"/>
      <c r="KES46" s="478"/>
      <c r="KET46" s="478"/>
      <c r="KEU46" s="478"/>
      <c r="KEV46" s="478"/>
      <c r="KEW46" s="478"/>
      <c r="KEX46" s="478"/>
      <c r="KEY46" s="478"/>
      <c r="KEZ46" s="478"/>
      <c r="KFA46" s="478"/>
      <c r="KFB46" s="478"/>
      <c r="KFC46" s="478"/>
      <c r="KFD46" s="478"/>
      <c r="KFE46" s="478"/>
      <c r="KFF46" s="478"/>
      <c r="KFG46" s="478"/>
      <c r="KFH46" s="478"/>
      <c r="KFI46" s="478"/>
      <c r="KFJ46" s="478"/>
      <c r="KFK46" s="478"/>
      <c r="KFL46" s="478"/>
      <c r="KFM46" s="478"/>
      <c r="KFN46" s="478"/>
      <c r="KFO46" s="478"/>
      <c r="KFP46" s="478"/>
      <c r="KFQ46" s="478"/>
      <c r="KFR46" s="478"/>
      <c r="KFS46" s="478"/>
      <c r="KFT46" s="478"/>
      <c r="KFU46" s="478"/>
      <c r="KFV46" s="478"/>
      <c r="KFW46" s="478"/>
      <c r="KFX46" s="478"/>
      <c r="KFY46" s="478"/>
      <c r="KFZ46" s="478"/>
      <c r="KGA46" s="478"/>
      <c r="KGB46" s="478"/>
      <c r="KGC46" s="478"/>
      <c r="KGD46" s="478"/>
      <c r="KGE46" s="478"/>
      <c r="KGF46" s="478"/>
      <c r="KGG46" s="478"/>
      <c r="KGH46" s="478"/>
      <c r="KGI46" s="478"/>
      <c r="KGJ46" s="478"/>
      <c r="KGK46" s="478"/>
      <c r="KGL46" s="478"/>
      <c r="KGM46" s="478"/>
      <c r="KGN46" s="478"/>
      <c r="KGO46" s="478"/>
      <c r="KGP46" s="478"/>
      <c r="KGQ46" s="478"/>
      <c r="KGR46" s="478"/>
      <c r="KGS46" s="478"/>
      <c r="KGT46" s="478"/>
      <c r="KGU46" s="478"/>
      <c r="KGV46" s="478"/>
      <c r="KGW46" s="478"/>
      <c r="KGX46" s="478"/>
      <c r="KGY46" s="478"/>
      <c r="KGZ46" s="478"/>
      <c r="KHA46" s="478"/>
      <c r="KHB46" s="478"/>
      <c r="KHC46" s="478"/>
      <c r="KHD46" s="478"/>
      <c r="KHE46" s="478"/>
      <c r="KHF46" s="478"/>
      <c r="KHG46" s="478"/>
      <c r="KHH46" s="478"/>
      <c r="KHI46" s="478"/>
      <c r="KHJ46" s="478"/>
      <c r="KHK46" s="478"/>
      <c r="KHL46" s="478"/>
      <c r="KHM46" s="478"/>
      <c r="KHN46" s="478"/>
      <c r="KHO46" s="478"/>
      <c r="KHP46" s="478"/>
      <c r="KHQ46" s="478"/>
      <c r="KHR46" s="478"/>
      <c r="KHS46" s="478"/>
      <c r="KHT46" s="478"/>
      <c r="KHU46" s="478"/>
      <c r="KHV46" s="478"/>
      <c r="KHW46" s="478"/>
      <c r="KHX46" s="478"/>
      <c r="KHY46" s="478"/>
      <c r="KHZ46" s="478"/>
      <c r="KIA46" s="478"/>
      <c r="KIB46" s="478"/>
      <c r="KIC46" s="478"/>
      <c r="KID46" s="478"/>
      <c r="KIE46" s="478"/>
      <c r="KIF46" s="478"/>
      <c r="KIG46" s="478"/>
      <c r="KIH46" s="478"/>
      <c r="KII46" s="478"/>
      <c r="KIJ46" s="478"/>
      <c r="KIK46" s="478"/>
      <c r="KIL46" s="478"/>
      <c r="KIM46" s="478"/>
      <c r="KIN46" s="478"/>
      <c r="KIO46" s="478"/>
      <c r="KIP46" s="478"/>
      <c r="KIQ46" s="478"/>
      <c r="KIR46" s="478"/>
      <c r="KIS46" s="478"/>
      <c r="KIT46" s="478"/>
      <c r="KIU46" s="478"/>
      <c r="KIV46" s="478"/>
      <c r="KIW46" s="478"/>
      <c r="KIX46" s="478"/>
      <c r="KIY46" s="478"/>
      <c r="KIZ46" s="478"/>
      <c r="KJA46" s="478"/>
      <c r="KJB46" s="478"/>
      <c r="KJC46" s="478"/>
      <c r="KJD46" s="478"/>
      <c r="KJE46" s="478"/>
      <c r="KJF46" s="478"/>
      <c r="KJG46" s="478"/>
      <c r="KJH46" s="478"/>
      <c r="KJI46" s="478"/>
      <c r="KJJ46" s="478"/>
      <c r="KJK46" s="478"/>
      <c r="KJL46" s="478"/>
      <c r="KJM46" s="478"/>
      <c r="KJN46" s="478"/>
      <c r="KJO46" s="478"/>
      <c r="KJP46" s="478"/>
      <c r="KJQ46" s="478"/>
      <c r="KJR46" s="478"/>
      <c r="KJS46" s="478"/>
      <c r="KJT46" s="478"/>
      <c r="KJU46" s="478"/>
      <c r="KJV46" s="478"/>
      <c r="KJW46" s="478"/>
      <c r="KJX46" s="478"/>
      <c r="KJY46" s="478"/>
      <c r="KJZ46" s="478"/>
      <c r="KKA46" s="478"/>
      <c r="KKB46" s="478"/>
      <c r="KKC46" s="478"/>
      <c r="KKD46" s="478"/>
      <c r="KKE46" s="478"/>
      <c r="KKF46" s="478"/>
      <c r="KKG46" s="478"/>
      <c r="KKH46" s="478"/>
      <c r="KKI46" s="478"/>
      <c r="KKJ46" s="478"/>
      <c r="KKK46" s="478"/>
      <c r="KKL46" s="478"/>
      <c r="KKM46" s="478"/>
      <c r="KKN46" s="478"/>
      <c r="KKO46" s="478"/>
      <c r="KKP46" s="478"/>
      <c r="KKQ46" s="478"/>
      <c r="KKR46" s="478"/>
      <c r="KKS46" s="478"/>
      <c r="KKT46" s="478"/>
      <c r="KKU46" s="478"/>
      <c r="KKV46" s="478"/>
      <c r="KKW46" s="478"/>
      <c r="KKX46" s="478"/>
      <c r="KKY46" s="478"/>
      <c r="KKZ46" s="478"/>
      <c r="KLA46" s="478"/>
      <c r="KLB46" s="478"/>
      <c r="KLC46" s="478"/>
      <c r="KLD46" s="478"/>
      <c r="KLE46" s="478"/>
      <c r="KLF46" s="478"/>
      <c r="KLG46" s="478"/>
      <c r="KLH46" s="478"/>
      <c r="KLI46" s="478"/>
      <c r="KLJ46" s="478"/>
      <c r="KLK46" s="478"/>
      <c r="KLL46" s="478"/>
      <c r="KLM46" s="478"/>
      <c r="KLN46" s="478"/>
      <c r="KLO46" s="478"/>
      <c r="KLP46" s="478"/>
      <c r="KLQ46" s="478"/>
      <c r="KLR46" s="478"/>
      <c r="KLS46" s="478"/>
      <c r="KLT46" s="478"/>
      <c r="KLU46" s="478"/>
      <c r="KLV46" s="478"/>
      <c r="KLW46" s="478"/>
      <c r="KLX46" s="478"/>
      <c r="KLY46" s="478"/>
      <c r="KLZ46" s="478"/>
      <c r="KMA46" s="478"/>
      <c r="KMB46" s="478"/>
      <c r="KMC46" s="478"/>
      <c r="KMD46" s="478"/>
      <c r="KME46" s="478"/>
      <c r="KMF46" s="478"/>
      <c r="KMG46" s="478"/>
      <c r="KMH46" s="478"/>
      <c r="KMI46" s="478"/>
      <c r="KMJ46" s="478"/>
      <c r="KMK46" s="478"/>
      <c r="KML46" s="478"/>
      <c r="KMM46" s="478"/>
      <c r="KMN46" s="478"/>
      <c r="KMO46" s="478"/>
      <c r="KMP46" s="478"/>
      <c r="KMQ46" s="478"/>
      <c r="KMR46" s="478"/>
      <c r="KMS46" s="478"/>
      <c r="KMT46" s="478"/>
      <c r="KMU46" s="478"/>
      <c r="KMV46" s="478"/>
      <c r="KMW46" s="478"/>
      <c r="KMX46" s="478"/>
      <c r="KMY46" s="478"/>
      <c r="KMZ46" s="478"/>
      <c r="KNA46" s="478"/>
      <c r="KNB46" s="478"/>
      <c r="KNC46" s="478"/>
      <c r="KND46" s="478"/>
      <c r="KNE46" s="478"/>
      <c r="KNF46" s="478"/>
      <c r="KNG46" s="478"/>
      <c r="KNH46" s="478"/>
      <c r="KNI46" s="478"/>
      <c r="KNJ46" s="478"/>
      <c r="KNK46" s="478"/>
      <c r="KNL46" s="478"/>
      <c r="KNM46" s="478"/>
      <c r="KNN46" s="478"/>
      <c r="KNO46" s="478"/>
      <c r="KNP46" s="478"/>
      <c r="KNQ46" s="478"/>
      <c r="KNR46" s="478"/>
      <c r="KNS46" s="478"/>
      <c r="KNT46" s="478"/>
      <c r="KNU46" s="478"/>
      <c r="KNV46" s="478"/>
      <c r="KNW46" s="478"/>
      <c r="KNX46" s="478"/>
      <c r="KNY46" s="478"/>
      <c r="KNZ46" s="478"/>
      <c r="KOA46" s="478"/>
      <c r="KOB46" s="478"/>
      <c r="KOC46" s="478"/>
      <c r="KOD46" s="478"/>
      <c r="KOE46" s="478"/>
      <c r="KOF46" s="478"/>
      <c r="KOG46" s="478"/>
      <c r="KOH46" s="478"/>
      <c r="KOI46" s="478"/>
      <c r="KOJ46" s="478"/>
      <c r="KOK46" s="478"/>
      <c r="KOL46" s="478"/>
      <c r="KOM46" s="478"/>
      <c r="KON46" s="478"/>
      <c r="KOO46" s="478"/>
      <c r="KOP46" s="478"/>
      <c r="KOQ46" s="478"/>
      <c r="KOR46" s="478"/>
      <c r="KOS46" s="478"/>
      <c r="KOT46" s="478"/>
      <c r="KOU46" s="478"/>
      <c r="KOV46" s="478"/>
      <c r="KOW46" s="478"/>
      <c r="KOX46" s="478"/>
      <c r="KOY46" s="478"/>
      <c r="KOZ46" s="478"/>
      <c r="KPA46" s="478"/>
      <c r="KPB46" s="478"/>
      <c r="KPC46" s="478"/>
      <c r="KPD46" s="478"/>
      <c r="KPE46" s="478"/>
      <c r="KPF46" s="478"/>
      <c r="KPG46" s="478"/>
      <c r="KPH46" s="478"/>
      <c r="KPI46" s="478"/>
      <c r="KPJ46" s="478"/>
      <c r="KPK46" s="478"/>
      <c r="KPL46" s="478"/>
      <c r="KPM46" s="478"/>
      <c r="KPN46" s="478"/>
      <c r="KPO46" s="478"/>
      <c r="KPP46" s="478"/>
      <c r="KPQ46" s="478"/>
      <c r="KPR46" s="478"/>
      <c r="KPS46" s="478"/>
      <c r="KPT46" s="478"/>
      <c r="KPU46" s="478"/>
      <c r="KPV46" s="478"/>
      <c r="KPW46" s="478"/>
      <c r="KPX46" s="478"/>
      <c r="KPY46" s="478"/>
      <c r="KPZ46" s="478"/>
      <c r="KQA46" s="478"/>
      <c r="KQB46" s="478"/>
      <c r="KQC46" s="478"/>
      <c r="KQD46" s="478"/>
      <c r="KQE46" s="478"/>
      <c r="KQF46" s="478"/>
      <c r="KQG46" s="478"/>
      <c r="KQH46" s="478"/>
      <c r="KQI46" s="478"/>
      <c r="KQJ46" s="478"/>
      <c r="KQK46" s="478"/>
      <c r="KQL46" s="478"/>
      <c r="KQM46" s="478"/>
      <c r="KQN46" s="478"/>
      <c r="KQO46" s="478"/>
      <c r="KQP46" s="478"/>
      <c r="KQQ46" s="478"/>
      <c r="KQR46" s="478"/>
      <c r="KQS46" s="478"/>
      <c r="KQT46" s="478"/>
      <c r="KQU46" s="478"/>
      <c r="KQV46" s="478"/>
      <c r="KQW46" s="478"/>
      <c r="KQX46" s="478"/>
      <c r="KQY46" s="478"/>
      <c r="KQZ46" s="478"/>
      <c r="KRA46" s="478"/>
      <c r="KRB46" s="478"/>
      <c r="KRC46" s="478"/>
      <c r="KRD46" s="478"/>
      <c r="KRE46" s="478"/>
      <c r="KRF46" s="478"/>
      <c r="KRG46" s="478"/>
      <c r="KRH46" s="478"/>
      <c r="KRI46" s="478"/>
      <c r="KRJ46" s="478"/>
      <c r="KRK46" s="478"/>
      <c r="KRL46" s="478"/>
      <c r="KRM46" s="478"/>
      <c r="KRN46" s="478"/>
      <c r="KRO46" s="478"/>
      <c r="KRP46" s="478"/>
      <c r="KRQ46" s="478"/>
      <c r="KRR46" s="478"/>
      <c r="KRS46" s="478"/>
      <c r="KRT46" s="478"/>
      <c r="KRU46" s="478"/>
      <c r="KRV46" s="478"/>
      <c r="KRW46" s="478"/>
      <c r="KRX46" s="478"/>
      <c r="KRY46" s="478"/>
      <c r="KRZ46" s="478"/>
      <c r="KSA46" s="478"/>
      <c r="KSB46" s="478"/>
      <c r="KSC46" s="478"/>
      <c r="KSD46" s="478"/>
      <c r="KSE46" s="478"/>
      <c r="KSF46" s="478"/>
      <c r="KSG46" s="478"/>
      <c r="KSH46" s="478"/>
      <c r="KSI46" s="478"/>
      <c r="KSJ46" s="478"/>
      <c r="KSK46" s="478"/>
      <c r="KSL46" s="478"/>
      <c r="KSM46" s="478"/>
      <c r="KSN46" s="478"/>
      <c r="KSO46" s="478"/>
      <c r="KSP46" s="478"/>
      <c r="KSQ46" s="478"/>
      <c r="KSR46" s="478"/>
      <c r="KSS46" s="478"/>
      <c r="KST46" s="478"/>
      <c r="KSU46" s="478"/>
      <c r="KSV46" s="478"/>
      <c r="KSW46" s="478"/>
      <c r="KSX46" s="478"/>
      <c r="KSY46" s="478"/>
      <c r="KSZ46" s="478"/>
      <c r="KTA46" s="478"/>
      <c r="KTB46" s="478"/>
      <c r="KTC46" s="478"/>
      <c r="KTD46" s="478"/>
      <c r="KTE46" s="478"/>
      <c r="KTF46" s="478"/>
      <c r="KTG46" s="478"/>
      <c r="KTH46" s="478"/>
      <c r="KTI46" s="478"/>
      <c r="KTJ46" s="478"/>
      <c r="KTK46" s="478"/>
      <c r="KTL46" s="478"/>
      <c r="KTM46" s="478"/>
      <c r="KTN46" s="478"/>
      <c r="KTO46" s="478"/>
      <c r="KTP46" s="478"/>
      <c r="KTQ46" s="478"/>
      <c r="KTR46" s="478"/>
      <c r="KTS46" s="478"/>
      <c r="KTT46" s="478"/>
      <c r="KTU46" s="478"/>
      <c r="KTV46" s="478"/>
      <c r="KTW46" s="478"/>
      <c r="KTX46" s="478"/>
      <c r="KTY46" s="478"/>
      <c r="KTZ46" s="478"/>
      <c r="KUA46" s="478"/>
      <c r="KUB46" s="478"/>
      <c r="KUC46" s="478"/>
      <c r="KUD46" s="478"/>
      <c r="KUE46" s="478"/>
      <c r="KUF46" s="478"/>
      <c r="KUG46" s="478"/>
      <c r="KUH46" s="478"/>
      <c r="KUI46" s="478"/>
      <c r="KUJ46" s="478"/>
      <c r="KUK46" s="478"/>
      <c r="KUL46" s="478"/>
      <c r="KUM46" s="478"/>
      <c r="KUN46" s="478"/>
      <c r="KUO46" s="478"/>
      <c r="KUP46" s="478"/>
      <c r="KUQ46" s="478"/>
      <c r="KUR46" s="478"/>
      <c r="KUS46" s="478"/>
      <c r="KUT46" s="478"/>
      <c r="KUU46" s="478"/>
      <c r="KUV46" s="478"/>
      <c r="KUW46" s="478"/>
      <c r="KUX46" s="478"/>
      <c r="KUY46" s="478"/>
      <c r="KUZ46" s="478"/>
      <c r="KVA46" s="478"/>
      <c r="KVB46" s="478"/>
      <c r="KVC46" s="478"/>
      <c r="KVD46" s="478"/>
      <c r="KVE46" s="478"/>
      <c r="KVF46" s="478"/>
      <c r="KVG46" s="478"/>
      <c r="KVH46" s="478"/>
      <c r="KVI46" s="478"/>
      <c r="KVJ46" s="478"/>
      <c r="KVK46" s="478"/>
      <c r="KVL46" s="478"/>
      <c r="KVM46" s="478"/>
      <c r="KVN46" s="478"/>
      <c r="KVO46" s="478"/>
      <c r="KVP46" s="478"/>
      <c r="KVQ46" s="478"/>
      <c r="KVR46" s="478"/>
      <c r="KVS46" s="478"/>
      <c r="KVT46" s="478"/>
      <c r="KVU46" s="478"/>
      <c r="KVV46" s="478"/>
      <c r="KVW46" s="478"/>
      <c r="KVX46" s="478"/>
      <c r="KVY46" s="478"/>
      <c r="KVZ46" s="478"/>
      <c r="KWA46" s="478"/>
      <c r="KWB46" s="478"/>
      <c r="KWC46" s="478"/>
      <c r="KWD46" s="478"/>
      <c r="KWE46" s="478"/>
      <c r="KWF46" s="478"/>
      <c r="KWG46" s="478"/>
      <c r="KWH46" s="478"/>
      <c r="KWI46" s="478"/>
      <c r="KWJ46" s="478"/>
      <c r="KWK46" s="478"/>
      <c r="KWL46" s="478"/>
      <c r="KWM46" s="478"/>
      <c r="KWN46" s="478"/>
      <c r="KWO46" s="478"/>
      <c r="KWP46" s="478"/>
      <c r="KWQ46" s="478"/>
      <c r="KWR46" s="478"/>
      <c r="KWS46" s="478"/>
      <c r="KWT46" s="478"/>
      <c r="KWU46" s="478"/>
      <c r="KWV46" s="478"/>
      <c r="KWW46" s="478"/>
      <c r="KWX46" s="478"/>
      <c r="KWY46" s="478"/>
      <c r="KWZ46" s="478"/>
      <c r="KXA46" s="478"/>
      <c r="KXB46" s="478"/>
      <c r="KXC46" s="478"/>
      <c r="KXD46" s="478"/>
      <c r="KXE46" s="478"/>
      <c r="KXF46" s="478"/>
      <c r="KXG46" s="478"/>
      <c r="KXH46" s="478"/>
      <c r="KXI46" s="478"/>
      <c r="KXJ46" s="478"/>
      <c r="KXK46" s="478"/>
      <c r="KXL46" s="478"/>
      <c r="KXM46" s="478"/>
      <c r="KXN46" s="478"/>
      <c r="KXO46" s="478"/>
      <c r="KXP46" s="478"/>
      <c r="KXQ46" s="478"/>
      <c r="KXR46" s="478"/>
      <c r="KXS46" s="478"/>
      <c r="KXT46" s="478"/>
      <c r="KXU46" s="478"/>
      <c r="KXV46" s="478"/>
      <c r="KXW46" s="478"/>
      <c r="KXX46" s="478"/>
      <c r="KXY46" s="478"/>
      <c r="KXZ46" s="478"/>
      <c r="KYA46" s="478"/>
      <c r="KYB46" s="478"/>
      <c r="KYC46" s="478"/>
      <c r="KYD46" s="478"/>
      <c r="KYE46" s="478"/>
      <c r="KYF46" s="478"/>
      <c r="KYG46" s="478"/>
      <c r="KYH46" s="478"/>
      <c r="KYI46" s="478"/>
      <c r="KYJ46" s="478"/>
      <c r="KYK46" s="478"/>
      <c r="KYL46" s="478"/>
      <c r="KYM46" s="478"/>
      <c r="KYN46" s="478"/>
      <c r="KYO46" s="478"/>
      <c r="KYP46" s="478"/>
      <c r="KYQ46" s="478"/>
      <c r="KYR46" s="478"/>
      <c r="KYS46" s="478"/>
      <c r="KYT46" s="478"/>
      <c r="KYU46" s="478"/>
      <c r="KYV46" s="478"/>
      <c r="KYW46" s="478"/>
      <c r="KYX46" s="478"/>
      <c r="KYY46" s="478"/>
      <c r="KYZ46" s="478"/>
      <c r="KZA46" s="478"/>
      <c r="KZB46" s="478"/>
      <c r="KZC46" s="478"/>
      <c r="KZD46" s="478"/>
      <c r="KZE46" s="478"/>
      <c r="KZF46" s="478"/>
      <c r="KZG46" s="478"/>
      <c r="KZH46" s="478"/>
      <c r="KZI46" s="478"/>
      <c r="KZJ46" s="478"/>
      <c r="KZK46" s="478"/>
      <c r="KZL46" s="478"/>
      <c r="KZM46" s="478"/>
      <c r="KZN46" s="478"/>
      <c r="KZO46" s="478"/>
      <c r="KZP46" s="478"/>
      <c r="KZQ46" s="478"/>
      <c r="KZR46" s="478"/>
      <c r="KZS46" s="478"/>
      <c r="KZT46" s="478"/>
      <c r="KZU46" s="478"/>
      <c r="KZV46" s="478"/>
      <c r="KZW46" s="478"/>
      <c r="KZX46" s="478"/>
      <c r="KZY46" s="478"/>
      <c r="KZZ46" s="478"/>
      <c r="LAA46" s="478"/>
      <c r="LAB46" s="478"/>
      <c r="LAC46" s="478"/>
      <c r="LAD46" s="478"/>
      <c r="LAE46" s="478"/>
      <c r="LAF46" s="478"/>
      <c r="LAG46" s="478"/>
      <c r="LAH46" s="478"/>
      <c r="LAI46" s="478"/>
      <c r="LAJ46" s="478"/>
      <c r="LAK46" s="478"/>
      <c r="LAL46" s="478"/>
      <c r="LAM46" s="478"/>
      <c r="LAN46" s="478"/>
      <c r="LAO46" s="478"/>
      <c r="LAP46" s="478"/>
      <c r="LAQ46" s="478"/>
      <c r="LAR46" s="478"/>
      <c r="LAS46" s="478"/>
      <c r="LAT46" s="478"/>
      <c r="LAU46" s="478"/>
      <c r="LAV46" s="478"/>
      <c r="LAW46" s="478"/>
      <c r="LAX46" s="478"/>
      <c r="LAY46" s="478"/>
      <c r="LAZ46" s="478"/>
      <c r="LBA46" s="478"/>
      <c r="LBB46" s="478"/>
      <c r="LBC46" s="478"/>
      <c r="LBD46" s="478"/>
      <c r="LBE46" s="478"/>
      <c r="LBF46" s="478"/>
      <c r="LBG46" s="478"/>
      <c r="LBH46" s="478"/>
      <c r="LBI46" s="478"/>
      <c r="LBJ46" s="478"/>
      <c r="LBK46" s="478"/>
      <c r="LBL46" s="478"/>
      <c r="LBM46" s="478"/>
      <c r="LBN46" s="478"/>
      <c r="LBO46" s="478"/>
      <c r="LBP46" s="478"/>
      <c r="LBQ46" s="478"/>
      <c r="LBR46" s="478"/>
      <c r="LBS46" s="478"/>
      <c r="LBT46" s="478"/>
      <c r="LBU46" s="478"/>
      <c r="LBV46" s="478"/>
      <c r="LBW46" s="478"/>
      <c r="LBX46" s="478"/>
      <c r="LBY46" s="478"/>
      <c r="LBZ46" s="478"/>
      <c r="LCA46" s="478"/>
      <c r="LCB46" s="478"/>
      <c r="LCC46" s="478"/>
      <c r="LCD46" s="478"/>
      <c r="LCE46" s="478"/>
      <c r="LCF46" s="478"/>
      <c r="LCG46" s="478"/>
      <c r="LCH46" s="478"/>
      <c r="LCI46" s="478"/>
      <c r="LCJ46" s="478"/>
      <c r="LCK46" s="478"/>
      <c r="LCL46" s="478"/>
      <c r="LCM46" s="478"/>
      <c r="LCN46" s="478"/>
      <c r="LCO46" s="478"/>
      <c r="LCP46" s="478"/>
      <c r="LCQ46" s="478"/>
      <c r="LCR46" s="478"/>
      <c r="LCS46" s="478"/>
      <c r="LCT46" s="478"/>
      <c r="LCU46" s="478"/>
      <c r="LCV46" s="478"/>
      <c r="LCW46" s="478"/>
      <c r="LCX46" s="478"/>
      <c r="LCY46" s="478"/>
      <c r="LCZ46" s="478"/>
      <c r="LDA46" s="478"/>
      <c r="LDB46" s="478"/>
      <c r="LDC46" s="478"/>
      <c r="LDD46" s="478"/>
      <c r="LDE46" s="478"/>
      <c r="LDF46" s="478"/>
      <c r="LDG46" s="478"/>
      <c r="LDH46" s="478"/>
      <c r="LDI46" s="478"/>
      <c r="LDJ46" s="478"/>
      <c r="LDK46" s="478"/>
      <c r="LDL46" s="478"/>
      <c r="LDM46" s="478"/>
      <c r="LDN46" s="478"/>
      <c r="LDO46" s="478"/>
      <c r="LDP46" s="478"/>
      <c r="LDQ46" s="478"/>
      <c r="LDR46" s="478"/>
      <c r="LDS46" s="478"/>
      <c r="LDT46" s="478"/>
      <c r="LDU46" s="478"/>
      <c r="LDV46" s="478"/>
      <c r="LDW46" s="478"/>
      <c r="LDX46" s="478"/>
      <c r="LDY46" s="478"/>
      <c r="LDZ46" s="478"/>
      <c r="LEA46" s="478"/>
      <c r="LEB46" s="478"/>
      <c r="LEC46" s="478"/>
      <c r="LED46" s="478"/>
      <c r="LEE46" s="478"/>
      <c r="LEF46" s="478"/>
      <c r="LEG46" s="478"/>
      <c r="LEH46" s="478"/>
      <c r="LEI46" s="478"/>
      <c r="LEJ46" s="478"/>
      <c r="LEK46" s="478"/>
      <c r="LEL46" s="478"/>
      <c r="LEM46" s="478"/>
      <c r="LEN46" s="478"/>
      <c r="LEO46" s="478"/>
      <c r="LEP46" s="478"/>
      <c r="LEQ46" s="478"/>
      <c r="LER46" s="478"/>
      <c r="LES46" s="478"/>
      <c r="LET46" s="478"/>
      <c r="LEU46" s="478"/>
      <c r="LEV46" s="478"/>
      <c r="LEW46" s="478"/>
      <c r="LEX46" s="478"/>
      <c r="LEY46" s="478"/>
      <c r="LEZ46" s="478"/>
      <c r="LFA46" s="478"/>
      <c r="LFB46" s="478"/>
      <c r="LFC46" s="478"/>
      <c r="LFD46" s="478"/>
      <c r="LFE46" s="478"/>
      <c r="LFF46" s="478"/>
      <c r="LFG46" s="478"/>
      <c r="LFH46" s="478"/>
      <c r="LFI46" s="478"/>
      <c r="LFJ46" s="478"/>
      <c r="LFK46" s="478"/>
      <c r="LFL46" s="478"/>
      <c r="LFM46" s="478"/>
      <c r="LFN46" s="478"/>
      <c r="LFO46" s="478"/>
      <c r="LFP46" s="478"/>
      <c r="LFQ46" s="478"/>
      <c r="LFR46" s="478"/>
      <c r="LFS46" s="478"/>
      <c r="LFT46" s="478"/>
      <c r="LFU46" s="478"/>
      <c r="LFV46" s="478"/>
      <c r="LFW46" s="478"/>
      <c r="LFX46" s="478"/>
      <c r="LFY46" s="478"/>
      <c r="LFZ46" s="478"/>
      <c r="LGA46" s="478"/>
      <c r="LGB46" s="478"/>
      <c r="LGC46" s="478"/>
      <c r="LGD46" s="478"/>
      <c r="LGE46" s="478"/>
      <c r="LGF46" s="478"/>
      <c r="LGG46" s="478"/>
      <c r="LGH46" s="478"/>
      <c r="LGI46" s="478"/>
      <c r="LGJ46" s="478"/>
      <c r="LGK46" s="478"/>
      <c r="LGL46" s="478"/>
      <c r="LGM46" s="478"/>
      <c r="LGN46" s="478"/>
      <c r="LGO46" s="478"/>
      <c r="LGP46" s="478"/>
      <c r="LGQ46" s="478"/>
      <c r="LGR46" s="478"/>
      <c r="LGS46" s="478"/>
      <c r="LGT46" s="478"/>
      <c r="LGU46" s="478"/>
      <c r="LGV46" s="478"/>
      <c r="LGW46" s="478"/>
      <c r="LGX46" s="478"/>
      <c r="LGY46" s="478"/>
      <c r="LGZ46" s="478"/>
      <c r="LHA46" s="478"/>
      <c r="LHB46" s="478"/>
      <c r="LHC46" s="478"/>
      <c r="LHD46" s="478"/>
      <c r="LHE46" s="478"/>
      <c r="LHF46" s="478"/>
      <c r="LHG46" s="478"/>
      <c r="LHH46" s="478"/>
      <c r="LHI46" s="478"/>
      <c r="LHJ46" s="478"/>
      <c r="LHK46" s="478"/>
      <c r="LHL46" s="478"/>
      <c r="LHM46" s="478"/>
      <c r="LHN46" s="478"/>
      <c r="LHO46" s="478"/>
      <c r="LHP46" s="478"/>
      <c r="LHQ46" s="478"/>
      <c r="LHR46" s="478"/>
      <c r="LHS46" s="478"/>
      <c r="LHT46" s="478"/>
      <c r="LHU46" s="478"/>
      <c r="LHV46" s="478"/>
      <c r="LHW46" s="478"/>
      <c r="LHX46" s="478"/>
      <c r="LHY46" s="478"/>
      <c r="LHZ46" s="478"/>
      <c r="LIA46" s="478"/>
      <c r="LIB46" s="478"/>
      <c r="LIC46" s="478"/>
      <c r="LID46" s="478"/>
      <c r="LIE46" s="478"/>
      <c r="LIF46" s="478"/>
      <c r="LIG46" s="478"/>
      <c r="LIH46" s="478"/>
      <c r="LII46" s="478"/>
      <c r="LIJ46" s="478"/>
      <c r="LIK46" s="478"/>
      <c r="LIL46" s="478"/>
      <c r="LIM46" s="478"/>
      <c r="LIN46" s="478"/>
      <c r="LIO46" s="478"/>
      <c r="LIP46" s="478"/>
      <c r="LIQ46" s="478"/>
      <c r="LIR46" s="478"/>
      <c r="LIS46" s="478"/>
      <c r="LIT46" s="478"/>
      <c r="LIU46" s="478"/>
      <c r="LIV46" s="478"/>
      <c r="LIW46" s="478"/>
      <c r="LIX46" s="478"/>
      <c r="LIY46" s="478"/>
      <c r="LIZ46" s="478"/>
      <c r="LJA46" s="478"/>
      <c r="LJB46" s="478"/>
      <c r="LJC46" s="478"/>
      <c r="LJD46" s="478"/>
      <c r="LJE46" s="478"/>
      <c r="LJF46" s="478"/>
      <c r="LJG46" s="478"/>
      <c r="LJH46" s="478"/>
      <c r="LJI46" s="478"/>
      <c r="LJJ46" s="478"/>
      <c r="LJK46" s="478"/>
      <c r="LJL46" s="478"/>
      <c r="LJM46" s="478"/>
      <c r="LJN46" s="478"/>
      <c r="LJO46" s="478"/>
      <c r="LJP46" s="478"/>
      <c r="LJQ46" s="478"/>
      <c r="LJR46" s="478"/>
      <c r="LJS46" s="478"/>
      <c r="LJT46" s="478"/>
      <c r="LJU46" s="478"/>
      <c r="LJV46" s="478"/>
      <c r="LJW46" s="478"/>
      <c r="LJX46" s="478"/>
      <c r="LJY46" s="478"/>
      <c r="LJZ46" s="478"/>
      <c r="LKA46" s="478"/>
      <c r="LKB46" s="478"/>
      <c r="LKC46" s="478"/>
      <c r="LKD46" s="478"/>
      <c r="LKE46" s="478"/>
      <c r="LKF46" s="478"/>
      <c r="LKG46" s="478"/>
      <c r="LKH46" s="478"/>
      <c r="LKI46" s="478"/>
      <c r="LKJ46" s="478"/>
      <c r="LKK46" s="478"/>
      <c r="LKL46" s="478"/>
      <c r="LKM46" s="478"/>
      <c r="LKN46" s="478"/>
      <c r="LKO46" s="478"/>
      <c r="LKP46" s="478"/>
      <c r="LKQ46" s="478"/>
      <c r="LKR46" s="478"/>
      <c r="LKS46" s="478"/>
      <c r="LKT46" s="478"/>
      <c r="LKU46" s="478"/>
      <c r="LKV46" s="478"/>
      <c r="LKW46" s="478"/>
      <c r="LKX46" s="478"/>
      <c r="LKY46" s="478"/>
      <c r="LKZ46" s="478"/>
      <c r="LLA46" s="478"/>
      <c r="LLB46" s="478"/>
      <c r="LLC46" s="478"/>
      <c r="LLD46" s="478"/>
      <c r="LLE46" s="478"/>
      <c r="LLF46" s="478"/>
      <c r="LLG46" s="478"/>
      <c r="LLH46" s="478"/>
      <c r="LLI46" s="478"/>
      <c r="LLJ46" s="478"/>
      <c r="LLK46" s="478"/>
      <c r="LLL46" s="478"/>
      <c r="LLM46" s="478"/>
      <c r="LLN46" s="478"/>
      <c r="LLO46" s="478"/>
      <c r="LLP46" s="478"/>
      <c r="LLQ46" s="478"/>
      <c r="LLR46" s="478"/>
      <c r="LLS46" s="478"/>
      <c r="LLT46" s="478"/>
      <c r="LLU46" s="478"/>
      <c r="LLV46" s="478"/>
      <c r="LLW46" s="478"/>
      <c r="LLX46" s="478"/>
      <c r="LLY46" s="478"/>
      <c r="LLZ46" s="478"/>
      <c r="LMA46" s="478"/>
      <c r="LMB46" s="478"/>
      <c r="LMC46" s="478"/>
      <c r="LMD46" s="478"/>
      <c r="LME46" s="478"/>
      <c r="LMF46" s="478"/>
      <c r="LMG46" s="478"/>
      <c r="LMH46" s="478"/>
      <c r="LMI46" s="478"/>
      <c r="LMJ46" s="478"/>
      <c r="LMK46" s="478"/>
      <c r="LML46" s="478"/>
      <c r="LMM46" s="478"/>
      <c r="LMN46" s="478"/>
      <c r="LMO46" s="478"/>
      <c r="LMP46" s="478"/>
      <c r="LMQ46" s="478"/>
      <c r="LMR46" s="478"/>
      <c r="LMS46" s="478"/>
      <c r="LMT46" s="478"/>
      <c r="LMU46" s="478"/>
      <c r="LMV46" s="478"/>
      <c r="LMW46" s="478"/>
      <c r="LMX46" s="478"/>
      <c r="LMY46" s="478"/>
      <c r="LMZ46" s="478"/>
      <c r="LNA46" s="478"/>
      <c r="LNB46" s="478"/>
      <c r="LNC46" s="478"/>
      <c r="LND46" s="478"/>
      <c r="LNE46" s="478"/>
      <c r="LNF46" s="478"/>
      <c r="LNG46" s="478"/>
      <c r="LNH46" s="478"/>
      <c r="LNI46" s="478"/>
      <c r="LNJ46" s="478"/>
      <c r="LNK46" s="478"/>
      <c r="LNL46" s="478"/>
      <c r="LNM46" s="478"/>
      <c r="LNN46" s="478"/>
      <c r="LNO46" s="478"/>
      <c r="LNP46" s="478"/>
      <c r="LNQ46" s="478"/>
      <c r="LNR46" s="478"/>
      <c r="LNS46" s="478"/>
      <c r="LNT46" s="478"/>
      <c r="LNU46" s="478"/>
      <c r="LNV46" s="478"/>
      <c r="LNW46" s="478"/>
      <c r="LNX46" s="478"/>
      <c r="LNY46" s="478"/>
      <c r="LNZ46" s="478"/>
      <c r="LOA46" s="478"/>
      <c r="LOB46" s="478"/>
      <c r="LOC46" s="478"/>
      <c r="LOD46" s="478"/>
      <c r="LOE46" s="478"/>
      <c r="LOF46" s="478"/>
      <c r="LOG46" s="478"/>
      <c r="LOH46" s="478"/>
      <c r="LOI46" s="478"/>
      <c r="LOJ46" s="478"/>
      <c r="LOK46" s="478"/>
      <c r="LOL46" s="478"/>
      <c r="LOM46" s="478"/>
      <c r="LON46" s="478"/>
      <c r="LOO46" s="478"/>
      <c r="LOP46" s="478"/>
      <c r="LOQ46" s="478"/>
      <c r="LOR46" s="478"/>
      <c r="LOS46" s="478"/>
      <c r="LOT46" s="478"/>
      <c r="LOU46" s="478"/>
      <c r="LOV46" s="478"/>
      <c r="LOW46" s="478"/>
      <c r="LOX46" s="478"/>
      <c r="LOY46" s="478"/>
      <c r="LOZ46" s="478"/>
      <c r="LPA46" s="478"/>
      <c r="LPB46" s="478"/>
      <c r="LPC46" s="478"/>
      <c r="LPD46" s="478"/>
      <c r="LPE46" s="478"/>
      <c r="LPF46" s="478"/>
      <c r="LPG46" s="478"/>
      <c r="LPH46" s="478"/>
      <c r="LPI46" s="478"/>
      <c r="LPJ46" s="478"/>
      <c r="LPK46" s="478"/>
      <c r="LPL46" s="478"/>
      <c r="LPM46" s="478"/>
      <c r="LPN46" s="478"/>
      <c r="LPO46" s="478"/>
      <c r="LPP46" s="478"/>
      <c r="LPQ46" s="478"/>
      <c r="LPR46" s="478"/>
      <c r="LPS46" s="478"/>
      <c r="LPT46" s="478"/>
      <c r="LPU46" s="478"/>
      <c r="LPV46" s="478"/>
      <c r="LPW46" s="478"/>
      <c r="LPX46" s="478"/>
      <c r="LPY46" s="478"/>
      <c r="LPZ46" s="478"/>
      <c r="LQA46" s="478"/>
      <c r="LQB46" s="478"/>
      <c r="LQC46" s="478"/>
      <c r="LQD46" s="478"/>
      <c r="LQE46" s="478"/>
      <c r="LQF46" s="478"/>
      <c r="LQG46" s="478"/>
      <c r="LQH46" s="478"/>
      <c r="LQI46" s="478"/>
      <c r="LQJ46" s="478"/>
      <c r="LQK46" s="478"/>
      <c r="LQL46" s="478"/>
      <c r="LQM46" s="478"/>
      <c r="LQN46" s="478"/>
      <c r="LQO46" s="478"/>
      <c r="LQP46" s="478"/>
      <c r="LQQ46" s="478"/>
      <c r="LQR46" s="478"/>
      <c r="LQS46" s="478"/>
      <c r="LQT46" s="478"/>
      <c r="LQU46" s="478"/>
      <c r="LQV46" s="478"/>
      <c r="LQW46" s="478"/>
      <c r="LQX46" s="478"/>
      <c r="LQY46" s="478"/>
      <c r="LQZ46" s="478"/>
      <c r="LRA46" s="478"/>
      <c r="LRB46" s="478"/>
      <c r="LRC46" s="478"/>
      <c r="LRD46" s="478"/>
      <c r="LRE46" s="478"/>
      <c r="LRF46" s="478"/>
      <c r="LRG46" s="478"/>
      <c r="LRH46" s="478"/>
      <c r="LRI46" s="478"/>
      <c r="LRJ46" s="478"/>
      <c r="LRK46" s="478"/>
      <c r="LRL46" s="478"/>
      <c r="LRM46" s="478"/>
      <c r="LRN46" s="478"/>
      <c r="LRO46" s="478"/>
      <c r="LRP46" s="478"/>
      <c r="LRQ46" s="478"/>
      <c r="LRR46" s="478"/>
      <c r="LRS46" s="478"/>
      <c r="LRT46" s="478"/>
      <c r="LRU46" s="478"/>
      <c r="LRV46" s="478"/>
      <c r="LRW46" s="478"/>
      <c r="LRX46" s="478"/>
      <c r="LRY46" s="478"/>
      <c r="LRZ46" s="478"/>
      <c r="LSA46" s="478"/>
      <c r="LSB46" s="478"/>
      <c r="LSC46" s="478"/>
      <c r="LSD46" s="478"/>
      <c r="LSE46" s="478"/>
      <c r="LSF46" s="478"/>
      <c r="LSG46" s="478"/>
      <c r="LSH46" s="478"/>
      <c r="LSI46" s="478"/>
      <c r="LSJ46" s="478"/>
      <c r="LSK46" s="478"/>
      <c r="LSL46" s="478"/>
      <c r="LSM46" s="478"/>
      <c r="LSN46" s="478"/>
      <c r="LSO46" s="478"/>
      <c r="LSP46" s="478"/>
      <c r="LSQ46" s="478"/>
      <c r="LSR46" s="478"/>
      <c r="LSS46" s="478"/>
      <c r="LST46" s="478"/>
      <c r="LSU46" s="478"/>
      <c r="LSV46" s="478"/>
      <c r="LSW46" s="478"/>
      <c r="LSX46" s="478"/>
      <c r="LSY46" s="478"/>
      <c r="LSZ46" s="478"/>
      <c r="LTA46" s="478"/>
      <c r="LTB46" s="478"/>
      <c r="LTC46" s="478"/>
      <c r="LTD46" s="478"/>
      <c r="LTE46" s="478"/>
      <c r="LTF46" s="478"/>
      <c r="LTG46" s="478"/>
      <c r="LTH46" s="478"/>
      <c r="LTI46" s="478"/>
      <c r="LTJ46" s="478"/>
      <c r="LTK46" s="478"/>
      <c r="LTL46" s="478"/>
      <c r="LTM46" s="478"/>
      <c r="LTN46" s="478"/>
      <c r="LTO46" s="478"/>
      <c r="LTP46" s="478"/>
      <c r="LTQ46" s="478"/>
      <c r="LTR46" s="478"/>
      <c r="LTS46" s="478"/>
      <c r="LTT46" s="478"/>
      <c r="LTU46" s="478"/>
      <c r="LTV46" s="478"/>
      <c r="LTW46" s="478"/>
      <c r="LTX46" s="478"/>
      <c r="LTY46" s="478"/>
      <c r="LTZ46" s="478"/>
      <c r="LUA46" s="478"/>
      <c r="LUB46" s="478"/>
      <c r="LUC46" s="478"/>
      <c r="LUD46" s="478"/>
      <c r="LUE46" s="478"/>
      <c r="LUF46" s="478"/>
      <c r="LUG46" s="478"/>
      <c r="LUH46" s="478"/>
      <c r="LUI46" s="478"/>
      <c r="LUJ46" s="478"/>
      <c r="LUK46" s="478"/>
      <c r="LUL46" s="478"/>
      <c r="LUM46" s="478"/>
      <c r="LUN46" s="478"/>
      <c r="LUO46" s="478"/>
      <c r="LUP46" s="478"/>
      <c r="LUQ46" s="478"/>
      <c r="LUR46" s="478"/>
      <c r="LUS46" s="478"/>
      <c r="LUT46" s="478"/>
      <c r="LUU46" s="478"/>
      <c r="LUV46" s="478"/>
      <c r="LUW46" s="478"/>
      <c r="LUX46" s="478"/>
      <c r="LUY46" s="478"/>
      <c r="LUZ46" s="478"/>
      <c r="LVA46" s="478"/>
      <c r="LVB46" s="478"/>
      <c r="LVC46" s="478"/>
      <c r="LVD46" s="478"/>
      <c r="LVE46" s="478"/>
      <c r="LVF46" s="478"/>
      <c r="LVG46" s="478"/>
      <c r="LVH46" s="478"/>
      <c r="LVI46" s="478"/>
      <c r="LVJ46" s="478"/>
      <c r="LVK46" s="478"/>
      <c r="LVL46" s="478"/>
      <c r="LVM46" s="478"/>
      <c r="LVN46" s="478"/>
      <c r="LVO46" s="478"/>
      <c r="LVP46" s="478"/>
      <c r="LVQ46" s="478"/>
      <c r="LVR46" s="478"/>
      <c r="LVS46" s="478"/>
      <c r="LVT46" s="478"/>
      <c r="LVU46" s="478"/>
      <c r="LVV46" s="478"/>
      <c r="LVW46" s="478"/>
      <c r="LVX46" s="478"/>
      <c r="LVY46" s="478"/>
      <c r="LVZ46" s="478"/>
      <c r="LWA46" s="478"/>
      <c r="LWB46" s="478"/>
      <c r="LWC46" s="478"/>
      <c r="LWD46" s="478"/>
      <c r="LWE46" s="478"/>
      <c r="LWF46" s="478"/>
      <c r="LWG46" s="478"/>
      <c r="LWH46" s="478"/>
      <c r="LWI46" s="478"/>
      <c r="LWJ46" s="478"/>
      <c r="LWK46" s="478"/>
      <c r="LWL46" s="478"/>
      <c r="LWM46" s="478"/>
      <c r="LWN46" s="478"/>
      <c r="LWO46" s="478"/>
      <c r="LWP46" s="478"/>
      <c r="LWQ46" s="478"/>
      <c r="LWR46" s="478"/>
      <c r="LWS46" s="478"/>
      <c r="LWT46" s="478"/>
      <c r="LWU46" s="478"/>
      <c r="LWV46" s="478"/>
      <c r="LWW46" s="478"/>
      <c r="LWX46" s="478"/>
      <c r="LWY46" s="478"/>
      <c r="LWZ46" s="478"/>
      <c r="LXA46" s="478"/>
      <c r="LXB46" s="478"/>
      <c r="LXC46" s="478"/>
      <c r="LXD46" s="478"/>
      <c r="LXE46" s="478"/>
      <c r="LXF46" s="478"/>
      <c r="LXG46" s="478"/>
      <c r="LXH46" s="478"/>
      <c r="LXI46" s="478"/>
      <c r="LXJ46" s="478"/>
      <c r="LXK46" s="478"/>
      <c r="LXL46" s="478"/>
      <c r="LXM46" s="478"/>
      <c r="LXN46" s="478"/>
      <c r="LXO46" s="478"/>
      <c r="LXP46" s="478"/>
      <c r="LXQ46" s="478"/>
      <c r="LXR46" s="478"/>
      <c r="LXS46" s="478"/>
      <c r="LXT46" s="478"/>
      <c r="LXU46" s="478"/>
      <c r="LXV46" s="478"/>
      <c r="LXW46" s="478"/>
      <c r="LXX46" s="478"/>
      <c r="LXY46" s="478"/>
      <c r="LXZ46" s="478"/>
      <c r="LYA46" s="478"/>
      <c r="LYB46" s="478"/>
      <c r="LYC46" s="478"/>
      <c r="LYD46" s="478"/>
      <c r="LYE46" s="478"/>
      <c r="LYF46" s="478"/>
      <c r="LYG46" s="478"/>
      <c r="LYH46" s="478"/>
      <c r="LYI46" s="478"/>
      <c r="LYJ46" s="478"/>
      <c r="LYK46" s="478"/>
      <c r="LYL46" s="478"/>
      <c r="LYM46" s="478"/>
      <c r="LYN46" s="478"/>
      <c r="LYO46" s="478"/>
      <c r="LYP46" s="478"/>
      <c r="LYQ46" s="478"/>
      <c r="LYR46" s="478"/>
      <c r="LYS46" s="478"/>
      <c r="LYT46" s="478"/>
      <c r="LYU46" s="478"/>
      <c r="LYV46" s="478"/>
      <c r="LYW46" s="478"/>
      <c r="LYX46" s="478"/>
      <c r="LYY46" s="478"/>
      <c r="LYZ46" s="478"/>
      <c r="LZA46" s="478"/>
      <c r="LZB46" s="478"/>
      <c r="LZC46" s="478"/>
      <c r="LZD46" s="478"/>
      <c r="LZE46" s="478"/>
      <c r="LZF46" s="478"/>
      <c r="LZG46" s="478"/>
      <c r="LZH46" s="478"/>
      <c r="LZI46" s="478"/>
      <c r="LZJ46" s="478"/>
      <c r="LZK46" s="478"/>
      <c r="LZL46" s="478"/>
      <c r="LZM46" s="478"/>
      <c r="LZN46" s="478"/>
      <c r="LZO46" s="478"/>
      <c r="LZP46" s="478"/>
      <c r="LZQ46" s="478"/>
      <c r="LZR46" s="478"/>
      <c r="LZS46" s="478"/>
      <c r="LZT46" s="478"/>
      <c r="LZU46" s="478"/>
      <c r="LZV46" s="478"/>
      <c r="LZW46" s="478"/>
      <c r="LZX46" s="478"/>
      <c r="LZY46" s="478"/>
      <c r="LZZ46" s="478"/>
      <c r="MAA46" s="478"/>
      <c r="MAB46" s="478"/>
      <c r="MAC46" s="478"/>
      <c r="MAD46" s="478"/>
      <c r="MAE46" s="478"/>
      <c r="MAF46" s="478"/>
      <c r="MAG46" s="478"/>
      <c r="MAH46" s="478"/>
      <c r="MAI46" s="478"/>
      <c r="MAJ46" s="478"/>
      <c r="MAK46" s="478"/>
      <c r="MAL46" s="478"/>
      <c r="MAM46" s="478"/>
      <c r="MAN46" s="478"/>
      <c r="MAO46" s="478"/>
      <c r="MAP46" s="478"/>
      <c r="MAQ46" s="478"/>
      <c r="MAR46" s="478"/>
      <c r="MAS46" s="478"/>
      <c r="MAT46" s="478"/>
      <c r="MAU46" s="478"/>
      <c r="MAV46" s="478"/>
      <c r="MAW46" s="478"/>
      <c r="MAX46" s="478"/>
      <c r="MAY46" s="478"/>
      <c r="MAZ46" s="478"/>
      <c r="MBA46" s="478"/>
      <c r="MBB46" s="478"/>
      <c r="MBC46" s="478"/>
      <c r="MBD46" s="478"/>
      <c r="MBE46" s="478"/>
      <c r="MBF46" s="478"/>
      <c r="MBG46" s="478"/>
      <c r="MBH46" s="478"/>
      <c r="MBI46" s="478"/>
      <c r="MBJ46" s="478"/>
      <c r="MBK46" s="478"/>
      <c r="MBL46" s="478"/>
      <c r="MBM46" s="478"/>
      <c r="MBN46" s="478"/>
      <c r="MBO46" s="478"/>
      <c r="MBP46" s="478"/>
      <c r="MBQ46" s="478"/>
      <c r="MBR46" s="478"/>
      <c r="MBS46" s="478"/>
      <c r="MBT46" s="478"/>
      <c r="MBU46" s="478"/>
      <c r="MBV46" s="478"/>
      <c r="MBW46" s="478"/>
      <c r="MBX46" s="478"/>
      <c r="MBY46" s="478"/>
      <c r="MBZ46" s="478"/>
      <c r="MCA46" s="478"/>
      <c r="MCB46" s="478"/>
      <c r="MCC46" s="478"/>
      <c r="MCD46" s="478"/>
      <c r="MCE46" s="478"/>
      <c r="MCF46" s="478"/>
      <c r="MCG46" s="478"/>
      <c r="MCH46" s="478"/>
      <c r="MCI46" s="478"/>
      <c r="MCJ46" s="478"/>
      <c r="MCK46" s="478"/>
      <c r="MCL46" s="478"/>
      <c r="MCM46" s="478"/>
      <c r="MCN46" s="478"/>
      <c r="MCO46" s="478"/>
      <c r="MCP46" s="478"/>
      <c r="MCQ46" s="478"/>
      <c r="MCR46" s="478"/>
      <c r="MCS46" s="478"/>
      <c r="MCT46" s="478"/>
      <c r="MCU46" s="478"/>
      <c r="MCV46" s="478"/>
      <c r="MCW46" s="478"/>
      <c r="MCX46" s="478"/>
      <c r="MCY46" s="478"/>
      <c r="MCZ46" s="478"/>
      <c r="MDA46" s="478"/>
      <c r="MDB46" s="478"/>
      <c r="MDC46" s="478"/>
      <c r="MDD46" s="478"/>
      <c r="MDE46" s="478"/>
      <c r="MDF46" s="478"/>
      <c r="MDG46" s="478"/>
      <c r="MDH46" s="478"/>
      <c r="MDI46" s="478"/>
      <c r="MDJ46" s="478"/>
      <c r="MDK46" s="478"/>
      <c r="MDL46" s="478"/>
      <c r="MDM46" s="478"/>
      <c r="MDN46" s="478"/>
      <c r="MDO46" s="478"/>
      <c r="MDP46" s="478"/>
      <c r="MDQ46" s="478"/>
      <c r="MDR46" s="478"/>
      <c r="MDS46" s="478"/>
      <c r="MDT46" s="478"/>
      <c r="MDU46" s="478"/>
      <c r="MDV46" s="478"/>
      <c r="MDW46" s="478"/>
      <c r="MDX46" s="478"/>
      <c r="MDY46" s="478"/>
      <c r="MDZ46" s="478"/>
      <c r="MEA46" s="478"/>
      <c r="MEB46" s="478"/>
      <c r="MEC46" s="478"/>
      <c r="MED46" s="478"/>
      <c r="MEE46" s="478"/>
      <c r="MEF46" s="478"/>
      <c r="MEG46" s="478"/>
      <c r="MEH46" s="478"/>
      <c r="MEI46" s="478"/>
      <c r="MEJ46" s="478"/>
      <c r="MEK46" s="478"/>
      <c r="MEL46" s="478"/>
      <c r="MEM46" s="478"/>
      <c r="MEN46" s="478"/>
      <c r="MEO46" s="478"/>
      <c r="MEP46" s="478"/>
      <c r="MEQ46" s="478"/>
      <c r="MER46" s="478"/>
      <c r="MES46" s="478"/>
      <c r="MET46" s="478"/>
      <c r="MEU46" s="478"/>
      <c r="MEV46" s="478"/>
      <c r="MEW46" s="478"/>
      <c r="MEX46" s="478"/>
      <c r="MEY46" s="478"/>
      <c r="MEZ46" s="478"/>
      <c r="MFA46" s="478"/>
      <c r="MFB46" s="478"/>
      <c r="MFC46" s="478"/>
      <c r="MFD46" s="478"/>
      <c r="MFE46" s="478"/>
      <c r="MFF46" s="478"/>
      <c r="MFG46" s="478"/>
      <c r="MFH46" s="478"/>
      <c r="MFI46" s="478"/>
      <c r="MFJ46" s="478"/>
      <c r="MFK46" s="478"/>
      <c r="MFL46" s="478"/>
      <c r="MFM46" s="478"/>
      <c r="MFN46" s="478"/>
      <c r="MFO46" s="478"/>
      <c r="MFP46" s="478"/>
      <c r="MFQ46" s="478"/>
      <c r="MFR46" s="478"/>
      <c r="MFS46" s="478"/>
      <c r="MFT46" s="478"/>
      <c r="MFU46" s="478"/>
      <c r="MFV46" s="478"/>
      <c r="MFW46" s="478"/>
      <c r="MFX46" s="478"/>
      <c r="MFY46" s="478"/>
      <c r="MFZ46" s="478"/>
      <c r="MGA46" s="478"/>
      <c r="MGB46" s="478"/>
      <c r="MGC46" s="478"/>
      <c r="MGD46" s="478"/>
      <c r="MGE46" s="478"/>
      <c r="MGF46" s="478"/>
      <c r="MGG46" s="478"/>
      <c r="MGH46" s="478"/>
      <c r="MGI46" s="478"/>
      <c r="MGJ46" s="478"/>
      <c r="MGK46" s="478"/>
      <c r="MGL46" s="478"/>
      <c r="MGM46" s="478"/>
      <c r="MGN46" s="478"/>
      <c r="MGO46" s="478"/>
      <c r="MGP46" s="478"/>
      <c r="MGQ46" s="478"/>
      <c r="MGR46" s="478"/>
      <c r="MGS46" s="478"/>
      <c r="MGT46" s="478"/>
      <c r="MGU46" s="478"/>
      <c r="MGV46" s="478"/>
      <c r="MGW46" s="478"/>
      <c r="MGX46" s="478"/>
      <c r="MGY46" s="478"/>
      <c r="MGZ46" s="478"/>
      <c r="MHA46" s="478"/>
      <c r="MHB46" s="478"/>
      <c r="MHC46" s="478"/>
      <c r="MHD46" s="478"/>
      <c r="MHE46" s="478"/>
      <c r="MHF46" s="478"/>
      <c r="MHG46" s="478"/>
      <c r="MHH46" s="478"/>
      <c r="MHI46" s="478"/>
      <c r="MHJ46" s="478"/>
      <c r="MHK46" s="478"/>
      <c r="MHL46" s="478"/>
      <c r="MHM46" s="478"/>
      <c r="MHN46" s="478"/>
      <c r="MHO46" s="478"/>
      <c r="MHP46" s="478"/>
      <c r="MHQ46" s="478"/>
      <c r="MHR46" s="478"/>
      <c r="MHS46" s="478"/>
      <c r="MHT46" s="478"/>
      <c r="MHU46" s="478"/>
      <c r="MHV46" s="478"/>
      <c r="MHW46" s="478"/>
      <c r="MHX46" s="478"/>
      <c r="MHY46" s="478"/>
      <c r="MHZ46" s="478"/>
      <c r="MIA46" s="478"/>
      <c r="MIB46" s="478"/>
      <c r="MIC46" s="478"/>
      <c r="MID46" s="478"/>
      <c r="MIE46" s="478"/>
      <c r="MIF46" s="478"/>
      <c r="MIG46" s="478"/>
      <c r="MIH46" s="478"/>
      <c r="MII46" s="478"/>
      <c r="MIJ46" s="478"/>
      <c r="MIK46" s="478"/>
      <c r="MIL46" s="478"/>
      <c r="MIM46" s="478"/>
      <c r="MIN46" s="478"/>
      <c r="MIO46" s="478"/>
      <c r="MIP46" s="478"/>
      <c r="MIQ46" s="478"/>
      <c r="MIR46" s="478"/>
      <c r="MIS46" s="478"/>
      <c r="MIT46" s="478"/>
      <c r="MIU46" s="478"/>
      <c r="MIV46" s="478"/>
      <c r="MIW46" s="478"/>
      <c r="MIX46" s="478"/>
      <c r="MIY46" s="478"/>
      <c r="MIZ46" s="478"/>
      <c r="MJA46" s="478"/>
      <c r="MJB46" s="478"/>
      <c r="MJC46" s="478"/>
      <c r="MJD46" s="478"/>
      <c r="MJE46" s="478"/>
      <c r="MJF46" s="478"/>
      <c r="MJG46" s="478"/>
      <c r="MJH46" s="478"/>
      <c r="MJI46" s="478"/>
      <c r="MJJ46" s="478"/>
      <c r="MJK46" s="478"/>
      <c r="MJL46" s="478"/>
      <c r="MJM46" s="478"/>
      <c r="MJN46" s="478"/>
      <c r="MJO46" s="478"/>
      <c r="MJP46" s="478"/>
      <c r="MJQ46" s="478"/>
      <c r="MJR46" s="478"/>
      <c r="MJS46" s="478"/>
      <c r="MJT46" s="478"/>
      <c r="MJU46" s="478"/>
      <c r="MJV46" s="478"/>
      <c r="MJW46" s="478"/>
      <c r="MJX46" s="478"/>
      <c r="MJY46" s="478"/>
      <c r="MJZ46" s="478"/>
      <c r="MKA46" s="478"/>
      <c r="MKB46" s="478"/>
      <c r="MKC46" s="478"/>
      <c r="MKD46" s="478"/>
      <c r="MKE46" s="478"/>
      <c r="MKF46" s="478"/>
      <c r="MKG46" s="478"/>
      <c r="MKH46" s="478"/>
      <c r="MKI46" s="478"/>
      <c r="MKJ46" s="478"/>
      <c r="MKK46" s="478"/>
      <c r="MKL46" s="478"/>
      <c r="MKM46" s="478"/>
      <c r="MKN46" s="478"/>
      <c r="MKO46" s="478"/>
      <c r="MKP46" s="478"/>
      <c r="MKQ46" s="478"/>
      <c r="MKR46" s="478"/>
      <c r="MKS46" s="478"/>
      <c r="MKT46" s="478"/>
      <c r="MKU46" s="478"/>
      <c r="MKV46" s="478"/>
      <c r="MKW46" s="478"/>
      <c r="MKX46" s="478"/>
      <c r="MKY46" s="478"/>
      <c r="MKZ46" s="478"/>
      <c r="MLA46" s="478"/>
      <c r="MLB46" s="478"/>
      <c r="MLC46" s="478"/>
      <c r="MLD46" s="478"/>
      <c r="MLE46" s="478"/>
      <c r="MLF46" s="478"/>
      <c r="MLG46" s="478"/>
      <c r="MLH46" s="478"/>
      <c r="MLI46" s="478"/>
      <c r="MLJ46" s="478"/>
      <c r="MLK46" s="478"/>
      <c r="MLL46" s="478"/>
      <c r="MLM46" s="478"/>
      <c r="MLN46" s="478"/>
      <c r="MLO46" s="478"/>
      <c r="MLP46" s="478"/>
      <c r="MLQ46" s="478"/>
      <c r="MLR46" s="478"/>
      <c r="MLS46" s="478"/>
      <c r="MLT46" s="478"/>
      <c r="MLU46" s="478"/>
      <c r="MLV46" s="478"/>
      <c r="MLW46" s="478"/>
      <c r="MLX46" s="478"/>
      <c r="MLY46" s="478"/>
      <c r="MLZ46" s="478"/>
      <c r="MMA46" s="478"/>
      <c r="MMB46" s="478"/>
      <c r="MMC46" s="478"/>
      <c r="MMD46" s="478"/>
      <c r="MME46" s="478"/>
      <c r="MMF46" s="478"/>
      <c r="MMG46" s="478"/>
      <c r="MMH46" s="478"/>
      <c r="MMI46" s="478"/>
      <c r="MMJ46" s="478"/>
      <c r="MMK46" s="478"/>
      <c r="MML46" s="478"/>
      <c r="MMM46" s="478"/>
      <c r="MMN46" s="478"/>
      <c r="MMO46" s="478"/>
      <c r="MMP46" s="478"/>
      <c r="MMQ46" s="478"/>
      <c r="MMR46" s="478"/>
      <c r="MMS46" s="478"/>
      <c r="MMT46" s="478"/>
      <c r="MMU46" s="478"/>
      <c r="MMV46" s="478"/>
      <c r="MMW46" s="478"/>
      <c r="MMX46" s="478"/>
      <c r="MMY46" s="478"/>
      <c r="MMZ46" s="478"/>
      <c r="MNA46" s="478"/>
      <c r="MNB46" s="478"/>
      <c r="MNC46" s="478"/>
      <c r="MND46" s="478"/>
      <c r="MNE46" s="478"/>
      <c r="MNF46" s="478"/>
      <c r="MNG46" s="478"/>
      <c r="MNH46" s="478"/>
      <c r="MNI46" s="478"/>
      <c r="MNJ46" s="478"/>
      <c r="MNK46" s="478"/>
      <c r="MNL46" s="478"/>
      <c r="MNM46" s="478"/>
      <c r="MNN46" s="478"/>
      <c r="MNO46" s="478"/>
      <c r="MNP46" s="478"/>
      <c r="MNQ46" s="478"/>
      <c r="MNR46" s="478"/>
      <c r="MNS46" s="478"/>
      <c r="MNT46" s="478"/>
      <c r="MNU46" s="478"/>
      <c r="MNV46" s="478"/>
      <c r="MNW46" s="478"/>
      <c r="MNX46" s="478"/>
      <c r="MNY46" s="478"/>
      <c r="MNZ46" s="478"/>
      <c r="MOA46" s="478"/>
      <c r="MOB46" s="478"/>
      <c r="MOC46" s="478"/>
      <c r="MOD46" s="478"/>
      <c r="MOE46" s="478"/>
      <c r="MOF46" s="478"/>
      <c r="MOG46" s="478"/>
      <c r="MOH46" s="478"/>
      <c r="MOI46" s="478"/>
      <c r="MOJ46" s="478"/>
      <c r="MOK46" s="478"/>
      <c r="MOL46" s="478"/>
      <c r="MOM46" s="478"/>
      <c r="MON46" s="478"/>
      <c r="MOO46" s="478"/>
      <c r="MOP46" s="478"/>
      <c r="MOQ46" s="478"/>
      <c r="MOR46" s="478"/>
      <c r="MOS46" s="478"/>
      <c r="MOT46" s="478"/>
      <c r="MOU46" s="478"/>
      <c r="MOV46" s="478"/>
      <c r="MOW46" s="478"/>
      <c r="MOX46" s="478"/>
      <c r="MOY46" s="478"/>
      <c r="MOZ46" s="478"/>
      <c r="MPA46" s="478"/>
      <c r="MPB46" s="478"/>
      <c r="MPC46" s="478"/>
      <c r="MPD46" s="478"/>
      <c r="MPE46" s="478"/>
      <c r="MPF46" s="478"/>
      <c r="MPG46" s="478"/>
      <c r="MPH46" s="478"/>
      <c r="MPI46" s="478"/>
      <c r="MPJ46" s="478"/>
      <c r="MPK46" s="478"/>
      <c r="MPL46" s="478"/>
      <c r="MPM46" s="478"/>
      <c r="MPN46" s="478"/>
      <c r="MPO46" s="478"/>
      <c r="MPP46" s="478"/>
      <c r="MPQ46" s="478"/>
      <c r="MPR46" s="478"/>
      <c r="MPS46" s="478"/>
      <c r="MPT46" s="478"/>
      <c r="MPU46" s="478"/>
      <c r="MPV46" s="478"/>
      <c r="MPW46" s="478"/>
      <c r="MPX46" s="478"/>
      <c r="MPY46" s="478"/>
      <c r="MPZ46" s="478"/>
      <c r="MQA46" s="478"/>
      <c r="MQB46" s="478"/>
      <c r="MQC46" s="478"/>
      <c r="MQD46" s="478"/>
      <c r="MQE46" s="478"/>
      <c r="MQF46" s="478"/>
      <c r="MQG46" s="478"/>
      <c r="MQH46" s="478"/>
      <c r="MQI46" s="478"/>
      <c r="MQJ46" s="478"/>
      <c r="MQK46" s="478"/>
      <c r="MQL46" s="478"/>
      <c r="MQM46" s="478"/>
      <c r="MQN46" s="478"/>
      <c r="MQO46" s="478"/>
      <c r="MQP46" s="478"/>
      <c r="MQQ46" s="478"/>
      <c r="MQR46" s="478"/>
      <c r="MQS46" s="478"/>
      <c r="MQT46" s="478"/>
      <c r="MQU46" s="478"/>
      <c r="MQV46" s="478"/>
      <c r="MQW46" s="478"/>
      <c r="MQX46" s="478"/>
      <c r="MQY46" s="478"/>
      <c r="MQZ46" s="478"/>
      <c r="MRA46" s="478"/>
      <c r="MRB46" s="478"/>
      <c r="MRC46" s="478"/>
      <c r="MRD46" s="478"/>
      <c r="MRE46" s="478"/>
      <c r="MRF46" s="478"/>
      <c r="MRG46" s="478"/>
      <c r="MRH46" s="478"/>
      <c r="MRI46" s="478"/>
      <c r="MRJ46" s="478"/>
      <c r="MRK46" s="478"/>
      <c r="MRL46" s="478"/>
      <c r="MRM46" s="478"/>
      <c r="MRN46" s="478"/>
      <c r="MRO46" s="478"/>
      <c r="MRP46" s="478"/>
      <c r="MRQ46" s="478"/>
      <c r="MRR46" s="478"/>
      <c r="MRS46" s="478"/>
      <c r="MRT46" s="478"/>
      <c r="MRU46" s="478"/>
      <c r="MRV46" s="478"/>
      <c r="MRW46" s="478"/>
      <c r="MRX46" s="478"/>
      <c r="MRY46" s="478"/>
      <c r="MRZ46" s="478"/>
      <c r="MSA46" s="478"/>
      <c r="MSB46" s="478"/>
      <c r="MSC46" s="478"/>
      <c r="MSD46" s="478"/>
      <c r="MSE46" s="478"/>
      <c r="MSF46" s="478"/>
      <c r="MSG46" s="478"/>
      <c r="MSH46" s="478"/>
      <c r="MSI46" s="478"/>
      <c r="MSJ46" s="478"/>
      <c r="MSK46" s="478"/>
      <c r="MSL46" s="478"/>
      <c r="MSM46" s="478"/>
      <c r="MSN46" s="478"/>
      <c r="MSO46" s="478"/>
      <c r="MSP46" s="478"/>
      <c r="MSQ46" s="478"/>
      <c r="MSR46" s="478"/>
      <c r="MSS46" s="478"/>
      <c r="MST46" s="478"/>
      <c r="MSU46" s="478"/>
      <c r="MSV46" s="478"/>
      <c r="MSW46" s="478"/>
      <c r="MSX46" s="478"/>
      <c r="MSY46" s="478"/>
      <c r="MSZ46" s="478"/>
      <c r="MTA46" s="478"/>
      <c r="MTB46" s="478"/>
      <c r="MTC46" s="478"/>
      <c r="MTD46" s="478"/>
      <c r="MTE46" s="478"/>
      <c r="MTF46" s="478"/>
      <c r="MTG46" s="478"/>
      <c r="MTH46" s="478"/>
      <c r="MTI46" s="478"/>
      <c r="MTJ46" s="478"/>
      <c r="MTK46" s="478"/>
      <c r="MTL46" s="478"/>
      <c r="MTM46" s="478"/>
      <c r="MTN46" s="478"/>
      <c r="MTO46" s="478"/>
      <c r="MTP46" s="478"/>
      <c r="MTQ46" s="478"/>
      <c r="MTR46" s="478"/>
      <c r="MTS46" s="478"/>
      <c r="MTT46" s="478"/>
      <c r="MTU46" s="478"/>
      <c r="MTV46" s="478"/>
      <c r="MTW46" s="478"/>
      <c r="MTX46" s="478"/>
      <c r="MTY46" s="478"/>
      <c r="MTZ46" s="478"/>
      <c r="MUA46" s="478"/>
      <c r="MUB46" s="478"/>
      <c r="MUC46" s="478"/>
      <c r="MUD46" s="478"/>
      <c r="MUE46" s="478"/>
      <c r="MUF46" s="478"/>
      <c r="MUG46" s="478"/>
      <c r="MUH46" s="478"/>
      <c r="MUI46" s="478"/>
      <c r="MUJ46" s="478"/>
      <c r="MUK46" s="478"/>
      <c r="MUL46" s="478"/>
      <c r="MUM46" s="478"/>
      <c r="MUN46" s="478"/>
      <c r="MUO46" s="478"/>
      <c r="MUP46" s="478"/>
      <c r="MUQ46" s="478"/>
      <c r="MUR46" s="478"/>
      <c r="MUS46" s="478"/>
      <c r="MUT46" s="478"/>
      <c r="MUU46" s="478"/>
      <c r="MUV46" s="478"/>
      <c r="MUW46" s="478"/>
      <c r="MUX46" s="478"/>
      <c r="MUY46" s="478"/>
      <c r="MUZ46" s="478"/>
      <c r="MVA46" s="478"/>
      <c r="MVB46" s="478"/>
      <c r="MVC46" s="478"/>
      <c r="MVD46" s="478"/>
      <c r="MVE46" s="478"/>
      <c r="MVF46" s="478"/>
      <c r="MVG46" s="478"/>
      <c r="MVH46" s="478"/>
      <c r="MVI46" s="478"/>
      <c r="MVJ46" s="478"/>
      <c r="MVK46" s="478"/>
      <c r="MVL46" s="478"/>
      <c r="MVM46" s="478"/>
      <c r="MVN46" s="478"/>
      <c r="MVO46" s="478"/>
      <c r="MVP46" s="478"/>
      <c r="MVQ46" s="478"/>
      <c r="MVR46" s="478"/>
      <c r="MVS46" s="478"/>
      <c r="MVT46" s="478"/>
      <c r="MVU46" s="478"/>
      <c r="MVV46" s="478"/>
      <c r="MVW46" s="478"/>
      <c r="MVX46" s="478"/>
      <c r="MVY46" s="478"/>
      <c r="MVZ46" s="478"/>
      <c r="MWA46" s="478"/>
      <c r="MWB46" s="478"/>
      <c r="MWC46" s="478"/>
      <c r="MWD46" s="478"/>
      <c r="MWE46" s="478"/>
      <c r="MWF46" s="478"/>
      <c r="MWG46" s="478"/>
      <c r="MWH46" s="478"/>
      <c r="MWI46" s="478"/>
      <c r="MWJ46" s="478"/>
      <c r="MWK46" s="478"/>
      <c r="MWL46" s="478"/>
      <c r="MWM46" s="478"/>
      <c r="MWN46" s="478"/>
      <c r="MWO46" s="478"/>
      <c r="MWP46" s="478"/>
      <c r="MWQ46" s="478"/>
      <c r="MWR46" s="478"/>
      <c r="MWS46" s="478"/>
      <c r="MWT46" s="478"/>
      <c r="MWU46" s="478"/>
      <c r="MWV46" s="478"/>
      <c r="MWW46" s="478"/>
      <c r="MWX46" s="478"/>
      <c r="MWY46" s="478"/>
      <c r="MWZ46" s="478"/>
      <c r="MXA46" s="478"/>
      <c r="MXB46" s="478"/>
      <c r="MXC46" s="478"/>
      <c r="MXD46" s="478"/>
      <c r="MXE46" s="478"/>
      <c r="MXF46" s="478"/>
      <c r="MXG46" s="478"/>
      <c r="MXH46" s="478"/>
      <c r="MXI46" s="478"/>
      <c r="MXJ46" s="478"/>
      <c r="MXK46" s="478"/>
      <c r="MXL46" s="478"/>
      <c r="MXM46" s="478"/>
      <c r="MXN46" s="478"/>
      <c r="MXO46" s="478"/>
      <c r="MXP46" s="478"/>
      <c r="MXQ46" s="478"/>
      <c r="MXR46" s="478"/>
      <c r="MXS46" s="478"/>
      <c r="MXT46" s="478"/>
      <c r="MXU46" s="478"/>
      <c r="MXV46" s="478"/>
      <c r="MXW46" s="478"/>
      <c r="MXX46" s="478"/>
      <c r="MXY46" s="478"/>
      <c r="MXZ46" s="478"/>
      <c r="MYA46" s="478"/>
      <c r="MYB46" s="478"/>
      <c r="MYC46" s="478"/>
      <c r="MYD46" s="478"/>
      <c r="MYE46" s="478"/>
      <c r="MYF46" s="478"/>
      <c r="MYG46" s="478"/>
      <c r="MYH46" s="478"/>
      <c r="MYI46" s="478"/>
      <c r="MYJ46" s="478"/>
      <c r="MYK46" s="478"/>
      <c r="MYL46" s="478"/>
      <c r="MYM46" s="478"/>
      <c r="MYN46" s="478"/>
      <c r="MYO46" s="478"/>
      <c r="MYP46" s="478"/>
      <c r="MYQ46" s="478"/>
      <c r="MYR46" s="478"/>
      <c r="MYS46" s="478"/>
      <c r="MYT46" s="478"/>
      <c r="MYU46" s="478"/>
      <c r="MYV46" s="478"/>
      <c r="MYW46" s="478"/>
      <c r="MYX46" s="478"/>
      <c r="MYY46" s="478"/>
      <c r="MYZ46" s="478"/>
      <c r="MZA46" s="478"/>
      <c r="MZB46" s="478"/>
      <c r="MZC46" s="478"/>
      <c r="MZD46" s="478"/>
      <c r="MZE46" s="478"/>
      <c r="MZF46" s="478"/>
      <c r="MZG46" s="478"/>
      <c r="MZH46" s="478"/>
      <c r="MZI46" s="478"/>
      <c r="MZJ46" s="478"/>
      <c r="MZK46" s="478"/>
      <c r="MZL46" s="478"/>
      <c r="MZM46" s="478"/>
      <c r="MZN46" s="478"/>
      <c r="MZO46" s="478"/>
      <c r="MZP46" s="478"/>
      <c r="MZQ46" s="478"/>
      <c r="MZR46" s="478"/>
      <c r="MZS46" s="478"/>
      <c r="MZT46" s="478"/>
      <c r="MZU46" s="478"/>
      <c r="MZV46" s="478"/>
      <c r="MZW46" s="478"/>
      <c r="MZX46" s="478"/>
      <c r="MZY46" s="478"/>
      <c r="MZZ46" s="478"/>
      <c r="NAA46" s="478"/>
      <c r="NAB46" s="478"/>
      <c r="NAC46" s="478"/>
      <c r="NAD46" s="478"/>
      <c r="NAE46" s="478"/>
      <c r="NAF46" s="478"/>
      <c r="NAG46" s="478"/>
      <c r="NAH46" s="478"/>
      <c r="NAI46" s="478"/>
      <c r="NAJ46" s="478"/>
      <c r="NAK46" s="478"/>
      <c r="NAL46" s="478"/>
      <c r="NAM46" s="478"/>
      <c r="NAN46" s="478"/>
      <c r="NAO46" s="478"/>
      <c r="NAP46" s="478"/>
      <c r="NAQ46" s="478"/>
      <c r="NAR46" s="478"/>
      <c r="NAS46" s="478"/>
      <c r="NAT46" s="478"/>
      <c r="NAU46" s="478"/>
      <c r="NAV46" s="478"/>
      <c r="NAW46" s="478"/>
      <c r="NAX46" s="478"/>
      <c r="NAY46" s="478"/>
      <c r="NAZ46" s="478"/>
      <c r="NBA46" s="478"/>
      <c r="NBB46" s="478"/>
      <c r="NBC46" s="478"/>
      <c r="NBD46" s="478"/>
      <c r="NBE46" s="478"/>
      <c r="NBF46" s="478"/>
      <c r="NBG46" s="478"/>
      <c r="NBH46" s="478"/>
      <c r="NBI46" s="478"/>
      <c r="NBJ46" s="478"/>
      <c r="NBK46" s="478"/>
      <c r="NBL46" s="478"/>
      <c r="NBM46" s="478"/>
      <c r="NBN46" s="478"/>
      <c r="NBO46" s="478"/>
      <c r="NBP46" s="478"/>
      <c r="NBQ46" s="478"/>
      <c r="NBR46" s="478"/>
      <c r="NBS46" s="478"/>
      <c r="NBT46" s="478"/>
      <c r="NBU46" s="478"/>
      <c r="NBV46" s="478"/>
      <c r="NBW46" s="478"/>
      <c r="NBX46" s="478"/>
      <c r="NBY46" s="478"/>
      <c r="NBZ46" s="478"/>
      <c r="NCA46" s="478"/>
      <c r="NCB46" s="478"/>
      <c r="NCC46" s="478"/>
      <c r="NCD46" s="478"/>
      <c r="NCE46" s="478"/>
      <c r="NCF46" s="478"/>
      <c r="NCG46" s="478"/>
      <c r="NCH46" s="478"/>
      <c r="NCI46" s="478"/>
      <c r="NCJ46" s="478"/>
      <c r="NCK46" s="478"/>
      <c r="NCL46" s="478"/>
      <c r="NCM46" s="478"/>
      <c r="NCN46" s="478"/>
      <c r="NCO46" s="478"/>
      <c r="NCP46" s="478"/>
      <c r="NCQ46" s="478"/>
      <c r="NCR46" s="478"/>
      <c r="NCS46" s="478"/>
      <c r="NCT46" s="478"/>
      <c r="NCU46" s="478"/>
      <c r="NCV46" s="478"/>
      <c r="NCW46" s="478"/>
      <c r="NCX46" s="478"/>
      <c r="NCY46" s="478"/>
      <c r="NCZ46" s="478"/>
      <c r="NDA46" s="478"/>
      <c r="NDB46" s="478"/>
      <c r="NDC46" s="478"/>
      <c r="NDD46" s="478"/>
      <c r="NDE46" s="478"/>
      <c r="NDF46" s="478"/>
      <c r="NDG46" s="478"/>
      <c r="NDH46" s="478"/>
      <c r="NDI46" s="478"/>
      <c r="NDJ46" s="478"/>
      <c r="NDK46" s="478"/>
      <c r="NDL46" s="478"/>
      <c r="NDM46" s="478"/>
      <c r="NDN46" s="478"/>
      <c r="NDO46" s="478"/>
      <c r="NDP46" s="478"/>
      <c r="NDQ46" s="478"/>
      <c r="NDR46" s="478"/>
      <c r="NDS46" s="478"/>
      <c r="NDT46" s="478"/>
      <c r="NDU46" s="478"/>
      <c r="NDV46" s="478"/>
      <c r="NDW46" s="478"/>
      <c r="NDX46" s="478"/>
      <c r="NDY46" s="478"/>
      <c r="NDZ46" s="478"/>
      <c r="NEA46" s="478"/>
      <c r="NEB46" s="478"/>
      <c r="NEC46" s="478"/>
      <c r="NED46" s="478"/>
      <c r="NEE46" s="478"/>
      <c r="NEF46" s="478"/>
      <c r="NEG46" s="478"/>
      <c r="NEH46" s="478"/>
      <c r="NEI46" s="478"/>
      <c r="NEJ46" s="478"/>
      <c r="NEK46" s="478"/>
      <c r="NEL46" s="478"/>
      <c r="NEM46" s="478"/>
      <c r="NEN46" s="478"/>
      <c r="NEO46" s="478"/>
      <c r="NEP46" s="478"/>
      <c r="NEQ46" s="478"/>
      <c r="NER46" s="478"/>
      <c r="NES46" s="478"/>
      <c r="NET46" s="478"/>
      <c r="NEU46" s="478"/>
      <c r="NEV46" s="478"/>
      <c r="NEW46" s="478"/>
      <c r="NEX46" s="478"/>
      <c r="NEY46" s="478"/>
      <c r="NEZ46" s="478"/>
      <c r="NFA46" s="478"/>
      <c r="NFB46" s="478"/>
      <c r="NFC46" s="478"/>
      <c r="NFD46" s="478"/>
      <c r="NFE46" s="478"/>
      <c r="NFF46" s="478"/>
      <c r="NFG46" s="478"/>
      <c r="NFH46" s="478"/>
      <c r="NFI46" s="478"/>
      <c r="NFJ46" s="478"/>
      <c r="NFK46" s="478"/>
      <c r="NFL46" s="478"/>
      <c r="NFM46" s="478"/>
      <c r="NFN46" s="478"/>
      <c r="NFO46" s="478"/>
      <c r="NFP46" s="478"/>
      <c r="NFQ46" s="478"/>
      <c r="NFR46" s="478"/>
      <c r="NFS46" s="478"/>
      <c r="NFT46" s="478"/>
      <c r="NFU46" s="478"/>
      <c r="NFV46" s="478"/>
      <c r="NFW46" s="478"/>
      <c r="NFX46" s="478"/>
      <c r="NFY46" s="478"/>
      <c r="NFZ46" s="478"/>
      <c r="NGA46" s="478"/>
      <c r="NGB46" s="478"/>
      <c r="NGC46" s="478"/>
      <c r="NGD46" s="478"/>
      <c r="NGE46" s="478"/>
      <c r="NGF46" s="478"/>
      <c r="NGG46" s="478"/>
      <c r="NGH46" s="478"/>
      <c r="NGI46" s="478"/>
      <c r="NGJ46" s="478"/>
      <c r="NGK46" s="478"/>
      <c r="NGL46" s="478"/>
      <c r="NGM46" s="478"/>
      <c r="NGN46" s="478"/>
      <c r="NGO46" s="478"/>
      <c r="NGP46" s="478"/>
      <c r="NGQ46" s="478"/>
      <c r="NGR46" s="478"/>
      <c r="NGS46" s="478"/>
      <c r="NGT46" s="478"/>
      <c r="NGU46" s="478"/>
      <c r="NGV46" s="478"/>
      <c r="NGW46" s="478"/>
      <c r="NGX46" s="478"/>
      <c r="NGY46" s="478"/>
      <c r="NGZ46" s="478"/>
      <c r="NHA46" s="478"/>
      <c r="NHB46" s="478"/>
      <c r="NHC46" s="478"/>
      <c r="NHD46" s="478"/>
      <c r="NHE46" s="478"/>
      <c r="NHF46" s="478"/>
      <c r="NHG46" s="478"/>
      <c r="NHH46" s="478"/>
      <c r="NHI46" s="478"/>
      <c r="NHJ46" s="478"/>
      <c r="NHK46" s="478"/>
      <c r="NHL46" s="478"/>
      <c r="NHM46" s="478"/>
      <c r="NHN46" s="478"/>
      <c r="NHO46" s="478"/>
      <c r="NHP46" s="478"/>
      <c r="NHQ46" s="478"/>
      <c r="NHR46" s="478"/>
      <c r="NHS46" s="478"/>
      <c r="NHT46" s="478"/>
      <c r="NHU46" s="478"/>
      <c r="NHV46" s="478"/>
      <c r="NHW46" s="478"/>
      <c r="NHX46" s="478"/>
      <c r="NHY46" s="478"/>
      <c r="NHZ46" s="478"/>
      <c r="NIA46" s="478"/>
      <c r="NIB46" s="478"/>
      <c r="NIC46" s="478"/>
      <c r="NID46" s="478"/>
      <c r="NIE46" s="478"/>
      <c r="NIF46" s="478"/>
      <c r="NIG46" s="478"/>
      <c r="NIH46" s="478"/>
      <c r="NII46" s="478"/>
      <c r="NIJ46" s="478"/>
      <c r="NIK46" s="478"/>
      <c r="NIL46" s="478"/>
      <c r="NIM46" s="478"/>
      <c r="NIN46" s="478"/>
      <c r="NIO46" s="478"/>
      <c r="NIP46" s="478"/>
      <c r="NIQ46" s="478"/>
      <c r="NIR46" s="478"/>
      <c r="NIS46" s="478"/>
      <c r="NIT46" s="478"/>
      <c r="NIU46" s="478"/>
      <c r="NIV46" s="478"/>
      <c r="NIW46" s="478"/>
      <c r="NIX46" s="478"/>
      <c r="NIY46" s="478"/>
      <c r="NIZ46" s="478"/>
      <c r="NJA46" s="478"/>
      <c r="NJB46" s="478"/>
      <c r="NJC46" s="478"/>
      <c r="NJD46" s="478"/>
      <c r="NJE46" s="478"/>
      <c r="NJF46" s="478"/>
      <c r="NJG46" s="478"/>
      <c r="NJH46" s="478"/>
      <c r="NJI46" s="478"/>
      <c r="NJJ46" s="478"/>
      <c r="NJK46" s="478"/>
      <c r="NJL46" s="478"/>
      <c r="NJM46" s="478"/>
      <c r="NJN46" s="478"/>
      <c r="NJO46" s="478"/>
      <c r="NJP46" s="478"/>
      <c r="NJQ46" s="478"/>
      <c r="NJR46" s="478"/>
      <c r="NJS46" s="478"/>
      <c r="NJT46" s="478"/>
      <c r="NJU46" s="478"/>
      <c r="NJV46" s="478"/>
      <c r="NJW46" s="478"/>
      <c r="NJX46" s="478"/>
      <c r="NJY46" s="478"/>
      <c r="NJZ46" s="478"/>
      <c r="NKA46" s="478"/>
      <c r="NKB46" s="478"/>
      <c r="NKC46" s="478"/>
      <c r="NKD46" s="478"/>
      <c r="NKE46" s="478"/>
      <c r="NKF46" s="478"/>
      <c r="NKG46" s="478"/>
      <c r="NKH46" s="478"/>
      <c r="NKI46" s="478"/>
      <c r="NKJ46" s="478"/>
      <c r="NKK46" s="478"/>
      <c r="NKL46" s="478"/>
      <c r="NKM46" s="478"/>
      <c r="NKN46" s="478"/>
      <c r="NKO46" s="478"/>
      <c r="NKP46" s="478"/>
      <c r="NKQ46" s="478"/>
      <c r="NKR46" s="478"/>
      <c r="NKS46" s="478"/>
      <c r="NKT46" s="478"/>
      <c r="NKU46" s="478"/>
      <c r="NKV46" s="478"/>
      <c r="NKW46" s="478"/>
      <c r="NKX46" s="478"/>
      <c r="NKY46" s="478"/>
      <c r="NKZ46" s="478"/>
      <c r="NLA46" s="478"/>
      <c r="NLB46" s="478"/>
      <c r="NLC46" s="478"/>
      <c r="NLD46" s="478"/>
      <c r="NLE46" s="478"/>
      <c r="NLF46" s="478"/>
      <c r="NLG46" s="478"/>
      <c r="NLH46" s="478"/>
      <c r="NLI46" s="478"/>
      <c r="NLJ46" s="478"/>
      <c r="NLK46" s="478"/>
      <c r="NLL46" s="478"/>
      <c r="NLM46" s="478"/>
      <c r="NLN46" s="478"/>
      <c r="NLO46" s="478"/>
      <c r="NLP46" s="478"/>
      <c r="NLQ46" s="478"/>
      <c r="NLR46" s="478"/>
      <c r="NLS46" s="478"/>
      <c r="NLT46" s="478"/>
      <c r="NLU46" s="478"/>
      <c r="NLV46" s="478"/>
      <c r="NLW46" s="478"/>
      <c r="NLX46" s="478"/>
      <c r="NLY46" s="478"/>
      <c r="NLZ46" s="478"/>
      <c r="NMA46" s="478"/>
      <c r="NMB46" s="478"/>
      <c r="NMC46" s="478"/>
      <c r="NMD46" s="478"/>
      <c r="NME46" s="478"/>
      <c r="NMF46" s="478"/>
      <c r="NMG46" s="478"/>
      <c r="NMH46" s="478"/>
      <c r="NMI46" s="478"/>
      <c r="NMJ46" s="478"/>
      <c r="NMK46" s="478"/>
      <c r="NML46" s="478"/>
      <c r="NMM46" s="478"/>
      <c r="NMN46" s="478"/>
      <c r="NMO46" s="478"/>
      <c r="NMP46" s="478"/>
      <c r="NMQ46" s="478"/>
      <c r="NMR46" s="478"/>
      <c r="NMS46" s="478"/>
      <c r="NMT46" s="478"/>
      <c r="NMU46" s="478"/>
      <c r="NMV46" s="478"/>
      <c r="NMW46" s="478"/>
      <c r="NMX46" s="478"/>
      <c r="NMY46" s="478"/>
      <c r="NMZ46" s="478"/>
      <c r="NNA46" s="478"/>
      <c r="NNB46" s="478"/>
      <c r="NNC46" s="478"/>
      <c r="NND46" s="478"/>
      <c r="NNE46" s="478"/>
      <c r="NNF46" s="478"/>
      <c r="NNG46" s="478"/>
      <c r="NNH46" s="478"/>
      <c r="NNI46" s="478"/>
      <c r="NNJ46" s="478"/>
      <c r="NNK46" s="478"/>
      <c r="NNL46" s="478"/>
      <c r="NNM46" s="478"/>
      <c r="NNN46" s="478"/>
      <c r="NNO46" s="478"/>
      <c r="NNP46" s="478"/>
      <c r="NNQ46" s="478"/>
      <c r="NNR46" s="478"/>
      <c r="NNS46" s="478"/>
      <c r="NNT46" s="478"/>
      <c r="NNU46" s="478"/>
      <c r="NNV46" s="478"/>
      <c r="NNW46" s="478"/>
      <c r="NNX46" s="478"/>
      <c r="NNY46" s="478"/>
      <c r="NNZ46" s="478"/>
      <c r="NOA46" s="478"/>
      <c r="NOB46" s="478"/>
      <c r="NOC46" s="478"/>
      <c r="NOD46" s="478"/>
      <c r="NOE46" s="478"/>
      <c r="NOF46" s="478"/>
      <c r="NOG46" s="478"/>
      <c r="NOH46" s="478"/>
      <c r="NOI46" s="478"/>
      <c r="NOJ46" s="478"/>
      <c r="NOK46" s="478"/>
      <c r="NOL46" s="478"/>
      <c r="NOM46" s="478"/>
      <c r="NON46" s="478"/>
      <c r="NOO46" s="478"/>
      <c r="NOP46" s="478"/>
      <c r="NOQ46" s="478"/>
      <c r="NOR46" s="478"/>
      <c r="NOS46" s="478"/>
      <c r="NOT46" s="478"/>
      <c r="NOU46" s="478"/>
      <c r="NOV46" s="478"/>
      <c r="NOW46" s="478"/>
      <c r="NOX46" s="478"/>
      <c r="NOY46" s="478"/>
      <c r="NOZ46" s="478"/>
      <c r="NPA46" s="478"/>
      <c r="NPB46" s="478"/>
      <c r="NPC46" s="478"/>
      <c r="NPD46" s="478"/>
      <c r="NPE46" s="478"/>
      <c r="NPF46" s="478"/>
      <c r="NPG46" s="478"/>
      <c r="NPH46" s="478"/>
      <c r="NPI46" s="478"/>
      <c r="NPJ46" s="478"/>
      <c r="NPK46" s="478"/>
      <c r="NPL46" s="478"/>
      <c r="NPM46" s="478"/>
      <c r="NPN46" s="478"/>
      <c r="NPO46" s="478"/>
      <c r="NPP46" s="478"/>
      <c r="NPQ46" s="478"/>
      <c r="NPR46" s="478"/>
      <c r="NPS46" s="478"/>
      <c r="NPT46" s="478"/>
      <c r="NPU46" s="478"/>
      <c r="NPV46" s="478"/>
      <c r="NPW46" s="478"/>
      <c r="NPX46" s="478"/>
      <c r="NPY46" s="478"/>
      <c r="NPZ46" s="478"/>
      <c r="NQA46" s="478"/>
      <c r="NQB46" s="478"/>
      <c r="NQC46" s="478"/>
      <c r="NQD46" s="478"/>
      <c r="NQE46" s="478"/>
      <c r="NQF46" s="478"/>
      <c r="NQG46" s="478"/>
      <c r="NQH46" s="478"/>
      <c r="NQI46" s="478"/>
      <c r="NQJ46" s="478"/>
      <c r="NQK46" s="478"/>
      <c r="NQL46" s="478"/>
      <c r="NQM46" s="478"/>
      <c r="NQN46" s="478"/>
      <c r="NQO46" s="478"/>
      <c r="NQP46" s="478"/>
      <c r="NQQ46" s="478"/>
      <c r="NQR46" s="478"/>
      <c r="NQS46" s="478"/>
      <c r="NQT46" s="478"/>
      <c r="NQU46" s="478"/>
      <c r="NQV46" s="478"/>
      <c r="NQW46" s="478"/>
      <c r="NQX46" s="478"/>
      <c r="NQY46" s="478"/>
      <c r="NQZ46" s="478"/>
      <c r="NRA46" s="478"/>
      <c r="NRB46" s="478"/>
      <c r="NRC46" s="478"/>
      <c r="NRD46" s="478"/>
      <c r="NRE46" s="478"/>
      <c r="NRF46" s="478"/>
      <c r="NRG46" s="478"/>
      <c r="NRH46" s="478"/>
      <c r="NRI46" s="478"/>
      <c r="NRJ46" s="478"/>
      <c r="NRK46" s="478"/>
      <c r="NRL46" s="478"/>
      <c r="NRM46" s="478"/>
      <c r="NRN46" s="478"/>
      <c r="NRO46" s="478"/>
      <c r="NRP46" s="478"/>
      <c r="NRQ46" s="478"/>
      <c r="NRR46" s="478"/>
      <c r="NRS46" s="478"/>
      <c r="NRT46" s="478"/>
      <c r="NRU46" s="478"/>
      <c r="NRV46" s="478"/>
      <c r="NRW46" s="478"/>
      <c r="NRX46" s="478"/>
      <c r="NRY46" s="478"/>
      <c r="NRZ46" s="478"/>
      <c r="NSA46" s="478"/>
      <c r="NSB46" s="478"/>
      <c r="NSC46" s="478"/>
      <c r="NSD46" s="478"/>
      <c r="NSE46" s="478"/>
      <c r="NSF46" s="478"/>
      <c r="NSG46" s="478"/>
      <c r="NSH46" s="478"/>
      <c r="NSI46" s="478"/>
      <c r="NSJ46" s="478"/>
      <c r="NSK46" s="478"/>
      <c r="NSL46" s="478"/>
      <c r="NSM46" s="478"/>
      <c r="NSN46" s="478"/>
      <c r="NSO46" s="478"/>
      <c r="NSP46" s="478"/>
      <c r="NSQ46" s="478"/>
      <c r="NSR46" s="478"/>
      <c r="NSS46" s="478"/>
      <c r="NST46" s="478"/>
      <c r="NSU46" s="478"/>
      <c r="NSV46" s="478"/>
      <c r="NSW46" s="478"/>
      <c r="NSX46" s="478"/>
      <c r="NSY46" s="478"/>
      <c r="NSZ46" s="478"/>
      <c r="NTA46" s="478"/>
      <c r="NTB46" s="478"/>
      <c r="NTC46" s="478"/>
      <c r="NTD46" s="478"/>
      <c r="NTE46" s="478"/>
      <c r="NTF46" s="478"/>
      <c r="NTG46" s="478"/>
      <c r="NTH46" s="478"/>
      <c r="NTI46" s="478"/>
      <c r="NTJ46" s="478"/>
      <c r="NTK46" s="478"/>
      <c r="NTL46" s="478"/>
      <c r="NTM46" s="478"/>
      <c r="NTN46" s="478"/>
      <c r="NTO46" s="478"/>
      <c r="NTP46" s="478"/>
      <c r="NTQ46" s="478"/>
      <c r="NTR46" s="478"/>
      <c r="NTS46" s="478"/>
      <c r="NTT46" s="478"/>
      <c r="NTU46" s="478"/>
      <c r="NTV46" s="478"/>
      <c r="NTW46" s="478"/>
      <c r="NTX46" s="478"/>
      <c r="NTY46" s="478"/>
      <c r="NTZ46" s="478"/>
      <c r="NUA46" s="478"/>
      <c r="NUB46" s="478"/>
      <c r="NUC46" s="478"/>
      <c r="NUD46" s="478"/>
      <c r="NUE46" s="478"/>
      <c r="NUF46" s="478"/>
      <c r="NUG46" s="478"/>
      <c r="NUH46" s="478"/>
      <c r="NUI46" s="478"/>
      <c r="NUJ46" s="478"/>
      <c r="NUK46" s="478"/>
      <c r="NUL46" s="478"/>
      <c r="NUM46" s="478"/>
      <c r="NUN46" s="478"/>
      <c r="NUO46" s="478"/>
      <c r="NUP46" s="478"/>
      <c r="NUQ46" s="478"/>
      <c r="NUR46" s="478"/>
      <c r="NUS46" s="478"/>
      <c r="NUT46" s="478"/>
      <c r="NUU46" s="478"/>
      <c r="NUV46" s="478"/>
      <c r="NUW46" s="478"/>
      <c r="NUX46" s="478"/>
      <c r="NUY46" s="478"/>
      <c r="NUZ46" s="478"/>
      <c r="NVA46" s="478"/>
      <c r="NVB46" s="478"/>
      <c r="NVC46" s="478"/>
      <c r="NVD46" s="478"/>
      <c r="NVE46" s="478"/>
      <c r="NVF46" s="478"/>
      <c r="NVG46" s="478"/>
      <c r="NVH46" s="478"/>
      <c r="NVI46" s="478"/>
      <c r="NVJ46" s="478"/>
      <c r="NVK46" s="478"/>
      <c r="NVL46" s="478"/>
      <c r="NVM46" s="478"/>
      <c r="NVN46" s="478"/>
      <c r="NVO46" s="478"/>
      <c r="NVP46" s="478"/>
      <c r="NVQ46" s="478"/>
      <c r="NVR46" s="478"/>
      <c r="NVS46" s="478"/>
      <c r="NVT46" s="478"/>
      <c r="NVU46" s="478"/>
      <c r="NVV46" s="478"/>
      <c r="NVW46" s="478"/>
      <c r="NVX46" s="478"/>
      <c r="NVY46" s="478"/>
      <c r="NVZ46" s="478"/>
      <c r="NWA46" s="478"/>
      <c r="NWB46" s="478"/>
      <c r="NWC46" s="478"/>
      <c r="NWD46" s="478"/>
      <c r="NWE46" s="478"/>
      <c r="NWF46" s="478"/>
      <c r="NWG46" s="478"/>
      <c r="NWH46" s="478"/>
      <c r="NWI46" s="478"/>
      <c r="NWJ46" s="478"/>
      <c r="NWK46" s="478"/>
      <c r="NWL46" s="478"/>
      <c r="NWM46" s="478"/>
      <c r="NWN46" s="478"/>
      <c r="NWO46" s="478"/>
      <c r="NWP46" s="478"/>
      <c r="NWQ46" s="478"/>
      <c r="NWR46" s="478"/>
      <c r="NWS46" s="478"/>
      <c r="NWT46" s="478"/>
      <c r="NWU46" s="478"/>
      <c r="NWV46" s="478"/>
      <c r="NWW46" s="478"/>
      <c r="NWX46" s="478"/>
      <c r="NWY46" s="478"/>
      <c r="NWZ46" s="478"/>
      <c r="NXA46" s="478"/>
      <c r="NXB46" s="478"/>
      <c r="NXC46" s="478"/>
      <c r="NXD46" s="478"/>
      <c r="NXE46" s="478"/>
      <c r="NXF46" s="478"/>
      <c r="NXG46" s="478"/>
      <c r="NXH46" s="478"/>
      <c r="NXI46" s="478"/>
      <c r="NXJ46" s="478"/>
      <c r="NXK46" s="478"/>
      <c r="NXL46" s="478"/>
      <c r="NXM46" s="478"/>
      <c r="NXN46" s="478"/>
      <c r="NXO46" s="478"/>
      <c r="NXP46" s="478"/>
      <c r="NXQ46" s="478"/>
      <c r="NXR46" s="478"/>
      <c r="NXS46" s="478"/>
      <c r="NXT46" s="478"/>
      <c r="NXU46" s="478"/>
      <c r="NXV46" s="478"/>
      <c r="NXW46" s="478"/>
      <c r="NXX46" s="478"/>
      <c r="NXY46" s="478"/>
      <c r="NXZ46" s="478"/>
      <c r="NYA46" s="478"/>
      <c r="NYB46" s="478"/>
      <c r="NYC46" s="478"/>
      <c r="NYD46" s="478"/>
      <c r="NYE46" s="478"/>
      <c r="NYF46" s="478"/>
      <c r="NYG46" s="478"/>
      <c r="NYH46" s="478"/>
      <c r="NYI46" s="478"/>
      <c r="NYJ46" s="478"/>
      <c r="NYK46" s="478"/>
      <c r="NYL46" s="478"/>
      <c r="NYM46" s="478"/>
      <c r="NYN46" s="478"/>
      <c r="NYO46" s="478"/>
      <c r="NYP46" s="478"/>
      <c r="NYQ46" s="478"/>
      <c r="NYR46" s="478"/>
      <c r="NYS46" s="478"/>
      <c r="NYT46" s="478"/>
      <c r="NYU46" s="478"/>
      <c r="NYV46" s="478"/>
      <c r="NYW46" s="478"/>
      <c r="NYX46" s="478"/>
      <c r="NYY46" s="478"/>
      <c r="NYZ46" s="478"/>
      <c r="NZA46" s="478"/>
      <c r="NZB46" s="478"/>
      <c r="NZC46" s="478"/>
      <c r="NZD46" s="478"/>
      <c r="NZE46" s="478"/>
      <c r="NZF46" s="478"/>
      <c r="NZG46" s="478"/>
      <c r="NZH46" s="478"/>
      <c r="NZI46" s="478"/>
      <c r="NZJ46" s="478"/>
      <c r="NZK46" s="478"/>
      <c r="NZL46" s="478"/>
      <c r="NZM46" s="478"/>
      <c r="NZN46" s="478"/>
      <c r="NZO46" s="478"/>
      <c r="NZP46" s="478"/>
      <c r="NZQ46" s="478"/>
      <c r="NZR46" s="478"/>
      <c r="NZS46" s="478"/>
      <c r="NZT46" s="478"/>
      <c r="NZU46" s="478"/>
      <c r="NZV46" s="478"/>
      <c r="NZW46" s="478"/>
      <c r="NZX46" s="478"/>
      <c r="NZY46" s="478"/>
      <c r="NZZ46" s="478"/>
      <c r="OAA46" s="478"/>
      <c r="OAB46" s="478"/>
      <c r="OAC46" s="478"/>
      <c r="OAD46" s="478"/>
      <c r="OAE46" s="478"/>
      <c r="OAF46" s="478"/>
      <c r="OAG46" s="478"/>
      <c r="OAH46" s="478"/>
      <c r="OAI46" s="478"/>
      <c r="OAJ46" s="478"/>
      <c r="OAK46" s="478"/>
      <c r="OAL46" s="478"/>
      <c r="OAM46" s="478"/>
      <c r="OAN46" s="478"/>
      <c r="OAO46" s="478"/>
      <c r="OAP46" s="478"/>
      <c r="OAQ46" s="478"/>
      <c r="OAR46" s="478"/>
      <c r="OAS46" s="478"/>
      <c r="OAT46" s="478"/>
      <c r="OAU46" s="478"/>
      <c r="OAV46" s="478"/>
      <c r="OAW46" s="478"/>
      <c r="OAX46" s="478"/>
      <c r="OAY46" s="478"/>
      <c r="OAZ46" s="478"/>
      <c r="OBA46" s="478"/>
      <c r="OBB46" s="478"/>
      <c r="OBC46" s="478"/>
      <c r="OBD46" s="478"/>
      <c r="OBE46" s="478"/>
      <c r="OBF46" s="478"/>
      <c r="OBG46" s="478"/>
      <c r="OBH46" s="478"/>
      <c r="OBI46" s="478"/>
      <c r="OBJ46" s="478"/>
      <c r="OBK46" s="478"/>
      <c r="OBL46" s="478"/>
      <c r="OBM46" s="478"/>
      <c r="OBN46" s="478"/>
      <c r="OBO46" s="478"/>
      <c r="OBP46" s="478"/>
      <c r="OBQ46" s="478"/>
      <c r="OBR46" s="478"/>
      <c r="OBS46" s="478"/>
      <c r="OBT46" s="478"/>
      <c r="OBU46" s="478"/>
      <c r="OBV46" s="478"/>
      <c r="OBW46" s="478"/>
      <c r="OBX46" s="478"/>
      <c r="OBY46" s="478"/>
      <c r="OBZ46" s="478"/>
      <c r="OCA46" s="478"/>
      <c r="OCB46" s="478"/>
      <c r="OCC46" s="478"/>
      <c r="OCD46" s="478"/>
      <c r="OCE46" s="478"/>
      <c r="OCF46" s="478"/>
      <c r="OCG46" s="478"/>
      <c r="OCH46" s="478"/>
      <c r="OCI46" s="478"/>
      <c r="OCJ46" s="478"/>
      <c r="OCK46" s="478"/>
      <c r="OCL46" s="478"/>
      <c r="OCM46" s="478"/>
      <c r="OCN46" s="478"/>
      <c r="OCO46" s="478"/>
      <c r="OCP46" s="478"/>
      <c r="OCQ46" s="478"/>
      <c r="OCR46" s="478"/>
      <c r="OCS46" s="478"/>
      <c r="OCT46" s="478"/>
      <c r="OCU46" s="478"/>
      <c r="OCV46" s="478"/>
      <c r="OCW46" s="478"/>
      <c r="OCX46" s="478"/>
      <c r="OCY46" s="478"/>
      <c r="OCZ46" s="478"/>
      <c r="ODA46" s="478"/>
      <c r="ODB46" s="478"/>
      <c r="ODC46" s="478"/>
      <c r="ODD46" s="478"/>
      <c r="ODE46" s="478"/>
      <c r="ODF46" s="478"/>
      <c r="ODG46" s="478"/>
      <c r="ODH46" s="478"/>
      <c r="ODI46" s="478"/>
      <c r="ODJ46" s="478"/>
      <c r="ODK46" s="478"/>
      <c r="ODL46" s="478"/>
      <c r="ODM46" s="478"/>
      <c r="ODN46" s="478"/>
      <c r="ODO46" s="478"/>
      <c r="ODP46" s="478"/>
      <c r="ODQ46" s="478"/>
      <c r="ODR46" s="478"/>
      <c r="ODS46" s="478"/>
      <c r="ODT46" s="478"/>
      <c r="ODU46" s="478"/>
      <c r="ODV46" s="478"/>
      <c r="ODW46" s="478"/>
      <c r="ODX46" s="478"/>
      <c r="ODY46" s="478"/>
      <c r="ODZ46" s="478"/>
      <c r="OEA46" s="478"/>
      <c r="OEB46" s="478"/>
      <c r="OEC46" s="478"/>
      <c r="OED46" s="478"/>
      <c r="OEE46" s="478"/>
      <c r="OEF46" s="478"/>
      <c r="OEG46" s="478"/>
      <c r="OEH46" s="478"/>
      <c r="OEI46" s="478"/>
      <c r="OEJ46" s="478"/>
      <c r="OEK46" s="478"/>
      <c r="OEL46" s="478"/>
      <c r="OEM46" s="478"/>
      <c r="OEN46" s="478"/>
      <c r="OEO46" s="478"/>
      <c r="OEP46" s="478"/>
      <c r="OEQ46" s="478"/>
      <c r="OER46" s="478"/>
      <c r="OES46" s="478"/>
      <c r="OET46" s="478"/>
      <c r="OEU46" s="478"/>
      <c r="OEV46" s="478"/>
      <c r="OEW46" s="478"/>
      <c r="OEX46" s="478"/>
      <c r="OEY46" s="478"/>
      <c r="OEZ46" s="478"/>
      <c r="OFA46" s="478"/>
      <c r="OFB46" s="478"/>
      <c r="OFC46" s="478"/>
      <c r="OFD46" s="478"/>
      <c r="OFE46" s="478"/>
      <c r="OFF46" s="478"/>
      <c r="OFG46" s="478"/>
      <c r="OFH46" s="478"/>
      <c r="OFI46" s="478"/>
      <c r="OFJ46" s="478"/>
      <c r="OFK46" s="478"/>
      <c r="OFL46" s="478"/>
      <c r="OFM46" s="478"/>
      <c r="OFN46" s="478"/>
      <c r="OFO46" s="478"/>
      <c r="OFP46" s="478"/>
      <c r="OFQ46" s="478"/>
      <c r="OFR46" s="478"/>
      <c r="OFS46" s="478"/>
      <c r="OFT46" s="478"/>
      <c r="OFU46" s="478"/>
      <c r="OFV46" s="478"/>
      <c r="OFW46" s="478"/>
      <c r="OFX46" s="478"/>
      <c r="OFY46" s="478"/>
      <c r="OFZ46" s="478"/>
      <c r="OGA46" s="478"/>
      <c r="OGB46" s="478"/>
      <c r="OGC46" s="478"/>
      <c r="OGD46" s="478"/>
      <c r="OGE46" s="478"/>
      <c r="OGF46" s="478"/>
      <c r="OGG46" s="478"/>
      <c r="OGH46" s="478"/>
      <c r="OGI46" s="478"/>
      <c r="OGJ46" s="478"/>
      <c r="OGK46" s="478"/>
      <c r="OGL46" s="478"/>
      <c r="OGM46" s="478"/>
      <c r="OGN46" s="478"/>
      <c r="OGO46" s="478"/>
      <c r="OGP46" s="478"/>
      <c r="OGQ46" s="478"/>
      <c r="OGR46" s="478"/>
      <c r="OGS46" s="478"/>
      <c r="OGT46" s="478"/>
      <c r="OGU46" s="478"/>
      <c r="OGV46" s="478"/>
      <c r="OGW46" s="478"/>
      <c r="OGX46" s="478"/>
      <c r="OGY46" s="478"/>
      <c r="OGZ46" s="478"/>
      <c r="OHA46" s="478"/>
      <c r="OHB46" s="478"/>
      <c r="OHC46" s="478"/>
      <c r="OHD46" s="478"/>
      <c r="OHE46" s="478"/>
      <c r="OHF46" s="478"/>
      <c r="OHG46" s="478"/>
      <c r="OHH46" s="478"/>
      <c r="OHI46" s="478"/>
      <c r="OHJ46" s="478"/>
      <c r="OHK46" s="478"/>
      <c r="OHL46" s="478"/>
      <c r="OHM46" s="478"/>
      <c r="OHN46" s="478"/>
      <c r="OHO46" s="478"/>
      <c r="OHP46" s="478"/>
      <c r="OHQ46" s="478"/>
      <c r="OHR46" s="478"/>
      <c r="OHS46" s="478"/>
      <c r="OHT46" s="478"/>
      <c r="OHU46" s="478"/>
      <c r="OHV46" s="478"/>
      <c r="OHW46" s="478"/>
      <c r="OHX46" s="478"/>
      <c r="OHY46" s="478"/>
      <c r="OHZ46" s="478"/>
      <c r="OIA46" s="478"/>
      <c r="OIB46" s="478"/>
      <c r="OIC46" s="478"/>
      <c r="OID46" s="478"/>
      <c r="OIE46" s="478"/>
      <c r="OIF46" s="478"/>
      <c r="OIG46" s="478"/>
      <c r="OIH46" s="478"/>
      <c r="OII46" s="478"/>
      <c r="OIJ46" s="478"/>
      <c r="OIK46" s="478"/>
      <c r="OIL46" s="478"/>
      <c r="OIM46" s="478"/>
      <c r="OIN46" s="478"/>
      <c r="OIO46" s="478"/>
      <c r="OIP46" s="478"/>
      <c r="OIQ46" s="478"/>
      <c r="OIR46" s="478"/>
      <c r="OIS46" s="478"/>
      <c r="OIT46" s="478"/>
      <c r="OIU46" s="478"/>
      <c r="OIV46" s="478"/>
      <c r="OIW46" s="478"/>
      <c r="OIX46" s="478"/>
      <c r="OIY46" s="478"/>
      <c r="OIZ46" s="478"/>
      <c r="OJA46" s="478"/>
      <c r="OJB46" s="478"/>
      <c r="OJC46" s="478"/>
      <c r="OJD46" s="478"/>
      <c r="OJE46" s="478"/>
      <c r="OJF46" s="478"/>
      <c r="OJG46" s="478"/>
      <c r="OJH46" s="478"/>
      <c r="OJI46" s="478"/>
      <c r="OJJ46" s="478"/>
      <c r="OJK46" s="478"/>
      <c r="OJL46" s="478"/>
      <c r="OJM46" s="478"/>
      <c r="OJN46" s="478"/>
      <c r="OJO46" s="478"/>
      <c r="OJP46" s="478"/>
      <c r="OJQ46" s="478"/>
      <c r="OJR46" s="478"/>
      <c r="OJS46" s="478"/>
      <c r="OJT46" s="478"/>
      <c r="OJU46" s="478"/>
      <c r="OJV46" s="478"/>
      <c r="OJW46" s="478"/>
      <c r="OJX46" s="478"/>
      <c r="OJY46" s="478"/>
      <c r="OJZ46" s="478"/>
      <c r="OKA46" s="478"/>
      <c r="OKB46" s="478"/>
      <c r="OKC46" s="478"/>
      <c r="OKD46" s="478"/>
      <c r="OKE46" s="478"/>
      <c r="OKF46" s="478"/>
      <c r="OKG46" s="478"/>
      <c r="OKH46" s="478"/>
      <c r="OKI46" s="478"/>
      <c r="OKJ46" s="478"/>
      <c r="OKK46" s="478"/>
      <c r="OKL46" s="478"/>
      <c r="OKM46" s="478"/>
      <c r="OKN46" s="478"/>
      <c r="OKO46" s="478"/>
      <c r="OKP46" s="478"/>
      <c r="OKQ46" s="478"/>
      <c r="OKR46" s="478"/>
      <c r="OKS46" s="478"/>
      <c r="OKT46" s="478"/>
      <c r="OKU46" s="478"/>
      <c r="OKV46" s="478"/>
      <c r="OKW46" s="478"/>
      <c r="OKX46" s="478"/>
      <c r="OKY46" s="478"/>
      <c r="OKZ46" s="478"/>
      <c r="OLA46" s="478"/>
      <c r="OLB46" s="478"/>
      <c r="OLC46" s="478"/>
      <c r="OLD46" s="478"/>
      <c r="OLE46" s="478"/>
      <c r="OLF46" s="478"/>
      <c r="OLG46" s="478"/>
      <c r="OLH46" s="478"/>
      <c r="OLI46" s="478"/>
      <c r="OLJ46" s="478"/>
      <c r="OLK46" s="478"/>
      <c r="OLL46" s="478"/>
      <c r="OLM46" s="478"/>
      <c r="OLN46" s="478"/>
      <c r="OLO46" s="478"/>
      <c r="OLP46" s="478"/>
      <c r="OLQ46" s="478"/>
      <c r="OLR46" s="478"/>
      <c r="OLS46" s="478"/>
      <c r="OLT46" s="478"/>
      <c r="OLU46" s="478"/>
      <c r="OLV46" s="478"/>
      <c r="OLW46" s="478"/>
      <c r="OLX46" s="478"/>
      <c r="OLY46" s="478"/>
      <c r="OLZ46" s="478"/>
      <c r="OMA46" s="478"/>
      <c r="OMB46" s="478"/>
      <c r="OMC46" s="478"/>
      <c r="OMD46" s="478"/>
      <c r="OME46" s="478"/>
      <c r="OMF46" s="478"/>
      <c r="OMG46" s="478"/>
      <c r="OMH46" s="478"/>
      <c r="OMI46" s="478"/>
      <c r="OMJ46" s="478"/>
      <c r="OMK46" s="478"/>
      <c r="OML46" s="478"/>
      <c r="OMM46" s="478"/>
      <c r="OMN46" s="478"/>
      <c r="OMO46" s="478"/>
      <c r="OMP46" s="478"/>
      <c r="OMQ46" s="478"/>
      <c r="OMR46" s="478"/>
      <c r="OMS46" s="478"/>
      <c r="OMT46" s="478"/>
      <c r="OMU46" s="478"/>
      <c r="OMV46" s="478"/>
      <c r="OMW46" s="478"/>
      <c r="OMX46" s="478"/>
      <c r="OMY46" s="478"/>
      <c r="OMZ46" s="478"/>
      <c r="ONA46" s="478"/>
      <c r="ONB46" s="478"/>
      <c r="ONC46" s="478"/>
      <c r="OND46" s="478"/>
      <c r="ONE46" s="478"/>
      <c r="ONF46" s="478"/>
      <c r="ONG46" s="478"/>
      <c r="ONH46" s="478"/>
      <c r="ONI46" s="478"/>
      <c r="ONJ46" s="478"/>
      <c r="ONK46" s="478"/>
      <c r="ONL46" s="478"/>
      <c r="ONM46" s="478"/>
      <c r="ONN46" s="478"/>
      <c r="ONO46" s="478"/>
      <c r="ONP46" s="478"/>
      <c r="ONQ46" s="478"/>
      <c r="ONR46" s="478"/>
      <c r="ONS46" s="478"/>
      <c r="ONT46" s="478"/>
      <c r="ONU46" s="478"/>
      <c r="ONV46" s="478"/>
      <c r="ONW46" s="478"/>
      <c r="ONX46" s="478"/>
      <c r="ONY46" s="478"/>
      <c r="ONZ46" s="478"/>
      <c r="OOA46" s="478"/>
      <c r="OOB46" s="478"/>
      <c r="OOC46" s="478"/>
      <c r="OOD46" s="478"/>
      <c r="OOE46" s="478"/>
      <c r="OOF46" s="478"/>
      <c r="OOG46" s="478"/>
      <c r="OOH46" s="478"/>
      <c r="OOI46" s="478"/>
      <c r="OOJ46" s="478"/>
      <c r="OOK46" s="478"/>
      <c r="OOL46" s="478"/>
      <c r="OOM46" s="478"/>
      <c r="OON46" s="478"/>
      <c r="OOO46" s="478"/>
      <c r="OOP46" s="478"/>
      <c r="OOQ46" s="478"/>
      <c r="OOR46" s="478"/>
      <c r="OOS46" s="478"/>
      <c r="OOT46" s="478"/>
      <c r="OOU46" s="478"/>
      <c r="OOV46" s="478"/>
      <c r="OOW46" s="478"/>
      <c r="OOX46" s="478"/>
      <c r="OOY46" s="478"/>
      <c r="OOZ46" s="478"/>
      <c r="OPA46" s="478"/>
      <c r="OPB46" s="478"/>
      <c r="OPC46" s="478"/>
      <c r="OPD46" s="478"/>
      <c r="OPE46" s="478"/>
      <c r="OPF46" s="478"/>
      <c r="OPG46" s="478"/>
      <c r="OPH46" s="478"/>
      <c r="OPI46" s="478"/>
      <c r="OPJ46" s="478"/>
      <c r="OPK46" s="478"/>
      <c r="OPL46" s="478"/>
      <c r="OPM46" s="478"/>
      <c r="OPN46" s="478"/>
      <c r="OPO46" s="478"/>
      <c r="OPP46" s="478"/>
      <c r="OPQ46" s="478"/>
      <c r="OPR46" s="478"/>
      <c r="OPS46" s="478"/>
      <c r="OPT46" s="478"/>
      <c r="OPU46" s="478"/>
      <c r="OPV46" s="478"/>
      <c r="OPW46" s="478"/>
      <c r="OPX46" s="478"/>
      <c r="OPY46" s="478"/>
      <c r="OPZ46" s="478"/>
      <c r="OQA46" s="478"/>
      <c r="OQB46" s="478"/>
      <c r="OQC46" s="478"/>
      <c r="OQD46" s="478"/>
      <c r="OQE46" s="478"/>
      <c r="OQF46" s="478"/>
      <c r="OQG46" s="478"/>
      <c r="OQH46" s="478"/>
      <c r="OQI46" s="478"/>
      <c r="OQJ46" s="478"/>
      <c r="OQK46" s="478"/>
      <c r="OQL46" s="478"/>
      <c r="OQM46" s="478"/>
      <c r="OQN46" s="478"/>
      <c r="OQO46" s="478"/>
      <c r="OQP46" s="478"/>
      <c r="OQQ46" s="478"/>
      <c r="OQR46" s="478"/>
      <c r="OQS46" s="478"/>
      <c r="OQT46" s="478"/>
      <c r="OQU46" s="478"/>
      <c r="OQV46" s="478"/>
      <c r="OQW46" s="478"/>
      <c r="OQX46" s="478"/>
      <c r="OQY46" s="478"/>
      <c r="OQZ46" s="478"/>
      <c r="ORA46" s="478"/>
      <c r="ORB46" s="478"/>
      <c r="ORC46" s="478"/>
      <c r="ORD46" s="478"/>
      <c r="ORE46" s="478"/>
      <c r="ORF46" s="478"/>
      <c r="ORG46" s="478"/>
      <c r="ORH46" s="478"/>
      <c r="ORI46" s="478"/>
      <c r="ORJ46" s="478"/>
      <c r="ORK46" s="478"/>
      <c r="ORL46" s="478"/>
      <c r="ORM46" s="478"/>
      <c r="ORN46" s="478"/>
      <c r="ORO46" s="478"/>
      <c r="ORP46" s="478"/>
      <c r="ORQ46" s="478"/>
      <c r="ORR46" s="478"/>
      <c r="ORS46" s="478"/>
      <c r="ORT46" s="478"/>
      <c r="ORU46" s="478"/>
      <c r="ORV46" s="478"/>
      <c r="ORW46" s="478"/>
      <c r="ORX46" s="478"/>
      <c r="ORY46" s="478"/>
      <c r="ORZ46" s="478"/>
      <c r="OSA46" s="478"/>
      <c r="OSB46" s="478"/>
      <c r="OSC46" s="478"/>
      <c r="OSD46" s="478"/>
      <c r="OSE46" s="478"/>
      <c r="OSF46" s="478"/>
      <c r="OSG46" s="478"/>
      <c r="OSH46" s="478"/>
      <c r="OSI46" s="478"/>
      <c r="OSJ46" s="478"/>
      <c r="OSK46" s="478"/>
      <c r="OSL46" s="478"/>
      <c r="OSM46" s="478"/>
      <c r="OSN46" s="478"/>
      <c r="OSO46" s="478"/>
      <c r="OSP46" s="478"/>
      <c r="OSQ46" s="478"/>
      <c r="OSR46" s="478"/>
      <c r="OSS46" s="478"/>
      <c r="OST46" s="478"/>
      <c r="OSU46" s="478"/>
      <c r="OSV46" s="478"/>
      <c r="OSW46" s="478"/>
      <c r="OSX46" s="478"/>
      <c r="OSY46" s="478"/>
      <c r="OSZ46" s="478"/>
      <c r="OTA46" s="478"/>
      <c r="OTB46" s="478"/>
      <c r="OTC46" s="478"/>
      <c r="OTD46" s="478"/>
      <c r="OTE46" s="478"/>
      <c r="OTF46" s="478"/>
      <c r="OTG46" s="478"/>
      <c r="OTH46" s="478"/>
      <c r="OTI46" s="478"/>
      <c r="OTJ46" s="478"/>
      <c r="OTK46" s="478"/>
      <c r="OTL46" s="478"/>
      <c r="OTM46" s="478"/>
      <c r="OTN46" s="478"/>
      <c r="OTO46" s="478"/>
      <c r="OTP46" s="478"/>
      <c r="OTQ46" s="478"/>
      <c r="OTR46" s="478"/>
      <c r="OTS46" s="478"/>
      <c r="OTT46" s="478"/>
      <c r="OTU46" s="478"/>
      <c r="OTV46" s="478"/>
      <c r="OTW46" s="478"/>
      <c r="OTX46" s="478"/>
      <c r="OTY46" s="478"/>
      <c r="OTZ46" s="478"/>
      <c r="OUA46" s="478"/>
      <c r="OUB46" s="478"/>
      <c r="OUC46" s="478"/>
      <c r="OUD46" s="478"/>
      <c r="OUE46" s="478"/>
      <c r="OUF46" s="478"/>
      <c r="OUG46" s="478"/>
      <c r="OUH46" s="478"/>
      <c r="OUI46" s="478"/>
      <c r="OUJ46" s="478"/>
      <c r="OUK46" s="478"/>
      <c r="OUL46" s="478"/>
      <c r="OUM46" s="478"/>
      <c r="OUN46" s="478"/>
      <c r="OUO46" s="478"/>
      <c r="OUP46" s="478"/>
      <c r="OUQ46" s="478"/>
      <c r="OUR46" s="478"/>
      <c r="OUS46" s="478"/>
      <c r="OUT46" s="478"/>
      <c r="OUU46" s="478"/>
      <c r="OUV46" s="478"/>
      <c r="OUW46" s="478"/>
      <c r="OUX46" s="478"/>
      <c r="OUY46" s="478"/>
      <c r="OUZ46" s="478"/>
      <c r="OVA46" s="478"/>
      <c r="OVB46" s="478"/>
      <c r="OVC46" s="478"/>
      <c r="OVD46" s="478"/>
      <c r="OVE46" s="478"/>
      <c r="OVF46" s="478"/>
      <c r="OVG46" s="478"/>
      <c r="OVH46" s="478"/>
      <c r="OVI46" s="478"/>
      <c r="OVJ46" s="478"/>
      <c r="OVK46" s="478"/>
      <c r="OVL46" s="478"/>
      <c r="OVM46" s="478"/>
      <c r="OVN46" s="478"/>
      <c r="OVO46" s="478"/>
      <c r="OVP46" s="478"/>
      <c r="OVQ46" s="478"/>
      <c r="OVR46" s="478"/>
      <c r="OVS46" s="478"/>
      <c r="OVT46" s="478"/>
      <c r="OVU46" s="478"/>
      <c r="OVV46" s="478"/>
      <c r="OVW46" s="478"/>
      <c r="OVX46" s="478"/>
      <c r="OVY46" s="478"/>
      <c r="OVZ46" s="478"/>
      <c r="OWA46" s="478"/>
      <c r="OWB46" s="478"/>
      <c r="OWC46" s="478"/>
      <c r="OWD46" s="478"/>
      <c r="OWE46" s="478"/>
      <c r="OWF46" s="478"/>
      <c r="OWG46" s="478"/>
      <c r="OWH46" s="478"/>
      <c r="OWI46" s="478"/>
      <c r="OWJ46" s="478"/>
      <c r="OWK46" s="478"/>
      <c r="OWL46" s="478"/>
      <c r="OWM46" s="478"/>
      <c r="OWN46" s="478"/>
      <c r="OWO46" s="478"/>
      <c r="OWP46" s="478"/>
      <c r="OWQ46" s="478"/>
      <c r="OWR46" s="478"/>
      <c r="OWS46" s="478"/>
      <c r="OWT46" s="478"/>
      <c r="OWU46" s="478"/>
      <c r="OWV46" s="478"/>
      <c r="OWW46" s="478"/>
      <c r="OWX46" s="478"/>
      <c r="OWY46" s="478"/>
      <c r="OWZ46" s="478"/>
      <c r="OXA46" s="478"/>
      <c r="OXB46" s="478"/>
      <c r="OXC46" s="478"/>
      <c r="OXD46" s="478"/>
      <c r="OXE46" s="478"/>
      <c r="OXF46" s="478"/>
      <c r="OXG46" s="478"/>
      <c r="OXH46" s="478"/>
      <c r="OXI46" s="478"/>
      <c r="OXJ46" s="478"/>
      <c r="OXK46" s="478"/>
      <c r="OXL46" s="478"/>
      <c r="OXM46" s="478"/>
      <c r="OXN46" s="478"/>
      <c r="OXO46" s="478"/>
      <c r="OXP46" s="478"/>
      <c r="OXQ46" s="478"/>
      <c r="OXR46" s="478"/>
      <c r="OXS46" s="478"/>
      <c r="OXT46" s="478"/>
      <c r="OXU46" s="478"/>
      <c r="OXV46" s="478"/>
      <c r="OXW46" s="478"/>
      <c r="OXX46" s="478"/>
      <c r="OXY46" s="478"/>
      <c r="OXZ46" s="478"/>
      <c r="OYA46" s="478"/>
      <c r="OYB46" s="478"/>
      <c r="OYC46" s="478"/>
      <c r="OYD46" s="478"/>
      <c r="OYE46" s="478"/>
      <c r="OYF46" s="478"/>
      <c r="OYG46" s="478"/>
      <c r="OYH46" s="478"/>
      <c r="OYI46" s="478"/>
      <c r="OYJ46" s="478"/>
      <c r="OYK46" s="478"/>
      <c r="OYL46" s="478"/>
      <c r="OYM46" s="478"/>
      <c r="OYN46" s="478"/>
      <c r="OYO46" s="478"/>
      <c r="OYP46" s="478"/>
      <c r="OYQ46" s="478"/>
      <c r="OYR46" s="478"/>
      <c r="OYS46" s="478"/>
      <c r="OYT46" s="478"/>
      <c r="OYU46" s="478"/>
      <c r="OYV46" s="478"/>
      <c r="OYW46" s="478"/>
      <c r="OYX46" s="478"/>
      <c r="OYY46" s="478"/>
      <c r="OYZ46" s="478"/>
      <c r="OZA46" s="478"/>
      <c r="OZB46" s="478"/>
      <c r="OZC46" s="478"/>
      <c r="OZD46" s="478"/>
      <c r="OZE46" s="478"/>
      <c r="OZF46" s="478"/>
      <c r="OZG46" s="478"/>
      <c r="OZH46" s="478"/>
      <c r="OZI46" s="478"/>
      <c r="OZJ46" s="478"/>
      <c r="OZK46" s="478"/>
      <c r="OZL46" s="478"/>
      <c r="OZM46" s="478"/>
      <c r="OZN46" s="478"/>
      <c r="OZO46" s="478"/>
      <c r="OZP46" s="478"/>
      <c r="OZQ46" s="478"/>
      <c r="OZR46" s="478"/>
      <c r="OZS46" s="478"/>
      <c r="OZT46" s="478"/>
      <c r="OZU46" s="478"/>
      <c r="OZV46" s="478"/>
      <c r="OZW46" s="478"/>
      <c r="OZX46" s="478"/>
      <c r="OZY46" s="478"/>
      <c r="OZZ46" s="478"/>
      <c r="PAA46" s="478"/>
      <c r="PAB46" s="478"/>
      <c r="PAC46" s="478"/>
      <c r="PAD46" s="478"/>
      <c r="PAE46" s="478"/>
      <c r="PAF46" s="478"/>
      <c r="PAG46" s="478"/>
      <c r="PAH46" s="478"/>
      <c r="PAI46" s="478"/>
      <c r="PAJ46" s="478"/>
      <c r="PAK46" s="478"/>
      <c r="PAL46" s="478"/>
      <c r="PAM46" s="478"/>
      <c r="PAN46" s="478"/>
      <c r="PAO46" s="478"/>
      <c r="PAP46" s="478"/>
      <c r="PAQ46" s="478"/>
      <c r="PAR46" s="478"/>
      <c r="PAS46" s="478"/>
      <c r="PAT46" s="478"/>
      <c r="PAU46" s="478"/>
      <c r="PAV46" s="478"/>
      <c r="PAW46" s="478"/>
      <c r="PAX46" s="478"/>
      <c r="PAY46" s="478"/>
      <c r="PAZ46" s="478"/>
      <c r="PBA46" s="478"/>
      <c r="PBB46" s="478"/>
      <c r="PBC46" s="478"/>
      <c r="PBD46" s="478"/>
      <c r="PBE46" s="478"/>
      <c r="PBF46" s="478"/>
      <c r="PBG46" s="478"/>
      <c r="PBH46" s="478"/>
      <c r="PBI46" s="478"/>
      <c r="PBJ46" s="478"/>
      <c r="PBK46" s="478"/>
      <c r="PBL46" s="478"/>
      <c r="PBM46" s="478"/>
      <c r="PBN46" s="478"/>
      <c r="PBO46" s="478"/>
      <c r="PBP46" s="478"/>
      <c r="PBQ46" s="478"/>
      <c r="PBR46" s="478"/>
      <c r="PBS46" s="478"/>
      <c r="PBT46" s="478"/>
      <c r="PBU46" s="478"/>
      <c r="PBV46" s="478"/>
      <c r="PBW46" s="478"/>
      <c r="PBX46" s="478"/>
      <c r="PBY46" s="478"/>
      <c r="PBZ46" s="478"/>
      <c r="PCA46" s="478"/>
      <c r="PCB46" s="478"/>
      <c r="PCC46" s="478"/>
      <c r="PCD46" s="478"/>
      <c r="PCE46" s="478"/>
      <c r="PCF46" s="478"/>
      <c r="PCG46" s="478"/>
      <c r="PCH46" s="478"/>
      <c r="PCI46" s="478"/>
      <c r="PCJ46" s="478"/>
      <c r="PCK46" s="478"/>
      <c r="PCL46" s="478"/>
      <c r="PCM46" s="478"/>
      <c r="PCN46" s="478"/>
      <c r="PCO46" s="478"/>
      <c r="PCP46" s="478"/>
      <c r="PCQ46" s="478"/>
      <c r="PCR46" s="478"/>
      <c r="PCS46" s="478"/>
      <c r="PCT46" s="478"/>
      <c r="PCU46" s="478"/>
      <c r="PCV46" s="478"/>
      <c r="PCW46" s="478"/>
      <c r="PCX46" s="478"/>
      <c r="PCY46" s="478"/>
      <c r="PCZ46" s="478"/>
      <c r="PDA46" s="478"/>
      <c r="PDB46" s="478"/>
      <c r="PDC46" s="478"/>
      <c r="PDD46" s="478"/>
      <c r="PDE46" s="478"/>
      <c r="PDF46" s="478"/>
      <c r="PDG46" s="478"/>
      <c r="PDH46" s="478"/>
      <c r="PDI46" s="478"/>
      <c r="PDJ46" s="478"/>
      <c r="PDK46" s="478"/>
      <c r="PDL46" s="478"/>
      <c r="PDM46" s="478"/>
      <c r="PDN46" s="478"/>
      <c r="PDO46" s="478"/>
      <c r="PDP46" s="478"/>
      <c r="PDQ46" s="478"/>
      <c r="PDR46" s="478"/>
      <c r="PDS46" s="478"/>
      <c r="PDT46" s="478"/>
      <c r="PDU46" s="478"/>
      <c r="PDV46" s="478"/>
      <c r="PDW46" s="478"/>
      <c r="PDX46" s="478"/>
      <c r="PDY46" s="478"/>
      <c r="PDZ46" s="478"/>
      <c r="PEA46" s="478"/>
      <c r="PEB46" s="478"/>
      <c r="PEC46" s="478"/>
      <c r="PED46" s="478"/>
      <c r="PEE46" s="478"/>
      <c r="PEF46" s="478"/>
      <c r="PEG46" s="478"/>
      <c r="PEH46" s="478"/>
      <c r="PEI46" s="478"/>
      <c r="PEJ46" s="478"/>
      <c r="PEK46" s="478"/>
      <c r="PEL46" s="478"/>
      <c r="PEM46" s="478"/>
      <c r="PEN46" s="478"/>
      <c r="PEO46" s="478"/>
      <c r="PEP46" s="478"/>
      <c r="PEQ46" s="478"/>
      <c r="PER46" s="478"/>
      <c r="PES46" s="478"/>
      <c r="PET46" s="478"/>
      <c r="PEU46" s="478"/>
      <c r="PEV46" s="478"/>
      <c r="PEW46" s="478"/>
      <c r="PEX46" s="478"/>
      <c r="PEY46" s="478"/>
      <c r="PEZ46" s="478"/>
      <c r="PFA46" s="478"/>
      <c r="PFB46" s="478"/>
      <c r="PFC46" s="478"/>
      <c r="PFD46" s="478"/>
      <c r="PFE46" s="478"/>
      <c r="PFF46" s="478"/>
      <c r="PFG46" s="478"/>
      <c r="PFH46" s="478"/>
      <c r="PFI46" s="478"/>
      <c r="PFJ46" s="478"/>
      <c r="PFK46" s="478"/>
      <c r="PFL46" s="478"/>
      <c r="PFM46" s="478"/>
      <c r="PFN46" s="478"/>
      <c r="PFO46" s="478"/>
      <c r="PFP46" s="478"/>
      <c r="PFQ46" s="478"/>
      <c r="PFR46" s="478"/>
      <c r="PFS46" s="478"/>
      <c r="PFT46" s="478"/>
      <c r="PFU46" s="478"/>
      <c r="PFV46" s="478"/>
      <c r="PFW46" s="478"/>
      <c r="PFX46" s="478"/>
      <c r="PFY46" s="478"/>
      <c r="PFZ46" s="478"/>
      <c r="PGA46" s="478"/>
      <c r="PGB46" s="478"/>
      <c r="PGC46" s="478"/>
      <c r="PGD46" s="478"/>
      <c r="PGE46" s="478"/>
      <c r="PGF46" s="478"/>
      <c r="PGG46" s="478"/>
      <c r="PGH46" s="478"/>
      <c r="PGI46" s="478"/>
      <c r="PGJ46" s="478"/>
      <c r="PGK46" s="478"/>
      <c r="PGL46" s="478"/>
      <c r="PGM46" s="478"/>
      <c r="PGN46" s="478"/>
      <c r="PGO46" s="478"/>
      <c r="PGP46" s="478"/>
      <c r="PGQ46" s="478"/>
      <c r="PGR46" s="478"/>
      <c r="PGS46" s="478"/>
      <c r="PGT46" s="478"/>
      <c r="PGU46" s="478"/>
      <c r="PGV46" s="478"/>
      <c r="PGW46" s="478"/>
      <c r="PGX46" s="478"/>
      <c r="PGY46" s="478"/>
      <c r="PGZ46" s="478"/>
      <c r="PHA46" s="478"/>
      <c r="PHB46" s="478"/>
      <c r="PHC46" s="478"/>
      <c r="PHD46" s="478"/>
      <c r="PHE46" s="478"/>
      <c r="PHF46" s="478"/>
      <c r="PHG46" s="478"/>
      <c r="PHH46" s="478"/>
      <c r="PHI46" s="478"/>
      <c r="PHJ46" s="478"/>
      <c r="PHK46" s="478"/>
      <c r="PHL46" s="478"/>
      <c r="PHM46" s="478"/>
      <c r="PHN46" s="478"/>
      <c r="PHO46" s="478"/>
      <c r="PHP46" s="478"/>
      <c r="PHQ46" s="478"/>
      <c r="PHR46" s="478"/>
      <c r="PHS46" s="478"/>
      <c r="PHT46" s="478"/>
      <c r="PHU46" s="478"/>
      <c r="PHV46" s="478"/>
      <c r="PHW46" s="478"/>
      <c r="PHX46" s="478"/>
      <c r="PHY46" s="478"/>
      <c r="PHZ46" s="478"/>
      <c r="PIA46" s="478"/>
      <c r="PIB46" s="478"/>
      <c r="PIC46" s="478"/>
      <c r="PID46" s="478"/>
      <c r="PIE46" s="478"/>
      <c r="PIF46" s="478"/>
      <c r="PIG46" s="478"/>
      <c r="PIH46" s="478"/>
      <c r="PII46" s="478"/>
      <c r="PIJ46" s="478"/>
      <c r="PIK46" s="478"/>
      <c r="PIL46" s="478"/>
      <c r="PIM46" s="478"/>
      <c r="PIN46" s="478"/>
      <c r="PIO46" s="478"/>
      <c r="PIP46" s="478"/>
      <c r="PIQ46" s="478"/>
      <c r="PIR46" s="478"/>
      <c r="PIS46" s="478"/>
      <c r="PIT46" s="478"/>
      <c r="PIU46" s="478"/>
      <c r="PIV46" s="478"/>
      <c r="PIW46" s="478"/>
      <c r="PIX46" s="478"/>
      <c r="PIY46" s="478"/>
      <c r="PIZ46" s="478"/>
      <c r="PJA46" s="478"/>
      <c r="PJB46" s="478"/>
      <c r="PJC46" s="478"/>
      <c r="PJD46" s="478"/>
      <c r="PJE46" s="478"/>
      <c r="PJF46" s="478"/>
      <c r="PJG46" s="478"/>
      <c r="PJH46" s="478"/>
      <c r="PJI46" s="478"/>
      <c r="PJJ46" s="478"/>
      <c r="PJK46" s="478"/>
      <c r="PJL46" s="478"/>
      <c r="PJM46" s="478"/>
      <c r="PJN46" s="478"/>
      <c r="PJO46" s="478"/>
      <c r="PJP46" s="478"/>
      <c r="PJQ46" s="478"/>
      <c r="PJR46" s="478"/>
      <c r="PJS46" s="478"/>
      <c r="PJT46" s="478"/>
      <c r="PJU46" s="478"/>
      <c r="PJV46" s="478"/>
      <c r="PJW46" s="478"/>
      <c r="PJX46" s="478"/>
      <c r="PJY46" s="478"/>
      <c r="PJZ46" s="478"/>
      <c r="PKA46" s="478"/>
      <c r="PKB46" s="478"/>
      <c r="PKC46" s="478"/>
      <c r="PKD46" s="478"/>
      <c r="PKE46" s="478"/>
      <c r="PKF46" s="478"/>
      <c r="PKG46" s="478"/>
      <c r="PKH46" s="478"/>
      <c r="PKI46" s="478"/>
      <c r="PKJ46" s="478"/>
      <c r="PKK46" s="478"/>
      <c r="PKL46" s="478"/>
      <c r="PKM46" s="478"/>
      <c r="PKN46" s="478"/>
      <c r="PKO46" s="478"/>
      <c r="PKP46" s="478"/>
      <c r="PKQ46" s="478"/>
      <c r="PKR46" s="478"/>
      <c r="PKS46" s="478"/>
      <c r="PKT46" s="478"/>
      <c r="PKU46" s="478"/>
      <c r="PKV46" s="478"/>
      <c r="PKW46" s="478"/>
      <c r="PKX46" s="478"/>
      <c r="PKY46" s="478"/>
      <c r="PKZ46" s="478"/>
      <c r="PLA46" s="478"/>
      <c r="PLB46" s="478"/>
      <c r="PLC46" s="478"/>
      <c r="PLD46" s="478"/>
      <c r="PLE46" s="478"/>
      <c r="PLF46" s="478"/>
      <c r="PLG46" s="478"/>
      <c r="PLH46" s="478"/>
      <c r="PLI46" s="478"/>
      <c r="PLJ46" s="478"/>
      <c r="PLK46" s="478"/>
      <c r="PLL46" s="478"/>
      <c r="PLM46" s="478"/>
      <c r="PLN46" s="478"/>
      <c r="PLO46" s="478"/>
      <c r="PLP46" s="478"/>
      <c r="PLQ46" s="478"/>
      <c r="PLR46" s="478"/>
      <c r="PLS46" s="478"/>
      <c r="PLT46" s="478"/>
      <c r="PLU46" s="478"/>
      <c r="PLV46" s="478"/>
      <c r="PLW46" s="478"/>
      <c r="PLX46" s="478"/>
      <c r="PLY46" s="478"/>
      <c r="PLZ46" s="478"/>
      <c r="PMA46" s="478"/>
      <c r="PMB46" s="478"/>
      <c r="PMC46" s="478"/>
      <c r="PMD46" s="478"/>
      <c r="PME46" s="478"/>
      <c r="PMF46" s="478"/>
      <c r="PMG46" s="478"/>
      <c r="PMH46" s="478"/>
      <c r="PMI46" s="478"/>
      <c r="PMJ46" s="478"/>
      <c r="PMK46" s="478"/>
      <c r="PML46" s="478"/>
      <c r="PMM46" s="478"/>
      <c r="PMN46" s="478"/>
      <c r="PMO46" s="478"/>
      <c r="PMP46" s="478"/>
      <c r="PMQ46" s="478"/>
      <c r="PMR46" s="478"/>
      <c r="PMS46" s="478"/>
      <c r="PMT46" s="478"/>
      <c r="PMU46" s="478"/>
      <c r="PMV46" s="478"/>
      <c r="PMW46" s="478"/>
      <c r="PMX46" s="478"/>
      <c r="PMY46" s="478"/>
      <c r="PMZ46" s="478"/>
      <c r="PNA46" s="478"/>
      <c r="PNB46" s="478"/>
      <c r="PNC46" s="478"/>
      <c r="PND46" s="478"/>
      <c r="PNE46" s="478"/>
      <c r="PNF46" s="478"/>
      <c r="PNG46" s="478"/>
      <c r="PNH46" s="478"/>
      <c r="PNI46" s="478"/>
      <c r="PNJ46" s="478"/>
      <c r="PNK46" s="478"/>
      <c r="PNL46" s="478"/>
      <c r="PNM46" s="478"/>
      <c r="PNN46" s="478"/>
      <c r="PNO46" s="478"/>
      <c r="PNP46" s="478"/>
      <c r="PNQ46" s="478"/>
      <c r="PNR46" s="478"/>
      <c r="PNS46" s="478"/>
      <c r="PNT46" s="478"/>
      <c r="PNU46" s="478"/>
      <c r="PNV46" s="478"/>
      <c r="PNW46" s="478"/>
      <c r="PNX46" s="478"/>
      <c r="PNY46" s="478"/>
      <c r="PNZ46" s="478"/>
      <c r="POA46" s="478"/>
      <c r="POB46" s="478"/>
      <c r="POC46" s="478"/>
      <c r="POD46" s="478"/>
      <c r="POE46" s="478"/>
      <c r="POF46" s="478"/>
      <c r="POG46" s="478"/>
      <c r="POH46" s="478"/>
      <c r="POI46" s="478"/>
      <c r="POJ46" s="478"/>
      <c r="POK46" s="478"/>
      <c r="POL46" s="478"/>
      <c r="POM46" s="478"/>
      <c r="PON46" s="478"/>
      <c r="POO46" s="478"/>
      <c r="POP46" s="478"/>
      <c r="POQ46" s="478"/>
      <c r="POR46" s="478"/>
      <c r="POS46" s="478"/>
      <c r="POT46" s="478"/>
      <c r="POU46" s="478"/>
      <c r="POV46" s="478"/>
      <c r="POW46" s="478"/>
      <c r="POX46" s="478"/>
      <c r="POY46" s="478"/>
      <c r="POZ46" s="478"/>
      <c r="PPA46" s="478"/>
      <c r="PPB46" s="478"/>
      <c r="PPC46" s="478"/>
      <c r="PPD46" s="478"/>
      <c r="PPE46" s="478"/>
      <c r="PPF46" s="478"/>
      <c r="PPG46" s="478"/>
      <c r="PPH46" s="478"/>
      <c r="PPI46" s="478"/>
      <c r="PPJ46" s="478"/>
      <c r="PPK46" s="478"/>
      <c r="PPL46" s="478"/>
      <c r="PPM46" s="478"/>
      <c r="PPN46" s="478"/>
      <c r="PPO46" s="478"/>
      <c r="PPP46" s="478"/>
      <c r="PPQ46" s="478"/>
      <c r="PPR46" s="478"/>
      <c r="PPS46" s="478"/>
      <c r="PPT46" s="478"/>
      <c r="PPU46" s="478"/>
      <c r="PPV46" s="478"/>
      <c r="PPW46" s="478"/>
      <c r="PPX46" s="478"/>
      <c r="PPY46" s="478"/>
      <c r="PPZ46" s="478"/>
      <c r="PQA46" s="478"/>
      <c r="PQB46" s="478"/>
      <c r="PQC46" s="478"/>
      <c r="PQD46" s="478"/>
      <c r="PQE46" s="478"/>
      <c r="PQF46" s="478"/>
      <c r="PQG46" s="478"/>
      <c r="PQH46" s="478"/>
      <c r="PQI46" s="478"/>
      <c r="PQJ46" s="478"/>
      <c r="PQK46" s="478"/>
      <c r="PQL46" s="478"/>
      <c r="PQM46" s="478"/>
      <c r="PQN46" s="478"/>
      <c r="PQO46" s="478"/>
      <c r="PQP46" s="478"/>
      <c r="PQQ46" s="478"/>
      <c r="PQR46" s="478"/>
      <c r="PQS46" s="478"/>
      <c r="PQT46" s="478"/>
      <c r="PQU46" s="478"/>
      <c r="PQV46" s="478"/>
      <c r="PQW46" s="478"/>
      <c r="PQX46" s="478"/>
      <c r="PQY46" s="478"/>
      <c r="PQZ46" s="478"/>
      <c r="PRA46" s="478"/>
      <c r="PRB46" s="478"/>
      <c r="PRC46" s="478"/>
      <c r="PRD46" s="478"/>
      <c r="PRE46" s="478"/>
      <c r="PRF46" s="478"/>
      <c r="PRG46" s="478"/>
      <c r="PRH46" s="478"/>
      <c r="PRI46" s="478"/>
      <c r="PRJ46" s="478"/>
      <c r="PRK46" s="478"/>
      <c r="PRL46" s="478"/>
      <c r="PRM46" s="478"/>
      <c r="PRN46" s="478"/>
      <c r="PRO46" s="478"/>
      <c r="PRP46" s="478"/>
      <c r="PRQ46" s="478"/>
      <c r="PRR46" s="478"/>
      <c r="PRS46" s="478"/>
      <c r="PRT46" s="478"/>
      <c r="PRU46" s="478"/>
      <c r="PRV46" s="478"/>
      <c r="PRW46" s="478"/>
      <c r="PRX46" s="478"/>
      <c r="PRY46" s="478"/>
      <c r="PRZ46" s="478"/>
      <c r="PSA46" s="478"/>
      <c r="PSB46" s="478"/>
      <c r="PSC46" s="478"/>
      <c r="PSD46" s="478"/>
      <c r="PSE46" s="478"/>
      <c r="PSF46" s="478"/>
      <c r="PSG46" s="478"/>
      <c r="PSH46" s="478"/>
      <c r="PSI46" s="478"/>
      <c r="PSJ46" s="478"/>
      <c r="PSK46" s="478"/>
      <c r="PSL46" s="478"/>
      <c r="PSM46" s="478"/>
      <c r="PSN46" s="478"/>
      <c r="PSO46" s="478"/>
      <c r="PSP46" s="478"/>
      <c r="PSQ46" s="478"/>
      <c r="PSR46" s="478"/>
      <c r="PSS46" s="478"/>
      <c r="PST46" s="478"/>
      <c r="PSU46" s="478"/>
      <c r="PSV46" s="478"/>
      <c r="PSW46" s="478"/>
      <c r="PSX46" s="478"/>
      <c r="PSY46" s="478"/>
      <c r="PSZ46" s="478"/>
      <c r="PTA46" s="478"/>
      <c r="PTB46" s="478"/>
      <c r="PTC46" s="478"/>
      <c r="PTD46" s="478"/>
      <c r="PTE46" s="478"/>
      <c r="PTF46" s="478"/>
      <c r="PTG46" s="478"/>
      <c r="PTH46" s="478"/>
      <c r="PTI46" s="478"/>
      <c r="PTJ46" s="478"/>
      <c r="PTK46" s="478"/>
      <c r="PTL46" s="478"/>
      <c r="PTM46" s="478"/>
      <c r="PTN46" s="478"/>
      <c r="PTO46" s="478"/>
      <c r="PTP46" s="478"/>
      <c r="PTQ46" s="478"/>
      <c r="PTR46" s="478"/>
      <c r="PTS46" s="478"/>
      <c r="PTT46" s="478"/>
      <c r="PTU46" s="478"/>
      <c r="PTV46" s="478"/>
      <c r="PTW46" s="478"/>
      <c r="PTX46" s="478"/>
      <c r="PTY46" s="478"/>
      <c r="PTZ46" s="478"/>
      <c r="PUA46" s="478"/>
      <c r="PUB46" s="478"/>
      <c r="PUC46" s="478"/>
      <c r="PUD46" s="478"/>
      <c r="PUE46" s="478"/>
      <c r="PUF46" s="478"/>
      <c r="PUG46" s="478"/>
      <c r="PUH46" s="478"/>
      <c r="PUI46" s="478"/>
      <c r="PUJ46" s="478"/>
      <c r="PUK46" s="478"/>
      <c r="PUL46" s="478"/>
      <c r="PUM46" s="478"/>
      <c r="PUN46" s="478"/>
      <c r="PUO46" s="478"/>
      <c r="PUP46" s="478"/>
      <c r="PUQ46" s="478"/>
      <c r="PUR46" s="478"/>
      <c r="PUS46" s="478"/>
      <c r="PUT46" s="478"/>
      <c r="PUU46" s="478"/>
      <c r="PUV46" s="478"/>
      <c r="PUW46" s="478"/>
      <c r="PUX46" s="478"/>
      <c r="PUY46" s="478"/>
      <c r="PUZ46" s="478"/>
      <c r="PVA46" s="478"/>
      <c r="PVB46" s="478"/>
      <c r="PVC46" s="478"/>
      <c r="PVD46" s="478"/>
      <c r="PVE46" s="478"/>
      <c r="PVF46" s="478"/>
      <c r="PVG46" s="478"/>
      <c r="PVH46" s="478"/>
      <c r="PVI46" s="478"/>
      <c r="PVJ46" s="478"/>
      <c r="PVK46" s="478"/>
      <c r="PVL46" s="478"/>
      <c r="PVM46" s="478"/>
      <c r="PVN46" s="478"/>
      <c r="PVO46" s="478"/>
      <c r="PVP46" s="478"/>
      <c r="PVQ46" s="478"/>
      <c r="PVR46" s="478"/>
      <c r="PVS46" s="478"/>
      <c r="PVT46" s="478"/>
      <c r="PVU46" s="478"/>
      <c r="PVV46" s="478"/>
      <c r="PVW46" s="478"/>
      <c r="PVX46" s="478"/>
      <c r="PVY46" s="478"/>
      <c r="PVZ46" s="478"/>
      <c r="PWA46" s="478"/>
      <c r="PWB46" s="478"/>
      <c r="PWC46" s="478"/>
      <c r="PWD46" s="478"/>
      <c r="PWE46" s="478"/>
      <c r="PWF46" s="478"/>
      <c r="PWG46" s="478"/>
      <c r="PWH46" s="478"/>
      <c r="PWI46" s="478"/>
      <c r="PWJ46" s="478"/>
      <c r="PWK46" s="478"/>
      <c r="PWL46" s="478"/>
      <c r="PWM46" s="478"/>
      <c r="PWN46" s="478"/>
      <c r="PWO46" s="478"/>
      <c r="PWP46" s="478"/>
      <c r="PWQ46" s="478"/>
      <c r="PWR46" s="478"/>
      <c r="PWS46" s="478"/>
      <c r="PWT46" s="478"/>
      <c r="PWU46" s="478"/>
      <c r="PWV46" s="478"/>
      <c r="PWW46" s="478"/>
      <c r="PWX46" s="478"/>
      <c r="PWY46" s="478"/>
      <c r="PWZ46" s="478"/>
      <c r="PXA46" s="478"/>
      <c r="PXB46" s="478"/>
      <c r="PXC46" s="478"/>
      <c r="PXD46" s="478"/>
      <c r="PXE46" s="478"/>
      <c r="PXF46" s="478"/>
      <c r="PXG46" s="478"/>
      <c r="PXH46" s="478"/>
      <c r="PXI46" s="478"/>
      <c r="PXJ46" s="478"/>
      <c r="PXK46" s="478"/>
      <c r="PXL46" s="478"/>
      <c r="PXM46" s="478"/>
      <c r="PXN46" s="478"/>
      <c r="PXO46" s="478"/>
      <c r="PXP46" s="478"/>
      <c r="PXQ46" s="478"/>
      <c r="PXR46" s="478"/>
      <c r="PXS46" s="478"/>
      <c r="PXT46" s="478"/>
      <c r="PXU46" s="478"/>
      <c r="PXV46" s="478"/>
      <c r="PXW46" s="478"/>
      <c r="PXX46" s="478"/>
      <c r="PXY46" s="478"/>
      <c r="PXZ46" s="478"/>
      <c r="PYA46" s="478"/>
      <c r="PYB46" s="478"/>
      <c r="PYC46" s="478"/>
      <c r="PYD46" s="478"/>
      <c r="PYE46" s="478"/>
      <c r="PYF46" s="478"/>
      <c r="PYG46" s="478"/>
      <c r="PYH46" s="478"/>
      <c r="PYI46" s="478"/>
      <c r="PYJ46" s="478"/>
      <c r="PYK46" s="478"/>
      <c r="PYL46" s="478"/>
      <c r="PYM46" s="478"/>
      <c r="PYN46" s="478"/>
      <c r="PYO46" s="478"/>
      <c r="PYP46" s="478"/>
      <c r="PYQ46" s="478"/>
      <c r="PYR46" s="478"/>
      <c r="PYS46" s="478"/>
      <c r="PYT46" s="478"/>
      <c r="PYU46" s="478"/>
      <c r="PYV46" s="478"/>
      <c r="PYW46" s="478"/>
      <c r="PYX46" s="478"/>
      <c r="PYY46" s="478"/>
      <c r="PYZ46" s="478"/>
      <c r="PZA46" s="478"/>
      <c r="PZB46" s="478"/>
      <c r="PZC46" s="478"/>
      <c r="PZD46" s="478"/>
      <c r="PZE46" s="478"/>
      <c r="PZF46" s="478"/>
      <c r="PZG46" s="478"/>
      <c r="PZH46" s="478"/>
      <c r="PZI46" s="478"/>
      <c r="PZJ46" s="478"/>
      <c r="PZK46" s="478"/>
      <c r="PZL46" s="478"/>
      <c r="PZM46" s="478"/>
      <c r="PZN46" s="478"/>
      <c r="PZO46" s="478"/>
      <c r="PZP46" s="478"/>
      <c r="PZQ46" s="478"/>
      <c r="PZR46" s="478"/>
      <c r="PZS46" s="478"/>
      <c r="PZT46" s="478"/>
      <c r="PZU46" s="478"/>
      <c r="PZV46" s="478"/>
      <c r="PZW46" s="478"/>
      <c r="PZX46" s="478"/>
      <c r="PZY46" s="478"/>
      <c r="PZZ46" s="478"/>
      <c r="QAA46" s="478"/>
      <c r="QAB46" s="478"/>
      <c r="QAC46" s="478"/>
      <c r="QAD46" s="478"/>
      <c r="QAE46" s="478"/>
      <c r="QAF46" s="478"/>
      <c r="QAG46" s="478"/>
      <c r="QAH46" s="478"/>
      <c r="QAI46" s="478"/>
      <c r="QAJ46" s="478"/>
      <c r="QAK46" s="478"/>
      <c r="QAL46" s="478"/>
      <c r="QAM46" s="478"/>
      <c r="QAN46" s="478"/>
      <c r="QAO46" s="478"/>
      <c r="QAP46" s="478"/>
      <c r="QAQ46" s="478"/>
      <c r="QAR46" s="478"/>
      <c r="QAS46" s="478"/>
      <c r="QAT46" s="478"/>
      <c r="QAU46" s="478"/>
      <c r="QAV46" s="478"/>
      <c r="QAW46" s="478"/>
      <c r="QAX46" s="478"/>
      <c r="QAY46" s="478"/>
      <c r="QAZ46" s="478"/>
      <c r="QBA46" s="478"/>
      <c r="QBB46" s="478"/>
      <c r="QBC46" s="478"/>
      <c r="QBD46" s="478"/>
      <c r="QBE46" s="478"/>
      <c r="QBF46" s="478"/>
      <c r="QBG46" s="478"/>
      <c r="QBH46" s="478"/>
      <c r="QBI46" s="478"/>
      <c r="QBJ46" s="478"/>
      <c r="QBK46" s="478"/>
      <c r="QBL46" s="478"/>
      <c r="QBM46" s="478"/>
      <c r="QBN46" s="478"/>
      <c r="QBO46" s="478"/>
      <c r="QBP46" s="478"/>
      <c r="QBQ46" s="478"/>
      <c r="QBR46" s="478"/>
      <c r="QBS46" s="478"/>
      <c r="QBT46" s="478"/>
      <c r="QBU46" s="478"/>
      <c r="QBV46" s="478"/>
      <c r="QBW46" s="478"/>
      <c r="QBX46" s="478"/>
      <c r="QBY46" s="478"/>
      <c r="QBZ46" s="478"/>
      <c r="QCA46" s="478"/>
      <c r="QCB46" s="478"/>
      <c r="QCC46" s="478"/>
      <c r="QCD46" s="478"/>
      <c r="QCE46" s="478"/>
      <c r="QCF46" s="478"/>
      <c r="QCG46" s="478"/>
      <c r="QCH46" s="478"/>
      <c r="QCI46" s="478"/>
      <c r="QCJ46" s="478"/>
      <c r="QCK46" s="478"/>
      <c r="QCL46" s="478"/>
      <c r="QCM46" s="478"/>
      <c r="QCN46" s="478"/>
      <c r="QCO46" s="478"/>
      <c r="QCP46" s="478"/>
      <c r="QCQ46" s="478"/>
      <c r="QCR46" s="478"/>
      <c r="QCS46" s="478"/>
      <c r="QCT46" s="478"/>
      <c r="QCU46" s="478"/>
      <c r="QCV46" s="478"/>
      <c r="QCW46" s="478"/>
      <c r="QCX46" s="478"/>
      <c r="QCY46" s="478"/>
      <c r="QCZ46" s="478"/>
      <c r="QDA46" s="478"/>
      <c r="QDB46" s="478"/>
      <c r="QDC46" s="478"/>
      <c r="QDD46" s="478"/>
      <c r="QDE46" s="478"/>
      <c r="QDF46" s="478"/>
      <c r="QDG46" s="478"/>
      <c r="QDH46" s="478"/>
      <c r="QDI46" s="478"/>
      <c r="QDJ46" s="478"/>
      <c r="QDK46" s="478"/>
      <c r="QDL46" s="478"/>
      <c r="QDM46" s="478"/>
      <c r="QDN46" s="478"/>
      <c r="QDO46" s="478"/>
      <c r="QDP46" s="478"/>
      <c r="QDQ46" s="478"/>
      <c r="QDR46" s="478"/>
      <c r="QDS46" s="478"/>
      <c r="QDT46" s="478"/>
      <c r="QDU46" s="478"/>
      <c r="QDV46" s="478"/>
      <c r="QDW46" s="478"/>
      <c r="QDX46" s="478"/>
      <c r="QDY46" s="478"/>
      <c r="QDZ46" s="478"/>
      <c r="QEA46" s="478"/>
      <c r="QEB46" s="478"/>
      <c r="QEC46" s="478"/>
      <c r="QED46" s="478"/>
      <c r="QEE46" s="478"/>
      <c r="QEF46" s="478"/>
      <c r="QEG46" s="478"/>
      <c r="QEH46" s="478"/>
      <c r="QEI46" s="478"/>
      <c r="QEJ46" s="478"/>
      <c r="QEK46" s="478"/>
      <c r="QEL46" s="478"/>
      <c r="QEM46" s="478"/>
      <c r="QEN46" s="478"/>
      <c r="QEO46" s="478"/>
      <c r="QEP46" s="478"/>
      <c r="QEQ46" s="478"/>
      <c r="QER46" s="478"/>
      <c r="QES46" s="478"/>
      <c r="QET46" s="478"/>
      <c r="QEU46" s="478"/>
      <c r="QEV46" s="478"/>
      <c r="QEW46" s="478"/>
      <c r="QEX46" s="478"/>
      <c r="QEY46" s="478"/>
      <c r="QEZ46" s="478"/>
      <c r="QFA46" s="478"/>
      <c r="QFB46" s="478"/>
      <c r="QFC46" s="478"/>
      <c r="QFD46" s="478"/>
      <c r="QFE46" s="478"/>
      <c r="QFF46" s="478"/>
      <c r="QFG46" s="478"/>
      <c r="QFH46" s="478"/>
      <c r="QFI46" s="478"/>
      <c r="QFJ46" s="478"/>
      <c r="QFK46" s="478"/>
      <c r="QFL46" s="478"/>
      <c r="QFM46" s="478"/>
      <c r="QFN46" s="478"/>
      <c r="QFO46" s="478"/>
      <c r="QFP46" s="478"/>
      <c r="QFQ46" s="478"/>
      <c r="QFR46" s="478"/>
      <c r="QFS46" s="478"/>
      <c r="QFT46" s="478"/>
      <c r="QFU46" s="478"/>
      <c r="QFV46" s="478"/>
      <c r="QFW46" s="478"/>
      <c r="QFX46" s="478"/>
      <c r="QFY46" s="478"/>
      <c r="QFZ46" s="478"/>
      <c r="QGA46" s="478"/>
      <c r="QGB46" s="478"/>
      <c r="QGC46" s="478"/>
      <c r="QGD46" s="478"/>
      <c r="QGE46" s="478"/>
      <c r="QGF46" s="478"/>
      <c r="QGG46" s="478"/>
      <c r="QGH46" s="478"/>
      <c r="QGI46" s="478"/>
      <c r="QGJ46" s="478"/>
      <c r="QGK46" s="478"/>
      <c r="QGL46" s="478"/>
      <c r="QGM46" s="478"/>
      <c r="QGN46" s="478"/>
      <c r="QGO46" s="478"/>
      <c r="QGP46" s="478"/>
      <c r="QGQ46" s="478"/>
      <c r="QGR46" s="478"/>
      <c r="QGS46" s="478"/>
      <c r="QGT46" s="478"/>
      <c r="QGU46" s="478"/>
      <c r="QGV46" s="478"/>
      <c r="QGW46" s="478"/>
      <c r="QGX46" s="478"/>
      <c r="QGY46" s="478"/>
      <c r="QGZ46" s="478"/>
      <c r="QHA46" s="478"/>
      <c r="QHB46" s="478"/>
      <c r="QHC46" s="478"/>
      <c r="QHD46" s="478"/>
      <c r="QHE46" s="478"/>
      <c r="QHF46" s="478"/>
      <c r="QHG46" s="478"/>
      <c r="QHH46" s="478"/>
      <c r="QHI46" s="478"/>
      <c r="QHJ46" s="478"/>
      <c r="QHK46" s="478"/>
      <c r="QHL46" s="478"/>
      <c r="QHM46" s="478"/>
      <c r="QHN46" s="478"/>
      <c r="QHO46" s="478"/>
      <c r="QHP46" s="478"/>
      <c r="QHQ46" s="478"/>
      <c r="QHR46" s="478"/>
      <c r="QHS46" s="478"/>
      <c r="QHT46" s="478"/>
      <c r="QHU46" s="478"/>
      <c r="QHV46" s="478"/>
      <c r="QHW46" s="478"/>
      <c r="QHX46" s="478"/>
      <c r="QHY46" s="478"/>
      <c r="QHZ46" s="478"/>
      <c r="QIA46" s="478"/>
      <c r="QIB46" s="478"/>
      <c r="QIC46" s="478"/>
      <c r="QID46" s="478"/>
      <c r="QIE46" s="478"/>
      <c r="QIF46" s="478"/>
      <c r="QIG46" s="478"/>
      <c r="QIH46" s="478"/>
      <c r="QII46" s="478"/>
      <c r="QIJ46" s="478"/>
      <c r="QIK46" s="478"/>
      <c r="QIL46" s="478"/>
      <c r="QIM46" s="478"/>
      <c r="QIN46" s="478"/>
      <c r="QIO46" s="478"/>
      <c r="QIP46" s="478"/>
      <c r="QIQ46" s="478"/>
      <c r="QIR46" s="478"/>
      <c r="QIS46" s="478"/>
      <c r="QIT46" s="478"/>
      <c r="QIU46" s="478"/>
      <c r="QIV46" s="478"/>
      <c r="QIW46" s="478"/>
      <c r="QIX46" s="478"/>
      <c r="QIY46" s="478"/>
      <c r="QIZ46" s="478"/>
      <c r="QJA46" s="478"/>
      <c r="QJB46" s="478"/>
      <c r="QJC46" s="478"/>
      <c r="QJD46" s="478"/>
      <c r="QJE46" s="478"/>
      <c r="QJF46" s="478"/>
      <c r="QJG46" s="478"/>
      <c r="QJH46" s="478"/>
      <c r="QJI46" s="478"/>
      <c r="QJJ46" s="478"/>
      <c r="QJK46" s="478"/>
      <c r="QJL46" s="478"/>
      <c r="QJM46" s="478"/>
      <c r="QJN46" s="478"/>
      <c r="QJO46" s="478"/>
      <c r="QJP46" s="478"/>
      <c r="QJQ46" s="478"/>
      <c r="QJR46" s="478"/>
      <c r="QJS46" s="478"/>
      <c r="QJT46" s="478"/>
      <c r="QJU46" s="478"/>
      <c r="QJV46" s="478"/>
      <c r="QJW46" s="478"/>
      <c r="QJX46" s="478"/>
      <c r="QJY46" s="478"/>
      <c r="QJZ46" s="478"/>
      <c r="QKA46" s="478"/>
      <c r="QKB46" s="478"/>
      <c r="QKC46" s="478"/>
      <c r="QKD46" s="478"/>
      <c r="QKE46" s="478"/>
      <c r="QKF46" s="478"/>
      <c r="QKG46" s="478"/>
      <c r="QKH46" s="478"/>
      <c r="QKI46" s="478"/>
      <c r="QKJ46" s="478"/>
      <c r="QKK46" s="478"/>
      <c r="QKL46" s="478"/>
      <c r="QKM46" s="478"/>
      <c r="QKN46" s="478"/>
      <c r="QKO46" s="478"/>
      <c r="QKP46" s="478"/>
      <c r="QKQ46" s="478"/>
      <c r="QKR46" s="478"/>
      <c r="QKS46" s="478"/>
      <c r="QKT46" s="478"/>
      <c r="QKU46" s="478"/>
      <c r="QKV46" s="478"/>
      <c r="QKW46" s="478"/>
      <c r="QKX46" s="478"/>
      <c r="QKY46" s="478"/>
      <c r="QKZ46" s="478"/>
      <c r="QLA46" s="478"/>
      <c r="QLB46" s="478"/>
      <c r="QLC46" s="478"/>
      <c r="QLD46" s="478"/>
      <c r="QLE46" s="478"/>
      <c r="QLF46" s="478"/>
      <c r="QLG46" s="478"/>
      <c r="QLH46" s="478"/>
      <c r="QLI46" s="478"/>
      <c r="QLJ46" s="478"/>
      <c r="QLK46" s="478"/>
      <c r="QLL46" s="478"/>
      <c r="QLM46" s="478"/>
      <c r="QLN46" s="478"/>
      <c r="QLO46" s="478"/>
      <c r="QLP46" s="478"/>
      <c r="QLQ46" s="478"/>
      <c r="QLR46" s="478"/>
      <c r="QLS46" s="478"/>
      <c r="QLT46" s="478"/>
      <c r="QLU46" s="478"/>
      <c r="QLV46" s="478"/>
      <c r="QLW46" s="478"/>
      <c r="QLX46" s="478"/>
      <c r="QLY46" s="478"/>
      <c r="QLZ46" s="478"/>
      <c r="QMA46" s="478"/>
      <c r="QMB46" s="478"/>
      <c r="QMC46" s="478"/>
      <c r="QMD46" s="478"/>
      <c r="QME46" s="478"/>
      <c r="QMF46" s="478"/>
      <c r="QMG46" s="478"/>
      <c r="QMH46" s="478"/>
      <c r="QMI46" s="478"/>
      <c r="QMJ46" s="478"/>
      <c r="QMK46" s="478"/>
      <c r="QML46" s="478"/>
      <c r="QMM46" s="478"/>
      <c r="QMN46" s="478"/>
      <c r="QMO46" s="478"/>
      <c r="QMP46" s="478"/>
      <c r="QMQ46" s="478"/>
      <c r="QMR46" s="478"/>
      <c r="QMS46" s="478"/>
      <c r="QMT46" s="478"/>
      <c r="QMU46" s="478"/>
      <c r="QMV46" s="478"/>
      <c r="QMW46" s="478"/>
      <c r="QMX46" s="478"/>
      <c r="QMY46" s="478"/>
      <c r="QMZ46" s="478"/>
      <c r="QNA46" s="478"/>
      <c r="QNB46" s="478"/>
      <c r="QNC46" s="478"/>
      <c r="QND46" s="478"/>
      <c r="QNE46" s="478"/>
      <c r="QNF46" s="478"/>
      <c r="QNG46" s="478"/>
      <c r="QNH46" s="478"/>
      <c r="QNI46" s="478"/>
      <c r="QNJ46" s="478"/>
      <c r="QNK46" s="478"/>
      <c r="QNL46" s="478"/>
      <c r="QNM46" s="478"/>
      <c r="QNN46" s="478"/>
      <c r="QNO46" s="478"/>
      <c r="QNP46" s="478"/>
      <c r="QNQ46" s="478"/>
      <c r="QNR46" s="478"/>
      <c r="QNS46" s="478"/>
      <c r="QNT46" s="478"/>
      <c r="QNU46" s="478"/>
      <c r="QNV46" s="478"/>
      <c r="QNW46" s="478"/>
      <c r="QNX46" s="478"/>
      <c r="QNY46" s="478"/>
      <c r="QNZ46" s="478"/>
      <c r="QOA46" s="478"/>
      <c r="QOB46" s="478"/>
      <c r="QOC46" s="478"/>
      <c r="QOD46" s="478"/>
      <c r="QOE46" s="478"/>
      <c r="QOF46" s="478"/>
      <c r="QOG46" s="478"/>
      <c r="QOH46" s="478"/>
      <c r="QOI46" s="478"/>
      <c r="QOJ46" s="478"/>
      <c r="QOK46" s="478"/>
      <c r="QOL46" s="478"/>
      <c r="QOM46" s="478"/>
      <c r="QON46" s="478"/>
      <c r="QOO46" s="478"/>
      <c r="QOP46" s="478"/>
      <c r="QOQ46" s="478"/>
      <c r="QOR46" s="478"/>
      <c r="QOS46" s="478"/>
      <c r="QOT46" s="478"/>
      <c r="QOU46" s="478"/>
      <c r="QOV46" s="478"/>
      <c r="QOW46" s="478"/>
      <c r="QOX46" s="478"/>
      <c r="QOY46" s="478"/>
      <c r="QOZ46" s="478"/>
      <c r="QPA46" s="478"/>
      <c r="QPB46" s="478"/>
      <c r="QPC46" s="478"/>
      <c r="QPD46" s="478"/>
      <c r="QPE46" s="478"/>
      <c r="QPF46" s="478"/>
      <c r="QPG46" s="478"/>
      <c r="QPH46" s="478"/>
      <c r="QPI46" s="478"/>
      <c r="QPJ46" s="478"/>
      <c r="QPK46" s="478"/>
      <c r="QPL46" s="478"/>
      <c r="QPM46" s="478"/>
      <c r="QPN46" s="478"/>
      <c r="QPO46" s="478"/>
      <c r="QPP46" s="478"/>
      <c r="QPQ46" s="478"/>
      <c r="QPR46" s="478"/>
      <c r="QPS46" s="478"/>
      <c r="QPT46" s="478"/>
      <c r="QPU46" s="478"/>
      <c r="QPV46" s="478"/>
      <c r="QPW46" s="478"/>
      <c r="QPX46" s="478"/>
      <c r="QPY46" s="478"/>
      <c r="QPZ46" s="478"/>
      <c r="QQA46" s="478"/>
      <c r="QQB46" s="478"/>
      <c r="QQC46" s="478"/>
      <c r="QQD46" s="478"/>
      <c r="QQE46" s="478"/>
      <c r="QQF46" s="478"/>
      <c r="QQG46" s="478"/>
      <c r="QQH46" s="478"/>
      <c r="QQI46" s="478"/>
      <c r="QQJ46" s="478"/>
      <c r="QQK46" s="478"/>
      <c r="QQL46" s="478"/>
      <c r="QQM46" s="478"/>
      <c r="QQN46" s="478"/>
      <c r="QQO46" s="478"/>
      <c r="QQP46" s="478"/>
      <c r="QQQ46" s="478"/>
      <c r="QQR46" s="478"/>
      <c r="QQS46" s="478"/>
      <c r="QQT46" s="478"/>
      <c r="QQU46" s="478"/>
      <c r="QQV46" s="478"/>
      <c r="QQW46" s="478"/>
      <c r="QQX46" s="478"/>
      <c r="QQY46" s="478"/>
      <c r="QQZ46" s="478"/>
      <c r="QRA46" s="478"/>
      <c r="QRB46" s="478"/>
      <c r="QRC46" s="478"/>
      <c r="QRD46" s="478"/>
      <c r="QRE46" s="478"/>
      <c r="QRF46" s="478"/>
      <c r="QRG46" s="478"/>
      <c r="QRH46" s="478"/>
      <c r="QRI46" s="478"/>
      <c r="QRJ46" s="478"/>
      <c r="QRK46" s="478"/>
      <c r="QRL46" s="478"/>
      <c r="QRM46" s="478"/>
      <c r="QRN46" s="478"/>
      <c r="QRO46" s="478"/>
      <c r="QRP46" s="478"/>
      <c r="QRQ46" s="478"/>
      <c r="QRR46" s="478"/>
      <c r="QRS46" s="478"/>
      <c r="QRT46" s="478"/>
      <c r="QRU46" s="478"/>
      <c r="QRV46" s="478"/>
      <c r="QRW46" s="478"/>
      <c r="QRX46" s="478"/>
      <c r="QRY46" s="478"/>
      <c r="QRZ46" s="478"/>
      <c r="QSA46" s="478"/>
      <c r="QSB46" s="478"/>
      <c r="QSC46" s="478"/>
      <c r="QSD46" s="478"/>
      <c r="QSE46" s="478"/>
      <c r="QSF46" s="478"/>
      <c r="QSG46" s="478"/>
      <c r="QSH46" s="478"/>
      <c r="QSI46" s="478"/>
      <c r="QSJ46" s="478"/>
      <c r="QSK46" s="478"/>
      <c r="QSL46" s="478"/>
      <c r="QSM46" s="478"/>
      <c r="QSN46" s="478"/>
      <c r="QSO46" s="478"/>
      <c r="QSP46" s="478"/>
      <c r="QSQ46" s="478"/>
      <c r="QSR46" s="478"/>
      <c r="QSS46" s="478"/>
      <c r="QST46" s="478"/>
      <c r="QSU46" s="478"/>
      <c r="QSV46" s="478"/>
      <c r="QSW46" s="478"/>
      <c r="QSX46" s="478"/>
      <c r="QSY46" s="478"/>
      <c r="QSZ46" s="478"/>
      <c r="QTA46" s="478"/>
      <c r="QTB46" s="478"/>
      <c r="QTC46" s="478"/>
      <c r="QTD46" s="478"/>
      <c r="QTE46" s="478"/>
      <c r="QTF46" s="478"/>
      <c r="QTG46" s="478"/>
      <c r="QTH46" s="478"/>
      <c r="QTI46" s="478"/>
      <c r="QTJ46" s="478"/>
      <c r="QTK46" s="478"/>
      <c r="QTL46" s="478"/>
      <c r="QTM46" s="478"/>
      <c r="QTN46" s="478"/>
      <c r="QTO46" s="478"/>
      <c r="QTP46" s="478"/>
      <c r="QTQ46" s="478"/>
      <c r="QTR46" s="478"/>
      <c r="QTS46" s="478"/>
      <c r="QTT46" s="478"/>
      <c r="QTU46" s="478"/>
      <c r="QTV46" s="478"/>
      <c r="QTW46" s="478"/>
      <c r="QTX46" s="478"/>
      <c r="QTY46" s="478"/>
      <c r="QTZ46" s="478"/>
      <c r="QUA46" s="478"/>
      <c r="QUB46" s="478"/>
      <c r="QUC46" s="478"/>
      <c r="QUD46" s="478"/>
      <c r="QUE46" s="478"/>
      <c r="QUF46" s="478"/>
      <c r="QUG46" s="478"/>
      <c r="QUH46" s="478"/>
      <c r="QUI46" s="478"/>
      <c r="QUJ46" s="478"/>
      <c r="QUK46" s="478"/>
      <c r="QUL46" s="478"/>
      <c r="QUM46" s="478"/>
      <c r="QUN46" s="478"/>
      <c r="QUO46" s="478"/>
      <c r="QUP46" s="478"/>
      <c r="QUQ46" s="478"/>
      <c r="QUR46" s="478"/>
      <c r="QUS46" s="478"/>
      <c r="QUT46" s="478"/>
      <c r="QUU46" s="478"/>
      <c r="QUV46" s="478"/>
      <c r="QUW46" s="478"/>
      <c r="QUX46" s="478"/>
      <c r="QUY46" s="478"/>
      <c r="QUZ46" s="478"/>
      <c r="QVA46" s="478"/>
      <c r="QVB46" s="478"/>
      <c r="QVC46" s="478"/>
      <c r="QVD46" s="478"/>
      <c r="QVE46" s="478"/>
      <c r="QVF46" s="478"/>
      <c r="QVG46" s="478"/>
      <c r="QVH46" s="478"/>
      <c r="QVI46" s="478"/>
      <c r="QVJ46" s="478"/>
      <c r="QVK46" s="478"/>
      <c r="QVL46" s="478"/>
      <c r="QVM46" s="478"/>
      <c r="QVN46" s="478"/>
      <c r="QVO46" s="478"/>
      <c r="QVP46" s="478"/>
      <c r="QVQ46" s="478"/>
      <c r="QVR46" s="478"/>
      <c r="QVS46" s="478"/>
      <c r="QVT46" s="478"/>
      <c r="QVU46" s="478"/>
      <c r="QVV46" s="478"/>
      <c r="QVW46" s="478"/>
      <c r="QVX46" s="478"/>
      <c r="QVY46" s="478"/>
      <c r="QVZ46" s="478"/>
      <c r="QWA46" s="478"/>
      <c r="QWB46" s="478"/>
      <c r="QWC46" s="478"/>
      <c r="QWD46" s="478"/>
      <c r="QWE46" s="478"/>
      <c r="QWF46" s="478"/>
      <c r="QWG46" s="478"/>
      <c r="QWH46" s="478"/>
      <c r="QWI46" s="478"/>
      <c r="QWJ46" s="478"/>
      <c r="QWK46" s="478"/>
      <c r="QWL46" s="478"/>
      <c r="QWM46" s="478"/>
      <c r="QWN46" s="478"/>
      <c r="QWO46" s="478"/>
      <c r="QWP46" s="478"/>
      <c r="QWQ46" s="478"/>
      <c r="QWR46" s="478"/>
      <c r="QWS46" s="478"/>
      <c r="QWT46" s="478"/>
      <c r="QWU46" s="478"/>
      <c r="QWV46" s="478"/>
      <c r="QWW46" s="478"/>
      <c r="QWX46" s="478"/>
      <c r="QWY46" s="478"/>
      <c r="QWZ46" s="478"/>
      <c r="QXA46" s="478"/>
      <c r="QXB46" s="478"/>
      <c r="QXC46" s="478"/>
      <c r="QXD46" s="478"/>
      <c r="QXE46" s="478"/>
      <c r="QXF46" s="478"/>
      <c r="QXG46" s="478"/>
      <c r="QXH46" s="478"/>
      <c r="QXI46" s="478"/>
      <c r="QXJ46" s="478"/>
      <c r="QXK46" s="478"/>
      <c r="QXL46" s="478"/>
      <c r="QXM46" s="478"/>
      <c r="QXN46" s="478"/>
      <c r="QXO46" s="478"/>
      <c r="QXP46" s="478"/>
      <c r="QXQ46" s="478"/>
      <c r="QXR46" s="478"/>
      <c r="QXS46" s="478"/>
      <c r="QXT46" s="478"/>
      <c r="QXU46" s="478"/>
      <c r="QXV46" s="478"/>
      <c r="QXW46" s="478"/>
      <c r="QXX46" s="478"/>
      <c r="QXY46" s="478"/>
      <c r="QXZ46" s="478"/>
      <c r="QYA46" s="478"/>
      <c r="QYB46" s="478"/>
      <c r="QYC46" s="478"/>
      <c r="QYD46" s="478"/>
      <c r="QYE46" s="478"/>
      <c r="QYF46" s="478"/>
      <c r="QYG46" s="478"/>
      <c r="QYH46" s="478"/>
      <c r="QYI46" s="478"/>
      <c r="QYJ46" s="478"/>
      <c r="QYK46" s="478"/>
      <c r="QYL46" s="478"/>
      <c r="QYM46" s="478"/>
      <c r="QYN46" s="478"/>
      <c r="QYO46" s="478"/>
      <c r="QYP46" s="478"/>
      <c r="QYQ46" s="478"/>
      <c r="QYR46" s="478"/>
      <c r="QYS46" s="478"/>
      <c r="QYT46" s="478"/>
      <c r="QYU46" s="478"/>
      <c r="QYV46" s="478"/>
      <c r="QYW46" s="478"/>
      <c r="QYX46" s="478"/>
      <c r="QYY46" s="478"/>
      <c r="QYZ46" s="478"/>
      <c r="QZA46" s="478"/>
      <c r="QZB46" s="478"/>
      <c r="QZC46" s="478"/>
      <c r="QZD46" s="478"/>
      <c r="QZE46" s="478"/>
      <c r="QZF46" s="478"/>
      <c r="QZG46" s="478"/>
      <c r="QZH46" s="478"/>
      <c r="QZI46" s="478"/>
      <c r="QZJ46" s="478"/>
      <c r="QZK46" s="478"/>
      <c r="QZL46" s="478"/>
      <c r="QZM46" s="478"/>
      <c r="QZN46" s="478"/>
      <c r="QZO46" s="478"/>
      <c r="QZP46" s="478"/>
      <c r="QZQ46" s="478"/>
      <c r="QZR46" s="478"/>
      <c r="QZS46" s="478"/>
      <c r="QZT46" s="478"/>
      <c r="QZU46" s="478"/>
      <c r="QZV46" s="478"/>
      <c r="QZW46" s="478"/>
      <c r="QZX46" s="478"/>
      <c r="QZY46" s="478"/>
      <c r="QZZ46" s="478"/>
      <c r="RAA46" s="478"/>
      <c r="RAB46" s="478"/>
      <c r="RAC46" s="478"/>
      <c r="RAD46" s="478"/>
      <c r="RAE46" s="478"/>
      <c r="RAF46" s="478"/>
      <c r="RAG46" s="478"/>
      <c r="RAH46" s="478"/>
      <c r="RAI46" s="478"/>
      <c r="RAJ46" s="478"/>
      <c r="RAK46" s="478"/>
      <c r="RAL46" s="478"/>
      <c r="RAM46" s="478"/>
      <c r="RAN46" s="478"/>
      <c r="RAO46" s="478"/>
      <c r="RAP46" s="478"/>
      <c r="RAQ46" s="478"/>
      <c r="RAR46" s="478"/>
      <c r="RAS46" s="478"/>
      <c r="RAT46" s="478"/>
      <c r="RAU46" s="478"/>
      <c r="RAV46" s="478"/>
      <c r="RAW46" s="478"/>
      <c r="RAX46" s="478"/>
      <c r="RAY46" s="478"/>
      <c r="RAZ46" s="478"/>
      <c r="RBA46" s="478"/>
      <c r="RBB46" s="478"/>
      <c r="RBC46" s="478"/>
      <c r="RBD46" s="478"/>
      <c r="RBE46" s="478"/>
      <c r="RBF46" s="478"/>
      <c r="RBG46" s="478"/>
      <c r="RBH46" s="478"/>
      <c r="RBI46" s="478"/>
      <c r="RBJ46" s="478"/>
      <c r="RBK46" s="478"/>
      <c r="RBL46" s="478"/>
      <c r="RBM46" s="478"/>
      <c r="RBN46" s="478"/>
      <c r="RBO46" s="478"/>
      <c r="RBP46" s="478"/>
      <c r="RBQ46" s="478"/>
      <c r="RBR46" s="478"/>
      <c r="RBS46" s="478"/>
      <c r="RBT46" s="478"/>
      <c r="RBU46" s="478"/>
      <c r="RBV46" s="478"/>
      <c r="RBW46" s="478"/>
      <c r="RBX46" s="478"/>
      <c r="RBY46" s="478"/>
      <c r="RBZ46" s="478"/>
      <c r="RCA46" s="478"/>
      <c r="RCB46" s="478"/>
      <c r="RCC46" s="478"/>
      <c r="RCD46" s="478"/>
      <c r="RCE46" s="478"/>
      <c r="RCF46" s="478"/>
      <c r="RCG46" s="478"/>
      <c r="RCH46" s="478"/>
      <c r="RCI46" s="478"/>
      <c r="RCJ46" s="478"/>
      <c r="RCK46" s="478"/>
      <c r="RCL46" s="478"/>
      <c r="RCM46" s="478"/>
      <c r="RCN46" s="478"/>
      <c r="RCO46" s="478"/>
      <c r="RCP46" s="478"/>
      <c r="RCQ46" s="478"/>
      <c r="RCR46" s="478"/>
      <c r="RCS46" s="478"/>
      <c r="RCT46" s="478"/>
      <c r="RCU46" s="478"/>
      <c r="RCV46" s="478"/>
      <c r="RCW46" s="478"/>
      <c r="RCX46" s="478"/>
      <c r="RCY46" s="478"/>
      <c r="RCZ46" s="478"/>
      <c r="RDA46" s="478"/>
      <c r="RDB46" s="478"/>
      <c r="RDC46" s="478"/>
      <c r="RDD46" s="478"/>
      <c r="RDE46" s="478"/>
      <c r="RDF46" s="478"/>
      <c r="RDG46" s="478"/>
      <c r="RDH46" s="478"/>
      <c r="RDI46" s="478"/>
      <c r="RDJ46" s="478"/>
      <c r="RDK46" s="478"/>
      <c r="RDL46" s="478"/>
      <c r="RDM46" s="478"/>
      <c r="RDN46" s="478"/>
      <c r="RDO46" s="478"/>
      <c r="RDP46" s="478"/>
      <c r="RDQ46" s="478"/>
      <c r="RDR46" s="478"/>
      <c r="RDS46" s="478"/>
      <c r="RDT46" s="478"/>
      <c r="RDU46" s="478"/>
      <c r="RDV46" s="478"/>
      <c r="RDW46" s="478"/>
      <c r="RDX46" s="478"/>
      <c r="RDY46" s="478"/>
      <c r="RDZ46" s="478"/>
      <c r="REA46" s="478"/>
      <c r="REB46" s="478"/>
      <c r="REC46" s="478"/>
      <c r="RED46" s="478"/>
      <c r="REE46" s="478"/>
      <c r="REF46" s="478"/>
      <c r="REG46" s="478"/>
      <c r="REH46" s="478"/>
      <c r="REI46" s="478"/>
      <c r="REJ46" s="478"/>
      <c r="REK46" s="478"/>
      <c r="REL46" s="478"/>
      <c r="REM46" s="478"/>
      <c r="REN46" s="478"/>
      <c r="REO46" s="478"/>
      <c r="REP46" s="478"/>
      <c r="REQ46" s="478"/>
      <c r="RER46" s="478"/>
      <c r="RES46" s="478"/>
      <c r="RET46" s="478"/>
      <c r="REU46" s="478"/>
      <c r="REV46" s="478"/>
      <c r="REW46" s="478"/>
      <c r="REX46" s="478"/>
      <c r="REY46" s="478"/>
      <c r="REZ46" s="478"/>
      <c r="RFA46" s="478"/>
      <c r="RFB46" s="478"/>
      <c r="RFC46" s="478"/>
      <c r="RFD46" s="478"/>
      <c r="RFE46" s="478"/>
      <c r="RFF46" s="478"/>
      <c r="RFG46" s="478"/>
      <c r="RFH46" s="478"/>
      <c r="RFI46" s="478"/>
      <c r="RFJ46" s="478"/>
      <c r="RFK46" s="478"/>
      <c r="RFL46" s="478"/>
      <c r="RFM46" s="478"/>
      <c r="RFN46" s="478"/>
      <c r="RFO46" s="478"/>
      <c r="RFP46" s="478"/>
      <c r="RFQ46" s="478"/>
      <c r="RFR46" s="478"/>
      <c r="RFS46" s="478"/>
      <c r="RFT46" s="478"/>
      <c r="RFU46" s="478"/>
      <c r="RFV46" s="478"/>
      <c r="RFW46" s="478"/>
      <c r="RFX46" s="478"/>
      <c r="RFY46" s="478"/>
      <c r="RFZ46" s="478"/>
      <c r="RGA46" s="478"/>
      <c r="RGB46" s="478"/>
      <c r="RGC46" s="478"/>
      <c r="RGD46" s="478"/>
      <c r="RGE46" s="478"/>
      <c r="RGF46" s="478"/>
      <c r="RGG46" s="478"/>
      <c r="RGH46" s="478"/>
      <c r="RGI46" s="478"/>
      <c r="RGJ46" s="478"/>
      <c r="RGK46" s="478"/>
      <c r="RGL46" s="478"/>
      <c r="RGM46" s="478"/>
      <c r="RGN46" s="478"/>
      <c r="RGO46" s="478"/>
      <c r="RGP46" s="478"/>
      <c r="RGQ46" s="478"/>
      <c r="RGR46" s="478"/>
      <c r="RGS46" s="478"/>
      <c r="RGT46" s="478"/>
      <c r="RGU46" s="478"/>
      <c r="RGV46" s="478"/>
      <c r="RGW46" s="478"/>
      <c r="RGX46" s="478"/>
      <c r="RGY46" s="478"/>
      <c r="RGZ46" s="478"/>
      <c r="RHA46" s="478"/>
      <c r="RHB46" s="478"/>
      <c r="RHC46" s="478"/>
      <c r="RHD46" s="478"/>
      <c r="RHE46" s="478"/>
      <c r="RHF46" s="478"/>
      <c r="RHG46" s="478"/>
      <c r="RHH46" s="478"/>
      <c r="RHI46" s="478"/>
      <c r="RHJ46" s="478"/>
      <c r="RHK46" s="478"/>
      <c r="RHL46" s="478"/>
      <c r="RHM46" s="478"/>
      <c r="RHN46" s="478"/>
      <c r="RHO46" s="478"/>
      <c r="RHP46" s="478"/>
      <c r="RHQ46" s="478"/>
      <c r="RHR46" s="478"/>
      <c r="RHS46" s="478"/>
      <c r="RHT46" s="478"/>
      <c r="RHU46" s="478"/>
      <c r="RHV46" s="478"/>
      <c r="RHW46" s="478"/>
      <c r="RHX46" s="478"/>
      <c r="RHY46" s="478"/>
      <c r="RHZ46" s="478"/>
      <c r="RIA46" s="478"/>
      <c r="RIB46" s="478"/>
      <c r="RIC46" s="478"/>
      <c r="RID46" s="478"/>
      <c r="RIE46" s="478"/>
      <c r="RIF46" s="478"/>
      <c r="RIG46" s="478"/>
      <c r="RIH46" s="478"/>
      <c r="RII46" s="478"/>
      <c r="RIJ46" s="478"/>
      <c r="RIK46" s="478"/>
      <c r="RIL46" s="478"/>
      <c r="RIM46" s="478"/>
      <c r="RIN46" s="478"/>
      <c r="RIO46" s="478"/>
      <c r="RIP46" s="478"/>
      <c r="RIQ46" s="478"/>
      <c r="RIR46" s="478"/>
      <c r="RIS46" s="478"/>
      <c r="RIT46" s="478"/>
      <c r="RIU46" s="478"/>
      <c r="RIV46" s="478"/>
      <c r="RIW46" s="478"/>
      <c r="RIX46" s="478"/>
      <c r="RIY46" s="478"/>
      <c r="RIZ46" s="478"/>
      <c r="RJA46" s="478"/>
      <c r="RJB46" s="478"/>
      <c r="RJC46" s="478"/>
      <c r="RJD46" s="478"/>
      <c r="RJE46" s="478"/>
      <c r="RJF46" s="478"/>
      <c r="RJG46" s="478"/>
      <c r="RJH46" s="478"/>
      <c r="RJI46" s="478"/>
      <c r="RJJ46" s="478"/>
      <c r="RJK46" s="478"/>
      <c r="RJL46" s="478"/>
      <c r="RJM46" s="478"/>
      <c r="RJN46" s="478"/>
      <c r="RJO46" s="478"/>
      <c r="RJP46" s="478"/>
      <c r="RJQ46" s="478"/>
      <c r="RJR46" s="478"/>
      <c r="RJS46" s="478"/>
      <c r="RJT46" s="478"/>
      <c r="RJU46" s="478"/>
      <c r="RJV46" s="478"/>
      <c r="RJW46" s="478"/>
      <c r="RJX46" s="478"/>
      <c r="RJY46" s="478"/>
      <c r="RJZ46" s="478"/>
      <c r="RKA46" s="478"/>
      <c r="RKB46" s="478"/>
      <c r="RKC46" s="478"/>
      <c r="RKD46" s="478"/>
      <c r="RKE46" s="478"/>
      <c r="RKF46" s="478"/>
      <c r="RKG46" s="478"/>
      <c r="RKH46" s="478"/>
      <c r="RKI46" s="478"/>
      <c r="RKJ46" s="478"/>
      <c r="RKK46" s="478"/>
      <c r="RKL46" s="478"/>
      <c r="RKM46" s="478"/>
      <c r="RKN46" s="478"/>
      <c r="RKO46" s="478"/>
      <c r="RKP46" s="478"/>
      <c r="RKQ46" s="478"/>
      <c r="RKR46" s="478"/>
      <c r="RKS46" s="478"/>
      <c r="RKT46" s="478"/>
      <c r="RKU46" s="478"/>
      <c r="RKV46" s="478"/>
      <c r="RKW46" s="478"/>
      <c r="RKX46" s="478"/>
      <c r="RKY46" s="478"/>
      <c r="RKZ46" s="478"/>
      <c r="RLA46" s="478"/>
      <c r="RLB46" s="478"/>
      <c r="RLC46" s="478"/>
      <c r="RLD46" s="478"/>
      <c r="RLE46" s="478"/>
      <c r="RLF46" s="478"/>
      <c r="RLG46" s="478"/>
      <c r="RLH46" s="478"/>
      <c r="RLI46" s="478"/>
      <c r="RLJ46" s="478"/>
      <c r="RLK46" s="478"/>
      <c r="RLL46" s="478"/>
      <c r="RLM46" s="478"/>
      <c r="RLN46" s="478"/>
      <c r="RLO46" s="478"/>
      <c r="RLP46" s="478"/>
      <c r="RLQ46" s="478"/>
      <c r="RLR46" s="478"/>
      <c r="RLS46" s="478"/>
      <c r="RLT46" s="478"/>
      <c r="RLU46" s="478"/>
      <c r="RLV46" s="478"/>
      <c r="RLW46" s="478"/>
      <c r="RLX46" s="478"/>
      <c r="RLY46" s="478"/>
      <c r="RLZ46" s="478"/>
      <c r="RMA46" s="478"/>
      <c r="RMB46" s="478"/>
      <c r="RMC46" s="478"/>
      <c r="RMD46" s="478"/>
      <c r="RME46" s="478"/>
      <c r="RMF46" s="478"/>
      <c r="RMG46" s="478"/>
      <c r="RMH46" s="478"/>
      <c r="RMI46" s="478"/>
      <c r="RMJ46" s="478"/>
      <c r="RMK46" s="478"/>
      <c r="RML46" s="478"/>
      <c r="RMM46" s="478"/>
      <c r="RMN46" s="478"/>
      <c r="RMO46" s="478"/>
      <c r="RMP46" s="478"/>
      <c r="RMQ46" s="478"/>
      <c r="RMR46" s="478"/>
      <c r="RMS46" s="478"/>
      <c r="RMT46" s="478"/>
      <c r="RMU46" s="478"/>
      <c r="RMV46" s="478"/>
      <c r="RMW46" s="478"/>
      <c r="RMX46" s="478"/>
      <c r="RMY46" s="478"/>
      <c r="RMZ46" s="478"/>
      <c r="RNA46" s="478"/>
      <c r="RNB46" s="478"/>
      <c r="RNC46" s="478"/>
      <c r="RND46" s="478"/>
      <c r="RNE46" s="478"/>
      <c r="RNF46" s="478"/>
      <c r="RNG46" s="478"/>
      <c r="RNH46" s="478"/>
      <c r="RNI46" s="478"/>
      <c r="RNJ46" s="478"/>
      <c r="RNK46" s="478"/>
      <c r="RNL46" s="478"/>
      <c r="RNM46" s="478"/>
      <c r="RNN46" s="478"/>
      <c r="RNO46" s="478"/>
      <c r="RNP46" s="478"/>
      <c r="RNQ46" s="478"/>
      <c r="RNR46" s="478"/>
      <c r="RNS46" s="478"/>
      <c r="RNT46" s="478"/>
      <c r="RNU46" s="478"/>
      <c r="RNV46" s="478"/>
      <c r="RNW46" s="478"/>
      <c r="RNX46" s="478"/>
      <c r="RNY46" s="478"/>
      <c r="RNZ46" s="478"/>
      <c r="ROA46" s="478"/>
      <c r="ROB46" s="478"/>
      <c r="ROC46" s="478"/>
      <c r="ROD46" s="478"/>
      <c r="ROE46" s="478"/>
      <c r="ROF46" s="478"/>
      <c r="ROG46" s="478"/>
      <c r="ROH46" s="478"/>
      <c r="ROI46" s="478"/>
      <c r="ROJ46" s="478"/>
      <c r="ROK46" s="478"/>
      <c r="ROL46" s="478"/>
      <c r="ROM46" s="478"/>
      <c r="RON46" s="478"/>
      <c r="ROO46" s="478"/>
      <c r="ROP46" s="478"/>
      <c r="ROQ46" s="478"/>
      <c r="ROR46" s="478"/>
      <c r="ROS46" s="478"/>
      <c r="ROT46" s="478"/>
      <c r="ROU46" s="478"/>
      <c r="ROV46" s="478"/>
      <c r="ROW46" s="478"/>
      <c r="ROX46" s="478"/>
      <c r="ROY46" s="478"/>
      <c r="ROZ46" s="478"/>
      <c r="RPA46" s="478"/>
      <c r="RPB46" s="478"/>
      <c r="RPC46" s="478"/>
      <c r="RPD46" s="478"/>
      <c r="RPE46" s="478"/>
      <c r="RPF46" s="478"/>
      <c r="RPG46" s="478"/>
      <c r="RPH46" s="478"/>
      <c r="RPI46" s="478"/>
      <c r="RPJ46" s="478"/>
      <c r="RPK46" s="478"/>
      <c r="RPL46" s="478"/>
      <c r="RPM46" s="478"/>
      <c r="RPN46" s="478"/>
      <c r="RPO46" s="478"/>
      <c r="RPP46" s="478"/>
      <c r="RPQ46" s="478"/>
      <c r="RPR46" s="478"/>
      <c r="RPS46" s="478"/>
      <c r="RPT46" s="478"/>
      <c r="RPU46" s="478"/>
      <c r="RPV46" s="478"/>
      <c r="RPW46" s="478"/>
      <c r="RPX46" s="478"/>
      <c r="RPY46" s="478"/>
      <c r="RPZ46" s="478"/>
      <c r="RQA46" s="478"/>
      <c r="RQB46" s="478"/>
      <c r="RQC46" s="478"/>
      <c r="RQD46" s="478"/>
      <c r="RQE46" s="478"/>
      <c r="RQF46" s="478"/>
      <c r="RQG46" s="478"/>
      <c r="RQH46" s="478"/>
      <c r="RQI46" s="478"/>
      <c r="RQJ46" s="478"/>
      <c r="RQK46" s="478"/>
      <c r="RQL46" s="478"/>
      <c r="RQM46" s="478"/>
      <c r="RQN46" s="478"/>
      <c r="RQO46" s="478"/>
      <c r="RQP46" s="478"/>
      <c r="RQQ46" s="478"/>
      <c r="RQR46" s="478"/>
      <c r="RQS46" s="478"/>
      <c r="RQT46" s="478"/>
      <c r="RQU46" s="478"/>
      <c r="RQV46" s="478"/>
      <c r="RQW46" s="478"/>
      <c r="RQX46" s="478"/>
      <c r="RQY46" s="478"/>
      <c r="RQZ46" s="478"/>
      <c r="RRA46" s="478"/>
      <c r="RRB46" s="478"/>
      <c r="RRC46" s="478"/>
      <c r="RRD46" s="478"/>
      <c r="RRE46" s="478"/>
      <c r="RRF46" s="478"/>
      <c r="RRG46" s="478"/>
      <c r="RRH46" s="478"/>
      <c r="RRI46" s="478"/>
      <c r="RRJ46" s="478"/>
      <c r="RRK46" s="478"/>
      <c r="RRL46" s="478"/>
      <c r="RRM46" s="478"/>
      <c r="RRN46" s="478"/>
      <c r="RRO46" s="478"/>
      <c r="RRP46" s="478"/>
      <c r="RRQ46" s="478"/>
      <c r="RRR46" s="478"/>
      <c r="RRS46" s="478"/>
      <c r="RRT46" s="478"/>
      <c r="RRU46" s="478"/>
      <c r="RRV46" s="478"/>
      <c r="RRW46" s="478"/>
      <c r="RRX46" s="478"/>
      <c r="RRY46" s="478"/>
      <c r="RRZ46" s="478"/>
      <c r="RSA46" s="478"/>
      <c r="RSB46" s="478"/>
      <c r="RSC46" s="478"/>
      <c r="RSD46" s="478"/>
      <c r="RSE46" s="478"/>
      <c r="RSF46" s="478"/>
      <c r="RSG46" s="478"/>
      <c r="RSH46" s="478"/>
      <c r="RSI46" s="478"/>
      <c r="RSJ46" s="478"/>
      <c r="RSK46" s="478"/>
      <c r="RSL46" s="478"/>
      <c r="RSM46" s="478"/>
      <c r="RSN46" s="478"/>
      <c r="RSO46" s="478"/>
      <c r="RSP46" s="478"/>
      <c r="RSQ46" s="478"/>
      <c r="RSR46" s="478"/>
      <c r="RSS46" s="478"/>
      <c r="RST46" s="478"/>
      <c r="RSU46" s="478"/>
      <c r="RSV46" s="478"/>
      <c r="RSW46" s="478"/>
      <c r="RSX46" s="478"/>
      <c r="RSY46" s="478"/>
      <c r="RSZ46" s="478"/>
      <c r="RTA46" s="478"/>
      <c r="RTB46" s="478"/>
      <c r="RTC46" s="478"/>
      <c r="RTD46" s="478"/>
      <c r="RTE46" s="478"/>
      <c r="RTF46" s="478"/>
      <c r="RTG46" s="478"/>
      <c r="RTH46" s="478"/>
      <c r="RTI46" s="478"/>
      <c r="RTJ46" s="478"/>
      <c r="RTK46" s="478"/>
      <c r="RTL46" s="478"/>
      <c r="RTM46" s="478"/>
      <c r="RTN46" s="478"/>
      <c r="RTO46" s="478"/>
      <c r="RTP46" s="478"/>
      <c r="RTQ46" s="478"/>
      <c r="RTR46" s="478"/>
      <c r="RTS46" s="478"/>
      <c r="RTT46" s="478"/>
      <c r="RTU46" s="478"/>
      <c r="RTV46" s="478"/>
      <c r="RTW46" s="478"/>
      <c r="RTX46" s="478"/>
      <c r="RTY46" s="478"/>
      <c r="RTZ46" s="478"/>
      <c r="RUA46" s="478"/>
      <c r="RUB46" s="478"/>
      <c r="RUC46" s="478"/>
      <c r="RUD46" s="478"/>
      <c r="RUE46" s="478"/>
      <c r="RUF46" s="478"/>
      <c r="RUG46" s="478"/>
      <c r="RUH46" s="478"/>
      <c r="RUI46" s="478"/>
      <c r="RUJ46" s="478"/>
      <c r="RUK46" s="478"/>
      <c r="RUL46" s="478"/>
      <c r="RUM46" s="478"/>
      <c r="RUN46" s="478"/>
      <c r="RUO46" s="478"/>
      <c r="RUP46" s="478"/>
      <c r="RUQ46" s="478"/>
      <c r="RUR46" s="478"/>
      <c r="RUS46" s="478"/>
      <c r="RUT46" s="478"/>
      <c r="RUU46" s="478"/>
      <c r="RUV46" s="478"/>
      <c r="RUW46" s="478"/>
      <c r="RUX46" s="478"/>
      <c r="RUY46" s="478"/>
      <c r="RUZ46" s="478"/>
      <c r="RVA46" s="478"/>
      <c r="RVB46" s="478"/>
      <c r="RVC46" s="478"/>
      <c r="RVD46" s="478"/>
      <c r="RVE46" s="478"/>
      <c r="RVF46" s="478"/>
      <c r="RVG46" s="478"/>
      <c r="RVH46" s="478"/>
      <c r="RVI46" s="478"/>
      <c r="RVJ46" s="478"/>
      <c r="RVK46" s="478"/>
      <c r="RVL46" s="478"/>
      <c r="RVM46" s="478"/>
      <c r="RVN46" s="478"/>
      <c r="RVO46" s="478"/>
      <c r="RVP46" s="478"/>
      <c r="RVQ46" s="478"/>
      <c r="RVR46" s="478"/>
      <c r="RVS46" s="478"/>
      <c r="RVT46" s="478"/>
      <c r="RVU46" s="478"/>
      <c r="RVV46" s="478"/>
      <c r="RVW46" s="478"/>
      <c r="RVX46" s="478"/>
      <c r="RVY46" s="478"/>
      <c r="RVZ46" s="478"/>
      <c r="RWA46" s="478"/>
      <c r="RWB46" s="478"/>
      <c r="RWC46" s="478"/>
      <c r="RWD46" s="478"/>
      <c r="RWE46" s="478"/>
      <c r="RWF46" s="478"/>
      <c r="RWG46" s="478"/>
      <c r="RWH46" s="478"/>
      <c r="RWI46" s="478"/>
      <c r="RWJ46" s="478"/>
      <c r="RWK46" s="478"/>
      <c r="RWL46" s="478"/>
      <c r="RWM46" s="478"/>
      <c r="RWN46" s="478"/>
      <c r="RWO46" s="478"/>
      <c r="RWP46" s="478"/>
      <c r="RWQ46" s="478"/>
      <c r="RWR46" s="478"/>
      <c r="RWS46" s="478"/>
      <c r="RWT46" s="478"/>
      <c r="RWU46" s="478"/>
      <c r="RWV46" s="478"/>
      <c r="RWW46" s="478"/>
      <c r="RWX46" s="478"/>
      <c r="RWY46" s="478"/>
      <c r="RWZ46" s="478"/>
      <c r="RXA46" s="478"/>
      <c r="RXB46" s="478"/>
      <c r="RXC46" s="478"/>
      <c r="RXD46" s="478"/>
      <c r="RXE46" s="478"/>
      <c r="RXF46" s="478"/>
      <c r="RXG46" s="478"/>
      <c r="RXH46" s="478"/>
      <c r="RXI46" s="478"/>
      <c r="RXJ46" s="478"/>
      <c r="RXK46" s="478"/>
      <c r="RXL46" s="478"/>
      <c r="RXM46" s="478"/>
      <c r="RXN46" s="478"/>
      <c r="RXO46" s="478"/>
      <c r="RXP46" s="478"/>
      <c r="RXQ46" s="478"/>
      <c r="RXR46" s="478"/>
      <c r="RXS46" s="478"/>
      <c r="RXT46" s="478"/>
      <c r="RXU46" s="478"/>
      <c r="RXV46" s="478"/>
      <c r="RXW46" s="478"/>
      <c r="RXX46" s="478"/>
      <c r="RXY46" s="478"/>
      <c r="RXZ46" s="478"/>
      <c r="RYA46" s="478"/>
      <c r="RYB46" s="478"/>
      <c r="RYC46" s="478"/>
      <c r="RYD46" s="478"/>
      <c r="RYE46" s="478"/>
      <c r="RYF46" s="478"/>
      <c r="RYG46" s="478"/>
      <c r="RYH46" s="478"/>
      <c r="RYI46" s="478"/>
      <c r="RYJ46" s="478"/>
      <c r="RYK46" s="478"/>
      <c r="RYL46" s="478"/>
      <c r="RYM46" s="478"/>
      <c r="RYN46" s="478"/>
      <c r="RYO46" s="478"/>
      <c r="RYP46" s="478"/>
      <c r="RYQ46" s="478"/>
      <c r="RYR46" s="478"/>
      <c r="RYS46" s="478"/>
      <c r="RYT46" s="478"/>
      <c r="RYU46" s="478"/>
      <c r="RYV46" s="478"/>
      <c r="RYW46" s="478"/>
      <c r="RYX46" s="478"/>
      <c r="RYY46" s="478"/>
      <c r="RYZ46" s="478"/>
      <c r="RZA46" s="478"/>
      <c r="RZB46" s="478"/>
      <c r="RZC46" s="478"/>
      <c r="RZD46" s="478"/>
      <c r="RZE46" s="478"/>
      <c r="RZF46" s="478"/>
      <c r="RZG46" s="478"/>
      <c r="RZH46" s="478"/>
      <c r="RZI46" s="478"/>
      <c r="RZJ46" s="478"/>
      <c r="RZK46" s="478"/>
      <c r="RZL46" s="478"/>
      <c r="RZM46" s="478"/>
      <c r="RZN46" s="478"/>
      <c r="RZO46" s="478"/>
      <c r="RZP46" s="478"/>
      <c r="RZQ46" s="478"/>
      <c r="RZR46" s="478"/>
      <c r="RZS46" s="478"/>
      <c r="RZT46" s="478"/>
      <c r="RZU46" s="478"/>
      <c r="RZV46" s="478"/>
      <c r="RZW46" s="478"/>
      <c r="RZX46" s="478"/>
      <c r="RZY46" s="478"/>
      <c r="RZZ46" s="478"/>
      <c r="SAA46" s="478"/>
      <c r="SAB46" s="478"/>
      <c r="SAC46" s="478"/>
      <c r="SAD46" s="478"/>
      <c r="SAE46" s="478"/>
      <c r="SAF46" s="478"/>
      <c r="SAG46" s="478"/>
      <c r="SAH46" s="478"/>
      <c r="SAI46" s="478"/>
      <c r="SAJ46" s="478"/>
      <c r="SAK46" s="478"/>
      <c r="SAL46" s="478"/>
      <c r="SAM46" s="478"/>
      <c r="SAN46" s="478"/>
      <c r="SAO46" s="478"/>
      <c r="SAP46" s="478"/>
      <c r="SAQ46" s="478"/>
      <c r="SAR46" s="478"/>
      <c r="SAS46" s="478"/>
      <c r="SAT46" s="478"/>
      <c r="SAU46" s="478"/>
      <c r="SAV46" s="478"/>
      <c r="SAW46" s="478"/>
      <c r="SAX46" s="478"/>
      <c r="SAY46" s="478"/>
      <c r="SAZ46" s="478"/>
      <c r="SBA46" s="478"/>
      <c r="SBB46" s="478"/>
      <c r="SBC46" s="478"/>
      <c r="SBD46" s="478"/>
      <c r="SBE46" s="478"/>
      <c r="SBF46" s="478"/>
      <c r="SBG46" s="478"/>
      <c r="SBH46" s="478"/>
      <c r="SBI46" s="478"/>
      <c r="SBJ46" s="478"/>
      <c r="SBK46" s="478"/>
      <c r="SBL46" s="478"/>
      <c r="SBM46" s="478"/>
      <c r="SBN46" s="478"/>
      <c r="SBO46" s="478"/>
      <c r="SBP46" s="478"/>
      <c r="SBQ46" s="478"/>
      <c r="SBR46" s="478"/>
      <c r="SBS46" s="478"/>
      <c r="SBT46" s="478"/>
      <c r="SBU46" s="478"/>
      <c r="SBV46" s="478"/>
      <c r="SBW46" s="478"/>
      <c r="SBX46" s="478"/>
      <c r="SBY46" s="478"/>
      <c r="SBZ46" s="478"/>
      <c r="SCA46" s="478"/>
      <c r="SCB46" s="478"/>
      <c r="SCC46" s="478"/>
      <c r="SCD46" s="478"/>
      <c r="SCE46" s="478"/>
      <c r="SCF46" s="478"/>
      <c r="SCG46" s="478"/>
      <c r="SCH46" s="478"/>
      <c r="SCI46" s="478"/>
      <c r="SCJ46" s="478"/>
      <c r="SCK46" s="478"/>
      <c r="SCL46" s="478"/>
      <c r="SCM46" s="478"/>
      <c r="SCN46" s="478"/>
      <c r="SCO46" s="478"/>
      <c r="SCP46" s="478"/>
      <c r="SCQ46" s="478"/>
      <c r="SCR46" s="478"/>
      <c r="SCS46" s="478"/>
      <c r="SCT46" s="478"/>
      <c r="SCU46" s="478"/>
      <c r="SCV46" s="478"/>
      <c r="SCW46" s="478"/>
      <c r="SCX46" s="478"/>
      <c r="SCY46" s="478"/>
      <c r="SCZ46" s="478"/>
      <c r="SDA46" s="478"/>
      <c r="SDB46" s="478"/>
      <c r="SDC46" s="478"/>
      <c r="SDD46" s="478"/>
      <c r="SDE46" s="478"/>
      <c r="SDF46" s="478"/>
      <c r="SDG46" s="478"/>
      <c r="SDH46" s="478"/>
      <c r="SDI46" s="478"/>
      <c r="SDJ46" s="478"/>
      <c r="SDK46" s="478"/>
      <c r="SDL46" s="478"/>
      <c r="SDM46" s="478"/>
      <c r="SDN46" s="478"/>
      <c r="SDO46" s="478"/>
      <c r="SDP46" s="478"/>
      <c r="SDQ46" s="478"/>
      <c r="SDR46" s="478"/>
      <c r="SDS46" s="478"/>
      <c r="SDT46" s="478"/>
      <c r="SDU46" s="478"/>
      <c r="SDV46" s="478"/>
      <c r="SDW46" s="478"/>
      <c r="SDX46" s="478"/>
      <c r="SDY46" s="478"/>
      <c r="SDZ46" s="478"/>
      <c r="SEA46" s="478"/>
      <c r="SEB46" s="478"/>
      <c r="SEC46" s="478"/>
      <c r="SED46" s="478"/>
      <c r="SEE46" s="478"/>
      <c r="SEF46" s="478"/>
      <c r="SEG46" s="478"/>
      <c r="SEH46" s="478"/>
      <c r="SEI46" s="478"/>
      <c r="SEJ46" s="478"/>
      <c r="SEK46" s="478"/>
      <c r="SEL46" s="478"/>
      <c r="SEM46" s="478"/>
      <c r="SEN46" s="478"/>
      <c r="SEO46" s="478"/>
      <c r="SEP46" s="478"/>
      <c r="SEQ46" s="478"/>
      <c r="SER46" s="478"/>
      <c r="SES46" s="478"/>
      <c r="SET46" s="478"/>
      <c r="SEU46" s="478"/>
      <c r="SEV46" s="478"/>
      <c r="SEW46" s="478"/>
      <c r="SEX46" s="478"/>
      <c r="SEY46" s="478"/>
      <c r="SEZ46" s="478"/>
      <c r="SFA46" s="478"/>
      <c r="SFB46" s="478"/>
      <c r="SFC46" s="478"/>
      <c r="SFD46" s="478"/>
      <c r="SFE46" s="478"/>
      <c r="SFF46" s="478"/>
      <c r="SFG46" s="478"/>
      <c r="SFH46" s="478"/>
      <c r="SFI46" s="478"/>
      <c r="SFJ46" s="478"/>
      <c r="SFK46" s="478"/>
      <c r="SFL46" s="478"/>
      <c r="SFM46" s="478"/>
      <c r="SFN46" s="478"/>
      <c r="SFO46" s="478"/>
      <c r="SFP46" s="478"/>
      <c r="SFQ46" s="478"/>
      <c r="SFR46" s="478"/>
      <c r="SFS46" s="478"/>
      <c r="SFT46" s="478"/>
      <c r="SFU46" s="478"/>
      <c r="SFV46" s="478"/>
      <c r="SFW46" s="478"/>
      <c r="SFX46" s="478"/>
      <c r="SFY46" s="478"/>
      <c r="SFZ46" s="478"/>
      <c r="SGA46" s="478"/>
      <c r="SGB46" s="478"/>
      <c r="SGC46" s="478"/>
      <c r="SGD46" s="478"/>
      <c r="SGE46" s="478"/>
      <c r="SGF46" s="478"/>
      <c r="SGG46" s="478"/>
      <c r="SGH46" s="478"/>
      <c r="SGI46" s="478"/>
      <c r="SGJ46" s="478"/>
      <c r="SGK46" s="478"/>
      <c r="SGL46" s="478"/>
      <c r="SGM46" s="478"/>
      <c r="SGN46" s="478"/>
      <c r="SGO46" s="478"/>
      <c r="SGP46" s="478"/>
      <c r="SGQ46" s="478"/>
      <c r="SGR46" s="478"/>
      <c r="SGS46" s="478"/>
      <c r="SGT46" s="478"/>
      <c r="SGU46" s="478"/>
      <c r="SGV46" s="478"/>
      <c r="SGW46" s="478"/>
      <c r="SGX46" s="478"/>
      <c r="SGY46" s="478"/>
      <c r="SGZ46" s="478"/>
      <c r="SHA46" s="478"/>
      <c r="SHB46" s="478"/>
      <c r="SHC46" s="478"/>
      <c r="SHD46" s="478"/>
      <c r="SHE46" s="478"/>
      <c r="SHF46" s="478"/>
      <c r="SHG46" s="478"/>
      <c r="SHH46" s="478"/>
      <c r="SHI46" s="478"/>
      <c r="SHJ46" s="478"/>
      <c r="SHK46" s="478"/>
      <c r="SHL46" s="478"/>
      <c r="SHM46" s="478"/>
      <c r="SHN46" s="478"/>
      <c r="SHO46" s="478"/>
      <c r="SHP46" s="478"/>
      <c r="SHQ46" s="478"/>
      <c r="SHR46" s="478"/>
      <c r="SHS46" s="478"/>
      <c r="SHT46" s="478"/>
      <c r="SHU46" s="478"/>
      <c r="SHV46" s="478"/>
      <c r="SHW46" s="478"/>
      <c r="SHX46" s="478"/>
      <c r="SHY46" s="478"/>
      <c r="SHZ46" s="478"/>
      <c r="SIA46" s="478"/>
      <c r="SIB46" s="478"/>
      <c r="SIC46" s="478"/>
      <c r="SID46" s="478"/>
      <c r="SIE46" s="478"/>
      <c r="SIF46" s="478"/>
      <c r="SIG46" s="478"/>
      <c r="SIH46" s="478"/>
      <c r="SII46" s="478"/>
      <c r="SIJ46" s="478"/>
      <c r="SIK46" s="478"/>
      <c r="SIL46" s="478"/>
      <c r="SIM46" s="478"/>
      <c r="SIN46" s="478"/>
      <c r="SIO46" s="478"/>
      <c r="SIP46" s="478"/>
      <c r="SIQ46" s="478"/>
      <c r="SIR46" s="478"/>
      <c r="SIS46" s="478"/>
      <c r="SIT46" s="478"/>
      <c r="SIU46" s="478"/>
      <c r="SIV46" s="478"/>
      <c r="SIW46" s="478"/>
      <c r="SIX46" s="478"/>
      <c r="SIY46" s="478"/>
      <c r="SIZ46" s="478"/>
      <c r="SJA46" s="478"/>
      <c r="SJB46" s="478"/>
      <c r="SJC46" s="478"/>
      <c r="SJD46" s="478"/>
      <c r="SJE46" s="478"/>
      <c r="SJF46" s="478"/>
      <c r="SJG46" s="478"/>
      <c r="SJH46" s="478"/>
      <c r="SJI46" s="478"/>
      <c r="SJJ46" s="478"/>
      <c r="SJK46" s="478"/>
      <c r="SJL46" s="478"/>
      <c r="SJM46" s="478"/>
      <c r="SJN46" s="478"/>
      <c r="SJO46" s="478"/>
      <c r="SJP46" s="478"/>
      <c r="SJQ46" s="478"/>
      <c r="SJR46" s="478"/>
      <c r="SJS46" s="478"/>
      <c r="SJT46" s="478"/>
      <c r="SJU46" s="478"/>
      <c r="SJV46" s="478"/>
      <c r="SJW46" s="478"/>
      <c r="SJX46" s="478"/>
      <c r="SJY46" s="478"/>
      <c r="SJZ46" s="478"/>
      <c r="SKA46" s="478"/>
      <c r="SKB46" s="478"/>
      <c r="SKC46" s="478"/>
      <c r="SKD46" s="478"/>
      <c r="SKE46" s="478"/>
      <c r="SKF46" s="478"/>
      <c r="SKG46" s="478"/>
      <c r="SKH46" s="478"/>
      <c r="SKI46" s="478"/>
      <c r="SKJ46" s="478"/>
      <c r="SKK46" s="478"/>
      <c r="SKL46" s="478"/>
      <c r="SKM46" s="478"/>
      <c r="SKN46" s="478"/>
      <c r="SKO46" s="478"/>
      <c r="SKP46" s="478"/>
      <c r="SKQ46" s="478"/>
      <c r="SKR46" s="478"/>
      <c r="SKS46" s="478"/>
      <c r="SKT46" s="478"/>
      <c r="SKU46" s="478"/>
      <c r="SKV46" s="478"/>
      <c r="SKW46" s="478"/>
      <c r="SKX46" s="478"/>
      <c r="SKY46" s="478"/>
      <c r="SKZ46" s="478"/>
      <c r="SLA46" s="478"/>
      <c r="SLB46" s="478"/>
      <c r="SLC46" s="478"/>
      <c r="SLD46" s="478"/>
      <c r="SLE46" s="478"/>
      <c r="SLF46" s="478"/>
      <c r="SLG46" s="478"/>
      <c r="SLH46" s="478"/>
      <c r="SLI46" s="478"/>
      <c r="SLJ46" s="478"/>
      <c r="SLK46" s="478"/>
      <c r="SLL46" s="478"/>
      <c r="SLM46" s="478"/>
      <c r="SLN46" s="478"/>
      <c r="SLO46" s="478"/>
      <c r="SLP46" s="478"/>
      <c r="SLQ46" s="478"/>
      <c r="SLR46" s="478"/>
      <c r="SLS46" s="478"/>
      <c r="SLT46" s="478"/>
      <c r="SLU46" s="478"/>
      <c r="SLV46" s="478"/>
      <c r="SLW46" s="478"/>
      <c r="SLX46" s="478"/>
      <c r="SLY46" s="478"/>
      <c r="SLZ46" s="478"/>
      <c r="SMA46" s="478"/>
      <c r="SMB46" s="478"/>
      <c r="SMC46" s="478"/>
      <c r="SMD46" s="478"/>
      <c r="SME46" s="478"/>
      <c r="SMF46" s="478"/>
      <c r="SMG46" s="478"/>
      <c r="SMH46" s="478"/>
      <c r="SMI46" s="478"/>
      <c r="SMJ46" s="478"/>
      <c r="SMK46" s="478"/>
      <c r="SML46" s="478"/>
      <c r="SMM46" s="478"/>
      <c r="SMN46" s="478"/>
      <c r="SMO46" s="478"/>
      <c r="SMP46" s="478"/>
      <c r="SMQ46" s="478"/>
      <c r="SMR46" s="478"/>
      <c r="SMS46" s="478"/>
      <c r="SMT46" s="478"/>
      <c r="SMU46" s="478"/>
      <c r="SMV46" s="478"/>
      <c r="SMW46" s="478"/>
      <c r="SMX46" s="478"/>
      <c r="SMY46" s="478"/>
      <c r="SMZ46" s="478"/>
      <c r="SNA46" s="478"/>
      <c r="SNB46" s="478"/>
      <c r="SNC46" s="478"/>
      <c r="SND46" s="478"/>
      <c r="SNE46" s="478"/>
      <c r="SNF46" s="478"/>
      <c r="SNG46" s="478"/>
      <c r="SNH46" s="478"/>
      <c r="SNI46" s="478"/>
      <c r="SNJ46" s="478"/>
      <c r="SNK46" s="478"/>
      <c r="SNL46" s="478"/>
      <c r="SNM46" s="478"/>
      <c r="SNN46" s="478"/>
      <c r="SNO46" s="478"/>
      <c r="SNP46" s="478"/>
      <c r="SNQ46" s="478"/>
      <c r="SNR46" s="478"/>
      <c r="SNS46" s="478"/>
      <c r="SNT46" s="478"/>
      <c r="SNU46" s="478"/>
      <c r="SNV46" s="478"/>
      <c r="SNW46" s="478"/>
      <c r="SNX46" s="478"/>
      <c r="SNY46" s="478"/>
      <c r="SNZ46" s="478"/>
      <c r="SOA46" s="478"/>
      <c r="SOB46" s="478"/>
      <c r="SOC46" s="478"/>
      <c r="SOD46" s="478"/>
      <c r="SOE46" s="478"/>
      <c r="SOF46" s="478"/>
      <c r="SOG46" s="478"/>
      <c r="SOH46" s="478"/>
      <c r="SOI46" s="478"/>
      <c r="SOJ46" s="478"/>
      <c r="SOK46" s="478"/>
      <c r="SOL46" s="478"/>
      <c r="SOM46" s="478"/>
      <c r="SON46" s="478"/>
      <c r="SOO46" s="478"/>
      <c r="SOP46" s="478"/>
      <c r="SOQ46" s="478"/>
      <c r="SOR46" s="478"/>
      <c r="SOS46" s="478"/>
      <c r="SOT46" s="478"/>
      <c r="SOU46" s="478"/>
      <c r="SOV46" s="478"/>
      <c r="SOW46" s="478"/>
      <c r="SOX46" s="478"/>
      <c r="SOY46" s="478"/>
      <c r="SOZ46" s="478"/>
      <c r="SPA46" s="478"/>
      <c r="SPB46" s="478"/>
      <c r="SPC46" s="478"/>
      <c r="SPD46" s="478"/>
      <c r="SPE46" s="478"/>
      <c r="SPF46" s="478"/>
      <c r="SPG46" s="478"/>
      <c r="SPH46" s="478"/>
      <c r="SPI46" s="478"/>
      <c r="SPJ46" s="478"/>
      <c r="SPK46" s="478"/>
      <c r="SPL46" s="478"/>
      <c r="SPM46" s="478"/>
      <c r="SPN46" s="478"/>
      <c r="SPO46" s="478"/>
      <c r="SPP46" s="478"/>
      <c r="SPQ46" s="478"/>
      <c r="SPR46" s="478"/>
      <c r="SPS46" s="478"/>
      <c r="SPT46" s="478"/>
      <c r="SPU46" s="478"/>
      <c r="SPV46" s="478"/>
      <c r="SPW46" s="478"/>
      <c r="SPX46" s="478"/>
      <c r="SPY46" s="478"/>
      <c r="SPZ46" s="478"/>
      <c r="SQA46" s="478"/>
      <c r="SQB46" s="478"/>
      <c r="SQC46" s="478"/>
      <c r="SQD46" s="478"/>
      <c r="SQE46" s="478"/>
      <c r="SQF46" s="478"/>
      <c r="SQG46" s="478"/>
      <c r="SQH46" s="478"/>
      <c r="SQI46" s="478"/>
      <c r="SQJ46" s="478"/>
      <c r="SQK46" s="478"/>
      <c r="SQL46" s="478"/>
      <c r="SQM46" s="478"/>
      <c r="SQN46" s="478"/>
      <c r="SQO46" s="478"/>
      <c r="SQP46" s="478"/>
      <c r="SQQ46" s="478"/>
      <c r="SQR46" s="478"/>
      <c r="SQS46" s="478"/>
      <c r="SQT46" s="478"/>
      <c r="SQU46" s="478"/>
      <c r="SQV46" s="478"/>
      <c r="SQW46" s="478"/>
      <c r="SQX46" s="478"/>
      <c r="SQY46" s="478"/>
      <c r="SQZ46" s="478"/>
      <c r="SRA46" s="478"/>
      <c r="SRB46" s="478"/>
      <c r="SRC46" s="478"/>
      <c r="SRD46" s="478"/>
      <c r="SRE46" s="478"/>
      <c r="SRF46" s="478"/>
      <c r="SRG46" s="478"/>
      <c r="SRH46" s="478"/>
      <c r="SRI46" s="478"/>
      <c r="SRJ46" s="478"/>
      <c r="SRK46" s="478"/>
      <c r="SRL46" s="478"/>
      <c r="SRM46" s="478"/>
      <c r="SRN46" s="478"/>
      <c r="SRO46" s="478"/>
      <c r="SRP46" s="478"/>
      <c r="SRQ46" s="478"/>
      <c r="SRR46" s="478"/>
      <c r="SRS46" s="478"/>
      <c r="SRT46" s="478"/>
      <c r="SRU46" s="478"/>
      <c r="SRV46" s="478"/>
      <c r="SRW46" s="478"/>
      <c r="SRX46" s="478"/>
      <c r="SRY46" s="478"/>
      <c r="SRZ46" s="478"/>
      <c r="SSA46" s="478"/>
      <c r="SSB46" s="478"/>
      <c r="SSC46" s="478"/>
      <c r="SSD46" s="478"/>
      <c r="SSE46" s="478"/>
      <c r="SSF46" s="478"/>
      <c r="SSG46" s="478"/>
      <c r="SSH46" s="478"/>
      <c r="SSI46" s="478"/>
      <c r="SSJ46" s="478"/>
      <c r="SSK46" s="478"/>
      <c r="SSL46" s="478"/>
      <c r="SSM46" s="478"/>
      <c r="SSN46" s="478"/>
      <c r="SSO46" s="478"/>
      <c r="SSP46" s="478"/>
      <c r="SSQ46" s="478"/>
      <c r="SSR46" s="478"/>
      <c r="SSS46" s="478"/>
      <c r="SST46" s="478"/>
      <c r="SSU46" s="478"/>
      <c r="SSV46" s="478"/>
      <c r="SSW46" s="478"/>
      <c r="SSX46" s="478"/>
      <c r="SSY46" s="478"/>
      <c r="SSZ46" s="478"/>
      <c r="STA46" s="478"/>
      <c r="STB46" s="478"/>
      <c r="STC46" s="478"/>
      <c r="STD46" s="478"/>
      <c r="STE46" s="478"/>
      <c r="STF46" s="478"/>
      <c r="STG46" s="478"/>
      <c r="STH46" s="478"/>
      <c r="STI46" s="478"/>
      <c r="STJ46" s="478"/>
      <c r="STK46" s="478"/>
      <c r="STL46" s="478"/>
      <c r="STM46" s="478"/>
      <c r="STN46" s="478"/>
      <c r="STO46" s="478"/>
      <c r="STP46" s="478"/>
      <c r="STQ46" s="478"/>
      <c r="STR46" s="478"/>
      <c r="STS46" s="478"/>
      <c r="STT46" s="478"/>
      <c r="STU46" s="478"/>
      <c r="STV46" s="478"/>
      <c r="STW46" s="478"/>
      <c r="STX46" s="478"/>
      <c r="STY46" s="478"/>
      <c r="STZ46" s="478"/>
      <c r="SUA46" s="478"/>
      <c r="SUB46" s="478"/>
      <c r="SUC46" s="478"/>
      <c r="SUD46" s="478"/>
      <c r="SUE46" s="478"/>
      <c r="SUF46" s="478"/>
      <c r="SUG46" s="478"/>
      <c r="SUH46" s="478"/>
      <c r="SUI46" s="478"/>
      <c r="SUJ46" s="478"/>
      <c r="SUK46" s="478"/>
      <c r="SUL46" s="478"/>
      <c r="SUM46" s="478"/>
      <c r="SUN46" s="478"/>
      <c r="SUO46" s="478"/>
      <c r="SUP46" s="478"/>
      <c r="SUQ46" s="478"/>
      <c r="SUR46" s="478"/>
      <c r="SUS46" s="478"/>
      <c r="SUT46" s="478"/>
      <c r="SUU46" s="478"/>
      <c r="SUV46" s="478"/>
      <c r="SUW46" s="478"/>
      <c r="SUX46" s="478"/>
      <c r="SUY46" s="478"/>
      <c r="SUZ46" s="478"/>
      <c r="SVA46" s="478"/>
      <c r="SVB46" s="478"/>
      <c r="SVC46" s="478"/>
      <c r="SVD46" s="478"/>
      <c r="SVE46" s="478"/>
      <c r="SVF46" s="478"/>
      <c r="SVG46" s="478"/>
      <c r="SVH46" s="478"/>
      <c r="SVI46" s="478"/>
      <c r="SVJ46" s="478"/>
      <c r="SVK46" s="478"/>
      <c r="SVL46" s="478"/>
      <c r="SVM46" s="478"/>
      <c r="SVN46" s="478"/>
      <c r="SVO46" s="478"/>
      <c r="SVP46" s="478"/>
      <c r="SVQ46" s="478"/>
      <c r="SVR46" s="478"/>
      <c r="SVS46" s="478"/>
      <c r="SVT46" s="478"/>
      <c r="SVU46" s="478"/>
      <c r="SVV46" s="478"/>
      <c r="SVW46" s="478"/>
      <c r="SVX46" s="478"/>
      <c r="SVY46" s="478"/>
      <c r="SVZ46" s="478"/>
      <c r="SWA46" s="478"/>
      <c r="SWB46" s="478"/>
      <c r="SWC46" s="478"/>
      <c r="SWD46" s="478"/>
      <c r="SWE46" s="478"/>
      <c r="SWF46" s="478"/>
      <c r="SWG46" s="478"/>
      <c r="SWH46" s="478"/>
      <c r="SWI46" s="478"/>
      <c r="SWJ46" s="478"/>
      <c r="SWK46" s="478"/>
      <c r="SWL46" s="478"/>
      <c r="SWM46" s="478"/>
      <c r="SWN46" s="478"/>
      <c r="SWO46" s="478"/>
      <c r="SWP46" s="478"/>
      <c r="SWQ46" s="478"/>
      <c r="SWR46" s="478"/>
      <c r="SWS46" s="478"/>
      <c r="SWT46" s="478"/>
      <c r="SWU46" s="478"/>
      <c r="SWV46" s="478"/>
      <c r="SWW46" s="478"/>
      <c r="SWX46" s="478"/>
      <c r="SWY46" s="478"/>
      <c r="SWZ46" s="478"/>
      <c r="SXA46" s="478"/>
      <c r="SXB46" s="478"/>
      <c r="SXC46" s="478"/>
      <c r="SXD46" s="478"/>
      <c r="SXE46" s="478"/>
      <c r="SXF46" s="478"/>
      <c r="SXG46" s="478"/>
      <c r="SXH46" s="478"/>
      <c r="SXI46" s="478"/>
      <c r="SXJ46" s="478"/>
      <c r="SXK46" s="478"/>
      <c r="SXL46" s="478"/>
      <c r="SXM46" s="478"/>
      <c r="SXN46" s="478"/>
      <c r="SXO46" s="478"/>
      <c r="SXP46" s="478"/>
      <c r="SXQ46" s="478"/>
      <c r="SXR46" s="478"/>
      <c r="SXS46" s="478"/>
      <c r="SXT46" s="478"/>
      <c r="SXU46" s="478"/>
      <c r="SXV46" s="478"/>
      <c r="SXW46" s="478"/>
      <c r="SXX46" s="478"/>
      <c r="SXY46" s="478"/>
      <c r="SXZ46" s="478"/>
      <c r="SYA46" s="478"/>
      <c r="SYB46" s="478"/>
      <c r="SYC46" s="478"/>
      <c r="SYD46" s="478"/>
      <c r="SYE46" s="478"/>
      <c r="SYF46" s="478"/>
      <c r="SYG46" s="478"/>
      <c r="SYH46" s="478"/>
      <c r="SYI46" s="478"/>
      <c r="SYJ46" s="478"/>
      <c r="SYK46" s="478"/>
      <c r="SYL46" s="478"/>
      <c r="SYM46" s="478"/>
      <c r="SYN46" s="478"/>
      <c r="SYO46" s="478"/>
      <c r="SYP46" s="478"/>
      <c r="SYQ46" s="478"/>
      <c r="SYR46" s="478"/>
      <c r="SYS46" s="478"/>
      <c r="SYT46" s="478"/>
      <c r="SYU46" s="478"/>
      <c r="SYV46" s="478"/>
      <c r="SYW46" s="478"/>
      <c r="SYX46" s="478"/>
      <c r="SYY46" s="478"/>
      <c r="SYZ46" s="478"/>
      <c r="SZA46" s="478"/>
      <c r="SZB46" s="478"/>
      <c r="SZC46" s="478"/>
      <c r="SZD46" s="478"/>
      <c r="SZE46" s="478"/>
      <c r="SZF46" s="478"/>
      <c r="SZG46" s="478"/>
      <c r="SZH46" s="478"/>
      <c r="SZI46" s="478"/>
      <c r="SZJ46" s="478"/>
      <c r="SZK46" s="478"/>
      <c r="SZL46" s="478"/>
      <c r="SZM46" s="478"/>
      <c r="SZN46" s="478"/>
      <c r="SZO46" s="478"/>
      <c r="SZP46" s="478"/>
      <c r="SZQ46" s="478"/>
      <c r="SZR46" s="478"/>
      <c r="SZS46" s="478"/>
      <c r="SZT46" s="478"/>
      <c r="SZU46" s="478"/>
      <c r="SZV46" s="478"/>
      <c r="SZW46" s="478"/>
      <c r="SZX46" s="478"/>
      <c r="SZY46" s="478"/>
      <c r="SZZ46" s="478"/>
      <c r="TAA46" s="478"/>
      <c r="TAB46" s="478"/>
      <c r="TAC46" s="478"/>
      <c r="TAD46" s="478"/>
      <c r="TAE46" s="478"/>
      <c r="TAF46" s="478"/>
      <c r="TAG46" s="478"/>
      <c r="TAH46" s="478"/>
      <c r="TAI46" s="478"/>
      <c r="TAJ46" s="478"/>
      <c r="TAK46" s="478"/>
      <c r="TAL46" s="478"/>
      <c r="TAM46" s="478"/>
      <c r="TAN46" s="478"/>
      <c r="TAO46" s="478"/>
      <c r="TAP46" s="478"/>
      <c r="TAQ46" s="478"/>
      <c r="TAR46" s="478"/>
      <c r="TAS46" s="478"/>
      <c r="TAT46" s="478"/>
      <c r="TAU46" s="478"/>
      <c r="TAV46" s="478"/>
      <c r="TAW46" s="478"/>
      <c r="TAX46" s="478"/>
      <c r="TAY46" s="478"/>
      <c r="TAZ46" s="478"/>
      <c r="TBA46" s="478"/>
      <c r="TBB46" s="478"/>
      <c r="TBC46" s="478"/>
      <c r="TBD46" s="478"/>
      <c r="TBE46" s="478"/>
      <c r="TBF46" s="478"/>
      <c r="TBG46" s="478"/>
      <c r="TBH46" s="478"/>
      <c r="TBI46" s="478"/>
      <c r="TBJ46" s="478"/>
      <c r="TBK46" s="478"/>
      <c r="TBL46" s="478"/>
      <c r="TBM46" s="478"/>
      <c r="TBN46" s="478"/>
      <c r="TBO46" s="478"/>
      <c r="TBP46" s="478"/>
      <c r="TBQ46" s="478"/>
      <c r="TBR46" s="478"/>
      <c r="TBS46" s="478"/>
      <c r="TBT46" s="478"/>
      <c r="TBU46" s="478"/>
      <c r="TBV46" s="478"/>
      <c r="TBW46" s="478"/>
      <c r="TBX46" s="478"/>
      <c r="TBY46" s="478"/>
      <c r="TBZ46" s="478"/>
      <c r="TCA46" s="478"/>
      <c r="TCB46" s="478"/>
      <c r="TCC46" s="478"/>
      <c r="TCD46" s="478"/>
      <c r="TCE46" s="478"/>
      <c r="TCF46" s="478"/>
      <c r="TCG46" s="478"/>
      <c r="TCH46" s="478"/>
      <c r="TCI46" s="478"/>
      <c r="TCJ46" s="478"/>
      <c r="TCK46" s="478"/>
      <c r="TCL46" s="478"/>
      <c r="TCM46" s="478"/>
      <c r="TCN46" s="478"/>
      <c r="TCO46" s="478"/>
      <c r="TCP46" s="478"/>
      <c r="TCQ46" s="478"/>
      <c r="TCR46" s="478"/>
      <c r="TCS46" s="478"/>
      <c r="TCT46" s="478"/>
      <c r="TCU46" s="478"/>
      <c r="TCV46" s="478"/>
      <c r="TCW46" s="478"/>
      <c r="TCX46" s="478"/>
      <c r="TCY46" s="478"/>
      <c r="TCZ46" s="478"/>
      <c r="TDA46" s="478"/>
      <c r="TDB46" s="478"/>
      <c r="TDC46" s="478"/>
      <c r="TDD46" s="478"/>
      <c r="TDE46" s="478"/>
      <c r="TDF46" s="478"/>
      <c r="TDG46" s="478"/>
      <c r="TDH46" s="478"/>
      <c r="TDI46" s="478"/>
      <c r="TDJ46" s="478"/>
      <c r="TDK46" s="478"/>
      <c r="TDL46" s="478"/>
      <c r="TDM46" s="478"/>
      <c r="TDN46" s="478"/>
      <c r="TDO46" s="478"/>
      <c r="TDP46" s="478"/>
      <c r="TDQ46" s="478"/>
      <c r="TDR46" s="478"/>
      <c r="TDS46" s="478"/>
      <c r="TDT46" s="478"/>
      <c r="TDU46" s="478"/>
      <c r="TDV46" s="478"/>
      <c r="TDW46" s="478"/>
      <c r="TDX46" s="478"/>
      <c r="TDY46" s="478"/>
      <c r="TDZ46" s="478"/>
      <c r="TEA46" s="478"/>
      <c r="TEB46" s="478"/>
      <c r="TEC46" s="478"/>
      <c r="TED46" s="478"/>
      <c r="TEE46" s="478"/>
      <c r="TEF46" s="478"/>
      <c r="TEG46" s="478"/>
      <c r="TEH46" s="478"/>
      <c r="TEI46" s="478"/>
      <c r="TEJ46" s="478"/>
      <c r="TEK46" s="478"/>
      <c r="TEL46" s="478"/>
      <c r="TEM46" s="478"/>
      <c r="TEN46" s="478"/>
      <c r="TEO46" s="478"/>
      <c r="TEP46" s="478"/>
      <c r="TEQ46" s="478"/>
      <c r="TER46" s="478"/>
      <c r="TES46" s="478"/>
      <c r="TET46" s="478"/>
      <c r="TEU46" s="478"/>
      <c r="TEV46" s="478"/>
      <c r="TEW46" s="478"/>
      <c r="TEX46" s="478"/>
      <c r="TEY46" s="478"/>
      <c r="TEZ46" s="478"/>
      <c r="TFA46" s="478"/>
      <c r="TFB46" s="478"/>
      <c r="TFC46" s="478"/>
      <c r="TFD46" s="478"/>
      <c r="TFE46" s="478"/>
      <c r="TFF46" s="478"/>
      <c r="TFG46" s="478"/>
      <c r="TFH46" s="478"/>
      <c r="TFI46" s="478"/>
      <c r="TFJ46" s="478"/>
      <c r="TFK46" s="478"/>
      <c r="TFL46" s="478"/>
      <c r="TFM46" s="478"/>
      <c r="TFN46" s="478"/>
      <c r="TFO46" s="478"/>
      <c r="TFP46" s="478"/>
      <c r="TFQ46" s="478"/>
      <c r="TFR46" s="478"/>
      <c r="TFS46" s="478"/>
      <c r="TFT46" s="478"/>
      <c r="TFU46" s="478"/>
      <c r="TFV46" s="478"/>
      <c r="TFW46" s="478"/>
      <c r="TFX46" s="478"/>
      <c r="TFY46" s="478"/>
      <c r="TFZ46" s="478"/>
      <c r="TGA46" s="478"/>
      <c r="TGB46" s="478"/>
      <c r="TGC46" s="478"/>
      <c r="TGD46" s="478"/>
      <c r="TGE46" s="478"/>
      <c r="TGF46" s="478"/>
      <c r="TGG46" s="478"/>
      <c r="TGH46" s="478"/>
      <c r="TGI46" s="478"/>
      <c r="TGJ46" s="478"/>
      <c r="TGK46" s="478"/>
      <c r="TGL46" s="478"/>
      <c r="TGM46" s="478"/>
      <c r="TGN46" s="478"/>
      <c r="TGO46" s="478"/>
      <c r="TGP46" s="478"/>
      <c r="TGQ46" s="478"/>
      <c r="TGR46" s="478"/>
      <c r="TGS46" s="478"/>
      <c r="TGT46" s="478"/>
      <c r="TGU46" s="478"/>
      <c r="TGV46" s="478"/>
      <c r="TGW46" s="478"/>
      <c r="TGX46" s="478"/>
      <c r="TGY46" s="478"/>
      <c r="TGZ46" s="478"/>
      <c r="THA46" s="478"/>
      <c r="THB46" s="478"/>
      <c r="THC46" s="478"/>
      <c r="THD46" s="478"/>
      <c r="THE46" s="478"/>
      <c r="THF46" s="478"/>
      <c r="THG46" s="478"/>
      <c r="THH46" s="478"/>
      <c r="THI46" s="478"/>
      <c r="THJ46" s="478"/>
      <c r="THK46" s="478"/>
      <c r="THL46" s="478"/>
      <c r="THM46" s="478"/>
      <c r="THN46" s="478"/>
      <c r="THO46" s="478"/>
      <c r="THP46" s="478"/>
      <c r="THQ46" s="478"/>
      <c r="THR46" s="478"/>
      <c r="THS46" s="478"/>
      <c r="THT46" s="478"/>
      <c r="THU46" s="478"/>
      <c r="THV46" s="478"/>
      <c r="THW46" s="478"/>
      <c r="THX46" s="478"/>
      <c r="THY46" s="478"/>
      <c r="THZ46" s="478"/>
      <c r="TIA46" s="478"/>
      <c r="TIB46" s="478"/>
      <c r="TIC46" s="478"/>
      <c r="TID46" s="478"/>
      <c r="TIE46" s="478"/>
      <c r="TIF46" s="478"/>
      <c r="TIG46" s="478"/>
      <c r="TIH46" s="478"/>
      <c r="TII46" s="478"/>
      <c r="TIJ46" s="478"/>
      <c r="TIK46" s="478"/>
      <c r="TIL46" s="478"/>
      <c r="TIM46" s="478"/>
      <c r="TIN46" s="478"/>
      <c r="TIO46" s="478"/>
      <c r="TIP46" s="478"/>
      <c r="TIQ46" s="478"/>
      <c r="TIR46" s="478"/>
      <c r="TIS46" s="478"/>
      <c r="TIT46" s="478"/>
      <c r="TIU46" s="478"/>
      <c r="TIV46" s="478"/>
      <c r="TIW46" s="478"/>
      <c r="TIX46" s="478"/>
      <c r="TIY46" s="478"/>
      <c r="TIZ46" s="478"/>
      <c r="TJA46" s="478"/>
      <c r="TJB46" s="478"/>
      <c r="TJC46" s="478"/>
      <c r="TJD46" s="478"/>
      <c r="TJE46" s="478"/>
      <c r="TJF46" s="478"/>
      <c r="TJG46" s="478"/>
      <c r="TJH46" s="478"/>
      <c r="TJI46" s="478"/>
      <c r="TJJ46" s="478"/>
      <c r="TJK46" s="478"/>
      <c r="TJL46" s="478"/>
      <c r="TJM46" s="478"/>
      <c r="TJN46" s="478"/>
      <c r="TJO46" s="478"/>
      <c r="TJP46" s="478"/>
      <c r="TJQ46" s="478"/>
      <c r="TJR46" s="478"/>
      <c r="TJS46" s="478"/>
      <c r="TJT46" s="478"/>
      <c r="TJU46" s="478"/>
      <c r="TJV46" s="478"/>
      <c r="TJW46" s="478"/>
      <c r="TJX46" s="478"/>
      <c r="TJY46" s="478"/>
      <c r="TJZ46" s="478"/>
      <c r="TKA46" s="478"/>
      <c r="TKB46" s="478"/>
      <c r="TKC46" s="478"/>
      <c r="TKD46" s="478"/>
      <c r="TKE46" s="478"/>
      <c r="TKF46" s="478"/>
      <c r="TKG46" s="478"/>
      <c r="TKH46" s="478"/>
      <c r="TKI46" s="478"/>
      <c r="TKJ46" s="478"/>
      <c r="TKK46" s="478"/>
      <c r="TKL46" s="478"/>
      <c r="TKM46" s="478"/>
      <c r="TKN46" s="478"/>
      <c r="TKO46" s="478"/>
      <c r="TKP46" s="478"/>
      <c r="TKQ46" s="478"/>
      <c r="TKR46" s="478"/>
      <c r="TKS46" s="478"/>
      <c r="TKT46" s="478"/>
      <c r="TKU46" s="478"/>
      <c r="TKV46" s="478"/>
      <c r="TKW46" s="478"/>
      <c r="TKX46" s="478"/>
      <c r="TKY46" s="478"/>
      <c r="TKZ46" s="478"/>
      <c r="TLA46" s="478"/>
      <c r="TLB46" s="478"/>
      <c r="TLC46" s="478"/>
      <c r="TLD46" s="478"/>
      <c r="TLE46" s="478"/>
      <c r="TLF46" s="478"/>
      <c r="TLG46" s="478"/>
      <c r="TLH46" s="478"/>
      <c r="TLI46" s="478"/>
      <c r="TLJ46" s="478"/>
      <c r="TLK46" s="478"/>
      <c r="TLL46" s="478"/>
      <c r="TLM46" s="478"/>
      <c r="TLN46" s="478"/>
      <c r="TLO46" s="478"/>
      <c r="TLP46" s="478"/>
      <c r="TLQ46" s="478"/>
      <c r="TLR46" s="478"/>
      <c r="TLS46" s="478"/>
      <c r="TLT46" s="478"/>
      <c r="TLU46" s="478"/>
      <c r="TLV46" s="478"/>
      <c r="TLW46" s="478"/>
      <c r="TLX46" s="478"/>
      <c r="TLY46" s="478"/>
      <c r="TLZ46" s="478"/>
      <c r="TMA46" s="478"/>
      <c r="TMB46" s="478"/>
      <c r="TMC46" s="478"/>
      <c r="TMD46" s="478"/>
      <c r="TME46" s="478"/>
      <c r="TMF46" s="478"/>
      <c r="TMG46" s="478"/>
      <c r="TMH46" s="478"/>
      <c r="TMI46" s="478"/>
      <c r="TMJ46" s="478"/>
      <c r="TMK46" s="478"/>
      <c r="TML46" s="478"/>
      <c r="TMM46" s="478"/>
      <c r="TMN46" s="478"/>
      <c r="TMO46" s="478"/>
      <c r="TMP46" s="478"/>
      <c r="TMQ46" s="478"/>
      <c r="TMR46" s="478"/>
      <c r="TMS46" s="478"/>
      <c r="TMT46" s="478"/>
      <c r="TMU46" s="478"/>
      <c r="TMV46" s="478"/>
      <c r="TMW46" s="478"/>
      <c r="TMX46" s="478"/>
      <c r="TMY46" s="478"/>
      <c r="TMZ46" s="478"/>
      <c r="TNA46" s="478"/>
      <c r="TNB46" s="478"/>
      <c r="TNC46" s="478"/>
      <c r="TND46" s="478"/>
      <c r="TNE46" s="478"/>
      <c r="TNF46" s="478"/>
      <c r="TNG46" s="478"/>
      <c r="TNH46" s="478"/>
      <c r="TNI46" s="478"/>
      <c r="TNJ46" s="478"/>
      <c r="TNK46" s="478"/>
      <c r="TNL46" s="478"/>
      <c r="TNM46" s="478"/>
      <c r="TNN46" s="478"/>
      <c r="TNO46" s="478"/>
      <c r="TNP46" s="478"/>
      <c r="TNQ46" s="478"/>
      <c r="TNR46" s="478"/>
      <c r="TNS46" s="478"/>
      <c r="TNT46" s="478"/>
      <c r="TNU46" s="478"/>
      <c r="TNV46" s="478"/>
      <c r="TNW46" s="478"/>
      <c r="TNX46" s="478"/>
      <c r="TNY46" s="478"/>
      <c r="TNZ46" s="478"/>
      <c r="TOA46" s="478"/>
      <c r="TOB46" s="478"/>
      <c r="TOC46" s="478"/>
      <c r="TOD46" s="478"/>
      <c r="TOE46" s="478"/>
      <c r="TOF46" s="478"/>
      <c r="TOG46" s="478"/>
      <c r="TOH46" s="478"/>
      <c r="TOI46" s="478"/>
      <c r="TOJ46" s="478"/>
      <c r="TOK46" s="478"/>
      <c r="TOL46" s="478"/>
      <c r="TOM46" s="478"/>
      <c r="TON46" s="478"/>
      <c r="TOO46" s="478"/>
      <c r="TOP46" s="478"/>
      <c r="TOQ46" s="478"/>
      <c r="TOR46" s="478"/>
      <c r="TOS46" s="478"/>
      <c r="TOT46" s="478"/>
      <c r="TOU46" s="478"/>
      <c r="TOV46" s="478"/>
      <c r="TOW46" s="478"/>
      <c r="TOX46" s="478"/>
      <c r="TOY46" s="478"/>
      <c r="TOZ46" s="478"/>
      <c r="TPA46" s="478"/>
      <c r="TPB46" s="478"/>
      <c r="TPC46" s="478"/>
      <c r="TPD46" s="478"/>
      <c r="TPE46" s="478"/>
      <c r="TPF46" s="478"/>
      <c r="TPG46" s="478"/>
      <c r="TPH46" s="478"/>
      <c r="TPI46" s="478"/>
      <c r="TPJ46" s="478"/>
      <c r="TPK46" s="478"/>
      <c r="TPL46" s="478"/>
      <c r="TPM46" s="478"/>
      <c r="TPN46" s="478"/>
      <c r="TPO46" s="478"/>
      <c r="TPP46" s="478"/>
      <c r="TPQ46" s="478"/>
      <c r="TPR46" s="478"/>
      <c r="TPS46" s="478"/>
      <c r="TPT46" s="478"/>
      <c r="TPU46" s="478"/>
      <c r="TPV46" s="478"/>
      <c r="TPW46" s="478"/>
      <c r="TPX46" s="478"/>
      <c r="TPY46" s="478"/>
      <c r="TPZ46" s="478"/>
      <c r="TQA46" s="478"/>
      <c r="TQB46" s="478"/>
      <c r="TQC46" s="478"/>
      <c r="TQD46" s="478"/>
      <c r="TQE46" s="478"/>
      <c r="TQF46" s="478"/>
      <c r="TQG46" s="478"/>
      <c r="TQH46" s="478"/>
      <c r="TQI46" s="478"/>
      <c r="TQJ46" s="478"/>
      <c r="TQK46" s="478"/>
      <c r="TQL46" s="478"/>
      <c r="TQM46" s="478"/>
      <c r="TQN46" s="478"/>
      <c r="TQO46" s="478"/>
      <c r="TQP46" s="478"/>
      <c r="TQQ46" s="478"/>
      <c r="TQR46" s="478"/>
      <c r="TQS46" s="478"/>
      <c r="TQT46" s="478"/>
      <c r="TQU46" s="478"/>
      <c r="TQV46" s="478"/>
      <c r="TQW46" s="478"/>
      <c r="TQX46" s="478"/>
      <c r="TQY46" s="478"/>
      <c r="TQZ46" s="478"/>
      <c r="TRA46" s="478"/>
      <c r="TRB46" s="478"/>
      <c r="TRC46" s="478"/>
      <c r="TRD46" s="478"/>
      <c r="TRE46" s="478"/>
      <c r="TRF46" s="478"/>
      <c r="TRG46" s="478"/>
      <c r="TRH46" s="478"/>
      <c r="TRI46" s="478"/>
      <c r="TRJ46" s="478"/>
      <c r="TRK46" s="478"/>
      <c r="TRL46" s="478"/>
      <c r="TRM46" s="478"/>
      <c r="TRN46" s="478"/>
      <c r="TRO46" s="478"/>
      <c r="TRP46" s="478"/>
      <c r="TRQ46" s="478"/>
      <c r="TRR46" s="478"/>
      <c r="TRS46" s="478"/>
      <c r="TRT46" s="478"/>
      <c r="TRU46" s="478"/>
      <c r="TRV46" s="478"/>
      <c r="TRW46" s="478"/>
      <c r="TRX46" s="478"/>
      <c r="TRY46" s="478"/>
      <c r="TRZ46" s="478"/>
      <c r="TSA46" s="478"/>
      <c r="TSB46" s="478"/>
      <c r="TSC46" s="478"/>
      <c r="TSD46" s="478"/>
      <c r="TSE46" s="478"/>
      <c r="TSF46" s="478"/>
      <c r="TSG46" s="478"/>
      <c r="TSH46" s="478"/>
      <c r="TSI46" s="478"/>
      <c r="TSJ46" s="478"/>
      <c r="TSK46" s="478"/>
      <c r="TSL46" s="478"/>
      <c r="TSM46" s="478"/>
      <c r="TSN46" s="478"/>
      <c r="TSO46" s="478"/>
      <c r="TSP46" s="478"/>
      <c r="TSQ46" s="478"/>
      <c r="TSR46" s="478"/>
      <c r="TSS46" s="478"/>
      <c r="TST46" s="478"/>
      <c r="TSU46" s="478"/>
      <c r="TSV46" s="478"/>
      <c r="TSW46" s="478"/>
      <c r="TSX46" s="478"/>
      <c r="TSY46" s="478"/>
      <c r="TSZ46" s="478"/>
      <c r="TTA46" s="478"/>
      <c r="TTB46" s="478"/>
      <c r="TTC46" s="478"/>
      <c r="TTD46" s="478"/>
      <c r="TTE46" s="478"/>
      <c r="TTF46" s="478"/>
      <c r="TTG46" s="478"/>
      <c r="TTH46" s="478"/>
      <c r="TTI46" s="478"/>
      <c r="TTJ46" s="478"/>
      <c r="TTK46" s="478"/>
      <c r="TTL46" s="478"/>
      <c r="TTM46" s="478"/>
      <c r="TTN46" s="478"/>
      <c r="TTO46" s="478"/>
      <c r="TTP46" s="478"/>
      <c r="TTQ46" s="478"/>
      <c r="TTR46" s="478"/>
      <c r="TTS46" s="478"/>
      <c r="TTT46" s="478"/>
      <c r="TTU46" s="478"/>
      <c r="TTV46" s="478"/>
      <c r="TTW46" s="478"/>
      <c r="TTX46" s="478"/>
      <c r="TTY46" s="478"/>
      <c r="TTZ46" s="478"/>
      <c r="TUA46" s="478"/>
      <c r="TUB46" s="478"/>
      <c r="TUC46" s="478"/>
      <c r="TUD46" s="478"/>
      <c r="TUE46" s="478"/>
      <c r="TUF46" s="478"/>
      <c r="TUG46" s="478"/>
      <c r="TUH46" s="478"/>
      <c r="TUI46" s="478"/>
      <c r="TUJ46" s="478"/>
      <c r="TUK46" s="478"/>
      <c r="TUL46" s="478"/>
      <c r="TUM46" s="478"/>
      <c r="TUN46" s="478"/>
      <c r="TUO46" s="478"/>
      <c r="TUP46" s="478"/>
      <c r="TUQ46" s="478"/>
      <c r="TUR46" s="478"/>
      <c r="TUS46" s="478"/>
      <c r="TUT46" s="478"/>
      <c r="TUU46" s="478"/>
      <c r="TUV46" s="478"/>
      <c r="TUW46" s="478"/>
      <c r="TUX46" s="478"/>
      <c r="TUY46" s="478"/>
      <c r="TUZ46" s="478"/>
      <c r="TVA46" s="478"/>
      <c r="TVB46" s="478"/>
      <c r="TVC46" s="478"/>
      <c r="TVD46" s="478"/>
      <c r="TVE46" s="478"/>
      <c r="TVF46" s="478"/>
      <c r="TVG46" s="478"/>
      <c r="TVH46" s="478"/>
      <c r="TVI46" s="478"/>
      <c r="TVJ46" s="478"/>
      <c r="TVK46" s="478"/>
      <c r="TVL46" s="478"/>
      <c r="TVM46" s="478"/>
      <c r="TVN46" s="478"/>
      <c r="TVO46" s="478"/>
      <c r="TVP46" s="478"/>
      <c r="TVQ46" s="478"/>
      <c r="TVR46" s="478"/>
      <c r="TVS46" s="478"/>
      <c r="TVT46" s="478"/>
      <c r="TVU46" s="478"/>
      <c r="TVV46" s="478"/>
      <c r="TVW46" s="478"/>
      <c r="TVX46" s="478"/>
      <c r="TVY46" s="478"/>
      <c r="TVZ46" s="478"/>
      <c r="TWA46" s="478"/>
      <c r="TWB46" s="478"/>
      <c r="TWC46" s="478"/>
      <c r="TWD46" s="478"/>
      <c r="TWE46" s="478"/>
      <c r="TWF46" s="478"/>
      <c r="TWG46" s="478"/>
      <c r="TWH46" s="478"/>
      <c r="TWI46" s="478"/>
      <c r="TWJ46" s="478"/>
      <c r="TWK46" s="478"/>
      <c r="TWL46" s="478"/>
      <c r="TWM46" s="478"/>
      <c r="TWN46" s="478"/>
      <c r="TWO46" s="478"/>
      <c r="TWP46" s="478"/>
      <c r="TWQ46" s="478"/>
      <c r="TWR46" s="478"/>
      <c r="TWS46" s="478"/>
      <c r="TWT46" s="478"/>
      <c r="TWU46" s="478"/>
      <c r="TWV46" s="478"/>
      <c r="TWW46" s="478"/>
      <c r="TWX46" s="478"/>
      <c r="TWY46" s="478"/>
      <c r="TWZ46" s="478"/>
      <c r="TXA46" s="478"/>
      <c r="TXB46" s="478"/>
      <c r="TXC46" s="478"/>
      <c r="TXD46" s="478"/>
      <c r="TXE46" s="478"/>
      <c r="TXF46" s="478"/>
      <c r="TXG46" s="478"/>
      <c r="TXH46" s="478"/>
      <c r="TXI46" s="478"/>
      <c r="TXJ46" s="478"/>
      <c r="TXK46" s="478"/>
      <c r="TXL46" s="478"/>
      <c r="TXM46" s="478"/>
      <c r="TXN46" s="478"/>
      <c r="TXO46" s="478"/>
      <c r="TXP46" s="478"/>
      <c r="TXQ46" s="478"/>
      <c r="TXR46" s="478"/>
      <c r="TXS46" s="478"/>
      <c r="TXT46" s="478"/>
      <c r="TXU46" s="478"/>
      <c r="TXV46" s="478"/>
      <c r="TXW46" s="478"/>
      <c r="TXX46" s="478"/>
      <c r="TXY46" s="478"/>
      <c r="TXZ46" s="478"/>
      <c r="TYA46" s="478"/>
      <c r="TYB46" s="478"/>
      <c r="TYC46" s="478"/>
      <c r="TYD46" s="478"/>
      <c r="TYE46" s="478"/>
      <c r="TYF46" s="478"/>
      <c r="TYG46" s="478"/>
      <c r="TYH46" s="478"/>
      <c r="TYI46" s="478"/>
      <c r="TYJ46" s="478"/>
      <c r="TYK46" s="478"/>
      <c r="TYL46" s="478"/>
      <c r="TYM46" s="478"/>
      <c r="TYN46" s="478"/>
      <c r="TYO46" s="478"/>
      <c r="TYP46" s="478"/>
      <c r="TYQ46" s="478"/>
      <c r="TYR46" s="478"/>
      <c r="TYS46" s="478"/>
      <c r="TYT46" s="478"/>
      <c r="TYU46" s="478"/>
      <c r="TYV46" s="478"/>
      <c r="TYW46" s="478"/>
      <c r="TYX46" s="478"/>
      <c r="TYY46" s="478"/>
      <c r="TYZ46" s="478"/>
      <c r="TZA46" s="478"/>
      <c r="TZB46" s="478"/>
      <c r="TZC46" s="478"/>
      <c r="TZD46" s="478"/>
      <c r="TZE46" s="478"/>
      <c r="TZF46" s="478"/>
      <c r="TZG46" s="478"/>
      <c r="TZH46" s="478"/>
      <c r="TZI46" s="478"/>
      <c r="TZJ46" s="478"/>
      <c r="TZK46" s="478"/>
      <c r="TZL46" s="478"/>
      <c r="TZM46" s="478"/>
      <c r="TZN46" s="478"/>
      <c r="TZO46" s="478"/>
      <c r="TZP46" s="478"/>
      <c r="TZQ46" s="478"/>
      <c r="TZR46" s="478"/>
      <c r="TZS46" s="478"/>
      <c r="TZT46" s="478"/>
      <c r="TZU46" s="478"/>
      <c r="TZV46" s="478"/>
      <c r="TZW46" s="478"/>
      <c r="TZX46" s="478"/>
      <c r="TZY46" s="478"/>
      <c r="TZZ46" s="478"/>
      <c r="UAA46" s="478"/>
      <c r="UAB46" s="478"/>
      <c r="UAC46" s="478"/>
      <c r="UAD46" s="478"/>
      <c r="UAE46" s="478"/>
      <c r="UAF46" s="478"/>
      <c r="UAG46" s="478"/>
      <c r="UAH46" s="478"/>
      <c r="UAI46" s="478"/>
      <c r="UAJ46" s="478"/>
      <c r="UAK46" s="478"/>
      <c r="UAL46" s="478"/>
      <c r="UAM46" s="478"/>
      <c r="UAN46" s="478"/>
      <c r="UAO46" s="478"/>
      <c r="UAP46" s="478"/>
      <c r="UAQ46" s="478"/>
      <c r="UAR46" s="478"/>
      <c r="UAS46" s="478"/>
      <c r="UAT46" s="478"/>
      <c r="UAU46" s="478"/>
      <c r="UAV46" s="478"/>
      <c r="UAW46" s="478"/>
      <c r="UAX46" s="478"/>
      <c r="UAY46" s="478"/>
      <c r="UAZ46" s="478"/>
      <c r="UBA46" s="478"/>
      <c r="UBB46" s="478"/>
      <c r="UBC46" s="478"/>
      <c r="UBD46" s="478"/>
      <c r="UBE46" s="478"/>
      <c r="UBF46" s="478"/>
      <c r="UBG46" s="478"/>
      <c r="UBH46" s="478"/>
      <c r="UBI46" s="478"/>
      <c r="UBJ46" s="478"/>
      <c r="UBK46" s="478"/>
      <c r="UBL46" s="478"/>
      <c r="UBM46" s="478"/>
      <c r="UBN46" s="478"/>
      <c r="UBO46" s="478"/>
      <c r="UBP46" s="478"/>
      <c r="UBQ46" s="478"/>
      <c r="UBR46" s="478"/>
      <c r="UBS46" s="478"/>
      <c r="UBT46" s="478"/>
      <c r="UBU46" s="478"/>
      <c r="UBV46" s="478"/>
      <c r="UBW46" s="478"/>
      <c r="UBX46" s="478"/>
      <c r="UBY46" s="478"/>
      <c r="UBZ46" s="478"/>
      <c r="UCA46" s="478"/>
      <c r="UCB46" s="478"/>
      <c r="UCC46" s="478"/>
      <c r="UCD46" s="478"/>
      <c r="UCE46" s="478"/>
      <c r="UCF46" s="478"/>
      <c r="UCG46" s="478"/>
      <c r="UCH46" s="478"/>
      <c r="UCI46" s="478"/>
      <c r="UCJ46" s="478"/>
      <c r="UCK46" s="478"/>
      <c r="UCL46" s="478"/>
      <c r="UCM46" s="478"/>
      <c r="UCN46" s="478"/>
      <c r="UCO46" s="478"/>
      <c r="UCP46" s="478"/>
      <c r="UCQ46" s="478"/>
      <c r="UCR46" s="478"/>
      <c r="UCS46" s="478"/>
      <c r="UCT46" s="478"/>
      <c r="UCU46" s="478"/>
      <c r="UCV46" s="478"/>
      <c r="UCW46" s="478"/>
      <c r="UCX46" s="478"/>
      <c r="UCY46" s="478"/>
      <c r="UCZ46" s="478"/>
      <c r="UDA46" s="478"/>
      <c r="UDB46" s="478"/>
      <c r="UDC46" s="478"/>
      <c r="UDD46" s="478"/>
      <c r="UDE46" s="478"/>
      <c r="UDF46" s="478"/>
      <c r="UDG46" s="478"/>
      <c r="UDH46" s="478"/>
      <c r="UDI46" s="478"/>
      <c r="UDJ46" s="478"/>
      <c r="UDK46" s="478"/>
      <c r="UDL46" s="478"/>
      <c r="UDM46" s="478"/>
      <c r="UDN46" s="478"/>
      <c r="UDO46" s="478"/>
      <c r="UDP46" s="478"/>
      <c r="UDQ46" s="478"/>
      <c r="UDR46" s="478"/>
      <c r="UDS46" s="478"/>
      <c r="UDT46" s="478"/>
      <c r="UDU46" s="478"/>
      <c r="UDV46" s="478"/>
      <c r="UDW46" s="478"/>
      <c r="UDX46" s="478"/>
      <c r="UDY46" s="478"/>
      <c r="UDZ46" s="478"/>
      <c r="UEA46" s="478"/>
      <c r="UEB46" s="478"/>
      <c r="UEC46" s="478"/>
      <c r="UED46" s="478"/>
      <c r="UEE46" s="478"/>
      <c r="UEF46" s="478"/>
      <c r="UEG46" s="478"/>
      <c r="UEH46" s="478"/>
      <c r="UEI46" s="478"/>
      <c r="UEJ46" s="478"/>
      <c r="UEK46" s="478"/>
      <c r="UEL46" s="478"/>
      <c r="UEM46" s="478"/>
      <c r="UEN46" s="478"/>
      <c r="UEO46" s="478"/>
      <c r="UEP46" s="478"/>
      <c r="UEQ46" s="478"/>
      <c r="UER46" s="478"/>
      <c r="UES46" s="478"/>
      <c r="UET46" s="478"/>
      <c r="UEU46" s="478"/>
      <c r="UEV46" s="478"/>
      <c r="UEW46" s="478"/>
      <c r="UEX46" s="478"/>
      <c r="UEY46" s="478"/>
      <c r="UEZ46" s="478"/>
      <c r="UFA46" s="478"/>
      <c r="UFB46" s="478"/>
      <c r="UFC46" s="478"/>
      <c r="UFD46" s="478"/>
      <c r="UFE46" s="478"/>
      <c r="UFF46" s="478"/>
      <c r="UFG46" s="478"/>
      <c r="UFH46" s="478"/>
      <c r="UFI46" s="478"/>
      <c r="UFJ46" s="478"/>
      <c r="UFK46" s="478"/>
      <c r="UFL46" s="478"/>
      <c r="UFM46" s="478"/>
      <c r="UFN46" s="478"/>
      <c r="UFO46" s="478"/>
      <c r="UFP46" s="478"/>
      <c r="UFQ46" s="478"/>
      <c r="UFR46" s="478"/>
      <c r="UFS46" s="478"/>
      <c r="UFT46" s="478"/>
      <c r="UFU46" s="478"/>
      <c r="UFV46" s="478"/>
      <c r="UFW46" s="478"/>
      <c r="UFX46" s="478"/>
      <c r="UFY46" s="478"/>
      <c r="UFZ46" s="478"/>
      <c r="UGA46" s="478"/>
      <c r="UGB46" s="478"/>
      <c r="UGC46" s="478"/>
      <c r="UGD46" s="478"/>
      <c r="UGE46" s="478"/>
      <c r="UGF46" s="478"/>
      <c r="UGG46" s="478"/>
      <c r="UGH46" s="478"/>
      <c r="UGI46" s="478"/>
      <c r="UGJ46" s="478"/>
      <c r="UGK46" s="478"/>
      <c r="UGL46" s="478"/>
      <c r="UGM46" s="478"/>
      <c r="UGN46" s="478"/>
      <c r="UGO46" s="478"/>
      <c r="UGP46" s="478"/>
      <c r="UGQ46" s="478"/>
      <c r="UGR46" s="478"/>
      <c r="UGS46" s="478"/>
      <c r="UGT46" s="478"/>
      <c r="UGU46" s="478"/>
      <c r="UGV46" s="478"/>
      <c r="UGW46" s="478"/>
      <c r="UGX46" s="478"/>
      <c r="UGY46" s="478"/>
      <c r="UGZ46" s="478"/>
      <c r="UHA46" s="478"/>
      <c r="UHB46" s="478"/>
      <c r="UHC46" s="478"/>
      <c r="UHD46" s="478"/>
      <c r="UHE46" s="478"/>
      <c r="UHF46" s="478"/>
      <c r="UHG46" s="478"/>
      <c r="UHH46" s="478"/>
      <c r="UHI46" s="478"/>
      <c r="UHJ46" s="478"/>
      <c r="UHK46" s="478"/>
      <c r="UHL46" s="478"/>
      <c r="UHM46" s="478"/>
      <c r="UHN46" s="478"/>
      <c r="UHO46" s="478"/>
      <c r="UHP46" s="478"/>
      <c r="UHQ46" s="478"/>
      <c r="UHR46" s="478"/>
      <c r="UHS46" s="478"/>
      <c r="UHT46" s="478"/>
      <c r="UHU46" s="478"/>
      <c r="UHV46" s="478"/>
      <c r="UHW46" s="478"/>
      <c r="UHX46" s="478"/>
      <c r="UHY46" s="478"/>
      <c r="UHZ46" s="478"/>
      <c r="UIA46" s="478"/>
      <c r="UIB46" s="478"/>
      <c r="UIC46" s="478"/>
      <c r="UID46" s="478"/>
      <c r="UIE46" s="478"/>
      <c r="UIF46" s="478"/>
      <c r="UIG46" s="478"/>
      <c r="UIH46" s="478"/>
      <c r="UII46" s="478"/>
      <c r="UIJ46" s="478"/>
      <c r="UIK46" s="478"/>
      <c r="UIL46" s="478"/>
      <c r="UIM46" s="478"/>
      <c r="UIN46" s="478"/>
      <c r="UIO46" s="478"/>
      <c r="UIP46" s="478"/>
      <c r="UIQ46" s="478"/>
      <c r="UIR46" s="478"/>
      <c r="UIS46" s="478"/>
      <c r="UIT46" s="478"/>
      <c r="UIU46" s="478"/>
      <c r="UIV46" s="478"/>
      <c r="UIW46" s="478"/>
      <c r="UIX46" s="478"/>
      <c r="UIY46" s="478"/>
      <c r="UIZ46" s="478"/>
      <c r="UJA46" s="478"/>
      <c r="UJB46" s="478"/>
      <c r="UJC46" s="478"/>
      <c r="UJD46" s="478"/>
      <c r="UJE46" s="478"/>
      <c r="UJF46" s="478"/>
      <c r="UJG46" s="478"/>
      <c r="UJH46" s="478"/>
      <c r="UJI46" s="478"/>
      <c r="UJJ46" s="478"/>
      <c r="UJK46" s="478"/>
      <c r="UJL46" s="478"/>
      <c r="UJM46" s="478"/>
      <c r="UJN46" s="478"/>
      <c r="UJO46" s="478"/>
      <c r="UJP46" s="478"/>
      <c r="UJQ46" s="478"/>
      <c r="UJR46" s="478"/>
      <c r="UJS46" s="478"/>
      <c r="UJT46" s="478"/>
      <c r="UJU46" s="478"/>
      <c r="UJV46" s="478"/>
      <c r="UJW46" s="478"/>
      <c r="UJX46" s="478"/>
      <c r="UJY46" s="478"/>
      <c r="UJZ46" s="478"/>
      <c r="UKA46" s="478"/>
      <c r="UKB46" s="478"/>
      <c r="UKC46" s="478"/>
      <c r="UKD46" s="478"/>
      <c r="UKE46" s="478"/>
      <c r="UKF46" s="478"/>
      <c r="UKG46" s="478"/>
      <c r="UKH46" s="478"/>
      <c r="UKI46" s="478"/>
      <c r="UKJ46" s="478"/>
      <c r="UKK46" s="478"/>
      <c r="UKL46" s="478"/>
      <c r="UKM46" s="478"/>
      <c r="UKN46" s="478"/>
      <c r="UKO46" s="478"/>
      <c r="UKP46" s="478"/>
      <c r="UKQ46" s="478"/>
      <c r="UKR46" s="478"/>
      <c r="UKS46" s="478"/>
      <c r="UKT46" s="478"/>
      <c r="UKU46" s="478"/>
      <c r="UKV46" s="478"/>
      <c r="UKW46" s="478"/>
      <c r="UKX46" s="478"/>
      <c r="UKY46" s="478"/>
      <c r="UKZ46" s="478"/>
      <c r="ULA46" s="478"/>
      <c r="ULB46" s="478"/>
      <c r="ULC46" s="478"/>
      <c r="ULD46" s="478"/>
      <c r="ULE46" s="478"/>
      <c r="ULF46" s="478"/>
      <c r="ULG46" s="478"/>
      <c r="ULH46" s="478"/>
      <c r="ULI46" s="478"/>
      <c r="ULJ46" s="478"/>
      <c r="ULK46" s="478"/>
      <c r="ULL46" s="478"/>
      <c r="ULM46" s="478"/>
      <c r="ULN46" s="478"/>
      <c r="ULO46" s="478"/>
      <c r="ULP46" s="478"/>
      <c r="ULQ46" s="478"/>
      <c r="ULR46" s="478"/>
      <c r="ULS46" s="478"/>
      <c r="ULT46" s="478"/>
      <c r="ULU46" s="478"/>
      <c r="ULV46" s="478"/>
      <c r="ULW46" s="478"/>
      <c r="ULX46" s="478"/>
      <c r="ULY46" s="478"/>
      <c r="ULZ46" s="478"/>
      <c r="UMA46" s="478"/>
      <c r="UMB46" s="478"/>
      <c r="UMC46" s="478"/>
      <c r="UMD46" s="478"/>
      <c r="UME46" s="478"/>
      <c r="UMF46" s="478"/>
      <c r="UMG46" s="478"/>
      <c r="UMH46" s="478"/>
      <c r="UMI46" s="478"/>
      <c r="UMJ46" s="478"/>
      <c r="UMK46" s="478"/>
      <c r="UML46" s="478"/>
      <c r="UMM46" s="478"/>
      <c r="UMN46" s="478"/>
      <c r="UMO46" s="478"/>
      <c r="UMP46" s="478"/>
      <c r="UMQ46" s="478"/>
      <c r="UMR46" s="478"/>
      <c r="UMS46" s="478"/>
      <c r="UMT46" s="478"/>
      <c r="UMU46" s="478"/>
      <c r="UMV46" s="478"/>
      <c r="UMW46" s="478"/>
      <c r="UMX46" s="478"/>
      <c r="UMY46" s="478"/>
      <c r="UMZ46" s="478"/>
      <c r="UNA46" s="478"/>
      <c r="UNB46" s="478"/>
      <c r="UNC46" s="478"/>
      <c r="UND46" s="478"/>
      <c r="UNE46" s="478"/>
      <c r="UNF46" s="478"/>
      <c r="UNG46" s="478"/>
      <c r="UNH46" s="478"/>
      <c r="UNI46" s="478"/>
      <c r="UNJ46" s="478"/>
      <c r="UNK46" s="478"/>
      <c r="UNL46" s="478"/>
      <c r="UNM46" s="478"/>
      <c r="UNN46" s="478"/>
      <c r="UNO46" s="478"/>
      <c r="UNP46" s="478"/>
      <c r="UNQ46" s="478"/>
      <c r="UNR46" s="478"/>
      <c r="UNS46" s="478"/>
      <c r="UNT46" s="478"/>
      <c r="UNU46" s="478"/>
      <c r="UNV46" s="478"/>
      <c r="UNW46" s="478"/>
      <c r="UNX46" s="478"/>
      <c r="UNY46" s="478"/>
      <c r="UNZ46" s="478"/>
      <c r="UOA46" s="478"/>
      <c r="UOB46" s="478"/>
      <c r="UOC46" s="478"/>
      <c r="UOD46" s="478"/>
      <c r="UOE46" s="478"/>
      <c r="UOF46" s="478"/>
      <c r="UOG46" s="478"/>
      <c r="UOH46" s="478"/>
      <c r="UOI46" s="478"/>
      <c r="UOJ46" s="478"/>
      <c r="UOK46" s="478"/>
      <c r="UOL46" s="478"/>
      <c r="UOM46" s="478"/>
      <c r="UON46" s="478"/>
      <c r="UOO46" s="478"/>
      <c r="UOP46" s="478"/>
      <c r="UOQ46" s="478"/>
      <c r="UOR46" s="478"/>
      <c r="UOS46" s="478"/>
      <c r="UOT46" s="478"/>
      <c r="UOU46" s="478"/>
      <c r="UOV46" s="478"/>
      <c r="UOW46" s="478"/>
      <c r="UOX46" s="478"/>
      <c r="UOY46" s="478"/>
      <c r="UOZ46" s="478"/>
      <c r="UPA46" s="478"/>
      <c r="UPB46" s="478"/>
      <c r="UPC46" s="478"/>
      <c r="UPD46" s="478"/>
      <c r="UPE46" s="478"/>
      <c r="UPF46" s="478"/>
      <c r="UPG46" s="478"/>
      <c r="UPH46" s="478"/>
      <c r="UPI46" s="478"/>
      <c r="UPJ46" s="478"/>
      <c r="UPK46" s="478"/>
      <c r="UPL46" s="478"/>
      <c r="UPM46" s="478"/>
      <c r="UPN46" s="478"/>
      <c r="UPO46" s="478"/>
      <c r="UPP46" s="478"/>
      <c r="UPQ46" s="478"/>
      <c r="UPR46" s="478"/>
      <c r="UPS46" s="478"/>
      <c r="UPT46" s="478"/>
      <c r="UPU46" s="478"/>
      <c r="UPV46" s="478"/>
      <c r="UPW46" s="478"/>
      <c r="UPX46" s="478"/>
      <c r="UPY46" s="478"/>
      <c r="UPZ46" s="478"/>
      <c r="UQA46" s="478"/>
      <c r="UQB46" s="478"/>
      <c r="UQC46" s="478"/>
      <c r="UQD46" s="478"/>
      <c r="UQE46" s="478"/>
      <c r="UQF46" s="478"/>
      <c r="UQG46" s="478"/>
      <c r="UQH46" s="478"/>
      <c r="UQI46" s="478"/>
      <c r="UQJ46" s="478"/>
      <c r="UQK46" s="478"/>
      <c r="UQL46" s="478"/>
      <c r="UQM46" s="478"/>
      <c r="UQN46" s="478"/>
      <c r="UQO46" s="478"/>
      <c r="UQP46" s="478"/>
      <c r="UQQ46" s="478"/>
      <c r="UQR46" s="478"/>
      <c r="UQS46" s="478"/>
      <c r="UQT46" s="478"/>
      <c r="UQU46" s="478"/>
      <c r="UQV46" s="478"/>
      <c r="UQW46" s="478"/>
      <c r="UQX46" s="478"/>
      <c r="UQY46" s="478"/>
      <c r="UQZ46" s="478"/>
      <c r="URA46" s="478"/>
      <c r="URB46" s="478"/>
      <c r="URC46" s="478"/>
      <c r="URD46" s="478"/>
      <c r="URE46" s="478"/>
      <c r="URF46" s="478"/>
      <c r="URG46" s="478"/>
      <c r="URH46" s="478"/>
      <c r="URI46" s="478"/>
      <c r="URJ46" s="478"/>
      <c r="URK46" s="478"/>
      <c r="URL46" s="478"/>
      <c r="URM46" s="478"/>
      <c r="URN46" s="478"/>
      <c r="URO46" s="478"/>
      <c r="URP46" s="478"/>
      <c r="URQ46" s="478"/>
      <c r="URR46" s="478"/>
      <c r="URS46" s="478"/>
      <c r="URT46" s="478"/>
      <c r="URU46" s="478"/>
      <c r="URV46" s="478"/>
      <c r="URW46" s="478"/>
      <c r="URX46" s="478"/>
      <c r="URY46" s="478"/>
      <c r="URZ46" s="478"/>
      <c r="USA46" s="478"/>
      <c r="USB46" s="478"/>
      <c r="USC46" s="478"/>
      <c r="USD46" s="478"/>
      <c r="USE46" s="478"/>
      <c r="USF46" s="478"/>
      <c r="USG46" s="478"/>
      <c r="USH46" s="478"/>
      <c r="USI46" s="478"/>
      <c r="USJ46" s="478"/>
      <c r="USK46" s="478"/>
      <c r="USL46" s="478"/>
      <c r="USM46" s="478"/>
      <c r="USN46" s="478"/>
      <c r="USO46" s="478"/>
      <c r="USP46" s="478"/>
      <c r="USQ46" s="478"/>
      <c r="USR46" s="478"/>
      <c r="USS46" s="478"/>
      <c r="UST46" s="478"/>
      <c r="USU46" s="478"/>
      <c r="USV46" s="478"/>
      <c r="USW46" s="478"/>
      <c r="USX46" s="478"/>
      <c r="USY46" s="478"/>
      <c r="USZ46" s="478"/>
      <c r="UTA46" s="478"/>
      <c r="UTB46" s="478"/>
      <c r="UTC46" s="478"/>
      <c r="UTD46" s="478"/>
      <c r="UTE46" s="478"/>
      <c r="UTF46" s="478"/>
      <c r="UTG46" s="478"/>
      <c r="UTH46" s="478"/>
      <c r="UTI46" s="478"/>
      <c r="UTJ46" s="478"/>
      <c r="UTK46" s="478"/>
      <c r="UTL46" s="478"/>
      <c r="UTM46" s="478"/>
      <c r="UTN46" s="478"/>
      <c r="UTO46" s="478"/>
      <c r="UTP46" s="478"/>
      <c r="UTQ46" s="478"/>
      <c r="UTR46" s="478"/>
      <c r="UTS46" s="478"/>
      <c r="UTT46" s="478"/>
      <c r="UTU46" s="478"/>
      <c r="UTV46" s="478"/>
      <c r="UTW46" s="478"/>
      <c r="UTX46" s="478"/>
      <c r="UTY46" s="478"/>
      <c r="UTZ46" s="478"/>
      <c r="UUA46" s="478"/>
      <c r="UUB46" s="478"/>
      <c r="UUC46" s="478"/>
      <c r="UUD46" s="478"/>
      <c r="UUE46" s="478"/>
      <c r="UUF46" s="478"/>
      <c r="UUG46" s="478"/>
      <c r="UUH46" s="478"/>
      <c r="UUI46" s="478"/>
      <c r="UUJ46" s="478"/>
      <c r="UUK46" s="478"/>
      <c r="UUL46" s="478"/>
      <c r="UUM46" s="478"/>
      <c r="UUN46" s="478"/>
      <c r="UUO46" s="478"/>
      <c r="UUP46" s="478"/>
      <c r="UUQ46" s="478"/>
      <c r="UUR46" s="478"/>
      <c r="UUS46" s="478"/>
      <c r="UUT46" s="478"/>
      <c r="UUU46" s="478"/>
      <c r="UUV46" s="478"/>
      <c r="UUW46" s="478"/>
      <c r="UUX46" s="478"/>
      <c r="UUY46" s="478"/>
      <c r="UUZ46" s="478"/>
      <c r="UVA46" s="478"/>
      <c r="UVB46" s="478"/>
      <c r="UVC46" s="478"/>
      <c r="UVD46" s="478"/>
      <c r="UVE46" s="478"/>
      <c r="UVF46" s="478"/>
      <c r="UVG46" s="478"/>
      <c r="UVH46" s="478"/>
      <c r="UVI46" s="478"/>
      <c r="UVJ46" s="478"/>
      <c r="UVK46" s="478"/>
      <c r="UVL46" s="478"/>
      <c r="UVM46" s="478"/>
      <c r="UVN46" s="478"/>
      <c r="UVO46" s="478"/>
      <c r="UVP46" s="478"/>
      <c r="UVQ46" s="478"/>
      <c r="UVR46" s="478"/>
      <c r="UVS46" s="478"/>
      <c r="UVT46" s="478"/>
      <c r="UVU46" s="478"/>
      <c r="UVV46" s="478"/>
      <c r="UVW46" s="478"/>
      <c r="UVX46" s="478"/>
      <c r="UVY46" s="478"/>
      <c r="UVZ46" s="478"/>
      <c r="UWA46" s="478"/>
      <c r="UWB46" s="478"/>
      <c r="UWC46" s="478"/>
      <c r="UWD46" s="478"/>
      <c r="UWE46" s="478"/>
      <c r="UWF46" s="478"/>
      <c r="UWG46" s="478"/>
      <c r="UWH46" s="478"/>
      <c r="UWI46" s="478"/>
      <c r="UWJ46" s="478"/>
      <c r="UWK46" s="478"/>
      <c r="UWL46" s="478"/>
      <c r="UWM46" s="478"/>
      <c r="UWN46" s="478"/>
      <c r="UWO46" s="478"/>
      <c r="UWP46" s="478"/>
      <c r="UWQ46" s="478"/>
      <c r="UWR46" s="478"/>
      <c r="UWS46" s="478"/>
      <c r="UWT46" s="478"/>
      <c r="UWU46" s="478"/>
      <c r="UWV46" s="478"/>
      <c r="UWW46" s="478"/>
      <c r="UWX46" s="478"/>
      <c r="UWY46" s="478"/>
      <c r="UWZ46" s="478"/>
      <c r="UXA46" s="478"/>
      <c r="UXB46" s="478"/>
      <c r="UXC46" s="478"/>
      <c r="UXD46" s="478"/>
      <c r="UXE46" s="478"/>
      <c r="UXF46" s="478"/>
      <c r="UXG46" s="478"/>
      <c r="UXH46" s="478"/>
      <c r="UXI46" s="478"/>
      <c r="UXJ46" s="478"/>
      <c r="UXK46" s="478"/>
      <c r="UXL46" s="478"/>
      <c r="UXM46" s="478"/>
      <c r="UXN46" s="478"/>
      <c r="UXO46" s="478"/>
      <c r="UXP46" s="478"/>
      <c r="UXQ46" s="478"/>
      <c r="UXR46" s="478"/>
      <c r="UXS46" s="478"/>
      <c r="UXT46" s="478"/>
      <c r="UXU46" s="478"/>
      <c r="UXV46" s="478"/>
      <c r="UXW46" s="478"/>
      <c r="UXX46" s="478"/>
      <c r="UXY46" s="478"/>
      <c r="UXZ46" s="478"/>
      <c r="UYA46" s="478"/>
      <c r="UYB46" s="478"/>
      <c r="UYC46" s="478"/>
      <c r="UYD46" s="478"/>
      <c r="UYE46" s="478"/>
      <c r="UYF46" s="478"/>
      <c r="UYG46" s="478"/>
      <c r="UYH46" s="478"/>
      <c r="UYI46" s="478"/>
      <c r="UYJ46" s="478"/>
      <c r="UYK46" s="478"/>
      <c r="UYL46" s="478"/>
      <c r="UYM46" s="478"/>
      <c r="UYN46" s="478"/>
      <c r="UYO46" s="478"/>
      <c r="UYP46" s="478"/>
      <c r="UYQ46" s="478"/>
      <c r="UYR46" s="478"/>
      <c r="UYS46" s="478"/>
      <c r="UYT46" s="478"/>
      <c r="UYU46" s="478"/>
      <c r="UYV46" s="478"/>
      <c r="UYW46" s="478"/>
      <c r="UYX46" s="478"/>
      <c r="UYY46" s="478"/>
      <c r="UYZ46" s="478"/>
      <c r="UZA46" s="478"/>
      <c r="UZB46" s="478"/>
      <c r="UZC46" s="478"/>
      <c r="UZD46" s="478"/>
      <c r="UZE46" s="478"/>
      <c r="UZF46" s="478"/>
      <c r="UZG46" s="478"/>
      <c r="UZH46" s="478"/>
      <c r="UZI46" s="478"/>
      <c r="UZJ46" s="478"/>
      <c r="UZK46" s="478"/>
      <c r="UZL46" s="478"/>
      <c r="UZM46" s="478"/>
      <c r="UZN46" s="478"/>
      <c r="UZO46" s="478"/>
      <c r="UZP46" s="478"/>
      <c r="UZQ46" s="478"/>
      <c r="UZR46" s="478"/>
      <c r="UZS46" s="478"/>
      <c r="UZT46" s="478"/>
      <c r="UZU46" s="478"/>
      <c r="UZV46" s="478"/>
      <c r="UZW46" s="478"/>
      <c r="UZX46" s="478"/>
      <c r="UZY46" s="478"/>
      <c r="UZZ46" s="478"/>
      <c r="VAA46" s="478"/>
      <c r="VAB46" s="478"/>
      <c r="VAC46" s="478"/>
      <c r="VAD46" s="478"/>
      <c r="VAE46" s="478"/>
      <c r="VAF46" s="478"/>
      <c r="VAG46" s="478"/>
      <c r="VAH46" s="478"/>
      <c r="VAI46" s="478"/>
      <c r="VAJ46" s="478"/>
      <c r="VAK46" s="478"/>
      <c r="VAL46" s="478"/>
      <c r="VAM46" s="478"/>
      <c r="VAN46" s="478"/>
      <c r="VAO46" s="478"/>
      <c r="VAP46" s="478"/>
      <c r="VAQ46" s="478"/>
      <c r="VAR46" s="478"/>
      <c r="VAS46" s="478"/>
      <c r="VAT46" s="478"/>
      <c r="VAU46" s="478"/>
      <c r="VAV46" s="478"/>
      <c r="VAW46" s="478"/>
      <c r="VAX46" s="478"/>
      <c r="VAY46" s="478"/>
      <c r="VAZ46" s="478"/>
      <c r="VBA46" s="478"/>
      <c r="VBB46" s="478"/>
      <c r="VBC46" s="478"/>
      <c r="VBD46" s="478"/>
      <c r="VBE46" s="478"/>
      <c r="VBF46" s="478"/>
      <c r="VBG46" s="478"/>
      <c r="VBH46" s="478"/>
      <c r="VBI46" s="478"/>
      <c r="VBJ46" s="478"/>
      <c r="VBK46" s="478"/>
      <c r="VBL46" s="478"/>
      <c r="VBM46" s="478"/>
      <c r="VBN46" s="478"/>
      <c r="VBO46" s="478"/>
      <c r="VBP46" s="478"/>
      <c r="VBQ46" s="478"/>
      <c r="VBR46" s="478"/>
      <c r="VBS46" s="478"/>
      <c r="VBT46" s="478"/>
      <c r="VBU46" s="478"/>
      <c r="VBV46" s="478"/>
      <c r="VBW46" s="478"/>
      <c r="VBX46" s="478"/>
      <c r="VBY46" s="478"/>
      <c r="VBZ46" s="478"/>
      <c r="VCA46" s="478"/>
      <c r="VCB46" s="478"/>
      <c r="VCC46" s="478"/>
      <c r="VCD46" s="478"/>
      <c r="VCE46" s="478"/>
      <c r="VCF46" s="478"/>
      <c r="VCG46" s="478"/>
      <c r="VCH46" s="478"/>
      <c r="VCI46" s="478"/>
      <c r="VCJ46" s="478"/>
      <c r="VCK46" s="478"/>
      <c r="VCL46" s="478"/>
      <c r="VCM46" s="478"/>
      <c r="VCN46" s="478"/>
      <c r="VCO46" s="478"/>
      <c r="VCP46" s="478"/>
      <c r="VCQ46" s="478"/>
      <c r="VCR46" s="478"/>
      <c r="VCS46" s="478"/>
      <c r="VCT46" s="478"/>
      <c r="VCU46" s="478"/>
      <c r="VCV46" s="478"/>
      <c r="VCW46" s="478"/>
      <c r="VCX46" s="478"/>
      <c r="VCY46" s="478"/>
      <c r="VCZ46" s="478"/>
      <c r="VDA46" s="478"/>
      <c r="VDB46" s="478"/>
      <c r="VDC46" s="478"/>
      <c r="VDD46" s="478"/>
      <c r="VDE46" s="478"/>
      <c r="VDF46" s="478"/>
      <c r="VDG46" s="478"/>
      <c r="VDH46" s="478"/>
      <c r="VDI46" s="478"/>
      <c r="VDJ46" s="478"/>
      <c r="VDK46" s="478"/>
      <c r="VDL46" s="478"/>
      <c r="VDM46" s="478"/>
      <c r="VDN46" s="478"/>
      <c r="VDO46" s="478"/>
      <c r="VDP46" s="478"/>
      <c r="VDQ46" s="478"/>
      <c r="VDR46" s="478"/>
      <c r="VDS46" s="478"/>
      <c r="VDT46" s="478"/>
      <c r="VDU46" s="478"/>
      <c r="VDV46" s="478"/>
      <c r="VDW46" s="478"/>
      <c r="VDX46" s="478"/>
      <c r="VDY46" s="478"/>
      <c r="VDZ46" s="478"/>
      <c r="VEA46" s="478"/>
      <c r="VEB46" s="478"/>
      <c r="VEC46" s="478"/>
      <c r="VED46" s="478"/>
      <c r="VEE46" s="478"/>
      <c r="VEF46" s="478"/>
      <c r="VEG46" s="478"/>
      <c r="VEH46" s="478"/>
      <c r="VEI46" s="478"/>
      <c r="VEJ46" s="478"/>
      <c r="VEK46" s="478"/>
      <c r="VEL46" s="478"/>
      <c r="VEM46" s="478"/>
      <c r="VEN46" s="478"/>
      <c r="VEO46" s="478"/>
      <c r="VEP46" s="478"/>
      <c r="VEQ46" s="478"/>
      <c r="VER46" s="478"/>
      <c r="VES46" s="478"/>
      <c r="VET46" s="478"/>
      <c r="VEU46" s="478"/>
      <c r="VEV46" s="478"/>
      <c r="VEW46" s="478"/>
      <c r="VEX46" s="478"/>
      <c r="VEY46" s="478"/>
      <c r="VEZ46" s="478"/>
      <c r="VFA46" s="478"/>
      <c r="VFB46" s="478"/>
      <c r="VFC46" s="478"/>
      <c r="VFD46" s="478"/>
      <c r="VFE46" s="478"/>
      <c r="VFF46" s="478"/>
      <c r="VFG46" s="478"/>
      <c r="VFH46" s="478"/>
      <c r="VFI46" s="478"/>
      <c r="VFJ46" s="478"/>
      <c r="VFK46" s="478"/>
      <c r="VFL46" s="478"/>
      <c r="VFM46" s="478"/>
      <c r="VFN46" s="478"/>
      <c r="VFO46" s="478"/>
      <c r="VFP46" s="478"/>
      <c r="VFQ46" s="478"/>
      <c r="VFR46" s="478"/>
      <c r="VFS46" s="478"/>
      <c r="VFT46" s="478"/>
      <c r="VFU46" s="478"/>
      <c r="VFV46" s="478"/>
      <c r="VFW46" s="478"/>
      <c r="VFX46" s="478"/>
      <c r="VFY46" s="478"/>
      <c r="VFZ46" s="478"/>
      <c r="VGA46" s="478"/>
      <c r="VGB46" s="478"/>
      <c r="VGC46" s="478"/>
      <c r="VGD46" s="478"/>
      <c r="VGE46" s="478"/>
      <c r="VGF46" s="478"/>
      <c r="VGG46" s="478"/>
      <c r="VGH46" s="478"/>
      <c r="VGI46" s="478"/>
      <c r="VGJ46" s="478"/>
      <c r="VGK46" s="478"/>
      <c r="VGL46" s="478"/>
      <c r="VGM46" s="478"/>
      <c r="VGN46" s="478"/>
      <c r="VGO46" s="478"/>
      <c r="VGP46" s="478"/>
      <c r="VGQ46" s="478"/>
      <c r="VGR46" s="478"/>
      <c r="VGS46" s="478"/>
      <c r="VGT46" s="478"/>
      <c r="VGU46" s="478"/>
      <c r="VGV46" s="478"/>
      <c r="VGW46" s="478"/>
      <c r="VGX46" s="478"/>
      <c r="VGY46" s="478"/>
      <c r="VGZ46" s="478"/>
      <c r="VHA46" s="478"/>
      <c r="VHB46" s="478"/>
      <c r="VHC46" s="478"/>
      <c r="VHD46" s="478"/>
      <c r="VHE46" s="478"/>
      <c r="VHF46" s="478"/>
      <c r="VHG46" s="478"/>
      <c r="VHH46" s="478"/>
      <c r="VHI46" s="478"/>
      <c r="VHJ46" s="478"/>
      <c r="VHK46" s="478"/>
      <c r="VHL46" s="478"/>
      <c r="VHM46" s="478"/>
      <c r="VHN46" s="478"/>
      <c r="VHO46" s="478"/>
      <c r="VHP46" s="478"/>
      <c r="VHQ46" s="478"/>
      <c r="VHR46" s="478"/>
      <c r="VHS46" s="478"/>
      <c r="VHT46" s="478"/>
      <c r="VHU46" s="478"/>
      <c r="VHV46" s="478"/>
      <c r="VHW46" s="478"/>
      <c r="VHX46" s="478"/>
      <c r="VHY46" s="478"/>
      <c r="VHZ46" s="478"/>
      <c r="VIA46" s="478"/>
      <c r="VIB46" s="478"/>
      <c r="VIC46" s="478"/>
      <c r="VID46" s="478"/>
      <c r="VIE46" s="478"/>
      <c r="VIF46" s="478"/>
      <c r="VIG46" s="478"/>
      <c r="VIH46" s="478"/>
      <c r="VII46" s="478"/>
      <c r="VIJ46" s="478"/>
      <c r="VIK46" s="478"/>
      <c r="VIL46" s="478"/>
      <c r="VIM46" s="478"/>
      <c r="VIN46" s="478"/>
      <c r="VIO46" s="478"/>
      <c r="VIP46" s="478"/>
      <c r="VIQ46" s="478"/>
      <c r="VIR46" s="478"/>
      <c r="VIS46" s="478"/>
      <c r="VIT46" s="478"/>
      <c r="VIU46" s="478"/>
      <c r="VIV46" s="478"/>
      <c r="VIW46" s="478"/>
      <c r="VIX46" s="478"/>
      <c r="VIY46" s="478"/>
      <c r="VIZ46" s="478"/>
      <c r="VJA46" s="478"/>
      <c r="VJB46" s="478"/>
      <c r="VJC46" s="478"/>
      <c r="VJD46" s="478"/>
      <c r="VJE46" s="478"/>
      <c r="VJF46" s="478"/>
      <c r="VJG46" s="478"/>
      <c r="VJH46" s="478"/>
      <c r="VJI46" s="478"/>
      <c r="VJJ46" s="478"/>
      <c r="VJK46" s="478"/>
      <c r="VJL46" s="478"/>
      <c r="VJM46" s="478"/>
      <c r="VJN46" s="478"/>
      <c r="VJO46" s="478"/>
      <c r="VJP46" s="478"/>
      <c r="VJQ46" s="478"/>
      <c r="VJR46" s="478"/>
      <c r="VJS46" s="478"/>
      <c r="VJT46" s="478"/>
      <c r="VJU46" s="478"/>
      <c r="VJV46" s="478"/>
      <c r="VJW46" s="478"/>
      <c r="VJX46" s="478"/>
      <c r="VJY46" s="478"/>
      <c r="VJZ46" s="478"/>
      <c r="VKA46" s="478"/>
      <c r="VKB46" s="478"/>
      <c r="VKC46" s="478"/>
      <c r="VKD46" s="478"/>
      <c r="VKE46" s="478"/>
      <c r="VKF46" s="478"/>
      <c r="VKG46" s="478"/>
      <c r="VKH46" s="478"/>
      <c r="VKI46" s="478"/>
      <c r="VKJ46" s="478"/>
      <c r="VKK46" s="478"/>
      <c r="VKL46" s="478"/>
      <c r="VKM46" s="478"/>
      <c r="VKN46" s="478"/>
      <c r="VKO46" s="478"/>
      <c r="VKP46" s="478"/>
      <c r="VKQ46" s="478"/>
      <c r="VKR46" s="478"/>
      <c r="VKS46" s="478"/>
      <c r="VKT46" s="478"/>
      <c r="VKU46" s="478"/>
      <c r="VKV46" s="478"/>
      <c r="VKW46" s="478"/>
      <c r="VKX46" s="478"/>
      <c r="VKY46" s="478"/>
      <c r="VKZ46" s="478"/>
      <c r="VLA46" s="478"/>
      <c r="VLB46" s="478"/>
      <c r="VLC46" s="478"/>
      <c r="VLD46" s="478"/>
      <c r="VLE46" s="478"/>
      <c r="VLF46" s="478"/>
      <c r="VLG46" s="478"/>
      <c r="VLH46" s="478"/>
      <c r="VLI46" s="478"/>
      <c r="VLJ46" s="478"/>
      <c r="VLK46" s="478"/>
      <c r="VLL46" s="478"/>
      <c r="VLM46" s="478"/>
      <c r="VLN46" s="478"/>
      <c r="VLO46" s="478"/>
      <c r="VLP46" s="478"/>
      <c r="VLQ46" s="478"/>
      <c r="VLR46" s="478"/>
      <c r="VLS46" s="478"/>
      <c r="VLT46" s="478"/>
      <c r="VLU46" s="478"/>
      <c r="VLV46" s="478"/>
      <c r="VLW46" s="478"/>
      <c r="VLX46" s="478"/>
      <c r="VLY46" s="478"/>
      <c r="VLZ46" s="478"/>
      <c r="VMA46" s="478"/>
      <c r="VMB46" s="478"/>
      <c r="VMC46" s="478"/>
      <c r="VMD46" s="478"/>
      <c r="VME46" s="478"/>
      <c r="VMF46" s="478"/>
      <c r="VMG46" s="478"/>
      <c r="VMH46" s="478"/>
      <c r="VMI46" s="478"/>
      <c r="VMJ46" s="478"/>
      <c r="VMK46" s="478"/>
      <c r="VML46" s="478"/>
      <c r="VMM46" s="478"/>
      <c r="VMN46" s="478"/>
      <c r="VMO46" s="478"/>
      <c r="VMP46" s="478"/>
      <c r="VMQ46" s="478"/>
      <c r="VMR46" s="478"/>
      <c r="VMS46" s="478"/>
      <c r="VMT46" s="478"/>
      <c r="VMU46" s="478"/>
      <c r="VMV46" s="478"/>
      <c r="VMW46" s="478"/>
      <c r="VMX46" s="478"/>
      <c r="VMY46" s="478"/>
      <c r="VMZ46" s="478"/>
      <c r="VNA46" s="478"/>
      <c r="VNB46" s="478"/>
      <c r="VNC46" s="478"/>
      <c r="VND46" s="478"/>
      <c r="VNE46" s="478"/>
      <c r="VNF46" s="478"/>
      <c r="VNG46" s="478"/>
      <c r="VNH46" s="478"/>
      <c r="VNI46" s="478"/>
      <c r="VNJ46" s="478"/>
      <c r="VNK46" s="478"/>
      <c r="VNL46" s="478"/>
      <c r="VNM46" s="478"/>
      <c r="VNN46" s="478"/>
      <c r="VNO46" s="478"/>
      <c r="VNP46" s="478"/>
      <c r="VNQ46" s="478"/>
      <c r="VNR46" s="478"/>
      <c r="VNS46" s="478"/>
      <c r="VNT46" s="478"/>
      <c r="VNU46" s="478"/>
      <c r="VNV46" s="478"/>
      <c r="VNW46" s="478"/>
      <c r="VNX46" s="478"/>
      <c r="VNY46" s="478"/>
      <c r="VNZ46" s="478"/>
      <c r="VOA46" s="478"/>
      <c r="VOB46" s="478"/>
      <c r="VOC46" s="478"/>
      <c r="VOD46" s="478"/>
      <c r="VOE46" s="478"/>
      <c r="VOF46" s="478"/>
      <c r="VOG46" s="478"/>
      <c r="VOH46" s="478"/>
      <c r="VOI46" s="478"/>
      <c r="VOJ46" s="478"/>
      <c r="VOK46" s="478"/>
      <c r="VOL46" s="478"/>
      <c r="VOM46" s="478"/>
      <c r="VON46" s="478"/>
      <c r="VOO46" s="478"/>
      <c r="VOP46" s="478"/>
      <c r="VOQ46" s="478"/>
      <c r="VOR46" s="478"/>
      <c r="VOS46" s="478"/>
      <c r="VOT46" s="478"/>
      <c r="VOU46" s="478"/>
      <c r="VOV46" s="478"/>
      <c r="VOW46" s="478"/>
      <c r="VOX46" s="478"/>
      <c r="VOY46" s="478"/>
      <c r="VOZ46" s="478"/>
      <c r="VPA46" s="478"/>
      <c r="VPB46" s="478"/>
      <c r="VPC46" s="478"/>
      <c r="VPD46" s="478"/>
      <c r="VPE46" s="478"/>
      <c r="VPF46" s="478"/>
      <c r="VPG46" s="478"/>
      <c r="VPH46" s="478"/>
      <c r="VPI46" s="478"/>
      <c r="VPJ46" s="478"/>
      <c r="VPK46" s="478"/>
      <c r="VPL46" s="478"/>
      <c r="VPM46" s="478"/>
      <c r="VPN46" s="478"/>
      <c r="VPO46" s="478"/>
      <c r="VPP46" s="478"/>
      <c r="VPQ46" s="478"/>
      <c r="VPR46" s="478"/>
      <c r="VPS46" s="478"/>
      <c r="VPT46" s="478"/>
      <c r="VPU46" s="478"/>
      <c r="VPV46" s="478"/>
      <c r="VPW46" s="478"/>
      <c r="VPX46" s="478"/>
      <c r="VPY46" s="478"/>
      <c r="VPZ46" s="478"/>
      <c r="VQA46" s="478"/>
      <c r="VQB46" s="478"/>
      <c r="VQC46" s="478"/>
      <c r="VQD46" s="478"/>
      <c r="VQE46" s="478"/>
      <c r="VQF46" s="478"/>
      <c r="VQG46" s="478"/>
      <c r="VQH46" s="478"/>
      <c r="VQI46" s="478"/>
      <c r="VQJ46" s="478"/>
      <c r="VQK46" s="478"/>
      <c r="VQL46" s="478"/>
      <c r="VQM46" s="478"/>
      <c r="VQN46" s="478"/>
      <c r="VQO46" s="478"/>
      <c r="VQP46" s="478"/>
      <c r="VQQ46" s="478"/>
      <c r="VQR46" s="478"/>
      <c r="VQS46" s="478"/>
      <c r="VQT46" s="478"/>
      <c r="VQU46" s="478"/>
      <c r="VQV46" s="478"/>
      <c r="VQW46" s="478"/>
      <c r="VQX46" s="478"/>
      <c r="VQY46" s="478"/>
      <c r="VQZ46" s="478"/>
      <c r="VRA46" s="478"/>
      <c r="VRB46" s="478"/>
      <c r="VRC46" s="478"/>
      <c r="VRD46" s="478"/>
      <c r="VRE46" s="478"/>
      <c r="VRF46" s="478"/>
      <c r="VRG46" s="478"/>
      <c r="VRH46" s="478"/>
      <c r="VRI46" s="478"/>
      <c r="VRJ46" s="478"/>
      <c r="VRK46" s="478"/>
      <c r="VRL46" s="478"/>
      <c r="VRM46" s="478"/>
      <c r="VRN46" s="478"/>
      <c r="VRO46" s="478"/>
      <c r="VRP46" s="478"/>
      <c r="VRQ46" s="478"/>
      <c r="VRR46" s="478"/>
      <c r="VRS46" s="478"/>
      <c r="VRT46" s="478"/>
      <c r="VRU46" s="478"/>
      <c r="VRV46" s="478"/>
      <c r="VRW46" s="478"/>
      <c r="VRX46" s="478"/>
      <c r="VRY46" s="478"/>
      <c r="VRZ46" s="478"/>
      <c r="VSA46" s="478"/>
      <c r="VSB46" s="478"/>
      <c r="VSC46" s="478"/>
      <c r="VSD46" s="478"/>
      <c r="VSE46" s="478"/>
      <c r="VSF46" s="478"/>
      <c r="VSG46" s="478"/>
      <c r="VSH46" s="478"/>
      <c r="VSI46" s="478"/>
      <c r="VSJ46" s="478"/>
      <c r="VSK46" s="478"/>
      <c r="VSL46" s="478"/>
      <c r="VSM46" s="478"/>
      <c r="VSN46" s="478"/>
      <c r="VSO46" s="478"/>
      <c r="VSP46" s="478"/>
      <c r="VSQ46" s="478"/>
      <c r="VSR46" s="478"/>
      <c r="VSS46" s="478"/>
      <c r="VST46" s="478"/>
      <c r="VSU46" s="478"/>
      <c r="VSV46" s="478"/>
      <c r="VSW46" s="478"/>
      <c r="VSX46" s="478"/>
      <c r="VSY46" s="478"/>
      <c r="VSZ46" s="478"/>
      <c r="VTA46" s="478"/>
      <c r="VTB46" s="478"/>
      <c r="VTC46" s="478"/>
      <c r="VTD46" s="478"/>
      <c r="VTE46" s="478"/>
      <c r="VTF46" s="478"/>
      <c r="VTG46" s="478"/>
      <c r="VTH46" s="478"/>
      <c r="VTI46" s="478"/>
      <c r="VTJ46" s="478"/>
      <c r="VTK46" s="478"/>
      <c r="VTL46" s="478"/>
      <c r="VTM46" s="478"/>
      <c r="VTN46" s="478"/>
      <c r="VTO46" s="478"/>
      <c r="VTP46" s="478"/>
      <c r="VTQ46" s="478"/>
      <c r="VTR46" s="478"/>
      <c r="VTS46" s="478"/>
      <c r="VTT46" s="478"/>
      <c r="VTU46" s="478"/>
      <c r="VTV46" s="478"/>
      <c r="VTW46" s="478"/>
      <c r="VTX46" s="478"/>
      <c r="VTY46" s="478"/>
      <c r="VTZ46" s="478"/>
      <c r="VUA46" s="478"/>
      <c r="VUB46" s="478"/>
      <c r="VUC46" s="478"/>
      <c r="VUD46" s="478"/>
      <c r="VUE46" s="478"/>
      <c r="VUF46" s="478"/>
      <c r="VUG46" s="478"/>
      <c r="VUH46" s="478"/>
      <c r="VUI46" s="478"/>
      <c r="VUJ46" s="478"/>
      <c r="VUK46" s="478"/>
      <c r="VUL46" s="478"/>
      <c r="VUM46" s="478"/>
      <c r="VUN46" s="478"/>
      <c r="VUO46" s="478"/>
      <c r="VUP46" s="478"/>
      <c r="VUQ46" s="478"/>
      <c r="VUR46" s="478"/>
      <c r="VUS46" s="478"/>
      <c r="VUT46" s="478"/>
      <c r="VUU46" s="478"/>
      <c r="VUV46" s="478"/>
      <c r="VUW46" s="478"/>
      <c r="VUX46" s="478"/>
      <c r="VUY46" s="478"/>
      <c r="VUZ46" s="478"/>
      <c r="VVA46" s="478"/>
      <c r="VVB46" s="478"/>
      <c r="VVC46" s="478"/>
      <c r="VVD46" s="478"/>
      <c r="VVE46" s="478"/>
      <c r="VVF46" s="478"/>
      <c r="VVG46" s="478"/>
      <c r="VVH46" s="478"/>
      <c r="VVI46" s="478"/>
      <c r="VVJ46" s="478"/>
      <c r="VVK46" s="478"/>
      <c r="VVL46" s="478"/>
      <c r="VVM46" s="478"/>
      <c r="VVN46" s="478"/>
      <c r="VVO46" s="478"/>
      <c r="VVP46" s="478"/>
      <c r="VVQ46" s="478"/>
      <c r="VVR46" s="478"/>
      <c r="VVS46" s="478"/>
      <c r="VVT46" s="478"/>
      <c r="VVU46" s="478"/>
      <c r="VVV46" s="478"/>
      <c r="VVW46" s="478"/>
      <c r="VVX46" s="478"/>
      <c r="VVY46" s="478"/>
      <c r="VVZ46" s="478"/>
      <c r="VWA46" s="478"/>
      <c r="VWB46" s="478"/>
      <c r="VWC46" s="478"/>
      <c r="VWD46" s="478"/>
      <c r="VWE46" s="478"/>
      <c r="VWF46" s="478"/>
      <c r="VWG46" s="478"/>
      <c r="VWH46" s="478"/>
      <c r="VWI46" s="478"/>
      <c r="VWJ46" s="478"/>
      <c r="VWK46" s="478"/>
      <c r="VWL46" s="478"/>
      <c r="VWM46" s="478"/>
      <c r="VWN46" s="478"/>
      <c r="VWO46" s="478"/>
      <c r="VWP46" s="478"/>
      <c r="VWQ46" s="478"/>
      <c r="VWR46" s="478"/>
      <c r="VWS46" s="478"/>
      <c r="VWT46" s="478"/>
      <c r="VWU46" s="478"/>
      <c r="VWV46" s="478"/>
      <c r="VWW46" s="478"/>
      <c r="VWX46" s="478"/>
      <c r="VWY46" s="478"/>
      <c r="VWZ46" s="478"/>
      <c r="VXA46" s="478"/>
      <c r="VXB46" s="478"/>
      <c r="VXC46" s="478"/>
      <c r="VXD46" s="478"/>
      <c r="VXE46" s="478"/>
      <c r="VXF46" s="478"/>
      <c r="VXG46" s="478"/>
      <c r="VXH46" s="478"/>
      <c r="VXI46" s="478"/>
      <c r="VXJ46" s="478"/>
      <c r="VXK46" s="478"/>
      <c r="VXL46" s="478"/>
      <c r="VXM46" s="478"/>
      <c r="VXN46" s="478"/>
      <c r="VXO46" s="478"/>
      <c r="VXP46" s="478"/>
      <c r="VXQ46" s="478"/>
      <c r="VXR46" s="478"/>
      <c r="VXS46" s="478"/>
      <c r="VXT46" s="478"/>
      <c r="VXU46" s="478"/>
      <c r="VXV46" s="478"/>
      <c r="VXW46" s="478"/>
      <c r="VXX46" s="478"/>
      <c r="VXY46" s="478"/>
      <c r="VXZ46" s="478"/>
      <c r="VYA46" s="478"/>
      <c r="VYB46" s="478"/>
      <c r="VYC46" s="478"/>
      <c r="VYD46" s="478"/>
      <c r="VYE46" s="478"/>
      <c r="VYF46" s="478"/>
      <c r="VYG46" s="478"/>
      <c r="VYH46" s="478"/>
      <c r="VYI46" s="478"/>
      <c r="VYJ46" s="478"/>
      <c r="VYK46" s="478"/>
      <c r="VYL46" s="478"/>
      <c r="VYM46" s="478"/>
      <c r="VYN46" s="478"/>
      <c r="VYO46" s="478"/>
      <c r="VYP46" s="478"/>
      <c r="VYQ46" s="478"/>
      <c r="VYR46" s="478"/>
      <c r="VYS46" s="478"/>
      <c r="VYT46" s="478"/>
      <c r="VYU46" s="478"/>
      <c r="VYV46" s="478"/>
      <c r="VYW46" s="478"/>
      <c r="VYX46" s="478"/>
      <c r="VYY46" s="478"/>
      <c r="VYZ46" s="478"/>
      <c r="VZA46" s="478"/>
      <c r="VZB46" s="478"/>
      <c r="VZC46" s="478"/>
      <c r="VZD46" s="478"/>
      <c r="VZE46" s="478"/>
      <c r="VZF46" s="478"/>
      <c r="VZG46" s="478"/>
      <c r="VZH46" s="478"/>
      <c r="VZI46" s="478"/>
      <c r="VZJ46" s="478"/>
      <c r="VZK46" s="478"/>
      <c r="VZL46" s="478"/>
      <c r="VZM46" s="478"/>
      <c r="VZN46" s="478"/>
      <c r="VZO46" s="478"/>
      <c r="VZP46" s="478"/>
      <c r="VZQ46" s="478"/>
      <c r="VZR46" s="478"/>
      <c r="VZS46" s="478"/>
      <c r="VZT46" s="478"/>
      <c r="VZU46" s="478"/>
      <c r="VZV46" s="478"/>
      <c r="VZW46" s="478"/>
      <c r="VZX46" s="478"/>
      <c r="VZY46" s="478"/>
      <c r="VZZ46" s="478"/>
      <c r="WAA46" s="478"/>
      <c r="WAB46" s="478"/>
      <c r="WAC46" s="478"/>
      <c r="WAD46" s="478"/>
      <c r="WAE46" s="478"/>
      <c r="WAF46" s="478"/>
      <c r="WAG46" s="478"/>
      <c r="WAH46" s="478"/>
      <c r="WAI46" s="478"/>
      <c r="WAJ46" s="478"/>
      <c r="WAK46" s="478"/>
      <c r="WAL46" s="478"/>
      <c r="WAM46" s="478"/>
      <c r="WAN46" s="478"/>
      <c r="WAO46" s="478"/>
      <c r="WAP46" s="478"/>
      <c r="WAQ46" s="478"/>
      <c r="WAR46" s="478"/>
      <c r="WAS46" s="478"/>
      <c r="WAT46" s="478"/>
      <c r="WAU46" s="478"/>
      <c r="WAV46" s="478"/>
      <c r="WAW46" s="478"/>
      <c r="WAX46" s="478"/>
      <c r="WAY46" s="478"/>
      <c r="WAZ46" s="478"/>
      <c r="WBA46" s="478"/>
      <c r="WBB46" s="478"/>
      <c r="WBC46" s="478"/>
      <c r="WBD46" s="478"/>
      <c r="WBE46" s="478"/>
      <c r="WBF46" s="478"/>
      <c r="WBG46" s="478"/>
      <c r="WBH46" s="478"/>
      <c r="WBI46" s="478"/>
      <c r="WBJ46" s="478"/>
      <c r="WBK46" s="478"/>
      <c r="WBL46" s="478"/>
      <c r="WBM46" s="478"/>
      <c r="WBN46" s="478"/>
      <c r="WBO46" s="478"/>
      <c r="WBP46" s="478"/>
      <c r="WBQ46" s="478"/>
      <c r="WBR46" s="478"/>
      <c r="WBS46" s="478"/>
      <c r="WBT46" s="478"/>
      <c r="WBU46" s="478"/>
      <c r="WBV46" s="478"/>
      <c r="WBW46" s="478"/>
      <c r="WBX46" s="478"/>
      <c r="WBY46" s="478"/>
      <c r="WBZ46" s="478"/>
      <c r="WCA46" s="478"/>
      <c r="WCB46" s="478"/>
      <c r="WCC46" s="478"/>
      <c r="WCD46" s="478"/>
      <c r="WCE46" s="478"/>
      <c r="WCF46" s="478"/>
      <c r="WCG46" s="478"/>
      <c r="WCH46" s="478"/>
      <c r="WCI46" s="478"/>
      <c r="WCJ46" s="478"/>
      <c r="WCK46" s="478"/>
      <c r="WCL46" s="478"/>
      <c r="WCM46" s="478"/>
      <c r="WCN46" s="478"/>
      <c r="WCO46" s="478"/>
      <c r="WCP46" s="478"/>
      <c r="WCQ46" s="478"/>
      <c r="WCR46" s="478"/>
      <c r="WCS46" s="478"/>
      <c r="WCT46" s="478"/>
      <c r="WCU46" s="478"/>
      <c r="WCV46" s="478"/>
      <c r="WCW46" s="478"/>
      <c r="WCX46" s="478"/>
      <c r="WCY46" s="478"/>
      <c r="WCZ46" s="478"/>
      <c r="WDA46" s="478"/>
      <c r="WDB46" s="478"/>
      <c r="WDC46" s="478"/>
      <c r="WDD46" s="478"/>
      <c r="WDE46" s="478"/>
      <c r="WDF46" s="478"/>
      <c r="WDG46" s="478"/>
      <c r="WDH46" s="478"/>
      <c r="WDI46" s="478"/>
      <c r="WDJ46" s="478"/>
      <c r="WDK46" s="478"/>
      <c r="WDL46" s="478"/>
      <c r="WDM46" s="478"/>
      <c r="WDN46" s="478"/>
      <c r="WDO46" s="478"/>
      <c r="WDP46" s="478"/>
      <c r="WDQ46" s="478"/>
      <c r="WDR46" s="478"/>
      <c r="WDS46" s="478"/>
      <c r="WDT46" s="478"/>
      <c r="WDU46" s="478"/>
      <c r="WDV46" s="478"/>
      <c r="WDW46" s="478"/>
      <c r="WDX46" s="478"/>
      <c r="WDY46" s="478"/>
      <c r="WDZ46" s="478"/>
      <c r="WEA46" s="478"/>
      <c r="WEB46" s="478"/>
      <c r="WEC46" s="478"/>
      <c r="WED46" s="478"/>
      <c r="WEE46" s="478"/>
      <c r="WEF46" s="478"/>
      <c r="WEG46" s="478"/>
      <c r="WEH46" s="478"/>
      <c r="WEI46" s="478"/>
      <c r="WEJ46" s="478"/>
      <c r="WEK46" s="478"/>
      <c r="WEL46" s="478"/>
      <c r="WEM46" s="478"/>
      <c r="WEN46" s="478"/>
      <c r="WEO46" s="478"/>
      <c r="WEP46" s="478"/>
      <c r="WEQ46" s="478"/>
      <c r="WER46" s="478"/>
      <c r="WES46" s="478"/>
      <c r="WET46" s="478"/>
      <c r="WEU46" s="478"/>
      <c r="WEV46" s="478"/>
      <c r="WEW46" s="478"/>
      <c r="WEX46" s="478"/>
      <c r="WEY46" s="478"/>
      <c r="WEZ46" s="478"/>
      <c r="WFA46" s="478"/>
      <c r="WFB46" s="478"/>
      <c r="WFC46" s="478"/>
      <c r="WFD46" s="478"/>
      <c r="WFE46" s="478"/>
      <c r="WFF46" s="478"/>
      <c r="WFG46" s="478"/>
      <c r="WFH46" s="478"/>
      <c r="WFI46" s="478"/>
      <c r="WFJ46" s="478"/>
      <c r="WFK46" s="478"/>
      <c r="WFL46" s="478"/>
      <c r="WFM46" s="478"/>
      <c r="WFN46" s="478"/>
      <c r="WFO46" s="478"/>
      <c r="WFP46" s="478"/>
      <c r="WFQ46" s="478"/>
      <c r="WFR46" s="478"/>
      <c r="WFS46" s="478"/>
      <c r="WFT46" s="478"/>
      <c r="WFU46" s="478"/>
      <c r="WFV46" s="478"/>
      <c r="WFW46" s="478"/>
      <c r="WFX46" s="478"/>
      <c r="WFY46" s="478"/>
      <c r="WFZ46" s="478"/>
      <c r="WGA46" s="478"/>
      <c r="WGB46" s="478"/>
      <c r="WGC46" s="478"/>
      <c r="WGD46" s="478"/>
      <c r="WGE46" s="478"/>
      <c r="WGF46" s="478"/>
      <c r="WGG46" s="478"/>
      <c r="WGH46" s="478"/>
      <c r="WGI46" s="478"/>
      <c r="WGJ46" s="478"/>
      <c r="WGK46" s="478"/>
      <c r="WGL46" s="478"/>
      <c r="WGM46" s="478"/>
      <c r="WGN46" s="478"/>
      <c r="WGO46" s="478"/>
      <c r="WGP46" s="478"/>
      <c r="WGQ46" s="478"/>
      <c r="WGR46" s="478"/>
      <c r="WGS46" s="478"/>
      <c r="WGT46" s="478"/>
      <c r="WGU46" s="478"/>
      <c r="WGV46" s="478"/>
      <c r="WGW46" s="478"/>
      <c r="WGX46" s="478"/>
      <c r="WGY46" s="478"/>
      <c r="WGZ46" s="478"/>
      <c r="WHA46" s="478"/>
      <c r="WHB46" s="478"/>
      <c r="WHC46" s="478"/>
      <c r="WHD46" s="478"/>
      <c r="WHE46" s="478"/>
      <c r="WHF46" s="478"/>
      <c r="WHG46" s="478"/>
      <c r="WHH46" s="478"/>
      <c r="WHI46" s="478"/>
      <c r="WHJ46" s="478"/>
      <c r="WHK46" s="478"/>
      <c r="WHL46" s="478"/>
      <c r="WHM46" s="478"/>
      <c r="WHN46" s="478"/>
      <c r="WHO46" s="478"/>
      <c r="WHP46" s="478"/>
      <c r="WHQ46" s="478"/>
      <c r="WHR46" s="478"/>
      <c r="WHS46" s="478"/>
      <c r="WHT46" s="478"/>
      <c r="WHU46" s="478"/>
      <c r="WHV46" s="478"/>
      <c r="WHW46" s="478"/>
      <c r="WHX46" s="478"/>
      <c r="WHY46" s="478"/>
      <c r="WHZ46" s="478"/>
      <c r="WIA46" s="478"/>
      <c r="WIB46" s="478"/>
      <c r="WIC46" s="478"/>
      <c r="WID46" s="478"/>
      <c r="WIE46" s="478"/>
      <c r="WIF46" s="478"/>
      <c r="WIG46" s="478"/>
      <c r="WIH46" s="478"/>
      <c r="WII46" s="478"/>
      <c r="WIJ46" s="478"/>
      <c r="WIK46" s="478"/>
      <c r="WIL46" s="478"/>
      <c r="WIM46" s="478"/>
      <c r="WIN46" s="478"/>
      <c r="WIO46" s="478"/>
      <c r="WIP46" s="478"/>
      <c r="WIQ46" s="478"/>
      <c r="WIR46" s="478"/>
      <c r="WIS46" s="478"/>
      <c r="WIT46" s="478"/>
      <c r="WIU46" s="478"/>
      <c r="WIV46" s="478"/>
      <c r="WIW46" s="478"/>
      <c r="WIX46" s="478"/>
      <c r="WIY46" s="478"/>
      <c r="WIZ46" s="478"/>
      <c r="WJA46" s="478"/>
      <c r="WJB46" s="478"/>
      <c r="WJC46" s="478"/>
      <c r="WJD46" s="478"/>
      <c r="WJE46" s="478"/>
      <c r="WJF46" s="478"/>
      <c r="WJG46" s="478"/>
      <c r="WJH46" s="478"/>
      <c r="WJI46" s="478"/>
      <c r="WJJ46" s="478"/>
      <c r="WJK46" s="478"/>
      <c r="WJL46" s="478"/>
      <c r="WJM46" s="478"/>
      <c r="WJN46" s="478"/>
      <c r="WJO46" s="478"/>
      <c r="WJP46" s="478"/>
      <c r="WJQ46" s="478"/>
      <c r="WJR46" s="478"/>
      <c r="WJS46" s="478"/>
      <c r="WJT46" s="478"/>
      <c r="WJU46" s="478"/>
      <c r="WJV46" s="478"/>
      <c r="WJW46" s="478"/>
      <c r="WJX46" s="478"/>
      <c r="WJY46" s="478"/>
      <c r="WJZ46" s="478"/>
      <c r="WKA46" s="478"/>
      <c r="WKB46" s="478"/>
      <c r="WKC46" s="478"/>
      <c r="WKD46" s="478"/>
      <c r="WKE46" s="478"/>
      <c r="WKF46" s="478"/>
      <c r="WKG46" s="478"/>
      <c r="WKH46" s="478"/>
      <c r="WKI46" s="478"/>
      <c r="WKJ46" s="478"/>
      <c r="WKK46" s="478"/>
      <c r="WKL46" s="478"/>
      <c r="WKM46" s="478"/>
      <c r="WKN46" s="478"/>
      <c r="WKO46" s="478"/>
      <c r="WKP46" s="478"/>
      <c r="WKQ46" s="478"/>
      <c r="WKR46" s="478"/>
      <c r="WKS46" s="478"/>
      <c r="WKT46" s="478"/>
      <c r="WKU46" s="478"/>
      <c r="WKV46" s="478"/>
      <c r="WKW46" s="478"/>
      <c r="WKX46" s="478"/>
      <c r="WKY46" s="478"/>
      <c r="WKZ46" s="478"/>
      <c r="WLA46" s="478"/>
      <c r="WLB46" s="478"/>
      <c r="WLC46" s="478"/>
      <c r="WLD46" s="478"/>
      <c r="WLE46" s="478"/>
      <c r="WLF46" s="478"/>
      <c r="WLG46" s="478"/>
      <c r="WLH46" s="478"/>
      <c r="WLI46" s="478"/>
      <c r="WLJ46" s="478"/>
      <c r="WLK46" s="478"/>
      <c r="WLL46" s="478"/>
      <c r="WLM46" s="478"/>
      <c r="WLN46" s="478"/>
      <c r="WLO46" s="478"/>
      <c r="WLP46" s="478"/>
      <c r="WLQ46" s="478"/>
      <c r="WLR46" s="478"/>
      <c r="WLS46" s="478"/>
      <c r="WLT46" s="478"/>
      <c r="WLU46" s="478"/>
      <c r="WLV46" s="478"/>
      <c r="WLW46" s="478"/>
      <c r="WLX46" s="478"/>
      <c r="WLY46" s="478"/>
      <c r="WLZ46" s="478"/>
      <c r="WMA46" s="478"/>
      <c r="WMB46" s="478"/>
      <c r="WMC46" s="478"/>
      <c r="WMD46" s="478"/>
      <c r="WME46" s="478"/>
      <c r="WMF46" s="478"/>
      <c r="WMG46" s="478"/>
      <c r="WMH46" s="478"/>
      <c r="WMI46" s="478"/>
      <c r="WMJ46" s="478"/>
      <c r="WMK46" s="478"/>
      <c r="WML46" s="478"/>
      <c r="WMM46" s="478"/>
      <c r="WMN46" s="478"/>
      <c r="WMO46" s="478"/>
      <c r="WMP46" s="478"/>
      <c r="WMQ46" s="478"/>
      <c r="WMR46" s="478"/>
      <c r="WMS46" s="478"/>
      <c r="WMT46" s="478"/>
      <c r="WMU46" s="478"/>
      <c r="WMV46" s="478"/>
      <c r="WMW46" s="478"/>
      <c r="WMX46" s="478"/>
      <c r="WMY46" s="478"/>
      <c r="WMZ46" s="478"/>
      <c r="WNA46" s="478"/>
      <c r="WNB46" s="478"/>
      <c r="WNC46" s="478"/>
      <c r="WND46" s="478"/>
      <c r="WNE46" s="478"/>
      <c r="WNF46" s="478"/>
      <c r="WNG46" s="478"/>
      <c r="WNH46" s="478"/>
      <c r="WNI46" s="478"/>
      <c r="WNJ46" s="478"/>
      <c r="WNK46" s="478"/>
      <c r="WNL46" s="478"/>
      <c r="WNM46" s="478"/>
      <c r="WNN46" s="478"/>
      <c r="WNO46" s="478"/>
      <c r="WNP46" s="478"/>
      <c r="WNQ46" s="478"/>
      <c r="WNR46" s="478"/>
      <c r="WNS46" s="478"/>
      <c r="WNT46" s="478"/>
      <c r="WNU46" s="478"/>
      <c r="WNV46" s="478"/>
      <c r="WNW46" s="478"/>
      <c r="WNX46" s="478"/>
      <c r="WNY46" s="478"/>
      <c r="WNZ46" s="478"/>
      <c r="WOA46" s="478"/>
      <c r="WOB46" s="478"/>
      <c r="WOC46" s="478"/>
      <c r="WOD46" s="478"/>
      <c r="WOE46" s="478"/>
      <c r="WOF46" s="478"/>
      <c r="WOG46" s="478"/>
      <c r="WOH46" s="478"/>
      <c r="WOI46" s="478"/>
      <c r="WOJ46" s="478"/>
      <c r="WOK46" s="478"/>
      <c r="WOL46" s="478"/>
      <c r="WOM46" s="478"/>
      <c r="WON46" s="478"/>
      <c r="WOO46" s="478"/>
      <c r="WOP46" s="478"/>
      <c r="WOQ46" s="478"/>
      <c r="WOR46" s="478"/>
      <c r="WOS46" s="478"/>
      <c r="WOT46" s="478"/>
      <c r="WOU46" s="478"/>
      <c r="WOV46" s="478"/>
      <c r="WOW46" s="478"/>
      <c r="WOX46" s="478"/>
      <c r="WOY46" s="478"/>
      <c r="WOZ46" s="478"/>
      <c r="WPA46" s="478"/>
      <c r="WPB46" s="478"/>
      <c r="WPC46" s="478"/>
      <c r="WPD46" s="478"/>
      <c r="WPE46" s="478"/>
      <c r="WPF46" s="478"/>
      <c r="WPG46" s="478"/>
      <c r="WPH46" s="478"/>
      <c r="WPI46" s="478"/>
      <c r="WPJ46" s="478"/>
      <c r="WPK46" s="478"/>
      <c r="WPL46" s="478"/>
      <c r="WPM46" s="478"/>
      <c r="WPN46" s="478"/>
      <c r="WPO46" s="478"/>
      <c r="WPP46" s="478"/>
      <c r="WPQ46" s="478"/>
      <c r="WPR46" s="478"/>
      <c r="WPS46" s="478"/>
      <c r="WPT46" s="478"/>
      <c r="WPU46" s="478"/>
      <c r="WPV46" s="478"/>
      <c r="WPW46" s="478"/>
      <c r="WPX46" s="478"/>
      <c r="WPY46" s="478"/>
      <c r="WPZ46" s="478"/>
      <c r="WQA46" s="478"/>
      <c r="WQB46" s="478"/>
      <c r="WQC46" s="478"/>
      <c r="WQD46" s="478"/>
      <c r="WQE46" s="478"/>
      <c r="WQF46" s="478"/>
      <c r="WQG46" s="478"/>
      <c r="WQH46" s="478"/>
      <c r="WQI46" s="478"/>
      <c r="WQJ46" s="478"/>
      <c r="WQK46" s="478"/>
      <c r="WQL46" s="478"/>
      <c r="WQM46" s="478"/>
      <c r="WQN46" s="478"/>
      <c r="WQO46" s="478"/>
      <c r="WQP46" s="478"/>
      <c r="WQQ46" s="478"/>
      <c r="WQR46" s="478"/>
      <c r="WQS46" s="478"/>
      <c r="WQT46" s="478"/>
      <c r="WQU46" s="478"/>
      <c r="WQV46" s="478"/>
      <c r="WQW46" s="478"/>
      <c r="WQX46" s="478"/>
      <c r="WQY46" s="478"/>
      <c r="WQZ46" s="478"/>
      <c r="WRA46" s="478"/>
      <c r="WRB46" s="478"/>
      <c r="WRC46" s="478"/>
      <c r="WRD46" s="478"/>
      <c r="WRE46" s="478"/>
      <c r="WRF46" s="478"/>
      <c r="WRG46" s="478"/>
      <c r="WRH46" s="478"/>
      <c r="WRI46" s="478"/>
      <c r="WRJ46" s="478"/>
      <c r="WRK46" s="478"/>
      <c r="WRL46" s="478"/>
      <c r="WRM46" s="478"/>
      <c r="WRN46" s="478"/>
      <c r="WRO46" s="478"/>
      <c r="WRP46" s="478"/>
      <c r="WRQ46" s="478"/>
      <c r="WRR46" s="478"/>
      <c r="WRS46" s="478"/>
      <c r="WRT46" s="478"/>
      <c r="WRU46" s="478"/>
      <c r="WRV46" s="478"/>
      <c r="WRW46" s="478"/>
      <c r="WRX46" s="478"/>
      <c r="WRY46" s="478"/>
      <c r="WRZ46" s="478"/>
      <c r="WSA46" s="478"/>
      <c r="WSB46" s="478"/>
      <c r="WSC46" s="478"/>
      <c r="WSD46" s="478"/>
      <c r="WSE46" s="478"/>
      <c r="WSF46" s="478"/>
      <c r="WSG46" s="478"/>
      <c r="WSH46" s="478"/>
      <c r="WSI46" s="478"/>
      <c r="WSJ46" s="478"/>
      <c r="WSK46" s="478"/>
      <c r="WSL46" s="478"/>
      <c r="WSM46" s="478"/>
      <c r="WSN46" s="478"/>
      <c r="WSO46" s="478"/>
      <c r="WSP46" s="478"/>
      <c r="WSQ46" s="478"/>
      <c r="WSR46" s="478"/>
      <c r="WSS46" s="478"/>
      <c r="WST46" s="478"/>
      <c r="WSU46" s="478"/>
      <c r="WSV46" s="478"/>
      <c r="WSW46" s="478"/>
      <c r="WSX46" s="478"/>
      <c r="WSY46" s="478"/>
      <c r="WSZ46" s="478"/>
      <c r="WTA46" s="478"/>
      <c r="WTB46" s="478"/>
      <c r="WTC46" s="478"/>
      <c r="WTD46" s="478"/>
      <c r="WTE46" s="478"/>
      <c r="WTF46" s="478"/>
      <c r="WTG46" s="478"/>
      <c r="WTH46" s="478"/>
      <c r="WTI46" s="478"/>
      <c r="WTJ46" s="478"/>
      <c r="WTK46" s="478"/>
      <c r="WTL46" s="478"/>
      <c r="WTM46" s="478"/>
      <c r="WTN46" s="478"/>
      <c r="WTO46" s="478"/>
      <c r="WTP46" s="478"/>
      <c r="WTQ46" s="478"/>
      <c r="WTR46" s="478"/>
      <c r="WTS46" s="478"/>
      <c r="WTT46" s="478"/>
      <c r="WTU46" s="478"/>
      <c r="WTV46" s="478"/>
      <c r="WTW46" s="478"/>
      <c r="WTX46" s="478"/>
      <c r="WTY46" s="478"/>
      <c r="WTZ46" s="478"/>
      <c r="WUA46" s="478"/>
      <c r="WUB46" s="478"/>
      <c r="WUC46" s="478"/>
      <c r="WUD46" s="478"/>
      <c r="WUE46" s="478"/>
      <c r="WUF46" s="478"/>
      <c r="WUG46" s="478"/>
      <c r="WUH46" s="478"/>
      <c r="WUI46" s="478"/>
      <c r="WUJ46" s="478"/>
      <c r="WUK46" s="478"/>
      <c r="WUL46" s="478"/>
      <c r="WUM46" s="478"/>
      <c r="WUN46" s="478"/>
      <c r="WUO46" s="478"/>
      <c r="WUP46" s="478"/>
      <c r="WUQ46" s="478"/>
      <c r="WUR46" s="478"/>
      <c r="WUS46" s="478"/>
      <c r="WUT46" s="478"/>
      <c r="WUU46" s="478"/>
      <c r="WUV46" s="478"/>
      <c r="WUW46" s="478"/>
      <c r="WUX46" s="478"/>
      <c r="WUY46" s="478"/>
      <c r="WUZ46" s="478"/>
      <c r="WVA46" s="478"/>
      <c r="WVB46" s="478"/>
      <c r="WVC46" s="478"/>
      <c r="WVD46" s="478"/>
      <c r="WVE46" s="478"/>
      <c r="WVF46" s="478"/>
      <c r="WVG46" s="478"/>
      <c r="WVH46" s="478"/>
      <c r="WVI46" s="478"/>
      <c r="WVJ46" s="478"/>
      <c r="WVK46" s="478"/>
      <c r="WVL46" s="478"/>
      <c r="WVM46" s="478"/>
      <c r="WVN46" s="478"/>
      <c r="WVO46" s="478"/>
      <c r="WVP46" s="478"/>
      <c r="WVQ46" s="478"/>
      <c r="WVR46" s="478"/>
      <c r="WVS46" s="478"/>
      <c r="WVT46" s="478"/>
      <c r="WVU46" s="478"/>
      <c r="WVV46" s="478"/>
      <c r="WVW46" s="478"/>
      <c r="WVX46" s="478"/>
      <c r="WVY46" s="478"/>
      <c r="WVZ46" s="478"/>
      <c r="WWA46" s="478"/>
      <c r="WWB46" s="478"/>
      <c r="WWC46" s="478"/>
      <c r="WWD46" s="478"/>
      <c r="WWE46" s="478"/>
      <c r="WWF46" s="478"/>
      <c r="WWG46" s="478"/>
      <c r="WWH46" s="478"/>
      <c r="WWI46" s="478"/>
      <c r="WWJ46" s="478"/>
      <c r="WWK46" s="478"/>
      <c r="WWL46" s="478"/>
      <c r="WWM46" s="478"/>
      <c r="WWN46" s="478"/>
      <c r="WWO46" s="478"/>
      <c r="WWP46" s="478"/>
      <c r="WWQ46" s="478"/>
      <c r="WWR46" s="478"/>
      <c r="WWS46" s="478"/>
      <c r="WWT46" s="478"/>
      <c r="WWU46" s="478"/>
      <c r="WWV46" s="478"/>
      <c r="WWW46" s="478"/>
      <c r="WWX46" s="478"/>
      <c r="WWY46" s="478"/>
      <c r="WWZ46" s="478"/>
      <c r="WXA46" s="478"/>
      <c r="WXB46" s="478"/>
      <c r="WXC46" s="478"/>
      <c r="WXD46" s="478"/>
      <c r="WXE46" s="478"/>
      <c r="WXF46" s="478"/>
      <c r="WXG46" s="478"/>
      <c r="WXH46" s="478"/>
      <c r="WXI46" s="478"/>
      <c r="WXJ46" s="478"/>
      <c r="WXK46" s="478"/>
      <c r="WXL46" s="478"/>
      <c r="WXM46" s="478"/>
      <c r="WXN46" s="478"/>
      <c r="WXO46" s="478"/>
      <c r="WXP46" s="478"/>
      <c r="WXQ46" s="478"/>
      <c r="WXR46" s="478"/>
      <c r="WXS46" s="478"/>
      <c r="WXT46" s="478"/>
      <c r="WXU46" s="478"/>
      <c r="WXV46" s="478"/>
      <c r="WXW46" s="478"/>
      <c r="WXX46" s="478"/>
      <c r="WXY46" s="478"/>
      <c r="WXZ46" s="478"/>
      <c r="WYA46" s="478"/>
      <c r="WYB46" s="478"/>
      <c r="WYC46" s="478"/>
      <c r="WYD46" s="478"/>
      <c r="WYE46" s="478"/>
      <c r="WYF46" s="478"/>
      <c r="WYG46" s="478"/>
      <c r="WYH46" s="478"/>
      <c r="WYI46" s="478"/>
      <c r="WYJ46" s="478"/>
      <c r="WYK46" s="478"/>
      <c r="WYL46" s="478"/>
      <c r="WYM46" s="478"/>
      <c r="WYN46" s="478"/>
      <c r="WYO46" s="478"/>
      <c r="WYP46" s="478"/>
      <c r="WYQ46" s="478"/>
      <c r="WYR46" s="478"/>
      <c r="WYS46" s="478"/>
      <c r="WYT46" s="478"/>
      <c r="WYU46" s="478"/>
      <c r="WYV46" s="478"/>
      <c r="WYW46" s="478"/>
      <c r="WYX46" s="478"/>
      <c r="WYY46" s="478"/>
      <c r="WYZ46" s="478"/>
      <c r="WZA46" s="478"/>
      <c r="WZB46" s="478"/>
      <c r="WZC46" s="478"/>
      <c r="WZD46" s="478"/>
      <c r="WZE46" s="478"/>
      <c r="WZF46" s="478"/>
      <c r="WZG46" s="478"/>
      <c r="WZH46" s="478"/>
      <c r="WZI46" s="478"/>
      <c r="WZJ46" s="478"/>
      <c r="WZK46" s="478"/>
      <c r="WZL46" s="478"/>
      <c r="WZM46" s="478"/>
      <c r="WZN46" s="478"/>
      <c r="WZO46" s="478"/>
      <c r="WZP46" s="478"/>
      <c r="WZQ46" s="478"/>
      <c r="WZR46" s="478"/>
      <c r="WZS46" s="478"/>
      <c r="WZT46" s="478"/>
      <c r="WZU46" s="478"/>
      <c r="WZV46" s="478"/>
      <c r="WZW46" s="478"/>
      <c r="WZX46" s="478"/>
      <c r="WZY46" s="478"/>
      <c r="WZZ46" s="478"/>
      <c r="XAA46" s="478"/>
      <c r="XAB46" s="478"/>
      <c r="XAC46" s="478"/>
      <c r="XAD46" s="478"/>
      <c r="XAE46" s="478"/>
      <c r="XAF46" s="478"/>
      <c r="XAG46" s="478"/>
      <c r="XAH46" s="478"/>
      <c r="XAI46" s="478"/>
      <c r="XAJ46" s="478"/>
      <c r="XAK46" s="478"/>
      <c r="XAL46" s="478"/>
      <c r="XAM46" s="478"/>
      <c r="XAN46" s="478"/>
      <c r="XAO46" s="478"/>
      <c r="XAP46" s="478"/>
      <c r="XAQ46" s="478"/>
      <c r="XAR46" s="478"/>
      <c r="XAS46" s="478"/>
      <c r="XAT46" s="478"/>
      <c r="XAU46" s="478"/>
      <c r="XAV46" s="478"/>
      <c r="XAW46" s="478"/>
      <c r="XAX46" s="478"/>
      <c r="XAY46" s="478"/>
      <c r="XAZ46" s="478"/>
      <c r="XBA46" s="478"/>
      <c r="XBB46" s="478"/>
      <c r="XBC46" s="478"/>
      <c r="XBD46" s="478"/>
      <c r="XBE46" s="478"/>
      <c r="XBF46" s="478"/>
      <c r="XBG46" s="478"/>
      <c r="XBH46" s="478"/>
      <c r="XBI46" s="478"/>
      <c r="XBJ46" s="478"/>
      <c r="XBK46" s="478"/>
      <c r="XBL46" s="478"/>
      <c r="XBM46" s="478"/>
      <c r="XBN46" s="478"/>
      <c r="XBO46" s="478"/>
      <c r="XBP46" s="478"/>
      <c r="XBQ46" s="478"/>
      <c r="XBR46" s="478"/>
      <c r="XBS46" s="478"/>
      <c r="XBT46" s="478"/>
      <c r="XBU46" s="478"/>
      <c r="XBV46" s="478"/>
      <c r="XBW46" s="478"/>
      <c r="XBX46" s="478"/>
      <c r="XBY46" s="478"/>
      <c r="XBZ46" s="478"/>
      <c r="XCA46" s="478"/>
      <c r="XCB46" s="478"/>
      <c r="XCC46" s="478"/>
      <c r="XCD46" s="478"/>
      <c r="XCE46" s="478"/>
      <c r="XCF46" s="478"/>
      <c r="XCG46" s="478"/>
      <c r="XCH46" s="478"/>
      <c r="XCI46" s="478"/>
      <c r="XCJ46" s="478"/>
      <c r="XCK46" s="478"/>
      <c r="XCL46" s="478"/>
      <c r="XCM46" s="478"/>
      <c r="XCN46" s="478"/>
      <c r="XCO46" s="478"/>
      <c r="XCP46" s="478"/>
      <c r="XCQ46" s="478"/>
      <c r="XCR46" s="478"/>
      <c r="XCS46" s="478"/>
      <c r="XCT46" s="478"/>
      <c r="XCU46" s="478"/>
      <c r="XCV46" s="478"/>
      <c r="XCW46" s="478"/>
      <c r="XCX46" s="478"/>
      <c r="XCY46" s="478"/>
      <c r="XCZ46" s="478"/>
      <c r="XDA46" s="478"/>
      <c r="XDB46" s="478"/>
      <c r="XDC46" s="478"/>
      <c r="XDD46" s="478"/>
      <c r="XDE46" s="478"/>
      <c r="XDF46" s="478"/>
      <c r="XDG46" s="478"/>
      <c r="XDH46" s="478"/>
      <c r="XDI46" s="478"/>
      <c r="XDJ46" s="478"/>
      <c r="XDK46" s="478"/>
      <c r="XDL46" s="478"/>
      <c r="XDM46" s="478"/>
      <c r="XDN46" s="478"/>
      <c r="XDO46" s="478"/>
      <c r="XDP46" s="478"/>
      <c r="XDQ46" s="478"/>
      <c r="XDR46" s="478"/>
      <c r="XDS46" s="478"/>
      <c r="XDT46" s="478"/>
      <c r="XDU46" s="478"/>
      <c r="XDV46" s="478"/>
      <c r="XDW46" s="478"/>
      <c r="XDX46" s="478"/>
      <c r="XDY46" s="478"/>
      <c r="XDZ46" s="478"/>
      <c r="XEA46" s="478"/>
      <c r="XEB46" s="478"/>
      <c r="XEC46" s="478"/>
      <c r="XED46" s="478"/>
      <c r="XEE46" s="478"/>
      <c r="XEF46" s="478"/>
      <c r="XEG46" s="478"/>
      <c r="XEH46" s="478"/>
      <c r="XEI46" s="478"/>
      <c r="XEJ46" s="478"/>
      <c r="XEK46" s="478"/>
      <c r="XEL46" s="478"/>
      <c r="XEM46" s="478"/>
      <c r="XEN46" s="478"/>
      <c r="XEO46" s="478"/>
      <c r="XEP46" s="478"/>
      <c r="XEQ46" s="478"/>
      <c r="XER46" s="478"/>
      <c r="XES46" s="478"/>
      <c r="XET46" s="478"/>
      <c r="XEU46" s="478"/>
      <c r="XEV46" s="478"/>
      <c r="XEW46" s="478"/>
      <c r="XEX46" s="478"/>
      <c r="XEY46" s="478"/>
      <c r="XEZ46" s="478"/>
      <c r="XFA46" s="478"/>
      <c r="XFB46" s="478"/>
      <c r="XFC46" s="478"/>
      <c r="XFD46" s="478"/>
    </row>
    <row r="47" s="344" customFormat="1" customHeight="1" spans="1:16384">
      <c r="A47" s="380" t="str">
        <f t="shared" si="28"/>
        <v>ZU7-1</v>
      </c>
      <c r="B47" s="381">
        <f t="shared" si="4"/>
        <v>230.12</v>
      </c>
      <c r="C47" s="381">
        <f t="shared" si="5"/>
        <v>250.12</v>
      </c>
      <c r="D47" s="382">
        <f t="shared" si="6"/>
        <v>20</v>
      </c>
      <c r="E47" s="383">
        <f t="shared" si="7"/>
        <v>3.348</v>
      </c>
      <c r="F47" s="383">
        <f t="shared" si="8"/>
        <v>3.348</v>
      </c>
      <c r="G47" s="383">
        <f t="shared" si="9"/>
        <v>-1.92917</v>
      </c>
      <c r="H47" s="383">
        <f t="shared" si="10"/>
        <v>-2.70684</v>
      </c>
      <c r="I47" s="383">
        <f t="shared" si="11"/>
        <v>5.27717</v>
      </c>
      <c r="J47" s="383">
        <f t="shared" si="12"/>
        <v>6.05484</v>
      </c>
      <c r="K47" s="415">
        <f t="shared" si="13"/>
        <v>0.6</v>
      </c>
      <c r="L47" s="422">
        <v>0.5</v>
      </c>
      <c r="M47" s="415">
        <f t="shared" si="14"/>
        <v>13.5</v>
      </c>
      <c r="N47" s="415">
        <f t="shared" si="15"/>
        <v>13.5</v>
      </c>
      <c r="O47" s="416">
        <f t="shared" si="16"/>
        <v>2.61238</v>
      </c>
      <c r="P47" s="417">
        <f t="shared" si="17"/>
        <v>2.89005</v>
      </c>
      <c r="Q47" s="417">
        <f t="shared" si="18"/>
        <v>1.75</v>
      </c>
      <c r="R47" s="382">
        <f t="shared" si="19"/>
        <v>1.75</v>
      </c>
      <c r="S47" s="456">
        <f t="shared" si="20"/>
        <v>0</v>
      </c>
      <c r="T47" s="457">
        <f t="shared" si="21"/>
        <v>2.10593</v>
      </c>
      <c r="U47" s="416">
        <f t="shared" si="22"/>
        <v>2.12347</v>
      </c>
      <c r="V47" s="416">
        <f t="shared" si="23"/>
        <v>0.45</v>
      </c>
      <c r="W47" s="457">
        <f t="shared" si="24"/>
        <v>0.45</v>
      </c>
      <c r="X47" s="458">
        <f t="shared" si="25"/>
        <v>0</v>
      </c>
      <c r="Y47" s="447">
        <f t="shared" si="26"/>
        <v>0</v>
      </c>
      <c r="Z47" s="447">
        <f t="shared" si="27"/>
        <v>0</v>
      </c>
      <c r="AA47" s="478"/>
      <c r="AB47" s="479"/>
      <c r="AC47" s="479"/>
      <c r="AD47" s="478"/>
      <c r="AE47" s="478"/>
      <c r="AF47" s="478"/>
      <c r="AG47" s="478"/>
      <c r="AH47" s="478"/>
      <c r="AI47" s="478"/>
      <c r="AJ47" s="478"/>
      <c r="AK47" s="478"/>
      <c r="AL47" s="478"/>
      <c r="AM47" s="478"/>
      <c r="AN47" s="478"/>
      <c r="AO47" s="478"/>
      <c r="AP47" s="478"/>
      <c r="AQ47" s="478"/>
      <c r="AR47" s="478"/>
      <c r="AS47" s="478"/>
      <c r="AT47" s="478"/>
      <c r="AU47" s="478"/>
      <c r="AV47" s="478"/>
      <c r="AW47" s="478"/>
      <c r="AX47" s="478"/>
      <c r="AY47" s="478"/>
      <c r="AZ47" s="478"/>
      <c r="BA47" s="478"/>
      <c r="BB47" s="478"/>
      <c r="BC47" s="478"/>
      <c r="BD47" s="478"/>
      <c r="BE47" s="478"/>
      <c r="BF47" s="478"/>
      <c r="BG47" s="478"/>
      <c r="BH47" s="478"/>
      <c r="BI47" s="478"/>
      <c r="BJ47" s="478"/>
      <c r="BK47" s="478"/>
      <c r="BL47" s="478"/>
      <c r="BM47" s="478"/>
      <c r="BN47" s="478"/>
      <c r="BO47" s="478"/>
      <c r="BP47" s="478"/>
      <c r="BQ47" s="478"/>
      <c r="BR47" s="478"/>
      <c r="BS47" s="478"/>
      <c r="BT47" s="478"/>
      <c r="BU47" s="478"/>
      <c r="BV47" s="478"/>
      <c r="BW47" s="478"/>
      <c r="BX47" s="478"/>
      <c r="BY47" s="478"/>
      <c r="BZ47" s="478"/>
      <c r="CA47" s="478"/>
      <c r="CB47" s="478"/>
      <c r="CC47" s="478"/>
      <c r="CD47" s="478"/>
      <c r="CE47" s="478"/>
      <c r="CF47" s="478"/>
      <c r="CG47" s="478"/>
      <c r="CH47" s="478"/>
      <c r="CI47" s="478"/>
      <c r="CJ47" s="478"/>
      <c r="CK47" s="478"/>
      <c r="CL47" s="478"/>
      <c r="CM47" s="478"/>
      <c r="CN47" s="478"/>
      <c r="CO47" s="478"/>
      <c r="CP47" s="478"/>
      <c r="CQ47" s="478"/>
      <c r="CR47" s="478"/>
      <c r="CS47" s="478"/>
      <c r="CT47" s="478"/>
      <c r="CU47" s="478"/>
      <c r="CV47" s="478"/>
      <c r="CW47" s="478"/>
      <c r="CX47" s="478"/>
      <c r="CY47" s="478"/>
      <c r="CZ47" s="478"/>
      <c r="DA47" s="478"/>
      <c r="DB47" s="478"/>
      <c r="DC47" s="478"/>
      <c r="DD47" s="478"/>
      <c r="DE47" s="478"/>
      <c r="DF47" s="478"/>
      <c r="DG47" s="478"/>
      <c r="DH47" s="478"/>
      <c r="DI47" s="478"/>
      <c r="DJ47" s="478"/>
      <c r="DK47" s="478"/>
      <c r="DL47" s="478"/>
      <c r="DM47" s="478"/>
      <c r="DN47" s="478"/>
      <c r="DO47" s="478"/>
      <c r="DP47" s="478"/>
      <c r="DQ47" s="478"/>
      <c r="DR47" s="478"/>
      <c r="DS47" s="478"/>
      <c r="DT47" s="478"/>
      <c r="DU47" s="478"/>
      <c r="DV47" s="478"/>
      <c r="DW47" s="478"/>
      <c r="DX47" s="478"/>
      <c r="DY47" s="478"/>
      <c r="DZ47" s="478"/>
      <c r="EA47" s="478"/>
      <c r="EB47" s="478"/>
      <c r="EC47" s="478"/>
      <c r="ED47" s="478"/>
      <c r="EE47" s="478"/>
      <c r="EF47" s="478"/>
      <c r="EG47" s="478"/>
      <c r="EH47" s="478"/>
      <c r="EI47" s="478"/>
      <c r="EJ47" s="478"/>
      <c r="EK47" s="478"/>
      <c r="EL47" s="478"/>
      <c r="EM47" s="478"/>
      <c r="EN47" s="478"/>
      <c r="EO47" s="478"/>
      <c r="EP47" s="478"/>
      <c r="EQ47" s="478"/>
      <c r="ER47" s="478"/>
      <c r="ES47" s="478"/>
      <c r="ET47" s="478"/>
      <c r="EU47" s="478"/>
      <c r="EV47" s="478"/>
      <c r="EW47" s="478"/>
      <c r="EX47" s="478"/>
      <c r="EY47" s="478"/>
      <c r="EZ47" s="478"/>
      <c r="FA47" s="478"/>
      <c r="FB47" s="478"/>
      <c r="FC47" s="478"/>
      <c r="FD47" s="478"/>
      <c r="FE47" s="478"/>
      <c r="FF47" s="478"/>
      <c r="FG47" s="478"/>
      <c r="FH47" s="478"/>
      <c r="FI47" s="478"/>
      <c r="FJ47" s="478"/>
      <c r="FK47" s="478"/>
      <c r="FL47" s="478"/>
      <c r="FM47" s="478"/>
      <c r="FN47" s="478"/>
      <c r="FO47" s="478"/>
      <c r="FP47" s="478"/>
      <c r="FQ47" s="478"/>
      <c r="FR47" s="478"/>
      <c r="FS47" s="478"/>
      <c r="FT47" s="478"/>
      <c r="FU47" s="478"/>
      <c r="FV47" s="478"/>
      <c r="FW47" s="478"/>
      <c r="FX47" s="478"/>
      <c r="FY47" s="478"/>
      <c r="FZ47" s="478"/>
      <c r="GA47" s="478"/>
      <c r="GB47" s="478"/>
      <c r="GC47" s="478"/>
      <c r="GD47" s="478"/>
      <c r="GE47" s="478"/>
      <c r="GF47" s="478"/>
      <c r="GG47" s="478"/>
      <c r="GH47" s="478"/>
      <c r="GI47" s="478"/>
      <c r="GJ47" s="478"/>
      <c r="GK47" s="478"/>
      <c r="GL47" s="478"/>
      <c r="GM47" s="478"/>
      <c r="GN47" s="478"/>
      <c r="GO47" s="478"/>
      <c r="GP47" s="478"/>
      <c r="GQ47" s="478"/>
      <c r="GR47" s="478"/>
      <c r="GS47" s="478"/>
      <c r="GT47" s="478"/>
      <c r="GU47" s="478"/>
      <c r="GV47" s="478"/>
      <c r="GW47" s="478"/>
      <c r="GX47" s="478"/>
      <c r="GY47" s="478"/>
      <c r="GZ47" s="478"/>
      <c r="HA47" s="478"/>
      <c r="HB47" s="478"/>
      <c r="HC47" s="478"/>
      <c r="HD47" s="478"/>
      <c r="HE47" s="478"/>
      <c r="HF47" s="478"/>
      <c r="HG47" s="478"/>
      <c r="HH47" s="478"/>
      <c r="HI47" s="478"/>
      <c r="HJ47" s="478"/>
      <c r="HK47" s="478"/>
      <c r="HL47" s="478"/>
      <c r="HM47" s="478"/>
      <c r="HN47" s="478"/>
      <c r="HO47" s="478"/>
      <c r="HP47" s="478"/>
      <c r="HQ47" s="478"/>
      <c r="HR47" s="478"/>
      <c r="HS47" s="478"/>
      <c r="HT47" s="478"/>
      <c r="HU47" s="478"/>
      <c r="HV47" s="478"/>
      <c r="HW47" s="478"/>
      <c r="HX47" s="478"/>
      <c r="HY47" s="478"/>
      <c r="HZ47" s="478"/>
      <c r="IA47" s="478"/>
      <c r="IB47" s="478"/>
      <c r="IC47" s="478"/>
      <c r="ID47" s="478"/>
      <c r="IE47" s="478"/>
      <c r="IF47" s="478"/>
      <c r="IG47" s="478"/>
      <c r="IH47" s="478"/>
      <c r="II47" s="478"/>
      <c r="IJ47" s="478"/>
      <c r="IK47" s="478"/>
      <c r="IL47" s="478"/>
      <c r="IM47" s="478"/>
      <c r="IN47" s="478"/>
      <c r="IO47" s="478"/>
      <c r="IP47" s="478"/>
      <c r="IQ47" s="478"/>
      <c r="IR47" s="478"/>
      <c r="IS47" s="478"/>
      <c r="IT47" s="478"/>
      <c r="IU47" s="478"/>
      <c r="IV47" s="478"/>
      <c r="IW47" s="478"/>
      <c r="IX47" s="478"/>
      <c r="IY47" s="478"/>
      <c r="IZ47" s="478"/>
      <c r="JA47" s="478"/>
      <c r="JB47" s="478"/>
      <c r="JC47" s="478"/>
      <c r="JD47" s="478"/>
      <c r="JE47" s="478"/>
      <c r="JF47" s="478"/>
      <c r="JG47" s="478"/>
      <c r="JH47" s="478"/>
      <c r="JI47" s="478"/>
      <c r="JJ47" s="478"/>
      <c r="JK47" s="478"/>
      <c r="JL47" s="478"/>
      <c r="JM47" s="478"/>
      <c r="JN47" s="478"/>
      <c r="JO47" s="478"/>
      <c r="JP47" s="478"/>
      <c r="JQ47" s="478"/>
      <c r="JR47" s="478"/>
      <c r="JS47" s="478"/>
      <c r="JT47" s="478"/>
      <c r="JU47" s="478"/>
      <c r="JV47" s="478"/>
      <c r="JW47" s="478"/>
      <c r="JX47" s="478"/>
      <c r="JY47" s="478"/>
      <c r="JZ47" s="478"/>
      <c r="KA47" s="478"/>
      <c r="KB47" s="478"/>
      <c r="KC47" s="478"/>
      <c r="KD47" s="478"/>
      <c r="KE47" s="478"/>
      <c r="KF47" s="478"/>
      <c r="KG47" s="478"/>
      <c r="KH47" s="478"/>
      <c r="KI47" s="478"/>
      <c r="KJ47" s="478"/>
      <c r="KK47" s="478"/>
      <c r="KL47" s="478"/>
      <c r="KM47" s="478"/>
      <c r="KN47" s="478"/>
      <c r="KO47" s="478"/>
      <c r="KP47" s="478"/>
      <c r="KQ47" s="478"/>
      <c r="KR47" s="478"/>
      <c r="KS47" s="478"/>
      <c r="KT47" s="478"/>
      <c r="KU47" s="478"/>
      <c r="KV47" s="478"/>
      <c r="KW47" s="478"/>
      <c r="KX47" s="478"/>
      <c r="KY47" s="478"/>
      <c r="KZ47" s="478"/>
      <c r="LA47" s="478"/>
      <c r="LB47" s="478"/>
      <c r="LC47" s="478"/>
      <c r="LD47" s="478"/>
      <c r="LE47" s="478"/>
      <c r="LF47" s="478"/>
      <c r="LG47" s="478"/>
      <c r="LH47" s="478"/>
      <c r="LI47" s="478"/>
      <c r="LJ47" s="478"/>
      <c r="LK47" s="478"/>
      <c r="LL47" s="478"/>
      <c r="LM47" s="478"/>
      <c r="LN47" s="478"/>
      <c r="LO47" s="478"/>
      <c r="LP47" s="478"/>
      <c r="LQ47" s="478"/>
      <c r="LR47" s="478"/>
      <c r="LS47" s="478"/>
      <c r="LT47" s="478"/>
      <c r="LU47" s="478"/>
      <c r="LV47" s="478"/>
      <c r="LW47" s="478"/>
      <c r="LX47" s="478"/>
      <c r="LY47" s="478"/>
      <c r="LZ47" s="478"/>
      <c r="MA47" s="478"/>
      <c r="MB47" s="478"/>
      <c r="MC47" s="478"/>
      <c r="MD47" s="478"/>
      <c r="ME47" s="478"/>
      <c r="MF47" s="478"/>
      <c r="MG47" s="478"/>
      <c r="MH47" s="478"/>
      <c r="MI47" s="478"/>
      <c r="MJ47" s="478"/>
      <c r="MK47" s="478"/>
      <c r="ML47" s="478"/>
      <c r="MM47" s="478"/>
      <c r="MN47" s="478"/>
      <c r="MO47" s="478"/>
      <c r="MP47" s="478"/>
      <c r="MQ47" s="478"/>
      <c r="MR47" s="478"/>
      <c r="MS47" s="478"/>
      <c r="MT47" s="478"/>
      <c r="MU47" s="478"/>
      <c r="MV47" s="478"/>
      <c r="MW47" s="478"/>
      <c r="MX47" s="478"/>
      <c r="MY47" s="478"/>
      <c r="MZ47" s="478"/>
      <c r="NA47" s="478"/>
      <c r="NB47" s="478"/>
      <c r="NC47" s="478"/>
      <c r="ND47" s="478"/>
      <c r="NE47" s="478"/>
      <c r="NF47" s="478"/>
      <c r="NG47" s="478"/>
      <c r="NH47" s="478"/>
      <c r="NI47" s="478"/>
      <c r="NJ47" s="478"/>
      <c r="NK47" s="478"/>
      <c r="NL47" s="478"/>
      <c r="NM47" s="478"/>
      <c r="NN47" s="478"/>
      <c r="NO47" s="478"/>
      <c r="NP47" s="478"/>
      <c r="NQ47" s="478"/>
      <c r="NR47" s="478"/>
      <c r="NS47" s="478"/>
      <c r="NT47" s="478"/>
      <c r="NU47" s="478"/>
      <c r="NV47" s="478"/>
      <c r="NW47" s="478"/>
      <c r="NX47" s="478"/>
      <c r="NY47" s="478"/>
      <c r="NZ47" s="478"/>
      <c r="OA47" s="478"/>
      <c r="OB47" s="478"/>
      <c r="OC47" s="478"/>
      <c r="OD47" s="478"/>
      <c r="OE47" s="478"/>
      <c r="OF47" s="478"/>
      <c r="OG47" s="478"/>
      <c r="OH47" s="478"/>
      <c r="OI47" s="478"/>
      <c r="OJ47" s="478"/>
      <c r="OK47" s="478"/>
      <c r="OL47" s="478"/>
      <c r="OM47" s="478"/>
      <c r="ON47" s="478"/>
      <c r="OO47" s="478"/>
      <c r="OP47" s="478"/>
      <c r="OQ47" s="478"/>
      <c r="OR47" s="478"/>
      <c r="OS47" s="478"/>
      <c r="OT47" s="478"/>
      <c r="OU47" s="478"/>
      <c r="OV47" s="478"/>
      <c r="OW47" s="478"/>
      <c r="OX47" s="478"/>
      <c r="OY47" s="478"/>
      <c r="OZ47" s="478"/>
      <c r="PA47" s="478"/>
      <c r="PB47" s="478"/>
      <c r="PC47" s="478"/>
      <c r="PD47" s="478"/>
      <c r="PE47" s="478"/>
      <c r="PF47" s="478"/>
      <c r="PG47" s="478"/>
      <c r="PH47" s="478"/>
      <c r="PI47" s="478"/>
      <c r="PJ47" s="478"/>
      <c r="PK47" s="478"/>
      <c r="PL47" s="478"/>
      <c r="PM47" s="478"/>
      <c r="PN47" s="478"/>
      <c r="PO47" s="478"/>
      <c r="PP47" s="478"/>
      <c r="PQ47" s="478"/>
      <c r="PR47" s="478"/>
      <c r="PS47" s="478"/>
      <c r="PT47" s="478"/>
      <c r="PU47" s="478"/>
      <c r="PV47" s="478"/>
      <c r="PW47" s="478"/>
      <c r="PX47" s="478"/>
      <c r="PY47" s="478"/>
      <c r="PZ47" s="478"/>
      <c r="QA47" s="478"/>
      <c r="QB47" s="478"/>
      <c r="QC47" s="478"/>
      <c r="QD47" s="478"/>
      <c r="QE47" s="478"/>
      <c r="QF47" s="478"/>
      <c r="QG47" s="478"/>
      <c r="QH47" s="478"/>
      <c r="QI47" s="478"/>
      <c r="QJ47" s="478"/>
      <c r="QK47" s="478"/>
      <c r="QL47" s="478"/>
      <c r="QM47" s="478"/>
      <c r="QN47" s="478"/>
      <c r="QO47" s="478"/>
      <c r="QP47" s="478"/>
      <c r="QQ47" s="478"/>
      <c r="QR47" s="478"/>
      <c r="QS47" s="478"/>
      <c r="QT47" s="478"/>
      <c r="QU47" s="478"/>
      <c r="QV47" s="478"/>
      <c r="QW47" s="478"/>
      <c r="QX47" s="478"/>
      <c r="QY47" s="478"/>
      <c r="QZ47" s="478"/>
      <c r="RA47" s="478"/>
      <c r="RB47" s="478"/>
      <c r="RC47" s="478"/>
      <c r="RD47" s="478"/>
      <c r="RE47" s="478"/>
      <c r="RF47" s="478"/>
      <c r="RG47" s="478"/>
      <c r="RH47" s="478"/>
      <c r="RI47" s="478"/>
      <c r="RJ47" s="478"/>
      <c r="RK47" s="478"/>
      <c r="RL47" s="478"/>
      <c r="RM47" s="478"/>
      <c r="RN47" s="478"/>
      <c r="RO47" s="478"/>
      <c r="RP47" s="478"/>
      <c r="RQ47" s="478"/>
      <c r="RR47" s="478"/>
      <c r="RS47" s="478"/>
      <c r="RT47" s="478"/>
      <c r="RU47" s="478"/>
      <c r="RV47" s="478"/>
      <c r="RW47" s="478"/>
      <c r="RX47" s="478"/>
      <c r="RY47" s="478"/>
      <c r="RZ47" s="478"/>
      <c r="SA47" s="478"/>
      <c r="SB47" s="478"/>
      <c r="SC47" s="478"/>
      <c r="SD47" s="478"/>
      <c r="SE47" s="478"/>
      <c r="SF47" s="478"/>
      <c r="SG47" s="478"/>
      <c r="SH47" s="478"/>
      <c r="SI47" s="478"/>
      <c r="SJ47" s="478"/>
      <c r="SK47" s="478"/>
      <c r="SL47" s="478"/>
      <c r="SM47" s="478"/>
      <c r="SN47" s="478"/>
      <c r="SO47" s="478"/>
      <c r="SP47" s="478"/>
      <c r="SQ47" s="478"/>
      <c r="SR47" s="478"/>
      <c r="SS47" s="478"/>
      <c r="ST47" s="478"/>
      <c r="SU47" s="478"/>
      <c r="SV47" s="478"/>
      <c r="SW47" s="478"/>
      <c r="SX47" s="478"/>
      <c r="SY47" s="478"/>
      <c r="SZ47" s="478"/>
      <c r="TA47" s="478"/>
      <c r="TB47" s="478"/>
      <c r="TC47" s="478"/>
      <c r="TD47" s="478"/>
      <c r="TE47" s="478"/>
      <c r="TF47" s="478"/>
      <c r="TG47" s="478"/>
      <c r="TH47" s="478"/>
      <c r="TI47" s="478"/>
      <c r="TJ47" s="478"/>
      <c r="TK47" s="478"/>
      <c r="TL47" s="478"/>
      <c r="TM47" s="478"/>
      <c r="TN47" s="478"/>
      <c r="TO47" s="478"/>
      <c r="TP47" s="478"/>
      <c r="TQ47" s="478"/>
      <c r="TR47" s="478"/>
      <c r="TS47" s="478"/>
      <c r="TT47" s="478"/>
      <c r="TU47" s="478"/>
      <c r="TV47" s="478"/>
      <c r="TW47" s="478"/>
      <c r="TX47" s="478"/>
      <c r="TY47" s="478"/>
      <c r="TZ47" s="478"/>
      <c r="UA47" s="478"/>
      <c r="UB47" s="478"/>
      <c r="UC47" s="478"/>
      <c r="UD47" s="478"/>
      <c r="UE47" s="478"/>
      <c r="UF47" s="478"/>
      <c r="UG47" s="478"/>
      <c r="UH47" s="478"/>
      <c r="UI47" s="478"/>
      <c r="UJ47" s="478"/>
      <c r="UK47" s="478"/>
      <c r="UL47" s="478"/>
      <c r="UM47" s="478"/>
      <c r="UN47" s="478"/>
      <c r="UO47" s="478"/>
      <c r="UP47" s="478"/>
      <c r="UQ47" s="478"/>
      <c r="UR47" s="478"/>
      <c r="US47" s="478"/>
      <c r="UT47" s="478"/>
      <c r="UU47" s="478"/>
      <c r="UV47" s="478"/>
      <c r="UW47" s="478"/>
      <c r="UX47" s="478"/>
      <c r="UY47" s="478"/>
      <c r="UZ47" s="478"/>
      <c r="VA47" s="478"/>
      <c r="VB47" s="478"/>
      <c r="VC47" s="478"/>
      <c r="VD47" s="478"/>
      <c r="VE47" s="478"/>
      <c r="VF47" s="478"/>
      <c r="VG47" s="478"/>
      <c r="VH47" s="478"/>
      <c r="VI47" s="478"/>
      <c r="VJ47" s="478"/>
      <c r="VK47" s="478"/>
      <c r="VL47" s="478"/>
      <c r="VM47" s="478"/>
      <c r="VN47" s="478"/>
      <c r="VO47" s="478"/>
      <c r="VP47" s="478"/>
      <c r="VQ47" s="478"/>
      <c r="VR47" s="478"/>
      <c r="VS47" s="478"/>
      <c r="VT47" s="478"/>
      <c r="VU47" s="478"/>
      <c r="VV47" s="478"/>
      <c r="VW47" s="478"/>
      <c r="VX47" s="478"/>
      <c r="VY47" s="478"/>
      <c r="VZ47" s="478"/>
      <c r="WA47" s="478"/>
      <c r="WB47" s="478"/>
      <c r="WC47" s="478"/>
      <c r="WD47" s="478"/>
      <c r="WE47" s="478"/>
      <c r="WF47" s="478"/>
      <c r="WG47" s="478"/>
      <c r="WH47" s="478"/>
      <c r="WI47" s="478"/>
      <c r="WJ47" s="478"/>
      <c r="WK47" s="478"/>
      <c r="WL47" s="478"/>
      <c r="WM47" s="478"/>
      <c r="WN47" s="478"/>
      <c r="WO47" s="478"/>
      <c r="WP47" s="478"/>
      <c r="WQ47" s="478"/>
      <c r="WR47" s="478"/>
      <c r="WS47" s="478"/>
      <c r="WT47" s="478"/>
      <c r="WU47" s="478"/>
      <c r="WV47" s="478"/>
      <c r="WW47" s="478"/>
      <c r="WX47" s="478"/>
      <c r="WY47" s="478"/>
      <c r="WZ47" s="478"/>
      <c r="XA47" s="478"/>
      <c r="XB47" s="478"/>
      <c r="XC47" s="478"/>
      <c r="XD47" s="478"/>
      <c r="XE47" s="478"/>
      <c r="XF47" s="478"/>
      <c r="XG47" s="478"/>
      <c r="XH47" s="478"/>
      <c r="XI47" s="478"/>
      <c r="XJ47" s="478"/>
      <c r="XK47" s="478"/>
      <c r="XL47" s="478"/>
      <c r="XM47" s="478"/>
      <c r="XN47" s="478"/>
      <c r="XO47" s="478"/>
      <c r="XP47" s="478"/>
      <c r="XQ47" s="478"/>
      <c r="XR47" s="478"/>
      <c r="XS47" s="478"/>
      <c r="XT47" s="478"/>
      <c r="XU47" s="478"/>
      <c r="XV47" s="478"/>
      <c r="XW47" s="478"/>
      <c r="XX47" s="478"/>
      <c r="XY47" s="478"/>
      <c r="XZ47" s="478"/>
      <c r="YA47" s="478"/>
      <c r="YB47" s="478"/>
      <c r="YC47" s="478"/>
      <c r="YD47" s="478"/>
      <c r="YE47" s="478"/>
      <c r="YF47" s="478"/>
      <c r="YG47" s="478"/>
      <c r="YH47" s="478"/>
      <c r="YI47" s="478"/>
      <c r="YJ47" s="478"/>
      <c r="YK47" s="478"/>
      <c r="YL47" s="478"/>
      <c r="YM47" s="478"/>
      <c r="YN47" s="478"/>
      <c r="YO47" s="478"/>
      <c r="YP47" s="478"/>
      <c r="YQ47" s="478"/>
      <c r="YR47" s="478"/>
      <c r="YS47" s="478"/>
      <c r="YT47" s="478"/>
      <c r="YU47" s="478"/>
      <c r="YV47" s="478"/>
      <c r="YW47" s="478"/>
      <c r="YX47" s="478"/>
      <c r="YY47" s="478"/>
      <c r="YZ47" s="478"/>
      <c r="ZA47" s="478"/>
      <c r="ZB47" s="478"/>
      <c r="ZC47" s="478"/>
      <c r="ZD47" s="478"/>
      <c r="ZE47" s="478"/>
      <c r="ZF47" s="478"/>
      <c r="ZG47" s="478"/>
      <c r="ZH47" s="478"/>
      <c r="ZI47" s="478"/>
      <c r="ZJ47" s="478"/>
      <c r="ZK47" s="478"/>
      <c r="ZL47" s="478"/>
      <c r="ZM47" s="478"/>
      <c r="ZN47" s="478"/>
      <c r="ZO47" s="478"/>
      <c r="ZP47" s="478"/>
      <c r="ZQ47" s="478"/>
      <c r="ZR47" s="478"/>
      <c r="ZS47" s="478"/>
      <c r="ZT47" s="478"/>
      <c r="ZU47" s="478"/>
      <c r="ZV47" s="478"/>
      <c r="ZW47" s="478"/>
      <c r="ZX47" s="478"/>
      <c r="ZY47" s="478"/>
      <c r="ZZ47" s="478"/>
      <c r="AAA47" s="478"/>
      <c r="AAB47" s="478"/>
      <c r="AAC47" s="478"/>
      <c r="AAD47" s="478"/>
      <c r="AAE47" s="478"/>
      <c r="AAF47" s="478"/>
      <c r="AAG47" s="478"/>
      <c r="AAH47" s="478"/>
      <c r="AAI47" s="478"/>
      <c r="AAJ47" s="478"/>
      <c r="AAK47" s="478"/>
      <c r="AAL47" s="478"/>
      <c r="AAM47" s="478"/>
      <c r="AAN47" s="478"/>
      <c r="AAO47" s="478"/>
      <c r="AAP47" s="478"/>
      <c r="AAQ47" s="478"/>
      <c r="AAR47" s="478"/>
      <c r="AAS47" s="478"/>
      <c r="AAT47" s="478"/>
      <c r="AAU47" s="478"/>
      <c r="AAV47" s="478"/>
      <c r="AAW47" s="478"/>
      <c r="AAX47" s="478"/>
      <c r="AAY47" s="478"/>
      <c r="AAZ47" s="478"/>
      <c r="ABA47" s="478"/>
      <c r="ABB47" s="478"/>
      <c r="ABC47" s="478"/>
      <c r="ABD47" s="478"/>
      <c r="ABE47" s="478"/>
      <c r="ABF47" s="478"/>
      <c r="ABG47" s="478"/>
      <c r="ABH47" s="478"/>
      <c r="ABI47" s="478"/>
      <c r="ABJ47" s="478"/>
      <c r="ABK47" s="478"/>
      <c r="ABL47" s="478"/>
      <c r="ABM47" s="478"/>
      <c r="ABN47" s="478"/>
      <c r="ABO47" s="478"/>
      <c r="ABP47" s="478"/>
      <c r="ABQ47" s="478"/>
      <c r="ABR47" s="478"/>
      <c r="ABS47" s="478"/>
      <c r="ABT47" s="478"/>
      <c r="ABU47" s="478"/>
      <c r="ABV47" s="478"/>
      <c r="ABW47" s="478"/>
      <c r="ABX47" s="478"/>
      <c r="ABY47" s="478"/>
      <c r="ABZ47" s="478"/>
      <c r="ACA47" s="478"/>
      <c r="ACB47" s="478"/>
      <c r="ACC47" s="478"/>
      <c r="ACD47" s="478"/>
      <c r="ACE47" s="478"/>
      <c r="ACF47" s="478"/>
      <c r="ACG47" s="478"/>
      <c r="ACH47" s="478"/>
      <c r="ACI47" s="478"/>
      <c r="ACJ47" s="478"/>
      <c r="ACK47" s="478"/>
      <c r="ACL47" s="478"/>
      <c r="ACM47" s="478"/>
      <c r="ACN47" s="478"/>
      <c r="ACO47" s="478"/>
      <c r="ACP47" s="478"/>
      <c r="ACQ47" s="478"/>
      <c r="ACR47" s="478"/>
      <c r="ACS47" s="478"/>
      <c r="ACT47" s="478"/>
      <c r="ACU47" s="478"/>
      <c r="ACV47" s="478"/>
      <c r="ACW47" s="478"/>
      <c r="ACX47" s="478"/>
      <c r="ACY47" s="478"/>
      <c r="ACZ47" s="478"/>
      <c r="ADA47" s="478"/>
      <c r="ADB47" s="478"/>
      <c r="ADC47" s="478"/>
      <c r="ADD47" s="478"/>
      <c r="ADE47" s="478"/>
      <c r="ADF47" s="478"/>
      <c r="ADG47" s="478"/>
      <c r="ADH47" s="478"/>
      <c r="ADI47" s="478"/>
      <c r="ADJ47" s="478"/>
      <c r="ADK47" s="478"/>
      <c r="ADL47" s="478"/>
      <c r="ADM47" s="478"/>
      <c r="ADN47" s="478"/>
      <c r="ADO47" s="478"/>
      <c r="ADP47" s="478"/>
      <c r="ADQ47" s="478"/>
      <c r="ADR47" s="478"/>
      <c r="ADS47" s="478"/>
      <c r="ADT47" s="478"/>
      <c r="ADU47" s="478"/>
      <c r="ADV47" s="478"/>
      <c r="ADW47" s="478"/>
      <c r="ADX47" s="478"/>
      <c r="ADY47" s="478"/>
      <c r="ADZ47" s="478"/>
      <c r="AEA47" s="478"/>
      <c r="AEB47" s="478"/>
      <c r="AEC47" s="478"/>
      <c r="AED47" s="478"/>
      <c r="AEE47" s="478"/>
      <c r="AEF47" s="478"/>
      <c r="AEG47" s="478"/>
      <c r="AEH47" s="478"/>
      <c r="AEI47" s="478"/>
      <c r="AEJ47" s="478"/>
      <c r="AEK47" s="478"/>
      <c r="AEL47" s="478"/>
      <c r="AEM47" s="478"/>
      <c r="AEN47" s="478"/>
      <c r="AEO47" s="478"/>
      <c r="AEP47" s="478"/>
      <c r="AEQ47" s="478"/>
      <c r="AER47" s="478"/>
      <c r="AES47" s="478"/>
      <c r="AET47" s="478"/>
      <c r="AEU47" s="478"/>
      <c r="AEV47" s="478"/>
      <c r="AEW47" s="478"/>
      <c r="AEX47" s="478"/>
      <c r="AEY47" s="478"/>
      <c r="AEZ47" s="478"/>
      <c r="AFA47" s="478"/>
      <c r="AFB47" s="478"/>
      <c r="AFC47" s="478"/>
      <c r="AFD47" s="478"/>
      <c r="AFE47" s="478"/>
      <c r="AFF47" s="478"/>
      <c r="AFG47" s="478"/>
      <c r="AFH47" s="478"/>
      <c r="AFI47" s="478"/>
      <c r="AFJ47" s="478"/>
      <c r="AFK47" s="478"/>
      <c r="AFL47" s="478"/>
      <c r="AFM47" s="478"/>
      <c r="AFN47" s="478"/>
      <c r="AFO47" s="478"/>
      <c r="AFP47" s="478"/>
      <c r="AFQ47" s="478"/>
      <c r="AFR47" s="478"/>
      <c r="AFS47" s="478"/>
      <c r="AFT47" s="478"/>
      <c r="AFU47" s="478"/>
      <c r="AFV47" s="478"/>
      <c r="AFW47" s="478"/>
      <c r="AFX47" s="478"/>
      <c r="AFY47" s="478"/>
      <c r="AFZ47" s="478"/>
      <c r="AGA47" s="478"/>
      <c r="AGB47" s="478"/>
      <c r="AGC47" s="478"/>
      <c r="AGD47" s="478"/>
      <c r="AGE47" s="478"/>
      <c r="AGF47" s="478"/>
      <c r="AGG47" s="478"/>
      <c r="AGH47" s="478"/>
      <c r="AGI47" s="478"/>
      <c r="AGJ47" s="478"/>
      <c r="AGK47" s="478"/>
      <c r="AGL47" s="478"/>
      <c r="AGM47" s="478"/>
      <c r="AGN47" s="478"/>
      <c r="AGO47" s="478"/>
      <c r="AGP47" s="478"/>
      <c r="AGQ47" s="478"/>
      <c r="AGR47" s="478"/>
      <c r="AGS47" s="478"/>
      <c r="AGT47" s="478"/>
      <c r="AGU47" s="478"/>
      <c r="AGV47" s="478"/>
      <c r="AGW47" s="478"/>
      <c r="AGX47" s="478"/>
      <c r="AGY47" s="478"/>
      <c r="AGZ47" s="478"/>
      <c r="AHA47" s="478"/>
      <c r="AHB47" s="478"/>
      <c r="AHC47" s="478"/>
      <c r="AHD47" s="478"/>
      <c r="AHE47" s="478"/>
      <c r="AHF47" s="478"/>
      <c r="AHG47" s="478"/>
      <c r="AHH47" s="478"/>
      <c r="AHI47" s="478"/>
      <c r="AHJ47" s="478"/>
      <c r="AHK47" s="478"/>
      <c r="AHL47" s="478"/>
      <c r="AHM47" s="478"/>
      <c r="AHN47" s="478"/>
      <c r="AHO47" s="478"/>
      <c r="AHP47" s="478"/>
      <c r="AHQ47" s="478"/>
      <c r="AHR47" s="478"/>
      <c r="AHS47" s="478"/>
      <c r="AHT47" s="478"/>
      <c r="AHU47" s="478"/>
      <c r="AHV47" s="478"/>
      <c r="AHW47" s="478"/>
      <c r="AHX47" s="478"/>
      <c r="AHY47" s="478"/>
      <c r="AHZ47" s="478"/>
      <c r="AIA47" s="478"/>
      <c r="AIB47" s="478"/>
      <c r="AIC47" s="478"/>
      <c r="AID47" s="478"/>
      <c r="AIE47" s="478"/>
      <c r="AIF47" s="478"/>
      <c r="AIG47" s="478"/>
      <c r="AIH47" s="478"/>
      <c r="AII47" s="478"/>
      <c r="AIJ47" s="478"/>
      <c r="AIK47" s="478"/>
      <c r="AIL47" s="478"/>
      <c r="AIM47" s="478"/>
      <c r="AIN47" s="478"/>
      <c r="AIO47" s="478"/>
      <c r="AIP47" s="478"/>
      <c r="AIQ47" s="478"/>
      <c r="AIR47" s="478"/>
      <c r="AIS47" s="478"/>
      <c r="AIT47" s="478"/>
      <c r="AIU47" s="478"/>
      <c r="AIV47" s="478"/>
      <c r="AIW47" s="478"/>
      <c r="AIX47" s="478"/>
      <c r="AIY47" s="478"/>
      <c r="AIZ47" s="478"/>
      <c r="AJA47" s="478"/>
      <c r="AJB47" s="478"/>
      <c r="AJC47" s="478"/>
      <c r="AJD47" s="478"/>
      <c r="AJE47" s="478"/>
      <c r="AJF47" s="478"/>
      <c r="AJG47" s="478"/>
      <c r="AJH47" s="478"/>
      <c r="AJI47" s="478"/>
      <c r="AJJ47" s="478"/>
      <c r="AJK47" s="478"/>
      <c r="AJL47" s="478"/>
      <c r="AJM47" s="478"/>
      <c r="AJN47" s="478"/>
      <c r="AJO47" s="478"/>
      <c r="AJP47" s="478"/>
      <c r="AJQ47" s="478"/>
      <c r="AJR47" s="478"/>
      <c r="AJS47" s="478"/>
      <c r="AJT47" s="478"/>
      <c r="AJU47" s="478"/>
      <c r="AJV47" s="478"/>
      <c r="AJW47" s="478"/>
      <c r="AJX47" s="478"/>
      <c r="AJY47" s="478"/>
      <c r="AJZ47" s="478"/>
      <c r="AKA47" s="478"/>
      <c r="AKB47" s="478"/>
      <c r="AKC47" s="478"/>
      <c r="AKD47" s="478"/>
      <c r="AKE47" s="478"/>
      <c r="AKF47" s="478"/>
      <c r="AKG47" s="478"/>
      <c r="AKH47" s="478"/>
      <c r="AKI47" s="478"/>
      <c r="AKJ47" s="478"/>
      <c r="AKK47" s="478"/>
      <c r="AKL47" s="478"/>
      <c r="AKM47" s="478"/>
      <c r="AKN47" s="478"/>
      <c r="AKO47" s="478"/>
      <c r="AKP47" s="478"/>
      <c r="AKQ47" s="478"/>
      <c r="AKR47" s="478"/>
      <c r="AKS47" s="478"/>
      <c r="AKT47" s="478"/>
      <c r="AKU47" s="478"/>
      <c r="AKV47" s="478"/>
      <c r="AKW47" s="478"/>
      <c r="AKX47" s="478"/>
      <c r="AKY47" s="478"/>
      <c r="AKZ47" s="478"/>
      <c r="ALA47" s="478"/>
      <c r="ALB47" s="478"/>
      <c r="ALC47" s="478"/>
      <c r="ALD47" s="478"/>
      <c r="ALE47" s="478"/>
      <c r="ALF47" s="478"/>
      <c r="ALG47" s="478"/>
      <c r="ALH47" s="478"/>
      <c r="ALI47" s="478"/>
      <c r="ALJ47" s="478"/>
      <c r="ALK47" s="478"/>
      <c r="ALL47" s="478"/>
      <c r="ALM47" s="478"/>
      <c r="ALN47" s="478"/>
      <c r="ALO47" s="478"/>
      <c r="ALP47" s="478"/>
      <c r="ALQ47" s="478"/>
      <c r="ALR47" s="478"/>
      <c r="ALS47" s="478"/>
      <c r="ALT47" s="478"/>
      <c r="ALU47" s="478"/>
      <c r="ALV47" s="478"/>
      <c r="ALW47" s="478"/>
      <c r="ALX47" s="478"/>
      <c r="ALY47" s="478"/>
      <c r="ALZ47" s="478"/>
      <c r="AMA47" s="478"/>
      <c r="AMB47" s="478"/>
      <c r="AMC47" s="478"/>
      <c r="AMD47" s="478"/>
      <c r="AME47" s="478"/>
      <c r="AMF47" s="478"/>
      <c r="AMG47" s="478"/>
      <c r="AMH47" s="478"/>
      <c r="AMI47" s="478"/>
      <c r="AMJ47" s="478"/>
      <c r="AMK47" s="478"/>
      <c r="AML47" s="478"/>
      <c r="AMM47" s="478"/>
      <c r="AMN47" s="478"/>
      <c r="AMO47" s="478"/>
      <c r="AMP47" s="478"/>
      <c r="AMQ47" s="478"/>
      <c r="AMR47" s="478"/>
      <c r="AMS47" s="478"/>
      <c r="AMT47" s="478"/>
      <c r="AMU47" s="478"/>
      <c r="AMV47" s="478"/>
      <c r="AMW47" s="478"/>
      <c r="AMX47" s="478"/>
      <c r="AMY47" s="478"/>
      <c r="AMZ47" s="478"/>
      <c r="ANA47" s="478"/>
      <c r="ANB47" s="478"/>
      <c r="ANC47" s="478"/>
      <c r="AND47" s="478"/>
      <c r="ANE47" s="478"/>
      <c r="ANF47" s="478"/>
      <c r="ANG47" s="478"/>
      <c r="ANH47" s="478"/>
      <c r="ANI47" s="478"/>
      <c r="ANJ47" s="478"/>
      <c r="ANK47" s="478"/>
      <c r="ANL47" s="478"/>
      <c r="ANM47" s="478"/>
      <c r="ANN47" s="478"/>
      <c r="ANO47" s="478"/>
      <c r="ANP47" s="478"/>
      <c r="ANQ47" s="478"/>
      <c r="ANR47" s="478"/>
      <c r="ANS47" s="478"/>
      <c r="ANT47" s="478"/>
      <c r="ANU47" s="478"/>
      <c r="ANV47" s="478"/>
      <c r="ANW47" s="478"/>
      <c r="ANX47" s="478"/>
      <c r="ANY47" s="478"/>
      <c r="ANZ47" s="478"/>
      <c r="AOA47" s="478"/>
      <c r="AOB47" s="478"/>
      <c r="AOC47" s="478"/>
      <c r="AOD47" s="478"/>
      <c r="AOE47" s="478"/>
      <c r="AOF47" s="478"/>
      <c r="AOG47" s="478"/>
      <c r="AOH47" s="478"/>
      <c r="AOI47" s="478"/>
      <c r="AOJ47" s="478"/>
      <c r="AOK47" s="478"/>
      <c r="AOL47" s="478"/>
      <c r="AOM47" s="478"/>
      <c r="AON47" s="478"/>
      <c r="AOO47" s="478"/>
      <c r="AOP47" s="478"/>
      <c r="AOQ47" s="478"/>
      <c r="AOR47" s="478"/>
      <c r="AOS47" s="478"/>
      <c r="AOT47" s="478"/>
      <c r="AOU47" s="478"/>
      <c r="AOV47" s="478"/>
      <c r="AOW47" s="478"/>
      <c r="AOX47" s="478"/>
      <c r="AOY47" s="478"/>
      <c r="AOZ47" s="478"/>
      <c r="APA47" s="478"/>
      <c r="APB47" s="478"/>
      <c r="APC47" s="478"/>
      <c r="APD47" s="478"/>
      <c r="APE47" s="478"/>
      <c r="APF47" s="478"/>
      <c r="APG47" s="478"/>
      <c r="APH47" s="478"/>
      <c r="API47" s="478"/>
      <c r="APJ47" s="478"/>
      <c r="APK47" s="478"/>
      <c r="APL47" s="478"/>
      <c r="APM47" s="478"/>
      <c r="APN47" s="478"/>
      <c r="APO47" s="478"/>
      <c r="APP47" s="478"/>
      <c r="APQ47" s="478"/>
      <c r="APR47" s="478"/>
      <c r="APS47" s="478"/>
      <c r="APT47" s="478"/>
      <c r="APU47" s="478"/>
      <c r="APV47" s="478"/>
      <c r="APW47" s="478"/>
      <c r="APX47" s="478"/>
      <c r="APY47" s="478"/>
      <c r="APZ47" s="478"/>
      <c r="AQA47" s="478"/>
      <c r="AQB47" s="478"/>
      <c r="AQC47" s="478"/>
      <c r="AQD47" s="478"/>
      <c r="AQE47" s="478"/>
      <c r="AQF47" s="478"/>
      <c r="AQG47" s="478"/>
      <c r="AQH47" s="478"/>
      <c r="AQI47" s="478"/>
      <c r="AQJ47" s="478"/>
      <c r="AQK47" s="478"/>
      <c r="AQL47" s="478"/>
      <c r="AQM47" s="478"/>
      <c r="AQN47" s="478"/>
      <c r="AQO47" s="478"/>
      <c r="AQP47" s="478"/>
      <c r="AQQ47" s="478"/>
      <c r="AQR47" s="478"/>
      <c r="AQS47" s="478"/>
      <c r="AQT47" s="478"/>
      <c r="AQU47" s="478"/>
      <c r="AQV47" s="478"/>
      <c r="AQW47" s="478"/>
      <c r="AQX47" s="478"/>
      <c r="AQY47" s="478"/>
      <c r="AQZ47" s="478"/>
      <c r="ARA47" s="478"/>
      <c r="ARB47" s="478"/>
      <c r="ARC47" s="478"/>
      <c r="ARD47" s="478"/>
      <c r="ARE47" s="478"/>
      <c r="ARF47" s="478"/>
      <c r="ARG47" s="478"/>
      <c r="ARH47" s="478"/>
      <c r="ARI47" s="478"/>
      <c r="ARJ47" s="478"/>
      <c r="ARK47" s="478"/>
      <c r="ARL47" s="478"/>
      <c r="ARM47" s="478"/>
      <c r="ARN47" s="478"/>
      <c r="ARO47" s="478"/>
      <c r="ARP47" s="478"/>
      <c r="ARQ47" s="478"/>
      <c r="ARR47" s="478"/>
      <c r="ARS47" s="478"/>
      <c r="ART47" s="478"/>
      <c r="ARU47" s="478"/>
      <c r="ARV47" s="478"/>
      <c r="ARW47" s="478"/>
      <c r="ARX47" s="478"/>
      <c r="ARY47" s="478"/>
      <c r="ARZ47" s="478"/>
      <c r="ASA47" s="478"/>
      <c r="ASB47" s="478"/>
      <c r="ASC47" s="478"/>
      <c r="ASD47" s="478"/>
      <c r="ASE47" s="478"/>
      <c r="ASF47" s="478"/>
      <c r="ASG47" s="478"/>
      <c r="ASH47" s="478"/>
      <c r="ASI47" s="478"/>
      <c r="ASJ47" s="478"/>
      <c r="ASK47" s="478"/>
      <c r="ASL47" s="478"/>
      <c r="ASM47" s="478"/>
      <c r="ASN47" s="478"/>
      <c r="ASO47" s="478"/>
      <c r="ASP47" s="478"/>
      <c r="ASQ47" s="478"/>
      <c r="ASR47" s="478"/>
      <c r="ASS47" s="478"/>
      <c r="AST47" s="478"/>
      <c r="ASU47" s="478"/>
      <c r="ASV47" s="478"/>
      <c r="ASW47" s="478"/>
      <c r="ASX47" s="478"/>
      <c r="ASY47" s="478"/>
      <c r="ASZ47" s="478"/>
      <c r="ATA47" s="478"/>
      <c r="ATB47" s="478"/>
      <c r="ATC47" s="478"/>
      <c r="ATD47" s="478"/>
      <c r="ATE47" s="478"/>
      <c r="ATF47" s="478"/>
      <c r="ATG47" s="478"/>
      <c r="ATH47" s="478"/>
      <c r="ATI47" s="478"/>
      <c r="ATJ47" s="478"/>
      <c r="ATK47" s="478"/>
      <c r="ATL47" s="478"/>
      <c r="ATM47" s="478"/>
      <c r="ATN47" s="478"/>
      <c r="ATO47" s="478"/>
      <c r="ATP47" s="478"/>
      <c r="ATQ47" s="478"/>
      <c r="ATR47" s="478"/>
      <c r="ATS47" s="478"/>
      <c r="ATT47" s="478"/>
      <c r="ATU47" s="478"/>
      <c r="ATV47" s="478"/>
      <c r="ATW47" s="478"/>
      <c r="ATX47" s="478"/>
      <c r="ATY47" s="478"/>
      <c r="ATZ47" s="478"/>
      <c r="AUA47" s="478"/>
      <c r="AUB47" s="478"/>
      <c r="AUC47" s="478"/>
      <c r="AUD47" s="478"/>
      <c r="AUE47" s="478"/>
      <c r="AUF47" s="478"/>
      <c r="AUG47" s="478"/>
      <c r="AUH47" s="478"/>
      <c r="AUI47" s="478"/>
      <c r="AUJ47" s="478"/>
      <c r="AUK47" s="478"/>
      <c r="AUL47" s="478"/>
      <c r="AUM47" s="478"/>
      <c r="AUN47" s="478"/>
      <c r="AUO47" s="478"/>
      <c r="AUP47" s="478"/>
      <c r="AUQ47" s="478"/>
      <c r="AUR47" s="478"/>
      <c r="AUS47" s="478"/>
      <c r="AUT47" s="478"/>
      <c r="AUU47" s="478"/>
      <c r="AUV47" s="478"/>
      <c r="AUW47" s="478"/>
      <c r="AUX47" s="478"/>
      <c r="AUY47" s="478"/>
      <c r="AUZ47" s="478"/>
      <c r="AVA47" s="478"/>
      <c r="AVB47" s="478"/>
      <c r="AVC47" s="478"/>
      <c r="AVD47" s="478"/>
      <c r="AVE47" s="478"/>
      <c r="AVF47" s="478"/>
      <c r="AVG47" s="478"/>
      <c r="AVH47" s="478"/>
      <c r="AVI47" s="478"/>
      <c r="AVJ47" s="478"/>
      <c r="AVK47" s="478"/>
      <c r="AVL47" s="478"/>
      <c r="AVM47" s="478"/>
      <c r="AVN47" s="478"/>
      <c r="AVO47" s="478"/>
      <c r="AVP47" s="478"/>
      <c r="AVQ47" s="478"/>
      <c r="AVR47" s="478"/>
      <c r="AVS47" s="478"/>
      <c r="AVT47" s="478"/>
      <c r="AVU47" s="478"/>
      <c r="AVV47" s="478"/>
      <c r="AVW47" s="478"/>
      <c r="AVX47" s="478"/>
      <c r="AVY47" s="478"/>
      <c r="AVZ47" s="478"/>
      <c r="AWA47" s="478"/>
      <c r="AWB47" s="478"/>
      <c r="AWC47" s="478"/>
      <c r="AWD47" s="478"/>
      <c r="AWE47" s="478"/>
      <c r="AWF47" s="478"/>
      <c r="AWG47" s="478"/>
      <c r="AWH47" s="478"/>
      <c r="AWI47" s="478"/>
      <c r="AWJ47" s="478"/>
      <c r="AWK47" s="478"/>
      <c r="AWL47" s="478"/>
      <c r="AWM47" s="478"/>
      <c r="AWN47" s="478"/>
      <c r="AWO47" s="478"/>
      <c r="AWP47" s="478"/>
      <c r="AWQ47" s="478"/>
      <c r="AWR47" s="478"/>
      <c r="AWS47" s="478"/>
      <c r="AWT47" s="478"/>
      <c r="AWU47" s="478"/>
      <c r="AWV47" s="478"/>
      <c r="AWW47" s="478"/>
      <c r="AWX47" s="478"/>
      <c r="AWY47" s="478"/>
      <c r="AWZ47" s="478"/>
      <c r="AXA47" s="478"/>
      <c r="AXB47" s="478"/>
      <c r="AXC47" s="478"/>
      <c r="AXD47" s="478"/>
      <c r="AXE47" s="478"/>
      <c r="AXF47" s="478"/>
      <c r="AXG47" s="478"/>
      <c r="AXH47" s="478"/>
      <c r="AXI47" s="478"/>
      <c r="AXJ47" s="478"/>
      <c r="AXK47" s="478"/>
      <c r="AXL47" s="478"/>
      <c r="AXM47" s="478"/>
      <c r="AXN47" s="478"/>
      <c r="AXO47" s="478"/>
      <c r="AXP47" s="478"/>
      <c r="AXQ47" s="478"/>
      <c r="AXR47" s="478"/>
      <c r="AXS47" s="478"/>
      <c r="AXT47" s="478"/>
      <c r="AXU47" s="478"/>
      <c r="AXV47" s="478"/>
      <c r="AXW47" s="478"/>
      <c r="AXX47" s="478"/>
      <c r="AXY47" s="478"/>
      <c r="AXZ47" s="478"/>
      <c r="AYA47" s="478"/>
      <c r="AYB47" s="478"/>
      <c r="AYC47" s="478"/>
      <c r="AYD47" s="478"/>
      <c r="AYE47" s="478"/>
      <c r="AYF47" s="478"/>
      <c r="AYG47" s="478"/>
      <c r="AYH47" s="478"/>
      <c r="AYI47" s="478"/>
      <c r="AYJ47" s="478"/>
      <c r="AYK47" s="478"/>
      <c r="AYL47" s="478"/>
      <c r="AYM47" s="478"/>
      <c r="AYN47" s="478"/>
      <c r="AYO47" s="478"/>
      <c r="AYP47" s="478"/>
      <c r="AYQ47" s="478"/>
      <c r="AYR47" s="478"/>
      <c r="AYS47" s="478"/>
      <c r="AYT47" s="478"/>
      <c r="AYU47" s="478"/>
      <c r="AYV47" s="478"/>
      <c r="AYW47" s="478"/>
      <c r="AYX47" s="478"/>
      <c r="AYY47" s="478"/>
      <c r="AYZ47" s="478"/>
      <c r="AZA47" s="478"/>
      <c r="AZB47" s="478"/>
      <c r="AZC47" s="478"/>
      <c r="AZD47" s="478"/>
      <c r="AZE47" s="478"/>
      <c r="AZF47" s="478"/>
      <c r="AZG47" s="478"/>
      <c r="AZH47" s="478"/>
      <c r="AZI47" s="478"/>
      <c r="AZJ47" s="478"/>
      <c r="AZK47" s="478"/>
      <c r="AZL47" s="478"/>
      <c r="AZM47" s="478"/>
      <c r="AZN47" s="478"/>
      <c r="AZO47" s="478"/>
      <c r="AZP47" s="478"/>
      <c r="AZQ47" s="478"/>
      <c r="AZR47" s="478"/>
      <c r="AZS47" s="478"/>
      <c r="AZT47" s="478"/>
      <c r="AZU47" s="478"/>
      <c r="AZV47" s="478"/>
      <c r="AZW47" s="478"/>
      <c r="AZX47" s="478"/>
      <c r="AZY47" s="478"/>
      <c r="AZZ47" s="478"/>
      <c r="BAA47" s="478"/>
      <c r="BAB47" s="478"/>
      <c r="BAC47" s="478"/>
      <c r="BAD47" s="478"/>
      <c r="BAE47" s="478"/>
      <c r="BAF47" s="478"/>
      <c r="BAG47" s="478"/>
      <c r="BAH47" s="478"/>
      <c r="BAI47" s="478"/>
      <c r="BAJ47" s="478"/>
      <c r="BAK47" s="478"/>
      <c r="BAL47" s="478"/>
      <c r="BAM47" s="478"/>
      <c r="BAN47" s="478"/>
      <c r="BAO47" s="478"/>
      <c r="BAP47" s="478"/>
      <c r="BAQ47" s="478"/>
      <c r="BAR47" s="478"/>
      <c r="BAS47" s="478"/>
      <c r="BAT47" s="478"/>
      <c r="BAU47" s="478"/>
      <c r="BAV47" s="478"/>
      <c r="BAW47" s="478"/>
      <c r="BAX47" s="478"/>
      <c r="BAY47" s="478"/>
      <c r="BAZ47" s="478"/>
      <c r="BBA47" s="478"/>
      <c r="BBB47" s="478"/>
      <c r="BBC47" s="478"/>
      <c r="BBD47" s="478"/>
      <c r="BBE47" s="478"/>
      <c r="BBF47" s="478"/>
      <c r="BBG47" s="478"/>
      <c r="BBH47" s="478"/>
      <c r="BBI47" s="478"/>
      <c r="BBJ47" s="478"/>
      <c r="BBK47" s="478"/>
      <c r="BBL47" s="478"/>
      <c r="BBM47" s="478"/>
      <c r="BBN47" s="478"/>
      <c r="BBO47" s="478"/>
      <c r="BBP47" s="478"/>
      <c r="BBQ47" s="478"/>
      <c r="BBR47" s="478"/>
      <c r="BBS47" s="478"/>
      <c r="BBT47" s="478"/>
      <c r="BBU47" s="478"/>
      <c r="BBV47" s="478"/>
      <c r="BBW47" s="478"/>
      <c r="BBX47" s="478"/>
      <c r="BBY47" s="478"/>
      <c r="BBZ47" s="478"/>
      <c r="BCA47" s="478"/>
      <c r="BCB47" s="478"/>
      <c r="BCC47" s="478"/>
      <c r="BCD47" s="478"/>
      <c r="BCE47" s="478"/>
      <c r="BCF47" s="478"/>
      <c r="BCG47" s="478"/>
      <c r="BCH47" s="478"/>
      <c r="BCI47" s="478"/>
      <c r="BCJ47" s="478"/>
      <c r="BCK47" s="478"/>
      <c r="BCL47" s="478"/>
      <c r="BCM47" s="478"/>
      <c r="BCN47" s="478"/>
      <c r="BCO47" s="478"/>
      <c r="BCP47" s="478"/>
      <c r="BCQ47" s="478"/>
      <c r="BCR47" s="478"/>
      <c r="BCS47" s="478"/>
      <c r="BCT47" s="478"/>
      <c r="BCU47" s="478"/>
      <c r="BCV47" s="478"/>
      <c r="BCW47" s="478"/>
      <c r="BCX47" s="478"/>
      <c r="BCY47" s="478"/>
      <c r="BCZ47" s="478"/>
      <c r="BDA47" s="478"/>
      <c r="BDB47" s="478"/>
      <c r="BDC47" s="478"/>
      <c r="BDD47" s="478"/>
      <c r="BDE47" s="478"/>
      <c r="BDF47" s="478"/>
      <c r="BDG47" s="478"/>
      <c r="BDH47" s="478"/>
      <c r="BDI47" s="478"/>
      <c r="BDJ47" s="478"/>
      <c r="BDK47" s="478"/>
      <c r="BDL47" s="478"/>
      <c r="BDM47" s="478"/>
      <c r="BDN47" s="478"/>
      <c r="BDO47" s="478"/>
      <c r="BDP47" s="478"/>
      <c r="BDQ47" s="478"/>
      <c r="BDR47" s="478"/>
      <c r="BDS47" s="478"/>
      <c r="BDT47" s="478"/>
      <c r="BDU47" s="478"/>
      <c r="BDV47" s="478"/>
      <c r="BDW47" s="478"/>
      <c r="BDX47" s="478"/>
      <c r="BDY47" s="478"/>
      <c r="BDZ47" s="478"/>
      <c r="BEA47" s="478"/>
      <c r="BEB47" s="478"/>
      <c r="BEC47" s="478"/>
      <c r="BED47" s="478"/>
      <c r="BEE47" s="478"/>
      <c r="BEF47" s="478"/>
      <c r="BEG47" s="478"/>
      <c r="BEH47" s="478"/>
      <c r="BEI47" s="478"/>
      <c r="BEJ47" s="478"/>
      <c r="BEK47" s="478"/>
      <c r="BEL47" s="478"/>
      <c r="BEM47" s="478"/>
      <c r="BEN47" s="478"/>
      <c r="BEO47" s="478"/>
      <c r="BEP47" s="478"/>
      <c r="BEQ47" s="478"/>
      <c r="BER47" s="478"/>
      <c r="BES47" s="478"/>
      <c r="BET47" s="478"/>
      <c r="BEU47" s="478"/>
      <c r="BEV47" s="478"/>
      <c r="BEW47" s="478"/>
      <c r="BEX47" s="478"/>
      <c r="BEY47" s="478"/>
      <c r="BEZ47" s="478"/>
      <c r="BFA47" s="478"/>
      <c r="BFB47" s="478"/>
      <c r="BFC47" s="478"/>
      <c r="BFD47" s="478"/>
      <c r="BFE47" s="478"/>
      <c r="BFF47" s="478"/>
      <c r="BFG47" s="478"/>
      <c r="BFH47" s="478"/>
      <c r="BFI47" s="478"/>
      <c r="BFJ47" s="478"/>
      <c r="BFK47" s="478"/>
      <c r="BFL47" s="478"/>
      <c r="BFM47" s="478"/>
      <c r="BFN47" s="478"/>
      <c r="BFO47" s="478"/>
      <c r="BFP47" s="478"/>
      <c r="BFQ47" s="478"/>
      <c r="BFR47" s="478"/>
      <c r="BFS47" s="478"/>
      <c r="BFT47" s="478"/>
      <c r="BFU47" s="478"/>
      <c r="BFV47" s="478"/>
      <c r="BFW47" s="478"/>
      <c r="BFX47" s="478"/>
      <c r="BFY47" s="478"/>
      <c r="BFZ47" s="478"/>
      <c r="BGA47" s="478"/>
      <c r="BGB47" s="478"/>
      <c r="BGC47" s="478"/>
      <c r="BGD47" s="478"/>
      <c r="BGE47" s="478"/>
      <c r="BGF47" s="478"/>
      <c r="BGG47" s="478"/>
      <c r="BGH47" s="478"/>
      <c r="BGI47" s="478"/>
      <c r="BGJ47" s="478"/>
      <c r="BGK47" s="478"/>
      <c r="BGL47" s="478"/>
      <c r="BGM47" s="478"/>
      <c r="BGN47" s="478"/>
      <c r="BGO47" s="478"/>
      <c r="BGP47" s="478"/>
      <c r="BGQ47" s="478"/>
      <c r="BGR47" s="478"/>
      <c r="BGS47" s="478"/>
      <c r="BGT47" s="478"/>
      <c r="BGU47" s="478"/>
      <c r="BGV47" s="478"/>
      <c r="BGW47" s="478"/>
      <c r="BGX47" s="478"/>
      <c r="BGY47" s="478"/>
      <c r="BGZ47" s="478"/>
      <c r="BHA47" s="478"/>
      <c r="BHB47" s="478"/>
      <c r="BHC47" s="478"/>
      <c r="BHD47" s="478"/>
      <c r="BHE47" s="478"/>
      <c r="BHF47" s="478"/>
      <c r="BHG47" s="478"/>
      <c r="BHH47" s="478"/>
      <c r="BHI47" s="478"/>
      <c r="BHJ47" s="478"/>
      <c r="BHK47" s="478"/>
      <c r="BHL47" s="478"/>
      <c r="BHM47" s="478"/>
      <c r="BHN47" s="478"/>
      <c r="BHO47" s="478"/>
      <c r="BHP47" s="478"/>
      <c r="BHQ47" s="478"/>
      <c r="BHR47" s="478"/>
      <c r="BHS47" s="478"/>
      <c r="BHT47" s="478"/>
      <c r="BHU47" s="478"/>
      <c r="BHV47" s="478"/>
      <c r="BHW47" s="478"/>
      <c r="BHX47" s="478"/>
      <c r="BHY47" s="478"/>
      <c r="BHZ47" s="478"/>
      <c r="BIA47" s="478"/>
      <c r="BIB47" s="478"/>
      <c r="BIC47" s="478"/>
      <c r="BID47" s="478"/>
      <c r="BIE47" s="478"/>
      <c r="BIF47" s="478"/>
      <c r="BIG47" s="478"/>
      <c r="BIH47" s="478"/>
      <c r="BII47" s="478"/>
      <c r="BIJ47" s="478"/>
      <c r="BIK47" s="478"/>
      <c r="BIL47" s="478"/>
      <c r="BIM47" s="478"/>
      <c r="BIN47" s="478"/>
      <c r="BIO47" s="478"/>
      <c r="BIP47" s="478"/>
      <c r="BIQ47" s="478"/>
      <c r="BIR47" s="478"/>
      <c r="BIS47" s="478"/>
      <c r="BIT47" s="478"/>
      <c r="BIU47" s="478"/>
      <c r="BIV47" s="478"/>
      <c r="BIW47" s="478"/>
      <c r="BIX47" s="478"/>
      <c r="BIY47" s="478"/>
      <c r="BIZ47" s="478"/>
      <c r="BJA47" s="478"/>
      <c r="BJB47" s="478"/>
      <c r="BJC47" s="478"/>
      <c r="BJD47" s="478"/>
      <c r="BJE47" s="478"/>
      <c r="BJF47" s="478"/>
      <c r="BJG47" s="478"/>
      <c r="BJH47" s="478"/>
      <c r="BJI47" s="478"/>
      <c r="BJJ47" s="478"/>
      <c r="BJK47" s="478"/>
      <c r="BJL47" s="478"/>
      <c r="BJM47" s="478"/>
      <c r="BJN47" s="478"/>
      <c r="BJO47" s="478"/>
      <c r="BJP47" s="478"/>
      <c r="BJQ47" s="478"/>
      <c r="BJR47" s="478"/>
      <c r="BJS47" s="478"/>
      <c r="BJT47" s="478"/>
      <c r="BJU47" s="478"/>
      <c r="BJV47" s="478"/>
      <c r="BJW47" s="478"/>
      <c r="BJX47" s="478"/>
      <c r="BJY47" s="478"/>
      <c r="BJZ47" s="478"/>
      <c r="BKA47" s="478"/>
      <c r="BKB47" s="478"/>
      <c r="BKC47" s="478"/>
      <c r="BKD47" s="478"/>
      <c r="BKE47" s="478"/>
      <c r="BKF47" s="478"/>
      <c r="BKG47" s="478"/>
      <c r="BKH47" s="478"/>
      <c r="BKI47" s="478"/>
      <c r="BKJ47" s="478"/>
      <c r="BKK47" s="478"/>
      <c r="BKL47" s="478"/>
      <c r="BKM47" s="478"/>
      <c r="BKN47" s="478"/>
      <c r="BKO47" s="478"/>
      <c r="BKP47" s="478"/>
      <c r="BKQ47" s="478"/>
      <c r="BKR47" s="478"/>
      <c r="BKS47" s="478"/>
      <c r="BKT47" s="478"/>
      <c r="BKU47" s="478"/>
      <c r="BKV47" s="478"/>
      <c r="BKW47" s="478"/>
      <c r="BKX47" s="478"/>
      <c r="BKY47" s="478"/>
      <c r="BKZ47" s="478"/>
      <c r="BLA47" s="478"/>
      <c r="BLB47" s="478"/>
      <c r="BLC47" s="478"/>
      <c r="BLD47" s="478"/>
      <c r="BLE47" s="478"/>
      <c r="BLF47" s="478"/>
      <c r="BLG47" s="478"/>
      <c r="BLH47" s="478"/>
      <c r="BLI47" s="478"/>
      <c r="BLJ47" s="478"/>
      <c r="BLK47" s="478"/>
      <c r="BLL47" s="478"/>
      <c r="BLM47" s="478"/>
      <c r="BLN47" s="478"/>
      <c r="BLO47" s="478"/>
      <c r="BLP47" s="478"/>
      <c r="BLQ47" s="478"/>
      <c r="BLR47" s="478"/>
      <c r="BLS47" s="478"/>
      <c r="BLT47" s="478"/>
      <c r="BLU47" s="478"/>
      <c r="BLV47" s="478"/>
      <c r="BLW47" s="478"/>
      <c r="BLX47" s="478"/>
      <c r="BLY47" s="478"/>
      <c r="BLZ47" s="478"/>
      <c r="BMA47" s="478"/>
      <c r="BMB47" s="478"/>
      <c r="BMC47" s="478"/>
      <c r="BMD47" s="478"/>
      <c r="BME47" s="478"/>
      <c r="BMF47" s="478"/>
      <c r="BMG47" s="478"/>
      <c r="BMH47" s="478"/>
      <c r="BMI47" s="478"/>
      <c r="BMJ47" s="478"/>
      <c r="BMK47" s="478"/>
      <c r="BML47" s="478"/>
      <c r="BMM47" s="478"/>
      <c r="BMN47" s="478"/>
      <c r="BMO47" s="478"/>
      <c r="BMP47" s="478"/>
      <c r="BMQ47" s="478"/>
      <c r="BMR47" s="478"/>
      <c r="BMS47" s="478"/>
      <c r="BMT47" s="478"/>
      <c r="BMU47" s="478"/>
      <c r="BMV47" s="478"/>
      <c r="BMW47" s="478"/>
      <c r="BMX47" s="478"/>
      <c r="BMY47" s="478"/>
      <c r="BMZ47" s="478"/>
      <c r="BNA47" s="478"/>
      <c r="BNB47" s="478"/>
      <c r="BNC47" s="478"/>
      <c r="BND47" s="478"/>
      <c r="BNE47" s="478"/>
      <c r="BNF47" s="478"/>
      <c r="BNG47" s="478"/>
      <c r="BNH47" s="478"/>
      <c r="BNI47" s="478"/>
      <c r="BNJ47" s="478"/>
      <c r="BNK47" s="478"/>
      <c r="BNL47" s="478"/>
      <c r="BNM47" s="478"/>
      <c r="BNN47" s="478"/>
      <c r="BNO47" s="478"/>
      <c r="BNP47" s="478"/>
      <c r="BNQ47" s="478"/>
      <c r="BNR47" s="478"/>
      <c r="BNS47" s="478"/>
      <c r="BNT47" s="478"/>
      <c r="BNU47" s="478"/>
      <c r="BNV47" s="478"/>
      <c r="BNW47" s="478"/>
      <c r="BNX47" s="478"/>
      <c r="BNY47" s="478"/>
      <c r="BNZ47" s="478"/>
      <c r="BOA47" s="478"/>
      <c r="BOB47" s="478"/>
      <c r="BOC47" s="478"/>
      <c r="BOD47" s="478"/>
      <c r="BOE47" s="478"/>
      <c r="BOF47" s="478"/>
      <c r="BOG47" s="478"/>
      <c r="BOH47" s="478"/>
      <c r="BOI47" s="478"/>
      <c r="BOJ47" s="478"/>
      <c r="BOK47" s="478"/>
      <c r="BOL47" s="478"/>
      <c r="BOM47" s="478"/>
      <c r="BON47" s="478"/>
      <c r="BOO47" s="478"/>
      <c r="BOP47" s="478"/>
      <c r="BOQ47" s="478"/>
      <c r="BOR47" s="478"/>
      <c r="BOS47" s="478"/>
      <c r="BOT47" s="478"/>
      <c r="BOU47" s="478"/>
      <c r="BOV47" s="478"/>
      <c r="BOW47" s="478"/>
      <c r="BOX47" s="478"/>
      <c r="BOY47" s="478"/>
      <c r="BOZ47" s="478"/>
      <c r="BPA47" s="478"/>
      <c r="BPB47" s="478"/>
      <c r="BPC47" s="478"/>
      <c r="BPD47" s="478"/>
      <c r="BPE47" s="478"/>
      <c r="BPF47" s="478"/>
      <c r="BPG47" s="478"/>
      <c r="BPH47" s="478"/>
      <c r="BPI47" s="478"/>
      <c r="BPJ47" s="478"/>
      <c r="BPK47" s="478"/>
      <c r="BPL47" s="478"/>
      <c r="BPM47" s="478"/>
      <c r="BPN47" s="478"/>
      <c r="BPO47" s="478"/>
      <c r="BPP47" s="478"/>
      <c r="BPQ47" s="478"/>
      <c r="BPR47" s="478"/>
      <c r="BPS47" s="478"/>
      <c r="BPT47" s="478"/>
      <c r="BPU47" s="478"/>
      <c r="BPV47" s="478"/>
      <c r="BPW47" s="478"/>
      <c r="BPX47" s="478"/>
      <c r="BPY47" s="478"/>
      <c r="BPZ47" s="478"/>
      <c r="BQA47" s="478"/>
      <c r="BQB47" s="478"/>
      <c r="BQC47" s="478"/>
      <c r="BQD47" s="478"/>
      <c r="BQE47" s="478"/>
      <c r="BQF47" s="478"/>
      <c r="BQG47" s="478"/>
      <c r="BQH47" s="478"/>
      <c r="BQI47" s="478"/>
      <c r="BQJ47" s="478"/>
      <c r="BQK47" s="478"/>
      <c r="BQL47" s="478"/>
      <c r="BQM47" s="478"/>
      <c r="BQN47" s="478"/>
      <c r="BQO47" s="478"/>
      <c r="BQP47" s="478"/>
      <c r="BQQ47" s="478"/>
      <c r="BQR47" s="478"/>
      <c r="BQS47" s="478"/>
      <c r="BQT47" s="478"/>
      <c r="BQU47" s="478"/>
      <c r="BQV47" s="478"/>
      <c r="BQW47" s="478"/>
      <c r="BQX47" s="478"/>
      <c r="BQY47" s="478"/>
      <c r="BQZ47" s="478"/>
      <c r="BRA47" s="478"/>
      <c r="BRB47" s="478"/>
      <c r="BRC47" s="478"/>
      <c r="BRD47" s="478"/>
      <c r="BRE47" s="478"/>
      <c r="BRF47" s="478"/>
      <c r="BRG47" s="478"/>
      <c r="BRH47" s="478"/>
      <c r="BRI47" s="478"/>
      <c r="BRJ47" s="478"/>
      <c r="BRK47" s="478"/>
      <c r="BRL47" s="478"/>
      <c r="BRM47" s="478"/>
      <c r="BRN47" s="478"/>
      <c r="BRO47" s="478"/>
      <c r="BRP47" s="478"/>
      <c r="BRQ47" s="478"/>
      <c r="BRR47" s="478"/>
      <c r="BRS47" s="478"/>
      <c r="BRT47" s="478"/>
      <c r="BRU47" s="478"/>
      <c r="BRV47" s="478"/>
      <c r="BRW47" s="478"/>
      <c r="BRX47" s="478"/>
      <c r="BRY47" s="478"/>
      <c r="BRZ47" s="478"/>
      <c r="BSA47" s="478"/>
      <c r="BSB47" s="478"/>
      <c r="BSC47" s="478"/>
      <c r="BSD47" s="478"/>
      <c r="BSE47" s="478"/>
      <c r="BSF47" s="478"/>
      <c r="BSG47" s="478"/>
      <c r="BSH47" s="478"/>
      <c r="BSI47" s="478"/>
      <c r="BSJ47" s="478"/>
      <c r="BSK47" s="478"/>
      <c r="BSL47" s="478"/>
      <c r="BSM47" s="478"/>
      <c r="BSN47" s="478"/>
      <c r="BSO47" s="478"/>
      <c r="BSP47" s="478"/>
      <c r="BSQ47" s="478"/>
      <c r="BSR47" s="478"/>
      <c r="BSS47" s="478"/>
      <c r="BST47" s="478"/>
      <c r="BSU47" s="478"/>
      <c r="BSV47" s="478"/>
      <c r="BSW47" s="478"/>
      <c r="BSX47" s="478"/>
      <c r="BSY47" s="478"/>
      <c r="BSZ47" s="478"/>
      <c r="BTA47" s="478"/>
      <c r="BTB47" s="478"/>
      <c r="BTC47" s="478"/>
      <c r="BTD47" s="478"/>
      <c r="BTE47" s="478"/>
      <c r="BTF47" s="478"/>
      <c r="BTG47" s="478"/>
      <c r="BTH47" s="478"/>
      <c r="BTI47" s="478"/>
      <c r="BTJ47" s="478"/>
      <c r="BTK47" s="478"/>
      <c r="BTL47" s="478"/>
      <c r="BTM47" s="478"/>
      <c r="BTN47" s="478"/>
      <c r="BTO47" s="478"/>
      <c r="BTP47" s="478"/>
      <c r="BTQ47" s="478"/>
      <c r="BTR47" s="478"/>
      <c r="BTS47" s="478"/>
      <c r="BTT47" s="478"/>
      <c r="BTU47" s="478"/>
      <c r="BTV47" s="478"/>
      <c r="BTW47" s="478"/>
      <c r="BTX47" s="478"/>
      <c r="BTY47" s="478"/>
      <c r="BTZ47" s="478"/>
      <c r="BUA47" s="478"/>
      <c r="BUB47" s="478"/>
      <c r="BUC47" s="478"/>
      <c r="BUD47" s="478"/>
      <c r="BUE47" s="478"/>
      <c r="BUF47" s="478"/>
      <c r="BUG47" s="478"/>
      <c r="BUH47" s="478"/>
      <c r="BUI47" s="478"/>
      <c r="BUJ47" s="478"/>
      <c r="BUK47" s="478"/>
      <c r="BUL47" s="478"/>
      <c r="BUM47" s="478"/>
      <c r="BUN47" s="478"/>
      <c r="BUO47" s="478"/>
      <c r="BUP47" s="478"/>
      <c r="BUQ47" s="478"/>
      <c r="BUR47" s="478"/>
      <c r="BUS47" s="478"/>
      <c r="BUT47" s="478"/>
      <c r="BUU47" s="478"/>
      <c r="BUV47" s="478"/>
      <c r="BUW47" s="478"/>
      <c r="BUX47" s="478"/>
      <c r="BUY47" s="478"/>
      <c r="BUZ47" s="478"/>
      <c r="BVA47" s="478"/>
      <c r="BVB47" s="478"/>
      <c r="BVC47" s="478"/>
      <c r="BVD47" s="478"/>
      <c r="BVE47" s="478"/>
      <c r="BVF47" s="478"/>
      <c r="BVG47" s="478"/>
      <c r="BVH47" s="478"/>
      <c r="BVI47" s="478"/>
      <c r="BVJ47" s="478"/>
      <c r="BVK47" s="478"/>
      <c r="BVL47" s="478"/>
      <c r="BVM47" s="478"/>
      <c r="BVN47" s="478"/>
      <c r="BVO47" s="478"/>
      <c r="BVP47" s="478"/>
      <c r="BVQ47" s="478"/>
      <c r="BVR47" s="478"/>
      <c r="BVS47" s="478"/>
      <c r="BVT47" s="478"/>
      <c r="BVU47" s="478"/>
      <c r="BVV47" s="478"/>
      <c r="BVW47" s="478"/>
      <c r="BVX47" s="478"/>
      <c r="BVY47" s="478"/>
      <c r="BVZ47" s="478"/>
      <c r="BWA47" s="478"/>
      <c r="BWB47" s="478"/>
      <c r="BWC47" s="478"/>
      <c r="BWD47" s="478"/>
      <c r="BWE47" s="478"/>
      <c r="BWF47" s="478"/>
      <c r="BWG47" s="478"/>
      <c r="BWH47" s="478"/>
      <c r="BWI47" s="478"/>
      <c r="BWJ47" s="478"/>
      <c r="BWK47" s="478"/>
      <c r="BWL47" s="478"/>
      <c r="BWM47" s="478"/>
      <c r="BWN47" s="478"/>
      <c r="BWO47" s="478"/>
      <c r="BWP47" s="478"/>
      <c r="BWQ47" s="478"/>
      <c r="BWR47" s="478"/>
      <c r="BWS47" s="478"/>
      <c r="BWT47" s="478"/>
      <c r="BWU47" s="478"/>
      <c r="BWV47" s="478"/>
      <c r="BWW47" s="478"/>
      <c r="BWX47" s="478"/>
      <c r="BWY47" s="478"/>
      <c r="BWZ47" s="478"/>
      <c r="BXA47" s="478"/>
      <c r="BXB47" s="478"/>
      <c r="BXC47" s="478"/>
      <c r="BXD47" s="478"/>
      <c r="BXE47" s="478"/>
      <c r="BXF47" s="478"/>
      <c r="BXG47" s="478"/>
      <c r="BXH47" s="478"/>
      <c r="BXI47" s="478"/>
      <c r="BXJ47" s="478"/>
      <c r="BXK47" s="478"/>
      <c r="BXL47" s="478"/>
      <c r="BXM47" s="478"/>
      <c r="BXN47" s="478"/>
      <c r="BXO47" s="478"/>
      <c r="BXP47" s="478"/>
      <c r="BXQ47" s="478"/>
      <c r="BXR47" s="478"/>
      <c r="BXS47" s="478"/>
      <c r="BXT47" s="478"/>
      <c r="BXU47" s="478"/>
      <c r="BXV47" s="478"/>
      <c r="BXW47" s="478"/>
      <c r="BXX47" s="478"/>
      <c r="BXY47" s="478"/>
      <c r="BXZ47" s="478"/>
      <c r="BYA47" s="478"/>
      <c r="BYB47" s="478"/>
      <c r="BYC47" s="478"/>
      <c r="BYD47" s="478"/>
      <c r="BYE47" s="478"/>
      <c r="BYF47" s="478"/>
      <c r="BYG47" s="478"/>
      <c r="BYH47" s="478"/>
      <c r="BYI47" s="478"/>
      <c r="BYJ47" s="478"/>
      <c r="BYK47" s="478"/>
      <c r="BYL47" s="478"/>
      <c r="BYM47" s="478"/>
      <c r="BYN47" s="478"/>
      <c r="BYO47" s="478"/>
      <c r="BYP47" s="478"/>
      <c r="BYQ47" s="478"/>
      <c r="BYR47" s="478"/>
      <c r="BYS47" s="478"/>
      <c r="BYT47" s="478"/>
      <c r="BYU47" s="478"/>
      <c r="BYV47" s="478"/>
      <c r="BYW47" s="478"/>
      <c r="BYX47" s="478"/>
      <c r="BYY47" s="478"/>
      <c r="BYZ47" s="478"/>
      <c r="BZA47" s="478"/>
      <c r="BZB47" s="478"/>
      <c r="BZC47" s="478"/>
      <c r="BZD47" s="478"/>
      <c r="BZE47" s="478"/>
      <c r="BZF47" s="478"/>
      <c r="BZG47" s="478"/>
      <c r="BZH47" s="478"/>
      <c r="BZI47" s="478"/>
      <c r="BZJ47" s="478"/>
      <c r="BZK47" s="478"/>
      <c r="BZL47" s="478"/>
      <c r="BZM47" s="478"/>
      <c r="BZN47" s="478"/>
      <c r="BZO47" s="478"/>
      <c r="BZP47" s="478"/>
      <c r="BZQ47" s="478"/>
      <c r="BZR47" s="478"/>
      <c r="BZS47" s="478"/>
      <c r="BZT47" s="478"/>
      <c r="BZU47" s="478"/>
      <c r="BZV47" s="478"/>
      <c r="BZW47" s="478"/>
      <c r="BZX47" s="478"/>
      <c r="BZY47" s="478"/>
      <c r="BZZ47" s="478"/>
      <c r="CAA47" s="478"/>
      <c r="CAB47" s="478"/>
      <c r="CAC47" s="478"/>
      <c r="CAD47" s="478"/>
      <c r="CAE47" s="478"/>
      <c r="CAF47" s="478"/>
      <c r="CAG47" s="478"/>
      <c r="CAH47" s="478"/>
      <c r="CAI47" s="478"/>
      <c r="CAJ47" s="478"/>
      <c r="CAK47" s="478"/>
      <c r="CAL47" s="478"/>
      <c r="CAM47" s="478"/>
      <c r="CAN47" s="478"/>
      <c r="CAO47" s="478"/>
      <c r="CAP47" s="478"/>
      <c r="CAQ47" s="478"/>
      <c r="CAR47" s="478"/>
      <c r="CAS47" s="478"/>
      <c r="CAT47" s="478"/>
      <c r="CAU47" s="478"/>
      <c r="CAV47" s="478"/>
      <c r="CAW47" s="478"/>
      <c r="CAX47" s="478"/>
      <c r="CAY47" s="478"/>
      <c r="CAZ47" s="478"/>
      <c r="CBA47" s="478"/>
      <c r="CBB47" s="478"/>
      <c r="CBC47" s="478"/>
      <c r="CBD47" s="478"/>
      <c r="CBE47" s="478"/>
      <c r="CBF47" s="478"/>
      <c r="CBG47" s="478"/>
      <c r="CBH47" s="478"/>
      <c r="CBI47" s="478"/>
      <c r="CBJ47" s="478"/>
      <c r="CBK47" s="478"/>
      <c r="CBL47" s="478"/>
      <c r="CBM47" s="478"/>
      <c r="CBN47" s="478"/>
      <c r="CBO47" s="478"/>
      <c r="CBP47" s="478"/>
      <c r="CBQ47" s="478"/>
      <c r="CBR47" s="478"/>
      <c r="CBS47" s="478"/>
      <c r="CBT47" s="478"/>
      <c r="CBU47" s="478"/>
      <c r="CBV47" s="478"/>
      <c r="CBW47" s="478"/>
      <c r="CBX47" s="478"/>
      <c r="CBY47" s="478"/>
      <c r="CBZ47" s="478"/>
      <c r="CCA47" s="478"/>
      <c r="CCB47" s="478"/>
      <c r="CCC47" s="478"/>
      <c r="CCD47" s="478"/>
      <c r="CCE47" s="478"/>
      <c r="CCF47" s="478"/>
      <c r="CCG47" s="478"/>
      <c r="CCH47" s="478"/>
      <c r="CCI47" s="478"/>
      <c r="CCJ47" s="478"/>
      <c r="CCK47" s="478"/>
      <c r="CCL47" s="478"/>
      <c r="CCM47" s="478"/>
      <c r="CCN47" s="478"/>
      <c r="CCO47" s="478"/>
      <c r="CCP47" s="478"/>
      <c r="CCQ47" s="478"/>
      <c r="CCR47" s="478"/>
      <c r="CCS47" s="478"/>
      <c r="CCT47" s="478"/>
      <c r="CCU47" s="478"/>
      <c r="CCV47" s="478"/>
      <c r="CCW47" s="478"/>
      <c r="CCX47" s="478"/>
      <c r="CCY47" s="478"/>
      <c r="CCZ47" s="478"/>
      <c r="CDA47" s="478"/>
      <c r="CDB47" s="478"/>
      <c r="CDC47" s="478"/>
      <c r="CDD47" s="478"/>
      <c r="CDE47" s="478"/>
      <c r="CDF47" s="478"/>
      <c r="CDG47" s="478"/>
      <c r="CDH47" s="478"/>
      <c r="CDI47" s="478"/>
      <c r="CDJ47" s="478"/>
      <c r="CDK47" s="478"/>
      <c r="CDL47" s="478"/>
      <c r="CDM47" s="478"/>
      <c r="CDN47" s="478"/>
      <c r="CDO47" s="478"/>
      <c r="CDP47" s="478"/>
      <c r="CDQ47" s="478"/>
      <c r="CDR47" s="478"/>
      <c r="CDS47" s="478"/>
      <c r="CDT47" s="478"/>
      <c r="CDU47" s="478"/>
      <c r="CDV47" s="478"/>
      <c r="CDW47" s="478"/>
      <c r="CDX47" s="478"/>
      <c r="CDY47" s="478"/>
      <c r="CDZ47" s="478"/>
      <c r="CEA47" s="478"/>
      <c r="CEB47" s="478"/>
      <c r="CEC47" s="478"/>
      <c r="CED47" s="478"/>
      <c r="CEE47" s="478"/>
      <c r="CEF47" s="478"/>
      <c r="CEG47" s="478"/>
      <c r="CEH47" s="478"/>
      <c r="CEI47" s="478"/>
      <c r="CEJ47" s="478"/>
      <c r="CEK47" s="478"/>
      <c r="CEL47" s="478"/>
      <c r="CEM47" s="478"/>
      <c r="CEN47" s="478"/>
      <c r="CEO47" s="478"/>
      <c r="CEP47" s="478"/>
      <c r="CEQ47" s="478"/>
      <c r="CER47" s="478"/>
      <c r="CES47" s="478"/>
      <c r="CET47" s="478"/>
      <c r="CEU47" s="478"/>
      <c r="CEV47" s="478"/>
      <c r="CEW47" s="478"/>
      <c r="CEX47" s="478"/>
      <c r="CEY47" s="478"/>
      <c r="CEZ47" s="478"/>
      <c r="CFA47" s="478"/>
      <c r="CFB47" s="478"/>
      <c r="CFC47" s="478"/>
      <c r="CFD47" s="478"/>
      <c r="CFE47" s="478"/>
      <c r="CFF47" s="478"/>
      <c r="CFG47" s="478"/>
      <c r="CFH47" s="478"/>
      <c r="CFI47" s="478"/>
      <c r="CFJ47" s="478"/>
      <c r="CFK47" s="478"/>
      <c r="CFL47" s="478"/>
      <c r="CFM47" s="478"/>
      <c r="CFN47" s="478"/>
      <c r="CFO47" s="478"/>
      <c r="CFP47" s="478"/>
      <c r="CFQ47" s="478"/>
      <c r="CFR47" s="478"/>
      <c r="CFS47" s="478"/>
      <c r="CFT47" s="478"/>
      <c r="CFU47" s="478"/>
      <c r="CFV47" s="478"/>
      <c r="CFW47" s="478"/>
      <c r="CFX47" s="478"/>
      <c r="CFY47" s="478"/>
      <c r="CFZ47" s="478"/>
      <c r="CGA47" s="478"/>
      <c r="CGB47" s="478"/>
      <c r="CGC47" s="478"/>
      <c r="CGD47" s="478"/>
      <c r="CGE47" s="478"/>
      <c r="CGF47" s="478"/>
      <c r="CGG47" s="478"/>
      <c r="CGH47" s="478"/>
      <c r="CGI47" s="478"/>
      <c r="CGJ47" s="478"/>
      <c r="CGK47" s="478"/>
      <c r="CGL47" s="478"/>
      <c r="CGM47" s="478"/>
      <c r="CGN47" s="478"/>
      <c r="CGO47" s="478"/>
      <c r="CGP47" s="478"/>
      <c r="CGQ47" s="478"/>
      <c r="CGR47" s="478"/>
      <c r="CGS47" s="478"/>
      <c r="CGT47" s="478"/>
      <c r="CGU47" s="478"/>
      <c r="CGV47" s="478"/>
      <c r="CGW47" s="478"/>
      <c r="CGX47" s="478"/>
      <c r="CGY47" s="478"/>
      <c r="CGZ47" s="478"/>
      <c r="CHA47" s="478"/>
      <c r="CHB47" s="478"/>
      <c r="CHC47" s="478"/>
      <c r="CHD47" s="478"/>
      <c r="CHE47" s="478"/>
      <c r="CHF47" s="478"/>
      <c r="CHG47" s="478"/>
      <c r="CHH47" s="478"/>
      <c r="CHI47" s="478"/>
      <c r="CHJ47" s="478"/>
      <c r="CHK47" s="478"/>
      <c r="CHL47" s="478"/>
      <c r="CHM47" s="478"/>
      <c r="CHN47" s="478"/>
      <c r="CHO47" s="478"/>
      <c r="CHP47" s="478"/>
      <c r="CHQ47" s="478"/>
      <c r="CHR47" s="478"/>
      <c r="CHS47" s="478"/>
      <c r="CHT47" s="478"/>
      <c r="CHU47" s="478"/>
      <c r="CHV47" s="478"/>
      <c r="CHW47" s="478"/>
      <c r="CHX47" s="478"/>
      <c r="CHY47" s="478"/>
      <c r="CHZ47" s="478"/>
      <c r="CIA47" s="478"/>
      <c r="CIB47" s="478"/>
      <c r="CIC47" s="478"/>
      <c r="CID47" s="478"/>
      <c r="CIE47" s="478"/>
      <c r="CIF47" s="478"/>
      <c r="CIG47" s="478"/>
      <c r="CIH47" s="478"/>
      <c r="CII47" s="478"/>
      <c r="CIJ47" s="478"/>
      <c r="CIK47" s="478"/>
      <c r="CIL47" s="478"/>
      <c r="CIM47" s="478"/>
      <c r="CIN47" s="478"/>
      <c r="CIO47" s="478"/>
      <c r="CIP47" s="478"/>
      <c r="CIQ47" s="478"/>
      <c r="CIR47" s="478"/>
      <c r="CIS47" s="478"/>
      <c r="CIT47" s="478"/>
      <c r="CIU47" s="478"/>
      <c r="CIV47" s="478"/>
      <c r="CIW47" s="478"/>
      <c r="CIX47" s="478"/>
      <c r="CIY47" s="478"/>
      <c r="CIZ47" s="478"/>
      <c r="CJA47" s="478"/>
      <c r="CJB47" s="478"/>
      <c r="CJC47" s="478"/>
      <c r="CJD47" s="478"/>
      <c r="CJE47" s="478"/>
      <c r="CJF47" s="478"/>
      <c r="CJG47" s="478"/>
      <c r="CJH47" s="478"/>
      <c r="CJI47" s="478"/>
      <c r="CJJ47" s="478"/>
      <c r="CJK47" s="478"/>
      <c r="CJL47" s="478"/>
      <c r="CJM47" s="478"/>
      <c r="CJN47" s="478"/>
      <c r="CJO47" s="478"/>
      <c r="CJP47" s="478"/>
      <c r="CJQ47" s="478"/>
      <c r="CJR47" s="478"/>
      <c r="CJS47" s="478"/>
      <c r="CJT47" s="478"/>
      <c r="CJU47" s="478"/>
      <c r="CJV47" s="478"/>
      <c r="CJW47" s="478"/>
      <c r="CJX47" s="478"/>
      <c r="CJY47" s="478"/>
      <c r="CJZ47" s="478"/>
      <c r="CKA47" s="478"/>
      <c r="CKB47" s="478"/>
      <c r="CKC47" s="478"/>
      <c r="CKD47" s="478"/>
      <c r="CKE47" s="478"/>
      <c r="CKF47" s="478"/>
      <c r="CKG47" s="478"/>
      <c r="CKH47" s="478"/>
      <c r="CKI47" s="478"/>
      <c r="CKJ47" s="478"/>
      <c r="CKK47" s="478"/>
      <c r="CKL47" s="478"/>
      <c r="CKM47" s="478"/>
      <c r="CKN47" s="478"/>
      <c r="CKO47" s="478"/>
      <c r="CKP47" s="478"/>
      <c r="CKQ47" s="478"/>
      <c r="CKR47" s="478"/>
      <c r="CKS47" s="478"/>
      <c r="CKT47" s="478"/>
      <c r="CKU47" s="478"/>
      <c r="CKV47" s="478"/>
      <c r="CKW47" s="478"/>
      <c r="CKX47" s="478"/>
      <c r="CKY47" s="478"/>
      <c r="CKZ47" s="478"/>
      <c r="CLA47" s="478"/>
      <c r="CLB47" s="478"/>
      <c r="CLC47" s="478"/>
      <c r="CLD47" s="478"/>
      <c r="CLE47" s="478"/>
      <c r="CLF47" s="478"/>
      <c r="CLG47" s="478"/>
      <c r="CLH47" s="478"/>
      <c r="CLI47" s="478"/>
      <c r="CLJ47" s="478"/>
      <c r="CLK47" s="478"/>
      <c r="CLL47" s="478"/>
      <c r="CLM47" s="478"/>
      <c r="CLN47" s="478"/>
      <c r="CLO47" s="478"/>
      <c r="CLP47" s="478"/>
      <c r="CLQ47" s="478"/>
      <c r="CLR47" s="478"/>
      <c r="CLS47" s="478"/>
      <c r="CLT47" s="478"/>
      <c r="CLU47" s="478"/>
      <c r="CLV47" s="478"/>
      <c r="CLW47" s="478"/>
      <c r="CLX47" s="478"/>
      <c r="CLY47" s="478"/>
      <c r="CLZ47" s="478"/>
      <c r="CMA47" s="478"/>
      <c r="CMB47" s="478"/>
      <c r="CMC47" s="478"/>
      <c r="CMD47" s="478"/>
      <c r="CME47" s="478"/>
      <c r="CMF47" s="478"/>
      <c r="CMG47" s="478"/>
      <c r="CMH47" s="478"/>
      <c r="CMI47" s="478"/>
      <c r="CMJ47" s="478"/>
      <c r="CMK47" s="478"/>
      <c r="CML47" s="478"/>
      <c r="CMM47" s="478"/>
      <c r="CMN47" s="478"/>
      <c r="CMO47" s="478"/>
      <c r="CMP47" s="478"/>
      <c r="CMQ47" s="478"/>
      <c r="CMR47" s="478"/>
      <c r="CMS47" s="478"/>
      <c r="CMT47" s="478"/>
      <c r="CMU47" s="478"/>
      <c r="CMV47" s="478"/>
      <c r="CMW47" s="478"/>
      <c r="CMX47" s="478"/>
      <c r="CMY47" s="478"/>
      <c r="CMZ47" s="478"/>
      <c r="CNA47" s="478"/>
      <c r="CNB47" s="478"/>
      <c r="CNC47" s="478"/>
      <c r="CND47" s="478"/>
      <c r="CNE47" s="478"/>
      <c r="CNF47" s="478"/>
      <c r="CNG47" s="478"/>
      <c r="CNH47" s="478"/>
      <c r="CNI47" s="478"/>
      <c r="CNJ47" s="478"/>
      <c r="CNK47" s="478"/>
      <c r="CNL47" s="478"/>
      <c r="CNM47" s="478"/>
      <c r="CNN47" s="478"/>
      <c r="CNO47" s="478"/>
      <c r="CNP47" s="478"/>
      <c r="CNQ47" s="478"/>
      <c r="CNR47" s="478"/>
      <c r="CNS47" s="478"/>
      <c r="CNT47" s="478"/>
      <c r="CNU47" s="478"/>
      <c r="CNV47" s="478"/>
      <c r="CNW47" s="478"/>
      <c r="CNX47" s="478"/>
      <c r="CNY47" s="478"/>
      <c r="CNZ47" s="478"/>
      <c r="COA47" s="478"/>
      <c r="COB47" s="478"/>
      <c r="COC47" s="478"/>
      <c r="COD47" s="478"/>
      <c r="COE47" s="478"/>
      <c r="COF47" s="478"/>
      <c r="COG47" s="478"/>
      <c r="COH47" s="478"/>
      <c r="COI47" s="478"/>
      <c r="COJ47" s="478"/>
      <c r="COK47" s="478"/>
      <c r="COL47" s="478"/>
      <c r="COM47" s="478"/>
      <c r="CON47" s="478"/>
      <c r="COO47" s="478"/>
      <c r="COP47" s="478"/>
      <c r="COQ47" s="478"/>
      <c r="COR47" s="478"/>
      <c r="COS47" s="478"/>
      <c r="COT47" s="478"/>
      <c r="COU47" s="478"/>
      <c r="COV47" s="478"/>
      <c r="COW47" s="478"/>
      <c r="COX47" s="478"/>
      <c r="COY47" s="478"/>
      <c r="COZ47" s="478"/>
      <c r="CPA47" s="478"/>
      <c r="CPB47" s="478"/>
      <c r="CPC47" s="478"/>
      <c r="CPD47" s="478"/>
      <c r="CPE47" s="478"/>
      <c r="CPF47" s="478"/>
      <c r="CPG47" s="478"/>
      <c r="CPH47" s="478"/>
      <c r="CPI47" s="478"/>
      <c r="CPJ47" s="478"/>
      <c r="CPK47" s="478"/>
      <c r="CPL47" s="478"/>
      <c r="CPM47" s="478"/>
      <c r="CPN47" s="478"/>
      <c r="CPO47" s="478"/>
      <c r="CPP47" s="478"/>
      <c r="CPQ47" s="478"/>
      <c r="CPR47" s="478"/>
      <c r="CPS47" s="478"/>
      <c r="CPT47" s="478"/>
      <c r="CPU47" s="478"/>
      <c r="CPV47" s="478"/>
      <c r="CPW47" s="478"/>
      <c r="CPX47" s="478"/>
      <c r="CPY47" s="478"/>
      <c r="CPZ47" s="478"/>
      <c r="CQA47" s="478"/>
      <c r="CQB47" s="478"/>
      <c r="CQC47" s="478"/>
      <c r="CQD47" s="478"/>
      <c r="CQE47" s="478"/>
      <c r="CQF47" s="478"/>
      <c r="CQG47" s="478"/>
      <c r="CQH47" s="478"/>
      <c r="CQI47" s="478"/>
      <c r="CQJ47" s="478"/>
      <c r="CQK47" s="478"/>
      <c r="CQL47" s="478"/>
      <c r="CQM47" s="478"/>
      <c r="CQN47" s="478"/>
      <c r="CQO47" s="478"/>
      <c r="CQP47" s="478"/>
      <c r="CQQ47" s="478"/>
      <c r="CQR47" s="478"/>
      <c r="CQS47" s="478"/>
      <c r="CQT47" s="478"/>
      <c r="CQU47" s="478"/>
      <c r="CQV47" s="478"/>
      <c r="CQW47" s="478"/>
      <c r="CQX47" s="478"/>
      <c r="CQY47" s="478"/>
      <c r="CQZ47" s="478"/>
      <c r="CRA47" s="478"/>
      <c r="CRB47" s="478"/>
      <c r="CRC47" s="478"/>
      <c r="CRD47" s="478"/>
      <c r="CRE47" s="478"/>
      <c r="CRF47" s="478"/>
      <c r="CRG47" s="478"/>
      <c r="CRH47" s="478"/>
      <c r="CRI47" s="478"/>
      <c r="CRJ47" s="478"/>
      <c r="CRK47" s="478"/>
      <c r="CRL47" s="478"/>
      <c r="CRM47" s="478"/>
      <c r="CRN47" s="478"/>
      <c r="CRO47" s="478"/>
      <c r="CRP47" s="478"/>
      <c r="CRQ47" s="478"/>
      <c r="CRR47" s="478"/>
      <c r="CRS47" s="478"/>
      <c r="CRT47" s="478"/>
      <c r="CRU47" s="478"/>
      <c r="CRV47" s="478"/>
      <c r="CRW47" s="478"/>
      <c r="CRX47" s="478"/>
      <c r="CRY47" s="478"/>
      <c r="CRZ47" s="478"/>
      <c r="CSA47" s="478"/>
      <c r="CSB47" s="478"/>
      <c r="CSC47" s="478"/>
      <c r="CSD47" s="478"/>
      <c r="CSE47" s="478"/>
      <c r="CSF47" s="478"/>
      <c r="CSG47" s="478"/>
      <c r="CSH47" s="478"/>
      <c r="CSI47" s="478"/>
      <c r="CSJ47" s="478"/>
      <c r="CSK47" s="478"/>
      <c r="CSL47" s="478"/>
      <c r="CSM47" s="478"/>
      <c r="CSN47" s="478"/>
      <c r="CSO47" s="478"/>
      <c r="CSP47" s="478"/>
      <c r="CSQ47" s="478"/>
      <c r="CSR47" s="478"/>
      <c r="CSS47" s="478"/>
      <c r="CST47" s="478"/>
      <c r="CSU47" s="478"/>
      <c r="CSV47" s="478"/>
      <c r="CSW47" s="478"/>
      <c r="CSX47" s="478"/>
      <c r="CSY47" s="478"/>
      <c r="CSZ47" s="478"/>
      <c r="CTA47" s="478"/>
      <c r="CTB47" s="478"/>
      <c r="CTC47" s="478"/>
      <c r="CTD47" s="478"/>
      <c r="CTE47" s="478"/>
      <c r="CTF47" s="478"/>
      <c r="CTG47" s="478"/>
      <c r="CTH47" s="478"/>
      <c r="CTI47" s="478"/>
      <c r="CTJ47" s="478"/>
      <c r="CTK47" s="478"/>
      <c r="CTL47" s="478"/>
      <c r="CTM47" s="478"/>
      <c r="CTN47" s="478"/>
      <c r="CTO47" s="478"/>
      <c r="CTP47" s="478"/>
      <c r="CTQ47" s="478"/>
      <c r="CTR47" s="478"/>
      <c r="CTS47" s="478"/>
      <c r="CTT47" s="478"/>
      <c r="CTU47" s="478"/>
      <c r="CTV47" s="478"/>
      <c r="CTW47" s="478"/>
      <c r="CTX47" s="478"/>
      <c r="CTY47" s="478"/>
      <c r="CTZ47" s="478"/>
      <c r="CUA47" s="478"/>
      <c r="CUB47" s="478"/>
      <c r="CUC47" s="478"/>
      <c r="CUD47" s="478"/>
      <c r="CUE47" s="478"/>
      <c r="CUF47" s="478"/>
      <c r="CUG47" s="478"/>
      <c r="CUH47" s="478"/>
      <c r="CUI47" s="478"/>
      <c r="CUJ47" s="478"/>
      <c r="CUK47" s="478"/>
      <c r="CUL47" s="478"/>
      <c r="CUM47" s="478"/>
      <c r="CUN47" s="478"/>
      <c r="CUO47" s="478"/>
      <c r="CUP47" s="478"/>
      <c r="CUQ47" s="478"/>
      <c r="CUR47" s="478"/>
      <c r="CUS47" s="478"/>
      <c r="CUT47" s="478"/>
      <c r="CUU47" s="478"/>
      <c r="CUV47" s="478"/>
      <c r="CUW47" s="478"/>
      <c r="CUX47" s="478"/>
      <c r="CUY47" s="478"/>
      <c r="CUZ47" s="478"/>
      <c r="CVA47" s="478"/>
      <c r="CVB47" s="478"/>
      <c r="CVC47" s="478"/>
      <c r="CVD47" s="478"/>
      <c r="CVE47" s="478"/>
      <c r="CVF47" s="478"/>
      <c r="CVG47" s="478"/>
      <c r="CVH47" s="478"/>
      <c r="CVI47" s="478"/>
      <c r="CVJ47" s="478"/>
      <c r="CVK47" s="478"/>
      <c r="CVL47" s="478"/>
      <c r="CVM47" s="478"/>
      <c r="CVN47" s="478"/>
      <c r="CVO47" s="478"/>
      <c r="CVP47" s="478"/>
      <c r="CVQ47" s="478"/>
      <c r="CVR47" s="478"/>
      <c r="CVS47" s="478"/>
      <c r="CVT47" s="478"/>
      <c r="CVU47" s="478"/>
      <c r="CVV47" s="478"/>
      <c r="CVW47" s="478"/>
      <c r="CVX47" s="478"/>
      <c r="CVY47" s="478"/>
      <c r="CVZ47" s="478"/>
      <c r="CWA47" s="478"/>
      <c r="CWB47" s="478"/>
      <c r="CWC47" s="478"/>
      <c r="CWD47" s="478"/>
      <c r="CWE47" s="478"/>
      <c r="CWF47" s="478"/>
      <c r="CWG47" s="478"/>
      <c r="CWH47" s="478"/>
      <c r="CWI47" s="478"/>
      <c r="CWJ47" s="478"/>
      <c r="CWK47" s="478"/>
      <c r="CWL47" s="478"/>
      <c r="CWM47" s="478"/>
      <c r="CWN47" s="478"/>
      <c r="CWO47" s="478"/>
      <c r="CWP47" s="478"/>
      <c r="CWQ47" s="478"/>
      <c r="CWR47" s="478"/>
      <c r="CWS47" s="478"/>
      <c r="CWT47" s="478"/>
      <c r="CWU47" s="478"/>
      <c r="CWV47" s="478"/>
      <c r="CWW47" s="478"/>
      <c r="CWX47" s="478"/>
      <c r="CWY47" s="478"/>
      <c r="CWZ47" s="478"/>
      <c r="CXA47" s="478"/>
      <c r="CXB47" s="478"/>
      <c r="CXC47" s="478"/>
      <c r="CXD47" s="478"/>
      <c r="CXE47" s="478"/>
      <c r="CXF47" s="478"/>
      <c r="CXG47" s="478"/>
      <c r="CXH47" s="478"/>
      <c r="CXI47" s="478"/>
      <c r="CXJ47" s="478"/>
      <c r="CXK47" s="478"/>
      <c r="CXL47" s="478"/>
      <c r="CXM47" s="478"/>
      <c r="CXN47" s="478"/>
      <c r="CXO47" s="478"/>
      <c r="CXP47" s="478"/>
      <c r="CXQ47" s="478"/>
      <c r="CXR47" s="478"/>
      <c r="CXS47" s="478"/>
      <c r="CXT47" s="478"/>
      <c r="CXU47" s="478"/>
      <c r="CXV47" s="478"/>
      <c r="CXW47" s="478"/>
      <c r="CXX47" s="478"/>
      <c r="CXY47" s="478"/>
      <c r="CXZ47" s="478"/>
      <c r="CYA47" s="478"/>
      <c r="CYB47" s="478"/>
      <c r="CYC47" s="478"/>
      <c r="CYD47" s="478"/>
      <c r="CYE47" s="478"/>
      <c r="CYF47" s="478"/>
      <c r="CYG47" s="478"/>
      <c r="CYH47" s="478"/>
      <c r="CYI47" s="478"/>
      <c r="CYJ47" s="478"/>
      <c r="CYK47" s="478"/>
      <c r="CYL47" s="478"/>
      <c r="CYM47" s="478"/>
      <c r="CYN47" s="478"/>
      <c r="CYO47" s="478"/>
      <c r="CYP47" s="478"/>
      <c r="CYQ47" s="478"/>
      <c r="CYR47" s="478"/>
      <c r="CYS47" s="478"/>
      <c r="CYT47" s="478"/>
      <c r="CYU47" s="478"/>
      <c r="CYV47" s="478"/>
      <c r="CYW47" s="478"/>
      <c r="CYX47" s="478"/>
      <c r="CYY47" s="478"/>
      <c r="CYZ47" s="478"/>
      <c r="CZA47" s="478"/>
      <c r="CZB47" s="478"/>
      <c r="CZC47" s="478"/>
      <c r="CZD47" s="478"/>
      <c r="CZE47" s="478"/>
      <c r="CZF47" s="478"/>
      <c r="CZG47" s="478"/>
      <c r="CZH47" s="478"/>
      <c r="CZI47" s="478"/>
      <c r="CZJ47" s="478"/>
      <c r="CZK47" s="478"/>
      <c r="CZL47" s="478"/>
      <c r="CZM47" s="478"/>
      <c r="CZN47" s="478"/>
      <c r="CZO47" s="478"/>
      <c r="CZP47" s="478"/>
      <c r="CZQ47" s="478"/>
      <c r="CZR47" s="478"/>
      <c r="CZS47" s="478"/>
      <c r="CZT47" s="478"/>
      <c r="CZU47" s="478"/>
      <c r="CZV47" s="478"/>
      <c r="CZW47" s="478"/>
      <c r="CZX47" s="478"/>
      <c r="CZY47" s="478"/>
      <c r="CZZ47" s="478"/>
      <c r="DAA47" s="478"/>
      <c r="DAB47" s="478"/>
      <c r="DAC47" s="478"/>
      <c r="DAD47" s="478"/>
      <c r="DAE47" s="478"/>
      <c r="DAF47" s="478"/>
      <c r="DAG47" s="478"/>
      <c r="DAH47" s="478"/>
      <c r="DAI47" s="478"/>
      <c r="DAJ47" s="478"/>
      <c r="DAK47" s="478"/>
      <c r="DAL47" s="478"/>
      <c r="DAM47" s="478"/>
      <c r="DAN47" s="478"/>
      <c r="DAO47" s="478"/>
      <c r="DAP47" s="478"/>
      <c r="DAQ47" s="478"/>
      <c r="DAR47" s="478"/>
      <c r="DAS47" s="478"/>
      <c r="DAT47" s="478"/>
      <c r="DAU47" s="478"/>
      <c r="DAV47" s="478"/>
      <c r="DAW47" s="478"/>
      <c r="DAX47" s="478"/>
      <c r="DAY47" s="478"/>
      <c r="DAZ47" s="478"/>
      <c r="DBA47" s="478"/>
      <c r="DBB47" s="478"/>
      <c r="DBC47" s="478"/>
      <c r="DBD47" s="478"/>
      <c r="DBE47" s="478"/>
      <c r="DBF47" s="478"/>
      <c r="DBG47" s="478"/>
      <c r="DBH47" s="478"/>
      <c r="DBI47" s="478"/>
      <c r="DBJ47" s="478"/>
      <c r="DBK47" s="478"/>
      <c r="DBL47" s="478"/>
      <c r="DBM47" s="478"/>
      <c r="DBN47" s="478"/>
      <c r="DBO47" s="478"/>
      <c r="DBP47" s="478"/>
      <c r="DBQ47" s="478"/>
      <c r="DBR47" s="478"/>
      <c r="DBS47" s="478"/>
      <c r="DBT47" s="478"/>
      <c r="DBU47" s="478"/>
      <c r="DBV47" s="478"/>
      <c r="DBW47" s="478"/>
      <c r="DBX47" s="478"/>
      <c r="DBY47" s="478"/>
      <c r="DBZ47" s="478"/>
      <c r="DCA47" s="478"/>
      <c r="DCB47" s="478"/>
      <c r="DCC47" s="478"/>
      <c r="DCD47" s="478"/>
      <c r="DCE47" s="478"/>
      <c r="DCF47" s="478"/>
      <c r="DCG47" s="478"/>
      <c r="DCH47" s="478"/>
      <c r="DCI47" s="478"/>
      <c r="DCJ47" s="478"/>
      <c r="DCK47" s="478"/>
      <c r="DCL47" s="478"/>
      <c r="DCM47" s="478"/>
      <c r="DCN47" s="478"/>
      <c r="DCO47" s="478"/>
      <c r="DCP47" s="478"/>
      <c r="DCQ47" s="478"/>
      <c r="DCR47" s="478"/>
      <c r="DCS47" s="478"/>
      <c r="DCT47" s="478"/>
      <c r="DCU47" s="478"/>
      <c r="DCV47" s="478"/>
      <c r="DCW47" s="478"/>
      <c r="DCX47" s="478"/>
      <c r="DCY47" s="478"/>
      <c r="DCZ47" s="478"/>
      <c r="DDA47" s="478"/>
      <c r="DDB47" s="478"/>
      <c r="DDC47" s="478"/>
      <c r="DDD47" s="478"/>
      <c r="DDE47" s="478"/>
      <c r="DDF47" s="478"/>
      <c r="DDG47" s="478"/>
      <c r="DDH47" s="478"/>
      <c r="DDI47" s="478"/>
      <c r="DDJ47" s="478"/>
      <c r="DDK47" s="478"/>
      <c r="DDL47" s="478"/>
      <c r="DDM47" s="478"/>
      <c r="DDN47" s="478"/>
      <c r="DDO47" s="478"/>
      <c r="DDP47" s="478"/>
      <c r="DDQ47" s="478"/>
      <c r="DDR47" s="478"/>
      <c r="DDS47" s="478"/>
      <c r="DDT47" s="478"/>
      <c r="DDU47" s="478"/>
      <c r="DDV47" s="478"/>
      <c r="DDW47" s="478"/>
      <c r="DDX47" s="478"/>
      <c r="DDY47" s="478"/>
      <c r="DDZ47" s="478"/>
      <c r="DEA47" s="478"/>
      <c r="DEB47" s="478"/>
      <c r="DEC47" s="478"/>
      <c r="DED47" s="478"/>
      <c r="DEE47" s="478"/>
      <c r="DEF47" s="478"/>
      <c r="DEG47" s="478"/>
      <c r="DEH47" s="478"/>
      <c r="DEI47" s="478"/>
      <c r="DEJ47" s="478"/>
      <c r="DEK47" s="478"/>
      <c r="DEL47" s="478"/>
      <c r="DEM47" s="478"/>
      <c r="DEN47" s="478"/>
      <c r="DEO47" s="478"/>
      <c r="DEP47" s="478"/>
      <c r="DEQ47" s="478"/>
      <c r="DER47" s="478"/>
      <c r="DES47" s="478"/>
      <c r="DET47" s="478"/>
      <c r="DEU47" s="478"/>
      <c r="DEV47" s="478"/>
      <c r="DEW47" s="478"/>
      <c r="DEX47" s="478"/>
      <c r="DEY47" s="478"/>
      <c r="DEZ47" s="478"/>
      <c r="DFA47" s="478"/>
      <c r="DFB47" s="478"/>
      <c r="DFC47" s="478"/>
      <c r="DFD47" s="478"/>
      <c r="DFE47" s="478"/>
      <c r="DFF47" s="478"/>
      <c r="DFG47" s="478"/>
      <c r="DFH47" s="478"/>
      <c r="DFI47" s="478"/>
      <c r="DFJ47" s="478"/>
      <c r="DFK47" s="478"/>
      <c r="DFL47" s="478"/>
      <c r="DFM47" s="478"/>
      <c r="DFN47" s="478"/>
      <c r="DFO47" s="478"/>
      <c r="DFP47" s="478"/>
      <c r="DFQ47" s="478"/>
      <c r="DFR47" s="478"/>
      <c r="DFS47" s="478"/>
      <c r="DFT47" s="478"/>
      <c r="DFU47" s="478"/>
      <c r="DFV47" s="478"/>
      <c r="DFW47" s="478"/>
      <c r="DFX47" s="478"/>
      <c r="DFY47" s="478"/>
      <c r="DFZ47" s="478"/>
      <c r="DGA47" s="478"/>
      <c r="DGB47" s="478"/>
      <c r="DGC47" s="478"/>
      <c r="DGD47" s="478"/>
      <c r="DGE47" s="478"/>
      <c r="DGF47" s="478"/>
      <c r="DGG47" s="478"/>
      <c r="DGH47" s="478"/>
      <c r="DGI47" s="478"/>
      <c r="DGJ47" s="478"/>
      <c r="DGK47" s="478"/>
      <c r="DGL47" s="478"/>
      <c r="DGM47" s="478"/>
      <c r="DGN47" s="478"/>
      <c r="DGO47" s="478"/>
      <c r="DGP47" s="478"/>
      <c r="DGQ47" s="478"/>
      <c r="DGR47" s="478"/>
      <c r="DGS47" s="478"/>
      <c r="DGT47" s="478"/>
      <c r="DGU47" s="478"/>
      <c r="DGV47" s="478"/>
      <c r="DGW47" s="478"/>
      <c r="DGX47" s="478"/>
      <c r="DGY47" s="478"/>
      <c r="DGZ47" s="478"/>
      <c r="DHA47" s="478"/>
      <c r="DHB47" s="478"/>
      <c r="DHC47" s="478"/>
      <c r="DHD47" s="478"/>
      <c r="DHE47" s="478"/>
      <c r="DHF47" s="478"/>
      <c r="DHG47" s="478"/>
      <c r="DHH47" s="478"/>
      <c r="DHI47" s="478"/>
      <c r="DHJ47" s="478"/>
      <c r="DHK47" s="478"/>
      <c r="DHL47" s="478"/>
      <c r="DHM47" s="478"/>
      <c r="DHN47" s="478"/>
      <c r="DHO47" s="478"/>
      <c r="DHP47" s="478"/>
      <c r="DHQ47" s="478"/>
      <c r="DHR47" s="478"/>
      <c r="DHS47" s="478"/>
      <c r="DHT47" s="478"/>
      <c r="DHU47" s="478"/>
      <c r="DHV47" s="478"/>
      <c r="DHW47" s="478"/>
      <c r="DHX47" s="478"/>
      <c r="DHY47" s="478"/>
      <c r="DHZ47" s="478"/>
      <c r="DIA47" s="478"/>
      <c r="DIB47" s="478"/>
      <c r="DIC47" s="478"/>
      <c r="DID47" s="478"/>
      <c r="DIE47" s="478"/>
      <c r="DIF47" s="478"/>
      <c r="DIG47" s="478"/>
      <c r="DIH47" s="478"/>
      <c r="DII47" s="478"/>
      <c r="DIJ47" s="478"/>
      <c r="DIK47" s="478"/>
      <c r="DIL47" s="478"/>
      <c r="DIM47" s="478"/>
      <c r="DIN47" s="478"/>
      <c r="DIO47" s="478"/>
      <c r="DIP47" s="478"/>
      <c r="DIQ47" s="478"/>
      <c r="DIR47" s="478"/>
      <c r="DIS47" s="478"/>
      <c r="DIT47" s="478"/>
      <c r="DIU47" s="478"/>
      <c r="DIV47" s="478"/>
      <c r="DIW47" s="478"/>
      <c r="DIX47" s="478"/>
      <c r="DIY47" s="478"/>
      <c r="DIZ47" s="478"/>
      <c r="DJA47" s="478"/>
      <c r="DJB47" s="478"/>
      <c r="DJC47" s="478"/>
      <c r="DJD47" s="478"/>
      <c r="DJE47" s="478"/>
      <c r="DJF47" s="478"/>
      <c r="DJG47" s="478"/>
      <c r="DJH47" s="478"/>
      <c r="DJI47" s="478"/>
      <c r="DJJ47" s="478"/>
      <c r="DJK47" s="478"/>
      <c r="DJL47" s="478"/>
      <c r="DJM47" s="478"/>
      <c r="DJN47" s="478"/>
      <c r="DJO47" s="478"/>
      <c r="DJP47" s="478"/>
      <c r="DJQ47" s="478"/>
      <c r="DJR47" s="478"/>
      <c r="DJS47" s="478"/>
      <c r="DJT47" s="478"/>
      <c r="DJU47" s="478"/>
      <c r="DJV47" s="478"/>
      <c r="DJW47" s="478"/>
      <c r="DJX47" s="478"/>
      <c r="DJY47" s="478"/>
      <c r="DJZ47" s="478"/>
      <c r="DKA47" s="478"/>
      <c r="DKB47" s="478"/>
      <c r="DKC47" s="478"/>
      <c r="DKD47" s="478"/>
      <c r="DKE47" s="478"/>
      <c r="DKF47" s="478"/>
      <c r="DKG47" s="478"/>
      <c r="DKH47" s="478"/>
      <c r="DKI47" s="478"/>
      <c r="DKJ47" s="478"/>
      <c r="DKK47" s="478"/>
      <c r="DKL47" s="478"/>
      <c r="DKM47" s="478"/>
      <c r="DKN47" s="478"/>
      <c r="DKO47" s="478"/>
      <c r="DKP47" s="478"/>
      <c r="DKQ47" s="478"/>
      <c r="DKR47" s="478"/>
      <c r="DKS47" s="478"/>
      <c r="DKT47" s="478"/>
      <c r="DKU47" s="478"/>
      <c r="DKV47" s="478"/>
      <c r="DKW47" s="478"/>
      <c r="DKX47" s="478"/>
      <c r="DKY47" s="478"/>
      <c r="DKZ47" s="478"/>
      <c r="DLA47" s="478"/>
      <c r="DLB47" s="478"/>
      <c r="DLC47" s="478"/>
      <c r="DLD47" s="478"/>
      <c r="DLE47" s="478"/>
      <c r="DLF47" s="478"/>
      <c r="DLG47" s="478"/>
      <c r="DLH47" s="478"/>
      <c r="DLI47" s="478"/>
      <c r="DLJ47" s="478"/>
      <c r="DLK47" s="478"/>
      <c r="DLL47" s="478"/>
      <c r="DLM47" s="478"/>
      <c r="DLN47" s="478"/>
      <c r="DLO47" s="478"/>
      <c r="DLP47" s="478"/>
      <c r="DLQ47" s="478"/>
      <c r="DLR47" s="478"/>
      <c r="DLS47" s="478"/>
      <c r="DLT47" s="478"/>
      <c r="DLU47" s="478"/>
      <c r="DLV47" s="478"/>
      <c r="DLW47" s="478"/>
      <c r="DLX47" s="478"/>
      <c r="DLY47" s="478"/>
      <c r="DLZ47" s="478"/>
      <c r="DMA47" s="478"/>
      <c r="DMB47" s="478"/>
      <c r="DMC47" s="478"/>
      <c r="DMD47" s="478"/>
      <c r="DME47" s="478"/>
      <c r="DMF47" s="478"/>
      <c r="DMG47" s="478"/>
      <c r="DMH47" s="478"/>
      <c r="DMI47" s="478"/>
      <c r="DMJ47" s="478"/>
      <c r="DMK47" s="478"/>
      <c r="DML47" s="478"/>
      <c r="DMM47" s="478"/>
      <c r="DMN47" s="478"/>
      <c r="DMO47" s="478"/>
      <c r="DMP47" s="478"/>
      <c r="DMQ47" s="478"/>
      <c r="DMR47" s="478"/>
      <c r="DMS47" s="478"/>
      <c r="DMT47" s="478"/>
      <c r="DMU47" s="478"/>
      <c r="DMV47" s="478"/>
      <c r="DMW47" s="478"/>
      <c r="DMX47" s="478"/>
      <c r="DMY47" s="478"/>
      <c r="DMZ47" s="478"/>
      <c r="DNA47" s="478"/>
      <c r="DNB47" s="478"/>
      <c r="DNC47" s="478"/>
      <c r="DND47" s="478"/>
      <c r="DNE47" s="478"/>
      <c r="DNF47" s="478"/>
      <c r="DNG47" s="478"/>
      <c r="DNH47" s="478"/>
      <c r="DNI47" s="478"/>
      <c r="DNJ47" s="478"/>
      <c r="DNK47" s="478"/>
      <c r="DNL47" s="478"/>
      <c r="DNM47" s="478"/>
      <c r="DNN47" s="478"/>
      <c r="DNO47" s="478"/>
      <c r="DNP47" s="478"/>
      <c r="DNQ47" s="478"/>
      <c r="DNR47" s="478"/>
      <c r="DNS47" s="478"/>
      <c r="DNT47" s="478"/>
      <c r="DNU47" s="478"/>
      <c r="DNV47" s="478"/>
      <c r="DNW47" s="478"/>
      <c r="DNX47" s="478"/>
      <c r="DNY47" s="478"/>
      <c r="DNZ47" s="478"/>
      <c r="DOA47" s="478"/>
      <c r="DOB47" s="478"/>
      <c r="DOC47" s="478"/>
      <c r="DOD47" s="478"/>
      <c r="DOE47" s="478"/>
      <c r="DOF47" s="478"/>
      <c r="DOG47" s="478"/>
      <c r="DOH47" s="478"/>
      <c r="DOI47" s="478"/>
      <c r="DOJ47" s="478"/>
      <c r="DOK47" s="478"/>
      <c r="DOL47" s="478"/>
      <c r="DOM47" s="478"/>
      <c r="DON47" s="478"/>
      <c r="DOO47" s="478"/>
      <c r="DOP47" s="478"/>
      <c r="DOQ47" s="478"/>
      <c r="DOR47" s="478"/>
      <c r="DOS47" s="478"/>
      <c r="DOT47" s="478"/>
      <c r="DOU47" s="478"/>
      <c r="DOV47" s="478"/>
      <c r="DOW47" s="478"/>
      <c r="DOX47" s="478"/>
      <c r="DOY47" s="478"/>
      <c r="DOZ47" s="478"/>
      <c r="DPA47" s="478"/>
      <c r="DPB47" s="478"/>
      <c r="DPC47" s="478"/>
      <c r="DPD47" s="478"/>
      <c r="DPE47" s="478"/>
      <c r="DPF47" s="478"/>
      <c r="DPG47" s="478"/>
      <c r="DPH47" s="478"/>
      <c r="DPI47" s="478"/>
      <c r="DPJ47" s="478"/>
      <c r="DPK47" s="478"/>
      <c r="DPL47" s="478"/>
      <c r="DPM47" s="478"/>
      <c r="DPN47" s="478"/>
      <c r="DPO47" s="478"/>
      <c r="DPP47" s="478"/>
      <c r="DPQ47" s="478"/>
      <c r="DPR47" s="478"/>
      <c r="DPS47" s="478"/>
      <c r="DPT47" s="478"/>
      <c r="DPU47" s="478"/>
      <c r="DPV47" s="478"/>
      <c r="DPW47" s="478"/>
      <c r="DPX47" s="478"/>
      <c r="DPY47" s="478"/>
      <c r="DPZ47" s="478"/>
      <c r="DQA47" s="478"/>
      <c r="DQB47" s="478"/>
      <c r="DQC47" s="478"/>
      <c r="DQD47" s="478"/>
      <c r="DQE47" s="478"/>
      <c r="DQF47" s="478"/>
      <c r="DQG47" s="478"/>
      <c r="DQH47" s="478"/>
      <c r="DQI47" s="478"/>
      <c r="DQJ47" s="478"/>
      <c r="DQK47" s="478"/>
      <c r="DQL47" s="478"/>
      <c r="DQM47" s="478"/>
      <c r="DQN47" s="478"/>
      <c r="DQO47" s="478"/>
      <c r="DQP47" s="478"/>
      <c r="DQQ47" s="478"/>
      <c r="DQR47" s="478"/>
      <c r="DQS47" s="478"/>
      <c r="DQT47" s="478"/>
      <c r="DQU47" s="478"/>
      <c r="DQV47" s="478"/>
      <c r="DQW47" s="478"/>
      <c r="DQX47" s="478"/>
      <c r="DQY47" s="478"/>
      <c r="DQZ47" s="478"/>
      <c r="DRA47" s="478"/>
      <c r="DRB47" s="478"/>
      <c r="DRC47" s="478"/>
      <c r="DRD47" s="478"/>
      <c r="DRE47" s="478"/>
      <c r="DRF47" s="478"/>
      <c r="DRG47" s="478"/>
      <c r="DRH47" s="478"/>
      <c r="DRI47" s="478"/>
      <c r="DRJ47" s="478"/>
      <c r="DRK47" s="478"/>
      <c r="DRL47" s="478"/>
      <c r="DRM47" s="478"/>
      <c r="DRN47" s="478"/>
      <c r="DRO47" s="478"/>
      <c r="DRP47" s="478"/>
      <c r="DRQ47" s="478"/>
      <c r="DRR47" s="478"/>
      <c r="DRS47" s="478"/>
      <c r="DRT47" s="478"/>
      <c r="DRU47" s="478"/>
      <c r="DRV47" s="478"/>
      <c r="DRW47" s="478"/>
      <c r="DRX47" s="478"/>
      <c r="DRY47" s="478"/>
      <c r="DRZ47" s="478"/>
      <c r="DSA47" s="478"/>
      <c r="DSB47" s="478"/>
      <c r="DSC47" s="478"/>
      <c r="DSD47" s="478"/>
      <c r="DSE47" s="478"/>
      <c r="DSF47" s="478"/>
      <c r="DSG47" s="478"/>
      <c r="DSH47" s="478"/>
      <c r="DSI47" s="478"/>
      <c r="DSJ47" s="478"/>
      <c r="DSK47" s="478"/>
      <c r="DSL47" s="478"/>
      <c r="DSM47" s="478"/>
      <c r="DSN47" s="478"/>
      <c r="DSO47" s="478"/>
      <c r="DSP47" s="478"/>
      <c r="DSQ47" s="478"/>
      <c r="DSR47" s="478"/>
      <c r="DSS47" s="478"/>
      <c r="DST47" s="478"/>
      <c r="DSU47" s="478"/>
      <c r="DSV47" s="478"/>
      <c r="DSW47" s="478"/>
      <c r="DSX47" s="478"/>
      <c r="DSY47" s="478"/>
      <c r="DSZ47" s="478"/>
      <c r="DTA47" s="478"/>
      <c r="DTB47" s="478"/>
      <c r="DTC47" s="478"/>
      <c r="DTD47" s="478"/>
      <c r="DTE47" s="478"/>
      <c r="DTF47" s="478"/>
      <c r="DTG47" s="478"/>
      <c r="DTH47" s="478"/>
      <c r="DTI47" s="478"/>
      <c r="DTJ47" s="478"/>
      <c r="DTK47" s="478"/>
      <c r="DTL47" s="478"/>
      <c r="DTM47" s="478"/>
      <c r="DTN47" s="478"/>
      <c r="DTO47" s="478"/>
      <c r="DTP47" s="478"/>
      <c r="DTQ47" s="478"/>
      <c r="DTR47" s="478"/>
      <c r="DTS47" s="478"/>
      <c r="DTT47" s="478"/>
      <c r="DTU47" s="478"/>
      <c r="DTV47" s="478"/>
      <c r="DTW47" s="478"/>
      <c r="DTX47" s="478"/>
      <c r="DTY47" s="478"/>
      <c r="DTZ47" s="478"/>
      <c r="DUA47" s="478"/>
      <c r="DUB47" s="478"/>
      <c r="DUC47" s="478"/>
      <c r="DUD47" s="478"/>
      <c r="DUE47" s="478"/>
      <c r="DUF47" s="478"/>
      <c r="DUG47" s="478"/>
      <c r="DUH47" s="478"/>
      <c r="DUI47" s="478"/>
      <c r="DUJ47" s="478"/>
      <c r="DUK47" s="478"/>
      <c r="DUL47" s="478"/>
      <c r="DUM47" s="478"/>
      <c r="DUN47" s="478"/>
      <c r="DUO47" s="478"/>
      <c r="DUP47" s="478"/>
      <c r="DUQ47" s="478"/>
      <c r="DUR47" s="478"/>
      <c r="DUS47" s="478"/>
      <c r="DUT47" s="478"/>
      <c r="DUU47" s="478"/>
      <c r="DUV47" s="478"/>
      <c r="DUW47" s="478"/>
      <c r="DUX47" s="478"/>
      <c r="DUY47" s="478"/>
      <c r="DUZ47" s="478"/>
      <c r="DVA47" s="478"/>
      <c r="DVB47" s="478"/>
      <c r="DVC47" s="478"/>
      <c r="DVD47" s="478"/>
      <c r="DVE47" s="478"/>
      <c r="DVF47" s="478"/>
      <c r="DVG47" s="478"/>
      <c r="DVH47" s="478"/>
      <c r="DVI47" s="478"/>
      <c r="DVJ47" s="478"/>
      <c r="DVK47" s="478"/>
      <c r="DVL47" s="478"/>
      <c r="DVM47" s="478"/>
      <c r="DVN47" s="478"/>
      <c r="DVO47" s="478"/>
      <c r="DVP47" s="478"/>
      <c r="DVQ47" s="478"/>
      <c r="DVR47" s="478"/>
      <c r="DVS47" s="478"/>
      <c r="DVT47" s="478"/>
      <c r="DVU47" s="478"/>
      <c r="DVV47" s="478"/>
      <c r="DVW47" s="478"/>
      <c r="DVX47" s="478"/>
      <c r="DVY47" s="478"/>
      <c r="DVZ47" s="478"/>
      <c r="DWA47" s="478"/>
      <c r="DWB47" s="478"/>
      <c r="DWC47" s="478"/>
      <c r="DWD47" s="478"/>
      <c r="DWE47" s="478"/>
      <c r="DWF47" s="478"/>
      <c r="DWG47" s="478"/>
      <c r="DWH47" s="478"/>
      <c r="DWI47" s="478"/>
      <c r="DWJ47" s="478"/>
      <c r="DWK47" s="478"/>
      <c r="DWL47" s="478"/>
      <c r="DWM47" s="478"/>
      <c r="DWN47" s="478"/>
      <c r="DWO47" s="478"/>
      <c r="DWP47" s="478"/>
      <c r="DWQ47" s="478"/>
      <c r="DWR47" s="478"/>
      <c r="DWS47" s="478"/>
      <c r="DWT47" s="478"/>
      <c r="DWU47" s="478"/>
      <c r="DWV47" s="478"/>
      <c r="DWW47" s="478"/>
      <c r="DWX47" s="478"/>
      <c r="DWY47" s="478"/>
      <c r="DWZ47" s="478"/>
      <c r="DXA47" s="478"/>
      <c r="DXB47" s="478"/>
      <c r="DXC47" s="478"/>
      <c r="DXD47" s="478"/>
      <c r="DXE47" s="478"/>
      <c r="DXF47" s="478"/>
      <c r="DXG47" s="478"/>
      <c r="DXH47" s="478"/>
      <c r="DXI47" s="478"/>
      <c r="DXJ47" s="478"/>
      <c r="DXK47" s="478"/>
      <c r="DXL47" s="478"/>
      <c r="DXM47" s="478"/>
      <c r="DXN47" s="478"/>
      <c r="DXO47" s="478"/>
      <c r="DXP47" s="478"/>
      <c r="DXQ47" s="478"/>
      <c r="DXR47" s="478"/>
      <c r="DXS47" s="478"/>
      <c r="DXT47" s="478"/>
      <c r="DXU47" s="478"/>
      <c r="DXV47" s="478"/>
      <c r="DXW47" s="478"/>
      <c r="DXX47" s="478"/>
      <c r="DXY47" s="478"/>
      <c r="DXZ47" s="478"/>
      <c r="DYA47" s="478"/>
      <c r="DYB47" s="478"/>
      <c r="DYC47" s="478"/>
      <c r="DYD47" s="478"/>
      <c r="DYE47" s="478"/>
      <c r="DYF47" s="478"/>
      <c r="DYG47" s="478"/>
      <c r="DYH47" s="478"/>
      <c r="DYI47" s="478"/>
      <c r="DYJ47" s="478"/>
      <c r="DYK47" s="478"/>
      <c r="DYL47" s="478"/>
      <c r="DYM47" s="478"/>
      <c r="DYN47" s="478"/>
      <c r="DYO47" s="478"/>
      <c r="DYP47" s="478"/>
      <c r="DYQ47" s="478"/>
      <c r="DYR47" s="478"/>
      <c r="DYS47" s="478"/>
      <c r="DYT47" s="478"/>
      <c r="DYU47" s="478"/>
      <c r="DYV47" s="478"/>
      <c r="DYW47" s="478"/>
      <c r="DYX47" s="478"/>
      <c r="DYY47" s="478"/>
      <c r="DYZ47" s="478"/>
      <c r="DZA47" s="478"/>
      <c r="DZB47" s="478"/>
      <c r="DZC47" s="478"/>
      <c r="DZD47" s="478"/>
      <c r="DZE47" s="478"/>
      <c r="DZF47" s="478"/>
      <c r="DZG47" s="478"/>
      <c r="DZH47" s="478"/>
      <c r="DZI47" s="478"/>
      <c r="DZJ47" s="478"/>
      <c r="DZK47" s="478"/>
      <c r="DZL47" s="478"/>
      <c r="DZM47" s="478"/>
      <c r="DZN47" s="478"/>
      <c r="DZO47" s="478"/>
      <c r="DZP47" s="478"/>
      <c r="DZQ47" s="478"/>
      <c r="DZR47" s="478"/>
      <c r="DZS47" s="478"/>
      <c r="DZT47" s="478"/>
      <c r="DZU47" s="478"/>
      <c r="DZV47" s="478"/>
      <c r="DZW47" s="478"/>
      <c r="DZX47" s="478"/>
      <c r="DZY47" s="478"/>
      <c r="DZZ47" s="478"/>
      <c r="EAA47" s="478"/>
      <c r="EAB47" s="478"/>
      <c r="EAC47" s="478"/>
      <c r="EAD47" s="478"/>
      <c r="EAE47" s="478"/>
      <c r="EAF47" s="478"/>
      <c r="EAG47" s="478"/>
      <c r="EAH47" s="478"/>
      <c r="EAI47" s="478"/>
      <c r="EAJ47" s="478"/>
      <c r="EAK47" s="478"/>
      <c r="EAL47" s="478"/>
      <c r="EAM47" s="478"/>
      <c r="EAN47" s="478"/>
      <c r="EAO47" s="478"/>
      <c r="EAP47" s="478"/>
      <c r="EAQ47" s="478"/>
      <c r="EAR47" s="478"/>
      <c r="EAS47" s="478"/>
      <c r="EAT47" s="478"/>
      <c r="EAU47" s="478"/>
      <c r="EAV47" s="478"/>
      <c r="EAW47" s="478"/>
      <c r="EAX47" s="478"/>
      <c r="EAY47" s="478"/>
      <c r="EAZ47" s="478"/>
      <c r="EBA47" s="478"/>
      <c r="EBB47" s="478"/>
      <c r="EBC47" s="478"/>
      <c r="EBD47" s="478"/>
      <c r="EBE47" s="478"/>
      <c r="EBF47" s="478"/>
      <c r="EBG47" s="478"/>
      <c r="EBH47" s="478"/>
      <c r="EBI47" s="478"/>
      <c r="EBJ47" s="478"/>
      <c r="EBK47" s="478"/>
      <c r="EBL47" s="478"/>
      <c r="EBM47" s="478"/>
      <c r="EBN47" s="478"/>
      <c r="EBO47" s="478"/>
      <c r="EBP47" s="478"/>
      <c r="EBQ47" s="478"/>
      <c r="EBR47" s="478"/>
      <c r="EBS47" s="478"/>
      <c r="EBT47" s="478"/>
      <c r="EBU47" s="478"/>
      <c r="EBV47" s="478"/>
      <c r="EBW47" s="478"/>
      <c r="EBX47" s="478"/>
      <c r="EBY47" s="478"/>
      <c r="EBZ47" s="478"/>
      <c r="ECA47" s="478"/>
      <c r="ECB47" s="478"/>
      <c r="ECC47" s="478"/>
      <c r="ECD47" s="478"/>
      <c r="ECE47" s="478"/>
      <c r="ECF47" s="478"/>
      <c r="ECG47" s="478"/>
      <c r="ECH47" s="478"/>
      <c r="ECI47" s="478"/>
      <c r="ECJ47" s="478"/>
      <c r="ECK47" s="478"/>
      <c r="ECL47" s="478"/>
      <c r="ECM47" s="478"/>
      <c r="ECN47" s="478"/>
      <c r="ECO47" s="478"/>
      <c r="ECP47" s="478"/>
      <c r="ECQ47" s="478"/>
      <c r="ECR47" s="478"/>
      <c r="ECS47" s="478"/>
      <c r="ECT47" s="478"/>
      <c r="ECU47" s="478"/>
      <c r="ECV47" s="478"/>
      <c r="ECW47" s="478"/>
      <c r="ECX47" s="478"/>
      <c r="ECY47" s="478"/>
      <c r="ECZ47" s="478"/>
      <c r="EDA47" s="478"/>
      <c r="EDB47" s="478"/>
      <c r="EDC47" s="478"/>
      <c r="EDD47" s="478"/>
      <c r="EDE47" s="478"/>
      <c r="EDF47" s="478"/>
      <c r="EDG47" s="478"/>
      <c r="EDH47" s="478"/>
      <c r="EDI47" s="478"/>
      <c r="EDJ47" s="478"/>
      <c r="EDK47" s="478"/>
      <c r="EDL47" s="478"/>
      <c r="EDM47" s="478"/>
      <c r="EDN47" s="478"/>
      <c r="EDO47" s="478"/>
      <c r="EDP47" s="478"/>
      <c r="EDQ47" s="478"/>
      <c r="EDR47" s="478"/>
      <c r="EDS47" s="478"/>
      <c r="EDT47" s="478"/>
      <c r="EDU47" s="478"/>
      <c r="EDV47" s="478"/>
      <c r="EDW47" s="478"/>
      <c r="EDX47" s="478"/>
      <c r="EDY47" s="478"/>
      <c r="EDZ47" s="478"/>
      <c r="EEA47" s="478"/>
      <c r="EEB47" s="478"/>
      <c r="EEC47" s="478"/>
      <c r="EED47" s="478"/>
      <c r="EEE47" s="478"/>
      <c r="EEF47" s="478"/>
      <c r="EEG47" s="478"/>
      <c r="EEH47" s="478"/>
      <c r="EEI47" s="478"/>
      <c r="EEJ47" s="478"/>
      <c r="EEK47" s="478"/>
      <c r="EEL47" s="478"/>
      <c r="EEM47" s="478"/>
      <c r="EEN47" s="478"/>
      <c r="EEO47" s="478"/>
      <c r="EEP47" s="478"/>
      <c r="EEQ47" s="478"/>
      <c r="EER47" s="478"/>
      <c r="EES47" s="478"/>
      <c r="EET47" s="478"/>
      <c r="EEU47" s="478"/>
      <c r="EEV47" s="478"/>
      <c r="EEW47" s="478"/>
      <c r="EEX47" s="478"/>
      <c r="EEY47" s="478"/>
      <c r="EEZ47" s="478"/>
      <c r="EFA47" s="478"/>
      <c r="EFB47" s="478"/>
      <c r="EFC47" s="478"/>
      <c r="EFD47" s="478"/>
      <c r="EFE47" s="478"/>
      <c r="EFF47" s="478"/>
      <c r="EFG47" s="478"/>
      <c r="EFH47" s="478"/>
      <c r="EFI47" s="478"/>
      <c r="EFJ47" s="478"/>
      <c r="EFK47" s="478"/>
      <c r="EFL47" s="478"/>
      <c r="EFM47" s="478"/>
      <c r="EFN47" s="478"/>
      <c r="EFO47" s="478"/>
      <c r="EFP47" s="478"/>
      <c r="EFQ47" s="478"/>
      <c r="EFR47" s="478"/>
      <c r="EFS47" s="478"/>
      <c r="EFT47" s="478"/>
      <c r="EFU47" s="478"/>
      <c r="EFV47" s="478"/>
      <c r="EFW47" s="478"/>
      <c r="EFX47" s="478"/>
      <c r="EFY47" s="478"/>
      <c r="EFZ47" s="478"/>
      <c r="EGA47" s="478"/>
      <c r="EGB47" s="478"/>
      <c r="EGC47" s="478"/>
      <c r="EGD47" s="478"/>
      <c r="EGE47" s="478"/>
      <c r="EGF47" s="478"/>
      <c r="EGG47" s="478"/>
      <c r="EGH47" s="478"/>
      <c r="EGI47" s="478"/>
      <c r="EGJ47" s="478"/>
      <c r="EGK47" s="478"/>
      <c r="EGL47" s="478"/>
      <c r="EGM47" s="478"/>
      <c r="EGN47" s="478"/>
      <c r="EGO47" s="478"/>
      <c r="EGP47" s="478"/>
      <c r="EGQ47" s="478"/>
      <c r="EGR47" s="478"/>
      <c r="EGS47" s="478"/>
      <c r="EGT47" s="478"/>
      <c r="EGU47" s="478"/>
      <c r="EGV47" s="478"/>
      <c r="EGW47" s="478"/>
      <c r="EGX47" s="478"/>
      <c r="EGY47" s="478"/>
      <c r="EGZ47" s="478"/>
      <c r="EHA47" s="478"/>
      <c r="EHB47" s="478"/>
      <c r="EHC47" s="478"/>
      <c r="EHD47" s="478"/>
      <c r="EHE47" s="478"/>
      <c r="EHF47" s="478"/>
      <c r="EHG47" s="478"/>
      <c r="EHH47" s="478"/>
      <c r="EHI47" s="478"/>
      <c r="EHJ47" s="478"/>
      <c r="EHK47" s="478"/>
      <c r="EHL47" s="478"/>
      <c r="EHM47" s="478"/>
      <c r="EHN47" s="478"/>
      <c r="EHO47" s="478"/>
      <c r="EHP47" s="478"/>
      <c r="EHQ47" s="478"/>
      <c r="EHR47" s="478"/>
      <c r="EHS47" s="478"/>
      <c r="EHT47" s="478"/>
      <c r="EHU47" s="478"/>
      <c r="EHV47" s="478"/>
      <c r="EHW47" s="478"/>
      <c r="EHX47" s="478"/>
      <c r="EHY47" s="478"/>
      <c r="EHZ47" s="478"/>
      <c r="EIA47" s="478"/>
      <c r="EIB47" s="478"/>
      <c r="EIC47" s="478"/>
      <c r="EID47" s="478"/>
      <c r="EIE47" s="478"/>
      <c r="EIF47" s="478"/>
      <c r="EIG47" s="478"/>
      <c r="EIH47" s="478"/>
      <c r="EII47" s="478"/>
      <c r="EIJ47" s="478"/>
      <c r="EIK47" s="478"/>
      <c r="EIL47" s="478"/>
      <c r="EIM47" s="478"/>
      <c r="EIN47" s="478"/>
      <c r="EIO47" s="478"/>
      <c r="EIP47" s="478"/>
      <c r="EIQ47" s="478"/>
      <c r="EIR47" s="478"/>
      <c r="EIS47" s="478"/>
      <c r="EIT47" s="478"/>
      <c r="EIU47" s="478"/>
      <c r="EIV47" s="478"/>
      <c r="EIW47" s="478"/>
      <c r="EIX47" s="478"/>
      <c r="EIY47" s="478"/>
      <c r="EIZ47" s="478"/>
      <c r="EJA47" s="478"/>
      <c r="EJB47" s="478"/>
      <c r="EJC47" s="478"/>
      <c r="EJD47" s="478"/>
      <c r="EJE47" s="478"/>
      <c r="EJF47" s="478"/>
      <c r="EJG47" s="478"/>
      <c r="EJH47" s="478"/>
      <c r="EJI47" s="478"/>
      <c r="EJJ47" s="478"/>
      <c r="EJK47" s="478"/>
      <c r="EJL47" s="478"/>
      <c r="EJM47" s="478"/>
      <c r="EJN47" s="478"/>
      <c r="EJO47" s="478"/>
      <c r="EJP47" s="478"/>
      <c r="EJQ47" s="478"/>
      <c r="EJR47" s="478"/>
      <c r="EJS47" s="478"/>
      <c r="EJT47" s="478"/>
      <c r="EJU47" s="478"/>
      <c r="EJV47" s="478"/>
      <c r="EJW47" s="478"/>
      <c r="EJX47" s="478"/>
      <c r="EJY47" s="478"/>
      <c r="EJZ47" s="478"/>
      <c r="EKA47" s="478"/>
      <c r="EKB47" s="478"/>
      <c r="EKC47" s="478"/>
      <c r="EKD47" s="478"/>
      <c r="EKE47" s="478"/>
      <c r="EKF47" s="478"/>
      <c r="EKG47" s="478"/>
      <c r="EKH47" s="478"/>
      <c r="EKI47" s="478"/>
      <c r="EKJ47" s="478"/>
      <c r="EKK47" s="478"/>
      <c r="EKL47" s="478"/>
      <c r="EKM47" s="478"/>
      <c r="EKN47" s="478"/>
      <c r="EKO47" s="478"/>
      <c r="EKP47" s="478"/>
      <c r="EKQ47" s="478"/>
      <c r="EKR47" s="478"/>
      <c r="EKS47" s="478"/>
      <c r="EKT47" s="478"/>
      <c r="EKU47" s="478"/>
      <c r="EKV47" s="478"/>
      <c r="EKW47" s="478"/>
      <c r="EKX47" s="478"/>
      <c r="EKY47" s="478"/>
      <c r="EKZ47" s="478"/>
      <c r="ELA47" s="478"/>
      <c r="ELB47" s="478"/>
      <c r="ELC47" s="478"/>
      <c r="ELD47" s="478"/>
      <c r="ELE47" s="478"/>
      <c r="ELF47" s="478"/>
      <c r="ELG47" s="478"/>
      <c r="ELH47" s="478"/>
      <c r="ELI47" s="478"/>
      <c r="ELJ47" s="478"/>
      <c r="ELK47" s="478"/>
      <c r="ELL47" s="478"/>
      <c r="ELM47" s="478"/>
      <c r="ELN47" s="478"/>
      <c r="ELO47" s="478"/>
      <c r="ELP47" s="478"/>
      <c r="ELQ47" s="478"/>
      <c r="ELR47" s="478"/>
      <c r="ELS47" s="478"/>
      <c r="ELT47" s="478"/>
      <c r="ELU47" s="478"/>
      <c r="ELV47" s="478"/>
      <c r="ELW47" s="478"/>
      <c r="ELX47" s="478"/>
      <c r="ELY47" s="478"/>
      <c r="ELZ47" s="478"/>
      <c r="EMA47" s="478"/>
      <c r="EMB47" s="478"/>
      <c r="EMC47" s="478"/>
      <c r="EMD47" s="478"/>
      <c r="EME47" s="478"/>
      <c r="EMF47" s="478"/>
      <c r="EMG47" s="478"/>
      <c r="EMH47" s="478"/>
      <c r="EMI47" s="478"/>
      <c r="EMJ47" s="478"/>
      <c r="EMK47" s="478"/>
      <c r="EML47" s="478"/>
      <c r="EMM47" s="478"/>
      <c r="EMN47" s="478"/>
      <c r="EMO47" s="478"/>
      <c r="EMP47" s="478"/>
      <c r="EMQ47" s="478"/>
      <c r="EMR47" s="478"/>
      <c r="EMS47" s="478"/>
      <c r="EMT47" s="478"/>
      <c r="EMU47" s="478"/>
      <c r="EMV47" s="478"/>
      <c r="EMW47" s="478"/>
      <c r="EMX47" s="478"/>
      <c r="EMY47" s="478"/>
      <c r="EMZ47" s="478"/>
      <c r="ENA47" s="478"/>
      <c r="ENB47" s="478"/>
      <c r="ENC47" s="478"/>
      <c r="END47" s="478"/>
      <c r="ENE47" s="478"/>
      <c r="ENF47" s="478"/>
      <c r="ENG47" s="478"/>
      <c r="ENH47" s="478"/>
      <c r="ENI47" s="478"/>
      <c r="ENJ47" s="478"/>
      <c r="ENK47" s="478"/>
      <c r="ENL47" s="478"/>
      <c r="ENM47" s="478"/>
      <c r="ENN47" s="478"/>
      <c r="ENO47" s="478"/>
      <c r="ENP47" s="478"/>
      <c r="ENQ47" s="478"/>
      <c r="ENR47" s="478"/>
      <c r="ENS47" s="478"/>
      <c r="ENT47" s="478"/>
      <c r="ENU47" s="478"/>
      <c r="ENV47" s="478"/>
      <c r="ENW47" s="478"/>
      <c r="ENX47" s="478"/>
      <c r="ENY47" s="478"/>
      <c r="ENZ47" s="478"/>
      <c r="EOA47" s="478"/>
      <c r="EOB47" s="478"/>
      <c r="EOC47" s="478"/>
      <c r="EOD47" s="478"/>
      <c r="EOE47" s="478"/>
      <c r="EOF47" s="478"/>
      <c r="EOG47" s="478"/>
      <c r="EOH47" s="478"/>
      <c r="EOI47" s="478"/>
      <c r="EOJ47" s="478"/>
      <c r="EOK47" s="478"/>
      <c r="EOL47" s="478"/>
      <c r="EOM47" s="478"/>
      <c r="EON47" s="478"/>
      <c r="EOO47" s="478"/>
      <c r="EOP47" s="478"/>
      <c r="EOQ47" s="478"/>
      <c r="EOR47" s="478"/>
      <c r="EOS47" s="478"/>
      <c r="EOT47" s="478"/>
      <c r="EOU47" s="478"/>
      <c r="EOV47" s="478"/>
      <c r="EOW47" s="478"/>
      <c r="EOX47" s="478"/>
      <c r="EOY47" s="478"/>
      <c r="EOZ47" s="478"/>
      <c r="EPA47" s="478"/>
      <c r="EPB47" s="478"/>
      <c r="EPC47" s="478"/>
      <c r="EPD47" s="478"/>
      <c r="EPE47" s="478"/>
      <c r="EPF47" s="478"/>
      <c r="EPG47" s="478"/>
      <c r="EPH47" s="478"/>
      <c r="EPI47" s="478"/>
      <c r="EPJ47" s="478"/>
      <c r="EPK47" s="478"/>
      <c r="EPL47" s="478"/>
      <c r="EPM47" s="478"/>
      <c r="EPN47" s="478"/>
      <c r="EPO47" s="478"/>
      <c r="EPP47" s="478"/>
      <c r="EPQ47" s="478"/>
      <c r="EPR47" s="478"/>
      <c r="EPS47" s="478"/>
      <c r="EPT47" s="478"/>
      <c r="EPU47" s="478"/>
      <c r="EPV47" s="478"/>
      <c r="EPW47" s="478"/>
      <c r="EPX47" s="478"/>
      <c r="EPY47" s="478"/>
      <c r="EPZ47" s="478"/>
      <c r="EQA47" s="478"/>
      <c r="EQB47" s="478"/>
      <c r="EQC47" s="478"/>
      <c r="EQD47" s="478"/>
      <c r="EQE47" s="478"/>
      <c r="EQF47" s="478"/>
      <c r="EQG47" s="478"/>
      <c r="EQH47" s="478"/>
      <c r="EQI47" s="478"/>
      <c r="EQJ47" s="478"/>
      <c r="EQK47" s="478"/>
      <c r="EQL47" s="478"/>
      <c r="EQM47" s="478"/>
      <c r="EQN47" s="478"/>
      <c r="EQO47" s="478"/>
      <c r="EQP47" s="478"/>
      <c r="EQQ47" s="478"/>
      <c r="EQR47" s="478"/>
      <c r="EQS47" s="478"/>
      <c r="EQT47" s="478"/>
      <c r="EQU47" s="478"/>
      <c r="EQV47" s="478"/>
      <c r="EQW47" s="478"/>
      <c r="EQX47" s="478"/>
      <c r="EQY47" s="478"/>
      <c r="EQZ47" s="478"/>
      <c r="ERA47" s="478"/>
      <c r="ERB47" s="478"/>
      <c r="ERC47" s="478"/>
      <c r="ERD47" s="478"/>
      <c r="ERE47" s="478"/>
      <c r="ERF47" s="478"/>
      <c r="ERG47" s="478"/>
      <c r="ERH47" s="478"/>
      <c r="ERI47" s="478"/>
      <c r="ERJ47" s="478"/>
      <c r="ERK47" s="478"/>
      <c r="ERL47" s="478"/>
      <c r="ERM47" s="478"/>
      <c r="ERN47" s="478"/>
      <c r="ERO47" s="478"/>
      <c r="ERP47" s="478"/>
      <c r="ERQ47" s="478"/>
      <c r="ERR47" s="478"/>
      <c r="ERS47" s="478"/>
      <c r="ERT47" s="478"/>
      <c r="ERU47" s="478"/>
      <c r="ERV47" s="478"/>
      <c r="ERW47" s="478"/>
      <c r="ERX47" s="478"/>
      <c r="ERY47" s="478"/>
      <c r="ERZ47" s="478"/>
      <c r="ESA47" s="478"/>
      <c r="ESB47" s="478"/>
      <c r="ESC47" s="478"/>
      <c r="ESD47" s="478"/>
      <c r="ESE47" s="478"/>
      <c r="ESF47" s="478"/>
      <c r="ESG47" s="478"/>
      <c r="ESH47" s="478"/>
      <c r="ESI47" s="478"/>
      <c r="ESJ47" s="478"/>
      <c r="ESK47" s="478"/>
      <c r="ESL47" s="478"/>
      <c r="ESM47" s="478"/>
      <c r="ESN47" s="478"/>
      <c r="ESO47" s="478"/>
      <c r="ESP47" s="478"/>
      <c r="ESQ47" s="478"/>
      <c r="ESR47" s="478"/>
      <c r="ESS47" s="478"/>
      <c r="EST47" s="478"/>
      <c r="ESU47" s="478"/>
      <c r="ESV47" s="478"/>
      <c r="ESW47" s="478"/>
      <c r="ESX47" s="478"/>
      <c r="ESY47" s="478"/>
      <c r="ESZ47" s="478"/>
      <c r="ETA47" s="478"/>
      <c r="ETB47" s="478"/>
      <c r="ETC47" s="478"/>
      <c r="ETD47" s="478"/>
      <c r="ETE47" s="478"/>
      <c r="ETF47" s="478"/>
      <c r="ETG47" s="478"/>
      <c r="ETH47" s="478"/>
      <c r="ETI47" s="478"/>
      <c r="ETJ47" s="478"/>
      <c r="ETK47" s="478"/>
      <c r="ETL47" s="478"/>
      <c r="ETM47" s="478"/>
      <c r="ETN47" s="478"/>
      <c r="ETO47" s="478"/>
      <c r="ETP47" s="478"/>
      <c r="ETQ47" s="478"/>
      <c r="ETR47" s="478"/>
      <c r="ETS47" s="478"/>
      <c r="ETT47" s="478"/>
      <c r="ETU47" s="478"/>
      <c r="ETV47" s="478"/>
      <c r="ETW47" s="478"/>
      <c r="ETX47" s="478"/>
      <c r="ETY47" s="478"/>
      <c r="ETZ47" s="478"/>
      <c r="EUA47" s="478"/>
      <c r="EUB47" s="478"/>
      <c r="EUC47" s="478"/>
      <c r="EUD47" s="478"/>
      <c r="EUE47" s="478"/>
      <c r="EUF47" s="478"/>
      <c r="EUG47" s="478"/>
      <c r="EUH47" s="478"/>
      <c r="EUI47" s="478"/>
      <c r="EUJ47" s="478"/>
      <c r="EUK47" s="478"/>
      <c r="EUL47" s="478"/>
      <c r="EUM47" s="478"/>
      <c r="EUN47" s="478"/>
      <c r="EUO47" s="478"/>
      <c r="EUP47" s="478"/>
      <c r="EUQ47" s="478"/>
      <c r="EUR47" s="478"/>
      <c r="EUS47" s="478"/>
      <c r="EUT47" s="478"/>
      <c r="EUU47" s="478"/>
      <c r="EUV47" s="478"/>
      <c r="EUW47" s="478"/>
      <c r="EUX47" s="478"/>
      <c r="EUY47" s="478"/>
      <c r="EUZ47" s="478"/>
      <c r="EVA47" s="478"/>
      <c r="EVB47" s="478"/>
      <c r="EVC47" s="478"/>
      <c r="EVD47" s="478"/>
      <c r="EVE47" s="478"/>
      <c r="EVF47" s="478"/>
      <c r="EVG47" s="478"/>
      <c r="EVH47" s="478"/>
      <c r="EVI47" s="478"/>
      <c r="EVJ47" s="478"/>
      <c r="EVK47" s="478"/>
      <c r="EVL47" s="478"/>
      <c r="EVM47" s="478"/>
      <c r="EVN47" s="478"/>
      <c r="EVO47" s="478"/>
      <c r="EVP47" s="478"/>
      <c r="EVQ47" s="478"/>
      <c r="EVR47" s="478"/>
      <c r="EVS47" s="478"/>
      <c r="EVT47" s="478"/>
      <c r="EVU47" s="478"/>
      <c r="EVV47" s="478"/>
      <c r="EVW47" s="478"/>
      <c r="EVX47" s="478"/>
      <c r="EVY47" s="478"/>
      <c r="EVZ47" s="478"/>
      <c r="EWA47" s="478"/>
      <c r="EWB47" s="478"/>
      <c r="EWC47" s="478"/>
      <c r="EWD47" s="478"/>
      <c r="EWE47" s="478"/>
      <c r="EWF47" s="478"/>
      <c r="EWG47" s="478"/>
      <c r="EWH47" s="478"/>
      <c r="EWI47" s="478"/>
      <c r="EWJ47" s="478"/>
      <c r="EWK47" s="478"/>
      <c r="EWL47" s="478"/>
      <c r="EWM47" s="478"/>
      <c r="EWN47" s="478"/>
      <c r="EWO47" s="478"/>
      <c r="EWP47" s="478"/>
      <c r="EWQ47" s="478"/>
      <c r="EWR47" s="478"/>
      <c r="EWS47" s="478"/>
      <c r="EWT47" s="478"/>
      <c r="EWU47" s="478"/>
      <c r="EWV47" s="478"/>
      <c r="EWW47" s="478"/>
      <c r="EWX47" s="478"/>
      <c r="EWY47" s="478"/>
      <c r="EWZ47" s="478"/>
      <c r="EXA47" s="478"/>
      <c r="EXB47" s="478"/>
      <c r="EXC47" s="478"/>
      <c r="EXD47" s="478"/>
      <c r="EXE47" s="478"/>
      <c r="EXF47" s="478"/>
      <c r="EXG47" s="478"/>
      <c r="EXH47" s="478"/>
      <c r="EXI47" s="478"/>
      <c r="EXJ47" s="478"/>
      <c r="EXK47" s="478"/>
      <c r="EXL47" s="478"/>
      <c r="EXM47" s="478"/>
      <c r="EXN47" s="478"/>
      <c r="EXO47" s="478"/>
      <c r="EXP47" s="478"/>
      <c r="EXQ47" s="478"/>
      <c r="EXR47" s="478"/>
      <c r="EXS47" s="478"/>
      <c r="EXT47" s="478"/>
      <c r="EXU47" s="478"/>
      <c r="EXV47" s="478"/>
      <c r="EXW47" s="478"/>
      <c r="EXX47" s="478"/>
      <c r="EXY47" s="478"/>
      <c r="EXZ47" s="478"/>
      <c r="EYA47" s="478"/>
      <c r="EYB47" s="478"/>
      <c r="EYC47" s="478"/>
      <c r="EYD47" s="478"/>
      <c r="EYE47" s="478"/>
      <c r="EYF47" s="478"/>
      <c r="EYG47" s="478"/>
      <c r="EYH47" s="478"/>
      <c r="EYI47" s="478"/>
      <c r="EYJ47" s="478"/>
      <c r="EYK47" s="478"/>
      <c r="EYL47" s="478"/>
      <c r="EYM47" s="478"/>
      <c r="EYN47" s="478"/>
      <c r="EYO47" s="478"/>
      <c r="EYP47" s="478"/>
      <c r="EYQ47" s="478"/>
      <c r="EYR47" s="478"/>
      <c r="EYS47" s="478"/>
      <c r="EYT47" s="478"/>
      <c r="EYU47" s="478"/>
      <c r="EYV47" s="478"/>
      <c r="EYW47" s="478"/>
      <c r="EYX47" s="478"/>
      <c r="EYY47" s="478"/>
      <c r="EYZ47" s="478"/>
      <c r="EZA47" s="478"/>
      <c r="EZB47" s="478"/>
      <c r="EZC47" s="478"/>
      <c r="EZD47" s="478"/>
      <c r="EZE47" s="478"/>
      <c r="EZF47" s="478"/>
      <c r="EZG47" s="478"/>
      <c r="EZH47" s="478"/>
      <c r="EZI47" s="478"/>
      <c r="EZJ47" s="478"/>
      <c r="EZK47" s="478"/>
      <c r="EZL47" s="478"/>
      <c r="EZM47" s="478"/>
      <c r="EZN47" s="478"/>
      <c r="EZO47" s="478"/>
      <c r="EZP47" s="478"/>
      <c r="EZQ47" s="478"/>
      <c r="EZR47" s="478"/>
      <c r="EZS47" s="478"/>
      <c r="EZT47" s="478"/>
      <c r="EZU47" s="478"/>
      <c r="EZV47" s="478"/>
      <c r="EZW47" s="478"/>
      <c r="EZX47" s="478"/>
      <c r="EZY47" s="478"/>
      <c r="EZZ47" s="478"/>
      <c r="FAA47" s="478"/>
      <c r="FAB47" s="478"/>
      <c r="FAC47" s="478"/>
      <c r="FAD47" s="478"/>
      <c r="FAE47" s="478"/>
      <c r="FAF47" s="478"/>
      <c r="FAG47" s="478"/>
      <c r="FAH47" s="478"/>
      <c r="FAI47" s="478"/>
      <c r="FAJ47" s="478"/>
      <c r="FAK47" s="478"/>
      <c r="FAL47" s="478"/>
      <c r="FAM47" s="478"/>
      <c r="FAN47" s="478"/>
      <c r="FAO47" s="478"/>
      <c r="FAP47" s="478"/>
      <c r="FAQ47" s="478"/>
      <c r="FAR47" s="478"/>
      <c r="FAS47" s="478"/>
      <c r="FAT47" s="478"/>
      <c r="FAU47" s="478"/>
      <c r="FAV47" s="478"/>
      <c r="FAW47" s="478"/>
      <c r="FAX47" s="478"/>
      <c r="FAY47" s="478"/>
      <c r="FAZ47" s="478"/>
      <c r="FBA47" s="478"/>
      <c r="FBB47" s="478"/>
      <c r="FBC47" s="478"/>
      <c r="FBD47" s="478"/>
      <c r="FBE47" s="478"/>
      <c r="FBF47" s="478"/>
      <c r="FBG47" s="478"/>
      <c r="FBH47" s="478"/>
      <c r="FBI47" s="478"/>
      <c r="FBJ47" s="478"/>
      <c r="FBK47" s="478"/>
      <c r="FBL47" s="478"/>
      <c r="FBM47" s="478"/>
      <c r="FBN47" s="478"/>
      <c r="FBO47" s="478"/>
      <c r="FBP47" s="478"/>
      <c r="FBQ47" s="478"/>
      <c r="FBR47" s="478"/>
      <c r="FBS47" s="478"/>
      <c r="FBT47" s="478"/>
      <c r="FBU47" s="478"/>
      <c r="FBV47" s="478"/>
      <c r="FBW47" s="478"/>
      <c r="FBX47" s="478"/>
      <c r="FBY47" s="478"/>
      <c r="FBZ47" s="478"/>
      <c r="FCA47" s="478"/>
      <c r="FCB47" s="478"/>
      <c r="FCC47" s="478"/>
      <c r="FCD47" s="478"/>
      <c r="FCE47" s="478"/>
      <c r="FCF47" s="478"/>
      <c r="FCG47" s="478"/>
      <c r="FCH47" s="478"/>
      <c r="FCI47" s="478"/>
      <c r="FCJ47" s="478"/>
      <c r="FCK47" s="478"/>
      <c r="FCL47" s="478"/>
      <c r="FCM47" s="478"/>
      <c r="FCN47" s="478"/>
      <c r="FCO47" s="478"/>
      <c r="FCP47" s="478"/>
      <c r="FCQ47" s="478"/>
      <c r="FCR47" s="478"/>
      <c r="FCS47" s="478"/>
      <c r="FCT47" s="478"/>
      <c r="FCU47" s="478"/>
      <c r="FCV47" s="478"/>
      <c r="FCW47" s="478"/>
      <c r="FCX47" s="478"/>
      <c r="FCY47" s="478"/>
      <c r="FCZ47" s="478"/>
      <c r="FDA47" s="478"/>
      <c r="FDB47" s="478"/>
      <c r="FDC47" s="478"/>
      <c r="FDD47" s="478"/>
      <c r="FDE47" s="478"/>
      <c r="FDF47" s="478"/>
      <c r="FDG47" s="478"/>
      <c r="FDH47" s="478"/>
      <c r="FDI47" s="478"/>
      <c r="FDJ47" s="478"/>
      <c r="FDK47" s="478"/>
      <c r="FDL47" s="478"/>
      <c r="FDM47" s="478"/>
      <c r="FDN47" s="478"/>
      <c r="FDO47" s="478"/>
      <c r="FDP47" s="478"/>
      <c r="FDQ47" s="478"/>
      <c r="FDR47" s="478"/>
      <c r="FDS47" s="478"/>
      <c r="FDT47" s="478"/>
      <c r="FDU47" s="478"/>
      <c r="FDV47" s="478"/>
      <c r="FDW47" s="478"/>
      <c r="FDX47" s="478"/>
      <c r="FDY47" s="478"/>
      <c r="FDZ47" s="478"/>
      <c r="FEA47" s="478"/>
      <c r="FEB47" s="478"/>
      <c r="FEC47" s="478"/>
      <c r="FED47" s="478"/>
      <c r="FEE47" s="478"/>
      <c r="FEF47" s="478"/>
      <c r="FEG47" s="478"/>
      <c r="FEH47" s="478"/>
      <c r="FEI47" s="478"/>
      <c r="FEJ47" s="478"/>
      <c r="FEK47" s="478"/>
      <c r="FEL47" s="478"/>
      <c r="FEM47" s="478"/>
      <c r="FEN47" s="478"/>
      <c r="FEO47" s="478"/>
      <c r="FEP47" s="478"/>
      <c r="FEQ47" s="478"/>
      <c r="FER47" s="478"/>
      <c r="FES47" s="478"/>
      <c r="FET47" s="478"/>
      <c r="FEU47" s="478"/>
      <c r="FEV47" s="478"/>
      <c r="FEW47" s="478"/>
      <c r="FEX47" s="478"/>
      <c r="FEY47" s="478"/>
      <c r="FEZ47" s="478"/>
      <c r="FFA47" s="478"/>
      <c r="FFB47" s="478"/>
      <c r="FFC47" s="478"/>
      <c r="FFD47" s="478"/>
      <c r="FFE47" s="478"/>
      <c r="FFF47" s="478"/>
      <c r="FFG47" s="478"/>
      <c r="FFH47" s="478"/>
      <c r="FFI47" s="478"/>
      <c r="FFJ47" s="478"/>
      <c r="FFK47" s="478"/>
      <c r="FFL47" s="478"/>
      <c r="FFM47" s="478"/>
      <c r="FFN47" s="478"/>
      <c r="FFO47" s="478"/>
      <c r="FFP47" s="478"/>
      <c r="FFQ47" s="478"/>
      <c r="FFR47" s="478"/>
      <c r="FFS47" s="478"/>
      <c r="FFT47" s="478"/>
      <c r="FFU47" s="478"/>
      <c r="FFV47" s="478"/>
      <c r="FFW47" s="478"/>
      <c r="FFX47" s="478"/>
      <c r="FFY47" s="478"/>
      <c r="FFZ47" s="478"/>
      <c r="FGA47" s="478"/>
      <c r="FGB47" s="478"/>
      <c r="FGC47" s="478"/>
      <c r="FGD47" s="478"/>
      <c r="FGE47" s="478"/>
      <c r="FGF47" s="478"/>
      <c r="FGG47" s="478"/>
      <c r="FGH47" s="478"/>
      <c r="FGI47" s="478"/>
      <c r="FGJ47" s="478"/>
      <c r="FGK47" s="478"/>
      <c r="FGL47" s="478"/>
      <c r="FGM47" s="478"/>
      <c r="FGN47" s="478"/>
      <c r="FGO47" s="478"/>
      <c r="FGP47" s="478"/>
      <c r="FGQ47" s="478"/>
      <c r="FGR47" s="478"/>
      <c r="FGS47" s="478"/>
      <c r="FGT47" s="478"/>
      <c r="FGU47" s="478"/>
      <c r="FGV47" s="478"/>
      <c r="FGW47" s="478"/>
      <c r="FGX47" s="478"/>
      <c r="FGY47" s="478"/>
      <c r="FGZ47" s="478"/>
      <c r="FHA47" s="478"/>
      <c r="FHB47" s="478"/>
      <c r="FHC47" s="478"/>
      <c r="FHD47" s="478"/>
      <c r="FHE47" s="478"/>
      <c r="FHF47" s="478"/>
      <c r="FHG47" s="478"/>
      <c r="FHH47" s="478"/>
      <c r="FHI47" s="478"/>
      <c r="FHJ47" s="478"/>
      <c r="FHK47" s="478"/>
      <c r="FHL47" s="478"/>
      <c r="FHM47" s="478"/>
      <c r="FHN47" s="478"/>
      <c r="FHO47" s="478"/>
      <c r="FHP47" s="478"/>
      <c r="FHQ47" s="478"/>
      <c r="FHR47" s="478"/>
      <c r="FHS47" s="478"/>
      <c r="FHT47" s="478"/>
      <c r="FHU47" s="478"/>
      <c r="FHV47" s="478"/>
      <c r="FHW47" s="478"/>
      <c r="FHX47" s="478"/>
      <c r="FHY47" s="478"/>
      <c r="FHZ47" s="478"/>
      <c r="FIA47" s="478"/>
      <c r="FIB47" s="478"/>
      <c r="FIC47" s="478"/>
      <c r="FID47" s="478"/>
      <c r="FIE47" s="478"/>
      <c r="FIF47" s="478"/>
      <c r="FIG47" s="478"/>
      <c r="FIH47" s="478"/>
      <c r="FII47" s="478"/>
      <c r="FIJ47" s="478"/>
      <c r="FIK47" s="478"/>
      <c r="FIL47" s="478"/>
      <c r="FIM47" s="478"/>
      <c r="FIN47" s="478"/>
      <c r="FIO47" s="478"/>
      <c r="FIP47" s="478"/>
      <c r="FIQ47" s="478"/>
      <c r="FIR47" s="478"/>
      <c r="FIS47" s="478"/>
      <c r="FIT47" s="478"/>
      <c r="FIU47" s="478"/>
      <c r="FIV47" s="478"/>
      <c r="FIW47" s="478"/>
      <c r="FIX47" s="478"/>
      <c r="FIY47" s="478"/>
      <c r="FIZ47" s="478"/>
      <c r="FJA47" s="478"/>
      <c r="FJB47" s="478"/>
      <c r="FJC47" s="478"/>
      <c r="FJD47" s="478"/>
      <c r="FJE47" s="478"/>
      <c r="FJF47" s="478"/>
      <c r="FJG47" s="478"/>
      <c r="FJH47" s="478"/>
      <c r="FJI47" s="478"/>
      <c r="FJJ47" s="478"/>
      <c r="FJK47" s="478"/>
      <c r="FJL47" s="478"/>
      <c r="FJM47" s="478"/>
      <c r="FJN47" s="478"/>
      <c r="FJO47" s="478"/>
      <c r="FJP47" s="478"/>
      <c r="FJQ47" s="478"/>
      <c r="FJR47" s="478"/>
      <c r="FJS47" s="478"/>
      <c r="FJT47" s="478"/>
      <c r="FJU47" s="478"/>
      <c r="FJV47" s="478"/>
      <c r="FJW47" s="478"/>
      <c r="FJX47" s="478"/>
      <c r="FJY47" s="478"/>
      <c r="FJZ47" s="478"/>
      <c r="FKA47" s="478"/>
      <c r="FKB47" s="478"/>
      <c r="FKC47" s="478"/>
      <c r="FKD47" s="478"/>
      <c r="FKE47" s="478"/>
      <c r="FKF47" s="478"/>
      <c r="FKG47" s="478"/>
      <c r="FKH47" s="478"/>
      <c r="FKI47" s="478"/>
      <c r="FKJ47" s="478"/>
      <c r="FKK47" s="478"/>
      <c r="FKL47" s="478"/>
      <c r="FKM47" s="478"/>
      <c r="FKN47" s="478"/>
      <c r="FKO47" s="478"/>
      <c r="FKP47" s="478"/>
      <c r="FKQ47" s="478"/>
      <c r="FKR47" s="478"/>
      <c r="FKS47" s="478"/>
      <c r="FKT47" s="478"/>
      <c r="FKU47" s="478"/>
      <c r="FKV47" s="478"/>
      <c r="FKW47" s="478"/>
      <c r="FKX47" s="478"/>
      <c r="FKY47" s="478"/>
      <c r="FKZ47" s="478"/>
      <c r="FLA47" s="478"/>
      <c r="FLB47" s="478"/>
      <c r="FLC47" s="478"/>
      <c r="FLD47" s="478"/>
      <c r="FLE47" s="478"/>
      <c r="FLF47" s="478"/>
      <c r="FLG47" s="478"/>
      <c r="FLH47" s="478"/>
      <c r="FLI47" s="478"/>
      <c r="FLJ47" s="478"/>
      <c r="FLK47" s="478"/>
      <c r="FLL47" s="478"/>
      <c r="FLM47" s="478"/>
      <c r="FLN47" s="478"/>
      <c r="FLO47" s="478"/>
      <c r="FLP47" s="478"/>
      <c r="FLQ47" s="478"/>
      <c r="FLR47" s="478"/>
      <c r="FLS47" s="478"/>
      <c r="FLT47" s="478"/>
      <c r="FLU47" s="478"/>
      <c r="FLV47" s="478"/>
      <c r="FLW47" s="478"/>
      <c r="FLX47" s="478"/>
      <c r="FLY47" s="478"/>
      <c r="FLZ47" s="478"/>
      <c r="FMA47" s="478"/>
      <c r="FMB47" s="478"/>
      <c r="FMC47" s="478"/>
      <c r="FMD47" s="478"/>
      <c r="FME47" s="478"/>
      <c r="FMF47" s="478"/>
      <c r="FMG47" s="478"/>
      <c r="FMH47" s="478"/>
      <c r="FMI47" s="478"/>
      <c r="FMJ47" s="478"/>
      <c r="FMK47" s="478"/>
      <c r="FML47" s="478"/>
      <c r="FMM47" s="478"/>
      <c r="FMN47" s="478"/>
      <c r="FMO47" s="478"/>
      <c r="FMP47" s="478"/>
      <c r="FMQ47" s="478"/>
      <c r="FMR47" s="478"/>
      <c r="FMS47" s="478"/>
      <c r="FMT47" s="478"/>
      <c r="FMU47" s="478"/>
      <c r="FMV47" s="478"/>
      <c r="FMW47" s="478"/>
      <c r="FMX47" s="478"/>
      <c r="FMY47" s="478"/>
      <c r="FMZ47" s="478"/>
      <c r="FNA47" s="478"/>
      <c r="FNB47" s="478"/>
      <c r="FNC47" s="478"/>
      <c r="FND47" s="478"/>
      <c r="FNE47" s="478"/>
      <c r="FNF47" s="478"/>
      <c r="FNG47" s="478"/>
      <c r="FNH47" s="478"/>
      <c r="FNI47" s="478"/>
      <c r="FNJ47" s="478"/>
      <c r="FNK47" s="478"/>
      <c r="FNL47" s="478"/>
      <c r="FNM47" s="478"/>
      <c r="FNN47" s="478"/>
      <c r="FNO47" s="478"/>
      <c r="FNP47" s="478"/>
      <c r="FNQ47" s="478"/>
      <c r="FNR47" s="478"/>
      <c r="FNS47" s="478"/>
      <c r="FNT47" s="478"/>
      <c r="FNU47" s="478"/>
      <c r="FNV47" s="478"/>
      <c r="FNW47" s="478"/>
      <c r="FNX47" s="478"/>
      <c r="FNY47" s="478"/>
      <c r="FNZ47" s="478"/>
      <c r="FOA47" s="478"/>
      <c r="FOB47" s="478"/>
      <c r="FOC47" s="478"/>
      <c r="FOD47" s="478"/>
      <c r="FOE47" s="478"/>
      <c r="FOF47" s="478"/>
      <c r="FOG47" s="478"/>
      <c r="FOH47" s="478"/>
      <c r="FOI47" s="478"/>
      <c r="FOJ47" s="478"/>
      <c r="FOK47" s="478"/>
      <c r="FOL47" s="478"/>
      <c r="FOM47" s="478"/>
      <c r="FON47" s="478"/>
      <c r="FOO47" s="478"/>
      <c r="FOP47" s="478"/>
      <c r="FOQ47" s="478"/>
      <c r="FOR47" s="478"/>
      <c r="FOS47" s="478"/>
      <c r="FOT47" s="478"/>
      <c r="FOU47" s="478"/>
      <c r="FOV47" s="478"/>
      <c r="FOW47" s="478"/>
      <c r="FOX47" s="478"/>
      <c r="FOY47" s="478"/>
      <c r="FOZ47" s="478"/>
      <c r="FPA47" s="478"/>
      <c r="FPB47" s="478"/>
      <c r="FPC47" s="478"/>
      <c r="FPD47" s="478"/>
      <c r="FPE47" s="478"/>
      <c r="FPF47" s="478"/>
      <c r="FPG47" s="478"/>
      <c r="FPH47" s="478"/>
      <c r="FPI47" s="478"/>
      <c r="FPJ47" s="478"/>
      <c r="FPK47" s="478"/>
      <c r="FPL47" s="478"/>
      <c r="FPM47" s="478"/>
      <c r="FPN47" s="478"/>
      <c r="FPO47" s="478"/>
      <c r="FPP47" s="478"/>
      <c r="FPQ47" s="478"/>
      <c r="FPR47" s="478"/>
      <c r="FPS47" s="478"/>
      <c r="FPT47" s="478"/>
      <c r="FPU47" s="478"/>
      <c r="FPV47" s="478"/>
      <c r="FPW47" s="478"/>
      <c r="FPX47" s="478"/>
      <c r="FPY47" s="478"/>
      <c r="FPZ47" s="478"/>
      <c r="FQA47" s="478"/>
      <c r="FQB47" s="478"/>
      <c r="FQC47" s="478"/>
      <c r="FQD47" s="478"/>
      <c r="FQE47" s="478"/>
      <c r="FQF47" s="478"/>
      <c r="FQG47" s="478"/>
      <c r="FQH47" s="478"/>
      <c r="FQI47" s="478"/>
      <c r="FQJ47" s="478"/>
      <c r="FQK47" s="478"/>
      <c r="FQL47" s="478"/>
      <c r="FQM47" s="478"/>
      <c r="FQN47" s="478"/>
      <c r="FQO47" s="478"/>
      <c r="FQP47" s="478"/>
      <c r="FQQ47" s="478"/>
      <c r="FQR47" s="478"/>
      <c r="FQS47" s="478"/>
      <c r="FQT47" s="478"/>
      <c r="FQU47" s="478"/>
      <c r="FQV47" s="478"/>
      <c r="FQW47" s="478"/>
      <c r="FQX47" s="478"/>
      <c r="FQY47" s="478"/>
      <c r="FQZ47" s="478"/>
      <c r="FRA47" s="478"/>
      <c r="FRB47" s="478"/>
      <c r="FRC47" s="478"/>
      <c r="FRD47" s="478"/>
      <c r="FRE47" s="478"/>
      <c r="FRF47" s="478"/>
      <c r="FRG47" s="478"/>
      <c r="FRH47" s="478"/>
      <c r="FRI47" s="478"/>
      <c r="FRJ47" s="478"/>
      <c r="FRK47" s="478"/>
      <c r="FRL47" s="478"/>
      <c r="FRM47" s="478"/>
      <c r="FRN47" s="478"/>
      <c r="FRO47" s="478"/>
      <c r="FRP47" s="478"/>
      <c r="FRQ47" s="478"/>
      <c r="FRR47" s="478"/>
      <c r="FRS47" s="478"/>
      <c r="FRT47" s="478"/>
      <c r="FRU47" s="478"/>
      <c r="FRV47" s="478"/>
      <c r="FRW47" s="478"/>
      <c r="FRX47" s="478"/>
      <c r="FRY47" s="478"/>
      <c r="FRZ47" s="478"/>
      <c r="FSA47" s="478"/>
      <c r="FSB47" s="478"/>
      <c r="FSC47" s="478"/>
      <c r="FSD47" s="478"/>
      <c r="FSE47" s="478"/>
      <c r="FSF47" s="478"/>
      <c r="FSG47" s="478"/>
      <c r="FSH47" s="478"/>
      <c r="FSI47" s="478"/>
      <c r="FSJ47" s="478"/>
      <c r="FSK47" s="478"/>
      <c r="FSL47" s="478"/>
      <c r="FSM47" s="478"/>
      <c r="FSN47" s="478"/>
      <c r="FSO47" s="478"/>
      <c r="FSP47" s="478"/>
      <c r="FSQ47" s="478"/>
      <c r="FSR47" s="478"/>
      <c r="FSS47" s="478"/>
      <c r="FST47" s="478"/>
      <c r="FSU47" s="478"/>
      <c r="FSV47" s="478"/>
      <c r="FSW47" s="478"/>
      <c r="FSX47" s="478"/>
      <c r="FSY47" s="478"/>
      <c r="FSZ47" s="478"/>
      <c r="FTA47" s="478"/>
      <c r="FTB47" s="478"/>
      <c r="FTC47" s="478"/>
      <c r="FTD47" s="478"/>
      <c r="FTE47" s="478"/>
      <c r="FTF47" s="478"/>
      <c r="FTG47" s="478"/>
      <c r="FTH47" s="478"/>
      <c r="FTI47" s="478"/>
      <c r="FTJ47" s="478"/>
      <c r="FTK47" s="478"/>
      <c r="FTL47" s="478"/>
      <c r="FTM47" s="478"/>
      <c r="FTN47" s="478"/>
      <c r="FTO47" s="478"/>
      <c r="FTP47" s="478"/>
      <c r="FTQ47" s="478"/>
      <c r="FTR47" s="478"/>
      <c r="FTS47" s="478"/>
      <c r="FTT47" s="478"/>
      <c r="FTU47" s="478"/>
      <c r="FTV47" s="478"/>
      <c r="FTW47" s="478"/>
      <c r="FTX47" s="478"/>
      <c r="FTY47" s="478"/>
      <c r="FTZ47" s="478"/>
      <c r="FUA47" s="478"/>
      <c r="FUB47" s="478"/>
      <c r="FUC47" s="478"/>
      <c r="FUD47" s="478"/>
      <c r="FUE47" s="478"/>
      <c r="FUF47" s="478"/>
      <c r="FUG47" s="478"/>
      <c r="FUH47" s="478"/>
      <c r="FUI47" s="478"/>
      <c r="FUJ47" s="478"/>
      <c r="FUK47" s="478"/>
      <c r="FUL47" s="478"/>
      <c r="FUM47" s="478"/>
      <c r="FUN47" s="478"/>
      <c r="FUO47" s="478"/>
      <c r="FUP47" s="478"/>
      <c r="FUQ47" s="478"/>
      <c r="FUR47" s="478"/>
      <c r="FUS47" s="478"/>
      <c r="FUT47" s="478"/>
      <c r="FUU47" s="478"/>
      <c r="FUV47" s="478"/>
      <c r="FUW47" s="478"/>
      <c r="FUX47" s="478"/>
      <c r="FUY47" s="478"/>
      <c r="FUZ47" s="478"/>
      <c r="FVA47" s="478"/>
      <c r="FVB47" s="478"/>
      <c r="FVC47" s="478"/>
      <c r="FVD47" s="478"/>
      <c r="FVE47" s="478"/>
      <c r="FVF47" s="478"/>
      <c r="FVG47" s="478"/>
      <c r="FVH47" s="478"/>
      <c r="FVI47" s="478"/>
      <c r="FVJ47" s="478"/>
      <c r="FVK47" s="478"/>
      <c r="FVL47" s="478"/>
      <c r="FVM47" s="478"/>
      <c r="FVN47" s="478"/>
      <c r="FVO47" s="478"/>
      <c r="FVP47" s="478"/>
      <c r="FVQ47" s="478"/>
      <c r="FVR47" s="478"/>
      <c r="FVS47" s="478"/>
      <c r="FVT47" s="478"/>
      <c r="FVU47" s="478"/>
      <c r="FVV47" s="478"/>
      <c r="FVW47" s="478"/>
      <c r="FVX47" s="478"/>
      <c r="FVY47" s="478"/>
      <c r="FVZ47" s="478"/>
      <c r="FWA47" s="478"/>
      <c r="FWB47" s="478"/>
      <c r="FWC47" s="478"/>
      <c r="FWD47" s="478"/>
      <c r="FWE47" s="478"/>
      <c r="FWF47" s="478"/>
      <c r="FWG47" s="478"/>
      <c r="FWH47" s="478"/>
      <c r="FWI47" s="478"/>
      <c r="FWJ47" s="478"/>
      <c r="FWK47" s="478"/>
      <c r="FWL47" s="478"/>
      <c r="FWM47" s="478"/>
      <c r="FWN47" s="478"/>
      <c r="FWO47" s="478"/>
      <c r="FWP47" s="478"/>
      <c r="FWQ47" s="478"/>
      <c r="FWR47" s="478"/>
      <c r="FWS47" s="478"/>
      <c r="FWT47" s="478"/>
      <c r="FWU47" s="478"/>
      <c r="FWV47" s="478"/>
      <c r="FWW47" s="478"/>
      <c r="FWX47" s="478"/>
      <c r="FWY47" s="478"/>
      <c r="FWZ47" s="478"/>
      <c r="FXA47" s="478"/>
      <c r="FXB47" s="478"/>
      <c r="FXC47" s="478"/>
      <c r="FXD47" s="478"/>
      <c r="FXE47" s="478"/>
      <c r="FXF47" s="478"/>
      <c r="FXG47" s="478"/>
      <c r="FXH47" s="478"/>
      <c r="FXI47" s="478"/>
      <c r="FXJ47" s="478"/>
      <c r="FXK47" s="478"/>
      <c r="FXL47" s="478"/>
      <c r="FXM47" s="478"/>
      <c r="FXN47" s="478"/>
      <c r="FXO47" s="478"/>
      <c r="FXP47" s="478"/>
      <c r="FXQ47" s="478"/>
      <c r="FXR47" s="478"/>
      <c r="FXS47" s="478"/>
      <c r="FXT47" s="478"/>
      <c r="FXU47" s="478"/>
      <c r="FXV47" s="478"/>
      <c r="FXW47" s="478"/>
      <c r="FXX47" s="478"/>
      <c r="FXY47" s="478"/>
      <c r="FXZ47" s="478"/>
      <c r="FYA47" s="478"/>
      <c r="FYB47" s="478"/>
      <c r="FYC47" s="478"/>
      <c r="FYD47" s="478"/>
      <c r="FYE47" s="478"/>
      <c r="FYF47" s="478"/>
      <c r="FYG47" s="478"/>
      <c r="FYH47" s="478"/>
      <c r="FYI47" s="478"/>
      <c r="FYJ47" s="478"/>
      <c r="FYK47" s="478"/>
      <c r="FYL47" s="478"/>
      <c r="FYM47" s="478"/>
      <c r="FYN47" s="478"/>
      <c r="FYO47" s="478"/>
      <c r="FYP47" s="478"/>
      <c r="FYQ47" s="478"/>
      <c r="FYR47" s="478"/>
      <c r="FYS47" s="478"/>
      <c r="FYT47" s="478"/>
      <c r="FYU47" s="478"/>
      <c r="FYV47" s="478"/>
      <c r="FYW47" s="478"/>
      <c r="FYX47" s="478"/>
      <c r="FYY47" s="478"/>
      <c r="FYZ47" s="478"/>
      <c r="FZA47" s="478"/>
      <c r="FZB47" s="478"/>
      <c r="FZC47" s="478"/>
      <c r="FZD47" s="478"/>
      <c r="FZE47" s="478"/>
      <c r="FZF47" s="478"/>
      <c r="FZG47" s="478"/>
      <c r="FZH47" s="478"/>
      <c r="FZI47" s="478"/>
      <c r="FZJ47" s="478"/>
      <c r="FZK47" s="478"/>
      <c r="FZL47" s="478"/>
      <c r="FZM47" s="478"/>
      <c r="FZN47" s="478"/>
      <c r="FZO47" s="478"/>
      <c r="FZP47" s="478"/>
      <c r="FZQ47" s="478"/>
      <c r="FZR47" s="478"/>
      <c r="FZS47" s="478"/>
      <c r="FZT47" s="478"/>
      <c r="FZU47" s="478"/>
      <c r="FZV47" s="478"/>
      <c r="FZW47" s="478"/>
      <c r="FZX47" s="478"/>
      <c r="FZY47" s="478"/>
      <c r="FZZ47" s="478"/>
      <c r="GAA47" s="478"/>
      <c r="GAB47" s="478"/>
      <c r="GAC47" s="478"/>
      <c r="GAD47" s="478"/>
      <c r="GAE47" s="478"/>
      <c r="GAF47" s="478"/>
      <c r="GAG47" s="478"/>
      <c r="GAH47" s="478"/>
      <c r="GAI47" s="478"/>
      <c r="GAJ47" s="478"/>
      <c r="GAK47" s="478"/>
      <c r="GAL47" s="478"/>
      <c r="GAM47" s="478"/>
      <c r="GAN47" s="478"/>
      <c r="GAO47" s="478"/>
      <c r="GAP47" s="478"/>
      <c r="GAQ47" s="478"/>
      <c r="GAR47" s="478"/>
      <c r="GAS47" s="478"/>
      <c r="GAT47" s="478"/>
      <c r="GAU47" s="478"/>
      <c r="GAV47" s="478"/>
      <c r="GAW47" s="478"/>
      <c r="GAX47" s="478"/>
      <c r="GAY47" s="478"/>
      <c r="GAZ47" s="478"/>
      <c r="GBA47" s="478"/>
      <c r="GBB47" s="478"/>
      <c r="GBC47" s="478"/>
      <c r="GBD47" s="478"/>
      <c r="GBE47" s="478"/>
      <c r="GBF47" s="478"/>
      <c r="GBG47" s="478"/>
      <c r="GBH47" s="478"/>
      <c r="GBI47" s="478"/>
      <c r="GBJ47" s="478"/>
      <c r="GBK47" s="478"/>
      <c r="GBL47" s="478"/>
      <c r="GBM47" s="478"/>
      <c r="GBN47" s="478"/>
      <c r="GBO47" s="478"/>
      <c r="GBP47" s="478"/>
      <c r="GBQ47" s="478"/>
      <c r="GBR47" s="478"/>
      <c r="GBS47" s="478"/>
      <c r="GBT47" s="478"/>
      <c r="GBU47" s="478"/>
      <c r="GBV47" s="478"/>
      <c r="GBW47" s="478"/>
      <c r="GBX47" s="478"/>
      <c r="GBY47" s="478"/>
      <c r="GBZ47" s="478"/>
      <c r="GCA47" s="478"/>
      <c r="GCB47" s="478"/>
      <c r="GCC47" s="478"/>
      <c r="GCD47" s="478"/>
      <c r="GCE47" s="478"/>
      <c r="GCF47" s="478"/>
      <c r="GCG47" s="478"/>
      <c r="GCH47" s="478"/>
      <c r="GCI47" s="478"/>
      <c r="GCJ47" s="478"/>
      <c r="GCK47" s="478"/>
      <c r="GCL47" s="478"/>
      <c r="GCM47" s="478"/>
      <c r="GCN47" s="478"/>
      <c r="GCO47" s="478"/>
      <c r="GCP47" s="478"/>
      <c r="GCQ47" s="478"/>
      <c r="GCR47" s="478"/>
      <c r="GCS47" s="478"/>
      <c r="GCT47" s="478"/>
      <c r="GCU47" s="478"/>
      <c r="GCV47" s="478"/>
      <c r="GCW47" s="478"/>
      <c r="GCX47" s="478"/>
      <c r="GCY47" s="478"/>
      <c r="GCZ47" s="478"/>
      <c r="GDA47" s="478"/>
      <c r="GDB47" s="478"/>
      <c r="GDC47" s="478"/>
      <c r="GDD47" s="478"/>
      <c r="GDE47" s="478"/>
      <c r="GDF47" s="478"/>
      <c r="GDG47" s="478"/>
      <c r="GDH47" s="478"/>
      <c r="GDI47" s="478"/>
      <c r="GDJ47" s="478"/>
      <c r="GDK47" s="478"/>
      <c r="GDL47" s="478"/>
      <c r="GDM47" s="478"/>
      <c r="GDN47" s="478"/>
      <c r="GDO47" s="478"/>
      <c r="GDP47" s="478"/>
      <c r="GDQ47" s="478"/>
      <c r="GDR47" s="478"/>
      <c r="GDS47" s="478"/>
      <c r="GDT47" s="478"/>
      <c r="GDU47" s="478"/>
      <c r="GDV47" s="478"/>
      <c r="GDW47" s="478"/>
      <c r="GDX47" s="478"/>
      <c r="GDY47" s="478"/>
      <c r="GDZ47" s="478"/>
      <c r="GEA47" s="478"/>
      <c r="GEB47" s="478"/>
      <c r="GEC47" s="478"/>
      <c r="GED47" s="478"/>
      <c r="GEE47" s="478"/>
      <c r="GEF47" s="478"/>
      <c r="GEG47" s="478"/>
      <c r="GEH47" s="478"/>
      <c r="GEI47" s="478"/>
      <c r="GEJ47" s="478"/>
      <c r="GEK47" s="478"/>
      <c r="GEL47" s="478"/>
      <c r="GEM47" s="478"/>
      <c r="GEN47" s="478"/>
      <c r="GEO47" s="478"/>
      <c r="GEP47" s="478"/>
      <c r="GEQ47" s="478"/>
      <c r="GER47" s="478"/>
      <c r="GES47" s="478"/>
      <c r="GET47" s="478"/>
      <c r="GEU47" s="478"/>
      <c r="GEV47" s="478"/>
      <c r="GEW47" s="478"/>
      <c r="GEX47" s="478"/>
      <c r="GEY47" s="478"/>
      <c r="GEZ47" s="478"/>
      <c r="GFA47" s="478"/>
      <c r="GFB47" s="478"/>
      <c r="GFC47" s="478"/>
      <c r="GFD47" s="478"/>
      <c r="GFE47" s="478"/>
      <c r="GFF47" s="478"/>
      <c r="GFG47" s="478"/>
      <c r="GFH47" s="478"/>
      <c r="GFI47" s="478"/>
      <c r="GFJ47" s="478"/>
      <c r="GFK47" s="478"/>
      <c r="GFL47" s="478"/>
      <c r="GFM47" s="478"/>
      <c r="GFN47" s="478"/>
      <c r="GFO47" s="478"/>
      <c r="GFP47" s="478"/>
      <c r="GFQ47" s="478"/>
      <c r="GFR47" s="478"/>
      <c r="GFS47" s="478"/>
      <c r="GFT47" s="478"/>
      <c r="GFU47" s="478"/>
      <c r="GFV47" s="478"/>
      <c r="GFW47" s="478"/>
      <c r="GFX47" s="478"/>
      <c r="GFY47" s="478"/>
      <c r="GFZ47" s="478"/>
      <c r="GGA47" s="478"/>
      <c r="GGB47" s="478"/>
      <c r="GGC47" s="478"/>
      <c r="GGD47" s="478"/>
      <c r="GGE47" s="478"/>
      <c r="GGF47" s="478"/>
      <c r="GGG47" s="478"/>
      <c r="GGH47" s="478"/>
      <c r="GGI47" s="478"/>
      <c r="GGJ47" s="478"/>
      <c r="GGK47" s="478"/>
      <c r="GGL47" s="478"/>
      <c r="GGM47" s="478"/>
      <c r="GGN47" s="478"/>
      <c r="GGO47" s="478"/>
      <c r="GGP47" s="478"/>
      <c r="GGQ47" s="478"/>
      <c r="GGR47" s="478"/>
      <c r="GGS47" s="478"/>
      <c r="GGT47" s="478"/>
      <c r="GGU47" s="478"/>
      <c r="GGV47" s="478"/>
      <c r="GGW47" s="478"/>
      <c r="GGX47" s="478"/>
      <c r="GGY47" s="478"/>
      <c r="GGZ47" s="478"/>
      <c r="GHA47" s="478"/>
      <c r="GHB47" s="478"/>
      <c r="GHC47" s="478"/>
      <c r="GHD47" s="478"/>
      <c r="GHE47" s="478"/>
      <c r="GHF47" s="478"/>
      <c r="GHG47" s="478"/>
      <c r="GHH47" s="478"/>
      <c r="GHI47" s="478"/>
      <c r="GHJ47" s="478"/>
      <c r="GHK47" s="478"/>
      <c r="GHL47" s="478"/>
      <c r="GHM47" s="478"/>
      <c r="GHN47" s="478"/>
      <c r="GHO47" s="478"/>
      <c r="GHP47" s="478"/>
      <c r="GHQ47" s="478"/>
      <c r="GHR47" s="478"/>
      <c r="GHS47" s="478"/>
      <c r="GHT47" s="478"/>
      <c r="GHU47" s="478"/>
      <c r="GHV47" s="478"/>
      <c r="GHW47" s="478"/>
      <c r="GHX47" s="478"/>
      <c r="GHY47" s="478"/>
      <c r="GHZ47" s="478"/>
      <c r="GIA47" s="478"/>
      <c r="GIB47" s="478"/>
      <c r="GIC47" s="478"/>
      <c r="GID47" s="478"/>
      <c r="GIE47" s="478"/>
      <c r="GIF47" s="478"/>
      <c r="GIG47" s="478"/>
      <c r="GIH47" s="478"/>
      <c r="GII47" s="478"/>
      <c r="GIJ47" s="478"/>
      <c r="GIK47" s="478"/>
      <c r="GIL47" s="478"/>
      <c r="GIM47" s="478"/>
      <c r="GIN47" s="478"/>
      <c r="GIO47" s="478"/>
      <c r="GIP47" s="478"/>
      <c r="GIQ47" s="478"/>
      <c r="GIR47" s="478"/>
      <c r="GIS47" s="478"/>
      <c r="GIT47" s="478"/>
      <c r="GIU47" s="478"/>
      <c r="GIV47" s="478"/>
      <c r="GIW47" s="478"/>
      <c r="GIX47" s="478"/>
      <c r="GIY47" s="478"/>
      <c r="GIZ47" s="478"/>
      <c r="GJA47" s="478"/>
      <c r="GJB47" s="478"/>
      <c r="GJC47" s="478"/>
      <c r="GJD47" s="478"/>
      <c r="GJE47" s="478"/>
      <c r="GJF47" s="478"/>
      <c r="GJG47" s="478"/>
      <c r="GJH47" s="478"/>
      <c r="GJI47" s="478"/>
      <c r="GJJ47" s="478"/>
      <c r="GJK47" s="478"/>
      <c r="GJL47" s="478"/>
      <c r="GJM47" s="478"/>
      <c r="GJN47" s="478"/>
      <c r="GJO47" s="478"/>
      <c r="GJP47" s="478"/>
      <c r="GJQ47" s="478"/>
      <c r="GJR47" s="478"/>
      <c r="GJS47" s="478"/>
      <c r="GJT47" s="478"/>
      <c r="GJU47" s="478"/>
      <c r="GJV47" s="478"/>
      <c r="GJW47" s="478"/>
      <c r="GJX47" s="478"/>
      <c r="GJY47" s="478"/>
      <c r="GJZ47" s="478"/>
      <c r="GKA47" s="478"/>
      <c r="GKB47" s="478"/>
      <c r="GKC47" s="478"/>
      <c r="GKD47" s="478"/>
      <c r="GKE47" s="478"/>
      <c r="GKF47" s="478"/>
      <c r="GKG47" s="478"/>
      <c r="GKH47" s="478"/>
      <c r="GKI47" s="478"/>
      <c r="GKJ47" s="478"/>
      <c r="GKK47" s="478"/>
      <c r="GKL47" s="478"/>
      <c r="GKM47" s="478"/>
      <c r="GKN47" s="478"/>
      <c r="GKO47" s="478"/>
      <c r="GKP47" s="478"/>
      <c r="GKQ47" s="478"/>
      <c r="GKR47" s="478"/>
      <c r="GKS47" s="478"/>
      <c r="GKT47" s="478"/>
      <c r="GKU47" s="478"/>
      <c r="GKV47" s="478"/>
      <c r="GKW47" s="478"/>
      <c r="GKX47" s="478"/>
      <c r="GKY47" s="478"/>
      <c r="GKZ47" s="478"/>
      <c r="GLA47" s="478"/>
      <c r="GLB47" s="478"/>
      <c r="GLC47" s="478"/>
      <c r="GLD47" s="478"/>
      <c r="GLE47" s="478"/>
      <c r="GLF47" s="478"/>
      <c r="GLG47" s="478"/>
      <c r="GLH47" s="478"/>
      <c r="GLI47" s="478"/>
      <c r="GLJ47" s="478"/>
      <c r="GLK47" s="478"/>
      <c r="GLL47" s="478"/>
      <c r="GLM47" s="478"/>
      <c r="GLN47" s="478"/>
      <c r="GLO47" s="478"/>
      <c r="GLP47" s="478"/>
      <c r="GLQ47" s="478"/>
      <c r="GLR47" s="478"/>
      <c r="GLS47" s="478"/>
      <c r="GLT47" s="478"/>
      <c r="GLU47" s="478"/>
      <c r="GLV47" s="478"/>
      <c r="GLW47" s="478"/>
      <c r="GLX47" s="478"/>
      <c r="GLY47" s="478"/>
      <c r="GLZ47" s="478"/>
      <c r="GMA47" s="478"/>
      <c r="GMB47" s="478"/>
      <c r="GMC47" s="478"/>
      <c r="GMD47" s="478"/>
      <c r="GME47" s="478"/>
      <c r="GMF47" s="478"/>
      <c r="GMG47" s="478"/>
      <c r="GMH47" s="478"/>
      <c r="GMI47" s="478"/>
      <c r="GMJ47" s="478"/>
      <c r="GMK47" s="478"/>
      <c r="GML47" s="478"/>
      <c r="GMM47" s="478"/>
      <c r="GMN47" s="478"/>
      <c r="GMO47" s="478"/>
      <c r="GMP47" s="478"/>
      <c r="GMQ47" s="478"/>
      <c r="GMR47" s="478"/>
      <c r="GMS47" s="478"/>
      <c r="GMT47" s="478"/>
      <c r="GMU47" s="478"/>
      <c r="GMV47" s="478"/>
      <c r="GMW47" s="478"/>
      <c r="GMX47" s="478"/>
      <c r="GMY47" s="478"/>
      <c r="GMZ47" s="478"/>
      <c r="GNA47" s="478"/>
      <c r="GNB47" s="478"/>
      <c r="GNC47" s="478"/>
      <c r="GND47" s="478"/>
      <c r="GNE47" s="478"/>
      <c r="GNF47" s="478"/>
      <c r="GNG47" s="478"/>
      <c r="GNH47" s="478"/>
      <c r="GNI47" s="478"/>
      <c r="GNJ47" s="478"/>
      <c r="GNK47" s="478"/>
      <c r="GNL47" s="478"/>
      <c r="GNM47" s="478"/>
      <c r="GNN47" s="478"/>
      <c r="GNO47" s="478"/>
      <c r="GNP47" s="478"/>
      <c r="GNQ47" s="478"/>
      <c r="GNR47" s="478"/>
      <c r="GNS47" s="478"/>
      <c r="GNT47" s="478"/>
      <c r="GNU47" s="478"/>
      <c r="GNV47" s="478"/>
      <c r="GNW47" s="478"/>
      <c r="GNX47" s="478"/>
      <c r="GNY47" s="478"/>
      <c r="GNZ47" s="478"/>
      <c r="GOA47" s="478"/>
      <c r="GOB47" s="478"/>
      <c r="GOC47" s="478"/>
      <c r="GOD47" s="478"/>
      <c r="GOE47" s="478"/>
      <c r="GOF47" s="478"/>
      <c r="GOG47" s="478"/>
      <c r="GOH47" s="478"/>
      <c r="GOI47" s="478"/>
      <c r="GOJ47" s="478"/>
      <c r="GOK47" s="478"/>
      <c r="GOL47" s="478"/>
      <c r="GOM47" s="478"/>
      <c r="GON47" s="478"/>
      <c r="GOO47" s="478"/>
      <c r="GOP47" s="478"/>
      <c r="GOQ47" s="478"/>
      <c r="GOR47" s="478"/>
      <c r="GOS47" s="478"/>
      <c r="GOT47" s="478"/>
      <c r="GOU47" s="478"/>
      <c r="GOV47" s="478"/>
      <c r="GOW47" s="478"/>
      <c r="GOX47" s="478"/>
      <c r="GOY47" s="478"/>
      <c r="GOZ47" s="478"/>
      <c r="GPA47" s="478"/>
      <c r="GPB47" s="478"/>
      <c r="GPC47" s="478"/>
      <c r="GPD47" s="478"/>
      <c r="GPE47" s="478"/>
      <c r="GPF47" s="478"/>
      <c r="GPG47" s="478"/>
      <c r="GPH47" s="478"/>
      <c r="GPI47" s="478"/>
      <c r="GPJ47" s="478"/>
      <c r="GPK47" s="478"/>
      <c r="GPL47" s="478"/>
      <c r="GPM47" s="478"/>
      <c r="GPN47" s="478"/>
      <c r="GPO47" s="478"/>
      <c r="GPP47" s="478"/>
      <c r="GPQ47" s="478"/>
      <c r="GPR47" s="478"/>
      <c r="GPS47" s="478"/>
      <c r="GPT47" s="478"/>
      <c r="GPU47" s="478"/>
      <c r="GPV47" s="478"/>
      <c r="GPW47" s="478"/>
      <c r="GPX47" s="478"/>
      <c r="GPY47" s="478"/>
      <c r="GPZ47" s="478"/>
      <c r="GQA47" s="478"/>
      <c r="GQB47" s="478"/>
      <c r="GQC47" s="478"/>
      <c r="GQD47" s="478"/>
      <c r="GQE47" s="478"/>
      <c r="GQF47" s="478"/>
      <c r="GQG47" s="478"/>
      <c r="GQH47" s="478"/>
      <c r="GQI47" s="478"/>
      <c r="GQJ47" s="478"/>
      <c r="GQK47" s="478"/>
      <c r="GQL47" s="478"/>
      <c r="GQM47" s="478"/>
      <c r="GQN47" s="478"/>
      <c r="GQO47" s="478"/>
      <c r="GQP47" s="478"/>
      <c r="GQQ47" s="478"/>
      <c r="GQR47" s="478"/>
      <c r="GQS47" s="478"/>
      <c r="GQT47" s="478"/>
      <c r="GQU47" s="478"/>
      <c r="GQV47" s="478"/>
      <c r="GQW47" s="478"/>
      <c r="GQX47" s="478"/>
      <c r="GQY47" s="478"/>
      <c r="GQZ47" s="478"/>
      <c r="GRA47" s="478"/>
      <c r="GRB47" s="478"/>
      <c r="GRC47" s="478"/>
      <c r="GRD47" s="478"/>
      <c r="GRE47" s="478"/>
      <c r="GRF47" s="478"/>
      <c r="GRG47" s="478"/>
      <c r="GRH47" s="478"/>
      <c r="GRI47" s="478"/>
      <c r="GRJ47" s="478"/>
      <c r="GRK47" s="478"/>
      <c r="GRL47" s="478"/>
      <c r="GRM47" s="478"/>
      <c r="GRN47" s="478"/>
      <c r="GRO47" s="478"/>
      <c r="GRP47" s="478"/>
      <c r="GRQ47" s="478"/>
      <c r="GRR47" s="478"/>
      <c r="GRS47" s="478"/>
      <c r="GRT47" s="478"/>
      <c r="GRU47" s="478"/>
      <c r="GRV47" s="478"/>
      <c r="GRW47" s="478"/>
      <c r="GRX47" s="478"/>
      <c r="GRY47" s="478"/>
      <c r="GRZ47" s="478"/>
      <c r="GSA47" s="478"/>
      <c r="GSB47" s="478"/>
      <c r="GSC47" s="478"/>
      <c r="GSD47" s="478"/>
      <c r="GSE47" s="478"/>
      <c r="GSF47" s="478"/>
      <c r="GSG47" s="478"/>
      <c r="GSH47" s="478"/>
      <c r="GSI47" s="478"/>
      <c r="GSJ47" s="478"/>
      <c r="GSK47" s="478"/>
      <c r="GSL47" s="478"/>
      <c r="GSM47" s="478"/>
      <c r="GSN47" s="478"/>
      <c r="GSO47" s="478"/>
      <c r="GSP47" s="478"/>
      <c r="GSQ47" s="478"/>
      <c r="GSR47" s="478"/>
      <c r="GSS47" s="478"/>
      <c r="GST47" s="478"/>
      <c r="GSU47" s="478"/>
      <c r="GSV47" s="478"/>
      <c r="GSW47" s="478"/>
      <c r="GSX47" s="478"/>
      <c r="GSY47" s="478"/>
      <c r="GSZ47" s="478"/>
      <c r="GTA47" s="478"/>
      <c r="GTB47" s="478"/>
      <c r="GTC47" s="478"/>
      <c r="GTD47" s="478"/>
      <c r="GTE47" s="478"/>
      <c r="GTF47" s="478"/>
      <c r="GTG47" s="478"/>
      <c r="GTH47" s="478"/>
      <c r="GTI47" s="478"/>
      <c r="GTJ47" s="478"/>
      <c r="GTK47" s="478"/>
      <c r="GTL47" s="478"/>
      <c r="GTM47" s="478"/>
      <c r="GTN47" s="478"/>
      <c r="GTO47" s="478"/>
      <c r="GTP47" s="478"/>
      <c r="GTQ47" s="478"/>
      <c r="GTR47" s="478"/>
      <c r="GTS47" s="478"/>
      <c r="GTT47" s="478"/>
      <c r="GTU47" s="478"/>
      <c r="GTV47" s="478"/>
      <c r="GTW47" s="478"/>
      <c r="GTX47" s="478"/>
      <c r="GTY47" s="478"/>
      <c r="GTZ47" s="478"/>
      <c r="GUA47" s="478"/>
      <c r="GUB47" s="478"/>
      <c r="GUC47" s="478"/>
      <c r="GUD47" s="478"/>
      <c r="GUE47" s="478"/>
      <c r="GUF47" s="478"/>
      <c r="GUG47" s="478"/>
      <c r="GUH47" s="478"/>
      <c r="GUI47" s="478"/>
      <c r="GUJ47" s="478"/>
      <c r="GUK47" s="478"/>
      <c r="GUL47" s="478"/>
      <c r="GUM47" s="478"/>
      <c r="GUN47" s="478"/>
      <c r="GUO47" s="478"/>
      <c r="GUP47" s="478"/>
      <c r="GUQ47" s="478"/>
      <c r="GUR47" s="478"/>
      <c r="GUS47" s="478"/>
      <c r="GUT47" s="478"/>
      <c r="GUU47" s="478"/>
      <c r="GUV47" s="478"/>
      <c r="GUW47" s="478"/>
      <c r="GUX47" s="478"/>
      <c r="GUY47" s="478"/>
      <c r="GUZ47" s="478"/>
      <c r="GVA47" s="478"/>
      <c r="GVB47" s="478"/>
      <c r="GVC47" s="478"/>
      <c r="GVD47" s="478"/>
      <c r="GVE47" s="478"/>
      <c r="GVF47" s="478"/>
      <c r="GVG47" s="478"/>
      <c r="GVH47" s="478"/>
      <c r="GVI47" s="478"/>
      <c r="GVJ47" s="478"/>
      <c r="GVK47" s="478"/>
      <c r="GVL47" s="478"/>
      <c r="GVM47" s="478"/>
      <c r="GVN47" s="478"/>
      <c r="GVO47" s="478"/>
      <c r="GVP47" s="478"/>
      <c r="GVQ47" s="478"/>
      <c r="GVR47" s="478"/>
      <c r="GVS47" s="478"/>
      <c r="GVT47" s="478"/>
      <c r="GVU47" s="478"/>
      <c r="GVV47" s="478"/>
      <c r="GVW47" s="478"/>
      <c r="GVX47" s="478"/>
      <c r="GVY47" s="478"/>
      <c r="GVZ47" s="478"/>
      <c r="GWA47" s="478"/>
      <c r="GWB47" s="478"/>
      <c r="GWC47" s="478"/>
      <c r="GWD47" s="478"/>
      <c r="GWE47" s="478"/>
      <c r="GWF47" s="478"/>
      <c r="GWG47" s="478"/>
      <c r="GWH47" s="478"/>
      <c r="GWI47" s="478"/>
      <c r="GWJ47" s="478"/>
      <c r="GWK47" s="478"/>
      <c r="GWL47" s="478"/>
      <c r="GWM47" s="478"/>
      <c r="GWN47" s="478"/>
      <c r="GWO47" s="478"/>
      <c r="GWP47" s="478"/>
      <c r="GWQ47" s="478"/>
      <c r="GWR47" s="478"/>
      <c r="GWS47" s="478"/>
      <c r="GWT47" s="478"/>
      <c r="GWU47" s="478"/>
      <c r="GWV47" s="478"/>
      <c r="GWW47" s="478"/>
      <c r="GWX47" s="478"/>
      <c r="GWY47" s="478"/>
      <c r="GWZ47" s="478"/>
      <c r="GXA47" s="478"/>
      <c r="GXB47" s="478"/>
      <c r="GXC47" s="478"/>
      <c r="GXD47" s="478"/>
      <c r="GXE47" s="478"/>
      <c r="GXF47" s="478"/>
      <c r="GXG47" s="478"/>
      <c r="GXH47" s="478"/>
      <c r="GXI47" s="478"/>
      <c r="GXJ47" s="478"/>
      <c r="GXK47" s="478"/>
      <c r="GXL47" s="478"/>
      <c r="GXM47" s="478"/>
      <c r="GXN47" s="478"/>
      <c r="GXO47" s="478"/>
      <c r="GXP47" s="478"/>
      <c r="GXQ47" s="478"/>
      <c r="GXR47" s="478"/>
      <c r="GXS47" s="478"/>
      <c r="GXT47" s="478"/>
      <c r="GXU47" s="478"/>
      <c r="GXV47" s="478"/>
      <c r="GXW47" s="478"/>
      <c r="GXX47" s="478"/>
      <c r="GXY47" s="478"/>
      <c r="GXZ47" s="478"/>
      <c r="GYA47" s="478"/>
      <c r="GYB47" s="478"/>
      <c r="GYC47" s="478"/>
      <c r="GYD47" s="478"/>
      <c r="GYE47" s="478"/>
      <c r="GYF47" s="478"/>
      <c r="GYG47" s="478"/>
      <c r="GYH47" s="478"/>
      <c r="GYI47" s="478"/>
      <c r="GYJ47" s="478"/>
      <c r="GYK47" s="478"/>
      <c r="GYL47" s="478"/>
      <c r="GYM47" s="478"/>
      <c r="GYN47" s="478"/>
      <c r="GYO47" s="478"/>
      <c r="GYP47" s="478"/>
      <c r="GYQ47" s="478"/>
      <c r="GYR47" s="478"/>
      <c r="GYS47" s="478"/>
      <c r="GYT47" s="478"/>
      <c r="GYU47" s="478"/>
      <c r="GYV47" s="478"/>
      <c r="GYW47" s="478"/>
      <c r="GYX47" s="478"/>
      <c r="GYY47" s="478"/>
      <c r="GYZ47" s="478"/>
      <c r="GZA47" s="478"/>
      <c r="GZB47" s="478"/>
      <c r="GZC47" s="478"/>
      <c r="GZD47" s="478"/>
      <c r="GZE47" s="478"/>
      <c r="GZF47" s="478"/>
      <c r="GZG47" s="478"/>
      <c r="GZH47" s="478"/>
      <c r="GZI47" s="478"/>
      <c r="GZJ47" s="478"/>
      <c r="GZK47" s="478"/>
      <c r="GZL47" s="478"/>
      <c r="GZM47" s="478"/>
      <c r="GZN47" s="478"/>
      <c r="GZO47" s="478"/>
      <c r="GZP47" s="478"/>
      <c r="GZQ47" s="478"/>
      <c r="GZR47" s="478"/>
      <c r="GZS47" s="478"/>
      <c r="GZT47" s="478"/>
      <c r="GZU47" s="478"/>
      <c r="GZV47" s="478"/>
      <c r="GZW47" s="478"/>
      <c r="GZX47" s="478"/>
      <c r="GZY47" s="478"/>
      <c r="GZZ47" s="478"/>
      <c r="HAA47" s="478"/>
      <c r="HAB47" s="478"/>
      <c r="HAC47" s="478"/>
      <c r="HAD47" s="478"/>
      <c r="HAE47" s="478"/>
      <c r="HAF47" s="478"/>
      <c r="HAG47" s="478"/>
      <c r="HAH47" s="478"/>
      <c r="HAI47" s="478"/>
      <c r="HAJ47" s="478"/>
      <c r="HAK47" s="478"/>
      <c r="HAL47" s="478"/>
      <c r="HAM47" s="478"/>
      <c r="HAN47" s="478"/>
      <c r="HAO47" s="478"/>
      <c r="HAP47" s="478"/>
      <c r="HAQ47" s="478"/>
      <c r="HAR47" s="478"/>
      <c r="HAS47" s="478"/>
      <c r="HAT47" s="478"/>
      <c r="HAU47" s="478"/>
      <c r="HAV47" s="478"/>
      <c r="HAW47" s="478"/>
      <c r="HAX47" s="478"/>
      <c r="HAY47" s="478"/>
      <c r="HAZ47" s="478"/>
      <c r="HBA47" s="478"/>
      <c r="HBB47" s="478"/>
      <c r="HBC47" s="478"/>
      <c r="HBD47" s="478"/>
      <c r="HBE47" s="478"/>
      <c r="HBF47" s="478"/>
      <c r="HBG47" s="478"/>
      <c r="HBH47" s="478"/>
      <c r="HBI47" s="478"/>
      <c r="HBJ47" s="478"/>
      <c r="HBK47" s="478"/>
      <c r="HBL47" s="478"/>
      <c r="HBM47" s="478"/>
      <c r="HBN47" s="478"/>
      <c r="HBO47" s="478"/>
      <c r="HBP47" s="478"/>
      <c r="HBQ47" s="478"/>
      <c r="HBR47" s="478"/>
      <c r="HBS47" s="478"/>
      <c r="HBT47" s="478"/>
      <c r="HBU47" s="478"/>
      <c r="HBV47" s="478"/>
      <c r="HBW47" s="478"/>
      <c r="HBX47" s="478"/>
      <c r="HBY47" s="478"/>
      <c r="HBZ47" s="478"/>
      <c r="HCA47" s="478"/>
      <c r="HCB47" s="478"/>
      <c r="HCC47" s="478"/>
      <c r="HCD47" s="478"/>
      <c r="HCE47" s="478"/>
      <c r="HCF47" s="478"/>
      <c r="HCG47" s="478"/>
      <c r="HCH47" s="478"/>
      <c r="HCI47" s="478"/>
      <c r="HCJ47" s="478"/>
      <c r="HCK47" s="478"/>
      <c r="HCL47" s="478"/>
      <c r="HCM47" s="478"/>
      <c r="HCN47" s="478"/>
      <c r="HCO47" s="478"/>
      <c r="HCP47" s="478"/>
      <c r="HCQ47" s="478"/>
      <c r="HCR47" s="478"/>
      <c r="HCS47" s="478"/>
      <c r="HCT47" s="478"/>
      <c r="HCU47" s="478"/>
      <c r="HCV47" s="478"/>
      <c r="HCW47" s="478"/>
      <c r="HCX47" s="478"/>
      <c r="HCY47" s="478"/>
      <c r="HCZ47" s="478"/>
      <c r="HDA47" s="478"/>
      <c r="HDB47" s="478"/>
      <c r="HDC47" s="478"/>
      <c r="HDD47" s="478"/>
      <c r="HDE47" s="478"/>
      <c r="HDF47" s="478"/>
      <c r="HDG47" s="478"/>
      <c r="HDH47" s="478"/>
      <c r="HDI47" s="478"/>
      <c r="HDJ47" s="478"/>
      <c r="HDK47" s="478"/>
      <c r="HDL47" s="478"/>
      <c r="HDM47" s="478"/>
      <c r="HDN47" s="478"/>
      <c r="HDO47" s="478"/>
      <c r="HDP47" s="478"/>
      <c r="HDQ47" s="478"/>
      <c r="HDR47" s="478"/>
      <c r="HDS47" s="478"/>
      <c r="HDT47" s="478"/>
      <c r="HDU47" s="478"/>
      <c r="HDV47" s="478"/>
      <c r="HDW47" s="478"/>
      <c r="HDX47" s="478"/>
      <c r="HDY47" s="478"/>
      <c r="HDZ47" s="478"/>
      <c r="HEA47" s="478"/>
      <c r="HEB47" s="478"/>
      <c r="HEC47" s="478"/>
      <c r="HED47" s="478"/>
      <c r="HEE47" s="478"/>
      <c r="HEF47" s="478"/>
      <c r="HEG47" s="478"/>
      <c r="HEH47" s="478"/>
      <c r="HEI47" s="478"/>
      <c r="HEJ47" s="478"/>
      <c r="HEK47" s="478"/>
      <c r="HEL47" s="478"/>
      <c r="HEM47" s="478"/>
      <c r="HEN47" s="478"/>
      <c r="HEO47" s="478"/>
      <c r="HEP47" s="478"/>
      <c r="HEQ47" s="478"/>
      <c r="HER47" s="478"/>
      <c r="HES47" s="478"/>
      <c r="HET47" s="478"/>
      <c r="HEU47" s="478"/>
      <c r="HEV47" s="478"/>
      <c r="HEW47" s="478"/>
      <c r="HEX47" s="478"/>
      <c r="HEY47" s="478"/>
      <c r="HEZ47" s="478"/>
      <c r="HFA47" s="478"/>
      <c r="HFB47" s="478"/>
      <c r="HFC47" s="478"/>
      <c r="HFD47" s="478"/>
      <c r="HFE47" s="478"/>
      <c r="HFF47" s="478"/>
      <c r="HFG47" s="478"/>
      <c r="HFH47" s="478"/>
      <c r="HFI47" s="478"/>
      <c r="HFJ47" s="478"/>
      <c r="HFK47" s="478"/>
      <c r="HFL47" s="478"/>
      <c r="HFM47" s="478"/>
      <c r="HFN47" s="478"/>
      <c r="HFO47" s="478"/>
      <c r="HFP47" s="478"/>
      <c r="HFQ47" s="478"/>
      <c r="HFR47" s="478"/>
      <c r="HFS47" s="478"/>
      <c r="HFT47" s="478"/>
      <c r="HFU47" s="478"/>
      <c r="HFV47" s="478"/>
      <c r="HFW47" s="478"/>
      <c r="HFX47" s="478"/>
      <c r="HFY47" s="478"/>
      <c r="HFZ47" s="478"/>
      <c r="HGA47" s="478"/>
      <c r="HGB47" s="478"/>
      <c r="HGC47" s="478"/>
      <c r="HGD47" s="478"/>
      <c r="HGE47" s="478"/>
      <c r="HGF47" s="478"/>
      <c r="HGG47" s="478"/>
      <c r="HGH47" s="478"/>
      <c r="HGI47" s="478"/>
      <c r="HGJ47" s="478"/>
      <c r="HGK47" s="478"/>
      <c r="HGL47" s="478"/>
      <c r="HGM47" s="478"/>
      <c r="HGN47" s="478"/>
      <c r="HGO47" s="478"/>
      <c r="HGP47" s="478"/>
      <c r="HGQ47" s="478"/>
      <c r="HGR47" s="478"/>
      <c r="HGS47" s="478"/>
      <c r="HGT47" s="478"/>
      <c r="HGU47" s="478"/>
      <c r="HGV47" s="478"/>
      <c r="HGW47" s="478"/>
      <c r="HGX47" s="478"/>
      <c r="HGY47" s="478"/>
      <c r="HGZ47" s="478"/>
      <c r="HHA47" s="478"/>
      <c r="HHB47" s="478"/>
      <c r="HHC47" s="478"/>
      <c r="HHD47" s="478"/>
      <c r="HHE47" s="478"/>
      <c r="HHF47" s="478"/>
      <c r="HHG47" s="478"/>
      <c r="HHH47" s="478"/>
      <c r="HHI47" s="478"/>
      <c r="HHJ47" s="478"/>
      <c r="HHK47" s="478"/>
      <c r="HHL47" s="478"/>
      <c r="HHM47" s="478"/>
      <c r="HHN47" s="478"/>
      <c r="HHO47" s="478"/>
      <c r="HHP47" s="478"/>
      <c r="HHQ47" s="478"/>
      <c r="HHR47" s="478"/>
      <c r="HHS47" s="478"/>
      <c r="HHT47" s="478"/>
      <c r="HHU47" s="478"/>
      <c r="HHV47" s="478"/>
      <c r="HHW47" s="478"/>
      <c r="HHX47" s="478"/>
      <c r="HHY47" s="478"/>
      <c r="HHZ47" s="478"/>
      <c r="HIA47" s="478"/>
      <c r="HIB47" s="478"/>
      <c r="HIC47" s="478"/>
      <c r="HID47" s="478"/>
      <c r="HIE47" s="478"/>
      <c r="HIF47" s="478"/>
      <c r="HIG47" s="478"/>
      <c r="HIH47" s="478"/>
      <c r="HII47" s="478"/>
      <c r="HIJ47" s="478"/>
      <c r="HIK47" s="478"/>
      <c r="HIL47" s="478"/>
      <c r="HIM47" s="478"/>
      <c r="HIN47" s="478"/>
      <c r="HIO47" s="478"/>
      <c r="HIP47" s="478"/>
      <c r="HIQ47" s="478"/>
      <c r="HIR47" s="478"/>
      <c r="HIS47" s="478"/>
      <c r="HIT47" s="478"/>
      <c r="HIU47" s="478"/>
      <c r="HIV47" s="478"/>
      <c r="HIW47" s="478"/>
      <c r="HIX47" s="478"/>
      <c r="HIY47" s="478"/>
      <c r="HIZ47" s="478"/>
      <c r="HJA47" s="478"/>
      <c r="HJB47" s="478"/>
      <c r="HJC47" s="478"/>
      <c r="HJD47" s="478"/>
      <c r="HJE47" s="478"/>
      <c r="HJF47" s="478"/>
      <c r="HJG47" s="478"/>
      <c r="HJH47" s="478"/>
      <c r="HJI47" s="478"/>
      <c r="HJJ47" s="478"/>
      <c r="HJK47" s="478"/>
      <c r="HJL47" s="478"/>
      <c r="HJM47" s="478"/>
      <c r="HJN47" s="478"/>
      <c r="HJO47" s="478"/>
      <c r="HJP47" s="478"/>
      <c r="HJQ47" s="478"/>
      <c r="HJR47" s="478"/>
      <c r="HJS47" s="478"/>
      <c r="HJT47" s="478"/>
      <c r="HJU47" s="478"/>
      <c r="HJV47" s="478"/>
      <c r="HJW47" s="478"/>
      <c r="HJX47" s="478"/>
      <c r="HJY47" s="478"/>
      <c r="HJZ47" s="478"/>
      <c r="HKA47" s="478"/>
      <c r="HKB47" s="478"/>
      <c r="HKC47" s="478"/>
      <c r="HKD47" s="478"/>
      <c r="HKE47" s="478"/>
      <c r="HKF47" s="478"/>
      <c r="HKG47" s="478"/>
      <c r="HKH47" s="478"/>
      <c r="HKI47" s="478"/>
      <c r="HKJ47" s="478"/>
      <c r="HKK47" s="478"/>
      <c r="HKL47" s="478"/>
      <c r="HKM47" s="478"/>
      <c r="HKN47" s="478"/>
      <c r="HKO47" s="478"/>
      <c r="HKP47" s="478"/>
      <c r="HKQ47" s="478"/>
      <c r="HKR47" s="478"/>
      <c r="HKS47" s="478"/>
      <c r="HKT47" s="478"/>
      <c r="HKU47" s="478"/>
      <c r="HKV47" s="478"/>
      <c r="HKW47" s="478"/>
      <c r="HKX47" s="478"/>
      <c r="HKY47" s="478"/>
      <c r="HKZ47" s="478"/>
      <c r="HLA47" s="478"/>
      <c r="HLB47" s="478"/>
      <c r="HLC47" s="478"/>
      <c r="HLD47" s="478"/>
      <c r="HLE47" s="478"/>
      <c r="HLF47" s="478"/>
      <c r="HLG47" s="478"/>
      <c r="HLH47" s="478"/>
      <c r="HLI47" s="478"/>
      <c r="HLJ47" s="478"/>
      <c r="HLK47" s="478"/>
      <c r="HLL47" s="478"/>
      <c r="HLM47" s="478"/>
      <c r="HLN47" s="478"/>
      <c r="HLO47" s="478"/>
      <c r="HLP47" s="478"/>
      <c r="HLQ47" s="478"/>
      <c r="HLR47" s="478"/>
      <c r="HLS47" s="478"/>
      <c r="HLT47" s="478"/>
      <c r="HLU47" s="478"/>
      <c r="HLV47" s="478"/>
      <c r="HLW47" s="478"/>
      <c r="HLX47" s="478"/>
      <c r="HLY47" s="478"/>
      <c r="HLZ47" s="478"/>
      <c r="HMA47" s="478"/>
      <c r="HMB47" s="478"/>
      <c r="HMC47" s="478"/>
      <c r="HMD47" s="478"/>
      <c r="HME47" s="478"/>
      <c r="HMF47" s="478"/>
      <c r="HMG47" s="478"/>
      <c r="HMH47" s="478"/>
      <c r="HMI47" s="478"/>
      <c r="HMJ47" s="478"/>
      <c r="HMK47" s="478"/>
      <c r="HML47" s="478"/>
      <c r="HMM47" s="478"/>
      <c r="HMN47" s="478"/>
      <c r="HMO47" s="478"/>
      <c r="HMP47" s="478"/>
      <c r="HMQ47" s="478"/>
      <c r="HMR47" s="478"/>
      <c r="HMS47" s="478"/>
      <c r="HMT47" s="478"/>
      <c r="HMU47" s="478"/>
      <c r="HMV47" s="478"/>
      <c r="HMW47" s="478"/>
      <c r="HMX47" s="478"/>
      <c r="HMY47" s="478"/>
      <c r="HMZ47" s="478"/>
      <c r="HNA47" s="478"/>
      <c r="HNB47" s="478"/>
      <c r="HNC47" s="478"/>
      <c r="HND47" s="478"/>
      <c r="HNE47" s="478"/>
      <c r="HNF47" s="478"/>
      <c r="HNG47" s="478"/>
      <c r="HNH47" s="478"/>
      <c r="HNI47" s="478"/>
      <c r="HNJ47" s="478"/>
      <c r="HNK47" s="478"/>
      <c r="HNL47" s="478"/>
      <c r="HNM47" s="478"/>
      <c r="HNN47" s="478"/>
      <c r="HNO47" s="478"/>
      <c r="HNP47" s="478"/>
      <c r="HNQ47" s="478"/>
      <c r="HNR47" s="478"/>
      <c r="HNS47" s="478"/>
      <c r="HNT47" s="478"/>
      <c r="HNU47" s="478"/>
      <c r="HNV47" s="478"/>
      <c r="HNW47" s="478"/>
      <c r="HNX47" s="478"/>
      <c r="HNY47" s="478"/>
      <c r="HNZ47" s="478"/>
      <c r="HOA47" s="478"/>
      <c r="HOB47" s="478"/>
      <c r="HOC47" s="478"/>
      <c r="HOD47" s="478"/>
      <c r="HOE47" s="478"/>
      <c r="HOF47" s="478"/>
      <c r="HOG47" s="478"/>
      <c r="HOH47" s="478"/>
      <c r="HOI47" s="478"/>
      <c r="HOJ47" s="478"/>
      <c r="HOK47" s="478"/>
      <c r="HOL47" s="478"/>
      <c r="HOM47" s="478"/>
      <c r="HON47" s="478"/>
      <c r="HOO47" s="478"/>
      <c r="HOP47" s="478"/>
      <c r="HOQ47" s="478"/>
      <c r="HOR47" s="478"/>
      <c r="HOS47" s="478"/>
      <c r="HOT47" s="478"/>
      <c r="HOU47" s="478"/>
      <c r="HOV47" s="478"/>
      <c r="HOW47" s="478"/>
      <c r="HOX47" s="478"/>
      <c r="HOY47" s="478"/>
      <c r="HOZ47" s="478"/>
      <c r="HPA47" s="478"/>
      <c r="HPB47" s="478"/>
      <c r="HPC47" s="478"/>
      <c r="HPD47" s="478"/>
      <c r="HPE47" s="478"/>
      <c r="HPF47" s="478"/>
      <c r="HPG47" s="478"/>
      <c r="HPH47" s="478"/>
      <c r="HPI47" s="478"/>
      <c r="HPJ47" s="478"/>
      <c r="HPK47" s="478"/>
      <c r="HPL47" s="478"/>
      <c r="HPM47" s="478"/>
      <c r="HPN47" s="478"/>
      <c r="HPO47" s="478"/>
      <c r="HPP47" s="478"/>
      <c r="HPQ47" s="478"/>
      <c r="HPR47" s="478"/>
      <c r="HPS47" s="478"/>
      <c r="HPT47" s="478"/>
      <c r="HPU47" s="478"/>
      <c r="HPV47" s="478"/>
      <c r="HPW47" s="478"/>
      <c r="HPX47" s="478"/>
      <c r="HPY47" s="478"/>
      <c r="HPZ47" s="478"/>
      <c r="HQA47" s="478"/>
      <c r="HQB47" s="478"/>
      <c r="HQC47" s="478"/>
      <c r="HQD47" s="478"/>
      <c r="HQE47" s="478"/>
      <c r="HQF47" s="478"/>
      <c r="HQG47" s="478"/>
      <c r="HQH47" s="478"/>
      <c r="HQI47" s="478"/>
      <c r="HQJ47" s="478"/>
      <c r="HQK47" s="478"/>
      <c r="HQL47" s="478"/>
      <c r="HQM47" s="478"/>
      <c r="HQN47" s="478"/>
      <c r="HQO47" s="478"/>
      <c r="HQP47" s="478"/>
      <c r="HQQ47" s="478"/>
      <c r="HQR47" s="478"/>
      <c r="HQS47" s="478"/>
      <c r="HQT47" s="478"/>
      <c r="HQU47" s="478"/>
      <c r="HQV47" s="478"/>
      <c r="HQW47" s="478"/>
      <c r="HQX47" s="478"/>
      <c r="HQY47" s="478"/>
      <c r="HQZ47" s="478"/>
      <c r="HRA47" s="478"/>
      <c r="HRB47" s="478"/>
      <c r="HRC47" s="478"/>
      <c r="HRD47" s="478"/>
      <c r="HRE47" s="478"/>
      <c r="HRF47" s="478"/>
      <c r="HRG47" s="478"/>
      <c r="HRH47" s="478"/>
      <c r="HRI47" s="478"/>
      <c r="HRJ47" s="478"/>
      <c r="HRK47" s="478"/>
      <c r="HRL47" s="478"/>
      <c r="HRM47" s="478"/>
      <c r="HRN47" s="478"/>
      <c r="HRO47" s="478"/>
      <c r="HRP47" s="478"/>
      <c r="HRQ47" s="478"/>
      <c r="HRR47" s="478"/>
      <c r="HRS47" s="478"/>
      <c r="HRT47" s="478"/>
      <c r="HRU47" s="478"/>
      <c r="HRV47" s="478"/>
      <c r="HRW47" s="478"/>
      <c r="HRX47" s="478"/>
      <c r="HRY47" s="478"/>
      <c r="HRZ47" s="478"/>
      <c r="HSA47" s="478"/>
      <c r="HSB47" s="478"/>
      <c r="HSC47" s="478"/>
      <c r="HSD47" s="478"/>
      <c r="HSE47" s="478"/>
      <c r="HSF47" s="478"/>
      <c r="HSG47" s="478"/>
      <c r="HSH47" s="478"/>
      <c r="HSI47" s="478"/>
      <c r="HSJ47" s="478"/>
      <c r="HSK47" s="478"/>
      <c r="HSL47" s="478"/>
      <c r="HSM47" s="478"/>
      <c r="HSN47" s="478"/>
      <c r="HSO47" s="478"/>
      <c r="HSP47" s="478"/>
      <c r="HSQ47" s="478"/>
      <c r="HSR47" s="478"/>
      <c r="HSS47" s="478"/>
      <c r="HST47" s="478"/>
      <c r="HSU47" s="478"/>
      <c r="HSV47" s="478"/>
      <c r="HSW47" s="478"/>
      <c r="HSX47" s="478"/>
      <c r="HSY47" s="478"/>
      <c r="HSZ47" s="478"/>
      <c r="HTA47" s="478"/>
      <c r="HTB47" s="478"/>
      <c r="HTC47" s="478"/>
      <c r="HTD47" s="478"/>
      <c r="HTE47" s="478"/>
      <c r="HTF47" s="478"/>
      <c r="HTG47" s="478"/>
      <c r="HTH47" s="478"/>
      <c r="HTI47" s="478"/>
      <c r="HTJ47" s="478"/>
      <c r="HTK47" s="478"/>
      <c r="HTL47" s="478"/>
      <c r="HTM47" s="478"/>
      <c r="HTN47" s="478"/>
      <c r="HTO47" s="478"/>
      <c r="HTP47" s="478"/>
      <c r="HTQ47" s="478"/>
      <c r="HTR47" s="478"/>
      <c r="HTS47" s="478"/>
      <c r="HTT47" s="478"/>
      <c r="HTU47" s="478"/>
      <c r="HTV47" s="478"/>
      <c r="HTW47" s="478"/>
      <c r="HTX47" s="478"/>
      <c r="HTY47" s="478"/>
      <c r="HTZ47" s="478"/>
      <c r="HUA47" s="478"/>
      <c r="HUB47" s="478"/>
      <c r="HUC47" s="478"/>
      <c r="HUD47" s="478"/>
      <c r="HUE47" s="478"/>
      <c r="HUF47" s="478"/>
      <c r="HUG47" s="478"/>
      <c r="HUH47" s="478"/>
      <c r="HUI47" s="478"/>
      <c r="HUJ47" s="478"/>
      <c r="HUK47" s="478"/>
      <c r="HUL47" s="478"/>
      <c r="HUM47" s="478"/>
      <c r="HUN47" s="478"/>
      <c r="HUO47" s="478"/>
      <c r="HUP47" s="478"/>
      <c r="HUQ47" s="478"/>
      <c r="HUR47" s="478"/>
      <c r="HUS47" s="478"/>
      <c r="HUT47" s="478"/>
      <c r="HUU47" s="478"/>
      <c r="HUV47" s="478"/>
      <c r="HUW47" s="478"/>
      <c r="HUX47" s="478"/>
      <c r="HUY47" s="478"/>
      <c r="HUZ47" s="478"/>
      <c r="HVA47" s="478"/>
      <c r="HVB47" s="478"/>
      <c r="HVC47" s="478"/>
      <c r="HVD47" s="478"/>
      <c r="HVE47" s="478"/>
      <c r="HVF47" s="478"/>
      <c r="HVG47" s="478"/>
      <c r="HVH47" s="478"/>
      <c r="HVI47" s="478"/>
      <c r="HVJ47" s="478"/>
      <c r="HVK47" s="478"/>
      <c r="HVL47" s="478"/>
      <c r="HVM47" s="478"/>
      <c r="HVN47" s="478"/>
      <c r="HVO47" s="478"/>
      <c r="HVP47" s="478"/>
      <c r="HVQ47" s="478"/>
      <c r="HVR47" s="478"/>
      <c r="HVS47" s="478"/>
      <c r="HVT47" s="478"/>
      <c r="HVU47" s="478"/>
      <c r="HVV47" s="478"/>
      <c r="HVW47" s="478"/>
      <c r="HVX47" s="478"/>
      <c r="HVY47" s="478"/>
      <c r="HVZ47" s="478"/>
      <c r="HWA47" s="478"/>
      <c r="HWB47" s="478"/>
      <c r="HWC47" s="478"/>
      <c r="HWD47" s="478"/>
      <c r="HWE47" s="478"/>
      <c r="HWF47" s="478"/>
      <c r="HWG47" s="478"/>
      <c r="HWH47" s="478"/>
      <c r="HWI47" s="478"/>
      <c r="HWJ47" s="478"/>
      <c r="HWK47" s="478"/>
      <c r="HWL47" s="478"/>
      <c r="HWM47" s="478"/>
      <c r="HWN47" s="478"/>
      <c r="HWO47" s="478"/>
      <c r="HWP47" s="478"/>
      <c r="HWQ47" s="478"/>
      <c r="HWR47" s="478"/>
      <c r="HWS47" s="478"/>
      <c r="HWT47" s="478"/>
      <c r="HWU47" s="478"/>
      <c r="HWV47" s="478"/>
      <c r="HWW47" s="478"/>
      <c r="HWX47" s="478"/>
      <c r="HWY47" s="478"/>
      <c r="HWZ47" s="478"/>
      <c r="HXA47" s="478"/>
      <c r="HXB47" s="478"/>
      <c r="HXC47" s="478"/>
      <c r="HXD47" s="478"/>
      <c r="HXE47" s="478"/>
      <c r="HXF47" s="478"/>
      <c r="HXG47" s="478"/>
      <c r="HXH47" s="478"/>
      <c r="HXI47" s="478"/>
      <c r="HXJ47" s="478"/>
      <c r="HXK47" s="478"/>
      <c r="HXL47" s="478"/>
      <c r="HXM47" s="478"/>
      <c r="HXN47" s="478"/>
      <c r="HXO47" s="478"/>
      <c r="HXP47" s="478"/>
      <c r="HXQ47" s="478"/>
      <c r="HXR47" s="478"/>
      <c r="HXS47" s="478"/>
      <c r="HXT47" s="478"/>
      <c r="HXU47" s="478"/>
      <c r="HXV47" s="478"/>
      <c r="HXW47" s="478"/>
      <c r="HXX47" s="478"/>
      <c r="HXY47" s="478"/>
      <c r="HXZ47" s="478"/>
      <c r="HYA47" s="478"/>
      <c r="HYB47" s="478"/>
      <c r="HYC47" s="478"/>
      <c r="HYD47" s="478"/>
      <c r="HYE47" s="478"/>
      <c r="HYF47" s="478"/>
      <c r="HYG47" s="478"/>
      <c r="HYH47" s="478"/>
      <c r="HYI47" s="478"/>
      <c r="HYJ47" s="478"/>
      <c r="HYK47" s="478"/>
      <c r="HYL47" s="478"/>
      <c r="HYM47" s="478"/>
      <c r="HYN47" s="478"/>
      <c r="HYO47" s="478"/>
      <c r="HYP47" s="478"/>
      <c r="HYQ47" s="478"/>
      <c r="HYR47" s="478"/>
      <c r="HYS47" s="478"/>
      <c r="HYT47" s="478"/>
      <c r="HYU47" s="478"/>
      <c r="HYV47" s="478"/>
      <c r="HYW47" s="478"/>
      <c r="HYX47" s="478"/>
      <c r="HYY47" s="478"/>
      <c r="HYZ47" s="478"/>
      <c r="HZA47" s="478"/>
      <c r="HZB47" s="478"/>
      <c r="HZC47" s="478"/>
      <c r="HZD47" s="478"/>
      <c r="HZE47" s="478"/>
      <c r="HZF47" s="478"/>
      <c r="HZG47" s="478"/>
      <c r="HZH47" s="478"/>
      <c r="HZI47" s="478"/>
      <c r="HZJ47" s="478"/>
      <c r="HZK47" s="478"/>
      <c r="HZL47" s="478"/>
      <c r="HZM47" s="478"/>
      <c r="HZN47" s="478"/>
      <c r="HZO47" s="478"/>
      <c r="HZP47" s="478"/>
      <c r="HZQ47" s="478"/>
      <c r="HZR47" s="478"/>
      <c r="HZS47" s="478"/>
      <c r="HZT47" s="478"/>
      <c r="HZU47" s="478"/>
      <c r="HZV47" s="478"/>
      <c r="HZW47" s="478"/>
      <c r="HZX47" s="478"/>
      <c r="HZY47" s="478"/>
      <c r="HZZ47" s="478"/>
      <c r="IAA47" s="478"/>
      <c r="IAB47" s="478"/>
      <c r="IAC47" s="478"/>
      <c r="IAD47" s="478"/>
      <c r="IAE47" s="478"/>
      <c r="IAF47" s="478"/>
      <c r="IAG47" s="478"/>
      <c r="IAH47" s="478"/>
      <c r="IAI47" s="478"/>
      <c r="IAJ47" s="478"/>
      <c r="IAK47" s="478"/>
      <c r="IAL47" s="478"/>
      <c r="IAM47" s="478"/>
      <c r="IAN47" s="478"/>
      <c r="IAO47" s="478"/>
      <c r="IAP47" s="478"/>
      <c r="IAQ47" s="478"/>
      <c r="IAR47" s="478"/>
      <c r="IAS47" s="478"/>
      <c r="IAT47" s="478"/>
      <c r="IAU47" s="478"/>
      <c r="IAV47" s="478"/>
      <c r="IAW47" s="478"/>
      <c r="IAX47" s="478"/>
      <c r="IAY47" s="478"/>
      <c r="IAZ47" s="478"/>
      <c r="IBA47" s="478"/>
      <c r="IBB47" s="478"/>
      <c r="IBC47" s="478"/>
      <c r="IBD47" s="478"/>
      <c r="IBE47" s="478"/>
      <c r="IBF47" s="478"/>
      <c r="IBG47" s="478"/>
      <c r="IBH47" s="478"/>
      <c r="IBI47" s="478"/>
      <c r="IBJ47" s="478"/>
      <c r="IBK47" s="478"/>
      <c r="IBL47" s="478"/>
      <c r="IBM47" s="478"/>
      <c r="IBN47" s="478"/>
      <c r="IBO47" s="478"/>
      <c r="IBP47" s="478"/>
      <c r="IBQ47" s="478"/>
      <c r="IBR47" s="478"/>
      <c r="IBS47" s="478"/>
      <c r="IBT47" s="478"/>
      <c r="IBU47" s="478"/>
      <c r="IBV47" s="478"/>
      <c r="IBW47" s="478"/>
      <c r="IBX47" s="478"/>
      <c r="IBY47" s="478"/>
      <c r="IBZ47" s="478"/>
      <c r="ICA47" s="478"/>
      <c r="ICB47" s="478"/>
      <c r="ICC47" s="478"/>
      <c r="ICD47" s="478"/>
      <c r="ICE47" s="478"/>
      <c r="ICF47" s="478"/>
      <c r="ICG47" s="478"/>
      <c r="ICH47" s="478"/>
      <c r="ICI47" s="478"/>
      <c r="ICJ47" s="478"/>
      <c r="ICK47" s="478"/>
      <c r="ICL47" s="478"/>
      <c r="ICM47" s="478"/>
      <c r="ICN47" s="478"/>
      <c r="ICO47" s="478"/>
      <c r="ICP47" s="478"/>
      <c r="ICQ47" s="478"/>
      <c r="ICR47" s="478"/>
      <c r="ICS47" s="478"/>
      <c r="ICT47" s="478"/>
      <c r="ICU47" s="478"/>
      <c r="ICV47" s="478"/>
      <c r="ICW47" s="478"/>
      <c r="ICX47" s="478"/>
      <c r="ICY47" s="478"/>
      <c r="ICZ47" s="478"/>
      <c r="IDA47" s="478"/>
      <c r="IDB47" s="478"/>
      <c r="IDC47" s="478"/>
      <c r="IDD47" s="478"/>
      <c r="IDE47" s="478"/>
      <c r="IDF47" s="478"/>
      <c r="IDG47" s="478"/>
      <c r="IDH47" s="478"/>
      <c r="IDI47" s="478"/>
      <c r="IDJ47" s="478"/>
      <c r="IDK47" s="478"/>
      <c r="IDL47" s="478"/>
      <c r="IDM47" s="478"/>
      <c r="IDN47" s="478"/>
      <c r="IDO47" s="478"/>
      <c r="IDP47" s="478"/>
      <c r="IDQ47" s="478"/>
      <c r="IDR47" s="478"/>
      <c r="IDS47" s="478"/>
      <c r="IDT47" s="478"/>
      <c r="IDU47" s="478"/>
      <c r="IDV47" s="478"/>
      <c r="IDW47" s="478"/>
      <c r="IDX47" s="478"/>
      <c r="IDY47" s="478"/>
      <c r="IDZ47" s="478"/>
      <c r="IEA47" s="478"/>
      <c r="IEB47" s="478"/>
      <c r="IEC47" s="478"/>
      <c r="IED47" s="478"/>
      <c r="IEE47" s="478"/>
      <c r="IEF47" s="478"/>
      <c r="IEG47" s="478"/>
      <c r="IEH47" s="478"/>
      <c r="IEI47" s="478"/>
      <c r="IEJ47" s="478"/>
      <c r="IEK47" s="478"/>
      <c r="IEL47" s="478"/>
      <c r="IEM47" s="478"/>
      <c r="IEN47" s="478"/>
      <c r="IEO47" s="478"/>
      <c r="IEP47" s="478"/>
      <c r="IEQ47" s="478"/>
      <c r="IER47" s="478"/>
      <c r="IES47" s="478"/>
      <c r="IET47" s="478"/>
      <c r="IEU47" s="478"/>
      <c r="IEV47" s="478"/>
      <c r="IEW47" s="478"/>
      <c r="IEX47" s="478"/>
      <c r="IEY47" s="478"/>
      <c r="IEZ47" s="478"/>
      <c r="IFA47" s="478"/>
      <c r="IFB47" s="478"/>
      <c r="IFC47" s="478"/>
      <c r="IFD47" s="478"/>
      <c r="IFE47" s="478"/>
      <c r="IFF47" s="478"/>
      <c r="IFG47" s="478"/>
      <c r="IFH47" s="478"/>
      <c r="IFI47" s="478"/>
      <c r="IFJ47" s="478"/>
      <c r="IFK47" s="478"/>
      <c r="IFL47" s="478"/>
      <c r="IFM47" s="478"/>
      <c r="IFN47" s="478"/>
      <c r="IFO47" s="478"/>
      <c r="IFP47" s="478"/>
      <c r="IFQ47" s="478"/>
      <c r="IFR47" s="478"/>
      <c r="IFS47" s="478"/>
      <c r="IFT47" s="478"/>
      <c r="IFU47" s="478"/>
      <c r="IFV47" s="478"/>
      <c r="IFW47" s="478"/>
      <c r="IFX47" s="478"/>
      <c r="IFY47" s="478"/>
      <c r="IFZ47" s="478"/>
      <c r="IGA47" s="478"/>
      <c r="IGB47" s="478"/>
      <c r="IGC47" s="478"/>
      <c r="IGD47" s="478"/>
      <c r="IGE47" s="478"/>
      <c r="IGF47" s="478"/>
      <c r="IGG47" s="478"/>
      <c r="IGH47" s="478"/>
      <c r="IGI47" s="478"/>
      <c r="IGJ47" s="478"/>
      <c r="IGK47" s="478"/>
      <c r="IGL47" s="478"/>
      <c r="IGM47" s="478"/>
      <c r="IGN47" s="478"/>
      <c r="IGO47" s="478"/>
      <c r="IGP47" s="478"/>
      <c r="IGQ47" s="478"/>
      <c r="IGR47" s="478"/>
      <c r="IGS47" s="478"/>
      <c r="IGT47" s="478"/>
      <c r="IGU47" s="478"/>
      <c r="IGV47" s="478"/>
      <c r="IGW47" s="478"/>
      <c r="IGX47" s="478"/>
      <c r="IGY47" s="478"/>
      <c r="IGZ47" s="478"/>
      <c r="IHA47" s="478"/>
      <c r="IHB47" s="478"/>
      <c r="IHC47" s="478"/>
      <c r="IHD47" s="478"/>
      <c r="IHE47" s="478"/>
      <c r="IHF47" s="478"/>
      <c r="IHG47" s="478"/>
      <c r="IHH47" s="478"/>
      <c r="IHI47" s="478"/>
      <c r="IHJ47" s="478"/>
      <c r="IHK47" s="478"/>
      <c r="IHL47" s="478"/>
      <c r="IHM47" s="478"/>
      <c r="IHN47" s="478"/>
      <c r="IHO47" s="478"/>
      <c r="IHP47" s="478"/>
      <c r="IHQ47" s="478"/>
      <c r="IHR47" s="478"/>
      <c r="IHS47" s="478"/>
      <c r="IHT47" s="478"/>
      <c r="IHU47" s="478"/>
      <c r="IHV47" s="478"/>
      <c r="IHW47" s="478"/>
      <c r="IHX47" s="478"/>
      <c r="IHY47" s="478"/>
      <c r="IHZ47" s="478"/>
      <c r="IIA47" s="478"/>
      <c r="IIB47" s="478"/>
      <c r="IIC47" s="478"/>
      <c r="IID47" s="478"/>
      <c r="IIE47" s="478"/>
      <c r="IIF47" s="478"/>
      <c r="IIG47" s="478"/>
      <c r="IIH47" s="478"/>
      <c r="III47" s="478"/>
      <c r="IIJ47" s="478"/>
      <c r="IIK47" s="478"/>
      <c r="IIL47" s="478"/>
      <c r="IIM47" s="478"/>
      <c r="IIN47" s="478"/>
      <c r="IIO47" s="478"/>
      <c r="IIP47" s="478"/>
      <c r="IIQ47" s="478"/>
      <c r="IIR47" s="478"/>
      <c r="IIS47" s="478"/>
      <c r="IIT47" s="478"/>
      <c r="IIU47" s="478"/>
      <c r="IIV47" s="478"/>
      <c r="IIW47" s="478"/>
      <c r="IIX47" s="478"/>
      <c r="IIY47" s="478"/>
      <c r="IIZ47" s="478"/>
      <c r="IJA47" s="478"/>
      <c r="IJB47" s="478"/>
      <c r="IJC47" s="478"/>
      <c r="IJD47" s="478"/>
      <c r="IJE47" s="478"/>
      <c r="IJF47" s="478"/>
      <c r="IJG47" s="478"/>
      <c r="IJH47" s="478"/>
      <c r="IJI47" s="478"/>
      <c r="IJJ47" s="478"/>
      <c r="IJK47" s="478"/>
      <c r="IJL47" s="478"/>
      <c r="IJM47" s="478"/>
      <c r="IJN47" s="478"/>
      <c r="IJO47" s="478"/>
      <c r="IJP47" s="478"/>
      <c r="IJQ47" s="478"/>
      <c r="IJR47" s="478"/>
      <c r="IJS47" s="478"/>
      <c r="IJT47" s="478"/>
      <c r="IJU47" s="478"/>
      <c r="IJV47" s="478"/>
      <c r="IJW47" s="478"/>
      <c r="IJX47" s="478"/>
      <c r="IJY47" s="478"/>
      <c r="IJZ47" s="478"/>
      <c r="IKA47" s="478"/>
      <c r="IKB47" s="478"/>
      <c r="IKC47" s="478"/>
      <c r="IKD47" s="478"/>
      <c r="IKE47" s="478"/>
      <c r="IKF47" s="478"/>
      <c r="IKG47" s="478"/>
      <c r="IKH47" s="478"/>
      <c r="IKI47" s="478"/>
      <c r="IKJ47" s="478"/>
      <c r="IKK47" s="478"/>
      <c r="IKL47" s="478"/>
      <c r="IKM47" s="478"/>
      <c r="IKN47" s="478"/>
      <c r="IKO47" s="478"/>
      <c r="IKP47" s="478"/>
      <c r="IKQ47" s="478"/>
      <c r="IKR47" s="478"/>
      <c r="IKS47" s="478"/>
      <c r="IKT47" s="478"/>
      <c r="IKU47" s="478"/>
      <c r="IKV47" s="478"/>
      <c r="IKW47" s="478"/>
      <c r="IKX47" s="478"/>
      <c r="IKY47" s="478"/>
      <c r="IKZ47" s="478"/>
      <c r="ILA47" s="478"/>
      <c r="ILB47" s="478"/>
      <c r="ILC47" s="478"/>
      <c r="ILD47" s="478"/>
      <c r="ILE47" s="478"/>
      <c r="ILF47" s="478"/>
      <c r="ILG47" s="478"/>
      <c r="ILH47" s="478"/>
      <c r="ILI47" s="478"/>
      <c r="ILJ47" s="478"/>
      <c r="ILK47" s="478"/>
      <c r="ILL47" s="478"/>
      <c r="ILM47" s="478"/>
      <c r="ILN47" s="478"/>
      <c r="ILO47" s="478"/>
      <c r="ILP47" s="478"/>
      <c r="ILQ47" s="478"/>
      <c r="ILR47" s="478"/>
      <c r="ILS47" s="478"/>
      <c r="ILT47" s="478"/>
      <c r="ILU47" s="478"/>
      <c r="ILV47" s="478"/>
      <c r="ILW47" s="478"/>
      <c r="ILX47" s="478"/>
      <c r="ILY47" s="478"/>
      <c r="ILZ47" s="478"/>
      <c r="IMA47" s="478"/>
      <c r="IMB47" s="478"/>
      <c r="IMC47" s="478"/>
      <c r="IMD47" s="478"/>
      <c r="IME47" s="478"/>
      <c r="IMF47" s="478"/>
      <c r="IMG47" s="478"/>
      <c r="IMH47" s="478"/>
      <c r="IMI47" s="478"/>
      <c r="IMJ47" s="478"/>
      <c r="IMK47" s="478"/>
      <c r="IML47" s="478"/>
      <c r="IMM47" s="478"/>
      <c r="IMN47" s="478"/>
      <c r="IMO47" s="478"/>
      <c r="IMP47" s="478"/>
      <c r="IMQ47" s="478"/>
      <c r="IMR47" s="478"/>
      <c r="IMS47" s="478"/>
      <c r="IMT47" s="478"/>
      <c r="IMU47" s="478"/>
      <c r="IMV47" s="478"/>
      <c r="IMW47" s="478"/>
      <c r="IMX47" s="478"/>
      <c r="IMY47" s="478"/>
      <c r="IMZ47" s="478"/>
      <c r="INA47" s="478"/>
      <c r="INB47" s="478"/>
      <c r="INC47" s="478"/>
      <c r="IND47" s="478"/>
      <c r="INE47" s="478"/>
      <c r="INF47" s="478"/>
      <c r="ING47" s="478"/>
      <c r="INH47" s="478"/>
      <c r="INI47" s="478"/>
      <c r="INJ47" s="478"/>
      <c r="INK47" s="478"/>
      <c r="INL47" s="478"/>
      <c r="INM47" s="478"/>
      <c r="INN47" s="478"/>
      <c r="INO47" s="478"/>
      <c r="INP47" s="478"/>
      <c r="INQ47" s="478"/>
      <c r="INR47" s="478"/>
      <c r="INS47" s="478"/>
      <c r="INT47" s="478"/>
      <c r="INU47" s="478"/>
      <c r="INV47" s="478"/>
      <c r="INW47" s="478"/>
      <c r="INX47" s="478"/>
      <c r="INY47" s="478"/>
      <c r="INZ47" s="478"/>
      <c r="IOA47" s="478"/>
      <c r="IOB47" s="478"/>
      <c r="IOC47" s="478"/>
      <c r="IOD47" s="478"/>
      <c r="IOE47" s="478"/>
      <c r="IOF47" s="478"/>
      <c r="IOG47" s="478"/>
      <c r="IOH47" s="478"/>
      <c r="IOI47" s="478"/>
      <c r="IOJ47" s="478"/>
      <c r="IOK47" s="478"/>
      <c r="IOL47" s="478"/>
      <c r="IOM47" s="478"/>
      <c r="ION47" s="478"/>
      <c r="IOO47" s="478"/>
      <c r="IOP47" s="478"/>
      <c r="IOQ47" s="478"/>
      <c r="IOR47" s="478"/>
      <c r="IOS47" s="478"/>
      <c r="IOT47" s="478"/>
      <c r="IOU47" s="478"/>
      <c r="IOV47" s="478"/>
      <c r="IOW47" s="478"/>
      <c r="IOX47" s="478"/>
      <c r="IOY47" s="478"/>
      <c r="IOZ47" s="478"/>
      <c r="IPA47" s="478"/>
      <c r="IPB47" s="478"/>
      <c r="IPC47" s="478"/>
      <c r="IPD47" s="478"/>
      <c r="IPE47" s="478"/>
      <c r="IPF47" s="478"/>
      <c r="IPG47" s="478"/>
      <c r="IPH47" s="478"/>
      <c r="IPI47" s="478"/>
      <c r="IPJ47" s="478"/>
      <c r="IPK47" s="478"/>
      <c r="IPL47" s="478"/>
      <c r="IPM47" s="478"/>
      <c r="IPN47" s="478"/>
      <c r="IPO47" s="478"/>
      <c r="IPP47" s="478"/>
      <c r="IPQ47" s="478"/>
      <c r="IPR47" s="478"/>
      <c r="IPS47" s="478"/>
      <c r="IPT47" s="478"/>
      <c r="IPU47" s="478"/>
      <c r="IPV47" s="478"/>
      <c r="IPW47" s="478"/>
      <c r="IPX47" s="478"/>
      <c r="IPY47" s="478"/>
      <c r="IPZ47" s="478"/>
      <c r="IQA47" s="478"/>
      <c r="IQB47" s="478"/>
      <c r="IQC47" s="478"/>
      <c r="IQD47" s="478"/>
      <c r="IQE47" s="478"/>
      <c r="IQF47" s="478"/>
      <c r="IQG47" s="478"/>
      <c r="IQH47" s="478"/>
      <c r="IQI47" s="478"/>
      <c r="IQJ47" s="478"/>
      <c r="IQK47" s="478"/>
      <c r="IQL47" s="478"/>
      <c r="IQM47" s="478"/>
      <c r="IQN47" s="478"/>
      <c r="IQO47" s="478"/>
      <c r="IQP47" s="478"/>
      <c r="IQQ47" s="478"/>
      <c r="IQR47" s="478"/>
      <c r="IQS47" s="478"/>
      <c r="IQT47" s="478"/>
      <c r="IQU47" s="478"/>
      <c r="IQV47" s="478"/>
      <c r="IQW47" s="478"/>
      <c r="IQX47" s="478"/>
      <c r="IQY47" s="478"/>
      <c r="IQZ47" s="478"/>
      <c r="IRA47" s="478"/>
      <c r="IRB47" s="478"/>
      <c r="IRC47" s="478"/>
      <c r="IRD47" s="478"/>
      <c r="IRE47" s="478"/>
      <c r="IRF47" s="478"/>
      <c r="IRG47" s="478"/>
      <c r="IRH47" s="478"/>
      <c r="IRI47" s="478"/>
      <c r="IRJ47" s="478"/>
      <c r="IRK47" s="478"/>
      <c r="IRL47" s="478"/>
      <c r="IRM47" s="478"/>
      <c r="IRN47" s="478"/>
      <c r="IRO47" s="478"/>
      <c r="IRP47" s="478"/>
      <c r="IRQ47" s="478"/>
      <c r="IRR47" s="478"/>
      <c r="IRS47" s="478"/>
      <c r="IRT47" s="478"/>
      <c r="IRU47" s="478"/>
      <c r="IRV47" s="478"/>
      <c r="IRW47" s="478"/>
      <c r="IRX47" s="478"/>
      <c r="IRY47" s="478"/>
      <c r="IRZ47" s="478"/>
      <c r="ISA47" s="478"/>
      <c r="ISB47" s="478"/>
      <c r="ISC47" s="478"/>
      <c r="ISD47" s="478"/>
      <c r="ISE47" s="478"/>
      <c r="ISF47" s="478"/>
      <c r="ISG47" s="478"/>
      <c r="ISH47" s="478"/>
      <c r="ISI47" s="478"/>
      <c r="ISJ47" s="478"/>
      <c r="ISK47" s="478"/>
      <c r="ISL47" s="478"/>
      <c r="ISM47" s="478"/>
      <c r="ISN47" s="478"/>
      <c r="ISO47" s="478"/>
      <c r="ISP47" s="478"/>
      <c r="ISQ47" s="478"/>
      <c r="ISR47" s="478"/>
      <c r="ISS47" s="478"/>
      <c r="IST47" s="478"/>
      <c r="ISU47" s="478"/>
      <c r="ISV47" s="478"/>
      <c r="ISW47" s="478"/>
      <c r="ISX47" s="478"/>
      <c r="ISY47" s="478"/>
      <c r="ISZ47" s="478"/>
      <c r="ITA47" s="478"/>
      <c r="ITB47" s="478"/>
      <c r="ITC47" s="478"/>
      <c r="ITD47" s="478"/>
      <c r="ITE47" s="478"/>
      <c r="ITF47" s="478"/>
      <c r="ITG47" s="478"/>
      <c r="ITH47" s="478"/>
      <c r="ITI47" s="478"/>
      <c r="ITJ47" s="478"/>
      <c r="ITK47" s="478"/>
      <c r="ITL47" s="478"/>
      <c r="ITM47" s="478"/>
      <c r="ITN47" s="478"/>
      <c r="ITO47" s="478"/>
      <c r="ITP47" s="478"/>
      <c r="ITQ47" s="478"/>
      <c r="ITR47" s="478"/>
      <c r="ITS47" s="478"/>
      <c r="ITT47" s="478"/>
      <c r="ITU47" s="478"/>
      <c r="ITV47" s="478"/>
      <c r="ITW47" s="478"/>
      <c r="ITX47" s="478"/>
      <c r="ITY47" s="478"/>
      <c r="ITZ47" s="478"/>
      <c r="IUA47" s="478"/>
      <c r="IUB47" s="478"/>
      <c r="IUC47" s="478"/>
      <c r="IUD47" s="478"/>
      <c r="IUE47" s="478"/>
      <c r="IUF47" s="478"/>
      <c r="IUG47" s="478"/>
      <c r="IUH47" s="478"/>
      <c r="IUI47" s="478"/>
      <c r="IUJ47" s="478"/>
      <c r="IUK47" s="478"/>
      <c r="IUL47" s="478"/>
      <c r="IUM47" s="478"/>
      <c r="IUN47" s="478"/>
      <c r="IUO47" s="478"/>
      <c r="IUP47" s="478"/>
      <c r="IUQ47" s="478"/>
      <c r="IUR47" s="478"/>
      <c r="IUS47" s="478"/>
      <c r="IUT47" s="478"/>
      <c r="IUU47" s="478"/>
      <c r="IUV47" s="478"/>
      <c r="IUW47" s="478"/>
      <c r="IUX47" s="478"/>
      <c r="IUY47" s="478"/>
      <c r="IUZ47" s="478"/>
      <c r="IVA47" s="478"/>
      <c r="IVB47" s="478"/>
      <c r="IVC47" s="478"/>
      <c r="IVD47" s="478"/>
      <c r="IVE47" s="478"/>
      <c r="IVF47" s="478"/>
      <c r="IVG47" s="478"/>
      <c r="IVH47" s="478"/>
      <c r="IVI47" s="478"/>
      <c r="IVJ47" s="478"/>
      <c r="IVK47" s="478"/>
      <c r="IVL47" s="478"/>
      <c r="IVM47" s="478"/>
      <c r="IVN47" s="478"/>
      <c r="IVO47" s="478"/>
      <c r="IVP47" s="478"/>
      <c r="IVQ47" s="478"/>
      <c r="IVR47" s="478"/>
      <c r="IVS47" s="478"/>
      <c r="IVT47" s="478"/>
      <c r="IVU47" s="478"/>
      <c r="IVV47" s="478"/>
      <c r="IVW47" s="478"/>
      <c r="IVX47" s="478"/>
      <c r="IVY47" s="478"/>
      <c r="IVZ47" s="478"/>
      <c r="IWA47" s="478"/>
      <c r="IWB47" s="478"/>
      <c r="IWC47" s="478"/>
      <c r="IWD47" s="478"/>
      <c r="IWE47" s="478"/>
      <c r="IWF47" s="478"/>
      <c r="IWG47" s="478"/>
      <c r="IWH47" s="478"/>
      <c r="IWI47" s="478"/>
      <c r="IWJ47" s="478"/>
      <c r="IWK47" s="478"/>
      <c r="IWL47" s="478"/>
      <c r="IWM47" s="478"/>
      <c r="IWN47" s="478"/>
      <c r="IWO47" s="478"/>
      <c r="IWP47" s="478"/>
      <c r="IWQ47" s="478"/>
      <c r="IWR47" s="478"/>
      <c r="IWS47" s="478"/>
      <c r="IWT47" s="478"/>
      <c r="IWU47" s="478"/>
      <c r="IWV47" s="478"/>
      <c r="IWW47" s="478"/>
      <c r="IWX47" s="478"/>
      <c r="IWY47" s="478"/>
      <c r="IWZ47" s="478"/>
      <c r="IXA47" s="478"/>
      <c r="IXB47" s="478"/>
      <c r="IXC47" s="478"/>
      <c r="IXD47" s="478"/>
      <c r="IXE47" s="478"/>
      <c r="IXF47" s="478"/>
      <c r="IXG47" s="478"/>
      <c r="IXH47" s="478"/>
      <c r="IXI47" s="478"/>
      <c r="IXJ47" s="478"/>
      <c r="IXK47" s="478"/>
      <c r="IXL47" s="478"/>
      <c r="IXM47" s="478"/>
      <c r="IXN47" s="478"/>
      <c r="IXO47" s="478"/>
      <c r="IXP47" s="478"/>
      <c r="IXQ47" s="478"/>
      <c r="IXR47" s="478"/>
      <c r="IXS47" s="478"/>
      <c r="IXT47" s="478"/>
      <c r="IXU47" s="478"/>
      <c r="IXV47" s="478"/>
      <c r="IXW47" s="478"/>
      <c r="IXX47" s="478"/>
      <c r="IXY47" s="478"/>
      <c r="IXZ47" s="478"/>
      <c r="IYA47" s="478"/>
      <c r="IYB47" s="478"/>
      <c r="IYC47" s="478"/>
      <c r="IYD47" s="478"/>
      <c r="IYE47" s="478"/>
      <c r="IYF47" s="478"/>
      <c r="IYG47" s="478"/>
      <c r="IYH47" s="478"/>
      <c r="IYI47" s="478"/>
      <c r="IYJ47" s="478"/>
      <c r="IYK47" s="478"/>
      <c r="IYL47" s="478"/>
      <c r="IYM47" s="478"/>
      <c r="IYN47" s="478"/>
      <c r="IYO47" s="478"/>
      <c r="IYP47" s="478"/>
      <c r="IYQ47" s="478"/>
      <c r="IYR47" s="478"/>
      <c r="IYS47" s="478"/>
      <c r="IYT47" s="478"/>
      <c r="IYU47" s="478"/>
      <c r="IYV47" s="478"/>
      <c r="IYW47" s="478"/>
      <c r="IYX47" s="478"/>
      <c r="IYY47" s="478"/>
      <c r="IYZ47" s="478"/>
      <c r="IZA47" s="478"/>
      <c r="IZB47" s="478"/>
      <c r="IZC47" s="478"/>
      <c r="IZD47" s="478"/>
      <c r="IZE47" s="478"/>
      <c r="IZF47" s="478"/>
      <c r="IZG47" s="478"/>
      <c r="IZH47" s="478"/>
      <c r="IZI47" s="478"/>
      <c r="IZJ47" s="478"/>
      <c r="IZK47" s="478"/>
      <c r="IZL47" s="478"/>
      <c r="IZM47" s="478"/>
      <c r="IZN47" s="478"/>
      <c r="IZO47" s="478"/>
      <c r="IZP47" s="478"/>
      <c r="IZQ47" s="478"/>
      <c r="IZR47" s="478"/>
      <c r="IZS47" s="478"/>
      <c r="IZT47" s="478"/>
      <c r="IZU47" s="478"/>
      <c r="IZV47" s="478"/>
      <c r="IZW47" s="478"/>
      <c r="IZX47" s="478"/>
      <c r="IZY47" s="478"/>
      <c r="IZZ47" s="478"/>
      <c r="JAA47" s="478"/>
      <c r="JAB47" s="478"/>
      <c r="JAC47" s="478"/>
      <c r="JAD47" s="478"/>
      <c r="JAE47" s="478"/>
      <c r="JAF47" s="478"/>
      <c r="JAG47" s="478"/>
      <c r="JAH47" s="478"/>
      <c r="JAI47" s="478"/>
      <c r="JAJ47" s="478"/>
      <c r="JAK47" s="478"/>
      <c r="JAL47" s="478"/>
      <c r="JAM47" s="478"/>
      <c r="JAN47" s="478"/>
      <c r="JAO47" s="478"/>
      <c r="JAP47" s="478"/>
      <c r="JAQ47" s="478"/>
      <c r="JAR47" s="478"/>
      <c r="JAS47" s="478"/>
      <c r="JAT47" s="478"/>
      <c r="JAU47" s="478"/>
      <c r="JAV47" s="478"/>
      <c r="JAW47" s="478"/>
      <c r="JAX47" s="478"/>
      <c r="JAY47" s="478"/>
      <c r="JAZ47" s="478"/>
      <c r="JBA47" s="478"/>
      <c r="JBB47" s="478"/>
      <c r="JBC47" s="478"/>
      <c r="JBD47" s="478"/>
      <c r="JBE47" s="478"/>
      <c r="JBF47" s="478"/>
      <c r="JBG47" s="478"/>
      <c r="JBH47" s="478"/>
      <c r="JBI47" s="478"/>
      <c r="JBJ47" s="478"/>
      <c r="JBK47" s="478"/>
      <c r="JBL47" s="478"/>
      <c r="JBM47" s="478"/>
      <c r="JBN47" s="478"/>
      <c r="JBO47" s="478"/>
      <c r="JBP47" s="478"/>
      <c r="JBQ47" s="478"/>
      <c r="JBR47" s="478"/>
      <c r="JBS47" s="478"/>
      <c r="JBT47" s="478"/>
      <c r="JBU47" s="478"/>
      <c r="JBV47" s="478"/>
      <c r="JBW47" s="478"/>
      <c r="JBX47" s="478"/>
      <c r="JBY47" s="478"/>
      <c r="JBZ47" s="478"/>
      <c r="JCA47" s="478"/>
      <c r="JCB47" s="478"/>
      <c r="JCC47" s="478"/>
      <c r="JCD47" s="478"/>
      <c r="JCE47" s="478"/>
      <c r="JCF47" s="478"/>
      <c r="JCG47" s="478"/>
      <c r="JCH47" s="478"/>
      <c r="JCI47" s="478"/>
      <c r="JCJ47" s="478"/>
      <c r="JCK47" s="478"/>
      <c r="JCL47" s="478"/>
      <c r="JCM47" s="478"/>
      <c r="JCN47" s="478"/>
      <c r="JCO47" s="478"/>
      <c r="JCP47" s="478"/>
      <c r="JCQ47" s="478"/>
      <c r="JCR47" s="478"/>
      <c r="JCS47" s="478"/>
      <c r="JCT47" s="478"/>
      <c r="JCU47" s="478"/>
      <c r="JCV47" s="478"/>
      <c r="JCW47" s="478"/>
      <c r="JCX47" s="478"/>
      <c r="JCY47" s="478"/>
      <c r="JCZ47" s="478"/>
      <c r="JDA47" s="478"/>
      <c r="JDB47" s="478"/>
      <c r="JDC47" s="478"/>
      <c r="JDD47" s="478"/>
      <c r="JDE47" s="478"/>
      <c r="JDF47" s="478"/>
      <c r="JDG47" s="478"/>
      <c r="JDH47" s="478"/>
      <c r="JDI47" s="478"/>
      <c r="JDJ47" s="478"/>
      <c r="JDK47" s="478"/>
      <c r="JDL47" s="478"/>
      <c r="JDM47" s="478"/>
      <c r="JDN47" s="478"/>
      <c r="JDO47" s="478"/>
      <c r="JDP47" s="478"/>
      <c r="JDQ47" s="478"/>
      <c r="JDR47" s="478"/>
      <c r="JDS47" s="478"/>
      <c r="JDT47" s="478"/>
      <c r="JDU47" s="478"/>
      <c r="JDV47" s="478"/>
      <c r="JDW47" s="478"/>
      <c r="JDX47" s="478"/>
      <c r="JDY47" s="478"/>
      <c r="JDZ47" s="478"/>
      <c r="JEA47" s="478"/>
      <c r="JEB47" s="478"/>
      <c r="JEC47" s="478"/>
      <c r="JED47" s="478"/>
      <c r="JEE47" s="478"/>
      <c r="JEF47" s="478"/>
      <c r="JEG47" s="478"/>
      <c r="JEH47" s="478"/>
      <c r="JEI47" s="478"/>
      <c r="JEJ47" s="478"/>
      <c r="JEK47" s="478"/>
      <c r="JEL47" s="478"/>
      <c r="JEM47" s="478"/>
      <c r="JEN47" s="478"/>
      <c r="JEO47" s="478"/>
      <c r="JEP47" s="478"/>
      <c r="JEQ47" s="478"/>
      <c r="JER47" s="478"/>
      <c r="JES47" s="478"/>
      <c r="JET47" s="478"/>
      <c r="JEU47" s="478"/>
      <c r="JEV47" s="478"/>
      <c r="JEW47" s="478"/>
      <c r="JEX47" s="478"/>
      <c r="JEY47" s="478"/>
      <c r="JEZ47" s="478"/>
      <c r="JFA47" s="478"/>
      <c r="JFB47" s="478"/>
      <c r="JFC47" s="478"/>
      <c r="JFD47" s="478"/>
      <c r="JFE47" s="478"/>
      <c r="JFF47" s="478"/>
      <c r="JFG47" s="478"/>
      <c r="JFH47" s="478"/>
      <c r="JFI47" s="478"/>
      <c r="JFJ47" s="478"/>
      <c r="JFK47" s="478"/>
      <c r="JFL47" s="478"/>
      <c r="JFM47" s="478"/>
      <c r="JFN47" s="478"/>
      <c r="JFO47" s="478"/>
      <c r="JFP47" s="478"/>
      <c r="JFQ47" s="478"/>
      <c r="JFR47" s="478"/>
      <c r="JFS47" s="478"/>
      <c r="JFT47" s="478"/>
      <c r="JFU47" s="478"/>
      <c r="JFV47" s="478"/>
      <c r="JFW47" s="478"/>
      <c r="JFX47" s="478"/>
      <c r="JFY47" s="478"/>
      <c r="JFZ47" s="478"/>
      <c r="JGA47" s="478"/>
      <c r="JGB47" s="478"/>
      <c r="JGC47" s="478"/>
      <c r="JGD47" s="478"/>
      <c r="JGE47" s="478"/>
      <c r="JGF47" s="478"/>
      <c r="JGG47" s="478"/>
      <c r="JGH47" s="478"/>
      <c r="JGI47" s="478"/>
      <c r="JGJ47" s="478"/>
      <c r="JGK47" s="478"/>
      <c r="JGL47" s="478"/>
      <c r="JGM47" s="478"/>
      <c r="JGN47" s="478"/>
      <c r="JGO47" s="478"/>
      <c r="JGP47" s="478"/>
      <c r="JGQ47" s="478"/>
      <c r="JGR47" s="478"/>
      <c r="JGS47" s="478"/>
      <c r="JGT47" s="478"/>
      <c r="JGU47" s="478"/>
      <c r="JGV47" s="478"/>
      <c r="JGW47" s="478"/>
      <c r="JGX47" s="478"/>
      <c r="JGY47" s="478"/>
      <c r="JGZ47" s="478"/>
      <c r="JHA47" s="478"/>
      <c r="JHB47" s="478"/>
      <c r="JHC47" s="478"/>
      <c r="JHD47" s="478"/>
      <c r="JHE47" s="478"/>
      <c r="JHF47" s="478"/>
      <c r="JHG47" s="478"/>
      <c r="JHH47" s="478"/>
      <c r="JHI47" s="478"/>
      <c r="JHJ47" s="478"/>
      <c r="JHK47" s="478"/>
      <c r="JHL47" s="478"/>
      <c r="JHM47" s="478"/>
      <c r="JHN47" s="478"/>
      <c r="JHO47" s="478"/>
      <c r="JHP47" s="478"/>
      <c r="JHQ47" s="478"/>
      <c r="JHR47" s="478"/>
      <c r="JHS47" s="478"/>
      <c r="JHT47" s="478"/>
      <c r="JHU47" s="478"/>
      <c r="JHV47" s="478"/>
      <c r="JHW47" s="478"/>
      <c r="JHX47" s="478"/>
      <c r="JHY47" s="478"/>
      <c r="JHZ47" s="478"/>
      <c r="JIA47" s="478"/>
      <c r="JIB47" s="478"/>
      <c r="JIC47" s="478"/>
      <c r="JID47" s="478"/>
      <c r="JIE47" s="478"/>
      <c r="JIF47" s="478"/>
      <c r="JIG47" s="478"/>
      <c r="JIH47" s="478"/>
      <c r="JII47" s="478"/>
      <c r="JIJ47" s="478"/>
      <c r="JIK47" s="478"/>
      <c r="JIL47" s="478"/>
      <c r="JIM47" s="478"/>
      <c r="JIN47" s="478"/>
      <c r="JIO47" s="478"/>
      <c r="JIP47" s="478"/>
      <c r="JIQ47" s="478"/>
      <c r="JIR47" s="478"/>
      <c r="JIS47" s="478"/>
      <c r="JIT47" s="478"/>
      <c r="JIU47" s="478"/>
      <c r="JIV47" s="478"/>
      <c r="JIW47" s="478"/>
      <c r="JIX47" s="478"/>
      <c r="JIY47" s="478"/>
      <c r="JIZ47" s="478"/>
      <c r="JJA47" s="478"/>
      <c r="JJB47" s="478"/>
      <c r="JJC47" s="478"/>
      <c r="JJD47" s="478"/>
      <c r="JJE47" s="478"/>
      <c r="JJF47" s="478"/>
      <c r="JJG47" s="478"/>
      <c r="JJH47" s="478"/>
      <c r="JJI47" s="478"/>
      <c r="JJJ47" s="478"/>
      <c r="JJK47" s="478"/>
      <c r="JJL47" s="478"/>
      <c r="JJM47" s="478"/>
      <c r="JJN47" s="478"/>
      <c r="JJO47" s="478"/>
      <c r="JJP47" s="478"/>
      <c r="JJQ47" s="478"/>
      <c r="JJR47" s="478"/>
      <c r="JJS47" s="478"/>
      <c r="JJT47" s="478"/>
      <c r="JJU47" s="478"/>
      <c r="JJV47" s="478"/>
      <c r="JJW47" s="478"/>
      <c r="JJX47" s="478"/>
      <c r="JJY47" s="478"/>
      <c r="JJZ47" s="478"/>
      <c r="JKA47" s="478"/>
      <c r="JKB47" s="478"/>
      <c r="JKC47" s="478"/>
      <c r="JKD47" s="478"/>
      <c r="JKE47" s="478"/>
      <c r="JKF47" s="478"/>
      <c r="JKG47" s="478"/>
      <c r="JKH47" s="478"/>
      <c r="JKI47" s="478"/>
      <c r="JKJ47" s="478"/>
      <c r="JKK47" s="478"/>
      <c r="JKL47" s="478"/>
      <c r="JKM47" s="478"/>
      <c r="JKN47" s="478"/>
      <c r="JKO47" s="478"/>
      <c r="JKP47" s="478"/>
      <c r="JKQ47" s="478"/>
      <c r="JKR47" s="478"/>
      <c r="JKS47" s="478"/>
      <c r="JKT47" s="478"/>
      <c r="JKU47" s="478"/>
      <c r="JKV47" s="478"/>
      <c r="JKW47" s="478"/>
      <c r="JKX47" s="478"/>
      <c r="JKY47" s="478"/>
      <c r="JKZ47" s="478"/>
      <c r="JLA47" s="478"/>
      <c r="JLB47" s="478"/>
      <c r="JLC47" s="478"/>
      <c r="JLD47" s="478"/>
      <c r="JLE47" s="478"/>
      <c r="JLF47" s="478"/>
      <c r="JLG47" s="478"/>
      <c r="JLH47" s="478"/>
      <c r="JLI47" s="478"/>
      <c r="JLJ47" s="478"/>
      <c r="JLK47" s="478"/>
      <c r="JLL47" s="478"/>
      <c r="JLM47" s="478"/>
      <c r="JLN47" s="478"/>
      <c r="JLO47" s="478"/>
      <c r="JLP47" s="478"/>
      <c r="JLQ47" s="478"/>
      <c r="JLR47" s="478"/>
      <c r="JLS47" s="478"/>
      <c r="JLT47" s="478"/>
      <c r="JLU47" s="478"/>
      <c r="JLV47" s="478"/>
      <c r="JLW47" s="478"/>
      <c r="JLX47" s="478"/>
      <c r="JLY47" s="478"/>
      <c r="JLZ47" s="478"/>
      <c r="JMA47" s="478"/>
      <c r="JMB47" s="478"/>
      <c r="JMC47" s="478"/>
      <c r="JMD47" s="478"/>
      <c r="JME47" s="478"/>
      <c r="JMF47" s="478"/>
      <c r="JMG47" s="478"/>
      <c r="JMH47" s="478"/>
      <c r="JMI47" s="478"/>
      <c r="JMJ47" s="478"/>
      <c r="JMK47" s="478"/>
      <c r="JML47" s="478"/>
      <c r="JMM47" s="478"/>
      <c r="JMN47" s="478"/>
      <c r="JMO47" s="478"/>
      <c r="JMP47" s="478"/>
      <c r="JMQ47" s="478"/>
      <c r="JMR47" s="478"/>
      <c r="JMS47" s="478"/>
      <c r="JMT47" s="478"/>
      <c r="JMU47" s="478"/>
      <c r="JMV47" s="478"/>
      <c r="JMW47" s="478"/>
      <c r="JMX47" s="478"/>
      <c r="JMY47" s="478"/>
      <c r="JMZ47" s="478"/>
      <c r="JNA47" s="478"/>
      <c r="JNB47" s="478"/>
      <c r="JNC47" s="478"/>
      <c r="JND47" s="478"/>
      <c r="JNE47" s="478"/>
      <c r="JNF47" s="478"/>
      <c r="JNG47" s="478"/>
      <c r="JNH47" s="478"/>
      <c r="JNI47" s="478"/>
      <c r="JNJ47" s="478"/>
      <c r="JNK47" s="478"/>
      <c r="JNL47" s="478"/>
      <c r="JNM47" s="478"/>
      <c r="JNN47" s="478"/>
      <c r="JNO47" s="478"/>
      <c r="JNP47" s="478"/>
      <c r="JNQ47" s="478"/>
      <c r="JNR47" s="478"/>
      <c r="JNS47" s="478"/>
      <c r="JNT47" s="478"/>
      <c r="JNU47" s="478"/>
      <c r="JNV47" s="478"/>
      <c r="JNW47" s="478"/>
      <c r="JNX47" s="478"/>
      <c r="JNY47" s="478"/>
      <c r="JNZ47" s="478"/>
      <c r="JOA47" s="478"/>
      <c r="JOB47" s="478"/>
      <c r="JOC47" s="478"/>
      <c r="JOD47" s="478"/>
      <c r="JOE47" s="478"/>
      <c r="JOF47" s="478"/>
      <c r="JOG47" s="478"/>
      <c r="JOH47" s="478"/>
      <c r="JOI47" s="478"/>
      <c r="JOJ47" s="478"/>
      <c r="JOK47" s="478"/>
      <c r="JOL47" s="478"/>
      <c r="JOM47" s="478"/>
      <c r="JON47" s="478"/>
      <c r="JOO47" s="478"/>
      <c r="JOP47" s="478"/>
      <c r="JOQ47" s="478"/>
      <c r="JOR47" s="478"/>
      <c r="JOS47" s="478"/>
      <c r="JOT47" s="478"/>
      <c r="JOU47" s="478"/>
      <c r="JOV47" s="478"/>
      <c r="JOW47" s="478"/>
      <c r="JOX47" s="478"/>
      <c r="JOY47" s="478"/>
      <c r="JOZ47" s="478"/>
      <c r="JPA47" s="478"/>
      <c r="JPB47" s="478"/>
      <c r="JPC47" s="478"/>
      <c r="JPD47" s="478"/>
      <c r="JPE47" s="478"/>
      <c r="JPF47" s="478"/>
      <c r="JPG47" s="478"/>
      <c r="JPH47" s="478"/>
      <c r="JPI47" s="478"/>
      <c r="JPJ47" s="478"/>
      <c r="JPK47" s="478"/>
      <c r="JPL47" s="478"/>
      <c r="JPM47" s="478"/>
      <c r="JPN47" s="478"/>
      <c r="JPO47" s="478"/>
      <c r="JPP47" s="478"/>
      <c r="JPQ47" s="478"/>
      <c r="JPR47" s="478"/>
      <c r="JPS47" s="478"/>
      <c r="JPT47" s="478"/>
      <c r="JPU47" s="478"/>
      <c r="JPV47" s="478"/>
      <c r="JPW47" s="478"/>
      <c r="JPX47" s="478"/>
      <c r="JPY47" s="478"/>
      <c r="JPZ47" s="478"/>
      <c r="JQA47" s="478"/>
      <c r="JQB47" s="478"/>
      <c r="JQC47" s="478"/>
      <c r="JQD47" s="478"/>
      <c r="JQE47" s="478"/>
      <c r="JQF47" s="478"/>
      <c r="JQG47" s="478"/>
      <c r="JQH47" s="478"/>
      <c r="JQI47" s="478"/>
      <c r="JQJ47" s="478"/>
      <c r="JQK47" s="478"/>
      <c r="JQL47" s="478"/>
      <c r="JQM47" s="478"/>
      <c r="JQN47" s="478"/>
      <c r="JQO47" s="478"/>
      <c r="JQP47" s="478"/>
      <c r="JQQ47" s="478"/>
      <c r="JQR47" s="478"/>
      <c r="JQS47" s="478"/>
      <c r="JQT47" s="478"/>
      <c r="JQU47" s="478"/>
      <c r="JQV47" s="478"/>
      <c r="JQW47" s="478"/>
      <c r="JQX47" s="478"/>
      <c r="JQY47" s="478"/>
      <c r="JQZ47" s="478"/>
      <c r="JRA47" s="478"/>
      <c r="JRB47" s="478"/>
      <c r="JRC47" s="478"/>
      <c r="JRD47" s="478"/>
      <c r="JRE47" s="478"/>
      <c r="JRF47" s="478"/>
      <c r="JRG47" s="478"/>
      <c r="JRH47" s="478"/>
      <c r="JRI47" s="478"/>
      <c r="JRJ47" s="478"/>
      <c r="JRK47" s="478"/>
      <c r="JRL47" s="478"/>
      <c r="JRM47" s="478"/>
      <c r="JRN47" s="478"/>
      <c r="JRO47" s="478"/>
      <c r="JRP47" s="478"/>
      <c r="JRQ47" s="478"/>
      <c r="JRR47" s="478"/>
      <c r="JRS47" s="478"/>
      <c r="JRT47" s="478"/>
      <c r="JRU47" s="478"/>
      <c r="JRV47" s="478"/>
      <c r="JRW47" s="478"/>
      <c r="JRX47" s="478"/>
      <c r="JRY47" s="478"/>
      <c r="JRZ47" s="478"/>
      <c r="JSA47" s="478"/>
      <c r="JSB47" s="478"/>
      <c r="JSC47" s="478"/>
      <c r="JSD47" s="478"/>
      <c r="JSE47" s="478"/>
      <c r="JSF47" s="478"/>
      <c r="JSG47" s="478"/>
      <c r="JSH47" s="478"/>
      <c r="JSI47" s="478"/>
      <c r="JSJ47" s="478"/>
      <c r="JSK47" s="478"/>
      <c r="JSL47" s="478"/>
      <c r="JSM47" s="478"/>
      <c r="JSN47" s="478"/>
      <c r="JSO47" s="478"/>
      <c r="JSP47" s="478"/>
      <c r="JSQ47" s="478"/>
      <c r="JSR47" s="478"/>
      <c r="JSS47" s="478"/>
      <c r="JST47" s="478"/>
      <c r="JSU47" s="478"/>
      <c r="JSV47" s="478"/>
      <c r="JSW47" s="478"/>
      <c r="JSX47" s="478"/>
      <c r="JSY47" s="478"/>
      <c r="JSZ47" s="478"/>
      <c r="JTA47" s="478"/>
      <c r="JTB47" s="478"/>
      <c r="JTC47" s="478"/>
      <c r="JTD47" s="478"/>
      <c r="JTE47" s="478"/>
      <c r="JTF47" s="478"/>
      <c r="JTG47" s="478"/>
      <c r="JTH47" s="478"/>
      <c r="JTI47" s="478"/>
      <c r="JTJ47" s="478"/>
      <c r="JTK47" s="478"/>
      <c r="JTL47" s="478"/>
      <c r="JTM47" s="478"/>
      <c r="JTN47" s="478"/>
      <c r="JTO47" s="478"/>
      <c r="JTP47" s="478"/>
      <c r="JTQ47" s="478"/>
      <c r="JTR47" s="478"/>
      <c r="JTS47" s="478"/>
      <c r="JTT47" s="478"/>
      <c r="JTU47" s="478"/>
      <c r="JTV47" s="478"/>
      <c r="JTW47" s="478"/>
      <c r="JTX47" s="478"/>
      <c r="JTY47" s="478"/>
      <c r="JTZ47" s="478"/>
      <c r="JUA47" s="478"/>
      <c r="JUB47" s="478"/>
      <c r="JUC47" s="478"/>
      <c r="JUD47" s="478"/>
      <c r="JUE47" s="478"/>
      <c r="JUF47" s="478"/>
      <c r="JUG47" s="478"/>
      <c r="JUH47" s="478"/>
      <c r="JUI47" s="478"/>
      <c r="JUJ47" s="478"/>
      <c r="JUK47" s="478"/>
      <c r="JUL47" s="478"/>
      <c r="JUM47" s="478"/>
      <c r="JUN47" s="478"/>
      <c r="JUO47" s="478"/>
      <c r="JUP47" s="478"/>
      <c r="JUQ47" s="478"/>
      <c r="JUR47" s="478"/>
      <c r="JUS47" s="478"/>
      <c r="JUT47" s="478"/>
      <c r="JUU47" s="478"/>
      <c r="JUV47" s="478"/>
      <c r="JUW47" s="478"/>
      <c r="JUX47" s="478"/>
      <c r="JUY47" s="478"/>
      <c r="JUZ47" s="478"/>
      <c r="JVA47" s="478"/>
      <c r="JVB47" s="478"/>
      <c r="JVC47" s="478"/>
      <c r="JVD47" s="478"/>
      <c r="JVE47" s="478"/>
      <c r="JVF47" s="478"/>
      <c r="JVG47" s="478"/>
      <c r="JVH47" s="478"/>
      <c r="JVI47" s="478"/>
      <c r="JVJ47" s="478"/>
      <c r="JVK47" s="478"/>
      <c r="JVL47" s="478"/>
      <c r="JVM47" s="478"/>
      <c r="JVN47" s="478"/>
      <c r="JVO47" s="478"/>
      <c r="JVP47" s="478"/>
      <c r="JVQ47" s="478"/>
      <c r="JVR47" s="478"/>
      <c r="JVS47" s="478"/>
      <c r="JVT47" s="478"/>
      <c r="JVU47" s="478"/>
      <c r="JVV47" s="478"/>
      <c r="JVW47" s="478"/>
      <c r="JVX47" s="478"/>
      <c r="JVY47" s="478"/>
      <c r="JVZ47" s="478"/>
      <c r="JWA47" s="478"/>
      <c r="JWB47" s="478"/>
      <c r="JWC47" s="478"/>
      <c r="JWD47" s="478"/>
      <c r="JWE47" s="478"/>
      <c r="JWF47" s="478"/>
      <c r="JWG47" s="478"/>
      <c r="JWH47" s="478"/>
      <c r="JWI47" s="478"/>
      <c r="JWJ47" s="478"/>
      <c r="JWK47" s="478"/>
      <c r="JWL47" s="478"/>
      <c r="JWM47" s="478"/>
      <c r="JWN47" s="478"/>
      <c r="JWO47" s="478"/>
      <c r="JWP47" s="478"/>
      <c r="JWQ47" s="478"/>
      <c r="JWR47" s="478"/>
      <c r="JWS47" s="478"/>
      <c r="JWT47" s="478"/>
      <c r="JWU47" s="478"/>
      <c r="JWV47" s="478"/>
      <c r="JWW47" s="478"/>
      <c r="JWX47" s="478"/>
      <c r="JWY47" s="478"/>
      <c r="JWZ47" s="478"/>
      <c r="JXA47" s="478"/>
      <c r="JXB47" s="478"/>
      <c r="JXC47" s="478"/>
      <c r="JXD47" s="478"/>
      <c r="JXE47" s="478"/>
      <c r="JXF47" s="478"/>
      <c r="JXG47" s="478"/>
      <c r="JXH47" s="478"/>
      <c r="JXI47" s="478"/>
      <c r="JXJ47" s="478"/>
      <c r="JXK47" s="478"/>
      <c r="JXL47" s="478"/>
      <c r="JXM47" s="478"/>
      <c r="JXN47" s="478"/>
      <c r="JXO47" s="478"/>
      <c r="JXP47" s="478"/>
      <c r="JXQ47" s="478"/>
      <c r="JXR47" s="478"/>
      <c r="JXS47" s="478"/>
      <c r="JXT47" s="478"/>
      <c r="JXU47" s="478"/>
      <c r="JXV47" s="478"/>
      <c r="JXW47" s="478"/>
      <c r="JXX47" s="478"/>
      <c r="JXY47" s="478"/>
      <c r="JXZ47" s="478"/>
      <c r="JYA47" s="478"/>
      <c r="JYB47" s="478"/>
      <c r="JYC47" s="478"/>
      <c r="JYD47" s="478"/>
      <c r="JYE47" s="478"/>
      <c r="JYF47" s="478"/>
      <c r="JYG47" s="478"/>
      <c r="JYH47" s="478"/>
      <c r="JYI47" s="478"/>
      <c r="JYJ47" s="478"/>
      <c r="JYK47" s="478"/>
      <c r="JYL47" s="478"/>
      <c r="JYM47" s="478"/>
      <c r="JYN47" s="478"/>
      <c r="JYO47" s="478"/>
      <c r="JYP47" s="478"/>
      <c r="JYQ47" s="478"/>
      <c r="JYR47" s="478"/>
      <c r="JYS47" s="478"/>
      <c r="JYT47" s="478"/>
      <c r="JYU47" s="478"/>
      <c r="JYV47" s="478"/>
      <c r="JYW47" s="478"/>
      <c r="JYX47" s="478"/>
      <c r="JYY47" s="478"/>
      <c r="JYZ47" s="478"/>
      <c r="JZA47" s="478"/>
      <c r="JZB47" s="478"/>
      <c r="JZC47" s="478"/>
      <c r="JZD47" s="478"/>
      <c r="JZE47" s="478"/>
      <c r="JZF47" s="478"/>
      <c r="JZG47" s="478"/>
      <c r="JZH47" s="478"/>
      <c r="JZI47" s="478"/>
      <c r="JZJ47" s="478"/>
      <c r="JZK47" s="478"/>
      <c r="JZL47" s="478"/>
      <c r="JZM47" s="478"/>
      <c r="JZN47" s="478"/>
      <c r="JZO47" s="478"/>
      <c r="JZP47" s="478"/>
      <c r="JZQ47" s="478"/>
      <c r="JZR47" s="478"/>
      <c r="JZS47" s="478"/>
      <c r="JZT47" s="478"/>
      <c r="JZU47" s="478"/>
      <c r="JZV47" s="478"/>
      <c r="JZW47" s="478"/>
      <c r="JZX47" s="478"/>
      <c r="JZY47" s="478"/>
      <c r="JZZ47" s="478"/>
      <c r="KAA47" s="478"/>
      <c r="KAB47" s="478"/>
      <c r="KAC47" s="478"/>
      <c r="KAD47" s="478"/>
      <c r="KAE47" s="478"/>
      <c r="KAF47" s="478"/>
      <c r="KAG47" s="478"/>
      <c r="KAH47" s="478"/>
      <c r="KAI47" s="478"/>
      <c r="KAJ47" s="478"/>
      <c r="KAK47" s="478"/>
      <c r="KAL47" s="478"/>
      <c r="KAM47" s="478"/>
      <c r="KAN47" s="478"/>
      <c r="KAO47" s="478"/>
      <c r="KAP47" s="478"/>
      <c r="KAQ47" s="478"/>
      <c r="KAR47" s="478"/>
      <c r="KAS47" s="478"/>
      <c r="KAT47" s="478"/>
      <c r="KAU47" s="478"/>
      <c r="KAV47" s="478"/>
      <c r="KAW47" s="478"/>
      <c r="KAX47" s="478"/>
      <c r="KAY47" s="478"/>
      <c r="KAZ47" s="478"/>
      <c r="KBA47" s="478"/>
      <c r="KBB47" s="478"/>
      <c r="KBC47" s="478"/>
      <c r="KBD47" s="478"/>
      <c r="KBE47" s="478"/>
      <c r="KBF47" s="478"/>
      <c r="KBG47" s="478"/>
      <c r="KBH47" s="478"/>
      <c r="KBI47" s="478"/>
      <c r="KBJ47" s="478"/>
      <c r="KBK47" s="478"/>
      <c r="KBL47" s="478"/>
      <c r="KBM47" s="478"/>
      <c r="KBN47" s="478"/>
      <c r="KBO47" s="478"/>
      <c r="KBP47" s="478"/>
      <c r="KBQ47" s="478"/>
      <c r="KBR47" s="478"/>
      <c r="KBS47" s="478"/>
      <c r="KBT47" s="478"/>
      <c r="KBU47" s="478"/>
      <c r="KBV47" s="478"/>
      <c r="KBW47" s="478"/>
      <c r="KBX47" s="478"/>
      <c r="KBY47" s="478"/>
      <c r="KBZ47" s="478"/>
      <c r="KCA47" s="478"/>
      <c r="KCB47" s="478"/>
      <c r="KCC47" s="478"/>
      <c r="KCD47" s="478"/>
      <c r="KCE47" s="478"/>
      <c r="KCF47" s="478"/>
      <c r="KCG47" s="478"/>
      <c r="KCH47" s="478"/>
      <c r="KCI47" s="478"/>
      <c r="KCJ47" s="478"/>
      <c r="KCK47" s="478"/>
      <c r="KCL47" s="478"/>
      <c r="KCM47" s="478"/>
      <c r="KCN47" s="478"/>
      <c r="KCO47" s="478"/>
      <c r="KCP47" s="478"/>
      <c r="KCQ47" s="478"/>
      <c r="KCR47" s="478"/>
      <c r="KCS47" s="478"/>
      <c r="KCT47" s="478"/>
      <c r="KCU47" s="478"/>
      <c r="KCV47" s="478"/>
      <c r="KCW47" s="478"/>
      <c r="KCX47" s="478"/>
      <c r="KCY47" s="478"/>
      <c r="KCZ47" s="478"/>
      <c r="KDA47" s="478"/>
      <c r="KDB47" s="478"/>
      <c r="KDC47" s="478"/>
      <c r="KDD47" s="478"/>
      <c r="KDE47" s="478"/>
      <c r="KDF47" s="478"/>
      <c r="KDG47" s="478"/>
      <c r="KDH47" s="478"/>
      <c r="KDI47" s="478"/>
      <c r="KDJ47" s="478"/>
      <c r="KDK47" s="478"/>
      <c r="KDL47" s="478"/>
      <c r="KDM47" s="478"/>
      <c r="KDN47" s="478"/>
      <c r="KDO47" s="478"/>
      <c r="KDP47" s="478"/>
      <c r="KDQ47" s="478"/>
      <c r="KDR47" s="478"/>
      <c r="KDS47" s="478"/>
      <c r="KDT47" s="478"/>
      <c r="KDU47" s="478"/>
      <c r="KDV47" s="478"/>
      <c r="KDW47" s="478"/>
      <c r="KDX47" s="478"/>
      <c r="KDY47" s="478"/>
      <c r="KDZ47" s="478"/>
      <c r="KEA47" s="478"/>
      <c r="KEB47" s="478"/>
      <c r="KEC47" s="478"/>
      <c r="KED47" s="478"/>
      <c r="KEE47" s="478"/>
      <c r="KEF47" s="478"/>
      <c r="KEG47" s="478"/>
      <c r="KEH47" s="478"/>
      <c r="KEI47" s="478"/>
      <c r="KEJ47" s="478"/>
      <c r="KEK47" s="478"/>
      <c r="KEL47" s="478"/>
      <c r="KEM47" s="478"/>
      <c r="KEN47" s="478"/>
      <c r="KEO47" s="478"/>
      <c r="KEP47" s="478"/>
      <c r="KEQ47" s="478"/>
      <c r="KER47" s="478"/>
      <c r="KES47" s="478"/>
      <c r="KET47" s="478"/>
      <c r="KEU47" s="478"/>
      <c r="KEV47" s="478"/>
      <c r="KEW47" s="478"/>
      <c r="KEX47" s="478"/>
      <c r="KEY47" s="478"/>
      <c r="KEZ47" s="478"/>
      <c r="KFA47" s="478"/>
      <c r="KFB47" s="478"/>
      <c r="KFC47" s="478"/>
      <c r="KFD47" s="478"/>
      <c r="KFE47" s="478"/>
      <c r="KFF47" s="478"/>
      <c r="KFG47" s="478"/>
      <c r="KFH47" s="478"/>
      <c r="KFI47" s="478"/>
      <c r="KFJ47" s="478"/>
      <c r="KFK47" s="478"/>
      <c r="KFL47" s="478"/>
      <c r="KFM47" s="478"/>
      <c r="KFN47" s="478"/>
      <c r="KFO47" s="478"/>
      <c r="KFP47" s="478"/>
      <c r="KFQ47" s="478"/>
      <c r="KFR47" s="478"/>
      <c r="KFS47" s="478"/>
      <c r="KFT47" s="478"/>
      <c r="KFU47" s="478"/>
      <c r="KFV47" s="478"/>
      <c r="KFW47" s="478"/>
      <c r="KFX47" s="478"/>
      <c r="KFY47" s="478"/>
      <c r="KFZ47" s="478"/>
      <c r="KGA47" s="478"/>
      <c r="KGB47" s="478"/>
      <c r="KGC47" s="478"/>
      <c r="KGD47" s="478"/>
      <c r="KGE47" s="478"/>
      <c r="KGF47" s="478"/>
      <c r="KGG47" s="478"/>
      <c r="KGH47" s="478"/>
      <c r="KGI47" s="478"/>
      <c r="KGJ47" s="478"/>
      <c r="KGK47" s="478"/>
      <c r="KGL47" s="478"/>
      <c r="KGM47" s="478"/>
      <c r="KGN47" s="478"/>
      <c r="KGO47" s="478"/>
      <c r="KGP47" s="478"/>
      <c r="KGQ47" s="478"/>
      <c r="KGR47" s="478"/>
      <c r="KGS47" s="478"/>
      <c r="KGT47" s="478"/>
      <c r="KGU47" s="478"/>
      <c r="KGV47" s="478"/>
      <c r="KGW47" s="478"/>
      <c r="KGX47" s="478"/>
      <c r="KGY47" s="478"/>
      <c r="KGZ47" s="478"/>
      <c r="KHA47" s="478"/>
      <c r="KHB47" s="478"/>
      <c r="KHC47" s="478"/>
      <c r="KHD47" s="478"/>
      <c r="KHE47" s="478"/>
      <c r="KHF47" s="478"/>
      <c r="KHG47" s="478"/>
      <c r="KHH47" s="478"/>
      <c r="KHI47" s="478"/>
      <c r="KHJ47" s="478"/>
      <c r="KHK47" s="478"/>
      <c r="KHL47" s="478"/>
      <c r="KHM47" s="478"/>
      <c r="KHN47" s="478"/>
      <c r="KHO47" s="478"/>
      <c r="KHP47" s="478"/>
      <c r="KHQ47" s="478"/>
      <c r="KHR47" s="478"/>
      <c r="KHS47" s="478"/>
      <c r="KHT47" s="478"/>
      <c r="KHU47" s="478"/>
      <c r="KHV47" s="478"/>
      <c r="KHW47" s="478"/>
      <c r="KHX47" s="478"/>
      <c r="KHY47" s="478"/>
      <c r="KHZ47" s="478"/>
      <c r="KIA47" s="478"/>
      <c r="KIB47" s="478"/>
      <c r="KIC47" s="478"/>
      <c r="KID47" s="478"/>
      <c r="KIE47" s="478"/>
      <c r="KIF47" s="478"/>
      <c r="KIG47" s="478"/>
      <c r="KIH47" s="478"/>
      <c r="KII47" s="478"/>
      <c r="KIJ47" s="478"/>
      <c r="KIK47" s="478"/>
      <c r="KIL47" s="478"/>
      <c r="KIM47" s="478"/>
      <c r="KIN47" s="478"/>
      <c r="KIO47" s="478"/>
      <c r="KIP47" s="478"/>
      <c r="KIQ47" s="478"/>
      <c r="KIR47" s="478"/>
      <c r="KIS47" s="478"/>
      <c r="KIT47" s="478"/>
      <c r="KIU47" s="478"/>
      <c r="KIV47" s="478"/>
      <c r="KIW47" s="478"/>
      <c r="KIX47" s="478"/>
      <c r="KIY47" s="478"/>
      <c r="KIZ47" s="478"/>
      <c r="KJA47" s="478"/>
      <c r="KJB47" s="478"/>
      <c r="KJC47" s="478"/>
      <c r="KJD47" s="478"/>
      <c r="KJE47" s="478"/>
      <c r="KJF47" s="478"/>
      <c r="KJG47" s="478"/>
      <c r="KJH47" s="478"/>
      <c r="KJI47" s="478"/>
      <c r="KJJ47" s="478"/>
      <c r="KJK47" s="478"/>
      <c r="KJL47" s="478"/>
      <c r="KJM47" s="478"/>
      <c r="KJN47" s="478"/>
      <c r="KJO47" s="478"/>
      <c r="KJP47" s="478"/>
      <c r="KJQ47" s="478"/>
      <c r="KJR47" s="478"/>
      <c r="KJS47" s="478"/>
      <c r="KJT47" s="478"/>
      <c r="KJU47" s="478"/>
      <c r="KJV47" s="478"/>
      <c r="KJW47" s="478"/>
      <c r="KJX47" s="478"/>
      <c r="KJY47" s="478"/>
      <c r="KJZ47" s="478"/>
      <c r="KKA47" s="478"/>
      <c r="KKB47" s="478"/>
      <c r="KKC47" s="478"/>
      <c r="KKD47" s="478"/>
      <c r="KKE47" s="478"/>
      <c r="KKF47" s="478"/>
      <c r="KKG47" s="478"/>
      <c r="KKH47" s="478"/>
      <c r="KKI47" s="478"/>
      <c r="KKJ47" s="478"/>
      <c r="KKK47" s="478"/>
      <c r="KKL47" s="478"/>
      <c r="KKM47" s="478"/>
      <c r="KKN47" s="478"/>
      <c r="KKO47" s="478"/>
      <c r="KKP47" s="478"/>
      <c r="KKQ47" s="478"/>
      <c r="KKR47" s="478"/>
      <c r="KKS47" s="478"/>
      <c r="KKT47" s="478"/>
      <c r="KKU47" s="478"/>
      <c r="KKV47" s="478"/>
      <c r="KKW47" s="478"/>
      <c r="KKX47" s="478"/>
      <c r="KKY47" s="478"/>
      <c r="KKZ47" s="478"/>
      <c r="KLA47" s="478"/>
      <c r="KLB47" s="478"/>
      <c r="KLC47" s="478"/>
      <c r="KLD47" s="478"/>
      <c r="KLE47" s="478"/>
      <c r="KLF47" s="478"/>
      <c r="KLG47" s="478"/>
      <c r="KLH47" s="478"/>
      <c r="KLI47" s="478"/>
      <c r="KLJ47" s="478"/>
      <c r="KLK47" s="478"/>
      <c r="KLL47" s="478"/>
      <c r="KLM47" s="478"/>
      <c r="KLN47" s="478"/>
      <c r="KLO47" s="478"/>
      <c r="KLP47" s="478"/>
      <c r="KLQ47" s="478"/>
      <c r="KLR47" s="478"/>
      <c r="KLS47" s="478"/>
      <c r="KLT47" s="478"/>
      <c r="KLU47" s="478"/>
      <c r="KLV47" s="478"/>
      <c r="KLW47" s="478"/>
      <c r="KLX47" s="478"/>
      <c r="KLY47" s="478"/>
      <c r="KLZ47" s="478"/>
      <c r="KMA47" s="478"/>
      <c r="KMB47" s="478"/>
      <c r="KMC47" s="478"/>
      <c r="KMD47" s="478"/>
      <c r="KME47" s="478"/>
      <c r="KMF47" s="478"/>
      <c r="KMG47" s="478"/>
      <c r="KMH47" s="478"/>
      <c r="KMI47" s="478"/>
      <c r="KMJ47" s="478"/>
      <c r="KMK47" s="478"/>
      <c r="KML47" s="478"/>
      <c r="KMM47" s="478"/>
      <c r="KMN47" s="478"/>
      <c r="KMO47" s="478"/>
      <c r="KMP47" s="478"/>
      <c r="KMQ47" s="478"/>
      <c r="KMR47" s="478"/>
      <c r="KMS47" s="478"/>
      <c r="KMT47" s="478"/>
      <c r="KMU47" s="478"/>
      <c r="KMV47" s="478"/>
      <c r="KMW47" s="478"/>
      <c r="KMX47" s="478"/>
      <c r="KMY47" s="478"/>
      <c r="KMZ47" s="478"/>
      <c r="KNA47" s="478"/>
      <c r="KNB47" s="478"/>
      <c r="KNC47" s="478"/>
      <c r="KND47" s="478"/>
      <c r="KNE47" s="478"/>
      <c r="KNF47" s="478"/>
      <c r="KNG47" s="478"/>
      <c r="KNH47" s="478"/>
      <c r="KNI47" s="478"/>
      <c r="KNJ47" s="478"/>
      <c r="KNK47" s="478"/>
      <c r="KNL47" s="478"/>
      <c r="KNM47" s="478"/>
      <c r="KNN47" s="478"/>
      <c r="KNO47" s="478"/>
      <c r="KNP47" s="478"/>
      <c r="KNQ47" s="478"/>
      <c r="KNR47" s="478"/>
      <c r="KNS47" s="478"/>
      <c r="KNT47" s="478"/>
      <c r="KNU47" s="478"/>
      <c r="KNV47" s="478"/>
      <c r="KNW47" s="478"/>
      <c r="KNX47" s="478"/>
      <c r="KNY47" s="478"/>
      <c r="KNZ47" s="478"/>
      <c r="KOA47" s="478"/>
      <c r="KOB47" s="478"/>
      <c r="KOC47" s="478"/>
      <c r="KOD47" s="478"/>
      <c r="KOE47" s="478"/>
      <c r="KOF47" s="478"/>
      <c r="KOG47" s="478"/>
      <c r="KOH47" s="478"/>
      <c r="KOI47" s="478"/>
      <c r="KOJ47" s="478"/>
      <c r="KOK47" s="478"/>
      <c r="KOL47" s="478"/>
      <c r="KOM47" s="478"/>
      <c r="KON47" s="478"/>
      <c r="KOO47" s="478"/>
      <c r="KOP47" s="478"/>
      <c r="KOQ47" s="478"/>
      <c r="KOR47" s="478"/>
      <c r="KOS47" s="478"/>
      <c r="KOT47" s="478"/>
      <c r="KOU47" s="478"/>
      <c r="KOV47" s="478"/>
      <c r="KOW47" s="478"/>
      <c r="KOX47" s="478"/>
      <c r="KOY47" s="478"/>
      <c r="KOZ47" s="478"/>
      <c r="KPA47" s="478"/>
      <c r="KPB47" s="478"/>
      <c r="KPC47" s="478"/>
      <c r="KPD47" s="478"/>
      <c r="KPE47" s="478"/>
      <c r="KPF47" s="478"/>
      <c r="KPG47" s="478"/>
      <c r="KPH47" s="478"/>
      <c r="KPI47" s="478"/>
      <c r="KPJ47" s="478"/>
      <c r="KPK47" s="478"/>
      <c r="KPL47" s="478"/>
      <c r="KPM47" s="478"/>
      <c r="KPN47" s="478"/>
      <c r="KPO47" s="478"/>
      <c r="KPP47" s="478"/>
      <c r="KPQ47" s="478"/>
      <c r="KPR47" s="478"/>
      <c r="KPS47" s="478"/>
      <c r="KPT47" s="478"/>
      <c r="KPU47" s="478"/>
      <c r="KPV47" s="478"/>
      <c r="KPW47" s="478"/>
      <c r="KPX47" s="478"/>
      <c r="KPY47" s="478"/>
      <c r="KPZ47" s="478"/>
      <c r="KQA47" s="478"/>
      <c r="KQB47" s="478"/>
      <c r="KQC47" s="478"/>
      <c r="KQD47" s="478"/>
      <c r="KQE47" s="478"/>
      <c r="KQF47" s="478"/>
      <c r="KQG47" s="478"/>
      <c r="KQH47" s="478"/>
      <c r="KQI47" s="478"/>
      <c r="KQJ47" s="478"/>
      <c r="KQK47" s="478"/>
      <c r="KQL47" s="478"/>
      <c r="KQM47" s="478"/>
      <c r="KQN47" s="478"/>
      <c r="KQO47" s="478"/>
      <c r="KQP47" s="478"/>
      <c r="KQQ47" s="478"/>
      <c r="KQR47" s="478"/>
      <c r="KQS47" s="478"/>
      <c r="KQT47" s="478"/>
      <c r="KQU47" s="478"/>
      <c r="KQV47" s="478"/>
      <c r="KQW47" s="478"/>
      <c r="KQX47" s="478"/>
      <c r="KQY47" s="478"/>
      <c r="KQZ47" s="478"/>
      <c r="KRA47" s="478"/>
      <c r="KRB47" s="478"/>
      <c r="KRC47" s="478"/>
      <c r="KRD47" s="478"/>
      <c r="KRE47" s="478"/>
      <c r="KRF47" s="478"/>
      <c r="KRG47" s="478"/>
      <c r="KRH47" s="478"/>
      <c r="KRI47" s="478"/>
      <c r="KRJ47" s="478"/>
      <c r="KRK47" s="478"/>
      <c r="KRL47" s="478"/>
      <c r="KRM47" s="478"/>
      <c r="KRN47" s="478"/>
      <c r="KRO47" s="478"/>
      <c r="KRP47" s="478"/>
      <c r="KRQ47" s="478"/>
      <c r="KRR47" s="478"/>
      <c r="KRS47" s="478"/>
      <c r="KRT47" s="478"/>
      <c r="KRU47" s="478"/>
      <c r="KRV47" s="478"/>
      <c r="KRW47" s="478"/>
      <c r="KRX47" s="478"/>
      <c r="KRY47" s="478"/>
      <c r="KRZ47" s="478"/>
      <c r="KSA47" s="478"/>
      <c r="KSB47" s="478"/>
      <c r="KSC47" s="478"/>
      <c r="KSD47" s="478"/>
      <c r="KSE47" s="478"/>
      <c r="KSF47" s="478"/>
      <c r="KSG47" s="478"/>
      <c r="KSH47" s="478"/>
      <c r="KSI47" s="478"/>
      <c r="KSJ47" s="478"/>
      <c r="KSK47" s="478"/>
      <c r="KSL47" s="478"/>
      <c r="KSM47" s="478"/>
      <c r="KSN47" s="478"/>
      <c r="KSO47" s="478"/>
      <c r="KSP47" s="478"/>
      <c r="KSQ47" s="478"/>
      <c r="KSR47" s="478"/>
      <c r="KSS47" s="478"/>
      <c r="KST47" s="478"/>
      <c r="KSU47" s="478"/>
      <c r="KSV47" s="478"/>
      <c r="KSW47" s="478"/>
      <c r="KSX47" s="478"/>
      <c r="KSY47" s="478"/>
      <c r="KSZ47" s="478"/>
      <c r="KTA47" s="478"/>
      <c r="KTB47" s="478"/>
      <c r="KTC47" s="478"/>
      <c r="KTD47" s="478"/>
      <c r="KTE47" s="478"/>
      <c r="KTF47" s="478"/>
      <c r="KTG47" s="478"/>
      <c r="KTH47" s="478"/>
      <c r="KTI47" s="478"/>
      <c r="KTJ47" s="478"/>
      <c r="KTK47" s="478"/>
      <c r="KTL47" s="478"/>
      <c r="KTM47" s="478"/>
      <c r="KTN47" s="478"/>
      <c r="KTO47" s="478"/>
      <c r="KTP47" s="478"/>
      <c r="KTQ47" s="478"/>
      <c r="KTR47" s="478"/>
      <c r="KTS47" s="478"/>
      <c r="KTT47" s="478"/>
      <c r="KTU47" s="478"/>
      <c r="KTV47" s="478"/>
      <c r="KTW47" s="478"/>
      <c r="KTX47" s="478"/>
      <c r="KTY47" s="478"/>
      <c r="KTZ47" s="478"/>
      <c r="KUA47" s="478"/>
      <c r="KUB47" s="478"/>
      <c r="KUC47" s="478"/>
      <c r="KUD47" s="478"/>
      <c r="KUE47" s="478"/>
      <c r="KUF47" s="478"/>
      <c r="KUG47" s="478"/>
      <c r="KUH47" s="478"/>
      <c r="KUI47" s="478"/>
      <c r="KUJ47" s="478"/>
      <c r="KUK47" s="478"/>
      <c r="KUL47" s="478"/>
      <c r="KUM47" s="478"/>
      <c r="KUN47" s="478"/>
      <c r="KUO47" s="478"/>
      <c r="KUP47" s="478"/>
      <c r="KUQ47" s="478"/>
      <c r="KUR47" s="478"/>
      <c r="KUS47" s="478"/>
      <c r="KUT47" s="478"/>
      <c r="KUU47" s="478"/>
      <c r="KUV47" s="478"/>
      <c r="KUW47" s="478"/>
      <c r="KUX47" s="478"/>
      <c r="KUY47" s="478"/>
      <c r="KUZ47" s="478"/>
      <c r="KVA47" s="478"/>
      <c r="KVB47" s="478"/>
      <c r="KVC47" s="478"/>
      <c r="KVD47" s="478"/>
      <c r="KVE47" s="478"/>
      <c r="KVF47" s="478"/>
      <c r="KVG47" s="478"/>
      <c r="KVH47" s="478"/>
      <c r="KVI47" s="478"/>
      <c r="KVJ47" s="478"/>
      <c r="KVK47" s="478"/>
      <c r="KVL47" s="478"/>
      <c r="KVM47" s="478"/>
      <c r="KVN47" s="478"/>
      <c r="KVO47" s="478"/>
      <c r="KVP47" s="478"/>
      <c r="KVQ47" s="478"/>
      <c r="KVR47" s="478"/>
      <c r="KVS47" s="478"/>
      <c r="KVT47" s="478"/>
      <c r="KVU47" s="478"/>
      <c r="KVV47" s="478"/>
      <c r="KVW47" s="478"/>
      <c r="KVX47" s="478"/>
      <c r="KVY47" s="478"/>
      <c r="KVZ47" s="478"/>
      <c r="KWA47" s="478"/>
      <c r="KWB47" s="478"/>
      <c r="KWC47" s="478"/>
      <c r="KWD47" s="478"/>
      <c r="KWE47" s="478"/>
      <c r="KWF47" s="478"/>
      <c r="KWG47" s="478"/>
      <c r="KWH47" s="478"/>
      <c r="KWI47" s="478"/>
      <c r="KWJ47" s="478"/>
      <c r="KWK47" s="478"/>
      <c r="KWL47" s="478"/>
      <c r="KWM47" s="478"/>
      <c r="KWN47" s="478"/>
      <c r="KWO47" s="478"/>
      <c r="KWP47" s="478"/>
      <c r="KWQ47" s="478"/>
      <c r="KWR47" s="478"/>
      <c r="KWS47" s="478"/>
      <c r="KWT47" s="478"/>
      <c r="KWU47" s="478"/>
      <c r="KWV47" s="478"/>
      <c r="KWW47" s="478"/>
      <c r="KWX47" s="478"/>
      <c r="KWY47" s="478"/>
      <c r="KWZ47" s="478"/>
      <c r="KXA47" s="478"/>
      <c r="KXB47" s="478"/>
      <c r="KXC47" s="478"/>
      <c r="KXD47" s="478"/>
      <c r="KXE47" s="478"/>
      <c r="KXF47" s="478"/>
      <c r="KXG47" s="478"/>
      <c r="KXH47" s="478"/>
      <c r="KXI47" s="478"/>
      <c r="KXJ47" s="478"/>
      <c r="KXK47" s="478"/>
      <c r="KXL47" s="478"/>
      <c r="KXM47" s="478"/>
      <c r="KXN47" s="478"/>
      <c r="KXO47" s="478"/>
      <c r="KXP47" s="478"/>
      <c r="KXQ47" s="478"/>
      <c r="KXR47" s="478"/>
      <c r="KXS47" s="478"/>
      <c r="KXT47" s="478"/>
      <c r="KXU47" s="478"/>
      <c r="KXV47" s="478"/>
      <c r="KXW47" s="478"/>
      <c r="KXX47" s="478"/>
      <c r="KXY47" s="478"/>
      <c r="KXZ47" s="478"/>
      <c r="KYA47" s="478"/>
      <c r="KYB47" s="478"/>
      <c r="KYC47" s="478"/>
      <c r="KYD47" s="478"/>
      <c r="KYE47" s="478"/>
      <c r="KYF47" s="478"/>
      <c r="KYG47" s="478"/>
      <c r="KYH47" s="478"/>
      <c r="KYI47" s="478"/>
      <c r="KYJ47" s="478"/>
      <c r="KYK47" s="478"/>
      <c r="KYL47" s="478"/>
      <c r="KYM47" s="478"/>
      <c r="KYN47" s="478"/>
      <c r="KYO47" s="478"/>
      <c r="KYP47" s="478"/>
      <c r="KYQ47" s="478"/>
      <c r="KYR47" s="478"/>
      <c r="KYS47" s="478"/>
      <c r="KYT47" s="478"/>
      <c r="KYU47" s="478"/>
      <c r="KYV47" s="478"/>
      <c r="KYW47" s="478"/>
      <c r="KYX47" s="478"/>
      <c r="KYY47" s="478"/>
      <c r="KYZ47" s="478"/>
      <c r="KZA47" s="478"/>
      <c r="KZB47" s="478"/>
      <c r="KZC47" s="478"/>
      <c r="KZD47" s="478"/>
      <c r="KZE47" s="478"/>
      <c r="KZF47" s="478"/>
      <c r="KZG47" s="478"/>
      <c r="KZH47" s="478"/>
      <c r="KZI47" s="478"/>
      <c r="KZJ47" s="478"/>
      <c r="KZK47" s="478"/>
      <c r="KZL47" s="478"/>
      <c r="KZM47" s="478"/>
      <c r="KZN47" s="478"/>
      <c r="KZO47" s="478"/>
      <c r="KZP47" s="478"/>
      <c r="KZQ47" s="478"/>
      <c r="KZR47" s="478"/>
      <c r="KZS47" s="478"/>
      <c r="KZT47" s="478"/>
      <c r="KZU47" s="478"/>
      <c r="KZV47" s="478"/>
      <c r="KZW47" s="478"/>
      <c r="KZX47" s="478"/>
      <c r="KZY47" s="478"/>
      <c r="KZZ47" s="478"/>
      <c r="LAA47" s="478"/>
      <c r="LAB47" s="478"/>
      <c r="LAC47" s="478"/>
      <c r="LAD47" s="478"/>
      <c r="LAE47" s="478"/>
      <c r="LAF47" s="478"/>
      <c r="LAG47" s="478"/>
      <c r="LAH47" s="478"/>
      <c r="LAI47" s="478"/>
      <c r="LAJ47" s="478"/>
      <c r="LAK47" s="478"/>
      <c r="LAL47" s="478"/>
      <c r="LAM47" s="478"/>
      <c r="LAN47" s="478"/>
      <c r="LAO47" s="478"/>
      <c r="LAP47" s="478"/>
      <c r="LAQ47" s="478"/>
      <c r="LAR47" s="478"/>
      <c r="LAS47" s="478"/>
      <c r="LAT47" s="478"/>
      <c r="LAU47" s="478"/>
      <c r="LAV47" s="478"/>
      <c r="LAW47" s="478"/>
      <c r="LAX47" s="478"/>
      <c r="LAY47" s="478"/>
      <c r="LAZ47" s="478"/>
      <c r="LBA47" s="478"/>
      <c r="LBB47" s="478"/>
      <c r="LBC47" s="478"/>
      <c r="LBD47" s="478"/>
      <c r="LBE47" s="478"/>
      <c r="LBF47" s="478"/>
      <c r="LBG47" s="478"/>
      <c r="LBH47" s="478"/>
      <c r="LBI47" s="478"/>
      <c r="LBJ47" s="478"/>
      <c r="LBK47" s="478"/>
      <c r="LBL47" s="478"/>
      <c r="LBM47" s="478"/>
      <c r="LBN47" s="478"/>
      <c r="LBO47" s="478"/>
      <c r="LBP47" s="478"/>
      <c r="LBQ47" s="478"/>
      <c r="LBR47" s="478"/>
      <c r="LBS47" s="478"/>
      <c r="LBT47" s="478"/>
      <c r="LBU47" s="478"/>
      <c r="LBV47" s="478"/>
      <c r="LBW47" s="478"/>
      <c r="LBX47" s="478"/>
      <c r="LBY47" s="478"/>
      <c r="LBZ47" s="478"/>
      <c r="LCA47" s="478"/>
      <c r="LCB47" s="478"/>
      <c r="LCC47" s="478"/>
      <c r="LCD47" s="478"/>
      <c r="LCE47" s="478"/>
      <c r="LCF47" s="478"/>
      <c r="LCG47" s="478"/>
      <c r="LCH47" s="478"/>
      <c r="LCI47" s="478"/>
      <c r="LCJ47" s="478"/>
      <c r="LCK47" s="478"/>
      <c r="LCL47" s="478"/>
      <c r="LCM47" s="478"/>
      <c r="LCN47" s="478"/>
      <c r="LCO47" s="478"/>
      <c r="LCP47" s="478"/>
      <c r="LCQ47" s="478"/>
      <c r="LCR47" s="478"/>
      <c r="LCS47" s="478"/>
      <c r="LCT47" s="478"/>
      <c r="LCU47" s="478"/>
      <c r="LCV47" s="478"/>
      <c r="LCW47" s="478"/>
      <c r="LCX47" s="478"/>
      <c r="LCY47" s="478"/>
      <c r="LCZ47" s="478"/>
      <c r="LDA47" s="478"/>
      <c r="LDB47" s="478"/>
      <c r="LDC47" s="478"/>
      <c r="LDD47" s="478"/>
      <c r="LDE47" s="478"/>
      <c r="LDF47" s="478"/>
      <c r="LDG47" s="478"/>
      <c r="LDH47" s="478"/>
      <c r="LDI47" s="478"/>
      <c r="LDJ47" s="478"/>
      <c r="LDK47" s="478"/>
      <c r="LDL47" s="478"/>
      <c r="LDM47" s="478"/>
      <c r="LDN47" s="478"/>
      <c r="LDO47" s="478"/>
      <c r="LDP47" s="478"/>
      <c r="LDQ47" s="478"/>
      <c r="LDR47" s="478"/>
      <c r="LDS47" s="478"/>
      <c r="LDT47" s="478"/>
      <c r="LDU47" s="478"/>
      <c r="LDV47" s="478"/>
      <c r="LDW47" s="478"/>
      <c r="LDX47" s="478"/>
      <c r="LDY47" s="478"/>
      <c r="LDZ47" s="478"/>
      <c r="LEA47" s="478"/>
      <c r="LEB47" s="478"/>
      <c r="LEC47" s="478"/>
      <c r="LED47" s="478"/>
      <c r="LEE47" s="478"/>
      <c r="LEF47" s="478"/>
      <c r="LEG47" s="478"/>
      <c r="LEH47" s="478"/>
      <c r="LEI47" s="478"/>
      <c r="LEJ47" s="478"/>
      <c r="LEK47" s="478"/>
      <c r="LEL47" s="478"/>
      <c r="LEM47" s="478"/>
      <c r="LEN47" s="478"/>
      <c r="LEO47" s="478"/>
      <c r="LEP47" s="478"/>
      <c r="LEQ47" s="478"/>
      <c r="LER47" s="478"/>
      <c r="LES47" s="478"/>
      <c r="LET47" s="478"/>
      <c r="LEU47" s="478"/>
      <c r="LEV47" s="478"/>
      <c r="LEW47" s="478"/>
      <c r="LEX47" s="478"/>
      <c r="LEY47" s="478"/>
      <c r="LEZ47" s="478"/>
      <c r="LFA47" s="478"/>
      <c r="LFB47" s="478"/>
      <c r="LFC47" s="478"/>
      <c r="LFD47" s="478"/>
      <c r="LFE47" s="478"/>
      <c r="LFF47" s="478"/>
      <c r="LFG47" s="478"/>
      <c r="LFH47" s="478"/>
      <c r="LFI47" s="478"/>
      <c r="LFJ47" s="478"/>
      <c r="LFK47" s="478"/>
      <c r="LFL47" s="478"/>
      <c r="LFM47" s="478"/>
      <c r="LFN47" s="478"/>
      <c r="LFO47" s="478"/>
      <c r="LFP47" s="478"/>
      <c r="LFQ47" s="478"/>
      <c r="LFR47" s="478"/>
      <c r="LFS47" s="478"/>
      <c r="LFT47" s="478"/>
      <c r="LFU47" s="478"/>
      <c r="LFV47" s="478"/>
      <c r="LFW47" s="478"/>
      <c r="LFX47" s="478"/>
      <c r="LFY47" s="478"/>
      <c r="LFZ47" s="478"/>
      <c r="LGA47" s="478"/>
      <c r="LGB47" s="478"/>
      <c r="LGC47" s="478"/>
      <c r="LGD47" s="478"/>
      <c r="LGE47" s="478"/>
      <c r="LGF47" s="478"/>
      <c r="LGG47" s="478"/>
      <c r="LGH47" s="478"/>
      <c r="LGI47" s="478"/>
      <c r="LGJ47" s="478"/>
      <c r="LGK47" s="478"/>
      <c r="LGL47" s="478"/>
      <c r="LGM47" s="478"/>
      <c r="LGN47" s="478"/>
      <c r="LGO47" s="478"/>
      <c r="LGP47" s="478"/>
      <c r="LGQ47" s="478"/>
      <c r="LGR47" s="478"/>
      <c r="LGS47" s="478"/>
      <c r="LGT47" s="478"/>
      <c r="LGU47" s="478"/>
      <c r="LGV47" s="478"/>
      <c r="LGW47" s="478"/>
      <c r="LGX47" s="478"/>
      <c r="LGY47" s="478"/>
      <c r="LGZ47" s="478"/>
      <c r="LHA47" s="478"/>
      <c r="LHB47" s="478"/>
      <c r="LHC47" s="478"/>
      <c r="LHD47" s="478"/>
      <c r="LHE47" s="478"/>
      <c r="LHF47" s="478"/>
      <c r="LHG47" s="478"/>
      <c r="LHH47" s="478"/>
      <c r="LHI47" s="478"/>
      <c r="LHJ47" s="478"/>
      <c r="LHK47" s="478"/>
      <c r="LHL47" s="478"/>
      <c r="LHM47" s="478"/>
      <c r="LHN47" s="478"/>
      <c r="LHO47" s="478"/>
      <c r="LHP47" s="478"/>
      <c r="LHQ47" s="478"/>
      <c r="LHR47" s="478"/>
      <c r="LHS47" s="478"/>
      <c r="LHT47" s="478"/>
      <c r="LHU47" s="478"/>
      <c r="LHV47" s="478"/>
      <c r="LHW47" s="478"/>
      <c r="LHX47" s="478"/>
      <c r="LHY47" s="478"/>
      <c r="LHZ47" s="478"/>
      <c r="LIA47" s="478"/>
      <c r="LIB47" s="478"/>
      <c r="LIC47" s="478"/>
      <c r="LID47" s="478"/>
      <c r="LIE47" s="478"/>
      <c r="LIF47" s="478"/>
      <c r="LIG47" s="478"/>
      <c r="LIH47" s="478"/>
      <c r="LII47" s="478"/>
      <c r="LIJ47" s="478"/>
      <c r="LIK47" s="478"/>
      <c r="LIL47" s="478"/>
      <c r="LIM47" s="478"/>
      <c r="LIN47" s="478"/>
      <c r="LIO47" s="478"/>
      <c r="LIP47" s="478"/>
      <c r="LIQ47" s="478"/>
      <c r="LIR47" s="478"/>
      <c r="LIS47" s="478"/>
      <c r="LIT47" s="478"/>
      <c r="LIU47" s="478"/>
      <c r="LIV47" s="478"/>
      <c r="LIW47" s="478"/>
      <c r="LIX47" s="478"/>
      <c r="LIY47" s="478"/>
      <c r="LIZ47" s="478"/>
      <c r="LJA47" s="478"/>
      <c r="LJB47" s="478"/>
      <c r="LJC47" s="478"/>
      <c r="LJD47" s="478"/>
      <c r="LJE47" s="478"/>
      <c r="LJF47" s="478"/>
      <c r="LJG47" s="478"/>
      <c r="LJH47" s="478"/>
      <c r="LJI47" s="478"/>
      <c r="LJJ47" s="478"/>
      <c r="LJK47" s="478"/>
      <c r="LJL47" s="478"/>
      <c r="LJM47" s="478"/>
      <c r="LJN47" s="478"/>
      <c r="LJO47" s="478"/>
      <c r="LJP47" s="478"/>
      <c r="LJQ47" s="478"/>
      <c r="LJR47" s="478"/>
      <c r="LJS47" s="478"/>
      <c r="LJT47" s="478"/>
      <c r="LJU47" s="478"/>
      <c r="LJV47" s="478"/>
      <c r="LJW47" s="478"/>
      <c r="LJX47" s="478"/>
      <c r="LJY47" s="478"/>
      <c r="LJZ47" s="478"/>
      <c r="LKA47" s="478"/>
      <c r="LKB47" s="478"/>
      <c r="LKC47" s="478"/>
      <c r="LKD47" s="478"/>
      <c r="LKE47" s="478"/>
      <c r="LKF47" s="478"/>
      <c r="LKG47" s="478"/>
      <c r="LKH47" s="478"/>
      <c r="LKI47" s="478"/>
      <c r="LKJ47" s="478"/>
      <c r="LKK47" s="478"/>
      <c r="LKL47" s="478"/>
      <c r="LKM47" s="478"/>
      <c r="LKN47" s="478"/>
      <c r="LKO47" s="478"/>
      <c r="LKP47" s="478"/>
      <c r="LKQ47" s="478"/>
      <c r="LKR47" s="478"/>
      <c r="LKS47" s="478"/>
      <c r="LKT47" s="478"/>
      <c r="LKU47" s="478"/>
      <c r="LKV47" s="478"/>
      <c r="LKW47" s="478"/>
      <c r="LKX47" s="478"/>
      <c r="LKY47" s="478"/>
      <c r="LKZ47" s="478"/>
      <c r="LLA47" s="478"/>
      <c r="LLB47" s="478"/>
      <c r="LLC47" s="478"/>
      <c r="LLD47" s="478"/>
      <c r="LLE47" s="478"/>
      <c r="LLF47" s="478"/>
      <c r="LLG47" s="478"/>
      <c r="LLH47" s="478"/>
      <c r="LLI47" s="478"/>
      <c r="LLJ47" s="478"/>
      <c r="LLK47" s="478"/>
      <c r="LLL47" s="478"/>
      <c r="LLM47" s="478"/>
      <c r="LLN47" s="478"/>
      <c r="LLO47" s="478"/>
      <c r="LLP47" s="478"/>
      <c r="LLQ47" s="478"/>
      <c r="LLR47" s="478"/>
      <c r="LLS47" s="478"/>
      <c r="LLT47" s="478"/>
      <c r="LLU47" s="478"/>
      <c r="LLV47" s="478"/>
      <c r="LLW47" s="478"/>
      <c r="LLX47" s="478"/>
      <c r="LLY47" s="478"/>
      <c r="LLZ47" s="478"/>
      <c r="LMA47" s="478"/>
      <c r="LMB47" s="478"/>
      <c r="LMC47" s="478"/>
      <c r="LMD47" s="478"/>
      <c r="LME47" s="478"/>
      <c r="LMF47" s="478"/>
      <c r="LMG47" s="478"/>
      <c r="LMH47" s="478"/>
      <c r="LMI47" s="478"/>
      <c r="LMJ47" s="478"/>
      <c r="LMK47" s="478"/>
      <c r="LML47" s="478"/>
      <c r="LMM47" s="478"/>
      <c r="LMN47" s="478"/>
      <c r="LMO47" s="478"/>
      <c r="LMP47" s="478"/>
      <c r="LMQ47" s="478"/>
      <c r="LMR47" s="478"/>
      <c r="LMS47" s="478"/>
      <c r="LMT47" s="478"/>
      <c r="LMU47" s="478"/>
      <c r="LMV47" s="478"/>
      <c r="LMW47" s="478"/>
      <c r="LMX47" s="478"/>
      <c r="LMY47" s="478"/>
      <c r="LMZ47" s="478"/>
      <c r="LNA47" s="478"/>
      <c r="LNB47" s="478"/>
      <c r="LNC47" s="478"/>
      <c r="LND47" s="478"/>
      <c r="LNE47" s="478"/>
      <c r="LNF47" s="478"/>
      <c r="LNG47" s="478"/>
      <c r="LNH47" s="478"/>
      <c r="LNI47" s="478"/>
      <c r="LNJ47" s="478"/>
      <c r="LNK47" s="478"/>
      <c r="LNL47" s="478"/>
      <c r="LNM47" s="478"/>
      <c r="LNN47" s="478"/>
      <c r="LNO47" s="478"/>
      <c r="LNP47" s="478"/>
      <c r="LNQ47" s="478"/>
      <c r="LNR47" s="478"/>
      <c r="LNS47" s="478"/>
      <c r="LNT47" s="478"/>
      <c r="LNU47" s="478"/>
      <c r="LNV47" s="478"/>
      <c r="LNW47" s="478"/>
      <c r="LNX47" s="478"/>
      <c r="LNY47" s="478"/>
      <c r="LNZ47" s="478"/>
      <c r="LOA47" s="478"/>
      <c r="LOB47" s="478"/>
      <c r="LOC47" s="478"/>
      <c r="LOD47" s="478"/>
      <c r="LOE47" s="478"/>
      <c r="LOF47" s="478"/>
      <c r="LOG47" s="478"/>
      <c r="LOH47" s="478"/>
      <c r="LOI47" s="478"/>
      <c r="LOJ47" s="478"/>
      <c r="LOK47" s="478"/>
      <c r="LOL47" s="478"/>
      <c r="LOM47" s="478"/>
      <c r="LON47" s="478"/>
      <c r="LOO47" s="478"/>
      <c r="LOP47" s="478"/>
      <c r="LOQ47" s="478"/>
      <c r="LOR47" s="478"/>
      <c r="LOS47" s="478"/>
      <c r="LOT47" s="478"/>
      <c r="LOU47" s="478"/>
      <c r="LOV47" s="478"/>
      <c r="LOW47" s="478"/>
      <c r="LOX47" s="478"/>
      <c r="LOY47" s="478"/>
      <c r="LOZ47" s="478"/>
      <c r="LPA47" s="478"/>
      <c r="LPB47" s="478"/>
      <c r="LPC47" s="478"/>
      <c r="LPD47" s="478"/>
      <c r="LPE47" s="478"/>
      <c r="LPF47" s="478"/>
      <c r="LPG47" s="478"/>
      <c r="LPH47" s="478"/>
      <c r="LPI47" s="478"/>
      <c r="LPJ47" s="478"/>
      <c r="LPK47" s="478"/>
      <c r="LPL47" s="478"/>
      <c r="LPM47" s="478"/>
      <c r="LPN47" s="478"/>
      <c r="LPO47" s="478"/>
      <c r="LPP47" s="478"/>
      <c r="LPQ47" s="478"/>
      <c r="LPR47" s="478"/>
      <c r="LPS47" s="478"/>
      <c r="LPT47" s="478"/>
      <c r="LPU47" s="478"/>
      <c r="LPV47" s="478"/>
      <c r="LPW47" s="478"/>
      <c r="LPX47" s="478"/>
      <c r="LPY47" s="478"/>
      <c r="LPZ47" s="478"/>
      <c r="LQA47" s="478"/>
      <c r="LQB47" s="478"/>
      <c r="LQC47" s="478"/>
      <c r="LQD47" s="478"/>
      <c r="LQE47" s="478"/>
      <c r="LQF47" s="478"/>
      <c r="LQG47" s="478"/>
      <c r="LQH47" s="478"/>
      <c r="LQI47" s="478"/>
      <c r="LQJ47" s="478"/>
      <c r="LQK47" s="478"/>
      <c r="LQL47" s="478"/>
      <c r="LQM47" s="478"/>
      <c r="LQN47" s="478"/>
      <c r="LQO47" s="478"/>
      <c r="LQP47" s="478"/>
      <c r="LQQ47" s="478"/>
      <c r="LQR47" s="478"/>
      <c r="LQS47" s="478"/>
      <c r="LQT47" s="478"/>
      <c r="LQU47" s="478"/>
      <c r="LQV47" s="478"/>
      <c r="LQW47" s="478"/>
      <c r="LQX47" s="478"/>
      <c r="LQY47" s="478"/>
      <c r="LQZ47" s="478"/>
      <c r="LRA47" s="478"/>
      <c r="LRB47" s="478"/>
      <c r="LRC47" s="478"/>
      <c r="LRD47" s="478"/>
      <c r="LRE47" s="478"/>
      <c r="LRF47" s="478"/>
      <c r="LRG47" s="478"/>
      <c r="LRH47" s="478"/>
      <c r="LRI47" s="478"/>
      <c r="LRJ47" s="478"/>
      <c r="LRK47" s="478"/>
      <c r="LRL47" s="478"/>
      <c r="LRM47" s="478"/>
      <c r="LRN47" s="478"/>
      <c r="LRO47" s="478"/>
      <c r="LRP47" s="478"/>
      <c r="LRQ47" s="478"/>
      <c r="LRR47" s="478"/>
      <c r="LRS47" s="478"/>
      <c r="LRT47" s="478"/>
      <c r="LRU47" s="478"/>
      <c r="LRV47" s="478"/>
      <c r="LRW47" s="478"/>
      <c r="LRX47" s="478"/>
      <c r="LRY47" s="478"/>
      <c r="LRZ47" s="478"/>
      <c r="LSA47" s="478"/>
      <c r="LSB47" s="478"/>
      <c r="LSC47" s="478"/>
      <c r="LSD47" s="478"/>
      <c r="LSE47" s="478"/>
      <c r="LSF47" s="478"/>
      <c r="LSG47" s="478"/>
      <c r="LSH47" s="478"/>
      <c r="LSI47" s="478"/>
      <c r="LSJ47" s="478"/>
      <c r="LSK47" s="478"/>
      <c r="LSL47" s="478"/>
      <c r="LSM47" s="478"/>
      <c r="LSN47" s="478"/>
      <c r="LSO47" s="478"/>
      <c r="LSP47" s="478"/>
      <c r="LSQ47" s="478"/>
      <c r="LSR47" s="478"/>
      <c r="LSS47" s="478"/>
      <c r="LST47" s="478"/>
      <c r="LSU47" s="478"/>
      <c r="LSV47" s="478"/>
      <c r="LSW47" s="478"/>
      <c r="LSX47" s="478"/>
      <c r="LSY47" s="478"/>
      <c r="LSZ47" s="478"/>
      <c r="LTA47" s="478"/>
      <c r="LTB47" s="478"/>
      <c r="LTC47" s="478"/>
      <c r="LTD47" s="478"/>
      <c r="LTE47" s="478"/>
      <c r="LTF47" s="478"/>
      <c r="LTG47" s="478"/>
      <c r="LTH47" s="478"/>
      <c r="LTI47" s="478"/>
      <c r="LTJ47" s="478"/>
      <c r="LTK47" s="478"/>
      <c r="LTL47" s="478"/>
      <c r="LTM47" s="478"/>
      <c r="LTN47" s="478"/>
      <c r="LTO47" s="478"/>
      <c r="LTP47" s="478"/>
      <c r="LTQ47" s="478"/>
      <c r="LTR47" s="478"/>
      <c r="LTS47" s="478"/>
      <c r="LTT47" s="478"/>
      <c r="LTU47" s="478"/>
      <c r="LTV47" s="478"/>
      <c r="LTW47" s="478"/>
      <c r="LTX47" s="478"/>
      <c r="LTY47" s="478"/>
      <c r="LTZ47" s="478"/>
      <c r="LUA47" s="478"/>
      <c r="LUB47" s="478"/>
      <c r="LUC47" s="478"/>
      <c r="LUD47" s="478"/>
      <c r="LUE47" s="478"/>
      <c r="LUF47" s="478"/>
      <c r="LUG47" s="478"/>
      <c r="LUH47" s="478"/>
      <c r="LUI47" s="478"/>
      <c r="LUJ47" s="478"/>
      <c r="LUK47" s="478"/>
      <c r="LUL47" s="478"/>
      <c r="LUM47" s="478"/>
      <c r="LUN47" s="478"/>
      <c r="LUO47" s="478"/>
      <c r="LUP47" s="478"/>
      <c r="LUQ47" s="478"/>
      <c r="LUR47" s="478"/>
      <c r="LUS47" s="478"/>
      <c r="LUT47" s="478"/>
      <c r="LUU47" s="478"/>
      <c r="LUV47" s="478"/>
      <c r="LUW47" s="478"/>
      <c r="LUX47" s="478"/>
      <c r="LUY47" s="478"/>
      <c r="LUZ47" s="478"/>
      <c r="LVA47" s="478"/>
      <c r="LVB47" s="478"/>
      <c r="LVC47" s="478"/>
      <c r="LVD47" s="478"/>
      <c r="LVE47" s="478"/>
      <c r="LVF47" s="478"/>
      <c r="LVG47" s="478"/>
      <c r="LVH47" s="478"/>
      <c r="LVI47" s="478"/>
      <c r="LVJ47" s="478"/>
      <c r="LVK47" s="478"/>
      <c r="LVL47" s="478"/>
      <c r="LVM47" s="478"/>
      <c r="LVN47" s="478"/>
      <c r="LVO47" s="478"/>
      <c r="LVP47" s="478"/>
      <c r="LVQ47" s="478"/>
      <c r="LVR47" s="478"/>
      <c r="LVS47" s="478"/>
      <c r="LVT47" s="478"/>
      <c r="LVU47" s="478"/>
      <c r="LVV47" s="478"/>
      <c r="LVW47" s="478"/>
      <c r="LVX47" s="478"/>
      <c r="LVY47" s="478"/>
      <c r="LVZ47" s="478"/>
      <c r="LWA47" s="478"/>
      <c r="LWB47" s="478"/>
      <c r="LWC47" s="478"/>
      <c r="LWD47" s="478"/>
      <c r="LWE47" s="478"/>
      <c r="LWF47" s="478"/>
      <c r="LWG47" s="478"/>
      <c r="LWH47" s="478"/>
      <c r="LWI47" s="478"/>
      <c r="LWJ47" s="478"/>
      <c r="LWK47" s="478"/>
      <c r="LWL47" s="478"/>
      <c r="LWM47" s="478"/>
      <c r="LWN47" s="478"/>
      <c r="LWO47" s="478"/>
      <c r="LWP47" s="478"/>
      <c r="LWQ47" s="478"/>
      <c r="LWR47" s="478"/>
      <c r="LWS47" s="478"/>
      <c r="LWT47" s="478"/>
      <c r="LWU47" s="478"/>
      <c r="LWV47" s="478"/>
      <c r="LWW47" s="478"/>
      <c r="LWX47" s="478"/>
      <c r="LWY47" s="478"/>
      <c r="LWZ47" s="478"/>
      <c r="LXA47" s="478"/>
      <c r="LXB47" s="478"/>
      <c r="LXC47" s="478"/>
      <c r="LXD47" s="478"/>
      <c r="LXE47" s="478"/>
      <c r="LXF47" s="478"/>
      <c r="LXG47" s="478"/>
      <c r="LXH47" s="478"/>
      <c r="LXI47" s="478"/>
      <c r="LXJ47" s="478"/>
      <c r="LXK47" s="478"/>
      <c r="LXL47" s="478"/>
      <c r="LXM47" s="478"/>
      <c r="LXN47" s="478"/>
      <c r="LXO47" s="478"/>
      <c r="LXP47" s="478"/>
      <c r="LXQ47" s="478"/>
      <c r="LXR47" s="478"/>
      <c r="LXS47" s="478"/>
      <c r="LXT47" s="478"/>
      <c r="LXU47" s="478"/>
      <c r="LXV47" s="478"/>
      <c r="LXW47" s="478"/>
      <c r="LXX47" s="478"/>
      <c r="LXY47" s="478"/>
      <c r="LXZ47" s="478"/>
      <c r="LYA47" s="478"/>
      <c r="LYB47" s="478"/>
      <c r="LYC47" s="478"/>
      <c r="LYD47" s="478"/>
      <c r="LYE47" s="478"/>
      <c r="LYF47" s="478"/>
      <c r="LYG47" s="478"/>
      <c r="LYH47" s="478"/>
      <c r="LYI47" s="478"/>
      <c r="LYJ47" s="478"/>
      <c r="LYK47" s="478"/>
      <c r="LYL47" s="478"/>
      <c r="LYM47" s="478"/>
      <c r="LYN47" s="478"/>
      <c r="LYO47" s="478"/>
      <c r="LYP47" s="478"/>
      <c r="LYQ47" s="478"/>
      <c r="LYR47" s="478"/>
      <c r="LYS47" s="478"/>
      <c r="LYT47" s="478"/>
      <c r="LYU47" s="478"/>
      <c r="LYV47" s="478"/>
      <c r="LYW47" s="478"/>
      <c r="LYX47" s="478"/>
      <c r="LYY47" s="478"/>
      <c r="LYZ47" s="478"/>
      <c r="LZA47" s="478"/>
      <c r="LZB47" s="478"/>
      <c r="LZC47" s="478"/>
      <c r="LZD47" s="478"/>
      <c r="LZE47" s="478"/>
      <c r="LZF47" s="478"/>
      <c r="LZG47" s="478"/>
      <c r="LZH47" s="478"/>
      <c r="LZI47" s="478"/>
      <c r="LZJ47" s="478"/>
      <c r="LZK47" s="478"/>
      <c r="LZL47" s="478"/>
      <c r="LZM47" s="478"/>
      <c r="LZN47" s="478"/>
      <c r="LZO47" s="478"/>
      <c r="LZP47" s="478"/>
      <c r="LZQ47" s="478"/>
      <c r="LZR47" s="478"/>
      <c r="LZS47" s="478"/>
      <c r="LZT47" s="478"/>
      <c r="LZU47" s="478"/>
      <c r="LZV47" s="478"/>
      <c r="LZW47" s="478"/>
      <c r="LZX47" s="478"/>
      <c r="LZY47" s="478"/>
      <c r="LZZ47" s="478"/>
      <c r="MAA47" s="478"/>
      <c r="MAB47" s="478"/>
      <c r="MAC47" s="478"/>
      <c r="MAD47" s="478"/>
      <c r="MAE47" s="478"/>
      <c r="MAF47" s="478"/>
      <c r="MAG47" s="478"/>
      <c r="MAH47" s="478"/>
      <c r="MAI47" s="478"/>
      <c r="MAJ47" s="478"/>
      <c r="MAK47" s="478"/>
      <c r="MAL47" s="478"/>
      <c r="MAM47" s="478"/>
      <c r="MAN47" s="478"/>
      <c r="MAO47" s="478"/>
      <c r="MAP47" s="478"/>
      <c r="MAQ47" s="478"/>
      <c r="MAR47" s="478"/>
      <c r="MAS47" s="478"/>
      <c r="MAT47" s="478"/>
      <c r="MAU47" s="478"/>
      <c r="MAV47" s="478"/>
      <c r="MAW47" s="478"/>
      <c r="MAX47" s="478"/>
      <c r="MAY47" s="478"/>
      <c r="MAZ47" s="478"/>
      <c r="MBA47" s="478"/>
      <c r="MBB47" s="478"/>
      <c r="MBC47" s="478"/>
      <c r="MBD47" s="478"/>
      <c r="MBE47" s="478"/>
      <c r="MBF47" s="478"/>
      <c r="MBG47" s="478"/>
      <c r="MBH47" s="478"/>
      <c r="MBI47" s="478"/>
      <c r="MBJ47" s="478"/>
      <c r="MBK47" s="478"/>
      <c r="MBL47" s="478"/>
      <c r="MBM47" s="478"/>
      <c r="MBN47" s="478"/>
      <c r="MBO47" s="478"/>
      <c r="MBP47" s="478"/>
      <c r="MBQ47" s="478"/>
      <c r="MBR47" s="478"/>
      <c r="MBS47" s="478"/>
      <c r="MBT47" s="478"/>
      <c r="MBU47" s="478"/>
      <c r="MBV47" s="478"/>
      <c r="MBW47" s="478"/>
      <c r="MBX47" s="478"/>
      <c r="MBY47" s="478"/>
      <c r="MBZ47" s="478"/>
      <c r="MCA47" s="478"/>
      <c r="MCB47" s="478"/>
      <c r="MCC47" s="478"/>
      <c r="MCD47" s="478"/>
      <c r="MCE47" s="478"/>
      <c r="MCF47" s="478"/>
      <c r="MCG47" s="478"/>
      <c r="MCH47" s="478"/>
      <c r="MCI47" s="478"/>
      <c r="MCJ47" s="478"/>
      <c r="MCK47" s="478"/>
      <c r="MCL47" s="478"/>
      <c r="MCM47" s="478"/>
      <c r="MCN47" s="478"/>
      <c r="MCO47" s="478"/>
      <c r="MCP47" s="478"/>
      <c r="MCQ47" s="478"/>
      <c r="MCR47" s="478"/>
      <c r="MCS47" s="478"/>
      <c r="MCT47" s="478"/>
      <c r="MCU47" s="478"/>
      <c r="MCV47" s="478"/>
      <c r="MCW47" s="478"/>
      <c r="MCX47" s="478"/>
      <c r="MCY47" s="478"/>
      <c r="MCZ47" s="478"/>
      <c r="MDA47" s="478"/>
      <c r="MDB47" s="478"/>
      <c r="MDC47" s="478"/>
      <c r="MDD47" s="478"/>
      <c r="MDE47" s="478"/>
      <c r="MDF47" s="478"/>
      <c r="MDG47" s="478"/>
      <c r="MDH47" s="478"/>
      <c r="MDI47" s="478"/>
      <c r="MDJ47" s="478"/>
      <c r="MDK47" s="478"/>
      <c r="MDL47" s="478"/>
      <c r="MDM47" s="478"/>
      <c r="MDN47" s="478"/>
      <c r="MDO47" s="478"/>
      <c r="MDP47" s="478"/>
      <c r="MDQ47" s="478"/>
      <c r="MDR47" s="478"/>
      <c r="MDS47" s="478"/>
      <c r="MDT47" s="478"/>
      <c r="MDU47" s="478"/>
      <c r="MDV47" s="478"/>
      <c r="MDW47" s="478"/>
      <c r="MDX47" s="478"/>
      <c r="MDY47" s="478"/>
      <c r="MDZ47" s="478"/>
      <c r="MEA47" s="478"/>
      <c r="MEB47" s="478"/>
      <c r="MEC47" s="478"/>
      <c r="MED47" s="478"/>
      <c r="MEE47" s="478"/>
      <c r="MEF47" s="478"/>
      <c r="MEG47" s="478"/>
      <c r="MEH47" s="478"/>
      <c r="MEI47" s="478"/>
      <c r="MEJ47" s="478"/>
      <c r="MEK47" s="478"/>
      <c r="MEL47" s="478"/>
      <c r="MEM47" s="478"/>
      <c r="MEN47" s="478"/>
      <c r="MEO47" s="478"/>
      <c r="MEP47" s="478"/>
      <c r="MEQ47" s="478"/>
      <c r="MER47" s="478"/>
      <c r="MES47" s="478"/>
      <c r="MET47" s="478"/>
      <c r="MEU47" s="478"/>
      <c r="MEV47" s="478"/>
      <c r="MEW47" s="478"/>
      <c r="MEX47" s="478"/>
      <c r="MEY47" s="478"/>
      <c r="MEZ47" s="478"/>
      <c r="MFA47" s="478"/>
      <c r="MFB47" s="478"/>
      <c r="MFC47" s="478"/>
      <c r="MFD47" s="478"/>
      <c r="MFE47" s="478"/>
      <c r="MFF47" s="478"/>
      <c r="MFG47" s="478"/>
      <c r="MFH47" s="478"/>
      <c r="MFI47" s="478"/>
      <c r="MFJ47" s="478"/>
      <c r="MFK47" s="478"/>
      <c r="MFL47" s="478"/>
      <c r="MFM47" s="478"/>
      <c r="MFN47" s="478"/>
      <c r="MFO47" s="478"/>
      <c r="MFP47" s="478"/>
      <c r="MFQ47" s="478"/>
      <c r="MFR47" s="478"/>
      <c r="MFS47" s="478"/>
      <c r="MFT47" s="478"/>
      <c r="MFU47" s="478"/>
      <c r="MFV47" s="478"/>
      <c r="MFW47" s="478"/>
      <c r="MFX47" s="478"/>
      <c r="MFY47" s="478"/>
      <c r="MFZ47" s="478"/>
      <c r="MGA47" s="478"/>
      <c r="MGB47" s="478"/>
      <c r="MGC47" s="478"/>
      <c r="MGD47" s="478"/>
      <c r="MGE47" s="478"/>
      <c r="MGF47" s="478"/>
      <c r="MGG47" s="478"/>
      <c r="MGH47" s="478"/>
      <c r="MGI47" s="478"/>
      <c r="MGJ47" s="478"/>
      <c r="MGK47" s="478"/>
      <c r="MGL47" s="478"/>
      <c r="MGM47" s="478"/>
      <c r="MGN47" s="478"/>
      <c r="MGO47" s="478"/>
      <c r="MGP47" s="478"/>
      <c r="MGQ47" s="478"/>
      <c r="MGR47" s="478"/>
      <c r="MGS47" s="478"/>
      <c r="MGT47" s="478"/>
      <c r="MGU47" s="478"/>
      <c r="MGV47" s="478"/>
      <c r="MGW47" s="478"/>
      <c r="MGX47" s="478"/>
      <c r="MGY47" s="478"/>
      <c r="MGZ47" s="478"/>
      <c r="MHA47" s="478"/>
      <c r="MHB47" s="478"/>
      <c r="MHC47" s="478"/>
      <c r="MHD47" s="478"/>
      <c r="MHE47" s="478"/>
      <c r="MHF47" s="478"/>
      <c r="MHG47" s="478"/>
      <c r="MHH47" s="478"/>
      <c r="MHI47" s="478"/>
      <c r="MHJ47" s="478"/>
      <c r="MHK47" s="478"/>
      <c r="MHL47" s="478"/>
      <c r="MHM47" s="478"/>
      <c r="MHN47" s="478"/>
      <c r="MHO47" s="478"/>
      <c r="MHP47" s="478"/>
      <c r="MHQ47" s="478"/>
      <c r="MHR47" s="478"/>
      <c r="MHS47" s="478"/>
      <c r="MHT47" s="478"/>
      <c r="MHU47" s="478"/>
      <c r="MHV47" s="478"/>
      <c r="MHW47" s="478"/>
      <c r="MHX47" s="478"/>
      <c r="MHY47" s="478"/>
      <c r="MHZ47" s="478"/>
      <c r="MIA47" s="478"/>
      <c r="MIB47" s="478"/>
      <c r="MIC47" s="478"/>
      <c r="MID47" s="478"/>
      <c r="MIE47" s="478"/>
      <c r="MIF47" s="478"/>
      <c r="MIG47" s="478"/>
      <c r="MIH47" s="478"/>
      <c r="MII47" s="478"/>
      <c r="MIJ47" s="478"/>
      <c r="MIK47" s="478"/>
      <c r="MIL47" s="478"/>
      <c r="MIM47" s="478"/>
      <c r="MIN47" s="478"/>
      <c r="MIO47" s="478"/>
      <c r="MIP47" s="478"/>
      <c r="MIQ47" s="478"/>
      <c r="MIR47" s="478"/>
      <c r="MIS47" s="478"/>
      <c r="MIT47" s="478"/>
      <c r="MIU47" s="478"/>
      <c r="MIV47" s="478"/>
      <c r="MIW47" s="478"/>
      <c r="MIX47" s="478"/>
      <c r="MIY47" s="478"/>
      <c r="MIZ47" s="478"/>
      <c r="MJA47" s="478"/>
      <c r="MJB47" s="478"/>
      <c r="MJC47" s="478"/>
      <c r="MJD47" s="478"/>
      <c r="MJE47" s="478"/>
      <c r="MJF47" s="478"/>
      <c r="MJG47" s="478"/>
      <c r="MJH47" s="478"/>
      <c r="MJI47" s="478"/>
      <c r="MJJ47" s="478"/>
      <c r="MJK47" s="478"/>
      <c r="MJL47" s="478"/>
      <c r="MJM47" s="478"/>
      <c r="MJN47" s="478"/>
      <c r="MJO47" s="478"/>
      <c r="MJP47" s="478"/>
      <c r="MJQ47" s="478"/>
      <c r="MJR47" s="478"/>
      <c r="MJS47" s="478"/>
      <c r="MJT47" s="478"/>
      <c r="MJU47" s="478"/>
      <c r="MJV47" s="478"/>
      <c r="MJW47" s="478"/>
      <c r="MJX47" s="478"/>
      <c r="MJY47" s="478"/>
      <c r="MJZ47" s="478"/>
      <c r="MKA47" s="478"/>
      <c r="MKB47" s="478"/>
      <c r="MKC47" s="478"/>
      <c r="MKD47" s="478"/>
      <c r="MKE47" s="478"/>
      <c r="MKF47" s="478"/>
      <c r="MKG47" s="478"/>
      <c r="MKH47" s="478"/>
      <c r="MKI47" s="478"/>
      <c r="MKJ47" s="478"/>
      <c r="MKK47" s="478"/>
      <c r="MKL47" s="478"/>
      <c r="MKM47" s="478"/>
      <c r="MKN47" s="478"/>
      <c r="MKO47" s="478"/>
      <c r="MKP47" s="478"/>
      <c r="MKQ47" s="478"/>
      <c r="MKR47" s="478"/>
      <c r="MKS47" s="478"/>
      <c r="MKT47" s="478"/>
      <c r="MKU47" s="478"/>
      <c r="MKV47" s="478"/>
      <c r="MKW47" s="478"/>
      <c r="MKX47" s="478"/>
      <c r="MKY47" s="478"/>
      <c r="MKZ47" s="478"/>
      <c r="MLA47" s="478"/>
      <c r="MLB47" s="478"/>
      <c r="MLC47" s="478"/>
      <c r="MLD47" s="478"/>
      <c r="MLE47" s="478"/>
      <c r="MLF47" s="478"/>
      <c r="MLG47" s="478"/>
      <c r="MLH47" s="478"/>
      <c r="MLI47" s="478"/>
      <c r="MLJ47" s="478"/>
      <c r="MLK47" s="478"/>
      <c r="MLL47" s="478"/>
      <c r="MLM47" s="478"/>
      <c r="MLN47" s="478"/>
      <c r="MLO47" s="478"/>
      <c r="MLP47" s="478"/>
      <c r="MLQ47" s="478"/>
      <c r="MLR47" s="478"/>
      <c r="MLS47" s="478"/>
      <c r="MLT47" s="478"/>
      <c r="MLU47" s="478"/>
      <c r="MLV47" s="478"/>
      <c r="MLW47" s="478"/>
      <c r="MLX47" s="478"/>
      <c r="MLY47" s="478"/>
      <c r="MLZ47" s="478"/>
      <c r="MMA47" s="478"/>
      <c r="MMB47" s="478"/>
      <c r="MMC47" s="478"/>
      <c r="MMD47" s="478"/>
      <c r="MME47" s="478"/>
      <c r="MMF47" s="478"/>
      <c r="MMG47" s="478"/>
      <c r="MMH47" s="478"/>
      <c r="MMI47" s="478"/>
      <c r="MMJ47" s="478"/>
      <c r="MMK47" s="478"/>
      <c r="MML47" s="478"/>
      <c r="MMM47" s="478"/>
      <c r="MMN47" s="478"/>
      <c r="MMO47" s="478"/>
      <c r="MMP47" s="478"/>
      <c r="MMQ47" s="478"/>
      <c r="MMR47" s="478"/>
      <c r="MMS47" s="478"/>
      <c r="MMT47" s="478"/>
      <c r="MMU47" s="478"/>
      <c r="MMV47" s="478"/>
      <c r="MMW47" s="478"/>
      <c r="MMX47" s="478"/>
      <c r="MMY47" s="478"/>
      <c r="MMZ47" s="478"/>
      <c r="MNA47" s="478"/>
      <c r="MNB47" s="478"/>
      <c r="MNC47" s="478"/>
      <c r="MND47" s="478"/>
      <c r="MNE47" s="478"/>
      <c r="MNF47" s="478"/>
      <c r="MNG47" s="478"/>
      <c r="MNH47" s="478"/>
      <c r="MNI47" s="478"/>
      <c r="MNJ47" s="478"/>
      <c r="MNK47" s="478"/>
      <c r="MNL47" s="478"/>
      <c r="MNM47" s="478"/>
      <c r="MNN47" s="478"/>
      <c r="MNO47" s="478"/>
      <c r="MNP47" s="478"/>
      <c r="MNQ47" s="478"/>
      <c r="MNR47" s="478"/>
      <c r="MNS47" s="478"/>
      <c r="MNT47" s="478"/>
      <c r="MNU47" s="478"/>
      <c r="MNV47" s="478"/>
      <c r="MNW47" s="478"/>
      <c r="MNX47" s="478"/>
      <c r="MNY47" s="478"/>
      <c r="MNZ47" s="478"/>
      <c r="MOA47" s="478"/>
      <c r="MOB47" s="478"/>
      <c r="MOC47" s="478"/>
      <c r="MOD47" s="478"/>
      <c r="MOE47" s="478"/>
      <c r="MOF47" s="478"/>
      <c r="MOG47" s="478"/>
      <c r="MOH47" s="478"/>
      <c r="MOI47" s="478"/>
      <c r="MOJ47" s="478"/>
      <c r="MOK47" s="478"/>
      <c r="MOL47" s="478"/>
      <c r="MOM47" s="478"/>
      <c r="MON47" s="478"/>
      <c r="MOO47" s="478"/>
      <c r="MOP47" s="478"/>
      <c r="MOQ47" s="478"/>
      <c r="MOR47" s="478"/>
      <c r="MOS47" s="478"/>
      <c r="MOT47" s="478"/>
      <c r="MOU47" s="478"/>
      <c r="MOV47" s="478"/>
      <c r="MOW47" s="478"/>
      <c r="MOX47" s="478"/>
      <c r="MOY47" s="478"/>
      <c r="MOZ47" s="478"/>
      <c r="MPA47" s="478"/>
      <c r="MPB47" s="478"/>
      <c r="MPC47" s="478"/>
      <c r="MPD47" s="478"/>
      <c r="MPE47" s="478"/>
      <c r="MPF47" s="478"/>
      <c r="MPG47" s="478"/>
      <c r="MPH47" s="478"/>
      <c r="MPI47" s="478"/>
      <c r="MPJ47" s="478"/>
      <c r="MPK47" s="478"/>
      <c r="MPL47" s="478"/>
      <c r="MPM47" s="478"/>
      <c r="MPN47" s="478"/>
      <c r="MPO47" s="478"/>
      <c r="MPP47" s="478"/>
      <c r="MPQ47" s="478"/>
      <c r="MPR47" s="478"/>
      <c r="MPS47" s="478"/>
      <c r="MPT47" s="478"/>
      <c r="MPU47" s="478"/>
      <c r="MPV47" s="478"/>
      <c r="MPW47" s="478"/>
      <c r="MPX47" s="478"/>
      <c r="MPY47" s="478"/>
      <c r="MPZ47" s="478"/>
      <c r="MQA47" s="478"/>
      <c r="MQB47" s="478"/>
      <c r="MQC47" s="478"/>
      <c r="MQD47" s="478"/>
      <c r="MQE47" s="478"/>
      <c r="MQF47" s="478"/>
      <c r="MQG47" s="478"/>
      <c r="MQH47" s="478"/>
      <c r="MQI47" s="478"/>
      <c r="MQJ47" s="478"/>
      <c r="MQK47" s="478"/>
      <c r="MQL47" s="478"/>
      <c r="MQM47" s="478"/>
      <c r="MQN47" s="478"/>
      <c r="MQO47" s="478"/>
      <c r="MQP47" s="478"/>
      <c r="MQQ47" s="478"/>
      <c r="MQR47" s="478"/>
      <c r="MQS47" s="478"/>
      <c r="MQT47" s="478"/>
      <c r="MQU47" s="478"/>
      <c r="MQV47" s="478"/>
      <c r="MQW47" s="478"/>
      <c r="MQX47" s="478"/>
      <c r="MQY47" s="478"/>
      <c r="MQZ47" s="478"/>
      <c r="MRA47" s="478"/>
      <c r="MRB47" s="478"/>
      <c r="MRC47" s="478"/>
      <c r="MRD47" s="478"/>
      <c r="MRE47" s="478"/>
      <c r="MRF47" s="478"/>
      <c r="MRG47" s="478"/>
      <c r="MRH47" s="478"/>
      <c r="MRI47" s="478"/>
      <c r="MRJ47" s="478"/>
      <c r="MRK47" s="478"/>
      <c r="MRL47" s="478"/>
      <c r="MRM47" s="478"/>
      <c r="MRN47" s="478"/>
      <c r="MRO47" s="478"/>
      <c r="MRP47" s="478"/>
      <c r="MRQ47" s="478"/>
      <c r="MRR47" s="478"/>
      <c r="MRS47" s="478"/>
      <c r="MRT47" s="478"/>
      <c r="MRU47" s="478"/>
      <c r="MRV47" s="478"/>
      <c r="MRW47" s="478"/>
      <c r="MRX47" s="478"/>
      <c r="MRY47" s="478"/>
      <c r="MRZ47" s="478"/>
      <c r="MSA47" s="478"/>
      <c r="MSB47" s="478"/>
      <c r="MSC47" s="478"/>
      <c r="MSD47" s="478"/>
      <c r="MSE47" s="478"/>
      <c r="MSF47" s="478"/>
      <c r="MSG47" s="478"/>
      <c r="MSH47" s="478"/>
      <c r="MSI47" s="478"/>
      <c r="MSJ47" s="478"/>
      <c r="MSK47" s="478"/>
      <c r="MSL47" s="478"/>
      <c r="MSM47" s="478"/>
      <c r="MSN47" s="478"/>
      <c r="MSO47" s="478"/>
      <c r="MSP47" s="478"/>
      <c r="MSQ47" s="478"/>
      <c r="MSR47" s="478"/>
      <c r="MSS47" s="478"/>
      <c r="MST47" s="478"/>
      <c r="MSU47" s="478"/>
      <c r="MSV47" s="478"/>
      <c r="MSW47" s="478"/>
      <c r="MSX47" s="478"/>
      <c r="MSY47" s="478"/>
      <c r="MSZ47" s="478"/>
      <c r="MTA47" s="478"/>
      <c r="MTB47" s="478"/>
      <c r="MTC47" s="478"/>
      <c r="MTD47" s="478"/>
      <c r="MTE47" s="478"/>
      <c r="MTF47" s="478"/>
      <c r="MTG47" s="478"/>
      <c r="MTH47" s="478"/>
      <c r="MTI47" s="478"/>
      <c r="MTJ47" s="478"/>
      <c r="MTK47" s="478"/>
      <c r="MTL47" s="478"/>
      <c r="MTM47" s="478"/>
      <c r="MTN47" s="478"/>
      <c r="MTO47" s="478"/>
      <c r="MTP47" s="478"/>
      <c r="MTQ47" s="478"/>
      <c r="MTR47" s="478"/>
      <c r="MTS47" s="478"/>
      <c r="MTT47" s="478"/>
      <c r="MTU47" s="478"/>
      <c r="MTV47" s="478"/>
      <c r="MTW47" s="478"/>
      <c r="MTX47" s="478"/>
      <c r="MTY47" s="478"/>
      <c r="MTZ47" s="478"/>
      <c r="MUA47" s="478"/>
      <c r="MUB47" s="478"/>
      <c r="MUC47" s="478"/>
      <c r="MUD47" s="478"/>
      <c r="MUE47" s="478"/>
      <c r="MUF47" s="478"/>
      <c r="MUG47" s="478"/>
      <c r="MUH47" s="478"/>
      <c r="MUI47" s="478"/>
      <c r="MUJ47" s="478"/>
      <c r="MUK47" s="478"/>
      <c r="MUL47" s="478"/>
      <c r="MUM47" s="478"/>
      <c r="MUN47" s="478"/>
      <c r="MUO47" s="478"/>
      <c r="MUP47" s="478"/>
      <c r="MUQ47" s="478"/>
      <c r="MUR47" s="478"/>
      <c r="MUS47" s="478"/>
      <c r="MUT47" s="478"/>
      <c r="MUU47" s="478"/>
      <c r="MUV47" s="478"/>
      <c r="MUW47" s="478"/>
      <c r="MUX47" s="478"/>
      <c r="MUY47" s="478"/>
      <c r="MUZ47" s="478"/>
      <c r="MVA47" s="478"/>
      <c r="MVB47" s="478"/>
      <c r="MVC47" s="478"/>
      <c r="MVD47" s="478"/>
      <c r="MVE47" s="478"/>
      <c r="MVF47" s="478"/>
      <c r="MVG47" s="478"/>
      <c r="MVH47" s="478"/>
      <c r="MVI47" s="478"/>
      <c r="MVJ47" s="478"/>
      <c r="MVK47" s="478"/>
      <c r="MVL47" s="478"/>
      <c r="MVM47" s="478"/>
      <c r="MVN47" s="478"/>
      <c r="MVO47" s="478"/>
      <c r="MVP47" s="478"/>
      <c r="MVQ47" s="478"/>
      <c r="MVR47" s="478"/>
      <c r="MVS47" s="478"/>
      <c r="MVT47" s="478"/>
      <c r="MVU47" s="478"/>
      <c r="MVV47" s="478"/>
      <c r="MVW47" s="478"/>
      <c r="MVX47" s="478"/>
      <c r="MVY47" s="478"/>
      <c r="MVZ47" s="478"/>
      <c r="MWA47" s="478"/>
      <c r="MWB47" s="478"/>
      <c r="MWC47" s="478"/>
      <c r="MWD47" s="478"/>
      <c r="MWE47" s="478"/>
      <c r="MWF47" s="478"/>
      <c r="MWG47" s="478"/>
      <c r="MWH47" s="478"/>
      <c r="MWI47" s="478"/>
      <c r="MWJ47" s="478"/>
      <c r="MWK47" s="478"/>
      <c r="MWL47" s="478"/>
      <c r="MWM47" s="478"/>
      <c r="MWN47" s="478"/>
      <c r="MWO47" s="478"/>
      <c r="MWP47" s="478"/>
      <c r="MWQ47" s="478"/>
      <c r="MWR47" s="478"/>
      <c r="MWS47" s="478"/>
      <c r="MWT47" s="478"/>
      <c r="MWU47" s="478"/>
      <c r="MWV47" s="478"/>
      <c r="MWW47" s="478"/>
      <c r="MWX47" s="478"/>
      <c r="MWY47" s="478"/>
      <c r="MWZ47" s="478"/>
      <c r="MXA47" s="478"/>
      <c r="MXB47" s="478"/>
      <c r="MXC47" s="478"/>
      <c r="MXD47" s="478"/>
      <c r="MXE47" s="478"/>
      <c r="MXF47" s="478"/>
      <c r="MXG47" s="478"/>
      <c r="MXH47" s="478"/>
      <c r="MXI47" s="478"/>
      <c r="MXJ47" s="478"/>
      <c r="MXK47" s="478"/>
      <c r="MXL47" s="478"/>
      <c r="MXM47" s="478"/>
      <c r="MXN47" s="478"/>
      <c r="MXO47" s="478"/>
      <c r="MXP47" s="478"/>
      <c r="MXQ47" s="478"/>
      <c r="MXR47" s="478"/>
      <c r="MXS47" s="478"/>
      <c r="MXT47" s="478"/>
      <c r="MXU47" s="478"/>
      <c r="MXV47" s="478"/>
      <c r="MXW47" s="478"/>
      <c r="MXX47" s="478"/>
      <c r="MXY47" s="478"/>
      <c r="MXZ47" s="478"/>
      <c r="MYA47" s="478"/>
      <c r="MYB47" s="478"/>
      <c r="MYC47" s="478"/>
      <c r="MYD47" s="478"/>
      <c r="MYE47" s="478"/>
      <c r="MYF47" s="478"/>
      <c r="MYG47" s="478"/>
      <c r="MYH47" s="478"/>
      <c r="MYI47" s="478"/>
      <c r="MYJ47" s="478"/>
      <c r="MYK47" s="478"/>
      <c r="MYL47" s="478"/>
      <c r="MYM47" s="478"/>
      <c r="MYN47" s="478"/>
      <c r="MYO47" s="478"/>
      <c r="MYP47" s="478"/>
      <c r="MYQ47" s="478"/>
      <c r="MYR47" s="478"/>
      <c r="MYS47" s="478"/>
      <c r="MYT47" s="478"/>
      <c r="MYU47" s="478"/>
      <c r="MYV47" s="478"/>
      <c r="MYW47" s="478"/>
      <c r="MYX47" s="478"/>
      <c r="MYY47" s="478"/>
      <c r="MYZ47" s="478"/>
      <c r="MZA47" s="478"/>
      <c r="MZB47" s="478"/>
      <c r="MZC47" s="478"/>
      <c r="MZD47" s="478"/>
      <c r="MZE47" s="478"/>
      <c r="MZF47" s="478"/>
      <c r="MZG47" s="478"/>
      <c r="MZH47" s="478"/>
      <c r="MZI47" s="478"/>
      <c r="MZJ47" s="478"/>
      <c r="MZK47" s="478"/>
      <c r="MZL47" s="478"/>
      <c r="MZM47" s="478"/>
      <c r="MZN47" s="478"/>
      <c r="MZO47" s="478"/>
      <c r="MZP47" s="478"/>
      <c r="MZQ47" s="478"/>
      <c r="MZR47" s="478"/>
      <c r="MZS47" s="478"/>
      <c r="MZT47" s="478"/>
      <c r="MZU47" s="478"/>
      <c r="MZV47" s="478"/>
      <c r="MZW47" s="478"/>
      <c r="MZX47" s="478"/>
      <c r="MZY47" s="478"/>
      <c r="MZZ47" s="478"/>
      <c r="NAA47" s="478"/>
      <c r="NAB47" s="478"/>
      <c r="NAC47" s="478"/>
      <c r="NAD47" s="478"/>
      <c r="NAE47" s="478"/>
      <c r="NAF47" s="478"/>
      <c r="NAG47" s="478"/>
      <c r="NAH47" s="478"/>
      <c r="NAI47" s="478"/>
      <c r="NAJ47" s="478"/>
      <c r="NAK47" s="478"/>
      <c r="NAL47" s="478"/>
      <c r="NAM47" s="478"/>
      <c r="NAN47" s="478"/>
      <c r="NAO47" s="478"/>
      <c r="NAP47" s="478"/>
      <c r="NAQ47" s="478"/>
      <c r="NAR47" s="478"/>
      <c r="NAS47" s="478"/>
      <c r="NAT47" s="478"/>
      <c r="NAU47" s="478"/>
      <c r="NAV47" s="478"/>
      <c r="NAW47" s="478"/>
      <c r="NAX47" s="478"/>
      <c r="NAY47" s="478"/>
      <c r="NAZ47" s="478"/>
      <c r="NBA47" s="478"/>
      <c r="NBB47" s="478"/>
      <c r="NBC47" s="478"/>
      <c r="NBD47" s="478"/>
      <c r="NBE47" s="478"/>
      <c r="NBF47" s="478"/>
      <c r="NBG47" s="478"/>
      <c r="NBH47" s="478"/>
      <c r="NBI47" s="478"/>
      <c r="NBJ47" s="478"/>
      <c r="NBK47" s="478"/>
      <c r="NBL47" s="478"/>
      <c r="NBM47" s="478"/>
      <c r="NBN47" s="478"/>
      <c r="NBO47" s="478"/>
      <c r="NBP47" s="478"/>
      <c r="NBQ47" s="478"/>
      <c r="NBR47" s="478"/>
      <c r="NBS47" s="478"/>
      <c r="NBT47" s="478"/>
      <c r="NBU47" s="478"/>
      <c r="NBV47" s="478"/>
      <c r="NBW47" s="478"/>
      <c r="NBX47" s="478"/>
      <c r="NBY47" s="478"/>
      <c r="NBZ47" s="478"/>
      <c r="NCA47" s="478"/>
      <c r="NCB47" s="478"/>
      <c r="NCC47" s="478"/>
      <c r="NCD47" s="478"/>
      <c r="NCE47" s="478"/>
      <c r="NCF47" s="478"/>
      <c r="NCG47" s="478"/>
      <c r="NCH47" s="478"/>
      <c r="NCI47" s="478"/>
      <c r="NCJ47" s="478"/>
      <c r="NCK47" s="478"/>
      <c r="NCL47" s="478"/>
      <c r="NCM47" s="478"/>
      <c r="NCN47" s="478"/>
      <c r="NCO47" s="478"/>
      <c r="NCP47" s="478"/>
      <c r="NCQ47" s="478"/>
      <c r="NCR47" s="478"/>
      <c r="NCS47" s="478"/>
      <c r="NCT47" s="478"/>
      <c r="NCU47" s="478"/>
      <c r="NCV47" s="478"/>
      <c r="NCW47" s="478"/>
      <c r="NCX47" s="478"/>
      <c r="NCY47" s="478"/>
      <c r="NCZ47" s="478"/>
      <c r="NDA47" s="478"/>
      <c r="NDB47" s="478"/>
      <c r="NDC47" s="478"/>
      <c r="NDD47" s="478"/>
      <c r="NDE47" s="478"/>
      <c r="NDF47" s="478"/>
      <c r="NDG47" s="478"/>
      <c r="NDH47" s="478"/>
      <c r="NDI47" s="478"/>
      <c r="NDJ47" s="478"/>
      <c r="NDK47" s="478"/>
      <c r="NDL47" s="478"/>
      <c r="NDM47" s="478"/>
      <c r="NDN47" s="478"/>
      <c r="NDO47" s="478"/>
      <c r="NDP47" s="478"/>
      <c r="NDQ47" s="478"/>
      <c r="NDR47" s="478"/>
      <c r="NDS47" s="478"/>
      <c r="NDT47" s="478"/>
      <c r="NDU47" s="478"/>
      <c r="NDV47" s="478"/>
      <c r="NDW47" s="478"/>
      <c r="NDX47" s="478"/>
      <c r="NDY47" s="478"/>
      <c r="NDZ47" s="478"/>
      <c r="NEA47" s="478"/>
      <c r="NEB47" s="478"/>
      <c r="NEC47" s="478"/>
      <c r="NED47" s="478"/>
      <c r="NEE47" s="478"/>
      <c r="NEF47" s="478"/>
      <c r="NEG47" s="478"/>
      <c r="NEH47" s="478"/>
      <c r="NEI47" s="478"/>
      <c r="NEJ47" s="478"/>
      <c r="NEK47" s="478"/>
      <c r="NEL47" s="478"/>
      <c r="NEM47" s="478"/>
      <c r="NEN47" s="478"/>
      <c r="NEO47" s="478"/>
      <c r="NEP47" s="478"/>
      <c r="NEQ47" s="478"/>
      <c r="NER47" s="478"/>
      <c r="NES47" s="478"/>
      <c r="NET47" s="478"/>
      <c r="NEU47" s="478"/>
      <c r="NEV47" s="478"/>
      <c r="NEW47" s="478"/>
      <c r="NEX47" s="478"/>
      <c r="NEY47" s="478"/>
      <c r="NEZ47" s="478"/>
      <c r="NFA47" s="478"/>
      <c r="NFB47" s="478"/>
      <c r="NFC47" s="478"/>
      <c r="NFD47" s="478"/>
      <c r="NFE47" s="478"/>
      <c r="NFF47" s="478"/>
      <c r="NFG47" s="478"/>
      <c r="NFH47" s="478"/>
      <c r="NFI47" s="478"/>
      <c r="NFJ47" s="478"/>
      <c r="NFK47" s="478"/>
      <c r="NFL47" s="478"/>
      <c r="NFM47" s="478"/>
      <c r="NFN47" s="478"/>
      <c r="NFO47" s="478"/>
      <c r="NFP47" s="478"/>
      <c r="NFQ47" s="478"/>
      <c r="NFR47" s="478"/>
      <c r="NFS47" s="478"/>
      <c r="NFT47" s="478"/>
      <c r="NFU47" s="478"/>
      <c r="NFV47" s="478"/>
      <c r="NFW47" s="478"/>
      <c r="NFX47" s="478"/>
      <c r="NFY47" s="478"/>
      <c r="NFZ47" s="478"/>
      <c r="NGA47" s="478"/>
      <c r="NGB47" s="478"/>
      <c r="NGC47" s="478"/>
      <c r="NGD47" s="478"/>
      <c r="NGE47" s="478"/>
      <c r="NGF47" s="478"/>
      <c r="NGG47" s="478"/>
      <c r="NGH47" s="478"/>
      <c r="NGI47" s="478"/>
      <c r="NGJ47" s="478"/>
      <c r="NGK47" s="478"/>
      <c r="NGL47" s="478"/>
      <c r="NGM47" s="478"/>
      <c r="NGN47" s="478"/>
      <c r="NGO47" s="478"/>
      <c r="NGP47" s="478"/>
      <c r="NGQ47" s="478"/>
      <c r="NGR47" s="478"/>
      <c r="NGS47" s="478"/>
      <c r="NGT47" s="478"/>
      <c r="NGU47" s="478"/>
      <c r="NGV47" s="478"/>
      <c r="NGW47" s="478"/>
      <c r="NGX47" s="478"/>
      <c r="NGY47" s="478"/>
      <c r="NGZ47" s="478"/>
      <c r="NHA47" s="478"/>
      <c r="NHB47" s="478"/>
      <c r="NHC47" s="478"/>
      <c r="NHD47" s="478"/>
      <c r="NHE47" s="478"/>
      <c r="NHF47" s="478"/>
      <c r="NHG47" s="478"/>
      <c r="NHH47" s="478"/>
      <c r="NHI47" s="478"/>
      <c r="NHJ47" s="478"/>
      <c r="NHK47" s="478"/>
      <c r="NHL47" s="478"/>
      <c r="NHM47" s="478"/>
      <c r="NHN47" s="478"/>
      <c r="NHO47" s="478"/>
      <c r="NHP47" s="478"/>
      <c r="NHQ47" s="478"/>
      <c r="NHR47" s="478"/>
      <c r="NHS47" s="478"/>
      <c r="NHT47" s="478"/>
      <c r="NHU47" s="478"/>
      <c r="NHV47" s="478"/>
      <c r="NHW47" s="478"/>
      <c r="NHX47" s="478"/>
      <c r="NHY47" s="478"/>
      <c r="NHZ47" s="478"/>
      <c r="NIA47" s="478"/>
      <c r="NIB47" s="478"/>
      <c r="NIC47" s="478"/>
      <c r="NID47" s="478"/>
      <c r="NIE47" s="478"/>
      <c r="NIF47" s="478"/>
      <c r="NIG47" s="478"/>
      <c r="NIH47" s="478"/>
      <c r="NII47" s="478"/>
      <c r="NIJ47" s="478"/>
      <c r="NIK47" s="478"/>
      <c r="NIL47" s="478"/>
      <c r="NIM47" s="478"/>
      <c r="NIN47" s="478"/>
      <c r="NIO47" s="478"/>
      <c r="NIP47" s="478"/>
      <c r="NIQ47" s="478"/>
      <c r="NIR47" s="478"/>
      <c r="NIS47" s="478"/>
      <c r="NIT47" s="478"/>
      <c r="NIU47" s="478"/>
      <c r="NIV47" s="478"/>
      <c r="NIW47" s="478"/>
      <c r="NIX47" s="478"/>
      <c r="NIY47" s="478"/>
      <c r="NIZ47" s="478"/>
      <c r="NJA47" s="478"/>
      <c r="NJB47" s="478"/>
      <c r="NJC47" s="478"/>
      <c r="NJD47" s="478"/>
      <c r="NJE47" s="478"/>
      <c r="NJF47" s="478"/>
      <c r="NJG47" s="478"/>
      <c r="NJH47" s="478"/>
      <c r="NJI47" s="478"/>
      <c r="NJJ47" s="478"/>
      <c r="NJK47" s="478"/>
      <c r="NJL47" s="478"/>
      <c r="NJM47" s="478"/>
      <c r="NJN47" s="478"/>
      <c r="NJO47" s="478"/>
      <c r="NJP47" s="478"/>
      <c r="NJQ47" s="478"/>
      <c r="NJR47" s="478"/>
      <c r="NJS47" s="478"/>
      <c r="NJT47" s="478"/>
      <c r="NJU47" s="478"/>
      <c r="NJV47" s="478"/>
      <c r="NJW47" s="478"/>
      <c r="NJX47" s="478"/>
      <c r="NJY47" s="478"/>
      <c r="NJZ47" s="478"/>
      <c r="NKA47" s="478"/>
      <c r="NKB47" s="478"/>
      <c r="NKC47" s="478"/>
      <c r="NKD47" s="478"/>
      <c r="NKE47" s="478"/>
      <c r="NKF47" s="478"/>
      <c r="NKG47" s="478"/>
      <c r="NKH47" s="478"/>
      <c r="NKI47" s="478"/>
      <c r="NKJ47" s="478"/>
      <c r="NKK47" s="478"/>
      <c r="NKL47" s="478"/>
      <c r="NKM47" s="478"/>
      <c r="NKN47" s="478"/>
      <c r="NKO47" s="478"/>
      <c r="NKP47" s="478"/>
      <c r="NKQ47" s="478"/>
      <c r="NKR47" s="478"/>
      <c r="NKS47" s="478"/>
      <c r="NKT47" s="478"/>
      <c r="NKU47" s="478"/>
      <c r="NKV47" s="478"/>
      <c r="NKW47" s="478"/>
      <c r="NKX47" s="478"/>
      <c r="NKY47" s="478"/>
      <c r="NKZ47" s="478"/>
      <c r="NLA47" s="478"/>
      <c r="NLB47" s="478"/>
      <c r="NLC47" s="478"/>
      <c r="NLD47" s="478"/>
      <c r="NLE47" s="478"/>
      <c r="NLF47" s="478"/>
      <c r="NLG47" s="478"/>
      <c r="NLH47" s="478"/>
      <c r="NLI47" s="478"/>
      <c r="NLJ47" s="478"/>
      <c r="NLK47" s="478"/>
      <c r="NLL47" s="478"/>
      <c r="NLM47" s="478"/>
      <c r="NLN47" s="478"/>
      <c r="NLO47" s="478"/>
      <c r="NLP47" s="478"/>
      <c r="NLQ47" s="478"/>
      <c r="NLR47" s="478"/>
      <c r="NLS47" s="478"/>
      <c r="NLT47" s="478"/>
      <c r="NLU47" s="478"/>
      <c r="NLV47" s="478"/>
      <c r="NLW47" s="478"/>
      <c r="NLX47" s="478"/>
      <c r="NLY47" s="478"/>
      <c r="NLZ47" s="478"/>
      <c r="NMA47" s="478"/>
      <c r="NMB47" s="478"/>
      <c r="NMC47" s="478"/>
      <c r="NMD47" s="478"/>
      <c r="NME47" s="478"/>
      <c r="NMF47" s="478"/>
      <c r="NMG47" s="478"/>
      <c r="NMH47" s="478"/>
      <c r="NMI47" s="478"/>
      <c r="NMJ47" s="478"/>
      <c r="NMK47" s="478"/>
      <c r="NML47" s="478"/>
      <c r="NMM47" s="478"/>
      <c r="NMN47" s="478"/>
      <c r="NMO47" s="478"/>
      <c r="NMP47" s="478"/>
      <c r="NMQ47" s="478"/>
      <c r="NMR47" s="478"/>
      <c r="NMS47" s="478"/>
      <c r="NMT47" s="478"/>
      <c r="NMU47" s="478"/>
      <c r="NMV47" s="478"/>
      <c r="NMW47" s="478"/>
      <c r="NMX47" s="478"/>
      <c r="NMY47" s="478"/>
      <c r="NMZ47" s="478"/>
      <c r="NNA47" s="478"/>
      <c r="NNB47" s="478"/>
      <c r="NNC47" s="478"/>
      <c r="NND47" s="478"/>
      <c r="NNE47" s="478"/>
      <c r="NNF47" s="478"/>
      <c r="NNG47" s="478"/>
      <c r="NNH47" s="478"/>
      <c r="NNI47" s="478"/>
      <c r="NNJ47" s="478"/>
      <c r="NNK47" s="478"/>
      <c r="NNL47" s="478"/>
      <c r="NNM47" s="478"/>
      <c r="NNN47" s="478"/>
      <c r="NNO47" s="478"/>
      <c r="NNP47" s="478"/>
      <c r="NNQ47" s="478"/>
      <c r="NNR47" s="478"/>
      <c r="NNS47" s="478"/>
      <c r="NNT47" s="478"/>
      <c r="NNU47" s="478"/>
      <c r="NNV47" s="478"/>
      <c r="NNW47" s="478"/>
      <c r="NNX47" s="478"/>
      <c r="NNY47" s="478"/>
      <c r="NNZ47" s="478"/>
      <c r="NOA47" s="478"/>
      <c r="NOB47" s="478"/>
      <c r="NOC47" s="478"/>
      <c r="NOD47" s="478"/>
      <c r="NOE47" s="478"/>
      <c r="NOF47" s="478"/>
      <c r="NOG47" s="478"/>
      <c r="NOH47" s="478"/>
      <c r="NOI47" s="478"/>
      <c r="NOJ47" s="478"/>
      <c r="NOK47" s="478"/>
      <c r="NOL47" s="478"/>
      <c r="NOM47" s="478"/>
      <c r="NON47" s="478"/>
      <c r="NOO47" s="478"/>
      <c r="NOP47" s="478"/>
      <c r="NOQ47" s="478"/>
      <c r="NOR47" s="478"/>
      <c r="NOS47" s="478"/>
      <c r="NOT47" s="478"/>
      <c r="NOU47" s="478"/>
      <c r="NOV47" s="478"/>
      <c r="NOW47" s="478"/>
      <c r="NOX47" s="478"/>
      <c r="NOY47" s="478"/>
      <c r="NOZ47" s="478"/>
      <c r="NPA47" s="478"/>
      <c r="NPB47" s="478"/>
      <c r="NPC47" s="478"/>
      <c r="NPD47" s="478"/>
      <c r="NPE47" s="478"/>
      <c r="NPF47" s="478"/>
      <c r="NPG47" s="478"/>
      <c r="NPH47" s="478"/>
      <c r="NPI47" s="478"/>
      <c r="NPJ47" s="478"/>
      <c r="NPK47" s="478"/>
      <c r="NPL47" s="478"/>
      <c r="NPM47" s="478"/>
      <c r="NPN47" s="478"/>
      <c r="NPO47" s="478"/>
      <c r="NPP47" s="478"/>
      <c r="NPQ47" s="478"/>
      <c r="NPR47" s="478"/>
      <c r="NPS47" s="478"/>
      <c r="NPT47" s="478"/>
      <c r="NPU47" s="478"/>
      <c r="NPV47" s="478"/>
      <c r="NPW47" s="478"/>
      <c r="NPX47" s="478"/>
      <c r="NPY47" s="478"/>
      <c r="NPZ47" s="478"/>
      <c r="NQA47" s="478"/>
      <c r="NQB47" s="478"/>
      <c r="NQC47" s="478"/>
      <c r="NQD47" s="478"/>
      <c r="NQE47" s="478"/>
      <c r="NQF47" s="478"/>
      <c r="NQG47" s="478"/>
      <c r="NQH47" s="478"/>
      <c r="NQI47" s="478"/>
      <c r="NQJ47" s="478"/>
      <c r="NQK47" s="478"/>
      <c r="NQL47" s="478"/>
      <c r="NQM47" s="478"/>
      <c r="NQN47" s="478"/>
      <c r="NQO47" s="478"/>
      <c r="NQP47" s="478"/>
      <c r="NQQ47" s="478"/>
      <c r="NQR47" s="478"/>
      <c r="NQS47" s="478"/>
      <c r="NQT47" s="478"/>
      <c r="NQU47" s="478"/>
      <c r="NQV47" s="478"/>
      <c r="NQW47" s="478"/>
      <c r="NQX47" s="478"/>
      <c r="NQY47" s="478"/>
      <c r="NQZ47" s="478"/>
      <c r="NRA47" s="478"/>
      <c r="NRB47" s="478"/>
      <c r="NRC47" s="478"/>
      <c r="NRD47" s="478"/>
      <c r="NRE47" s="478"/>
      <c r="NRF47" s="478"/>
      <c r="NRG47" s="478"/>
      <c r="NRH47" s="478"/>
      <c r="NRI47" s="478"/>
      <c r="NRJ47" s="478"/>
      <c r="NRK47" s="478"/>
      <c r="NRL47" s="478"/>
      <c r="NRM47" s="478"/>
      <c r="NRN47" s="478"/>
      <c r="NRO47" s="478"/>
      <c r="NRP47" s="478"/>
      <c r="NRQ47" s="478"/>
      <c r="NRR47" s="478"/>
      <c r="NRS47" s="478"/>
      <c r="NRT47" s="478"/>
      <c r="NRU47" s="478"/>
      <c r="NRV47" s="478"/>
      <c r="NRW47" s="478"/>
      <c r="NRX47" s="478"/>
      <c r="NRY47" s="478"/>
      <c r="NRZ47" s="478"/>
      <c r="NSA47" s="478"/>
      <c r="NSB47" s="478"/>
      <c r="NSC47" s="478"/>
      <c r="NSD47" s="478"/>
      <c r="NSE47" s="478"/>
      <c r="NSF47" s="478"/>
      <c r="NSG47" s="478"/>
      <c r="NSH47" s="478"/>
      <c r="NSI47" s="478"/>
      <c r="NSJ47" s="478"/>
      <c r="NSK47" s="478"/>
      <c r="NSL47" s="478"/>
      <c r="NSM47" s="478"/>
      <c r="NSN47" s="478"/>
      <c r="NSO47" s="478"/>
      <c r="NSP47" s="478"/>
      <c r="NSQ47" s="478"/>
      <c r="NSR47" s="478"/>
      <c r="NSS47" s="478"/>
      <c r="NST47" s="478"/>
      <c r="NSU47" s="478"/>
      <c r="NSV47" s="478"/>
      <c r="NSW47" s="478"/>
      <c r="NSX47" s="478"/>
      <c r="NSY47" s="478"/>
      <c r="NSZ47" s="478"/>
      <c r="NTA47" s="478"/>
      <c r="NTB47" s="478"/>
      <c r="NTC47" s="478"/>
      <c r="NTD47" s="478"/>
      <c r="NTE47" s="478"/>
      <c r="NTF47" s="478"/>
      <c r="NTG47" s="478"/>
      <c r="NTH47" s="478"/>
      <c r="NTI47" s="478"/>
      <c r="NTJ47" s="478"/>
      <c r="NTK47" s="478"/>
      <c r="NTL47" s="478"/>
      <c r="NTM47" s="478"/>
      <c r="NTN47" s="478"/>
      <c r="NTO47" s="478"/>
      <c r="NTP47" s="478"/>
      <c r="NTQ47" s="478"/>
      <c r="NTR47" s="478"/>
      <c r="NTS47" s="478"/>
      <c r="NTT47" s="478"/>
      <c r="NTU47" s="478"/>
      <c r="NTV47" s="478"/>
      <c r="NTW47" s="478"/>
      <c r="NTX47" s="478"/>
      <c r="NTY47" s="478"/>
      <c r="NTZ47" s="478"/>
      <c r="NUA47" s="478"/>
      <c r="NUB47" s="478"/>
      <c r="NUC47" s="478"/>
      <c r="NUD47" s="478"/>
      <c r="NUE47" s="478"/>
      <c r="NUF47" s="478"/>
      <c r="NUG47" s="478"/>
      <c r="NUH47" s="478"/>
      <c r="NUI47" s="478"/>
      <c r="NUJ47" s="478"/>
      <c r="NUK47" s="478"/>
      <c r="NUL47" s="478"/>
      <c r="NUM47" s="478"/>
      <c r="NUN47" s="478"/>
      <c r="NUO47" s="478"/>
      <c r="NUP47" s="478"/>
      <c r="NUQ47" s="478"/>
      <c r="NUR47" s="478"/>
      <c r="NUS47" s="478"/>
      <c r="NUT47" s="478"/>
      <c r="NUU47" s="478"/>
      <c r="NUV47" s="478"/>
      <c r="NUW47" s="478"/>
      <c r="NUX47" s="478"/>
      <c r="NUY47" s="478"/>
      <c r="NUZ47" s="478"/>
      <c r="NVA47" s="478"/>
      <c r="NVB47" s="478"/>
      <c r="NVC47" s="478"/>
      <c r="NVD47" s="478"/>
      <c r="NVE47" s="478"/>
      <c r="NVF47" s="478"/>
      <c r="NVG47" s="478"/>
      <c r="NVH47" s="478"/>
      <c r="NVI47" s="478"/>
      <c r="NVJ47" s="478"/>
      <c r="NVK47" s="478"/>
      <c r="NVL47" s="478"/>
      <c r="NVM47" s="478"/>
      <c r="NVN47" s="478"/>
      <c r="NVO47" s="478"/>
      <c r="NVP47" s="478"/>
      <c r="NVQ47" s="478"/>
      <c r="NVR47" s="478"/>
      <c r="NVS47" s="478"/>
      <c r="NVT47" s="478"/>
      <c r="NVU47" s="478"/>
      <c r="NVV47" s="478"/>
      <c r="NVW47" s="478"/>
      <c r="NVX47" s="478"/>
      <c r="NVY47" s="478"/>
      <c r="NVZ47" s="478"/>
      <c r="NWA47" s="478"/>
      <c r="NWB47" s="478"/>
      <c r="NWC47" s="478"/>
      <c r="NWD47" s="478"/>
      <c r="NWE47" s="478"/>
      <c r="NWF47" s="478"/>
      <c r="NWG47" s="478"/>
      <c r="NWH47" s="478"/>
      <c r="NWI47" s="478"/>
      <c r="NWJ47" s="478"/>
      <c r="NWK47" s="478"/>
      <c r="NWL47" s="478"/>
      <c r="NWM47" s="478"/>
      <c r="NWN47" s="478"/>
      <c r="NWO47" s="478"/>
      <c r="NWP47" s="478"/>
      <c r="NWQ47" s="478"/>
      <c r="NWR47" s="478"/>
      <c r="NWS47" s="478"/>
      <c r="NWT47" s="478"/>
      <c r="NWU47" s="478"/>
      <c r="NWV47" s="478"/>
      <c r="NWW47" s="478"/>
      <c r="NWX47" s="478"/>
      <c r="NWY47" s="478"/>
      <c r="NWZ47" s="478"/>
      <c r="NXA47" s="478"/>
      <c r="NXB47" s="478"/>
      <c r="NXC47" s="478"/>
      <c r="NXD47" s="478"/>
      <c r="NXE47" s="478"/>
      <c r="NXF47" s="478"/>
      <c r="NXG47" s="478"/>
      <c r="NXH47" s="478"/>
      <c r="NXI47" s="478"/>
      <c r="NXJ47" s="478"/>
      <c r="NXK47" s="478"/>
      <c r="NXL47" s="478"/>
      <c r="NXM47" s="478"/>
      <c r="NXN47" s="478"/>
      <c r="NXO47" s="478"/>
      <c r="NXP47" s="478"/>
      <c r="NXQ47" s="478"/>
      <c r="NXR47" s="478"/>
      <c r="NXS47" s="478"/>
      <c r="NXT47" s="478"/>
      <c r="NXU47" s="478"/>
      <c r="NXV47" s="478"/>
      <c r="NXW47" s="478"/>
      <c r="NXX47" s="478"/>
      <c r="NXY47" s="478"/>
      <c r="NXZ47" s="478"/>
      <c r="NYA47" s="478"/>
      <c r="NYB47" s="478"/>
      <c r="NYC47" s="478"/>
      <c r="NYD47" s="478"/>
      <c r="NYE47" s="478"/>
      <c r="NYF47" s="478"/>
      <c r="NYG47" s="478"/>
      <c r="NYH47" s="478"/>
      <c r="NYI47" s="478"/>
      <c r="NYJ47" s="478"/>
      <c r="NYK47" s="478"/>
      <c r="NYL47" s="478"/>
      <c r="NYM47" s="478"/>
      <c r="NYN47" s="478"/>
      <c r="NYO47" s="478"/>
      <c r="NYP47" s="478"/>
      <c r="NYQ47" s="478"/>
      <c r="NYR47" s="478"/>
      <c r="NYS47" s="478"/>
      <c r="NYT47" s="478"/>
      <c r="NYU47" s="478"/>
      <c r="NYV47" s="478"/>
      <c r="NYW47" s="478"/>
      <c r="NYX47" s="478"/>
      <c r="NYY47" s="478"/>
      <c r="NYZ47" s="478"/>
      <c r="NZA47" s="478"/>
      <c r="NZB47" s="478"/>
      <c r="NZC47" s="478"/>
      <c r="NZD47" s="478"/>
      <c r="NZE47" s="478"/>
      <c r="NZF47" s="478"/>
      <c r="NZG47" s="478"/>
      <c r="NZH47" s="478"/>
      <c r="NZI47" s="478"/>
      <c r="NZJ47" s="478"/>
      <c r="NZK47" s="478"/>
      <c r="NZL47" s="478"/>
      <c r="NZM47" s="478"/>
      <c r="NZN47" s="478"/>
      <c r="NZO47" s="478"/>
      <c r="NZP47" s="478"/>
      <c r="NZQ47" s="478"/>
      <c r="NZR47" s="478"/>
      <c r="NZS47" s="478"/>
      <c r="NZT47" s="478"/>
      <c r="NZU47" s="478"/>
      <c r="NZV47" s="478"/>
      <c r="NZW47" s="478"/>
      <c r="NZX47" s="478"/>
      <c r="NZY47" s="478"/>
      <c r="NZZ47" s="478"/>
      <c r="OAA47" s="478"/>
      <c r="OAB47" s="478"/>
      <c r="OAC47" s="478"/>
      <c r="OAD47" s="478"/>
      <c r="OAE47" s="478"/>
      <c r="OAF47" s="478"/>
      <c r="OAG47" s="478"/>
      <c r="OAH47" s="478"/>
      <c r="OAI47" s="478"/>
      <c r="OAJ47" s="478"/>
      <c r="OAK47" s="478"/>
      <c r="OAL47" s="478"/>
      <c r="OAM47" s="478"/>
      <c r="OAN47" s="478"/>
      <c r="OAO47" s="478"/>
      <c r="OAP47" s="478"/>
      <c r="OAQ47" s="478"/>
      <c r="OAR47" s="478"/>
      <c r="OAS47" s="478"/>
      <c r="OAT47" s="478"/>
      <c r="OAU47" s="478"/>
      <c r="OAV47" s="478"/>
      <c r="OAW47" s="478"/>
      <c r="OAX47" s="478"/>
      <c r="OAY47" s="478"/>
      <c r="OAZ47" s="478"/>
      <c r="OBA47" s="478"/>
      <c r="OBB47" s="478"/>
      <c r="OBC47" s="478"/>
      <c r="OBD47" s="478"/>
      <c r="OBE47" s="478"/>
      <c r="OBF47" s="478"/>
      <c r="OBG47" s="478"/>
      <c r="OBH47" s="478"/>
      <c r="OBI47" s="478"/>
      <c r="OBJ47" s="478"/>
      <c r="OBK47" s="478"/>
      <c r="OBL47" s="478"/>
      <c r="OBM47" s="478"/>
      <c r="OBN47" s="478"/>
      <c r="OBO47" s="478"/>
      <c r="OBP47" s="478"/>
      <c r="OBQ47" s="478"/>
      <c r="OBR47" s="478"/>
      <c r="OBS47" s="478"/>
      <c r="OBT47" s="478"/>
      <c r="OBU47" s="478"/>
      <c r="OBV47" s="478"/>
      <c r="OBW47" s="478"/>
      <c r="OBX47" s="478"/>
      <c r="OBY47" s="478"/>
      <c r="OBZ47" s="478"/>
      <c r="OCA47" s="478"/>
      <c r="OCB47" s="478"/>
      <c r="OCC47" s="478"/>
      <c r="OCD47" s="478"/>
      <c r="OCE47" s="478"/>
      <c r="OCF47" s="478"/>
      <c r="OCG47" s="478"/>
      <c r="OCH47" s="478"/>
      <c r="OCI47" s="478"/>
      <c r="OCJ47" s="478"/>
      <c r="OCK47" s="478"/>
      <c r="OCL47" s="478"/>
      <c r="OCM47" s="478"/>
      <c r="OCN47" s="478"/>
      <c r="OCO47" s="478"/>
      <c r="OCP47" s="478"/>
      <c r="OCQ47" s="478"/>
      <c r="OCR47" s="478"/>
      <c r="OCS47" s="478"/>
      <c r="OCT47" s="478"/>
      <c r="OCU47" s="478"/>
      <c r="OCV47" s="478"/>
      <c r="OCW47" s="478"/>
      <c r="OCX47" s="478"/>
      <c r="OCY47" s="478"/>
      <c r="OCZ47" s="478"/>
      <c r="ODA47" s="478"/>
      <c r="ODB47" s="478"/>
      <c r="ODC47" s="478"/>
      <c r="ODD47" s="478"/>
      <c r="ODE47" s="478"/>
      <c r="ODF47" s="478"/>
      <c r="ODG47" s="478"/>
      <c r="ODH47" s="478"/>
      <c r="ODI47" s="478"/>
      <c r="ODJ47" s="478"/>
      <c r="ODK47" s="478"/>
      <c r="ODL47" s="478"/>
      <c r="ODM47" s="478"/>
      <c r="ODN47" s="478"/>
      <c r="ODO47" s="478"/>
      <c r="ODP47" s="478"/>
      <c r="ODQ47" s="478"/>
      <c r="ODR47" s="478"/>
      <c r="ODS47" s="478"/>
      <c r="ODT47" s="478"/>
      <c r="ODU47" s="478"/>
      <c r="ODV47" s="478"/>
      <c r="ODW47" s="478"/>
      <c r="ODX47" s="478"/>
      <c r="ODY47" s="478"/>
      <c r="ODZ47" s="478"/>
      <c r="OEA47" s="478"/>
      <c r="OEB47" s="478"/>
      <c r="OEC47" s="478"/>
      <c r="OED47" s="478"/>
      <c r="OEE47" s="478"/>
      <c r="OEF47" s="478"/>
      <c r="OEG47" s="478"/>
      <c r="OEH47" s="478"/>
      <c r="OEI47" s="478"/>
      <c r="OEJ47" s="478"/>
      <c r="OEK47" s="478"/>
      <c r="OEL47" s="478"/>
      <c r="OEM47" s="478"/>
      <c r="OEN47" s="478"/>
      <c r="OEO47" s="478"/>
      <c r="OEP47" s="478"/>
      <c r="OEQ47" s="478"/>
      <c r="OER47" s="478"/>
      <c r="OES47" s="478"/>
      <c r="OET47" s="478"/>
      <c r="OEU47" s="478"/>
      <c r="OEV47" s="478"/>
      <c r="OEW47" s="478"/>
      <c r="OEX47" s="478"/>
      <c r="OEY47" s="478"/>
      <c r="OEZ47" s="478"/>
      <c r="OFA47" s="478"/>
      <c r="OFB47" s="478"/>
      <c r="OFC47" s="478"/>
      <c r="OFD47" s="478"/>
      <c r="OFE47" s="478"/>
      <c r="OFF47" s="478"/>
      <c r="OFG47" s="478"/>
      <c r="OFH47" s="478"/>
      <c r="OFI47" s="478"/>
      <c r="OFJ47" s="478"/>
      <c r="OFK47" s="478"/>
      <c r="OFL47" s="478"/>
      <c r="OFM47" s="478"/>
      <c r="OFN47" s="478"/>
      <c r="OFO47" s="478"/>
      <c r="OFP47" s="478"/>
      <c r="OFQ47" s="478"/>
      <c r="OFR47" s="478"/>
      <c r="OFS47" s="478"/>
      <c r="OFT47" s="478"/>
      <c r="OFU47" s="478"/>
      <c r="OFV47" s="478"/>
      <c r="OFW47" s="478"/>
      <c r="OFX47" s="478"/>
      <c r="OFY47" s="478"/>
      <c r="OFZ47" s="478"/>
      <c r="OGA47" s="478"/>
      <c r="OGB47" s="478"/>
      <c r="OGC47" s="478"/>
      <c r="OGD47" s="478"/>
      <c r="OGE47" s="478"/>
      <c r="OGF47" s="478"/>
      <c r="OGG47" s="478"/>
      <c r="OGH47" s="478"/>
      <c r="OGI47" s="478"/>
      <c r="OGJ47" s="478"/>
      <c r="OGK47" s="478"/>
      <c r="OGL47" s="478"/>
      <c r="OGM47" s="478"/>
      <c r="OGN47" s="478"/>
      <c r="OGO47" s="478"/>
      <c r="OGP47" s="478"/>
      <c r="OGQ47" s="478"/>
      <c r="OGR47" s="478"/>
      <c r="OGS47" s="478"/>
      <c r="OGT47" s="478"/>
      <c r="OGU47" s="478"/>
      <c r="OGV47" s="478"/>
      <c r="OGW47" s="478"/>
      <c r="OGX47" s="478"/>
      <c r="OGY47" s="478"/>
      <c r="OGZ47" s="478"/>
      <c r="OHA47" s="478"/>
      <c r="OHB47" s="478"/>
      <c r="OHC47" s="478"/>
      <c r="OHD47" s="478"/>
      <c r="OHE47" s="478"/>
      <c r="OHF47" s="478"/>
      <c r="OHG47" s="478"/>
      <c r="OHH47" s="478"/>
      <c r="OHI47" s="478"/>
      <c r="OHJ47" s="478"/>
      <c r="OHK47" s="478"/>
      <c r="OHL47" s="478"/>
      <c r="OHM47" s="478"/>
      <c r="OHN47" s="478"/>
      <c r="OHO47" s="478"/>
      <c r="OHP47" s="478"/>
      <c r="OHQ47" s="478"/>
      <c r="OHR47" s="478"/>
      <c r="OHS47" s="478"/>
      <c r="OHT47" s="478"/>
      <c r="OHU47" s="478"/>
      <c r="OHV47" s="478"/>
      <c r="OHW47" s="478"/>
      <c r="OHX47" s="478"/>
      <c r="OHY47" s="478"/>
      <c r="OHZ47" s="478"/>
      <c r="OIA47" s="478"/>
      <c r="OIB47" s="478"/>
      <c r="OIC47" s="478"/>
      <c r="OID47" s="478"/>
      <c r="OIE47" s="478"/>
      <c r="OIF47" s="478"/>
      <c r="OIG47" s="478"/>
      <c r="OIH47" s="478"/>
      <c r="OII47" s="478"/>
      <c r="OIJ47" s="478"/>
      <c r="OIK47" s="478"/>
      <c r="OIL47" s="478"/>
      <c r="OIM47" s="478"/>
      <c r="OIN47" s="478"/>
      <c r="OIO47" s="478"/>
      <c r="OIP47" s="478"/>
      <c r="OIQ47" s="478"/>
      <c r="OIR47" s="478"/>
      <c r="OIS47" s="478"/>
      <c r="OIT47" s="478"/>
      <c r="OIU47" s="478"/>
      <c r="OIV47" s="478"/>
      <c r="OIW47" s="478"/>
      <c r="OIX47" s="478"/>
      <c r="OIY47" s="478"/>
      <c r="OIZ47" s="478"/>
      <c r="OJA47" s="478"/>
      <c r="OJB47" s="478"/>
      <c r="OJC47" s="478"/>
      <c r="OJD47" s="478"/>
      <c r="OJE47" s="478"/>
      <c r="OJF47" s="478"/>
      <c r="OJG47" s="478"/>
      <c r="OJH47" s="478"/>
      <c r="OJI47" s="478"/>
      <c r="OJJ47" s="478"/>
      <c r="OJK47" s="478"/>
      <c r="OJL47" s="478"/>
      <c r="OJM47" s="478"/>
      <c r="OJN47" s="478"/>
      <c r="OJO47" s="478"/>
      <c r="OJP47" s="478"/>
      <c r="OJQ47" s="478"/>
      <c r="OJR47" s="478"/>
      <c r="OJS47" s="478"/>
      <c r="OJT47" s="478"/>
      <c r="OJU47" s="478"/>
      <c r="OJV47" s="478"/>
      <c r="OJW47" s="478"/>
      <c r="OJX47" s="478"/>
      <c r="OJY47" s="478"/>
      <c r="OJZ47" s="478"/>
      <c r="OKA47" s="478"/>
      <c r="OKB47" s="478"/>
      <c r="OKC47" s="478"/>
      <c r="OKD47" s="478"/>
      <c r="OKE47" s="478"/>
      <c r="OKF47" s="478"/>
      <c r="OKG47" s="478"/>
      <c r="OKH47" s="478"/>
      <c r="OKI47" s="478"/>
      <c r="OKJ47" s="478"/>
      <c r="OKK47" s="478"/>
      <c r="OKL47" s="478"/>
      <c r="OKM47" s="478"/>
      <c r="OKN47" s="478"/>
      <c r="OKO47" s="478"/>
      <c r="OKP47" s="478"/>
      <c r="OKQ47" s="478"/>
      <c r="OKR47" s="478"/>
      <c r="OKS47" s="478"/>
      <c r="OKT47" s="478"/>
      <c r="OKU47" s="478"/>
      <c r="OKV47" s="478"/>
      <c r="OKW47" s="478"/>
      <c r="OKX47" s="478"/>
      <c r="OKY47" s="478"/>
      <c r="OKZ47" s="478"/>
      <c r="OLA47" s="478"/>
      <c r="OLB47" s="478"/>
      <c r="OLC47" s="478"/>
      <c r="OLD47" s="478"/>
      <c r="OLE47" s="478"/>
      <c r="OLF47" s="478"/>
      <c r="OLG47" s="478"/>
      <c r="OLH47" s="478"/>
      <c r="OLI47" s="478"/>
      <c r="OLJ47" s="478"/>
      <c r="OLK47" s="478"/>
      <c r="OLL47" s="478"/>
      <c r="OLM47" s="478"/>
      <c r="OLN47" s="478"/>
      <c r="OLO47" s="478"/>
      <c r="OLP47" s="478"/>
      <c r="OLQ47" s="478"/>
      <c r="OLR47" s="478"/>
      <c r="OLS47" s="478"/>
      <c r="OLT47" s="478"/>
      <c r="OLU47" s="478"/>
      <c r="OLV47" s="478"/>
      <c r="OLW47" s="478"/>
      <c r="OLX47" s="478"/>
      <c r="OLY47" s="478"/>
      <c r="OLZ47" s="478"/>
      <c r="OMA47" s="478"/>
      <c r="OMB47" s="478"/>
      <c r="OMC47" s="478"/>
      <c r="OMD47" s="478"/>
      <c r="OME47" s="478"/>
      <c r="OMF47" s="478"/>
      <c r="OMG47" s="478"/>
      <c r="OMH47" s="478"/>
      <c r="OMI47" s="478"/>
      <c r="OMJ47" s="478"/>
      <c r="OMK47" s="478"/>
      <c r="OML47" s="478"/>
      <c r="OMM47" s="478"/>
      <c r="OMN47" s="478"/>
      <c r="OMO47" s="478"/>
      <c r="OMP47" s="478"/>
      <c r="OMQ47" s="478"/>
      <c r="OMR47" s="478"/>
      <c r="OMS47" s="478"/>
      <c r="OMT47" s="478"/>
      <c r="OMU47" s="478"/>
      <c r="OMV47" s="478"/>
      <c r="OMW47" s="478"/>
      <c r="OMX47" s="478"/>
      <c r="OMY47" s="478"/>
      <c r="OMZ47" s="478"/>
      <c r="ONA47" s="478"/>
      <c r="ONB47" s="478"/>
      <c r="ONC47" s="478"/>
      <c r="OND47" s="478"/>
      <c r="ONE47" s="478"/>
      <c r="ONF47" s="478"/>
      <c r="ONG47" s="478"/>
      <c r="ONH47" s="478"/>
      <c r="ONI47" s="478"/>
      <c r="ONJ47" s="478"/>
      <c r="ONK47" s="478"/>
      <c r="ONL47" s="478"/>
      <c r="ONM47" s="478"/>
      <c r="ONN47" s="478"/>
      <c r="ONO47" s="478"/>
      <c r="ONP47" s="478"/>
      <c r="ONQ47" s="478"/>
      <c r="ONR47" s="478"/>
      <c r="ONS47" s="478"/>
      <c r="ONT47" s="478"/>
      <c r="ONU47" s="478"/>
      <c r="ONV47" s="478"/>
      <c r="ONW47" s="478"/>
      <c r="ONX47" s="478"/>
      <c r="ONY47" s="478"/>
      <c r="ONZ47" s="478"/>
      <c r="OOA47" s="478"/>
      <c r="OOB47" s="478"/>
      <c r="OOC47" s="478"/>
      <c r="OOD47" s="478"/>
      <c r="OOE47" s="478"/>
      <c r="OOF47" s="478"/>
      <c r="OOG47" s="478"/>
      <c r="OOH47" s="478"/>
      <c r="OOI47" s="478"/>
      <c r="OOJ47" s="478"/>
      <c r="OOK47" s="478"/>
      <c r="OOL47" s="478"/>
      <c r="OOM47" s="478"/>
      <c r="OON47" s="478"/>
      <c r="OOO47" s="478"/>
      <c r="OOP47" s="478"/>
      <c r="OOQ47" s="478"/>
      <c r="OOR47" s="478"/>
      <c r="OOS47" s="478"/>
      <c r="OOT47" s="478"/>
      <c r="OOU47" s="478"/>
      <c r="OOV47" s="478"/>
      <c r="OOW47" s="478"/>
      <c r="OOX47" s="478"/>
      <c r="OOY47" s="478"/>
      <c r="OOZ47" s="478"/>
      <c r="OPA47" s="478"/>
      <c r="OPB47" s="478"/>
      <c r="OPC47" s="478"/>
      <c r="OPD47" s="478"/>
      <c r="OPE47" s="478"/>
      <c r="OPF47" s="478"/>
      <c r="OPG47" s="478"/>
      <c r="OPH47" s="478"/>
      <c r="OPI47" s="478"/>
      <c r="OPJ47" s="478"/>
      <c r="OPK47" s="478"/>
      <c r="OPL47" s="478"/>
      <c r="OPM47" s="478"/>
      <c r="OPN47" s="478"/>
      <c r="OPO47" s="478"/>
      <c r="OPP47" s="478"/>
      <c r="OPQ47" s="478"/>
      <c r="OPR47" s="478"/>
      <c r="OPS47" s="478"/>
      <c r="OPT47" s="478"/>
      <c r="OPU47" s="478"/>
      <c r="OPV47" s="478"/>
      <c r="OPW47" s="478"/>
      <c r="OPX47" s="478"/>
      <c r="OPY47" s="478"/>
      <c r="OPZ47" s="478"/>
      <c r="OQA47" s="478"/>
      <c r="OQB47" s="478"/>
      <c r="OQC47" s="478"/>
      <c r="OQD47" s="478"/>
      <c r="OQE47" s="478"/>
      <c r="OQF47" s="478"/>
      <c r="OQG47" s="478"/>
      <c r="OQH47" s="478"/>
      <c r="OQI47" s="478"/>
      <c r="OQJ47" s="478"/>
      <c r="OQK47" s="478"/>
      <c r="OQL47" s="478"/>
      <c r="OQM47" s="478"/>
      <c r="OQN47" s="478"/>
      <c r="OQO47" s="478"/>
      <c r="OQP47" s="478"/>
      <c r="OQQ47" s="478"/>
      <c r="OQR47" s="478"/>
      <c r="OQS47" s="478"/>
      <c r="OQT47" s="478"/>
      <c r="OQU47" s="478"/>
      <c r="OQV47" s="478"/>
      <c r="OQW47" s="478"/>
      <c r="OQX47" s="478"/>
      <c r="OQY47" s="478"/>
      <c r="OQZ47" s="478"/>
      <c r="ORA47" s="478"/>
      <c r="ORB47" s="478"/>
      <c r="ORC47" s="478"/>
      <c r="ORD47" s="478"/>
      <c r="ORE47" s="478"/>
      <c r="ORF47" s="478"/>
      <c r="ORG47" s="478"/>
      <c r="ORH47" s="478"/>
      <c r="ORI47" s="478"/>
      <c r="ORJ47" s="478"/>
      <c r="ORK47" s="478"/>
      <c r="ORL47" s="478"/>
      <c r="ORM47" s="478"/>
      <c r="ORN47" s="478"/>
      <c r="ORO47" s="478"/>
      <c r="ORP47" s="478"/>
      <c r="ORQ47" s="478"/>
      <c r="ORR47" s="478"/>
      <c r="ORS47" s="478"/>
      <c r="ORT47" s="478"/>
      <c r="ORU47" s="478"/>
      <c r="ORV47" s="478"/>
      <c r="ORW47" s="478"/>
      <c r="ORX47" s="478"/>
      <c r="ORY47" s="478"/>
      <c r="ORZ47" s="478"/>
      <c r="OSA47" s="478"/>
      <c r="OSB47" s="478"/>
      <c r="OSC47" s="478"/>
      <c r="OSD47" s="478"/>
      <c r="OSE47" s="478"/>
      <c r="OSF47" s="478"/>
      <c r="OSG47" s="478"/>
      <c r="OSH47" s="478"/>
      <c r="OSI47" s="478"/>
      <c r="OSJ47" s="478"/>
      <c r="OSK47" s="478"/>
      <c r="OSL47" s="478"/>
      <c r="OSM47" s="478"/>
      <c r="OSN47" s="478"/>
      <c r="OSO47" s="478"/>
      <c r="OSP47" s="478"/>
      <c r="OSQ47" s="478"/>
      <c r="OSR47" s="478"/>
      <c r="OSS47" s="478"/>
      <c r="OST47" s="478"/>
      <c r="OSU47" s="478"/>
      <c r="OSV47" s="478"/>
      <c r="OSW47" s="478"/>
      <c r="OSX47" s="478"/>
      <c r="OSY47" s="478"/>
      <c r="OSZ47" s="478"/>
      <c r="OTA47" s="478"/>
      <c r="OTB47" s="478"/>
      <c r="OTC47" s="478"/>
      <c r="OTD47" s="478"/>
      <c r="OTE47" s="478"/>
      <c r="OTF47" s="478"/>
      <c r="OTG47" s="478"/>
      <c r="OTH47" s="478"/>
      <c r="OTI47" s="478"/>
      <c r="OTJ47" s="478"/>
      <c r="OTK47" s="478"/>
      <c r="OTL47" s="478"/>
      <c r="OTM47" s="478"/>
      <c r="OTN47" s="478"/>
      <c r="OTO47" s="478"/>
      <c r="OTP47" s="478"/>
      <c r="OTQ47" s="478"/>
      <c r="OTR47" s="478"/>
      <c r="OTS47" s="478"/>
      <c r="OTT47" s="478"/>
      <c r="OTU47" s="478"/>
      <c r="OTV47" s="478"/>
      <c r="OTW47" s="478"/>
      <c r="OTX47" s="478"/>
      <c r="OTY47" s="478"/>
      <c r="OTZ47" s="478"/>
      <c r="OUA47" s="478"/>
      <c r="OUB47" s="478"/>
      <c r="OUC47" s="478"/>
      <c r="OUD47" s="478"/>
      <c r="OUE47" s="478"/>
      <c r="OUF47" s="478"/>
      <c r="OUG47" s="478"/>
      <c r="OUH47" s="478"/>
      <c r="OUI47" s="478"/>
      <c r="OUJ47" s="478"/>
      <c r="OUK47" s="478"/>
      <c r="OUL47" s="478"/>
      <c r="OUM47" s="478"/>
      <c r="OUN47" s="478"/>
      <c r="OUO47" s="478"/>
      <c r="OUP47" s="478"/>
      <c r="OUQ47" s="478"/>
      <c r="OUR47" s="478"/>
      <c r="OUS47" s="478"/>
      <c r="OUT47" s="478"/>
      <c r="OUU47" s="478"/>
      <c r="OUV47" s="478"/>
      <c r="OUW47" s="478"/>
      <c r="OUX47" s="478"/>
      <c r="OUY47" s="478"/>
      <c r="OUZ47" s="478"/>
      <c r="OVA47" s="478"/>
      <c r="OVB47" s="478"/>
      <c r="OVC47" s="478"/>
      <c r="OVD47" s="478"/>
      <c r="OVE47" s="478"/>
      <c r="OVF47" s="478"/>
      <c r="OVG47" s="478"/>
      <c r="OVH47" s="478"/>
      <c r="OVI47" s="478"/>
      <c r="OVJ47" s="478"/>
      <c r="OVK47" s="478"/>
      <c r="OVL47" s="478"/>
      <c r="OVM47" s="478"/>
      <c r="OVN47" s="478"/>
      <c r="OVO47" s="478"/>
      <c r="OVP47" s="478"/>
      <c r="OVQ47" s="478"/>
      <c r="OVR47" s="478"/>
      <c r="OVS47" s="478"/>
      <c r="OVT47" s="478"/>
      <c r="OVU47" s="478"/>
      <c r="OVV47" s="478"/>
      <c r="OVW47" s="478"/>
      <c r="OVX47" s="478"/>
      <c r="OVY47" s="478"/>
      <c r="OVZ47" s="478"/>
      <c r="OWA47" s="478"/>
      <c r="OWB47" s="478"/>
      <c r="OWC47" s="478"/>
      <c r="OWD47" s="478"/>
      <c r="OWE47" s="478"/>
      <c r="OWF47" s="478"/>
      <c r="OWG47" s="478"/>
      <c r="OWH47" s="478"/>
      <c r="OWI47" s="478"/>
      <c r="OWJ47" s="478"/>
      <c r="OWK47" s="478"/>
      <c r="OWL47" s="478"/>
      <c r="OWM47" s="478"/>
      <c r="OWN47" s="478"/>
      <c r="OWO47" s="478"/>
      <c r="OWP47" s="478"/>
      <c r="OWQ47" s="478"/>
      <c r="OWR47" s="478"/>
      <c r="OWS47" s="478"/>
      <c r="OWT47" s="478"/>
      <c r="OWU47" s="478"/>
      <c r="OWV47" s="478"/>
      <c r="OWW47" s="478"/>
      <c r="OWX47" s="478"/>
      <c r="OWY47" s="478"/>
      <c r="OWZ47" s="478"/>
      <c r="OXA47" s="478"/>
      <c r="OXB47" s="478"/>
      <c r="OXC47" s="478"/>
      <c r="OXD47" s="478"/>
      <c r="OXE47" s="478"/>
      <c r="OXF47" s="478"/>
      <c r="OXG47" s="478"/>
      <c r="OXH47" s="478"/>
      <c r="OXI47" s="478"/>
      <c r="OXJ47" s="478"/>
      <c r="OXK47" s="478"/>
      <c r="OXL47" s="478"/>
      <c r="OXM47" s="478"/>
      <c r="OXN47" s="478"/>
      <c r="OXO47" s="478"/>
      <c r="OXP47" s="478"/>
      <c r="OXQ47" s="478"/>
      <c r="OXR47" s="478"/>
      <c r="OXS47" s="478"/>
      <c r="OXT47" s="478"/>
      <c r="OXU47" s="478"/>
      <c r="OXV47" s="478"/>
      <c r="OXW47" s="478"/>
      <c r="OXX47" s="478"/>
      <c r="OXY47" s="478"/>
      <c r="OXZ47" s="478"/>
      <c r="OYA47" s="478"/>
      <c r="OYB47" s="478"/>
      <c r="OYC47" s="478"/>
      <c r="OYD47" s="478"/>
      <c r="OYE47" s="478"/>
      <c r="OYF47" s="478"/>
      <c r="OYG47" s="478"/>
      <c r="OYH47" s="478"/>
      <c r="OYI47" s="478"/>
      <c r="OYJ47" s="478"/>
      <c r="OYK47" s="478"/>
      <c r="OYL47" s="478"/>
      <c r="OYM47" s="478"/>
      <c r="OYN47" s="478"/>
      <c r="OYO47" s="478"/>
      <c r="OYP47" s="478"/>
      <c r="OYQ47" s="478"/>
      <c r="OYR47" s="478"/>
      <c r="OYS47" s="478"/>
      <c r="OYT47" s="478"/>
      <c r="OYU47" s="478"/>
      <c r="OYV47" s="478"/>
      <c r="OYW47" s="478"/>
      <c r="OYX47" s="478"/>
      <c r="OYY47" s="478"/>
      <c r="OYZ47" s="478"/>
      <c r="OZA47" s="478"/>
      <c r="OZB47" s="478"/>
      <c r="OZC47" s="478"/>
      <c r="OZD47" s="478"/>
      <c r="OZE47" s="478"/>
      <c r="OZF47" s="478"/>
      <c r="OZG47" s="478"/>
      <c r="OZH47" s="478"/>
      <c r="OZI47" s="478"/>
      <c r="OZJ47" s="478"/>
      <c r="OZK47" s="478"/>
      <c r="OZL47" s="478"/>
      <c r="OZM47" s="478"/>
      <c r="OZN47" s="478"/>
      <c r="OZO47" s="478"/>
      <c r="OZP47" s="478"/>
      <c r="OZQ47" s="478"/>
      <c r="OZR47" s="478"/>
      <c r="OZS47" s="478"/>
      <c r="OZT47" s="478"/>
      <c r="OZU47" s="478"/>
      <c r="OZV47" s="478"/>
      <c r="OZW47" s="478"/>
      <c r="OZX47" s="478"/>
      <c r="OZY47" s="478"/>
      <c r="OZZ47" s="478"/>
      <c r="PAA47" s="478"/>
      <c r="PAB47" s="478"/>
      <c r="PAC47" s="478"/>
      <c r="PAD47" s="478"/>
      <c r="PAE47" s="478"/>
      <c r="PAF47" s="478"/>
      <c r="PAG47" s="478"/>
      <c r="PAH47" s="478"/>
      <c r="PAI47" s="478"/>
      <c r="PAJ47" s="478"/>
      <c r="PAK47" s="478"/>
      <c r="PAL47" s="478"/>
      <c r="PAM47" s="478"/>
      <c r="PAN47" s="478"/>
      <c r="PAO47" s="478"/>
      <c r="PAP47" s="478"/>
      <c r="PAQ47" s="478"/>
      <c r="PAR47" s="478"/>
      <c r="PAS47" s="478"/>
      <c r="PAT47" s="478"/>
      <c r="PAU47" s="478"/>
      <c r="PAV47" s="478"/>
      <c r="PAW47" s="478"/>
      <c r="PAX47" s="478"/>
      <c r="PAY47" s="478"/>
      <c r="PAZ47" s="478"/>
      <c r="PBA47" s="478"/>
      <c r="PBB47" s="478"/>
      <c r="PBC47" s="478"/>
      <c r="PBD47" s="478"/>
      <c r="PBE47" s="478"/>
      <c r="PBF47" s="478"/>
      <c r="PBG47" s="478"/>
      <c r="PBH47" s="478"/>
      <c r="PBI47" s="478"/>
      <c r="PBJ47" s="478"/>
      <c r="PBK47" s="478"/>
      <c r="PBL47" s="478"/>
      <c r="PBM47" s="478"/>
      <c r="PBN47" s="478"/>
      <c r="PBO47" s="478"/>
      <c r="PBP47" s="478"/>
      <c r="PBQ47" s="478"/>
      <c r="PBR47" s="478"/>
      <c r="PBS47" s="478"/>
      <c r="PBT47" s="478"/>
      <c r="PBU47" s="478"/>
      <c r="PBV47" s="478"/>
      <c r="PBW47" s="478"/>
      <c r="PBX47" s="478"/>
      <c r="PBY47" s="478"/>
      <c r="PBZ47" s="478"/>
      <c r="PCA47" s="478"/>
      <c r="PCB47" s="478"/>
      <c r="PCC47" s="478"/>
      <c r="PCD47" s="478"/>
      <c r="PCE47" s="478"/>
      <c r="PCF47" s="478"/>
      <c r="PCG47" s="478"/>
      <c r="PCH47" s="478"/>
      <c r="PCI47" s="478"/>
      <c r="PCJ47" s="478"/>
      <c r="PCK47" s="478"/>
      <c r="PCL47" s="478"/>
      <c r="PCM47" s="478"/>
      <c r="PCN47" s="478"/>
      <c r="PCO47" s="478"/>
      <c r="PCP47" s="478"/>
      <c r="PCQ47" s="478"/>
      <c r="PCR47" s="478"/>
      <c r="PCS47" s="478"/>
      <c r="PCT47" s="478"/>
      <c r="PCU47" s="478"/>
      <c r="PCV47" s="478"/>
      <c r="PCW47" s="478"/>
      <c r="PCX47" s="478"/>
      <c r="PCY47" s="478"/>
      <c r="PCZ47" s="478"/>
      <c r="PDA47" s="478"/>
      <c r="PDB47" s="478"/>
      <c r="PDC47" s="478"/>
      <c r="PDD47" s="478"/>
      <c r="PDE47" s="478"/>
      <c r="PDF47" s="478"/>
      <c r="PDG47" s="478"/>
      <c r="PDH47" s="478"/>
      <c r="PDI47" s="478"/>
      <c r="PDJ47" s="478"/>
      <c r="PDK47" s="478"/>
      <c r="PDL47" s="478"/>
      <c r="PDM47" s="478"/>
      <c r="PDN47" s="478"/>
      <c r="PDO47" s="478"/>
      <c r="PDP47" s="478"/>
      <c r="PDQ47" s="478"/>
      <c r="PDR47" s="478"/>
      <c r="PDS47" s="478"/>
      <c r="PDT47" s="478"/>
      <c r="PDU47" s="478"/>
      <c r="PDV47" s="478"/>
      <c r="PDW47" s="478"/>
      <c r="PDX47" s="478"/>
      <c r="PDY47" s="478"/>
      <c r="PDZ47" s="478"/>
      <c r="PEA47" s="478"/>
      <c r="PEB47" s="478"/>
      <c r="PEC47" s="478"/>
      <c r="PED47" s="478"/>
      <c r="PEE47" s="478"/>
      <c r="PEF47" s="478"/>
      <c r="PEG47" s="478"/>
      <c r="PEH47" s="478"/>
      <c r="PEI47" s="478"/>
      <c r="PEJ47" s="478"/>
      <c r="PEK47" s="478"/>
      <c r="PEL47" s="478"/>
      <c r="PEM47" s="478"/>
      <c r="PEN47" s="478"/>
      <c r="PEO47" s="478"/>
      <c r="PEP47" s="478"/>
      <c r="PEQ47" s="478"/>
      <c r="PER47" s="478"/>
      <c r="PES47" s="478"/>
      <c r="PET47" s="478"/>
      <c r="PEU47" s="478"/>
      <c r="PEV47" s="478"/>
      <c r="PEW47" s="478"/>
      <c r="PEX47" s="478"/>
      <c r="PEY47" s="478"/>
      <c r="PEZ47" s="478"/>
      <c r="PFA47" s="478"/>
      <c r="PFB47" s="478"/>
      <c r="PFC47" s="478"/>
      <c r="PFD47" s="478"/>
      <c r="PFE47" s="478"/>
      <c r="PFF47" s="478"/>
      <c r="PFG47" s="478"/>
      <c r="PFH47" s="478"/>
      <c r="PFI47" s="478"/>
      <c r="PFJ47" s="478"/>
      <c r="PFK47" s="478"/>
      <c r="PFL47" s="478"/>
      <c r="PFM47" s="478"/>
      <c r="PFN47" s="478"/>
      <c r="PFO47" s="478"/>
      <c r="PFP47" s="478"/>
      <c r="PFQ47" s="478"/>
      <c r="PFR47" s="478"/>
      <c r="PFS47" s="478"/>
      <c r="PFT47" s="478"/>
      <c r="PFU47" s="478"/>
      <c r="PFV47" s="478"/>
      <c r="PFW47" s="478"/>
      <c r="PFX47" s="478"/>
      <c r="PFY47" s="478"/>
      <c r="PFZ47" s="478"/>
      <c r="PGA47" s="478"/>
      <c r="PGB47" s="478"/>
      <c r="PGC47" s="478"/>
      <c r="PGD47" s="478"/>
      <c r="PGE47" s="478"/>
      <c r="PGF47" s="478"/>
      <c r="PGG47" s="478"/>
      <c r="PGH47" s="478"/>
      <c r="PGI47" s="478"/>
      <c r="PGJ47" s="478"/>
      <c r="PGK47" s="478"/>
      <c r="PGL47" s="478"/>
      <c r="PGM47" s="478"/>
      <c r="PGN47" s="478"/>
      <c r="PGO47" s="478"/>
      <c r="PGP47" s="478"/>
      <c r="PGQ47" s="478"/>
      <c r="PGR47" s="478"/>
      <c r="PGS47" s="478"/>
      <c r="PGT47" s="478"/>
      <c r="PGU47" s="478"/>
      <c r="PGV47" s="478"/>
      <c r="PGW47" s="478"/>
      <c r="PGX47" s="478"/>
      <c r="PGY47" s="478"/>
      <c r="PGZ47" s="478"/>
      <c r="PHA47" s="478"/>
      <c r="PHB47" s="478"/>
      <c r="PHC47" s="478"/>
      <c r="PHD47" s="478"/>
      <c r="PHE47" s="478"/>
      <c r="PHF47" s="478"/>
      <c r="PHG47" s="478"/>
      <c r="PHH47" s="478"/>
      <c r="PHI47" s="478"/>
      <c r="PHJ47" s="478"/>
      <c r="PHK47" s="478"/>
      <c r="PHL47" s="478"/>
      <c r="PHM47" s="478"/>
      <c r="PHN47" s="478"/>
      <c r="PHO47" s="478"/>
      <c r="PHP47" s="478"/>
      <c r="PHQ47" s="478"/>
      <c r="PHR47" s="478"/>
      <c r="PHS47" s="478"/>
      <c r="PHT47" s="478"/>
      <c r="PHU47" s="478"/>
      <c r="PHV47" s="478"/>
      <c r="PHW47" s="478"/>
      <c r="PHX47" s="478"/>
      <c r="PHY47" s="478"/>
      <c r="PHZ47" s="478"/>
      <c r="PIA47" s="478"/>
      <c r="PIB47" s="478"/>
      <c r="PIC47" s="478"/>
      <c r="PID47" s="478"/>
      <c r="PIE47" s="478"/>
      <c r="PIF47" s="478"/>
      <c r="PIG47" s="478"/>
      <c r="PIH47" s="478"/>
      <c r="PII47" s="478"/>
      <c r="PIJ47" s="478"/>
      <c r="PIK47" s="478"/>
      <c r="PIL47" s="478"/>
      <c r="PIM47" s="478"/>
      <c r="PIN47" s="478"/>
      <c r="PIO47" s="478"/>
      <c r="PIP47" s="478"/>
      <c r="PIQ47" s="478"/>
      <c r="PIR47" s="478"/>
      <c r="PIS47" s="478"/>
      <c r="PIT47" s="478"/>
      <c r="PIU47" s="478"/>
      <c r="PIV47" s="478"/>
      <c r="PIW47" s="478"/>
      <c r="PIX47" s="478"/>
      <c r="PIY47" s="478"/>
      <c r="PIZ47" s="478"/>
      <c r="PJA47" s="478"/>
      <c r="PJB47" s="478"/>
      <c r="PJC47" s="478"/>
      <c r="PJD47" s="478"/>
      <c r="PJE47" s="478"/>
      <c r="PJF47" s="478"/>
      <c r="PJG47" s="478"/>
      <c r="PJH47" s="478"/>
      <c r="PJI47" s="478"/>
      <c r="PJJ47" s="478"/>
      <c r="PJK47" s="478"/>
      <c r="PJL47" s="478"/>
      <c r="PJM47" s="478"/>
      <c r="PJN47" s="478"/>
      <c r="PJO47" s="478"/>
      <c r="PJP47" s="478"/>
      <c r="PJQ47" s="478"/>
      <c r="PJR47" s="478"/>
      <c r="PJS47" s="478"/>
      <c r="PJT47" s="478"/>
      <c r="PJU47" s="478"/>
      <c r="PJV47" s="478"/>
      <c r="PJW47" s="478"/>
      <c r="PJX47" s="478"/>
      <c r="PJY47" s="478"/>
      <c r="PJZ47" s="478"/>
      <c r="PKA47" s="478"/>
      <c r="PKB47" s="478"/>
      <c r="PKC47" s="478"/>
      <c r="PKD47" s="478"/>
      <c r="PKE47" s="478"/>
      <c r="PKF47" s="478"/>
      <c r="PKG47" s="478"/>
      <c r="PKH47" s="478"/>
      <c r="PKI47" s="478"/>
      <c r="PKJ47" s="478"/>
      <c r="PKK47" s="478"/>
      <c r="PKL47" s="478"/>
      <c r="PKM47" s="478"/>
      <c r="PKN47" s="478"/>
      <c r="PKO47" s="478"/>
      <c r="PKP47" s="478"/>
      <c r="PKQ47" s="478"/>
      <c r="PKR47" s="478"/>
      <c r="PKS47" s="478"/>
      <c r="PKT47" s="478"/>
      <c r="PKU47" s="478"/>
      <c r="PKV47" s="478"/>
      <c r="PKW47" s="478"/>
      <c r="PKX47" s="478"/>
      <c r="PKY47" s="478"/>
      <c r="PKZ47" s="478"/>
      <c r="PLA47" s="478"/>
      <c r="PLB47" s="478"/>
      <c r="PLC47" s="478"/>
      <c r="PLD47" s="478"/>
      <c r="PLE47" s="478"/>
      <c r="PLF47" s="478"/>
      <c r="PLG47" s="478"/>
      <c r="PLH47" s="478"/>
      <c r="PLI47" s="478"/>
      <c r="PLJ47" s="478"/>
      <c r="PLK47" s="478"/>
      <c r="PLL47" s="478"/>
      <c r="PLM47" s="478"/>
      <c r="PLN47" s="478"/>
      <c r="PLO47" s="478"/>
      <c r="PLP47" s="478"/>
      <c r="PLQ47" s="478"/>
      <c r="PLR47" s="478"/>
      <c r="PLS47" s="478"/>
      <c r="PLT47" s="478"/>
      <c r="PLU47" s="478"/>
      <c r="PLV47" s="478"/>
      <c r="PLW47" s="478"/>
      <c r="PLX47" s="478"/>
      <c r="PLY47" s="478"/>
      <c r="PLZ47" s="478"/>
      <c r="PMA47" s="478"/>
      <c r="PMB47" s="478"/>
      <c r="PMC47" s="478"/>
      <c r="PMD47" s="478"/>
      <c r="PME47" s="478"/>
      <c r="PMF47" s="478"/>
      <c r="PMG47" s="478"/>
      <c r="PMH47" s="478"/>
      <c r="PMI47" s="478"/>
      <c r="PMJ47" s="478"/>
      <c r="PMK47" s="478"/>
      <c r="PML47" s="478"/>
      <c r="PMM47" s="478"/>
      <c r="PMN47" s="478"/>
      <c r="PMO47" s="478"/>
      <c r="PMP47" s="478"/>
      <c r="PMQ47" s="478"/>
      <c r="PMR47" s="478"/>
      <c r="PMS47" s="478"/>
      <c r="PMT47" s="478"/>
      <c r="PMU47" s="478"/>
      <c r="PMV47" s="478"/>
      <c r="PMW47" s="478"/>
      <c r="PMX47" s="478"/>
      <c r="PMY47" s="478"/>
      <c r="PMZ47" s="478"/>
      <c r="PNA47" s="478"/>
      <c r="PNB47" s="478"/>
      <c r="PNC47" s="478"/>
      <c r="PND47" s="478"/>
      <c r="PNE47" s="478"/>
      <c r="PNF47" s="478"/>
      <c r="PNG47" s="478"/>
      <c r="PNH47" s="478"/>
      <c r="PNI47" s="478"/>
      <c r="PNJ47" s="478"/>
      <c r="PNK47" s="478"/>
      <c r="PNL47" s="478"/>
      <c r="PNM47" s="478"/>
      <c r="PNN47" s="478"/>
      <c r="PNO47" s="478"/>
      <c r="PNP47" s="478"/>
      <c r="PNQ47" s="478"/>
      <c r="PNR47" s="478"/>
      <c r="PNS47" s="478"/>
      <c r="PNT47" s="478"/>
      <c r="PNU47" s="478"/>
      <c r="PNV47" s="478"/>
      <c r="PNW47" s="478"/>
      <c r="PNX47" s="478"/>
      <c r="PNY47" s="478"/>
      <c r="PNZ47" s="478"/>
      <c r="POA47" s="478"/>
      <c r="POB47" s="478"/>
      <c r="POC47" s="478"/>
      <c r="POD47" s="478"/>
      <c r="POE47" s="478"/>
      <c r="POF47" s="478"/>
      <c r="POG47" s="478"/>
      <c r="POH47" s="478"/>
      <c r="POI47" s="478"/>
      <c r="POJ47" s="478"/>
      <c r="POK47" s="478"/>
      <c r="POL47" s="478"/>
      <c r="POM47" s="478"/>
      <c r="PON47" s="478"/>
      <c r="POO47" s="478"/>
      <c r="POP47" s="478"/>
      <c r="POQ47" s="478"/>
      <c r="POR47" s="478"/>
      <c r="POS47" s="478"/>
      <c r="POT47" s="478"/>
      <c r="POU47" s="478"/>
      <c r="POV47" s="478"/>
      <c r="POW47" s="478"/>
      <c r="POX47" s="478"/>
      <c r="POY47" s="478"/>
      <c r="POZ47" s="478"/>
      <c r="PPA47" s="478"/>
      <c r="PPB47" s="478"/>
      <c r="PPC47" s="478"/>
      <c r="PPD47" s="478"/>
      <c r="PPE47" s="478"/>
      <c r="PPF47" s="478"/>
      <c r="PPG47" s="478"/>
      <c r="PPH47" s="478"/>
      <c r="PPI47" s="478"/>
      <c r="PPJ47" s="478"/>
      <c r="PPK47" s="478"/>
      <c r="PPL47" s="478"/>
      <c r="PPM47" s="478"/>
      <c r="PPN47" s="478"/>
      <c r="PPO47" s="478"/>
      <c r="PPP47" s="478"/>
      <c r="PPQ47" s="478"/>
      <c r="PPR47" s="478"/>
      <c r="PPS47" s="478"/>
      <c r="PPT47" s="478"/>
      <c r="PPU47" s="478"/>
      <c r="PPV47" s="478"/>
      <c r="PPW47" s="478"/>
      <c r="PPX47" s="478"/>
      <c r="PPY47" s="478"/>
      <c r="PPZ47" s="478"/>
      <c r="PQA47" s="478"/>
      <c r="PQB47" s="478"/>
      <c r="PQC47" s="478"/>
      <c r="PQD47" s="478"/>
      <c r="PQE47" s="478"/>
      <c r="PQF47" s="478"/>
      <c r="PQG47" s="478"/>
      <c r="PQH47" s="478"/>
      <c r="PQI47" s="478"/>
      <c r="PQJ47" s="478"/>
      <c r="PQK47" s="478"/>
      <c r="PQL47" s="478"/>
      <c r="PQM47" s="478"/>
      <c r="PQN47" s="478"/>
      <c r="PQO47" s="478"/>
      <c r="PQP47" s="478"/>
      <c r="PQQ47" s="478"/>
      <c r="PQR47" s="478"/>
      <c r="PQS47" s="478"/>
      <c r="PQT47" s="478"/>
      <c r="PQU47" s="478"/>
      <c r="PQV47" s="478"/>
      <c r="PQW47" s="478"/>
      <c r="PQX47" s="478"/>
      <c r="PQY47" s="478"/>
      <c r="PQZ47" s="478"/>
      <c r="PRA47" s="478"/>
      <c r="PRB47" s="478"/>
      <c r="PRC47" s="478"/>
      <c r="PRD47" s="478"/>
      <c r="PRE47" s="478"/>
      <c r="PRF47" s="478"/>
      <c r="PRG47" s="478"/>
      <c r="PRH47" s="478"/>
      <c r="PRI47" s="478"/>
      <c r="PRJ47" s="478"/>
      <c r="PRK47" s="478"/>
      <c r="PRL47" s="478"/>
      <c r="PRM47" s="478"/>
      <c r="PRN47" s="478"/>
      <c r="PRO47" s="478"/>
      <c r="PRP47" s="478"/>
      <c r="PRQ47" s="478"/>
      <c r="PRR47" s="478"/>
      <c r="PRS47" s="478"/>
      <c r="PRT47" s="478"/>
      <c r="PRU47" s="478"/>
      <c r="PRV47" s="478"/>
      <c r="PRW47" s="478"/>
      <c r="PRX47" s="478"/>
      <c r="PRY47" s="478"/>
      <c r="PRZ47" s="478"/>
      <c r="PSA47" s="478"/>
      <c r="PSB47" s="478"/>
      <c r="PSC47" s="478"/>
      <c r="PSD47" s="478"/>
      <c r="PSE47" s="478"/>
      <c r="PSF47" s="478"/>
      <c r="PSG47" s="478"/>
      <c r="PSH47" s="478"/>
      <c r="PSI47" s="478"/>
      <c r="PSJ47" s="478"/>
      <c r="PSK47" s="478"/>
      <c r="PSL47" s="478"/>
      <c r="PSM47" s="478"/>
      <c r="PSN47" s="478"/>
      <c r="PSO47" s="478"/>
      <c r="PSP47" s="478"/>
      <c r="PSQ47" s="478"/>
      <c r="PSR47" s="478"/>
      <c r="PSS47" s="478"/>
      <c r="PST47" s="478"/>
      <c r="PSU47" s="478"/>
      <c r="PSV47" s="478"/>
      <c r="PSW47" s="478"/>
      <c r="PSX47" s="478"/>
      <c r="PSY47" s="478"/>
      <c r="PSZ47" s="478"/>
      <c r="PTA47" s="478"/>
      <c r="PTB47" s="478"/>
      <c r="PTC47" s="478"/>
      <c r="PTD47" s="478"/>
      <c r="PTE47" s="478"/>
      <c r="PTF47" s="478"/>
      <c r="PTG47" s="478"/>
      <c r="PTH47" s="478"/>
      <c r="PTI47" s="478"/>
      <c r="PTJ47" s="478"/>
      <c r="PTK47" s="478"/>
      <c r="PTL47" s="478"/>
      <c r="PTM47" s="478"/>
      <c r="PTN47" s="478"/>
      <c r="PTO47" s="478"/>
      <c r="PTP47" s="478"/>
      <c r="PTQ47" s="478"/>
      <c r="PTR47" s="478"/>
      <c r="PTS47" s="478"/>
      <c r="PTT47" s="478"/>
      <c r="PTU47" s="478"/>
      <c r="PTV47" s="478"/>
      <c r="PTW47" s="478"/>
      <c r="PTX47" s="478"/>
      <c r="PTY47" s="478"/>
      <c r="PTZ47" s="478"/>
      <c r="PUA47" s="478"/>
      <c r="PUB47" s="478"/>
      <c r="PUC47" s="478"/>
      <c r="PUD47" s="478"/>
      <c r="PUE47" s="478"/>
      <c r="PUF47" s="478"/>
      <c r="PUG47" s="478"/>
      <c r="PUH47" s="478"/>
      <c r="PUI47" s="478"/>
      <c r="PUJ47" s="478"/>
      <c r="PUK47" s="478"/>
      <c r="PUL47" s="478"/>
      <c r="PUM47" s="478"/>
      <c r="PUN47" s="478"/>
      <c r="PUO47" s="478"/>
      <c r="PUP47" s="478"/>
      <c r="PUQ47" s="478"/>
      <c r="PUR47" s="478"/>
      <c r="PUS47" s="478"/>
      <c r="PUT47" s="478"/>
      <c r="PUU47" s="478"/>
      <c r="PUV47" s="478"/>
      <c r="PUW47" s="478"/>
      <c r="PUX47" s="478"/>
      <c r="PUY47" s="478"/>
      <c r="PUZ47" s="478"/>
      <c r="PVA47" s="478"/>
      <c r="PVB47" s="478"/>
      <c r="PVC47" s="478"/>
      <c r="PVD47" s="478"/>
      <c r="PVE47" s="478"/>
      <c r="PVF47" s="478"/>
      <c r="PVG47" s="478"/>
      <c r="PVH47" s="478"/>
      <c r="PVI47" s="478"/>
      <c r="PVJ47" s="478"/>
      <c r="PVK47" s="478"/>
      <c r="PVL47" s="478"/>
      <c r="PVM47" s="478"/>
      <c r="PVN47" s="478"/>
      <c r="PVO47" s="478"/>
      <c r="PVP47" s="478"/>
      <c r="PVQ47" s="478"/>
      <c r="PVR47" s="478"/>
      <c r="PVS47" s="478"/>
      <c r="PVT47" s="478"/>
      <c r="PVU47" s="478"/>
      <c r="PVV47" s="478"/>
      <c r="PVW47" s="478"/>
      <c r="PVX47" s="478"/>
      <c r="PVY47" s="478"/>
      <c r="PVZ47" s="478"/>
      <c r="PWA47" s="478"/>
      <c r="PWB47" s="478"/>
      <c r="PWC47" s="478"/>
      <c r="PWD47" s="478"/>
      <c r="PWE47" s="478"/>
      <c r="PWF47" s="478"/>
      <c r="PWG47" s="478"/>
      <c r="PWH47" s="478"/>
      <c r="PWI47" s="478"/>
      <c r="PWJ47" s="478"/>
      <c r="PWK47" s="478"/>
      <c r="PWL47" s="478"/>
      <c r="PWM47" s="478"/>
      <c r="PWN47" s="478"/>
      <c r="PWO47" s="478"/>
      <c r="PWP47" s="478"/>
      <c r="PWQ47" s="478"/>
      <c r="PWR47" s="478"/>
      <c r="PWS47" s="478"/>
      <c r="PWT47" s="478"/>
      <c r="PWU47" s="478"/>
      <c r="PWV47" s="478"/>
      <c r="PWW47" s="478"/>
      <c r="PWX47" s="478"/>
      <c r="PWY47" s="478"/>
      <c r="PWZ47" s="478"/>
      <c r="PXA47" s="478"/>
      <c r="PXB47" s="478"/>
      <c r="PXC47" s="478"/>
      <c r="PXD47" s="478"/>
      <c r="PXE47" s="478"/>
      <c r="PXF47" s="478"/>
      <c r="PXG47" s="478"/>
      <c r="PXH47" s="478"/>
      <c r="PXI47" s="478"/>
      <c r="PXJ47" s="478"/>
      <c r="PXK47" s="478"/>
      <c r="PXL47" s="478"/>
      <c r="PXM47" s="478"/>
      <c r="PXN47" s="478"/>
      <c r="PXO47" s="478"/>
      <c r="PXP47" s="478"/>
      <c r="PXQ47" s="478"/>
      <c r="PXR47" s="478"/>
      <c r="PXS47" s="478"/>
      <c r="PXT47" s="478"/>
      <c r="PXU47" s="478"/>
      <c r="PXV47" s="478"/>
      <c r="PXW47" s="478"/>
      <c r="PXX47" s="478"/>
      <c r="PXY47" s="478"/>
      <c r="PXZ47" s="478"/>
      <c r="PYA47" s="478"/>
      <c r="PYB47" s="478"/>
      <c r="PYC47" s="478"/>
      <c r="PYD47" s="478"/>
      <c r="PYE47" s="478"/>
      <c r="PYF47" s="478"/>
      <c r="PYG47" s="478"/>
      <c r="PYH47" s="478"/>
      <c r="PYI47" s="478"/>
      <c r="PYJ47" s="478"/>
      <c r="PYK47" s="478"/>
      <c r="PYL47" s="478"/>
      <c r="PYM47" s="478"/>
      <c r="PYN47" s="478"/>
      <c r="PYO47" s="478"/>
      <c r="PYP47" s="478"/>
      <c r="PYQ47" s="478"/>
      <c r="PYR47" s="478"/>
      <c r="PYS47" s="478"/>
      <c r="PYT47" s="478"/>
      <c r="PYU47" s="478"/>
      <c r="PYV47" s="478"/>
      <c r="PYW47" s="478"/>
      <c r="PYX47" s="478"/>
      <c r="PYY47" s="478"/>
      <c r="PYZ47" s="478"/>
      <c r="PZA47" s="478"/>
      <c r="PZB47" s="478"/>
      <c r="PZC47" s="478"/>
      <c r="PZD47" s="478"/>
      <c r="PZE47" s="478"/>
      <c r="PZF47" s="478"/>
      <c r="PZG47" s="478"/>
      <c r="PZH47" s="478"/>
      <c r="PZI47" s="478"/>
      <c r="PZJ47" s="478"/>
      <c r="PZK47" s="478"/>
      <c r="PZL47" s="478"/>
      <c r="PZM47" s="478"/>
      <c r="PZN47" s="478"/>
      <c r="PZO47" s="478"/>
      <c r="PZP47" s="478"/>
      <c r="PZQ47" s="478"/>
      <c r="PZR47" s="478"/>
      <c r="PZS47" s="478"/>
      <c r="PZT47" s="478"/>
      <c r="PZU47" s="478"/>
      <c r="PZV47" s="478"/>
      <c r="PZW47" s="478"/>
      <c r="PZX47" s="478"/>
      <c r="PZY47" s="478"/>
      <c r="PZZ47" s="478"/>
      <c r="QAA47" s="478"/>
      <c r="QAB47" s="478"/>
      <c r="QAC47" s="478"/>
      <c r="QAD47" s="478"/>
      <c r="QAE47" s="478"/>
      <c r="QAF47" s="478"/>
      <c r="QAG47" s="478"/>
      <c r="QAH47" s="478"/>
      <c r="QAI47" s="478"/>
      <c r="QAJ47" s="478"/>
      <c r="QAK47" s="478"/>
      <c r="QAL47" s="478"/>
      <c r="QAM47" s="478"/>
      <c r="QAN47" s="478"/>
      <c r="QAO47" s="478"/>
      <c r="QAP47" s="478"/>
      <c r="QAQ47" s="478"/>
      <c r="QAR47" s="478"/>
      <c r="QAS47" s="478"/>
      <c r="QAT47" s="478"/>
      <c r="QAU47" s="478"/>
      <c r="QAV47" s="478"/>
      <c r="QAW47" s="478"/>
      <c r="QAX47" s="478"/>
      <c r="QAY47" s="478"/>
      <c r="QAZ47" s="478"/>
      <c r="QBA47" s="478"/>
      <c r="QBB47" s="478"/>
      <c r="QBC47" s="478"/>
      <c r="QBD47" s="478"/>
      <c r="QBE47" s="478"/>
      <c r="QBF47" s="478"/>
      <c r="QBG47" s="478"/>
      <c r="QBH47" s="478"/>
      <c r="QBI47" s="478"/>
      <c r="QBJ47" s="478"/>
      <c r="QBK47" s="478"/>
      <c r="QBL47" s="478"/>
      <c r="QBM47" s="478"/>
      <c r="QBN47" s="478"/>
      <c r="QBO47" s="478"/>
      <c r="QBP47" s="478"/>
      <c r="QBQ47" s="478"/>
      <c r="QBR47" s="478"/>
      <c r="QBS47" s="478"/>
      <c r="QBT47" s="478"/>
      <c r="QBU47" s="478"/>
      <c r="QBV47" s="478"/>
      <c r="QBW47" s="478"/>
      <c r="QBX47" s="478"/>
      <c r="QBY47" s="478"/>
      <c r="QBZ47" s="478"/>
      <c r="QCA47" s="478"/>
      <c r="QCB47" s="478"/>
      <c r="QCC47" s="478"/>
      <c r="QCD47" s="478"/>
      <c r="QCE47" s="478"/>
      <c r="QCF47" s="478"/>
      <c r="QCG47" s="478"/>
      <c r="QCH47" s="478"/>
      <c r="QCI47" s="478"/>
      <c r="QCJ47" s="478"/>
      <c r="QCK47" s="478"/>
      <c r="QCL47" s="478"/>
      <c r="QCM47" s="478"/>
      <c r="QCN47" s="478"/>
      <c r="QCO47" s="478"/>
      <c r="QCP47" s="478"/>
      <c r="QCQ47" s="478"/>
      <c r="QCR47" s="478"/>
      <c r="QCS47" s="478"/>
      <c r="QCT47" s="478"/>
      <c r="QCU47" s="478"/>
      <c r="QCV47" s="478"/>
      <c r="QCW47" s="478"/>
      <c r="QCX47" s="478"/>
      <c r="QCY47" s="478"/>
      <c r="QCZ47" s="478"/>
      <c r="QDA47" s="478"/>
      <c r="QDB47" s="478"/>
      <c r="QDC47" s="478"/>
      <c r="QDD47" s="478"/>
      <c r="QDE47" s="478"/>
      <c r="QDF47" s="478"/>
      <c r="QDG47" s="478"/>
      <c r="QDH47" s="478"/>
      <c r="QDI47" s="478"/>
      <c r="QDJ47" s="478"/>
      <c r="QDK47" s="478"/>
      <c r="QDL47" s="478"/>
      <c r="QDM47" s="478"/>
      <c r="QDN47" s="478"/>
      <c r="QDO47" s="478"/>
      <c r="QDP47" s="478"/>
      <c r="QDQ47" s="478"/>
      <c r="QDR47" s="478"/>
      <c r="QDS47" s="478"/>
      <c r="QDT47" s="478"/>
      <c r="QDU47" s="478"/>
      <c r="QDV47" s="478"/>
      <c r="QDW47" s="478"/>
      <c r="QDX47" s="478"/>
      <c r="QDY47" s="478"/>
      <c r="QDZ47" s="478"/>
      <c r="QEA47" s="478"/>
      <c r="QEB47" s="478"/>
      <c r="QEC47" s="478"/>
      <c r="QED47" s="478"/>
      <c r="QEE47" s="478"/>
      <c r="QEF47" s="478"/>
      <c r="QEG47" s="478"/>
      <c r="QEH47" s="478"/>
      <c r="QEI47" s="478"/>
      <c r="QEJ47" s="478"/>
      <c r="QEK47" s="478"/>
      <c r="QEL47" s="478"/>
      <c r="QEM47" s="478"/>
      <c r="QEN47" s="478"/>
      <c r="QEO47" s="478"/>
      <c r="QEP47" s="478"/>
      <c r="QEQ47" s="478"/>
      <c r="QER47" s="478"/>
      <c r="QES47" s="478"/>
      <c r="QET47" s="478"/>
      <c r="QEU47" s="478"/>
      <c r="QEV47" s="478"/>
      <c r="QEW47" s="478"/>
      <c r="QEX47" s="478"/>
      <c r="QEY47" s="478"/>
      <c r="QEZ47" s="478"/>
      <c r="QFA47" s="478"/>
      <c r="QFB47" s="478"/>
      <c r="QFC47" s="478"/>
      <c r="QFD47" s="478"/>
      <c r="QFE47" s="478"/>
      <c r="QFF47" s="478"/>
      <c r="QFG47" s="478"/>
      <c r="QFH47" s="478"/>
      <c r="QFI47" s="478"/>
      <c r="QFJ47" s="478"/>
      <c r="QFK47" s="478"/>
      <c r="QFL47" s="478"/>
      <c r="QFM47" s="478"/>
      <c r="QFN47" s="478"/>
      <c r="QFO47" s="478"/>
      <c r="QFP47" s="478"/>
      <c r="QFQ47" s="478"/>
      <c r="QFR47" s="478"/>
      <c r="QFS47" s="478"/>
      <c r="QFT47" s="478"/>
      <c r="QFU47" s="478"/>
      <c r="QFV47" s="478"/>
      <c r="QFW47" s="478"/>
      <c r="QFX47" s="478"/>
      <c r="QFY47" s="478"/>
      <c r="QFZ47" s="478"/>
      <c r="QGA47" s="478"/>
      <c r="QGB47" s="478"/>
      <c r="QGC47" s="478"/>
      <c r="QGD47" s="478"/>
      <c r="QGE47" s="478"/>
      <c r="QGF47" s="478"/>
      <c r="QGG47" s="478"/>
      <c r="QGH47" s="478"/>
      <c r="QGI47" s="478"/>
      <c r="QGJ47" s="478"/>
      <c r="QGK47" s="478"/>
      <c r="QGL47" s="478"/>
      <c r="QGM47" s="478"/>
      <c r="QGN47" s="478"/>
      <c r="QGO47" s="478"/>
      <c r="QGP47" s="478"/>
      <c r="QGQ47" s="478"/>
      <c r="QGR47" s="478"/>
      <c r="QGS47" s="478"/>
      <c r="QGT47" s="478"/>
      <c r="QGU47" s="478"/>
      <c r="QGV47" s="478"/>
      <c r="QGW47" s="478"/>
      <c r="QGX47" s="478"/>
      <c r="QGY47" s="478"/>
      <c r="QGZ47" s="478"/>
      <c r="QHA47" s="478"/>
      <c r="QHB47" s="478"/>
      <c r="QHC47" s="478"/>
      <c r="QHD47" s="478"/>
      <c r="QHE47" s="478"/>
      <c r="QHF47" s="478"/>
      <c r="QHG47" s="478"/>
      <c r="QHH47" s="478"/>
      <c r="QHI47" s="478"/>
      <c r="QHJ47" s="478"/>
      <c r="QHK47" s="478"/>
      <c r="QHL47" s="478"/>
      <c r="QHM47" s="478"/>
      <c r="QHN47" s="478"/>
      <c r="QHO47" s="478"/>
      <c r="QHP47" s="478"/>
      <c r="QHQ47" s="478"/>
      <c r="QHR47" s="478"/>
      <c r="QHS47" s="478"/>
      <c r="QHT47" s="478"/>
      <c r="QHU47" s="478"/>
      <c r="QHV47" s="478"/>
      <c r="QHW47" s="478"/>
      <c r="QHX47" s="478"/>
      <c r="QHY47" s="478"/>
      <c r="QHZ47" s="478"/>
      <c r="QIA47" s="478"/>
      <c r="QIB47" s="478"/>
      <c r="QIC47" s="478"/>
      <c r="QID47" s="478"/>
      <c r="QIE47" s="478"/>
      <c r="QIF47" s="478"/>
      <c r="QIG47" s="478"/>
      <c r="QIH47" s="478"/>
      <c r="QII47" s="478"/>
      <c r="QIJ47" s="478"/>
      <c r="QIK47" s="478"/>
      <c r="QIL47" s="478"/>
      <c r="QIM47" s="478"/>
      <c r="QIN47" s="478"/>
      <c r="QIO47" s="478"/>
      <c r="QIP47" s="478"/>
      <c r="QIQ47" s="478"/>
      <c r="QIR47" s="478"/>
      <c r="QIS47" s="478"/>
      <c r="QIT47" s="478"/>
      <c r="QIU47" s="478"/>
      <c r="QIV47" s="478"/>
      <c r="QIW47" s="478"/>
      <c r="QIX47" s="478"/>
      <c r="QIY47" s="478"/>
      <c r="QIZ47" s="478"/>
      <c r="QJA47" s="478"/>
      <c r="QJB47" s="478"/>
      <c r="QJC47" s="478"/>
      <c r="QJD47" s="478"/>
      <c r="QJE47" s="478"/>
      <c r="QJF47" s="478"/>
      <c r="QJG47" s="478"/>
      <c r="QJH47" s="478"/>
      <c r="QJI47" s="478"/>
      <c r="QJJ47" s="478"/>
      <c r="QJK47" s="478"/>
      <c r="QJL47" s="478"/>
      <c r="QJM47" s="478"/>
      <c r="QJN47" s="478"/>
      <c r="QJO47" s="478"/>
      <c r="QJP47" s="478"/>
      <c r="QJQ47" s="478"/>
      <c r="QJR47" s="478"/>
      <c r="QJS47" s="478"/>
      <c r="QJT47" s="478"/>
      <c r="QJU47" s="478"/>
      <c r="QJV47" s="478"/>
      <c r="QJW47" s="478"/>
      <c r="QJX47" s="478"/>
      <c r="QJY47" s="478"/>
      <c r="QJZ47" s="478"/>
      <c r="QKA47" s="478"/>
      <c r="QKB47" s="478"/>
      <c r="QKC47" s="478"/>
      <c r="QKD47" s="478"/>
      <c r="QKE47" s="478"/>
      <c r="QKF47" s="478"/>
      <c r="QKG47" s="478"/>
      <c r="QKH47" s="478"/>
      <c r="QKI47" s="478"/>
      <c r="QKJ47" s="478"/>
      <c r="QKK47" s="478"/>
      <c r="QKL47" s="478"/>
      <c r="QKM47" s="478"/>
      <c r="QKN47" s="478"/>
      <c r="QKO47" s="478"/>
      <c r="QKP47" s="478"/>
      <c r="QKQ47" s="478"/>
      <c r="QKR47" s="478"/>
      <c r="QKS47" s="478"/>
      <c r="QKT47" s="478"/>
      <c r="QKU47" s="478"/>
      <c r="QKV47" s="478"/>
      <c r="QKW47" s="478"/>
      <c r="QKX47" s="478"/>
      <c r="QKY47" s="478"/>
      <c r="QKZ47" s="478"/>
      <c r="QLA47" s="478"/>
      <c r="QLB47" s="478"/>
      <c r="QLC47" s="478"/>
      <c r="QLD47" s="478"/>
      <c r="QLE47" s="478"/>
      <c r="QLF47" s="478"/>
      <c r="QLG47" s="478"/>
      <c r="QLH47" s="478"/>
      <c r="QLI47" s="478"/>
      <c r="QLJ47" s="478"/>
      <c r="QLK47" s="478"/>
      <c r="QLL47" s="478"/>
      <c r="QLM47" s="478"/>
      <c r="QLN47" s="478"/>
      <c r="QLO47" s="478"/>
      <c r="QLP47" s="478"/>
      <c r="QLQ47" s="478"/>
      <c r="QLR47" s="478"/>
      <c r="QLS47" s="478"/>
      <c r="QLT47" s="478"/>
      <c r="QLU47" s="478"/>
      <c r="QLV47" s="478"/>
      <c r="QLW47" s="478"/>
      <c r="QLX47" s="478"/>
      <c r="QLY47" s="478"/>
      <c r="QLZ47" s="478"/>
      <c r="QMA47" s="478"/>
      <c r="QMB47" s="478"/>
      <c r="QMC47" s="478"/>
      <c r="QMD47" s="478"/>
      <c r="QME47" s="478"/>
      <c r="QMF47" s="478"/>
      <c r="QMG47" s="478"/>
      <c r="QMH47" s="478"/>
      <c r="QMI47" s="478"/>
      <c r="QMJ47" s="478"/>
      <c r="QMK47" s="478"/>
      <c r="QML47" s="478"/>
      <c r="QMM47" s="478"/>
      <c r="QMN47" s="478"/>
      <c r="QMO47" s="478"/>
      <c r="QMP47" s="478"/>
      <c r="QMQ47" s="478"/>
      <c r="QMR47" s="478"/>
      <c r="QMS47" s="478"/>
      <c r="QMT47" s="478"/>
      <c r="QMU47" s="478"/>
      <c r="QMV47" s="478"/>
      <c r="QMW47" s="478"/>
      <c r="QMX47" s="478"/>
      <c r="QMY47" s="478"/>
      <c r="QMZ47" s="478"/>
      <c r="QNA47" s="478"/>
      <c r="QNB47" s="478"/>
      <c r="QNC47" s="478"/>
      <c r="QND47" s="478"/>
      <c r="QNE47" s="478"/>
      <c r="QNF47" s="478"/>
      <c r="QNG47" s="478"/>
      <c r="QNH47" s="478"/>
      <c r="QNI47" s="478"/>
      <c r="QNJ47" s="478"/>
      <c r="QNK47" s="478"/>
      <c r="QNL47" s="478"/>
      <c r="QNM47" s="478"/>
      <c r="QNN47" s="478"/>
      <c r="QNO47" s="478"/>
      <c r="QNP47" s="478"/>
      <c r="QNQ47" s="478"/>
      <c r="QNR47" s="478"/>
      <c r="QNS47" s="478"/>
      <c r="QNT47" s="478"/>
      <c r="QNU47" s="478"/>
      <c r="QNV47" s="478"/>
      <c r="QNW47" s="478"/>
      <c r="QNX47" s="478"/>
      <c r="QNY47" s="478"/>
      <c r="QNZ47" s="478"/>
      <c r="QOA47" s="478"/>
      <c r="QOB47" s="478"/>
      <c r="QOC47" s="478"/>
      <c r="QOD47" s="478"/>
      <c r="QOE47" s="478"/>
      <c r="QOF47" s="478"/>
      <c r="QOG47" s="478"/>
      <c r="QOH47" s="478"/>
      <c r="QOI47" s="478"/>
      <c r="QOJ47" s="478"/>
      <c r="QOK47" s="478"/>
      <c r="QOL47" s="478"/>
      <c r="QOM47" s="478"/>
      <c r="QON47" s="478"/>
      <c r="QOO47" s="478"/>
      <c r="QOP47" s="478"/>
      <c r="QOQ47" s="478"/>
      <c r="QOR47" s="478"/>
      <c r="QOS47" s="478"/>
      <c r="QOT47" s="478"/>
      <c r="QOU47" s="478"/>
      <c r="QOV47" s="478"/>
      <c r="QOW47" s="478"/>
      <c r="QOX47" s="478"/>
      <c r="QOY47" s="478"/>
      <c r="QOZ47" s="478"/>
      <c r="QPA47" s="478"/>
      <c r="QPB47" s="478"/>
      <c r="QPC47" s="478"/>
      <c r="QPD47" s="478"/>
      <c r="QPE47" s="478"/>
      <c r="QPF47" s="478"/>
      <c r="QPG47" s="478"/>
      <c r="QPH47" s="478"/>
      <c r="QPI47" s="478"/>
      <c r="QPJ47" s="478"/>
      <c r="QPK47" s="478"/>
      <c r="QPL47" s="478"/>
      <c r="QPM47" s="478"/>
      <c r="QPN47" s="478"/>
      <c r="QPO47" s="478"/>
      <c r="QPP47" s="478"/>
      <c r="QPQ47" s="478"/>
      <c r="QPR47" s="478"/>
      <c r="QPS47" s="478"/>
      <c r="QPT47" s="478"/>
      <c r="QPU47" s="478"/>
      <c r="QPV47" s="478"/>
      <c r="QPW47" s="478"/>
      <c r="QPX47" s="478"/>
      <c r="QPY47" s="478"/>
      <c r="QPZ47" s="478"/>
      <c r="QQA47" s="478"/>
      <c r="QQB47" s="478"/>
      <c r="QQC47" s="478"/>
      <c r="QQD47" s="478"/>
      <c r="QQE47" s="478"/>
      <c r="QQF47" s="478"/>
      <c r="QQG47" s="478"/>
      <c r="QQH47" s="478"/>
      <c r="QQI47" s="478"/>
      <c r="QQJ47" s="478"/>
      <c r="QQK47" s="478"/>
      <c r="QQL47" s="478"/>
      <c r="QQM47" s="478"/>
      <c r="QQN47" s="478"/>
      <c r="QQO47" s="478"/>
      <c r="QQP47" s="478"/>
      <c r="QQQ47" s="478"/>
      <c r="QQR47" s="478"/>
      <c r="QQS47" s="478"/>
      <c r="QQT47" s="478"/>
      <c r="QQU47" s="478"/>
      <c r="QQV47" s="478"/>
      <c r="QQW47" s="478"/>
      <c r="QQX47" s="478"/>
      <c r="QQY47" s="478"/>
      <c r="QQZ47" s="478"/>
      <c r="QRA47" s="478"/>
      <c r="QRB47" s="478"/>
      <c r="QRC47" s="478"/>
      <c r="QRD47" s="478"/>
      <c r="QRE47" s="478"/>
      <c r="QRF47" s="478"/>
      <c r="QRG47" s="478"/>
      <c r="QRH47" s="478"/>
      <c r="QRI47" s="478"/>
      <c r="QRJ47" s="478"/>
      <c r="QRK47" s="478"/>
      <c r="QRL47" s="478"/>
      <c r="QRM47" s="478"/>
      <c r="QRN47" s="478"/>
      <c r="QRO47" s="478"/>
      <c r="QRP47" s="478"/>
      <c r="QRQ47" s="478"/>
      <c r="QRR47" s="478"/>
      <c r="QRS47" s="478"/>
      <c r="QRT47" s="478"/>
      <c r="QRU47" s="478"/>
      <c r="QRV47" s="478"/>
      <c r="QRW47" s="478"/>
      <c r="QRX47" s="478"/>
      <c r="QRY47" s="478"/>
      <c r="QRZ47" s="478"/>
      <c r="QSA47" s="478"/>
      <c r="QSB47" s="478"/>
      <c r="QSC47" s="478"/>
      <c r="QSD47" s="478"/>
      <c r="QSE47" s="478"/>
      <c r="QSF47" s="478"/>
      <c r="QSG47" s="478"/>
      <c r="QSH47" s="478"/>
      <c r="QSI47" s="478"/>
      <c r="QSJ47" s="478"/>
      <c r="QSK47" s="478"/>
      <c r="QSL47" s="478"/>
      <c r="QSM47" s="478"/>
      <c r="QSN47" s="478"/>
      <c r="QSO47" s="478"/>
      <c r="QSP47" s="478"/>
      <c r="QSQ47" s="478"/>
      <c r="QSR47" s="478"/>
      <c r="QSS47" s="478"/>
      <c r="QST47" s="478"/>
      <c r="QSU47" s="478"/>
      <c r="QSV47" s="478"/>
      <c r="QSW47" s="478"/>
      <c r="QSX47" s="478"/>
      <c r="QSY47" s="478"/>
      <c r="QSZ47" s="478"/>
      <c r="QTA47" s="478"/>
      <c r="QTB47" s="478"/>
      <c r="QTC47" s="478"/>
      <c r="QTD47" s="478"/>
      <c r="QTE47" s="478"/>
      <c r="QTF47" s="478"/>
      <c r="QTG47" s="478"/>
      <c r="QTH47" s="478"/>
      <c r="QTI47" s="478"/>
      <c r="QTJ47" s="478"/>
      <c r="QTK47" s="478"/>
      <c r="QTL47" s="478"/>
      <c r="QTM47" s="478"/>
      <c r="QTN47" s="478"/>
      <c r="QTO47" s="478"/>
      <c r="QTP47" s="478"/>
      <c r="QTQ47" s="478"/>
      <c r="QTR47" s="478"/>
      <c r="QTS47" s="478"/>
      <c r="QTT47" s="478"/>
      <c r="QTU47" s="478"/>
      <c r="QTV47" s="478"/>
      <c r="QTW47" s="478"/>
      <c r="QTX47" s="478"/>
      <c r="QTY47" s="478"/>
      <c r="QTZ47" s="478"/>
      <c r="QUA47" s="478"/>
      <c r="QUB47" s="478"/>
      <c r="QUC47" s="478"/>
      <c r="QUD47" s="478"/>
      <c r="QUE47" s="478"/>
      <c r="QUF47" s="478"/>
      <c r="QUG47" s="478"/>
      <c r="QUH47" s="478"/>
      <c r="QUI47" s="478"/>
      <c r="QUJ47" s="478"/>
      <c r="QUK47" s="478"/>
      <c r="QUL47" s="478"/>
      <c r="QUM47" s="478"/>
      <c r="QUN47" s="478"/>
      <c r="QUO47" s="478"/>
      <c r="QUP47" s="478"/>
      <c r="QUQ47" s="478"/>
      <c r="QUR47" s="478"/>
      <c r="QUS47" s="478"/>
      <c r="QUT47" s="478"/>
      <c r="QUU47" s="478"/>
      <c r="QUV47" s="478"/>
      <c r="QUW47" s="478"/>
      <c r="QUX47" s="478"/>
      <c r="QUY47" s="478"/>
      <c r="QUZ47" s="478"/>
      <c r="QVA47" s="478"/>
      <c r="QVB47" s="478"/>
      <c r="QVC47" s="478"/>
      <c r="QVD47" s="478"/>
      <c r="QVE47" s="478"/>
      <c r="QVF47" s="478"/>
      <c r="QVG47" s="478"/>
      <c r="QVH47" s="478"/>
      <c r="QVI47" s="478"/>
      <c r="QVJ47" s="478"/>
      <c r="QVK47" s="478"/>
      <c r="QVL47" s="478"/>
      <c r="QVM47" s="478"/>
      <c r="QVN47" s="478"/>
      <c r="QVO47" s="478"/>
      <c r="QVP47" s="478"/>
      <c r="QVQ47" s="478"/>
      <c r="QVR47" s="478"/>
      <c r="QVS47" s="478"/>
      <c r="QVT47" s="478"/>
      <c r="QVU47" s="478"/>
      <c r="QVV47" s="478"/>
      <c r="QVW47" s="478"/>
      <c r="QVX47" s="478"/>
      <c r="QVY47" s="478"/>
      <c r="QVZ47" s="478"/>
      <c r="QWA47" s="478"/>
      <c r="QWB47" s="478"/>
      <c r="QWC47" s="478"/>
      <c r="QWD47" s="478"/>
      <c r="QWE47" s="478"/>
      <c r="QWF47" s="478"/>
      <c r="QWG47" s="478"/>
      <c r="QWH47" s="478"/>
      <c r="QWI47" s="478"/>
      <c r="QWJ47" s="478"/>
      <c r="QWK47" s="478"/>
      <c r="QWL47" s="478"/>
      <c r="QWM47" s="478"/>
      <c r="QWN47" s="478"/>
      <c r="QWO47" s="478"/>
      <c r="QWP47" s="478"/>
      <c r="QWQ47" s="478"/>
      <c r="QWR47" s="478"/>
      <c r="QWS47" s="478"/>
      <c r="QWT47" s="478"/>
      <c r="QWU47" s="478"/>
      <c r="QWV47" s="478"/>
      <c r="QWW47" s="478"/>
      <c r="QWX47" s="478"/>
      <c r="QWY47" s="478"/>
      <c r="QWZ47" s="478"/>
      <c r="QXA47" s="478"/>
      <c r="QXB47" s="478"/>
      <c r="QXC47" s="478"/>
      <c r="QXD47" s="478"/>
      <c r="QXE47" s="478"/>
      <c r="QXF47" s="478"/>
      <c r="QXG47" s="478"/>
      <c r="QXH47" s="478"/>
      <c r="QXI47" s="478"/>
      <c r="QXJ47" s="478"/>
      <c r="QXK47" s="478"/>
      <c r="QXL47" s="478"/>
      <c r="QXM47" s="478"/>
      <c r="QXN47" s="478"/>
      <c r="QXO47" s="478"/>
      <c r="QXP47" s="478"/>
      <c r="QXQ47" s="478"/>
      <c r="QXR47" s="478"/>
      <c r="QXS47" s="478"/>
      <c r="QXT47" s="478"/>
      <c r="QXU47" s="478"/>
      <c r="QXV47" s="478"/>
      <c r="QXW47" s="478"/>
      <c r="QXX47" s="478"/>
      <c r="QXY47" s="478"/>
      <c r="QXZ47" s="478"/>
      <c r="QYA47" s="478"/>
      <c r="QYB47" s="478"/>
      <c r="QYC47" s="478"/>
      <c r="QYD47" s="478"/>
      <c r="QYE47" s="478"/>
      <c r="QYF47" s="478"/>
      <c r="QYG47" s="478"/>
      <c r="QYH47" s="478"/>
      <c r="QYI47" s="478"/>
      <c r="QYJ47" s="478"/>
      <c r="QYK47" s="478"/>
      <c r="QYL47" s="478"/>
      <c r="QYM47" s="478"/>
      <c r="QYN47" s="478"/>
      <c r="QYO47" s="478"/>
      <c r="QYP47" s="478"/>
      <c r="QYQ47" s="478"/>
      <c r="QYR47" s="478"/>
      <c r="QYS47" s="478"/>
      <c r="QYT47" s="478"/>
      <c r="QYU47" s="478"/>
      <c r="QYV47" s="478"/>
      <c r="QYW47" s="478"/>
      <c r="QYX47" s="478"/>
      <c r="QYY47" s="478"/>
      <c r="QYZ47" s="478"/>
      <c r="QZA47" s="478"/>
      <c r="QZB47" s="478"/>
      <c r="QZC47" s="478"/>
      <c r="QZD47" s="478"/>
      <c r="QZE47" s="478"/>
      <c r="QZF47" s="478"/>
      <c r="QZG47" s="478"/>
      <c r="QZH47" s="478"/>
      <c r="QZI47" s="478"/>
      <c r="QZJ47" s="478"/>
      <c r="QZK47" s="478"/>
      <c r="QZL47" s="478"/>
      <c r="QZM47" s="478"/>
      <c r="QZN47" s="478"/>
      <c r="QZO47" s="478"/>
      <c r="QZP47" s="478"/>
      <c r="QZQ47" s="478"/>
      <c r="QZR47" s="478"/>
      <c r="QZS47" s="478"/>
      <c r="QZT47" s="478"/>
      <c r="QZU47" s="478"/>
      <c r="QZV47" s="478"/>
      <c r="QZW47" s="478"/>
      <c r="QZX47" s="478"/>
      <c r="QZY47" s="478"/>
      <c r="QZZ47" s="478"/>
      <c r="RAA47" s="478"/>
      <c r="RAB47" s="478"/>
      <c r="RAC47" s="478"/>
      <c r="RAD47" s="478"/>
      <c r="RAE47" s="478"/>
      <c r="RAF47" s="478"/>
      <c r="RAG47" s="478"/>
      <c r="RAH47" s="478"/>
      <c r="RAI47" s="478"/>
      <c r="RAJ47" s="478"/>
      <c r="RAK47" s="478"/>
      <c r="RAL47" s="478"/>
      <c r="RAM47" s="478"/>
      <c r="RAN47" s="478"/>
      <c r="RAO47" s="478"/>
      <c r="RAP47" s="478"/>
      <c r="RAQ47" s="478"/>
      <c r="RAR47" s="478"/>
      <c r="RAS47" s="478"/>
      <c r="RAT47" s="478"/>
      <c r="RAU47" s="478"/>
      <c r="RAV47" s="478"/>
      <c r="RAW47" s="478"/>
      <c r="RAX47" s="478"/>
      <c r="RAY47" s="478"/>
      <c r="RAZ47" s="478"/>
      <c r="RBA47" s="478"/>
      <c r="RBB47" s="478"/>
      <c r="RBC47" s="478"/>
      <c r="RBD47" s="478"/>
      <c r="RBE47" s="478"/>
      <c r="RBF47" s="478"/>
      <c r="RBG47" s="478"/>
      <c r="RBH47" s="478"/>
      <c r="RBI47" s="478"/>
      <c r="RBJ47" s="478"/>
      <c r="RBK47" s="478"/>
      <c r="RBL47" s="478"/>
      <c r="RBM47" s="478"/>
      <c r="RBN47" s="478"/>
      <c r="RBO47" s="478"/>
      <c r="RBP47" s="478"/>
      <c r="RBQ47" s="478"/>
      <c r="RBR47" s="478"/>
      <c r="RBS47" s="478"/>
      <c r="RBT47" s="478"/>
      <c r="RBU47" s="478"/>
      <c r="RBV47" s="478"/>
      <c r="RBW47" s="478"/>
      <c r="RBX47" s="478"/>
      <c r="RBY47" s="478"/>
      <c r="RBZ47" s="478"/>
      <c r="RCA47" s="478"/>
      <c r="RCB47" s="478"/>
      <c r="RCC47" s="478"/>
      <c r="RCD47" s="478"/>
      <c r="RCE47" s="478"/>
      <c r="RCF47" s="478"/>
      <c r="RCG47" s="478"/>
      <c r="RCH47" s="478"/>
      <c r="RCI47" s="478"/>
      <c r="RCJ47" s="478"/>
      <c r="RCK47" s="478"/>
      <c r="RCL47" s="478"/>
      <c r="RCM47" s="478"/>
      <c r="RCN47" s="478"/>
      <c r="RCO47" s="478"/>
      <c r="RCP47" s="478"/>
      <c r="RCQ47" s="478"/>
      <c r="RCR47" s="478"/>
      <c r="RCS47" s="478"/>
      <c r="RCT47" s="478"/>
      <c r="RCU47" s="478"/>
      <c r="RCV47" s="478"/>
      <c r="RCW47" s="478"/>
      <c r="RCX47" s="478"/>
      <c r="RCY47" s="478"/>
      <c r="RCZ47" s="478"/>
      <c r="RDA47" s="478"/>
      <c r="RDB47" s="478"/>
      <c r="RDC47" s="478"/>
      <c r="RDD47" s="478"/>
      <c r="RDE47" s="478"/>
      <c r="RDF47" s="478"/>
      <c r="RDG47" s="478"/>
      <c r="RDH47" s="478"/>
      <c r="RDI47" s="478"/>
      <c r="RDJ47" s="478"/>
      <c r="RDK47" s="478"/>
      <c r="RDL47" s="478"/>
      <c r="RDM47" s="478"/>
      <c r="RDN47" s="478"/>
      <c r="RDO47" s="478"/>
      <c r="RDP47" s="478"/>
      <c r="RDQ47" s="478"/>
      <c r="RDR47" s="478"/>
      <c r="RDS47" s="478"/>
      <c r="RDT47" s="478"/>
      <c r="RDU47" s="478"/>
      <c r="RDV47" s="478"/>
      <c r="RDW47" s="478"/>
      <c r="RDX47" s="478"/>
      <c r="RDY47" s="478"/>
      <c r="RDZ47" s="478"/>
      <c r="REA47" s="478"/>
      <c r="REB47" s="478"/>
      <c r="REC47" s="478"/>
      <c r="RED47" s="478"/>
      <c r="REE47" s="478"/>
      <c r="REF47" s="478"/>
      <c r="REG47" s="478"/>
      <c r="REH47" s="478"/>
      <c r="REI47" s="478"/>
      <c r="REJ47" s="478"/>
      <c r="REK47" s="478"/>
      <c r="REL47" s="478"/>
      <c r="REM47" s="478"/>
      <c r="REN47" s="478"/>
      <c r="REO47" s="478"/>
      <c r="REP47" s="478"/>
      <c r="REQ47" s="478"/>
      <c r="RER47" s="478"/>
      <c r="RES47" s="478"/>
      <c r="RET47" s="478"/>
      <c r="REU47" s="478"/>
      <c r="REV47" s="478"/>
      <c r="REW47" s="478"/>
      <c r="REX47" s="478"/>
      <c r="REY47" s="478"/>
      <c r="REZ47" s="478"/>
      <c r="RFA47" s="478"/>
      <c r="RFB47" s="478"/>
      <c r="RFC47" s="478"/>
      <c r="RFD47" s="478"/>
      <c r="RFE47" s="478"/>
      <c r="RFF47" s="478"/>
      <c r="RFG47" s="478"/>
      <c r="RFH47" s="478"/>
      <c r="RFI47" s="478"/>
      <c r="RFJ47" s="478"/>
      <c r="RFK47" s="478"/>
      <c r="RFL47" s="478"/>
      <c r="RFM47" s="478"/>
      <c r="RFN47" s="478"/>
      <c r="RFO47" s="478"/>
      <c r="RFP47" s="478"/>
      <c r="RFQ47" s="478"/>
      <c r="RFR47" s="478"/>
      <c r="RFS47" s="478"/>
      <c r="RFT47" s="478"/>
      <c r="RFU47" s="478"/>
      <c r="RFV47" s="478"/>
      <c r="RFW47" s="478"/>
      <c r="RFX47" s="478"/>
      <c r="RFY47" s="478"/>
      <c r="RFZ47" s="478"/>
      <c r="RGA47" s="478"/>
      <c r="RGB47" s="478"/>
      <c r="RGC47" s="478"/>
      <c r="RGD47" s="478"/>
      <c r="RGE47" s="478"/>
      <c r="RGF47" s="478"/>
      <c r="RGG47" s="478"/>
      <c r="RGH47" s="478"/>
      <c r="RGI47" s="478"/>
      <c r="RGJ47" s="478"/>
      <c r="RGK47" s="478"/>
      <c r="RGL47" s="478"/>
      <c r="RGM47" s="478"/>
      <c r="RGN47" s="478"/>
      <c r="RGO47" s="478"/>
      <c r="RGP47" s="478"/>
      <c r="RGQ47" s="478"/>
      <c r="RGR47" s="478"/>
      <c r="RGS47" s="478"/>
      <c r="RGT47" s="478"/>
      <c r="RGU47" s="478"/>
      <c r="RGV47" s="478"/>
      <c r="RGW47" s="478"/>
      <c r="RGX47" s="478"/>
      <c r="RGY47" s="478"/>
      <c r="RGZ47" s="478"/>
      <c r="RHA47" s="478"/>
      <c r="RHB47" s="478"/>
      <c r="RHC47" s="478"/>
      <c r="RHD47" s="478"/>
      <c r="RHE47" s="478"/>
      <c r="RHF47" s="478"/>
      <c r="RHG47" s="478"/>
      <c r="RHH47" s="478"/>
      <c r="RHI47" s="478"/>
      <c r="RHJ47" s="478"/>
      <c r="RHK47" s="478"/>
      <c r="RHL47" s="478"/>
      <c r="RHM47" s="478"/>
      <c r="RHN47" s="478"/>
      <c r="RHO47" s="478"/>
      <c r="RHP47" s="478"/>
      <c r="RHQ47" s="478"/>
      <c r="RHR47" s="478"/>
      <c r="RHS47" s="478"/>
      <c r="RHT47" s="478"/>
      <c r="RHU47" s="478"/>
      <c r="RHV47" s="478"/>
      <c r="RHW47" s="478"/>
      <c r="RHX47" s="478"/>
      <c r="RHY47" s="478"/>
      <c r="RHZ47" s="478"/>
      <c r="RIA47" s="478"/>
      <c r="RIB47" s="478"/>
      <c r="RIC47" s="478"/>
      <c r="RID47" s="478"/>
      <c r="RIE47" s="478"/>
      <c r="RIF47" s="478"/>
      <c r="RIG47" s="478"/>
      <c r="RIH47" s="478"/>
      <c r="RII47" s="478"/>
      <c r="RIJ47" s="478"/>
      <c r="RIK47" s="478"/>
      <c r="RIL47" s="478"/>
      <c r="RIM47" s="478"/>
      <c r="RIN47" s="478"/>
      <c r="RIO47" s="478"/>
      <c r="RIP47" s="478"/>
      <c r="RIQ47" s="478"/>
      <c r="RIR47" s="478"/>
      <c r="RIS47" s="478"/>
      <c r="RIT47" s="478"/>
      <c r="RIU47" s="478"/>
      <c r="RIV47" s="478"/>
      <c r="RIW47" s="478"/>
      <c r="RIX47" s="478"/>
      <c r="RIY47" s="478"/>
      <c r="RIZ47" s="478"/>
      <c r="RJA47" s="478"/>
      <c r="RJB47" s="478"/>
      <c r="RJC47" s="478"/>
      <c r="RJD47" s="478"/>
      <c r="RJE47" s="478"/>
      <c r="RJF47" s="478"/>
      <c r="RJG47" s="478"/>
      <c r="RJH47" s="478"/>
      <c r="RJI47" s="478"/>
      <c r="RJJ47" s="478"/>
      <c r="RJK47" s="478"/>
      <c r="RJL47" s="478"/>
      <c r="RJM47" s="478"/>
      <c r="RJN47" s="478"/>
      <c r="RJO47" s="478"/>
      <c r="RJP47" s="478"/>
      <c r="RJQ47" s="478"/>
      <c r="RJR47" s="478"/>
      <c r="RJS47" s="478"/>
      <c r="RJT47" s="478"/>
      <c r="RJU47" s="478"/>
      <c r="RJV47" s="478"/>
      <c r="RJW47" s="478"/>
      <c r="RJX47" s="478"/>
      <c r="RJY47" s="478"/>
      <c r="RJZ47" s="478"/>
      <c r="RKA47" s="478"/>
      <c r="RKB47" s="478"/>
      <c r="RKC47" s="478"/>
      <c r="RKD47" s="478"/>
      <c r="RKE47" s="478"/>
      <c r="RKF47" s="478"/>
      <c r="RKG47" s="478"/>
      <c r="RKH47" s="478"/>
      <c r="RKI47" s="478"/>
      <c r="RKJ47" s="478"/>
      <c r="RKK47" s="478"/>
      <c r="RKL47" s="478"/>
      <c r="RKM47" s="478"/>
      <c r="RKN47" s="478"/>
      <c r="RKO47" s="478"/>
      <c r="RKP47" s="478"/>
      <c r="RKQ47" s="478"/>
      <c r="RKR47" s="478"/>
      <c r="RKS47" s="478"/>
      <c r="RKT47" s="478"/>
      <c r="RKU47" s="478"/>
      <c r="RKV47" s="478"/>
      <c r="RKW47" s="478"/>
      <c r="RKX47" s="478"/>
      <c r="RKY47" s="478"/>
      <c r="RKZ47" s="478"/>
      <c r="RLA47" s="478"/>
      <c r="RLB47" s="478"/>
      <c r="RLC47" s="478"/>
      <c r="RLD47" s="478"/>
      <c r="RLE47" s="478"/>
      <c r="RLF47" s="478"/>
      <c r="RLG47" s="478"/>
      <c r="RLH47" s="478"/>
      <c r="RLI47" s="478"/>
      <c r="RLJ47" s="478"/>
      <c r="RLK47" s="478"/>
      <c r="RLL47" s="478"/>
      <c r="RLM47" s="478"/>
      <c r="RLN47" s="478"/>
      <c r="RLO47" s="478"/>
      <c r="RLP47" s="478"/>
      <c r="RLQ47" s="478"/>
      <c r="RLR47" s="478"/>
      <c r="RLS47" s="478"/>
      <c r="RLT47" s="478"/>
      <c r="RLU47" s="478"/>
      <c r="RLV47" s="478"/>
      <c r="RLW47" s="478"/>
      <c r="RLX47" s="478"/>
      <c r="RLY47" s="478"/>
      <c r="RLZ47" s="478"/>
      <c r="RMA47" s="478"/>
      <c r="RMB47" s="478"/>
      <c r="RMC47" s="478"/>
      <c r="RMD47" s="478"/>
      <c r="RME47" s="478"/>
      <c r="RMF47" s="478"/>
      <c r="RMG47" s="478"/>
      <c r="RMH47" s="478"/>
      <c r="RMI47" s="478"/>
      <c r="RMJ47" s="478"/>
      <c r="RMK47" s="478"/>
      <c r="RML47" s="478"/>
      <c r="RMM47" s="478"/>
      <c r="RMN47" s="478"/>
      <c r="RMO47" s="478"/>
      <c r="RMP47" s="478"/>
      <c r="RMQ47" s="478"/>
      <c r="RMR47" s="478"/>
      <c r="RMS47" s="478"/>
      <c r="RMT47" s="478"/>
      <c r="RMU47" s="478"/>
      <c r="RMV47" s="478"/>
      <c r="RMW47" s="478"/>
      <c r="RMX47" s="478"/>
      <c r="RMY47" s="478"/>
      <c r="RMZ47" s="478"/>
      <c r="RNA47" s="478"/>
      <c r="RNB47" s="478"/>
      <c r="RNC47" s="478"/>
      <c r="RND47" s="478"/>
      <c r="RNE47" s="478"/>
      <c r="RNF47" s="478"/>
      <c r="RNG47" s="478"/>
      <c r="RNH47" s="478"/>
      <c r="RNI47" s="478"/>
      <c r="RNJ47" s="478"/>
      <c r="RNK47" s="478"/>
      <c r="RNL47" s="478"/>
      <c r="RNM47" s="478"/>
      <c r="RNN47" s="478"/>
      <c r="RNO47" s="478"/>
      <c r="RNP47" s="478"/>
      <c r="RNQ47" s="478"/>
      <c r="RNR47" s="478"/>
      <c r="RNS47" s="478"/>
      <c r="RNT47" s="478"/>
      <c r="RNU47" s="478"/>
      <c r="RNV47" s="478"/>
      <c r="RNW47" s="478"/>
      <c r="RNX47" s="478"/>
      <c r="RNY47" s="478"/>
      <c r="RNZ47" s="478"/>
      <c r="ROA47" s="478"/>
      <c r="ROB47" s="478"/>
      <c r="ROC47" s="478"/>
      <c r="ROD47" s="478"/>
      <c r="ROE47" s="478"/>
      <c r="ROF47" s="478"/>
      <c r="ROG47" s="478"/>
      <c r="ROH47" s="478"/>
      <c r="ROI47" s="478"/>
      <c r="ROJ47" s="478"/>
      <c r="ROK47" s="478"/>
      <c r="ROL47" s="478"/>
      <c r="ROM47" s="478"/>
      <c r="RON47" s="478"/>
      <c r="ROO47" s="478"/>
      <c r="ROP47" s="478"/>
      <c r="ROQ47" s="478"/>
      <c r="ROR47" s="478"/>
      <c r="ROS47" s="478"/>
      <c r="ROT47" s="478"/>
      <c r="ROU47" s="478"/>
      <c r="ROV47" s="478"/>
      <c r="ROW47" s="478"/>
      <c r="ROX47" s="478"/>
      <c r="ROY47" s="478"/>
      <c r="ROZ47" s="478"/>
      <c r="RPA47" s="478"/>
      <c r="RPB47" s="478"/>
      <c r="RPC47" s="478"/>
      <c r="RPD47" s="478"/>
      <c r="RPE47" s="478"/>
      <c r="RPF47" s="478"/>
      <c r="RPG47" s="478"/>
      <c r="RPH47" s="478"/>
      <c r="RPI47" s="478"/>
      <c r="RPJ47" s="478"/>
      <c r="RPK47" s="478"/>
      <c r="RPL47" s="478"/>
      <c r="RPM47" s="478"/>
      <c r="RPN47" s="478"/>
      <c r="RPO47" s="478"/>
      <c r="RPP47" s="478"/>
      <c r="RPQ47" s="478"/>
      <c r="RPR47" s="478"/>
      <c r="RPS47" s="478"/>
      <c r="RPT47" s="478"/>
      <c r="RPU47" s="478"/>
      <c r="RPV47" s="478"/>
      <c r="RPW47" s="478"/>
      <c r="RPX47" s="478"/>
      <c r="RPY47" s="478"/>
      <c r="RPZ47" s="478"/>
      <c r="RQA47" s="478"/>
      <c r="RQB47" s="478"/>
      <c r="RQC47" s="478"/>
      <c r="RQD47" s="478"/>
      <c r="RQE47" s="478"/>
      <c r="RQF47" s="478"/>
      <c r="RQG47" s="478"/>
      <c r="RQH47" s="478"/>
      <c r="RQI47" s="478"/>
      <c r="RQJ47" s="478"/>
      <c r="RQK47" s="478"/>
      <c r="RQL47" s="478"/>
      <c r="RQM47" s="478"/>
      <c r="RQN47" s="478"/>
      <c r="RQO47" s="478"/>
      <c r="RQP47" s="478"/>
      <c r="RQQ47" s="478"/>
      <c r="RQR47" s="478"/>
      <c r="RQS47" s="478"/>
      <c r="RQT47" s="478"/>
      <c r="RQU47" s="478"/>
      <c r="RQV47" s="478"/>
      <c r="RQW47" s="478"/>
      <c r="RQX47" s="478"/>
      <c r="RQY47" s="478"/>
      <c r="RQZ47" s="478"/>
      <c r="RRA47" s="478"/>
      <c r="RRB47" s="478"/>
      <c r="RRC47" s="478"/>
      <c r="RRD47" s="478"/>
      <c r="RRE47" s="478"/>
      <c r="RRF47" s="478"/>
      <c r="RRG47" s="478"/>
      <c r="RRH47" s="478"/>
      <c r="RRI47" s="478"/>
      <c r="RRJ47" s="478"/>
      <c r="RRK47" s="478"/>
      <c r="RRL47" s="478"/>
      <c r="RRM47" s="478"/>
      <c r="RRN47" s="478"/>
      <c r="RRO47" s="478"/>
      <c r="RRP47" s="478"/>
      <c r="RRQ47" s="478"/>
      <c r="RRR47" s="478"/>
      <c r="RRS47" s="478"/>
      <c r="RRT47" s="478"/>
      <c r="RRU47" s="478"/>
      <c r="RRV47" s="478"/>
      <c r="RRW47" s="478"/>
      <c r="RRX47" s="478"/>
      <c r="RRY47" s="478"/>
      <c r="RRZ47" s="478"/>
      <c r="RSA47" s="478"/>
      <c r="RSB47" s="478"/>
      <c r="RSC47" s="478"/>
      <c r="RSD47" s="478"/>
      <c r="RSE47" s="478"/>
      <c r="RSF47" s="478"/>
      <c r="RSG47" s="478"/>
      <c r="RSH47" s="478"/>
      <c r="RSI47" s="478"/>
      <c r="RSJ47" s="478"/>
      <c r="RSK47" s="478"/>
      <c r="RSL47" s="478"/>
      <c r="RSM47" s="478"/>
      <c r="RSN47" s="478"/>
      <c r="RSO47" s="478"/>
      <c r="RSP47" s="478"/>
      <c r="RSQ47" s="478"/>
      <c r="RSR47" s="478"/>
      <c r="RSS47" s="478"/>
      <c r="RST47" s="478"/>
      <c r="RSU47" s="478"/>
      <c r="RSV47" s="478"/>
      <c r="RSW47" s="478"/>
      <c r="RSX47" s="478"/>
      <c r="RSY47" s="478"/>
      <c r="RSZ47" s="478"/>
      <c r="RTA47" s="478"/>
      <c r="RTB47" s="478"/>
      <c r="RTC47" s="478"/>
      <c r="RTD47" s="478"/>
      <c r="RTE47" s="478"/>
      <c r="RTF47" s="478"/>
      <c r="RTG47" s="478"/>
      <c r="RTH47" s="478"/>
      <c r="RTI47" s="478"/>
      <c r="RTJ47" s="478"/>
      <c r="RTK47" s="478"/>
      <c r="RTL47" s="478"/>
      <c r="RTM47" s="478"/>
      <c r="RTN47" s="478"/>
      <c r="RTO47" s="478"/>
      <c r="RTP47" s="478"/>
      <c r="RTQ47" s="478"/>
      <c r="RTR47" s="478"/>
      <c r="RTS47" s="478"/>
      <c r="RTT47" s="478"/>
      <c r="RTU47" s="478"/>
      <c r="RTV47" s="478"/>
      <c r="RTW47" s="478"/>
      <c r="RTX47" s="478"/>
      <c r="RTY47" s="478"/>
      <c r="RTZ47" s="478"/>
      <c r="RUA47" s="478"/>
      <c r="RUB47" s="478"/>
      <c r="RUC47" s="478"/>
      <c r="RUD47" s="478"/>
      <c r="RUE47" s="478"/>
      <c r="RUF47" s="478"/>
      <c r="RUG47" s="478"/>
      <c r="RUH47" s="478"/>
      <c r="RUI47" s="478"/>
      <c r="RUJ47" s="478"/>
      <c r="RUK47" s="478"/>
      <c r="RUL47" s="478"/>
      <c r="RUM47" s="478"/>
      <c r="RUN47" s="478"/>
      <c r="RUO47" s="478"/>
      <c r="RUP47" s="478"/>
      <c r="RUQ47" s="478"/>
      <c r="RUR47" s="478"/>
      <c r="RUS47" s="478"/>
      <c r="RUT47" s="478"/>
      <c r="RUU47" s="478"/>
      <c r="RUV47" s="478"/>
      <c r="RUW47" s="478"/>
      <c r="RUX47" s="478"/>
      <c r="RUY47" s="478"/>
      <c r="RUZ47" s="478"/>
      <c r="RVA47" s="478"/>
      <c r="RVB47" s="478"/>
      <c r="RVC47" s="478"/>
      <c r="RVD47" s="478"/>
      <c r="RVE47" s="478"/>
      <c r="RVF47" s="478"/>
      <c r="RVG47" s="478"/>
      <c r="RVH47" s="478"/>
      <c r="RVI47" s="478"/>
      <c r="RVJ47" s="478"/>
      <c r="RVK47" s="478"/>
      <c r="RVL47" s="478"/>
      <c r="RVM47" s="478"/>
      <c r="RVN47" s="478"/>
      <c r="RVO47" s="478"/>
      <c r="RVP47" s="478"/>
      <c r="RVQ47" s="478"/>
      <c r="RVR47" s="478"/>
      <c r="RVS47" s="478"/>
      <c r="RVT47" s="478"/>
      <c r="RVU47" s="478"/>
      <c r="RVV47" s="478"/>
      <c r="RVW47" s="478"/>
      <c r="RVX47" s="478"/>
      <c r="RVY47" s="478"/>
      <c r="RVZ47" s="478"/>
      <c r="RWA47" s="478"/>
      <c r="RWB47" s="478"/>
      <c r="RWC47" s="478"/>
      <c r="RWD47" s="478"/>
      <c r="RWE47" s="478"/>
      <c r="RWF47" s="478"/>
      <c r="RWG47" s="478"/>
      <c r="RWH47" s="478"/>
      <c r="RWI47" s="478"/>
      <c r="RWJ47" s="478"/>
      <c r="RWK47" s="478"/>
      <c r="RWL47" s="478"/>
      <c r="RWM47" s="478"/>
      <c r="RWN47" s="478"/>
      <c r="RWO47" s="478"/>
      <c r="RWP47" s="478"/>
      <c r="RWQ47" s="478"/>
      <c r="RWR47" s="478"/>
      <c r="RWS47" s="478"/>
      <c r="RWT47" s="478"/>
      <c r="RWU47" s="478"/>
      <c r="RWV47" s="478"/>
      <c r="RWW47" s="478"/>
      <c r="RWX47" s="478"/>
      <c r="RWY47" s="478"/>
      <c r="RWZ47" s="478"/>
      <c r="RXA47" s="478"/>
      <c r="RXB47" s="478"/>
      <c r="RXC47" s="478"/>
      <c r="RXD47" s="478"/>
      <c r="RXE47" s="478"/>
      <c r="RXF47" s="478"/>
      <c r="RXG47" s="478"/>
      <c r="RXH47" s="478"/>
      <c r="RXI47" s="478"/>
      <c r="RXJ47" s="478"/>
      <c r="RXK47" s="478"/>
      <c r="RXL47" s="478"/>
      <c r="RXM47" s="478"/>
      <c r="RXN47" s="478"/>
      <c r="RXO47" s="478"/>
      <c r="RXP47" s="478"/>
      <c r="RXQ47" s="478"/>
      <c r="RXR47" s="478"/>
      <c r="RXS47" s="478"/>
      <c r="RXT47" s="478"/>
      <c r="RXU47" s="478"/>
      <c r="RXV47" s="478"/>
      <c r="RXW47" s="478"/>
      <c r="RXX47" s="478"/>
      <c r="RXY47" s="478"/>
      <c r="RXZ47" s="478"/>
      <c r="RYA47" s="478"/>
      <c r="RYB47" s="478"/>
      <c r="RYC47" s="478"/>
      <c r="RYD47" s="478"/>
      <c r="RYE47" s="478"/>
      <c r="RYF47" s="478"/>
      <c r="RYG47" s="478"/>
      <c r="RYH47" s="478"/>
      <c r="RYI47" s="478"/>
      <c r="RYJ47" s="478"/>
      <c r="RYK47" s="478"/>
      <c r="RYL47" s="478"/>
      <c r="RYM47" s="478"/>
      <c r="RYN47" s="478"/>
      <c r="RYO47" s="478"/>
      <c r="RYP47" s="478"/>
      <c r="RYQ47" s="478"/>
      <c r="RYR47" s="478"/>
      <c r="RYS47" s="478"/>
      <c r="RYT47" s="478"/>
      <c r="RYU47" s="478"/>
      <c r="RYV47" s="478"/>
      <c r="RYW47" s="478"/>
      <c r="RYX47" s="478"/>
      <c r="RYY47" s="478"/>
      <c r="RYZ47" s="478"/>
      <c r="RZA47" s="478"/>
      <c r="RZB47" s="478"/>
      <c r="RZC47" s="478"/>
      <c r="RZD47" s="478"/>
      <c r="RZE47" s="478"/>
      <c r="RZF47" s="478"/>
      <c r="RZG47" s="478"/>
      <c r="RZH47" s="478"/>
      <c r="RZI47" s="478"/>
      <c r="RZJ47" s="478"/>
      <c r="RZK47" s="478"/>
      <c r="RZL47" s="478"/>
      <c r="RZM47" s="478"/>
      <c r="RZN47" s="478"/>
      <c r="RZO47" s="478"/>
      <c r="RZP47" s="478"/>
      <c r="RZQ47" s="478"/>
      <c r="RZR47" s="478"/>
      <c r="RZS47" s="478"/>
      <c r="RZT47" s="478"/>
      <c r="RZU47" s="478"/>
      <c r="RZV47" s="478"/>
      <c r="RZW47" s="478"/>
      <c r="RZX47" s="478"/>
      <c r="RZY47" s="478"/>
      <c r="RZZ47" s="478"/>
      <c r="SAA47" s="478"/>
      <c r="SAB47" s="478"/>
      <c r="SAC47" s="478"/>
      <c r="SAD47" s="478"/>
      <c r="SAE47" s="478"/>
      <c r="SAF47" s="478"/>
      <c r="SAG47" s="478"/>
      <c r="SAH47" s="478"/>
      <c r="SAI47" s="478"/>
      <c r="SAJ47" s="478"/>
      <c r="SAK47" s="478"/>
      <c r="SAL47" s="478"/>
      <c r="SAM47" s="478"/>
      <c r="SAN47" s="478"/>
      <c r="SAO47" s="478"/>
      <c r="SAP47" s="478"/>
      <c r="SAQ47" s="478"/>
      <c r="SAR47" s="478"/>
      <c r="SAS47" s="478"/>
      <c r="SAT47" s="478"/>
      <c r="SAU47" s="478"/>
      <c r="SAV47" s="478"/>
      <c r="SAW47" s="478"/>
      <c r="SAX47" s="478"/>
      <c r="SAY47" s="478"/>
      <c r="SAZ47" s="478"/>
      <c r="SBA47" s="478"/>
      <c r="SBB47" s="478"/>
      <c r="SBC47" s="478"/>
      <c r="SBD47" s="478"/>
      <c r="SBE47" s="478"/>
      <c r="SBF47" s="478"/>
      <c r="SBG47" s="478"/>
      <c r="SBH47" s="478"/>
      <c r="SBI47" s="478"/>
      <c r="SBJ47" s="478"/>
      <c r="SBK47" s="478"/>
      <c r="SBL47" s="478"/>
      <c r="SBM47" s="478"/>
      <c r="SBN47" s="478"/>
      <c r="SBO47" s="478"/>
      <c r="SBP47" s="478"/>
      <c r="SBQ47" s="478"/>
      <c r="SBR47" s="478"/>
      <c r="SBS47" s="478"/>
      <c r="SBT47" s="478"/>
      <c r="SBU47" s="478"/>
      <c r="SBV47" s="478"/>
      <c r="SBW47" s="478"/>
      <c r="SBX47" s="478"/>
      <c r="SBY47" s="478"/>
      <c r="SBZ47" s="478"/>
      <c r="SCA47" s="478"/>
      <c r="SCB47" s="478"/>
      <c r="SCC47" s="478"/>
      <c r="SCD47" s="478"/>
      <c r="SCE47" s="478"/>
      <c r="SCF47" s="478"/>
      <c r="SCG47" s="478"/>
      <c r="SCH47" s="478"/>
      <c r="SCI47" s="478"/>
      <c r="SCJ47" s="478"/>
      <c r="SCK47" s="478"/>
      <c r="SCL47" s="478"/>
      <c r="SCM47" s="478"/>
      <c r="SCN47" s="478"/>
      <c r="SCO47" s="478"/>
      <c r="SCP47" s="478"/>
      <c r="SCQ47" s="478"/>
      <c r="SCR47" s="478"/>
      <c r="SCS47" s="478"/>
      <c r="SCT47" s="478"/>
      <c r="SCU47" s="478"/>
      <c r="SCV47" s="478"/>
      <c r="SCW47" s="478"/>
      <c r="SCX47" s="478"/>
      <c r="SCY47" s="478"/>
      <c r="SCZ47" s="478"/>
      <c r="SDA47" s="478"/>
      <c r="SDB47" s="478"/>
      <c r="SDC47" s="478"/>
      <c r="SDD47" s="478"/>
      <c r="SDE47" s="478"/>
      <c r="SDF47" s="478"/>
      <c r="SDG47" s="478"/>
      <c r="SDH47" s="478"/>
      <c r="SDI47" s="478"/>
      <c r="SDJ47" s="478"/>
      <c r="SDK47" s="478"/>
      <c r="SDL47" s="478"/>
      <c r="SDM47" s="478"/>
      <c r="SDN47" s="478"/>
      <c r="SDO47" s="478"/>
      <c r="SDP47" s="478"/>
      <c r="SDQ47" s="478"/>
      <c r="SDR47" s="478"/>
      <c r="SDS47" s="478"/>
      <c r="SDT47" s="478"/>
      <c r="SDU47" s="478"/>
      <c r="SDV47" s="478"/>
      <c r="SDW47" s="478"/>
      <c r="SDX47" s="478"/>
      <c r="SDY47" s="478"/>
      <c r="SDZ47" s="478"/>
      <c r="SEA47" s="478"/>
      <c r="SEB47" s="478"/>
      <c r="SEC47" s="478"/>
      <c r="SED47" s="478"/>
      <c r="SEE47" s="478"/>
      <c r="SEF47" s="478"/>
      <c r="SEG47" s="478"/>
      <c r="SEH47" s="478"/>
      <c r="SEI47" s="478"/>
      <c r="SEJ47" s="478"/>
      <c r="SEK47" s="478"/>
      <c r="SEL47" s="478"/>
      <c r="SEM47" s="478"/>
      <c r="SEN47" s="478"/>
      <c r="SEO47" s="478"/>
      <c r="SEP47" s="478"/>
      <c r="SEQ47" s="478"/>
      <c r="SER47" s="478"/>
      <c r="SES47" s="478"/>
      <c r="SET47" s="478"/>
      <c r="SEU47" s="478"/>
      <c r="SEV47" s="478"/>
      <c r="SEW47" s="478"/>
      <c r="SEX47" s="478"/>
      <c r="SEY47" s="478"/>
      <c r="SEZ47" s="478"/>
      <c r="SFA47" s="478"/>
      <c r="SFB47" s="478"/>
      <c r="SFC47" s="478"/>
      <c r="SFD47" s="478"/>
      <c r="SFE47" s="478"/>
      <c r="SFF47" s="478"/>
      <c r="SFG47" s="478"/>
      <c r="SFH47" s="478"/>
      <c r="SFI47" s="478"/>
      <c r="SFJ47" s="478"/>
      <c r="SFK47" s="478"/>
      <c r="SFL47" s="478"/>
      <c r="SFM47" s="478"/>
      <c r="SFN47" s="478"/>
      <c r="SFO47" s="478"/>
      <c r="SFP47" s="478"/>
      <c r="SFQ47" s="478"/>
      <c r="SFR47" s="478"/>
      <c r="SFS47" s="478"/>
      <c r="SFT47" s="478"/>
      <c r="SFU47" s="478"/>
      <c r="SFV47" s="478"/>
      <c r="SFW47" s="478"/>
      <c r="SFX47" s="478"/>
      <c r="SFY47" s="478"/>
      <c r="SFZ47" s="478"/>
      <c r="SGA47" s="478"/>
      <c r="SGB47" s="478"/>
      <c r="SGC47" s="478"/>
      <c r="SGD47" s="478"/>
      <c r="SGE47" s="478"/>
      <c r="SGF47" s="478"/>
      <c r="SGG47" s="478"/>
      <c r="SGH47" s="478"/>
      <c r="SGI47" s="478"/>
      <c r="SGJ47" s="478"/>
      <c r="SGK47" s="478"/>
      <c r="SGL47" s="478"/>
      <c r="SGM47" s="478"/>
      <c r="SGN47" s="478"/>
      <c r="SGO47" s="478"/>
      <c r="SGP47" s="478"/>
      <c r="SGQ47" s="478"/>
      <c r="SGR47" s="478"/>
      <c r="SGS47" s="478"/>
      <c r="SGT47" s="478"/>
      <c r="SGU47" s="478"/>
      <c r="SGV47" s="478"/>
      <c r="SGW47" s="478"/>
      <c r="SGX47" s="478"/>
      <c r="SGY47" s="478"/>
      <c r="SGZ47" s="478"/>
      <c r="SHA47" s="478"/>
      <c r="SHB47" s="478"/>
      <c r="SHC47" s="478"/>
      <c r="SHD47" s="478"/>
      <c r="SHE47" s="478"/>
      <c r="SHF47" s="478"/>
      <c r="SHG47" s="478"/>
      <c r="SHH47" s="478"/>
      <c r="SHI47" s="478"/>
      <c r="SHJ47" s="478"/>
      <c r="SHK47" s="478"/>
      <c r="SHL47" s="478"/>
      <c r="SHM47" s="478"/>
      <c r="SHN47" s="478"/>
      <c r="SHO47" s="478"/>
      <c r="SHP47" s="478"/>
      <c r="SHQ47" s="478"/>
      <c r="SHR47" s="478"/>
      <c r="SHS47" s="478"/>
      <c r="SHT47" s="478"/>
      <c r="SHU47" s="478"/>
      <c r="SHV47" s="478"/>
      <c r="SHW47" s="478"/>
      <c r="SHX47" s="478"/>
      <c r="SHY47" s="478"/>
      <c r="SHZ47" s="478"/>
      <c r="SIA47" s="478"/>
      <c r="SIB47" s="478"/>
      <c r="SIC47" s="478"/>
      <c r="SID47" s="478"/>
      <c r="SIE47" s="478"/>
      <c r="SIF47" s="478"/>
      <c r="SIG47" s="478"/>
      <c r="SIH47" s="478"/>
      <c r="SII47" s="478"/>
      <c r="SIJ47" s="478"/>
      <c r="SIK47" s="478"/>
      <c r="SIL47" s="478"/>
      <c r="SIM47" s="478"/>
      <c r="SIN47" s="478"/>
      <c r="SIO47" s="478"/>
      <c r="SIP47" s="478"/>
      <c r="SIQ47" s="478"/>
      <c r="SIR47" s="478"/>
      <c r="SIS47" s="478"/>
      <c r="SIT47" s="478"/>
      <c r="SIU47" s="478"/>
      <c r="SIV47" s="478"/>
      <c r="SIW47" s="478"/>
      <c r="SIX47" s="478"/>
      <c r="SIY47" s="478"/>
      <c r="SIZ47" s="478"/>
      <c r="SJA47" s="478"/>
      <c r="SJB47" s="478"/>
      <c r="SJC47" s="478"/>
      <c r="SJD47" s="478"/>
      <c r="SJE47" s="478"/>
      <c r="SJF47" s="478"/>
      <c r="SJG47" s="478"/>
      <c r="SJH47" s="478"/>
      <c r="SJI47" s="478"/>
      <c r="SJJ47" s="478"/>
      <c r="SJK47" s="478"/>
      <c r="SJL47" s="478"/>
      <c r="SJM47" s="478"/>
      <c r="SJN47" s="478"/>
      <c r="SJO47" s="478"/>
      <c r="SJP47" s="478"/>
      <c r="SJQ47" s="478"/>
      <c r="SJR47" s="478"/>
      <c r="SJS47" s="478"/>
      <c r="SJT47" s="478"/>
      <c r="SJU47" s="478"/>
      <c r="SJV47" s="478"/>
      <c r="SJW47" s="478"/>
      <c r="SJX47" s="478"/>
      <c r="SJY47" s="478"/>
      <c r="SJZ47" s="478"/>
      <c r="SKA47" s="478"/>
      <c r="SKB47" s="478"/>
      <c r="SKC47" s="478"/>
      <c r="SKD47" s="478"/>
      <c r="SKE47" s="478"/>
      <c r="SKF47" s="478"/>
      <c r="SKG47" s="478"/>
      <c r="SKH47" s="478"/>
      <c r="SKI47" s="478"/>
      <c r="SKJ47" s="478"/>
      <c r="SKK47" s="478"/>
      <c r="SKL47" s="478"/>
      <c r="SKM47" s="478"/>
      <c r="SKN47" s="478"/>
      <c r="SKO47" s="478"/>
      <c r="SKP47" s="478"/>
      <c r="SKQ47" s="478"/>
      <c r="SKR47" s="478"/>
      <c r="SKS47" s="478"/>
      <c r="SKT47" s="478"/>
      <c r="SKU47" s="478"/>
      <c r="SKV47" s="478"/>
      <c r="SKW47" s="478"/>
      <c r="SKX47" s="478"/>
      <c r="SKY47" s="478"/>
      <c r="SKZ47" s="478"/>
      <c r="SLA47" s="478"/>
      <c r="SLB47" s="478"/>
      <c r="SLC47" s="478"/>
      <c r="SLD47" s="478"/>
      <c r="SLE47" s="478"/>
      <c r="SLF47" s="478"/>
      <c r="SLG47" s="478"/>
      <c r="SLH47" s="478"/>
      <c r="SLI47" s="478"/>
      <c r="SLJ47" s="478"/>
      <c r="SLK47" s="478"/>
      <c r="SLL47" s="478"/>
      <c r="SLM47" s="478"/>
      <c r="SLN47" s="478"/>
      <c r="SLO47" s="478"/>
      <c r="SLP47" s="478"/>
      <c r="SLQ47" s="478"/>
      <c r="SLR47" s="478"/>
      <c r="SLS47" s="478"/>
      <c r="SLT47" s="478"/>
      <c r="SLU47" s="478"/>
      <c r="SLV47" s="478"/>
      <c r="SLW47" s="478"/>
      <c r="SLX47" s="478"/>
      <c r="SLY47" s="478"/>
      <c r="SLZ47" s="478"/>
      <c r="SMA47" s="478"/>
      <c r="SMB47" s="478"/>
      <c r="SMC47" s="478"/>
      <c r="SMD47" s="478"/>
      <c r="SME47" s="478"/>
      <c r="SMF47" s="478"/>
      <c r="SMG47" s="478"/>
      <c r="SMH47" s="478"/>
      <c r="SMI47" s="478"/>
      <c r="SMJ47" s="478"/>
      <c r="SMK47" s="478"/>
      <c r="SML47" s="478"/>
      <c r="SMM47" s="478"/>
      <c r="SMN47" s="478"/>
      <c r="SMO47" s="478"/>
      <c r="SMP47" s="478"/>
      <c r="SMQ47" s="478"/>
      <c r="SMR47" s="478"/>
      <c r="SMS47" s="478"/>
      <c r="SMT47" s="478"/>
      <c r="SMU47" s="478"/>
      <c r="SMV47" s="478"/>
      <c r="SMW47" s="478"/>
      <c r="SMX47" s="478"/>
      <c r="SMY47" s="478"/>
      <c r="SMZ47" s="478"/>
      <c r="SNA47" s="478"/>
      <c r="SNB47" s="478"/>
      <c r="SNC47" s="478"/>
      <c r="SND47" s="478"/>
      <c r="SNE47" s="478"/>
      <c r="SNF47" s="478"/>
      <c r="SNG47" s="478"/>
      <c r="SNH47" s="478"/>
      <c r="SNI47" s="478"/>
      <c r="SNJ47" s="478"/>
      <c r="SNK47" s="478"/>
      <c r="SNL47" s="478"/>
      <c r="SNM47" s="478"/>
      <c r="SNN47" s="478"/>
      <c r="SNO47" s="478"/>
      <c r="SNP47" s="478"/>
      <c r="SNQ47" s="478"/>
      <c r="SNR47" s="478"/>
      <c r="SNS47" s="478"/>
      <c r="SNT47" s="478"/>
      <c r="SNU47" s="478"/>
      <c r="SNV47" s="478"/>
      <c r="SNW47" s="478"/>
      <c r="SNX47" s="478"/>
      <c r="SNY47" s="478"/>
      <c r="SNZ47" s="478"/>
      <c r="SOA47" s="478"/>
      <c r="SOB47" s="478"/>
      <c r="SOC47" s="478"/>
      <c r="SOD47" s="478"/>
      <c r="SOE47" s="478"/>
      <c r="SOF47" s="478"/>
      <c r="SOG47" s="478"/>
      <c r="SOH47" s="478"/>
      <c r="SOI47" s="478"/>
      <c r="SOJ47" s="478"/>
      <c r="SOK47" s="478"/>
      <c r="SOL47" s="478"/>
      <c r="SOM47" s="478"/>
      <c r="SON47" s="478"/>
      <c r="SOO47" s="478"/>
      <c r="SOP47" s="478"/>
      <c r="SOQ47" s="478"/>
      <c r="SOR47" s="478"/>
      <c r="SOS47" s="478"/>
      <c r="SOT47" s="478"/>
      <c r="SOU47" s="478"/>
      <c r="SOV47" s="478"/>
      <c r="SOW47" s="478"/>
      <c r="SOX47" s="478"/>
      <c r="SOY47" s="478"/>
      <c r="SOZ47" s="478"/>
      <c r="SPA47" s="478"/>
      <c r="SPB47" s="478"/>
      <c r="SPC47" s="478"/>
      <c r="SPD47" s="478"/>
      <c r="SPE47" s="478"/>
      <c r="SPF47" s="478"/>
      <c r="SPG47" s="478"/>
      <c r="SPH47" s="478"/>
      <c r="SPI47" s="478"/>
      <c r="SPJ47" s="478"/>
      <c r="SPK47" s="478"/>
      <c r="SPL47" s="478"/>
      <c r="SPM47" s="478"/>
      <c r="SPN47" s="478"/>
      <c r="SPO47" s="478"/>
      <c r="SPP47" s="478"/>
      <c r="SPQ47" s="478"/>
      <c r="SPR47" s="478"/>
      <c r="SPS47" s="478"/>
      <c r="SPT47" s="478"/>
      <c r="SPU47" s="478"/>
      <c r="SPV47" s="478"/>
      <c r="SPW47" s="478"/>
      <c r="SPX47" s="478"/>
      <c r="SPY47" s="478"/>
      <c r="SPZ47" s="478"/>
      <c r="SQA47" s="478"/>
      <c r="SQB47" s="478"/>
      <c r="SQC47" s="478"/>
      <c r="SQD47" s="478"/>
      <c r="SQE47" s="478"/>
      <c r="SQF47" s="478"/>
      <c r="SQG47" s="478"/>
      <c r="SQH47" s="478"/>
      <c r="SQI47" s="478"/>
      <c r="SQJ47" s="478"/>
      <c r="SQK47" s="478"/>
      <c r="SQL47" s="478"/>
      <c r="SQM47" s="478"/>
      <c r="SQN47" s="478"/>
      <c r="SQO47" s="478"/>
      <c r="SQP47" s="478"/>
      <c r="SQQ47" s="478"/>
      <c r="SQR47" s="478"/>
      <c r="SQS47" s="478"/>
      <c r="SQT47" s="478"/>
      <c r="SQU47" s="478"/>
      <c r="SQV47" s="478"/>
      <c r="SQW47" s="478"/>
      <c r="SQX47" s="478"/>
      <c r="SQY47" s="478"/>
      <c r="SQZ47" s="478"/>
      <c r="SRA47" s="478"/>
      <c r="SRB47" s="478"/>
      <c r="SRC47" s="478"/>
      <c r="SRD47" s="478"/>
      <c r="SRE47" s="478"/>
      <c r="SRF47" s="478"/>
      <c r="SRG47" s="478"/>
      <c r="SRH47" s="478"/>
      <c r="SRI47" s="478"/>
      <c r="SRJ47" s="478"/>
      <c r="SRK47" s="478"/>
      <c r="SRL47" s="478"/>
      <c r="SRM47" s="478"/>
      <c r="SRN47" s="478"/>
      <c r="SRO47" s="478"/>
      <c r="SRP47" s="478"/>
      <c r="SRQ47" s="478"/>
      <c r="SRR47" s="478"/>
      <c r="SRS47" s="478"/>
      <c r="SRT47" s="478"/>
      <c r="SRU47" s="478"/>
      <c r="SRV47" s="478"/>
      <c r="SRW47" s="478"/>
      <c r="SRX47" s="478"/>
      <c r="SRY47" s="478"/>
      <c r="SRZ47" s="478"/>
      <c r="SSA47" s="478"/>
      <c r="SSB47" s="478"/>
      <c r="SSC47" s="478"/>
      <c r="SSD47" s="478"/>
      <c r="SSE47" s="478"/>
      <c r="SSF47" s="478"/>
      <c r="SSG47" s="478"/>
      <c r="SSH47" s="478"/>
      <c r="SSI47" s="478"/>
      <c r="SSJ47" s="478"/>
      <c r="SSK47" s="478"/>
      <c r="SSL47" s="478"/>
      <c r="SSM47" s="478"/>
      <c r="SSN47" s="478"/>
      <c r="SSO47" s="478"/>
      <c r="SSP47" s="478"/>
      <c r="SSQ47" s="478"/>
      <c r="SSR47" s="478"/>
      <c r="SSS47" s="478"/>
      <c r="SST47" s="478"/>
      <c r="SSU47" s="478"/>
      <c r="SSV47" s="478"/>
      <c r="SSW47" s="478"/>
      <c r="SSX47" s="478"/>
      <c r="SSY47" s="478"/>
      <c r="SSZ47" s="478"/>
      <c r="STA47" s="478"/>
      <c r="STB47" s="478"/>
      <c r="STC47" s="478"/>
      <c r="STD47" s="478"/>
      <c r="STE47" s="478"/>
      <c r="STF47" s="478"/>
      <c r="STG47" s="478"/>
      <c r="STH47" s="478"/>
      <c r="STI47" s="478"/>
      <c r="STJ47" s="478"/>
      <c r="STK47" s="478"/>
      <c r="STL47" s="478"/>
      <c r="STM47" s="478"/>
      <c r="STN47" s="478"/>
      <c r="STO47" s="478"/>
      <c r="STP47" s="478"/>
      <c r="STQ47" s="478"/>
      <c r="STR47" s="478"/>
      <c r="STS47" s="478"/>
      <c r="STT47" s="478"/>
      <c r="STU47" s="478"/>
      <c r="STV47" s="478"/>
      <c r="STW47" s="478"/>
      <c r="STX47" s="478"/>
      <c r="STY47" s="478"/>
      <c r="STZ47" s="478"/>
      <c r="SUA47" s="478"/>
      <c r="SUB47" s="478"/>
      <c r="SUC47" s="478"/>
      <c r="SUD47" s="478"/>
      <c r="SUE47" s="478"/>
      <c r="SUF47" s="478"/>
      <c r="SUG47" s="478"/>
      <c r="SUH47" s="478"/>
      <c r="SUI47" s="478"/>
      <c r="SUJ47" s="478"/>
      <c r="SUK47" s="478"/>
      <c r="SUL47" s="478"/>
      <c r="SUM47" s="478"/>
      <c r="SUN47" s="478"/>
      <c r="SUO47" s="478"/>
      <c r="SUP47" s="478"/>
      <c r="SUQ47" s="478"/>
      <c r="SUR47" s="478"/>
      <c r="SUS47" s="478"/>
      <c r="SUT47" s="478"/>
      <c r="SUU47" s="478"/>
      <c r="SUV47" s="478"/>
      <c r="SUW47" s="478"/>
      <c r="SUX47" s="478"/>
      <c r="SUY47" s="478"/>
      <c r="SUZ47" s="478"/>
      <c r="SVA47" s="478"/>
      <c r="SVB47" s="478"/>
      <c r="SVC47" s="478"/>
      <c r="SVD47" s="478"/>
      <c r="SVE47" s="478"/>
      <c r="SVF47" s="478"/>
      <c r="SVG47" s="478"/>
      <c r="SVH47" s="478"/>
      <c r="SVI47" s="478"/>
      <c r="SVJ47" s="478"/>
      <c r="SVK47" s="478"/>
      <c r="SVL47" s="478"/>
      <c r="SVM47" s="478"/>
      <c r="SVN47" s="478"/>
      <c r="SVO47" s="478"/>
      <c r="SVP47" s="478"/>
      <c r="SVQ47" s="478"/>
      <c r="SVR47" s="478"/>
      <c r="SVS47" s="478"/>
      <c r="SVT47" s="478"/>
      <c r="SVU47" s="478"/>
      <c r="SVV47" s="478"/>
      <c r="SVW47" s="478"/>
      <c r="SVX47" s="478"/>
      <c r="SVY47" s="478"/>
      <c r="SVZ47" s="478"/>
      <c r="SWA47" s="478"/>
      <c r="SWB47" s="478"/>
      <c r="SWC47" s="478"/>
      <c r="SWD47" s="478"/>
      <c r="SWE47" s="478"/>
      <c r="SWF47" s="478"/>
      <c r="SWG47" s="478"/>
      <c r="SWH47" s="478"/>
      <c r="SWI47" s="478"/>
      <c r="SWJ47" s="478"/>
      <c r="SWK47" s="478"/>
      <c r="SWL47" s="478"/>
      <c r="SWM47" s="478"/>
      <c r="SWN47" s="478"/>
      <c r="SWO47" s="478"/>
      <c r="SWP47" s="478"/>
      <c r="SWQ47" s="478"/>
      <c r="SWR47" s="478"/>
      <c r="SWS47" s="478"/>
      <c r="SWT47" s="478"/>
      <c r="SWU47" s="478"/>
      <c r="SWV47" s="478"/>
      <c r="SWW47" s="478"/>
      <c r="SWX47" s="478"/>
      <c r="SWY47" s="478"/>
      <c r="SWZ47" s="478"/>
      <c r="SXA47" s="478"/>
      <c r="SXB47" s="478"/>
      <c r="SXC47" s="478"/>
      <c r="SXD47" s="478"/>
      <c r="SXE47" s="478"/>
      <c r="SXF47" s="478"/>
      <c r="SXG47" s="478"/>
      <c r="SXH47" s="478"/>
      <c r="SXI47" s="478"/>
      <c r="SXJ47" s="478"/>
      <c r="SXK47" s="478"/>
      <c r="SXL47" s="478"/>
      <c r="SXM47" s="478"/>
      <c r="SXN47" s="478"/>
      <c r="SXO47" s="478"/>
      <c r="SXP47" s="478"/>
      <c r="SXQ47" s="478"/>
      <c r="SXR47" s="478"/>
      <c r="SXS47" s="478"/>
      <c r="SXT47" s="478"/>
      <c r="SXU47" s="478"/>
      <c r="SXV47" s="478"/>
      <c r="SXW47" s="478"/>
      <c r="SXX47" s="478"/>
      <c r="SXY47" s="478"/>
      <c r="SXZ47" s="478"/>
      <c r="SYA47" s="478"/>
      <c r="SYB47" s="478"/>
      <c r="SYC47" s="478"/>
      <c r="SYD47" s="478"/>
      <c r="SYE47" s="478"/>
      <c r="SYF47" s="478"/>
      <c r="SYG47" s="478"/>
      <c r="SYH47" s="478"/>
      <c r="SYI47" s="478"/>
      <c r="SYJ47" s="478"/>
      <c r="SYK47" s="478"/>
      <c r="SYL47" s="478"/>
      <c r="SYM47" s="478"/>
      <c r="SYN47" s="478"/>
      <c r="SYO47" s="478"/>
      <c r="SYP47" s="478"/>
      <c r="SYQ47" s="478"/>
      <c r="SYR47" s="478"/>
      <c r="SYS47" s="478"/>
      <c r="SYT47" s="478"/>
      <c r="SYU47" s="478"/>
      <c r="SYV47" s="478"/>
      <c r="SYW47" s="478"/>
      <c r="SYX47" s="478"/>
      <c r="SYY47" s="478"/>
      <c r="SYZ47" s="478"/>
      <c r="SZA47" s="478"/>
      <c r="SZB47" s="478"/>
      <c r="SZC47" s="478"/>
      <c r="SZD47" s="478"/>
      <c r="SZE47" s="478"/>
      <c r="SZF47" s="478"/>
      <c r="SZG47" s="478"/>
      <c r="SZH47" s="478"/>
      <c r="SZI47" s="478"/>
      <c r="SZJ47" s="478"/>
      <c r="SZK47" s="478"/>
      <c r="SZL47" s="478"/>
      <c r="SZM47" s="478"/>
      <c r="SZN47" s="478"/>
      <c r="SZO47" s="478"/>
      <c r="SZP47" s="478"/>
      <c r="SZQ47" s="478"/>
      <c r="SZR47" s="478"/>
      <c r="SZS47" s="478"/>
      <c r="SZT47" s="478"/>
      <c r="SZU47" s="478"/>
      <c r="SZV47" s="478"/>
      <c r="SZW47" s="478"/>
      <c r="SZX47" s="478"/>
      <c r="SZY47" s="478"/>
      <c r="SZZ47" s="478"/>
      <c r="TAA47" s="478"/>
      <c r="TAB47" s="478"/>
      <c r="TAC47" s="478"/>
      <c r="TAD47" s="478"/>
      <c r="TAE47" s="478"/>
      <c r="TAF47" s="478"/>
      <c r="TAG47" s="478"/>
      <c r="TAH47" s="478"/>
      <c r="TAI47" s="478"/>
      <c r="TAJ47" s="478"/>
      <c r="TAK47" s="478"/>
      <c r="TAL47" s="478"/>
      <c r="TAM47" s="478"/>
      <c r="TAN47" s="478"/>
      <c r="TAO47" s="478"/>
      <c r="TAP47" s="478"/>
      <c r="TAQ47" s="478"/>
      <c r="TAR47" s="478"/>
      <c r="TAS47" s="478"/>
      <c r="TAT47" s="478"/>
      <c r="TAU47" s="478"/>
      <c r="TAV47" s="478"/>
      <c r="TAW47" s="478"/>
      <c r="TAX47" s="478"/>
      <c r="TAY47" s="478"/>
      <c r="TAZ47" s="478"/>
      <c r="TBA47" s="478"/>
      <c r="TBB47" s="478"/>
      <c r="TBC47" s="478"/>
      <c r="TBD47" s="478"/>
      <c r="TBE47" s="478"/>
      <c r="TBF47" s="478"/>
      <c r="TBG47" s="478"/>
      <c r="TBH47" s="478"/>
      <c r="TBI47" s="478"/>
      <c r="TBJ47" s="478"/>
      <c r="TBK47" s="478"/>
      <c r="TBL47" s="478"/>
      <c r="TBM47" s="478"/>
      <c r="TBN47" s="478"/>
      <c r="TBO47" s="478"/>
      <c r="TBP47" s="478"/>
      <c r="TBQ47" s="478"/>
      <c r="TBR47" s="478"/>
      <c r="TBS47" s="478"/>
      <c r="TBT47" s="478"/>
      <c r="TBU47" s="478"/>
      <c r="TBV47" s="478"/>
      <c r="TBW47" s="478"/>
      <c r="TBX47" s="478"/>
      <c r="TBY47" s="478"/>
      <c r="TBZ47" s="478"/>
      <c r="TCA47" s="478"/>
      <c r="TCB47" s="478"/>
      <c r="TCC47" s="478"/>
      <c r="TCD47" s="478"/>
      <c r="TCE47" s="478"/>
      <c r="TCF47" s="478"/>
      <c r="TCG47" s="478"/>
      <c r="TCH47" s="478"/>
      <c r="TCI47" s="478"/>
      <c r="TCJ47" s="478"/>
      <c r="TCK47" s="478"/>
      <c r="TCL47" s="478"/>
      <c r="TCM47" s="478"/>
      <c r="TCN47" s="478"/>
      <c r="TCO47" s="478"/>
      <c r="TCP47" s="478"/>
      <c r="TCQ47" s="478"/>
      <c r="TCR47" s="478"/>
      <c r="TCS47" s="478"/>
      <c r="TCT47" s="478"/>
      <c r="TCU47" s="478"/>
      <c r="TCV47" s="478"/>
      <c r="TCW47" s="478"/>
      <c r="TCX47" s="478"/>
      <c r="TCY47" s="478"/>
      <c r="TCZ47" s="478"/>
      <c r="TDA47" s="478"/>
      <c r="TDB47" s="478"/>
      <c r="TDC47" s="478"/>
      <c r="TDD47" s="478"/>
      <c r="TDE47" s="478"/>
      <c r="TDF47" s="478"/>
      <c r="TDG47" s="478"/>
      <c r="TDH47" s="478"/>
      <c r="TDI47" s="478"/>
      <c r="TDJ47" s="478"/>
      <c r="TDK47" s="478"/>
      <c r="TDL47" s="478"/>
      <c r="TDM47" s="478"/>
      <c r="TDN47" s="478"/>
      <c r="TDO47" s="478"/>
      <c r="TDP47" s="478"/>
      <c r="TDQ47" s="478"/>
      <c r="TDR47" s="478"/>
      <c r="TDS47" s="478"/>
      <c r="TDT47" s="478"/>
      <c r="TDU47" s="478"/>
      <c r="TDV47" s="478"/>
      <c r="TDW47" s="478"/>
      <c r="TDX47" s="478"/>
      <c r="TDY47" s="478"/>
      <c r="TDZ47" s="478"/>
      <c r="TEA47" s="478"/>
      <c r="TEB47" s="478"/>
      <c r="TEC47" s="478"/>
      <c r="TED47" s="478"/>
      <c r="TEE47" s="478"/>
      <c r="TEF47" s="478"/>
      <c r="TEG47" s="478"/>
      <c r="TEH47" s="478"/>
      <c r="TEI47" s="478"/>
      <c r="TEJ47" s="478"/>
      <c r="TEK47" s="478"/>
      <c r="TEL47" s="478"/>
      <c r="TEM47" s="478"/>
      <c r="TEN47" s="478"/>
      <c r="TEO47" s="478"/>
      <c r="TEP47" s="478"/>
      <c r="TEQ47" s="478"/>
      <c r="TER47" s="478"/>
      <c r="TES47" s="478"/>
      <c r="TET47" s="478"/>
      <c r="TEU47" s="478"/>
      <c r="TEV47" s="478"/>
      <c r="TEW47" s="478"/>
      <c r="TEX47" s="478"/>
      <c r="TEY47" s="478"/>
      <c r="TEZ47" s="478"/>
      <c r="TFA47" s="478"/>
      <c r="TFB47" s="478"/>
      <c r="TFC47" s="478"/>
      <c r="TFD47" s="478"/>
      <c r="TFE47" s="478"/>
      <c r="TFF47" s="478"/>
      <c r="TFG47" s="478"/>
      <c r="TFH47" s="478"/>
      <c r="TFI47" s="478"/>
      <c r="TFJ47" s="478"/>
      <c r="TFK47" s="478"/>
      <c r="TFL47" s="478"/>
      <c r="TFM47" s="478"/>
      <c r="TFN47" s="478"/>
      <c r="TFO47" s="478"/>
      <c r="TFP47" s="478"/>
      <c r="TFQ47" s="478"/>
      <c r="TFR47" s="478"/>
      <c r="TFS47" s="478"/>
      <c r="TFT47" s="478"/>
      <c r="TFU47" s="478"/>
      <c r="TFV47" s="478"/>
      <c r="TFW47" s="478"/>
      <c r="TFX47" s="478"/>
      <c r="TFY47" s="478"/>
      <c r="TFZ47" s="478"/>
      <c r="TGA47" s="478"/>
      <c r="TGB47" s="478"/>
      <c r="TGC47" s="478"/>
      <c r="TGD47" s="478"/>
      <c r="TGE47" s="478"/>
      <c r="TGF47" s="478"/>
      <c r="TGG47" s="478"/>
      <c r="TGH47" s="478"/>
      <c r="TGI47" s="478"/>
      <c r="TGJ47" s="478"/>
      <c r="TGK47" s="478"/>
      <c r="TGL47" s="478"/>
      <c r="TGM47" s="478"/>
      <c r="TGN47" s="478"/>
      <c r="TGO47" s="478"/>
      <c r="TGP47" s="478"/>
      <c r="TGQ47" s="478"/>
      <c r="TGR47" s="478"/>
      <c r="TGS47" s="478"/>
      <c r="TGT47" s="478"/>
      <c r="TGU47" s="478"/>
      <c r="TGV47" s="478"/>
      <c r="TGW47" s="478"/>
      <c r="TGX47" s="478"/>
      <c r="TGY47" s="478"/>
      <c r="TGZ47" s="478"/>
      <c r="THA47" s="478"/>
      <c r="THB47" s="478"/>
      <c r="THC47" s="478"/>
      <c r="THD47" s="478"/>
      <c r="THE47" s="478"/>
      <c r="THF47" s="478"/>
      <c r="THG47" s="478"/>
      <c r="THH47" s="478"/>
      <c r="THI47" s="478"/>
      <c r="THJ47" s="478"/>
      <c r="THK47" s="478"/>
      <c r="THL47" s="478"/>
      <c r="THM47" s="478"/>
      <c r="THN47" s="478"/>
      <c r="THO47" s="478"/>
      <c r="THP47" s="478"/>
      <c r="THQ47" s="478"/>
      <c r="THR47" s="478"/>
      <c r="THS47" s="478"/>
      <c r="THT47" s="478"/>
      <c r="THU47" s="478"/>
      <c r="THV47" s="478"/>
      <c r="THW47" s="478"/>
      <c r="THX47" s="478"/>
      <c r="THY47" s="478"/>
      <c r="THZ47" s="478"/>
      <c r="TIA47" s="478"/>
      <c r="TIB47" s="478"/>
      <c r="TIC47" s="478"/>
      <c r="TID47" s="478"/>
      <c r="TIE47" s="478"/>
      <c r="TIF47" s="478"/>
      <c r="TIG47" s="478"/>
      <c r="TIH47" s="478"/>
      <c r="TII47" s="478"/>
      <c r="TIJ47" s="478"/>
      <c r="TIK47" s="478"/>
      <c r="TIL47" s="478"/>
      <c r="TIM47" s="478"/>
      <c r="TIN47" s="478"/>
      <c r="TIO47" s="478"/>
      <c r="TIP47" s="478"/>
      <c r="TIQ47" s="478"/>
      <c r="TIR47" s="478"/>
      <c r="TIS47" s="478"/>
      <c r="TIT47" s="478"/>
      <c r="TIU47" s="478"/>
      <c r="TIV47" s="478"/>
      <c r="TIW47" s="478"/>
      <c r="TIX47" s="478"/>
      <c r="TIY47" s="478"/>
      <c r="TIZ47" s="478"/>
      <c r="TJA47" s="478"/>
      <c r="TJB47" s="478"/>
      <c r="TJC47" s="478"/>
      <c r="TJD47" s="478"/>
      <c r="TJE47" s="478"/>
      <c r="TJF47" s="478"/>
      <c r="TJG47" s="478"/>
      <c r="TJH47" s="478"/>
      <c r="TJI47" s="478"/>
      <c r="TJJ47" s="478"/>
      <c r="TJK47" s="478"/>
      <c r="TJL47" s="478"/>
      <c r="TJM47" s="478"/>
      <c r="TJN47" s="478"/>
      <c r="TJO47" s="478"/>
      <c r="TJP47" s="478"/>
      <c r="TJQ47" s="478"/>
      <c r="TJR47" s="478"/>
      <c r="TJS47" s="478"/>
      <c r="TJT47" s="478"/>
      <c r="TJU47" s="478"/>
      <c r="TJV47" s="478"/>
      <c r="TJW47" s="478"/>
      <c r="TJX47" s="478"/>
      <c r="TJY47" s="478"/>
      <c r="TJZ47" s="478"/>
      <c r="TKA47" s="478"/>
      <c r="TKB47" s="478"/>
      <c r="TKC47" s="478"/>
      <c r="TKD47" s="478"/>
      <c r="TKE47" s="478"/>
      <c r="TKF47" s="478"/>
      <c r="TKG47" s="478"/>
      <c r="TKH47" s="478"/>
      <c r="TKI47" s="478"/>
      <c r="TKJ47" s="478"/>
      <c r="TKK47" s="478"/>
      <c r="TKL47" s="478"/>
      <c r="TKM47" s="478"/>
      <c r="TKN47" s="478"/>
      <c r="TKO47" s="478"/>
      <c r="TKP47" s="478"/>
      <c r="TKQ47" s="478"/>
      <c r="TKR47" s="478"/>
      <c r="TKS47" s="478"/>
      <c r="TKT47" s="478"/>
      <c r="TKU47" s="478"/>
      <c r="TKV47" s="478"/>
      <c r="TKW47" s="478"/>
      <c r="TKX47" s="478"/>
      <c r="TKY47" s="478"/>
      <c r="TKZ47" s="478"/>
      <c r="TLA47" s="478"/>
      <c r="TLB47" s="478"/>
      <c r="TLC47" s="478"/>
      <c r="TLD47" s="478"/>
      <c r="TLE47" s="478"/>
      <c r="TLF47" s="478"/>
      <c r="TLG47" s="478"/>
      <c r="TLH47" s="478"/>
      <c r="TLI47" s="478"/>
      <c r="TLJ47" s="478"/>
      <c r="TLK47" s="478"/>
      <c r="TLL47" s="478"/>
      <c r="TLM47" s="478"/>
      <c r="TLN47" s="478"/>
      <c r="TLO47" s="478"/>
      <c r="TLP47" s="478"/>
      <c r="TLQ47" s="478"/>
      <c r="TLR47" s="478"/>
      <c r="TLS47" s="478"/>
      <c r="TLT47" s="478"/>
      <c r="TLU47" s="478"/>
      <c r="TLV47" s="478"/>
      <c r="TLW47" s="478"/>
      <c r="TLX47" s="478"/>
      <c r="TLY47" s="478"/>
      <c r="TLZ47" s="478"/>
      <c r="TMA47" s="478"/>
      <c r="TMB47" s="478"/>
      <c r="TMC47" s="478"/>
      <c r="TMD47" s="478"/>
      <c r="TME47" s="478"/>
      <c r="TMF47" s="478"/>
      <c r="TMG47" s="478"/>
      <c r="TMH47" s="478"/>
      <c r="TMI47" s="478"/>
      <c r="TMJ47" s="478"/>
      <c r="TMK47" s="478"/>
      <c r="TML47" s="478"/>
      <c r="TMM47" s="478"/>
      <c r="TMN47" s="478"/>
      <c r="TMO47" s="478"/>
      <c r="TMP47" s="478"/>
      <c r="TMQ47" s="478"/>
      <c r="TMR47" s="478"/>
      <c r="TMS47" s="478"/>
      <c r="TMT47" s="478"/>
      <c r="TMU47" s="478"/>
      <c r="TMV47" s="478"/>
      <c r="TMW47" s="478"/>
      <c r="TMX47" s="478"/>
      <c r="TMY47" s="478"/>
      <c r="TMZ47" s="478"/>
      <c r="TNA47" s="478"/>
      <c r="TNB47" s="478"/>
      <c r="TNC47" s="478"/>
      <c r="TND47" s="478"/>
      <c r="TNE47" s="478"/>
      <c r="TNF47" s="478"/>
      <c r="TNG47" s="478"/>
      <c r="TNH47" s="478"/>
      <c r="TNI47" s="478"/>
      <c r="TNJ47" s="478"/>
      <c r="TNK47" s="478"/>
      <c r="TNL47" s="478"/>
      <c r="TNM47" s="478"/>
      <c r="TNN47" s="478"/>
      <c r="TNO47" s="478"/>
      <c r="TNP47" s="478"/>
      <c r="TNQ47" s="478"/>
      <c r="TNR47" s="478"/>
      <c r="TNS47" s="478"/>
      <c r="TNT47" s="478"/>
      <c r="TNU47" s="478"/>
      <c r="TNV47" s="478"/>
      <c r="TNW47" s="478"/>
      <c r="TNX47" s="478"/>
      <c r="TNY47" s="478"/>
      <c r="TNZ47" s="478"/>
      <c r="TOA47" s="478"/>
      <c r="TOB47" s="478"/>
      <c r="TOC47" s="478"/>
      <c r="TOD47" s="478"/>
      <c r="TOE47" s="478"/>
      <c r="TOF47" s="478"/>
      <c r="TOG47" s="478"/>
      <c r="TOH47" s="478"/>
      <c r="TOI47" s="478"/>
      <c r="TOJ47" s="478"/>
      <c r="TOK47" s="478"/>
      <c r="TOL47" s="478"/>
      <c r="TOM47" s="478"/>
      <c r="TON47" s="478"/>
      <c r="TOO47" s="478"/>
      <c r="TOP47" s="478"/>
      <c r="TOQ47" s="478"/>
      <c r="TOR47" s="478"/>
      <c r="TOS47" s="478"/>
      <c r="TOT47" s="478"/>
      <c r="TOU47" s="478"/>
      <c r="TOV47" s="478"/>
      <c r="TOW47" s="478"/>
      <c r="TOX47" s="478"/>
      <c r="TOY47" s="478"/>
      <c r="TOZ47" s="478"/>
      <c r="TPA47" s="478"/>
      <c r="TPB47" s="478"/>
      <c r="TPC47" s="478"/>
      <c r="TPD47" s="478"/>
      <c r="TPE47" s="478"/>
      <c r="TPF47" s="478"/>
      <c r="TPG47" s="478"/>
      <c r="TPH47" s="478"/>
      <c r="TPI47" s="478"/>
      <c r="TPJ47" s="478"/>
      <c r="TPK47" s="478"/>
      <c r="TPL47" s="478"/>
      <c r="TPM47" s="478"/>
      <c r="TPN47" s="478"/>
      <c r="TPO47" s="478"/>
      <c r="TPP47" s="478"/>
      <c r="TPQ47" s="478"/>
      <c r="TPR47" s="478"/>
      <c r="TPS47" s="478"/>
      <c r="TPT47" s="478"/>
      <c r="TPU47" s="478"/>
      <c r="TPV47" s="478"/>
      <c r="TPW47" s="478"/>
      <c r="TPX47" s="478"/>
      <c r="TPY47" s="478"/>
      <c r="TPZ47" s="478"/>
      <c r="TQA47" s="478"/>
      <c r="TQB47" s="478"/>
      <c r="TQC47" s="478"/>
      <c r="TQD47" s="478"/>
      <c r="TQE47" s="478"/>
      <c r="TQF47" s="478"/>
      <c r="TQG47" s="478"/>
      <c r="TQH47" s="478"/>
      <c r="TQI47" s="478"/>
      <c r="TQJ47" s="478"/>
      <c r="TQK47" s="478"/>
      <c r="TQL47" s="478"/>
      <c r="TQM47" s="478"/>
      <c r="TQN47" s="478"/>
      <c r="TQO47" s="478"/>
      <c r="TQP47" s="478"/>
      <c r="TQQ47" s="478"/>
      <c r="TQR47" s="478"/>
      <c r="TQS47" s="478"/>
      <c r="TQT47" s="478"/>
      <c r="TQU47" s="478"/>
      <c r="TQV47" s="478"/>
      <c r="TQW47" s="478"/>
      <c r="TQX47" s="478"/>
      <c r="TQY47" s="478"/>
      <c r="TQZ47" s="478"/>
      <c r="TRA47" s="478"/>
      <c r="TRB47" s="478"/>
      <c r="TRC47" s="478"/>
      <c r="TRD47" s="478"/>
      <c r="TRE47" s="478"/>
      <c r="TRF47" s="478"/>
      <c r="TRG47" s="478"/>
      <c r="TRH47" s="478"/>
      <c r="TRI47" s="478"/>
      <c r="TRJ47" s="478"/>
      <c r="TRK47" s="478"/>
      <c r="TRL47" s="478"/>
      <c r="TRM47" s="478"/>
      <c r="TRN47" s="478"/>
      <c r="TRO47" s="478"/>
      <c r="TRP47" s="478"/>
      <c r="TRQ47" s="478"/>
      <c r="TRR47" s="478"/>
      <c r="TRS47" s="478"/>
      <c r="TRT47" s="478"/>
      <c r="TRU47" s="478"/>
      <c r="TRV47" s="478"/>
      <c r="TRW47" s="478"/>
      <c r="TRX47" s="478"/>
      <c r="TRY47" s="478"/>
      <c r="TRZ47" s="478"/>
      <c r="TSA47" s="478"/>
      <c r="TSB47" s="478"/>
      <c r="TSC47" s="478"/>
      <c r="TSD47" s="478"/>
      <c r="TSE47" s="478"/>
      <c r="TSF47" s="478"/>
      <c r="TSG47" s="478"/>
      <c r="TSH47" s="478"/>
      <c r="TSI47" s="478"/>
      <c r="TSJ47" s="478"/>
      <c r="TSK47" s="478"/>
      <c r="TSL47" s="478"/>
      <c r="TSM47" s="478"/>
      <c r="TSN47" s="478"/>
      <c r="TSO47" s="478"/>
      <c r="TSP47" s="478"/>
      <c r="TSQ47" s="478"/>
      <c r="TSR47" s="478"/>
      <c r="TSS47" s="478"/>
      <c r="TST47" s="478"/>
      <c r="TSU47" s="478"/>
      <c r="TSV47" s="478"/>
      <c r="TSW47" s="478"/>
      <c r="TSX47" s="478"/>
      <c r="TSY47" s="478"/>
      <c r="TSZ47" s="478"/>
      <c r="TTA47" s="478"/>
      <c r="TTB47" s="478"/>
      <c r="TTC47" s="478"/>
      <c r="TTD47" s="478"/>
      <c r="TTE47" s="478"/>
      <c r="TTF47" s="478"/>
      <c r="TTG47" s="478"/>
      <c r="TTH47" s="478"/>
      <c r="TTI47" s="478"/>
      <c r="TTJ47" s="478"/>
      <c r="TTK47" s="478"/>
      <c r="TTL47" s="478"/>
      <c r="TTM47" s="478"/>
      <c r="TTN47" s="478"/>
      <c r="TTO47" s="478"/>
      <c r="TTP47" s="478"/>
      <c r="TTQ47" s="478"/>
      <c r="TTR47" s="478"/>
      <c r="TTS47" s="478"/>
      <c r="TTT47" s="478"/>
      <c r="TTU47" s="478"/>
      <c r="TTV47" s="478"/>
      <c r="TTW47" s="478"/>
      <c r="TTX47" s="478"/>
      <c r="TTY47" s="478"/>
      <c r="TTZ47" s="478"/>
      <c r="TUA47" s="478"/>
      <c r="TUB47" s="478"/>
      <c r="TUC47" s="478"/>
      <c r="TUD47" s="478"/>
      <c r="TUE47" s="478"/>
      <c r="TUF47" s="478"/>
      <c r="TUG47" s="478"/>
      <c r="TUH47" s="478"/>
      <c r="TUI47" s="478"/>
      <c r="TUJ47" s="478"/>
      <c r="TUK47" s="478"/>
      <c r="TUL47" s="478"/>
      <c r="TUM47" s="478"/>
      <c r="TUN47" s="478"/>
      <c r="TUO47" s="478"/>
      <c r="TUP47" s="478"/>
      <c r="TUQ47" s="478"/>
      <c r="TUR47" s="478"/>
      <c r="TUS47" s="478"/>
      <c r="TUT47" s="478"/>
      <c r="TUU47" s="478"/>
      <c r="TUV47" s="478"/>
      <c r="TUW47" s="478"/>
      <c r="TUX47" s="478"/>
      <c r="TUY47" s="478"/>
      <c r="TUZ47" s="478"/>
      <c r="TVA47" s="478"/>
      <c r="TVB47" s="478"/>
      <c r="TVC47" s="478"/>
      <c r="TVD47" s="478"/>
      <c r="TVE47" s="478"/>
      <c r="TVF47" s="478"/>
      <c r="TVG47" s="478"/>
      <c r="TVH47" s="478"/>
      <c r="TVI47" s="478"/>
      <c r="TVJ47" s="478"/>
      <c r="TVK47" s="478"/>
      <c r="TVL47" s="478"/>
      <c r="TVM47" s="478"/>
      <c r="TVN47" s="478"/>
      <c r="TVO47" s="478"/>
      <c r="TVP47" s="478"/>
      <c r="TVQ47" s="478"/>
      <c r="TVR47" s="478"/>
      <c r="TVS47" s="478"/>
      <c r="TVT47" s="478"/>
      <c r="TVU47" s="478"/>
      <c r="TVV47" s="478"/>
      <c r="TVW47" s="478"/>
      <c r="TVX47" s="478"/>
      <c r="TVY47" s="478"/>
      <c r="TVZ47" s="478"/>
      <c r="TWA47" s="478"/>
      <c r="TWB47" s="478"/>
      <c r="TWC47" s="478"/>
      <c r="TWD47" s="478"/>
      <c r="TWE47" s="478"/>
      <c r="TWF47" s="478"/>
      <c r="TWG47" s="478"/>
      <c r="TWH47" s="478"/>
      <c r="TWI47" s="478"/>
      <c r="TWJ47" s="478"/>
      <c r="TWK47" s="478"/>
      <c r="TWL47" s="478"/>
      <c r="TWM47" s="478"/>
      <c r="TWN47" s="478"/>
      <c r="TWO47" s="478"/>
      <c r="TWP47" s="478"/>
      <c r="TWQ47" s="478"/>
      <c r="TWR47" s="478"/>
      <c r="TWS47" s="478"/>
      <c r="TWT47" s="478"/>
      <c r="TWU47" s="478"/>
      <c r="TWV47" s="478"/>
      <c r="TWW47" s="478"/>
      <c r="TWX47" s="478"/>
      <c r="TWY47" s="478"/>
      <c r="TWZ47" s="478"/>
      <c r="TXA47" s="478"/>
      <c r="TXB47" s="478"/>
      <c r="TXC47" s="478"/>
      <c r="TXD47" s="478"/>
      <c r="TXE47" s="478"/>
      <c r="TXF47" s="478"/>
      <c r="TXG47" s="478"/>
      <c r="TXH47" s="478"/>
      <c r="TXI47" s="478"/>
      <c r="TXJ47" s="478"/>
      <c r="TXK47" s="478"/>
      <c r="TXL47" s="478"/>
      <c r="TXM47" s="478"/>
      <c r="TXN47" s="478"/>
      <c r="TXO47" s="478"/>
      <c r="TXP47" s="478"/>
      <c r="TXQ47" s="478"/>
      <c r="TXR47" s="478"/>
      <c r="TXS47" s="478"/>
      <c r="TXT47" s="478"/>
      <c r="TXU47" s="478"/>
      <c r="TXV47" s="478"/>
      <c r="TXW47" s="478"/>
      <c r="TXX47" s="478"/>
      <c r="TXY47" s="478"/>
      <c r="TXZ47" s="478"/>
      <c r="TYA47" s="478"/>
      <c r="TYB47" s="478"/>
      <c r="TYC47" s="478"/>
      <c r="TYD47" s="478"/>
      <c r="TYE47" s="478"/>
      <c r="TYF47" s="478"/>
      <c r="TYG47" s="478"/>
      <c r="TYH47" s="478"/>
      <c r="TYI47" s="478"/>
      <c r="TYJ47" s="478"/>
      <c r="TYK47" s="478"/>
      <c r="TYL47" s="478"/>
      <c r="TYM47" s="478"/>
      <c r="TYN47" s="478"/>
      <c r="TYO47" s="478"/>
      <c r="TYP47" s="478"/>
      <c r="TYQ47" s="478"/>
      <c r="TYR47" s="478"/>
      <c r="TYS47" s="478"/>
      <c r="TYT47" s="478"/>
      <c r="TYU47" s="478"/>
      <c r="TYV47" s="478"/>
      <c r="TYW47" s="478"/>
      <c r="TYX47" s="478"/>
      <c r="TYY47" s="478"/>
      <c r="TYZ47" s="478"/>
      <c r="TZA47" s="478"/>
      <c r="TZB47" s="478"/>
      <c r="TZC47" s="478"/>
      <c r="TZD47" s="478"/>
      <c r="TZE47" s="478"/>
      <c r="TZF47" s="478"/>
      <c r="TZG47" s="478"/>
      <c r="TZH47" s="478"/>
      <c r="TZI47" s="478"/>
      <c r="TZJ47" s="478"/>
      <c r="TZK47" s="478"/>
      <c r="TZL47" s="478"/>
      <c r="TZM47" s="478"/>
      <c r="TZN47" s="478"/>
      <c r="TZO47" s="478"/>
      <c r="TZP47" s="478"/>
      <c r="TZQ47" s="478"/>
      <c r="TZR47" s="478"/>
      <c r="TZS47" s="478"/>
      <c r="TZT47" s="478"/>
      <c r="TZU47" s="478"/>
      <c r="TZV47" s="478"/>
      <c r="TZW47" s="478"/>
      <c r="TZX47" s="478"/>
      <c r="TZY47" s="478"/>
      <c r="TZZ47" s="478"/>
      <c r="UAA47" s="478"/>
      <c r="UAB47" s="478"/>
      <c r="UAC47" s="478"/>
      <c r="UAD47" s="478"/>
      <c r="UAE47" s="478"/>
      <c r="UAF47" s="478"/>
      <c r="UAG47" s="478"/>
      <c r="UAH47" s="478"/>
      <c r="UAI47" s="478"/>
      <c r="UAJ47" s="478"/>
      <c r="UAK47" s="478"/>
      <c r="UAL47" s="478"/>
      <c r="UAM47" s="478"/>
      <c r="UAN47" s="478"/>
      <c r="UAO47" s="478"/>
      <c r="UAP47" s="478"/>
      <c r="UAQ47" s="478"/>
      <c r="UAR47" s="478"/>
      <c r="UAS47" s="478"/>
      <c r="UAT47" s="478"/>
      <c r="UAU47" s="478"/>
      <c r="UAV47" s="478"/>
      <c r="UAW47" s="478"/>
      <c r="UAX47" s="478"/>
      <c r="UAY47" s="478"/>
      <c r="UAZ47" s="478"/>
      <c r="UBA47" s="478"/>
      <c r="UBB47" s="478"/>
      <c r="UBC47" s="478"/>
      <c r="UBD47" s="478"/>
      <c r="UBE47" s="478"/>
      <c r="UBF47" s="478"/>
      <c r="UBG47" s="478"/>
      <c r="UBH47" s="478"/>
      <c r="UBI47" s="478"/>
      <c r="UBJ47" s="478"/>
      <c r="UBK47" s="478"/>
      <c r="UBL47" s="478"/>
      <c r="UBM47" s="478"/>
      <c r="UBN47" s="478"/>
      <c r="UBO47" s="478"/>
      <c r="UBP47" s="478"/>
      <c r="UBQ47" s="478"/>
      <c r="UBR47" s="478"/>
      <c r="UBS47" s="478"/>
      <c r="UBT47" s="478"/>
      <c r="UBU47" s="478"/>
      <c r="UBV47" s="478"/>
      <c r="UBW47" s="478"/>
      <c r="UBX47" s="478"/>
      <c r="UBY47" s="478"/>
      <c r="UBZ47" s="478"/>
      <c r="UCA47" s="478"/>
      <c r="UCB47" s="478"/>
      <c r="UCC47" s="478"/>
      <c r="UCD47" s="478"/>
      <c r="UCE47" s="478"/>
      <c r="UCF47" s="478"/>
      <c r="UCG47" s="478"/>
      <c r="UCH47" s="478"/>
      <c r="UCI47" s="478"/>
      <c r="UCJ47" s="478"/>
      <c r="UCK47" s="478"/>
      <c r="UCL47" s="478"/>
      <c r="UCM47" s="478"/>
      <c r="UCN47" s="478"/>
      <c r="UCO47" s="478"/>
      <c r="UCP47" s="478"/>
      <c r="UCQ47" s="478"/>
      <c r="UCR47" s="478"/>
      <c r="UCS47" s="478"/>
      <c r="UCT47" s="478"/>
      <c r="UCU47" s="478"/>
      <c r="UCV47" s="478"/>
      <c r="UCW47" s="478"/>
      <c r="UCX47" s="478"/>
      <c r="UCY47" s="478"/>
      <c r="UCZ47" s="478"/>
      <c r="UDA47" s="478"/>
      <c r="UDB47" s="478"/>
      <c r="UDC47" s="478"/>
      <c r="UDD47" s="478"/>
      <c r="UDE47" s="478"/>
      <c r="UDF47" s="478"/>
      <c r="UDG47" s="478"/>
      <c r="UDH47" s="478"/>
      <c r="UDI47" s="478"/>
      <c r="UDJ47" s="478"/>
      <c r="UDK47" s="478"/>
      <c r="UDL47" s="478"/>
      <c r="UDM47" s="478"/>
      <c r="UDN47" s="478"/>
      <c r="UDO47" s="478"/>
      <c r="UDP47" s="478"/>
      <c r="UDQ47" s="478"/>
      <c r="UDR47" s="478"/>
      <c r="UDS47" s="478"/>
      <c r="UDT47" s="478"/>
      <c r="UDU47" s="478"/>
      <c r="UDV47" s="478"/>
      <c r="UDW47" s="478"/>
      <c r="UDX47" s="478"/>
      <c r="UDY47" s="478"/>
      <c r="UDZ47" s="478"/>
      <c r="UEA47" s="478"/>
      <c r="UEB47" s="478"/>
      <c r="UEC47" s="478"/>
      <c r="UED47" s="478"/>
      <c r="UEE47" s="478"/>
      <c r="UEF47" s="478"/>
      <c r="UEG47" s="478"/>
      <c r="UEH47" s="478"/>
      <c r="UEI47" s="478"/>
      <c r="UEJ47" s="478"/>
      <c r="UEK47" s="478"/>
      <c r="UEL47" s="478"/>
      <c r="UEM47" s="478"/>
      <c r="UEN47" s="478"/>
      <c r="UEO47" s="478"/>
      <c r="UEP47" s="478"/>
      <c r="UEQ47" s="478"/>
      <c r="UER47" s="478"/>
      <c r="UES47" s="478"/>
      <c r="UET47" s="478"/>
      <c r="UEU47" s="478"/>
      <c r="UEV47" s="478"/>
      <c r="UEW47" s="478"/>
      <c r="UEX47" s="478"/>
      <c r="UEY47" s="478"/>
      <c r="UEZ47" s="478"/>
      <c r="UFA47" s="478"/>
      <c r="UFB47" s="478"/>
      <c r="UFC47" s="478"/>
      <c r="UFD47" s="478"/>
      <c r="UFE47" s="478"/>
      <c r="UFF47" s="478"/>
      <c r="UFG47" s="478"/>
      <c r="UFH47" s="478"/>
      <c r="UFI47" s="478"/>
      <c r="UFJ47" s="478"/>
      <c r="UFK47" s="478"/>
      <c r="UFL47" s="478"/>
      <c r="UFM47" s="478"/>
      <c r="UFN47" s="478"/>
      <c r="UFO47" s="478"/>
      <c r="UFP47" s="478"/>
      <c r="UFQ47" s="478"/>
      <c r="UFR47" s="478"/>
      <c r="UFS47" s="478"/>
      <c r="UFT47" s="478"/>
      <c r="UFU47" s="478"/>
      <c r="UFV47" s="478"/>
      <c r="UFW47" s="478"/>
      <c r="UFX47" s="478"/>
      <c r="UFY47" s="478"/>
      <c r="UFZ47" s="478"/>
      <c r="UGA47" s="478"/>
      <c r="UGB47" s="478"/>
      <c r="UGC47" s="478"/>
      <c r="UGD47" s="478"/>
      <c r="UGE47" s="478"/>
      <c r="UGF47" s="478"/>
      <c r="UGG47" s="478"/>
      <c r="UGH47" s="478"/>
      <c r="UGI47" s="478"/>
      <c r="UGJ47" s="478"/>
      <c r="UGK47" s="478"/>
      <c r="UGL47" s="478"/>
      <c r="UGM47" s="478"/>
      <c r="UGN47" s="478"/>
      <c r="UGO47" s="478"/>
      <c r="UGP47" s="478"/>
      <c r="UGQ47" s="478"/>
      <c r="UGR47" s="478"/>
      <c r="UGS47" s="478"/>
      <c r="UGT47" s="478"/>
      <c r="UGU47" s="478"/>
      <c r="UGV47" s="478"/>
      <c r="UGW47" s="478"/>
      <c r="UGX47" s="478"/>
      <c r="UGY47" s="478"/>
      <c r="UGZ47" s="478"/>
      <c r="UHA47" s="478"/>
      <c r="UHB47" s="478"/>
      <c r="UHC47" s="478"/>
      <c r="UHD47" s="478"/>
      <c r="UHE47" s="478"/>
      <c r="UHF47" s="478"/>
      <c r="UHG47" s="478"/>
      <c r="UHH47" s="478"/>
      <c r="UHI47" s="478"/>
      <c r="UHJ47" s="478"/>
      <c r="UHK47" s="478"/>
      <c r="UHL47" s="478"/>
      <c r="UHM47" s="478"/>
      <c r="UHN47" s="478"/>
      <c r="UHO47" s="478"/>
      <c r="UHP47" s="478"/>
      <c r="UHQ47" s="478"/>
      <c r="UHR47" s="478"/>
      <c r="UHS47" s="478"/>
      <c r="UHT47" s="478"/>
      <c r="UHU47" s="478"/>
      <c r="UHV47" s="478"/>
      <c r="UHW47" s="478"/>
      <c r="UHX47" s="478"/>
      <c r="UHY47" s="478"/>
      <c r="UHZ47" s="478"/>
      <c r="UIA47" s="478"/>
      <c r="UIB47" s="478"/>
      <c r="UIC47" s="478"/>
      <c r="UID47" s="478"/>
      <c r="UIE47" s="478"/>
      <c r="UIF47" s="478"/>
      <c r="UIG47" s="478"/>
      <c r="UIH47" s="478"/>
      <c r="UII47" s="478"/>
      <c r="UIJ47" s="478"/>
      <c r="UIK47" s="478"/>
      <c r="UIL47" s="478"/>
      <c r="UIM47" s="478"/>
      <c r="UIN47" s="478"/>
      <c r="UIO47" s="478"/>
      <c r="UIP47" s="478"/>
      <c r="UIQ47" s="478"/>
      <c r="UIR47" s="478"/>
      <c r="UIS47" s="478"/>
      <c r="UIT47" s="478"/>
      <c r="UIU47" s="478"/>
      <c r="UIV47" s="478"/>
      <c r="UIW47" s="478"/>
      <c r="UIX47" s="478"/>
      <c r="UIY47" s="478"/>
      <c r="UIZ47" s="478"/>
      <c r="UJA47" s="478"/>
      <c r="UJB47" s="478"/>
      <c r="UJC47" s="478"/>
      <c r="UJD47" s="478"/>
      <c r="UJE47" s="478"/>
      <c r="UJF47" s="478"/>
      <c r="UJG47" s="478"/>
      <c r="UJH47" s="478"/>
      <c r="UJI47" s="478"/>
      <c r="UJJ47" s="478"/>
      <c r="UJK47" s="478"/>
      <c r="UJL47" s="478"/>
      <c r="UJM47" s="478"/>
      <c r="UJN47" s="478"/>
      <c r="UJO47" s="478"/>
      <c r="UJP47" s="478"/>
      <c r="UJQ47" s="478"/>
      <c r="UJR47" s="478"/>
      <c r="UJS47" s="478"/>
      <c r="UJT47" s="478"/>
      <c r="UJU47" s="478"/>
      <c r="UJV47" s="478"/>
      <c r="UJW47" s="478"/>
      <c r="UJX47" s="478"/>
      <c r="UJY47" s="478"/>
      <c r="UJZ47" s="478"/>
      <c r="UKA47" s="478"/>
      <c r="UKB47" s="478"/>
      <c r="UKC47" s="478"/>
      <c r="UKD47" s="478"/>
      <c r="UKE47" s="478"/>
      <c r="UKF47" s="478"/>
      <c r="UKG47" s="478"/>
      <c r="UKH47" s="478"/>
      <c r="UKI47" s="478"/>
      <c r="UKJ47" s="478"/>
      <c r="UKK47" s="478"/>
      <c r="UKL47" s="478"/>
      <c r="UKM47" s="478"/>
      <c r="UKN47" s="478"/>
      <c r="UKO47" s="478"/>
      <c r="UKP47" s="478"/>
      <c r="UKQ47" s="478"/>
      <c r="UKR47" s="478"/>
      <c r="UKS47" s="478"/>
      <c r="UKT47" s="478"/>
      <c r="UKU47" s="478"/>
      <c r="UKV47" s="478"/>
      <c r="UKW47" s="478"/>
      <c r="UKX47" s="478"/>
      <c r="UKY47" s="478"/>
      <c r="UKZ47" s="478"/>
      <c r="ULA47" s="478"/>
      <c r="ULB47" s="478"/>
      <c r="ULC47" s="478"/>
      <c r="ULD47" s="478"/>
      <c r="ULE47" s="478"/>
      <c r="ULF47" s="478"/>
      <c r="ULG47" s="478"/>
      <c r="ULH47" s="478"/>
      <c r="ULI47" s="478"/>
      <c r="ULJ47" s="478"/>
      <c r="ULK47" s="478"/>
      <c r="ULL47" s="478"/>
      <c r="ULM47" s="478"/>
      <c r="ULN47" s="478"/>
      <c r="ULO47" s="478"/>
      <c r="ULP47" s="478"/>
      <c r="ULQ47" s="478"/>
      <c r="ULR47" s="478"/>
      <c r="ULS47" s="478"/>
      <c r="ULT47" s="478"/>
      <c r="ULU47" s="478"/>
      <c r="ULV47" s="478"/>
      <c r="ULW47" s="478"/>
      <c r="ULX47" s="478"/>
      <c r="ULY47" s="478"/>
      <c r="ULZ47" s="478"/>
      <c r="UMA47" s="478"/>
      <c r="UMB47" s="478"/>
      <c r="UMC47" s="478"/>
      <c r="UMD47" s="478"/>
      <c r="UME47" s="478"/>
      <c r="UMF47" s="478"/>
      <c r="UMG47" s="478"/>
      <c r="UMH47" s="478"/>
      <c r="UMI47" s="478"/>
      <c r="UMJ47" s="478"/>
      <c r="UMK47" s="478"/>
      <c r="UML47" s="478"/>
      <c r="UMM47" s="478"/>
      <c r="UMN47" s="478"/>
      <c r="UMO47" s="478"/>
      <c r="UMP47" s="478"/>
      <c r="UMQ47" s="478"/>
      <c r="UMR47" s="478"/>
      <c r="UMS47" s="478"/>
      <c r="UMT47" s="478"/>
      <c r="UMU47" s="478"/>
      <c r="UMV47" s="478"/>
      <c r="UMW47" s="478"/>
      <c r="UMX47" s="478"/>
      <c r="UMY47" s="478"/>
      <c r="UMZ47" s="478"/>
      <c r="UNA47" s="478"/>
      <c r="UNB47" s="478"/>
      <c r="UNC47" s="478"/>
      <c r="UND47" s="478"/>
      <c r="UNE47" s="478"/>
      <c r="UNF47" s="478"/>
      <c r="UNG47" s="478"/>
      <c r="UNH47" s="478"/>
      <c r="UNI47" s="478"/>
      <c r="UNJ47" s="478"/>
      <c r="UNK47" s="478"/>
      <c r="UNL47" s="478"/>
      <c r="UNM47" s="478"/>
      <c r="UNN47" s="478"/>
      <c r="UNO47" s="478"/>
      <c r="UNP47" s="478"/>
      <c r="UNQ47" s="478"/>
      <c r="UNR47" s="478"/>
      <c r="UNS47" s="478"/>
      <c r="UNT47" s="478"/>
      <c r="UNU47" s="478"/>
      <c r="UNV47" s="478"/>
      <c r="UNW47" s="478"/>
      <c r="UNX47" s="478"/>
      <c r="UNY47" s="478"/>
      <c r="UNZ47" s="478"/>
      <c r="UOA47" s="478"/>
      <c r="UOB47" s="478"/>
      <c r="UOC47" s="478"/>
      <c r="UOD47" s="478"/>
      <c r="UOE47" s="478"/>
      <c r="UOF47" s="478"/>
      <c r="UOG47" s="478"/>
      <c r="UOH47" s="478"/>
      <c r="UOI47" s="478"/>
      <c r="UOJ47" s="478"/>
      <c r="UOK47" s="478"/>
      <c r="UOL47" s="478"/>
      <c r="UOM47" s="478"/>
      <c r="UON47" s="478"/>
      <c r="UOO47" s="478"/>
      <c r="UOP47" s="478"/>
      <c r="UOQ47" s="478"/>
      <c r="UOR47" s="478"/>
      <c r="UOS47" s="478"/>
      <c r="UOT47" s="478"/>
      <c r="UOU47" s="478"/>
      <c r="UOV47" s="478"/>
      <c r="UOW47" s="478"/>
      <c r="UOX47" s="478"/>
      <c r="UOY47" s="478"/>
      <c r="UOZ47" s="478"/>
      <c r="UPA47" s="478"/>
      <c r="UPB47" s="478"/>
      <c r="UPC47" s="478"/>
      <c r="UPD47" s="478"/>
      <c r="UPE47" s="478"/>
      <c r="UPF47" s="478"/>
      <c r="UPG47" s="478"/>
      <c r="UPH47" s="478"/>
      <c r="UPI47" s="478"/>
      <c r="UPJ47" s="478"/>
      <c r="UPK47" s="478"/>
      <c r="UPL47" s="478"/>
      <c r="UPM47" s="478"/>
      <c r="UPN47" s="478"/>
      <c r="UPO47" s="478"/>
      <c r="UPP47" s="478"/>
      <c r="UPQ47" s="478"/>
      <c r="UPR47" s="478"/>
      <c r="UPS47" s="478"/>
      <c r="UPT47" s="478"/>
      <c r="UPU47" s="478"/>
      <c r="UPV47" s="478"/>
      <c r="UPW47" s="478"/>
      <c r="UPX47" s="478"/>
      <c r="UPY47" s="478"/>
      <c r="UPZ47" s="478"/>
      <c r="UQA47" s="478"/>
      <c r="UQB47" s="478"/>
      <c r="UQC47" s="478"/>
      <c r="UQD47" s="478"/>
      <c r="UQE47" s="478"/>
      <c r="UQF47" s="478"/>
      <c r="UQG47" s="478"/>
      <c r="UQH47" s="478"/>
      <c r="UQI47" s="478"/>
      <c r="UQJ47" s="478"/>
      <c r="UQK47" s="478"/>
      <c r="UQL47" s="478"/>
      <c r="UQM47" s="478"/>
      <c r="UQN47" s="478"/>
      <c r="UQO47" s="478"/>
      <c r="UQP47" s="478"/>
      <c r="UQQ47" s="478"/>
      <c r="UQR47" s="478"/>
      <c r="UQS47" s="478"/>
      <c r="UQT47" s="478"/>
      <c r="UQU47" s="478"/>
      <c r="UQV47" s="478"/>
      <c r="UQW47" s="478"/>
      <c r="UQX47" s="478"/>
      <c r="UQY47" s="478"/>
      <c r="UQZ47" s="478"/>
      <c r="URA47" s="478"/>
      <c r="URB47" s="478"/>
      <c r="URC47" s="478"/>
      <c r="URD47" s="478"/>
      <c r="URE47" s="478"/>
      <c r="URF47" s="478"/>
      <c r="URG47" s="478"/>
      <c r="URH47" s="478"/>
      <c r="URI47" s="478"/>
      <c r="URJ47" s="478"/>
      <c r="URK47" s="478"/>
      <c r="URL47" s="478"/>
      <c r="URM47" s="478"/>
      <c r="URN47" s="478"/>
      <c r="URO47" s="478"/>
      <c r="URP47" s="478"/>
      <c r="URQ47" s="478"/>
      <c r="URR47" s="478"/>
      <c r="URS47" s="478"/>
      <c r="URT47" s="478"/>
      <c r="URU47" s="478"/>
      <c r="URV47" s="478"/>
      <c r="URW47" s="478"/>
      <c r="URX47" s="478"/>
      <c r="URY47" s="478"/>
      <c r="URZ47" s="478"/>
      <c r="USA47" s="478"/>
      <c r="USB47" s="478"/>
      <c r="USC47" s="478"/>
      <c r="USD47" s="478"/>
      <c r="USE47" s="478"/>
      <c r="USF47" s="478"/>
      <c r="USG47" s="478"/>
      <c r="USH47" s="478"/>
      <c r="USI47" s="478"/>
      <c r="USJ47" s="478"/>
      <c r="USK47" s="478"/>
      <c r="USL47" s="478"/>
      <c r="USM47" s="478"/>
      <c r="USN47" s="478"/>
      <c r="USO47" s="478"/>
      <c r="USP47" s="478"/>
      <c r="USQ47" s="478"/>
      <c r="USR47" s="478"/>
      <c r="USS47" s="478"/>
      <c r="UST47" s="478"/>
      <c r="USU47" s="478"/>
      <c r="USV47" s="478"/>
      <c r="USW47" s="478"/>
      <c r="USX47" s="478"/>
      <c r="USY47" s="478"/>
      <c r="USZ47" s="478"/>
      <c r="UTA47" s="478"/>
      <c r="UTB47" s="478"/>
      <c r="UTC47" s="478"/>
      <c r="UTD47" s="478"/>
      <c r="UTE47" s="478"/>
      <c r="UTF47" s="478"/>
      <c r="UTG47" s="478"/>
      <c r="UTH47" s="478"/>
      <c r="UTI47" s="478"/>
      <c r="UTJ47" s="478"/>
      <c r="UTK47" s="478"/>
      <c r="UTL47" s="478"/>
      <c r="UTM47" s="478"/>
      <c r="UTN47" s="478"/>
      <c r="UTO47" s="478"/>
      <c r="UTP47" s="478"/>
      <c r="UTQ47" s="478"/>
      <c r="UTR47" s="478"/>
      <c r="UTS47" s="478"/>
      <c r="UTT47" s="478"/>
      <c r="UTU47" s="478"/>
      <c r="UTV47" s="478"/>
      <c r="UTW47" s="478"/>
      <c r="UTX47" s="478"/>
      <c r="UTY47" s="478"/>
      <c r="UTZ47" s="478"/>
      <c r="UUA47" s="478"/>
      <c r="UUB47" s="478"/>
      <c r="UUC47" s="478"/>
      <c r="UUD47" s="478"/>
      <c r="UUE47" s="478"/>
      <c r="UUF47" s="478"/>
      <c r="UUG47" s="478"/>
      <c r="UUH47" s="478"/>
      <c r="UUI47" s="478"/>
      <c r="UUJ47" s="478"/>
      <c r="UUK47" s="478"/>
      <c r="UUL47" s="478"/>
      <c r="UUM47" s="478"/>
      <c r="UUN47" s="478"/>
      <c r="UUO47" s="478"/>
      <c r="UUP47" s="478"/>
      <c r="UUQ47" s="478"/>
      <c r="UUR47" s="478"/>
      <c r="UUS47" s="478"/>
      <c r="UUT47" s="478"/>
      <c r="UUU47" s="478"/>
      <c r="UUV47" s="478"/>
      <c r="UUW47" s="478"/>
      <c r="UUX47" s="478"/>
      <c r="UUY47" s="478"/>
      <c r="UUZ47" s="478"/>
      <c r="UVA47" s="478"/>
      <c r="UVB47" s="478"/>
      <c r="UVC47" s="478"/>
      <c r="UVD47" s="478"/>
      <c r="UVE47" s="478"/>
      <c r="UVF47" s="478"/>
      <c r="UVG47" s="478"/>
      <c r="UVH47" s="478"/>
      <c r="UVI47" s="478"/>
      <c r="UVJ47" s="478"/>
      <c r="UVK47" s="478"/>
      <c r="UVL47" s="478"/>
      <c r="UVM47" s="478"/>
      <c r="UVN47" s="478"/>
      <c r="UVO47" s="478"/>
      <c r="UVP47" s="478"/>
      <c r="UVQ47" s="478"/>
      <c r="UVR47" s="478"/>
      <c r="UVS47" s="478"/>
      <c r="UVT47" s="478"/>
      <c r="UVU47" s="478"/>
      <c r="UVV47" s="478"/>
      <c r="UVW47" s="478"/>
      <c r="UVX47" s="478"/>
      <c r="UVY47" s="478"/>
      <c r="UVZ47" s="478"/>
      <c r="UWA47" s="478"/>
      <c r="UWB47" s="478"/>
      <c r="UWC47" s="478"/>
      <c r="UWD47" s="478"/>
      <c r="UWE47" s="478"/>
      <c r="UWF47" s="478"/>
      <c r="UWG47" s="478"/>
      <c r="UWH47" s="478"/>
      <c r="UWI47" s="478"/>
      <c r="UWJ47" s="478"/>
      <c r="UWK47" s="478"/>
      <c r="UWL47" s="478"/>
      <c r="UWM47" s="478"/>
      <c r="UWN47" s="478"/>
      <c r="UWO47" s="478"/>
      <c r="UWP47" s="478"/>
      <c r="UWQ47" s="478"/>
      <c r="UWR47" s="478"/>
      <c r="UWS47" s="478"/>
      <c r="UWT47" s="478"/>
      <c r="UWU47" s="478"/>
      <c r="UWV47" s="478"/>
      <c r="UWW47" s="478"/>
      <c r="UWX47" s="478"/>
      <c r="UWY47" s="478"/>
      <c r="UWZ47" s="478"/>
      <c r="UXA47" s="478"/>
      <c r="UXB47" s="478"/>
      <c r="UXC47" s="478"/>
      <c r="UXD47" s="478"/>
      <c r="UXE47" s="478"/>
      <c r="UXF47" s="478"/>
      <c r="UXG47" s="478"/>
      <c r="UXH47" s="478"/>
      <c r="UXI47" s="478"/>
      <c r="UXJ47" s="478"/>
      <c r="UXK47" s="478"/>
      <c r="UXL47" s="478"/>
      <c r="UXM47" s="478"/>
      <c r="UXN47" s="478"/>
      <c r="UXO47" s="478"/>
      <c r="UXP47" s="478"/>
      <c r="UXQ47" s="478"/>
      <c r="UXR47" s="478"/>
      <c r="UXS47" s="478"/>
      <c r="UXT47" s="478"/>
      <c r="UXU47" s="478"/>
      <c r="UXV47" s="478"/>
      <c r="UXW47" s="478"/>
      <c r="UXX47" s="478"/>
      <c r="UXY47" s="478"/>
      <c r="UXZ47" s="478"/>
      <c r="UYA47" s="478"/>
      <c r="UYB47" s="478"/>
      <c r="UYC47" s="478"/>
      <c r="UYD47" s="478"/>
      <c r="UYE47" s="478"/>
      <c r="UYF47" s="478"/>
      <c r="UYG47" s="478"/>
      <c r="UYH47" s="478"/>
      <c r="UYI47" s="478"/>
      <c r="UYJ47" s="478"/>
      <c r="UYK47" s="478"/>
      <c r="UYL47" s="478"/>
      <c r="UYM47" s="478"/>
      <c r="UYN47" s="478"/>
      <c r="UYO47" s="478"/>
      <c r="UYP47" s="478"/>
      <c r="UYQ47" s="478"/>
      <c r="UYR47" s="478"/>
      <c r="UYS47" s="478"/>
      <c r="UYT47" s="478"/>
      <c r="UYU47" s="478"/>
      <c r="UYV47" s="478"/>
      <c r="UYW47" s="478"/>
      <c r="UYX47" s="478"/>
      <c r="UYY47" s="478"/>
      <c r="UYZ47" s="478"/>
      <c r="UZA47" s="478"/>
      <c r="UZB47" s="478"/>
      <c r="UZC47" s="478"/>
      <c r="UZD47" s="478"/>
      <c r="UZE47" s="478"/>
      <c r="UZF47" s="478"/>
      <c r="UZG47" s="478"/>
      <c r="UZH47" s="478"/>
      <c r="UZI47" s="478"/>
      <c r="UZJ47" s="478"/>
      <c r="UZK47" s="478"/>
      <c r="UZL47" s="478"/>
      <c r="UZM47" s="478"/>
      <c r="UZN47" s="478"/>
      <c r="UZO47" s="478"/>
      <c r="UZP47" s="478"/>
      <c r="UZQ47" s="478"/>
      <c r="UZR47" s="478"/>
      <c r="UZS47" s="478"/>
      <c r="UZT47" s="478"/>
      <c r="UZU47" s="478"/>
      <c r="UZV47" s="478"/>
      <c r="UZW47" s="478"/>
      <c r="UZX47" s="478"/>
      <c r="UZY47" s="478"/>
      <c r="UZZ47" s="478"/>
      <c r="VAA47" s="478"/>
      <c r="VAB47" s="478"/>
      <c r="VAC47" s="478"/>
      <c r="VAD47" s="478"/>
      <c r="VAE47" s="478"/>
      <c r="VAF47" s="478"/>
      <c r="VAG47" s="478"/>
      <c r="VAH47" s="478"/>
      <c r="VAI47" s="478"/>
      <c r="VAJ47" s="478"/>
      <c r="VAK47" s="478"/>
      <c r="VAL47" s="478"/>
      <c r="VAM47" s="478"/>
      <c r="VAN47" s="478"/>
      <c r="VAO47" s="478"/>
      <c r="VAP47" s="478"/>
      <c r="VAQ47" s="478"/>
      <c r="VAR47" s="478"/>
      <c r="VAS47" s="478"/>
      <c r="VAT47" s="478"/>
      <c r="VAU47" s="478"/>
      <c r="VAV47" s="478"/>
      <c r="VAW47" s="478"/>
      <c r="VAX47" s="478"/>
      <c r="VAY47" s="478"/>
      <c r="VAZ47" s="478"/>
      <c r="VBA47" s="478"/>
      <c r="VBB47" s="478"/>
      <c r="VBC47" s="478"/>
      <c r="VBD47" s="478"/>
      <c r="VBE47" s="478"/>
      <c r="VBF47" s="478"/>
      <c r="VBG47" s="478"/>
      <c r="VBH47" s="478"/>
      <c r="VBI47" s="478"/>
      <c r="VBJ47" s="478"/>
      <c r="VBK47" s="478"/>
      <c r="VBL47" s="478"/>
      <c r="VBM47" s="478"/>
      <c r="VBN47" s="478"/>
      <c r="VBO47" s="478"/>
      <c r="VBP47" s="478"/>
      <c r="VBQ47" s="478"/>
      <c r="VBR47" s="478"/>
      <c r="VBS47" s="478"/>
      <c r="VBT47" s="478"/>
      <c r="VBU47" s="478"/>
      <c r="VBV47" s="478"/>
      <c r="VBW47" s="478"/>
      <c r="VBX47" s="478"/>
      <c r="VBY47" s="478"/>
      <c r="VBZ47" s="478"/>
      <c r="VCA47" s="478"/>
      <c r="VCB47" s="478"/>
      <c r="VCC47" s="478"/>
      <c r="VCD47" s="478"/>
      <c r="VCE47" s="478"/>
      <c r="VCF47" s="478"/>
      <c r="VCG47" s="478"/>
      <c r="VCH47" s="478"/>
      <c r="VCI47" s="478"/>
      <c r="VCJ47" s="478"/>
      <c r="VCK47" s="478"/>
      <c r="VCL47" s="478"/>
      <c r="VCM47" s="478"/>
      <c r="VCN47" s="478"/>
      <c r="VCO47" s="478"/>
      <c r="VCP47" s="478"/>
      <c r="VCQ47" s="478"/>
      <c r="VCR47" s="478"/>
      <c r="VCS47" s="478"/>
      <c r="VCT47" s="478"/>
      <c r="VCU47" s="478"/>
      <c r="VCV47" s="478"/>
      <c r="VCW47" s="478"/>
      <c r="VCX47" s="478"/>
      <c r="VCY47" s="478"/>
      <c r="VCZ47" s="478"/>
      <c r="VDA47" s="478"/>
      <c r="VDB47" s="478"/>
      <c r="VDC47" s="478"/>
      <c r="VDD47" s="478"/>
      <c r="VDE47" s="478"/>
      <c r="VDF47" s="478"/>
      <c r="VDG47" s="478"/>
      <c r="VDH47" s="478"/>
      <c r="VDI47" s="478"/>
      <c r="VDJ47" s="478"/>
      <c r="VDK47" s="478"/>
      <c r="VDL47" s="478"/>
      <c r="VDM47" s="478"/>
      <c r="VDN47" s="478"/>
      <c r="VDO47" s="478"/>
      <c r="VDP47" s="478"/>
      <c r="VDQ47" s="478"/>
      <c r="VDR47" s="478"/>
      <c r="VDS47" s="478"/>
      <c r="VDT47" s="478"/>
      <c r="VDU47" s="478"/>
      <c r="VDV47" s="478"/>
      <c r="VDW47" s="478"/>
      <c r="VDX47" s="478"/>
      <c r="VDY47" s="478"/>
      <c r="VDZ47" s="478"/>
      <c r="VEA47" s="478"/>
      <c r="VEB47" s="478"/>
      <c r="VEC47" s="478"/>
      <c r="VED47" s="478"/>
      <c r="VEE47" s="478"/>
      <c r="VEF47" s="478"/>
      <c r="VEG47" s="478"/>
      <c r="VEH47" s="478"/>
      <c r="VEI47" s="478"/>
      <c r="VEJ47" s="478"/>
      <c r="VEK47" s="478"/>
      <c r="VEL47" s="478"/>
      <c r="VEM47" s="478"/>
      <c r="VEN47" s="478"/>
      <c r="VEO47" s="478"/>
      <c r="VEP47" s="478"/>
      <c r="VEQ47" s="478"/>
      <c r="VER47" s="478"/>
      <c r="VES47" s="478"/>
      <c r="VET47" s="478"/>
      <c r="VEU47" s="478"/>
      <c r="VEV47" s="478"/>
      <c r="VEW47" s="478"/>
      <c r="VEX47" s="478"/>
      <c r="VEY47" s="478"/>
      <c r="VEZ47" s="478"/>
      <c r="VFA47" s="478"/>
      <c r="VFB47" s="478"/>
      <c r="VFC47" s="478"/>
      <c r="VFD47" s="478"/>
      <c r="VFE47" s="478"/>
      <c r="VFF47" s="478"/>
      <c r="VFG47" s="478"/>
      <c r="VFH47" s="478"/>
      <c r="VFI47" s="478"/>
      <c r="VFJ47" s="478"/>
      <c r="VFK47" s="478"/>
      <c r="VFL47" s="478"/>
      <c r="VFM47" s="478"/>
      <c r="VFN47" s="478"/>
      <c r="VFO47" s="478"/>
      <c r="VFP47" s="478"/>
      <c r="VFQ47" s="478"/>
      <c r="VFR47" s="478"/>
      <c r="VFS47" s="478"/>
      <c r="VFT47" s="478"/>
      <c r="VFU47" s="478"/>
      <c r="VFV47" s="478"/>
      <c r="VFW47" s="478"/>
      <c r="VFX47" s="478"/>
      <c r="VFY47" s="478"/>
      <c r="VFZ47" s="478"/>
      <c r="VGA47" s="478"/>
      <c r="VGB47" s="478"/>
      <c r="VGC47" s="478"/>
      <c r="VGD47" s="478"/>
      <c r="VGE47" s="478"/>
      <c r="VGF47" s="478"/>
      <c r="VGG47" s="478"/>
      <c r="VGH47" s="478"/>
      <c r="VGI47" s="478"/>
      <c r="VGJ47" s="478"/>
      <c r="VGK47" s="478"/>
      <c r="VGL47" s="478"/>
      <c r="VGM47" s="478"/>
      <c r="VGN47" s="478"/>
      <c r="VGO47" s="478"/>
      <c r="VGP47" s="478"/>
      <c r="VGQ47" s="478"/>
      <c r="VGR47" s="478"/>
      <c r="VGS47" s="478"/>
      <c r="VGT47" s="478"/>
      <c r="VGU47" s="478"/>
      <c r="VGV47" s="478"/>
      <c r="VGW47" s="478"/>
      <c r="VGX47" s="478"/>
      <c r="VGY47" s="478"/>
      <c r="VGZ47" s="478"/>
      <c r="VHA47" s="478"/>
      <c r="VHB47" s="478"/>
      <c r="VHC47" s="478"/>
      <c r="VHD47" s="478"/>
      <c r="VHE47" s="478"/>
      <c r="VHF47" s="478"/>
      <c r="VHG47" s="478"/>
      <c r="VHH47" s="478"/>
      <c r="VHI47" s="478"/>
      <c r="VHJ47" s="478"/>
      <c r="VHK47" s="478"/>
      <c r="VHL47" s="478"/>
      <c r="VHM47" s="478"/>
      <c r="VHN47" s="478"/>
      <c r="VHO47" s="478"/>
      <c r="VHP47" s="478"/>
      <c r="VHQ47" s="478"/>
      <c r="VHR47" s="478"/>
      <c r="VHS47" s="478"/>
      <c r="VHT47" s="478"/>
      <c r="VHU47" s="478"/>
      <c r="VHV47" s="478"/>
      <c r="VHW47" s="478"/>
      <c r="VHX47" s="478"/>
      <c r="VHY47" s="478"/>
      <c r="VHZ47" s="478"/>
      <c r="VIA47" s="478"/>
      <c r="VIB47" s="478"/>
      <c r="VIC47" s="478"/>
      <c r="VID47" s="478"/>
      <c r="VIE47" s="478"/>
      <c r="VIF47" s="478"/>
      <c r="VIG47" s="478"/>
      <c r="VIH47" s="478"/>
      <c r="VII47" s="478"/>
      <c r="VIJ47" s="478"/>
      <c r="VIK47" s="478"/>
      <c r="VIL47" s="478"/>
      <c r="VIM47" s="478"/>
      <c r="VIN47" s="478"/>
      <c r="VIO47" s="478"/>
      <c r="VIP47" s="478"/>
      <c r="VIQ47" s="478"/>
      <c r="VIR47" s="478"/>
      <c r="VIS47" s="478"/>
      <c r="VIT47" s="478"/>
      <c r="VIU47" s="478"/>
      <c r="VIV47" s="478"/>
      <c r="VIW47" s="478"/>
      <c r="VIX47" s="478"/>
      <c r="VIY47" s="478"/>
      <c r="VIZ47" s="478"/>
      <c r="VJA47" s="478"/>
      <c r="VJB47" s="478"/>
      <c r="VJC47" s="478"/>
      <c r="VJD47" s="478"/>
      <c r="VJE47" s="478"/>
      <c r="VJF47" s="478"/>
      <c r="VJG47" s="478"/>
      <c r="VJH47" s="478"/>
      <c r="VJI47" s="478"/>
      <c r="VJJ47" s="478"/>
      <c r="VJK47" s="478"/>
      <c r="VJL47" s="478"/>
      <c r="VJM47" s="478"/>
      <c r="VJN47" s="478"/>
      <c r="VJO47" s="478"/>
      <c r="VJP47" s="478"/>
      <c r="VJQ47" s="478"/>
      <c r="VJR47" s="478"/>
      <c r="VJS47" s="478"/>
      <c r="VJT47" s="478"/>
      <c r="VJU47" s="478"/>
      <c r="VJV47" s="478"/>
      <c r="VJW47" s="478"/>
      <c r="VJX47" s="478"/>
      <c r="VJY47" s="478"/>
      <c r="VJZ47" s="478"/>
      <c r="VKA47" s="478"/>
      <c r="VKB47" s="478"/>
      <c r="VKC47" s="478"/>
      <c r="VKD47" s="478"/>
      <c r="VKE47" s="478"/>
      <c r="VKF47" s="478"/>
      <c r="VKG47" s="478"/>
      <c r="VKH47" s="478"/>
      <c r="VKI47" s="478"/>
      <c r="VKJ47" s="478"/>
      <c r="VKK47" s="478"/>
      <c r="VKL47" s="478"/>
      <c r="VKM47" s="478"/>
      <c r="VKN47" s="478"/>
      <c r="VKO47" s="478"/>
      <c r="VKP47" s="478"/>
      <c r="VKQ47" s="478"/>
      <c r="VKR47" s="478"/>
      <c r="VKS47" s="478"/>
      <c r="VKT47" s="478"/>
      <c r="VKU47" s="478"/>
      <c r="VKV47" s="478"/>
      <c r="VKW47" s="478"/>
      <c r="VKX47" s="478"/>
      <c r="VKY47" s="478"/>
      <c r="VKZ47" s="478"/>
      <c r="VLA47" s="478"/>
      <c r="VLB47" s="478"/>
      <c r="VLC47" s="478"/>
      <c r="VLD47" s="478"/>
      <c r="VLE47" s="478"/>
      <c r="VLF47" s="478"/>
      <c r="VLG47" s="478"/>
      <c r="VLH47" s="478"/>
      <c r="VLI47" s="478"/>
      <c r="VLJ47" s="478"/>
      <c r="VLK47" s="478"/>
      <c r="VLL47" s="478"/>
      <c r="VLM47" s="478"/>
      <c r="VLN47" s="478"/>
      <c r="VLO47" s="478"/>
      <c r="VLP47" s="478"/>
      <c r="VLQ47" s="478"/>
      <c r="VLR47" s="478"/>
      <c r="VLS47" s="478"/>
      <c r="VLT47" s="478"/>
      <c r="VLU47" s="478"/>
      <c r="VLV47" s="478"/>
      <c r="VLW47" s="478"/>
      <c r="VLX47" s="478"/>
      <c r="VLY47" s="478"/>
      <c r="VLZ47" s="478"/>
      <c r="VMA47" s="478"/>
      <c r="VMB47" s="478"/>
      <c r="VMC47" s="478"/>
      <c r="VMD47" s="478"/>
      <c r="VME47" s="478"/>
      <c r="VMF47" s="478"/>
      <c r="VMG47" s="478"/>
      <c r="VMH47" s="478"/>
      <c r="VMI47" s="478"/>
      <c r="VMJ47" s="478"/>
      <c r="VMK47" s="478"/>
      <c r="VML47" s="478"/>
      <c r="VMM47" s="478"/>
      <c r="VMN47" s="478"/>
      <c r="VMO47" s="478"/>
      <c r="VMP47" s="478"/>
      <c r="VMQ47" s="478"/>
      <c r="VMR47" s="478"/>
      <c r="VMS47" s="478"/>
      <c r="VMT47" s="478"/>
      <c r="VMU47" s="478"/>
      <c r="VMV47" s="478"/>
      <c r="VMW47" s="478"/>
      <c r="VMX47" s="478"/>
      <c r="VMY47" s="478"/>
      <c r="VMZ47" s="478"/>
      <c r="VNA47" s="478"/>
      <c r="VNB47" s="478"/>
      <c r="VNC47" s="478"/>
      <c r="VND47" s="478"/>
      <c r="VNE47" s="478"/>
      <c r="VNF47" s="478"/>
      <c r="VNG47" s="478"/>
      <c r="VNH47" s="478"/>
      <c r="VNI47" s="478"/>
      <c r="VNJ47" s="478"/>
      <c r="VNK47" s="478"/>
      <c r="VNL47" s="478"/>
      <c r="VNM47" s="478"/>
      <c r="VNN47" s="478"/>
      <c r="VNO47" s="478"/>
      <c r="VNP47" s="478"/>
      <c r="VNQ47" s="478"/>
      <c r="VNR47" s="478"/>
      <c r="VNS47" s="478"/>
      <c r="VNT47" s="478"/>
      <c r="VNU47" s="478"/>
      <c r="VNV47" s="478"/>
      <c r="VNW47" s="478"/>
      <c r="VNX47" s="478"/>
      <c r="VNY47" s="478"/>
      <c r="VNZ47" s="478"/>
      <c r="VOA47" s="478"/>
      <c r="VOB47" s="478"/>
      <c r="VOC47" s="478"/>
      <c r="VOD47" s="478"/>
      <c r="VOE47" s="478"/>
      <c r="VOF47" s="478"/>
      <c r="VOG47" s="478"/>
      <c r="VOH47" s="478"/>
      <c r="VOI47" s="478"/>
      <c r="VOJ47" s="478"/>
      <c r="VOK47" s="478"/>
      <c r="VOL47" s="478"/>
      <c r="VOM47" s="478"/>
      <c r="VON47" s="478"/>
      <c r="VOO47" s="478"/>
      <c r="VOP47" s="478"/>
      <c r="VOQ47" s="478"/>
      <c r="VOR47" s="478"/>
      <c r="VOS47" s="478"/>
      <c r="VOT47" s="478"/>
      <c r="VOU47" s="478"/>
      <c r="VOV47" s="478"/>
      <c r="VOW47" s="478"/>
      <c r="VOX47" s="478"/>
      <c r="VOY47" s="478"/>
      <c r="VOZ47" s="478"/>
      <c r="VPA47" s="478"/>
      <c r="VPB47" s="478"/>
      <c r="VPC47" s="478"/>
      <c r="VPD47" s="478"/>
      <c r="VPE47" s="478"/>
      <c r="VPF47" s="478"/>
      <c r="VPG47" s="478"/>
      <c r="VPH47" s="478"/>
      <c r="VPI47" s="478"/>
      <c r="VPJ47" s="478"/>
      <c r="VPK47" s="478"/>
      <c r="VPL47" s="478"/>
      <c r="VPM47" s="478"/>
      <c r="VPN47" s="478"/>
      <c r="VPO47" s="478"/>
      <c r="VPP47" s="478"/>
      <c r="VPQ47" s="478"/>
      <c r="VPR47" s="478"/>
      <c r="VPS47" s="478"/>
      <c r="VPT47" s="478"/>
      <c r="VPU47" s="478"/>
      <c r="VPV47" s="478"/>
      <c r="VPW47" s="478"/>
      <c r="VPX47" s="478"/>
      <c r="VPY47" s="478"/>
      <c r="VPZ47" s="478"/>
      <c r="VQA47" s="478"/>
      <c r="VQB47" s="478"/>
      <c r="VQC47" s="478"/>
      <c r="VQD47" s="478"/>
      <c r="VQE47" s="478"/>
      <c r="VQF47" s="478"/>
      <c r="VQG47" s="478"/>
      <c r="VQH47" s="478"/>
      <c r="VQI47" s="478"/>
      <c r="VQJ47" s="478"/>
      <c r="VQK47" s="478"/>
      <c r="VQL47" s="478"/>
      <c r="VQM47" s="478"/>
      <c r="VQN47" s="478"/>
      <c r="VQO47" s="478"/>
      <c r="VQP47" s="478"/>
      <c r="VQQ47" s="478"/>
      <c r="VQR47" s="478"/>
      <c r="VQS47" s="478"/>
      <c r="VQT47" s="478"/>
      <c r="VQU47" s="478"/>
      <c r="VQV47" s="478"/>
      <c r="VQW47" s="478"/>
      <c r="VQX47" s="478"/>
      <c r="VQY47" s="478"/>
      <c r="VQZ47" s="478"/>
      <c r="VRA47" s="478"/>
      <c r="VRB47" s="478"/>
      <c r="VRC47" s="478"/>
      <c r="VRD47" s="478"/>
      <c r="VRE47" s="478"/>
      <c r="VRF47" s="478"/>
      <c r="VRG47" s="478"/>
      <c r="VRH47" s="478"/>
      <c r="VRI47" s="478"/>
      <c r="VRJ47" s="478"/>
      <c r="VRK47" s="478"/>
      <c r="VRL47" s="478"/>
      <c r="VRM47" s="478"/>
      <c r="VRN47" s="478"/>
      <c r="VRO47" s="478"/>
      <c r="VRP47" s="478"/>
      <c r="VRQ47" s="478"/>
      <c r="VRR47" s="478"/>
      <c r="VRS47" s="478"/>
      <c r="VRT47" s="478"/>
      <c r="VRU47" s="478"/>
      <c r="VRV47" s="478"/>
      <c r="VRW47" s="478"/>
      <c r="VRX47" s="478"/>
      <c r="VRY47" s="478"/>
      <c r="VRZ47" s="478"/>
      <c r="VSA47" s="478"/>
      <c r="VSB47" s="478"/>
      <c r="VSC47" s="478"/>
      <c r="VSD47" s="478"/>
      <c r="VSE47" s="478"/>
      <c r="VSF47" s="478"/>
      <c r="VSG47" s="478"/>
      <c r="VSH47" s="478"/>
      <c r="VSI47" s="478"/>
      <c r="VSJ47" s="478"/>
      <c r="VSK47" s="478"/>
      <c r="VSL47" s="478"/>
      <c r="VSM47" s="478"/>
      <c r="VSN47" s="478"/>
      <c r="VSO47" s="478"/>
      <c r="VSP47" s="478"/>
      <c r="VSQ47" s="478"/>
      <c r="VSR47" s="478"/>
      <c r="VSS47" s="478"/>
      <c r="VST47" s="478"/>
      <c r="VSU47" s="478"/>
      <c r="VSV47" s="478"/>
      <c r="VSW47" s="478"/>
      <c r="VSX47" s="478"/>
      <c r="VSY47" s="478"/>
      <c r="VSZ47" s="478"/>
      <c r="VTA47" s="478"/>
      <c r="VTB47" s="478"/>
      <c r="VTC47" s="478"/>
      <c r="VTD47" s="478"/>
      <c r="VTE47" s="478"/>
      <c r="VTF47" s="478"/>
      <c r="VTG47" s="478"/>
      <c r="VTH47" s="478"/>
      <c r="VTI47" s="478"/>
      <c r="VTJ47" s="478"/>
      <c r="VTK47" s="478"/>
      <c r="VTL47" s="478"/>
      <c r="VTM47" s="478"/>
      <c r="VTN47" s="478"/>
      <c r="VTO47" s="478"/>
      <c r="VTP47" s="478"/>
      <c r="VTQ47" s="478"/>
      <c r="VTR47" s="478"/>
      <c r="VTS47" s="478"/>
      <c r="VTT47" s="478"/>
      <c r="VTU47" s="478"/>
      <c r="VTV47" s="478"/>
      <c r="VTW47" s="478"/>
      <c r="VTX47" s="478"/>
      <c r="VTY47" s="478"/>
      <c r="VTZ47" s="478"/>
      <c r="VUA47" s="478"/>
      <c r="VUB47" s="478"/>
      <c r="VUC47" s="478"/>
      <c r="VUD47" s="478"/>
      <c r="VUE47" s="478"/>
      <c r="VUF47" s="478"/>
      <c r="VUG47" s="478"/>
      <c r="VUH47" s="478"/>
      <c r="VUI47" s="478"/>
      <c r="VUJ47" s="478"/>
      <c r="VUK47" s="478"/>
      <c r="VUL47" s="478"/>
      <c r="VUM47" s="478"/>
      <c r="VUN47" s="478"/>
      <c r="VUO47" s="478"/>
      <c r="VUP47" s="478"/>
      <c r="VUQ47" s="478"/>
      <c r="VUR47" s="478"/>
      <c r="VUS47" s="478"/>
      <c r="VUT47" s="478"/>
      <c r="VUU47" s="478"/>
      <c r="VUV47" s="478"/>
      <c r="VUW47" s="478"/>
      <c r="VUX47" s="478"/>
      <c r="VUY47" s="478"/>
      <c r="VUZ47" s="478"/>
      <c r="VVA47" s="478"/>
      <c r="VVB47" s="478"/>
      <c r="VVC47" s="478"/>
      <c r="VVD47" s="478"/>
      <c r="VVE47" s="478"/>
      <c r="VVF47" s="478"/>
      <c r="VVG47" s="478"/>
      <c r="VVH47" s="478"/>
      <c r="VVI47" s="478"/>
      <c r="VVJ47" s="478"/>
      <c r="VVK47" s="478"/>
      <c r="VVL47" s="478"/>
      <c r="VVM47" s="478"/>
      <c r="VVN47" s="478"/>
      <c r="VVO47" s="478"/>
      <c r="VVP47" s="478"/>
      <c r="VVQ47" s="478"/>
      <c r="VVR47" s="478"/>
      <c r="VVS47" s="478"/>
      <c r="VVT47" s="478"/>
      <c r="VVU47" s="478"/>
      <c r="VVV47" s="478"/>
      <c r="VVW47" s="478"/>
      <c r="VVX47" s="478"/>
      <c r="VVY47" s="478"/>
      <c r="VVZ47" s="478"/>
      <c r="VWA47" s="478"/>
      <c r="VWB47" s="478"/>
      <c r="VWC47" s="478"/>
      <c r="VWD47" s="478"/>
      <c r="VWE47" s="478"/>
      <c r="VWF47" s="478"/>
      <c r="VWG47" s="478"/>
      <c r="VWH47" s="478"/>
      <c r="VWI47" s="478"/>
      <c r="VWJ47" s="478"/>
      <c r="VWK47" s="478"/>
      <c r="VWL47" s="478"/>
      <c r="VWM47" s="478"/>
      <c r="VWN47" s="478"/>
      <c r="VWO47" s="478"/>
      <c r="VWP47" s="478"/>
      <c r="VWQ47" s="478"/>
      <c r="VWR47" s="478"/>
      <c r="VWS47" s="478"/>
      <c r="VWT47" s="478"/>
      <c r="VWU47" s="478"/>
      <c r="VWV47" s="478"/>
      <c r="VWW47" s="478"/>
      <c r="VWX47" s="478"/>
      <c r="VWY47" s="478"/>
      <c r="VWZ47" s="478"/>
      <c r="VXA47" s="478"/>
      <c r="VXB47" s="478"/>
      <c r="VXC47" s="478"/>
      <c r="VXD47" s="478"/>
      <c r="VXE47" s="478"/>
      <c r="VXF47" s="478"/>
      <c r="VXG47" s="478"/>
      <c r="VXH47" s="478"/>
      <c r="VXI47" s="478"/>
      <c r="VXJ47" s="478"/>
      <c r="VXK47" s="478"/>
      <c r="VXL47" s="478"/>
      <c r="VXM47" s="478"/>
      <c r="VXN47" s="478"/>
      <c r="VXO47" s="478"/>
      <c r="VXP47" s="478"/>
      <c r="VXQ47" s="478"/>
      <c r="VXR47" s="478"/>
      <c r="VXS47" s="478"/>
      <c r="VXT47" s="478"/>
      <c r="VXU47" s="478"/>
      <c r="VXV47" s="478"/>
      <c r="VXW47" s="478"/>
      <c r="VXX47" s="478"/>
      <c r="VXY47" s="478"/>
      <c r="VXZ47" s="478"/>
      <c r="VYA47" s="478"/>
      <c r="VYB47" s="478"/>
      <c r="VYC47" s="478"/>
      <c r="VYD47" s="478"/>
      <c r="VYE47" s="478"/>
      <c r="VYF47" s="478"/>
      <c r="VYG47" s="478"/>
      <c r="VYH47" s="478"/>
      <c r="VYI47" s="478"/>
      <c r="VYJ47" s="478"/>
      <c r="VYK47" s="478"/>
      <c r="VYL47" s="478"/>
      <c r="VYM47" s="478"/>
      <c r="VYN47" s="478"/>
      <c r="VYO47" s="478"/>
      <c r="VYP47" s="478"/>
      <c r="VYQ47" s="478"/>
      <c r="VYR47" s="478"/>
      <c r="VYS47" s="478"/>
      <c r="VYT47" s="478"/>
      <c r="VYU47" s="478"/>
      <c r="VYV47" s="478"/>
      <c r="VYW47" s="478"/>
      <c r="VYX47" s="478"/>
      <c r="VYY47" s="478"/>
      <c r="VYZ47" s="478"/>
      <c r="VZA47" s="478"/>
      <c r="VZB47" s="478"/>
      <c r="VZC47" s="478"/>
      <c r="VZD47" s="478"/>
      <c r="VZE47" s="478"/>
      <c r="VZF47" s="478"/>
      <c r="VZG47" s="478"/>
      <c r="VZH47" s="478"/>
      <c r="VZI47" s="478"/>
      <c r="VZJ47" s="478"/>
      <c r="VZK47" s="478"/>
      <c r="VZL47" s="478"/>
      <c r="VZM47" s="478"/>
      <c r="VZN47" s="478"/>
      <c r="VZO47" s="478"/>
      <c r="VZP47" s="478"/>
      <c r="VZQ47" s="478"/>
      <c r="VZR47" s="478"/>
      <c r="VZS47" s="478"/>
      <c r="VZT47" s="478"/>
      <c r="VZU47" s="478"/>
      <c r="VZV47" s="478"/>
      <c r="VZW47" s="478"/>
      <c r="VZX47" s="478"/>
      <c r="VZY47" s="478"/>
      <c r="VZZ47" s="478"/>
      <c r="WAA47" s="478"/>
      <c r="WAB47" s="478"/>
      <c r="WAC47" s="478"/>
      <c r="WAD47" s="478"/>
      <c r="WAE47" s="478"/>
      <c r="WAF47" s="478"/>
      <c r="WAG47" s="478"/>
      <c r="WAH47" s="478"/>
      <c r="WAI47" s="478"/>
      <c r="WAJ47" s="478"/>
      <c r="WAK47" s="478"/>
      <c r="WAL47" s="478"/>
      <c r="WAM47" s="478"/>
      <c r="WAN47" s="478"/>
      <c r="WAO47" s="478"/>
      <c r="WAP47" s="478"/>
      <c r="WAQ47" s="478"/>
      <c r="WAR47" s="478"/>
      <c r="WAS47" s="478"/>
      <c r="WAT47" s="478"/>
      <c r="WAU47" s="478"/>
      <c r="WAV47" s="478"/>
      <c r="WAW47" s="478"/>
      <c r="WAX47" s="478"/>
      <c r="WAY47" s="478"/>
      <c r="WAZ47" s="478"/>
      <c r="WBA47" s="478"/>
      <c r="WBB47" s="478"/>
      <c r="WBC47" s="478"/>
      <c r="WBD47" s="478"/>
      <c r="WBE47" s="478"/>
      <c r="WBF47" s="478"/>
      <c r="WBG47" s="478"/>
      <c r="WBH47" s="478"/>
      <c r="WBI47" s="478"/>
      <c r="WBJ47" s="478"/>
      <c r="WBK47" s="478"/>
      <c r="WBL47" s="478"/>
      <c r="WBM47" s="478"/>
      <c r="WBN47" s="478"/>
      <c r="WBO47" s="478"/>
      <c r="WBP47" s="478"/>
      <c r="WBQ47" s="478"/>
      <c r="WBR47" s="478"/>
      <c r="WBS47" s="478"/>
      <c r="WBT47" s="478"/>
      <c r="WBU47" s="478"/>
      <c r="WBV47" s="478"/>
      <c r="WBW47" s="478"/>
      <c r="WBX47" s="478"/>
      <c r="WBY47" s="478"/>
      <c r="WBZ47" s="478"/>
      <c r="WCA47" s="478"/>
      <c r="WCB47" s="478"/>
      <c r="WCC47" s="478"/>
      <c r="WCD47" s="478"/>
      <c r="WCE47" s="478"/>
      <c r="WCF47" s="478"/>
      <c r="WCG47" s="478"/>
      <c r="WCH47" s="478"/>
      <c r="WCI47" s="478"/>
      <c r="WCJ47" s="478"/>
      <c r="WCK47" s="478"/>
      <c r="WCL47" s="478"/>
      <c r="WCM47" s="478"/>
      <c r="WCN47" s="478"/>
      <c r="WCO47" s="478"/>
      <c r="WCP47" s="478"/>
      <c r="WCQ47" s="478"/>
      <c r="WCR47" s="478"/>
      <c r="WCS47" s="478"/>
      <c r="WCT47" s="478"/>
      <c r="WCU47" s="478"/>
      <c r="WCV47" s="478"/>
      <c r="WCW47" s="478"/>
      <c r="WCX47" s="478"/>
      <c r="WCY47" s="478"/>
      <c r="WCZ47" s="478"/>
      <c r="WDA47" s="478"/>
      <c r="WDB47" s="478"/>
      <c r="WDC47" s="478"/>
      <c r="WDD47" s="478"/>
      <c r="WDE47" s="478"/>
      <c r="WDF47" s="478"/>
      <c r="WDG47" s="478"/>
      <c r="WDH47" s="478"/>
      <c r="WDI47" s="478"/>
      <c r="WDJ47" s="478"/>
      <c r="WDK47" s="478"/>
      <c r="WDL47" s="478"/>
      <c r="WDM47" s="478"/>
      <c r="WDN47" s="478"/>
      <c r="WDO47" s="478"/>
      <c r="WDP47" s="478"/>
      <c r="WDQ47" s="478"/>
      <c r="WDR47" s="478"/>
      <c r="WDS47" s="478"/>
      <c r="WDT47" s="478"/>
      <c r="WDU47" s="478"/>
      <c r="WDV47" s="478"/>
      <c r="WDW47" s="478"/>
      <c r="WDX47" s="478"/>
      <c r="WDY47" s="478"/>
      <c r="WDZ47" s="478"/>
      <c r="WEA47" s="478"/>
      <c r="WEB47" s="478"/>
      <c r="WEC47" s="478"/>
      <c r="WED47" s="478"/>
      <c r="WEE47" s="478"/>
      <c r="WEF47" s="478"/>
      <c r="WEG47" s="478"/>
      <c r="WEH47" s="478"/>
      <c r="WEI47" s="478"/>
      <c r="WEJ47" s="478"/>
      <c r="WEK47" s="478"/>
      <c r="WEL47" s="478"/>
      <c r="WEM47" s="478"/>
      <c r="WEN47" s="478"/>
      <c r="WEO47" s="478"/>
      <c r="WEP47" s="478"/>
      <c r="WEQ47" s="478"/>
      <c r="WER47" s="478"/>
      <c r="WES47" s="478"/>
      <c r="WET47" s="478"/>
      <c r="WEU47" s="478"/>
      <c r="WEV47" s="478"/>
      <c r="WEW47" s="478"/>
      <c r="WEX47" s="478"/>
      <c r="WEY47" s="478"/>
      <c r="WEZ47" s="478"/>
      <c r="WFA47" s="478"/>
      <c r="WFB47" s="478"/>
      <c r="WFC47" s="478"/>
      <c r="WFD47" s="478"/>
      <c r="WFE47" s="478"/>
      <c r="WFF47" s="478"/>
      <c r="WFG47" s="478"/>
      <c r="WFH47" s="478"/>
      <c r="WFI47" s="478"/>
      <c r="WFJ47" s="478"/>
      <c r="WFK47" s="478"/>
      <c r="WFL47" s="478"/>
      <c r="WFM47" s="478"/>
      <c r="WFN47" s="478"/>
      <c r="WFO47" s="478"/>
      <c r="WFP47" s="478"/>
      <c r="WFQ47" s="478"/>
      <c r="WFR47" s="478"/>
      <c r="WFS47" s="478"/>
      <c r="WFT47" s="478"/>
      <c r="WFU47" s="478"/>
      <c r="WFV47" s="478"/>
      <c r="WFW47" s="478"/>
      <c r="WFX47" s="478"/>
      <c r="WFY47" s="478"/>
      <c r="WFZ47" s="478"/>
      <c r="WGA47" s="478"/>
      <c r="WGB47" s="478"/>
      <c r="WGC47" s="478"/>
      <c r="WGD47" s="478"/>
      <c r="WGE47" s="478"/>
      <c r="WGF47" s="478"/>
      <c r="WGG47" s="478"/>
      <c r="WGH47" s="478"/>
      <c r="WGI47" s="478"/>
      <c r="WGJ47" s="478"/>
      <c r="WGK47" s="478"/>
      <c r="WGL47" s="478"/>
      <c r="WGM47" s="478"/>
      <c r="WGN47" s="478"/>
      <c r="WGO47" s="478"/>
      <c r="WGP47" s="478"/>
      <c r="WGQ47" s="478"/>
      <c r="WGR47" s="478"/>
      <c r="WGS47" s="478"/>
      <c r="WGT47" s="478"/>
      <c r="WGU47" s="478"/>
      <c r="WGV47" s="478"/>
      <c r="WGW47" s="478"/>
      <c r="WGX47" s="478"/>
      <c r="WGY47" s="478"/>
      <c r="WGZ47" s="478"/>
      <c r="WHA47" s="478"/>
      <c r="WHB47" s="478"/>
      <c r="WHC47" s="478"/>
      <c r="WHD47" s="478"/>
      <c r="WHE47" s="478"/>
      <c r="WHF47" s="478"/>
      <c r="WHG47" s="478"/>
      <c r="WHH47" s="478"/>
      <c r="WHI47" s="478"/>
      <c r="WHJ47" s="478"/>
      <c r="WHK47" s="478"/>
      <c r="WHL47" s="478"/>
      <c r="WHM47" s="478"/>
      <c r="WHN47" s="478"/>
      <c r="WHO47" s="478"/>
      <c r="WHP47" s="478"/>
      <c r="WHQ47" s="478"/>
      <c r="WHR47" s="478"/>
      <c r="WHS47" s="478"/>
      <c r="WHT47" s="478"/>
      <c r="WHU47" s="478"/>
      <c r="WHV47" s="478"/>
      <c r="WHW47" s="478"/>
      <c r="WHX47" s="478"/>
      <c r="WHY47" s="478"/>
      <c r="WHZ47" s="478"/>
      <c r="WIA47" s="478"/>
      <c r="WIB47" s="478"/>
      <c r="WIC47" s="478"/>
      <c r="WID47" s="478"/>
      <c r="WIE47" s="478"/>
      <c r="WIF47" s="478"/>
      <c r="WIG47" s="478"/>
      <c r="WIH47" s="478"/>
      <c r="WII47" s="478"/>
      <c r="WIJ47" s="478"/>
      <c r="WIK47" s="478"/>
      <c r="WIL47" s="478"/>
      <c r="WIM47" s="478"/>
      <c r="WIN47" s="478"/>
      <c r="WIO47" s="478"/>
      <c r="WIP47" s="478"/>
      <c r="WIQ47" s="478"/>
      <c r="WIR47" s="478"/>
      <c r="WIS47" s="478"/>
      <c r="WIT47" s="478"/>
      <c r="WIU47" s="478"/>
      <c r="WIV47" s="478"/>
      <c r="WIW47" s="478"/>
      <c r="WIX47" s="478"/>
      <c r="WIY47" s="478"/>
      <c r="WIZ47" s="478"/>
      <c r="WJA47" s="478"/>
      <c r="WJB47" s="478"/>
      <c r="WJC47" s="478"/>
      <c r="WJD47" s="478"/>
      <c r="WJE47" s="478"/>
      <c r="WJF47" s="478"/>
      <c r="WJG47" s="478"/>
      <c r="WJH47" s="478"/>
      <c r="WJI47" s="478"/>
      <c r="WJJ47" s="478"/>
      <c r="WJK47" s="478"/>
      <c r="WJL47" s="478"/>
      <c r="WJM47" s="478"/>
      <c r="WJN47" s="478"/>
      <c r="WJO47" s="478"/>
      <c r="WJP47" s="478"/>
      <c r="WJQ47" s="478"/>
      <c r="WJR47" s="478"/>
      <c r="WJS47" s="478"/>
      <c r="WJT47" s="478"/>
      <c r="WJU47" s="478"/>
      <c r="WJV47" s="478"/>
      <c r="WJW47" s="478"/>
      <c r="WJX47" s="478"/>
      <c r="WJY47" s="478"/>
      <c r="WJZ47" s="478"/>
      <c r="WKA47" s="478"/>
      <c r="WKB47" s="478"/>
      <c r="WKC47" s="478"/>
      <c r="WKD47" s="478"/>
      <c r="WKE47" s="478"/>
      <c r="WKF47" s="478"/>
      <c r="WKG47" s="478"/>
      <c r="WKH47" s="478"/>
      <c r="WKI47" s="478"/>
      <c r="WKJ47" s="478"/>
      <c r="WKK47" s="478"/>
      <c r="WKL47" s="478"/>
      <c r="WKM47" s="478"/>
      <c r="WKN47" s="478"/>
      <c r="WKO47" s="478"/>
      <c r="WKP47" s="478"/>
      <c r="WKQ47" s="478"/>
      <c r="WKR47" s="478"/>
      <c r="WKS47" s="478"/>
      <c r="WKT47" s="478"/>
      <c r="WKU47" s="478"/>
      <c r="WKV47" s="478"/>
      <c r="WKW47" s="478"/>
      <c r="WKX47" s="478"/>
      <c r="WKY47" s="478"/>
      <c r="WKZ47" s="478"/>
      <c r="WLA47" s="478"/>
      <c r="WLB47" s="478"/>
      <c r="WLC47" s="478"/>
      <c r="WLD47" s="478"/>
      <c r="WLE47" s="478"/>
      <c r="WLF47" s="478"/>
      <c r="WLG47" s="478"/>
      <c r="WLH47" s="478"/>
      <c r="WLI47" s="478"/>
      <c r="WLJ47" s="478"/>
      <c r="WLK47" s="478"/>
      <c r="WLL47" s="478"/>
      <c r="WLM47" s="478"/>
      <c r="WLN47" s="478"/>
      <c r="WLO47" s="478"/>
      <c r="WLP47" s="478"/>
      <c r="WLQ47" s="478"/>
      <c r="WLR47" s="478"/>
      <c r="WLS47" s="478"/>
      <c r="WLT47" s="478"/>
      <c r="WLU47" s="478"/>
      <c r="WLV47" s="478"/>
      <c r="WLW47" s="478"/>
      <c r="WLX47" s="478"/>
      <c r="WLY47" s="478"/>
      <c r="WLZ47" s="478"/>
      <c r="WMA47" s="478"/>
      <c r="WMB47" s="478"/>
      <c r="WMC47" s="478"/>
      <c r="WMD47" s="478"/>
      <c r="WME47" s="478"/>
      <c r="WMF47" s="478"/>
      <c r="WMG47" s="478"/>
      <c r="WMH47" s="478"/>
      <c r="WMI47" s="478"/>
      <c r="WMJ47" s="478"/>
      <c r="WMK47" s="478"/>
      <c r="WML47" s="478"/>
      <c r="WMM47" s="478"/>
      <c r="WMN47" s="478"/>
      <c r="WMO47" s="478"/>
      <c r="WMP47" s="478"/>
      <c r="WMQ47" s="478"/>
      <c r="WMR47" s="478"/>
      <c r="WMS47" s="478"/>
      <c r="WMT47" s="478"/>
      <c r="WMU47" s="478"/>
      <c r="WMV47" s="478"/>
      <c r="WMW47" s="478"/>
      <c r="WMX47" s="478"/>
      <c r="WMY47" s="478"/>
      <c r="WMZ47" s="478"/>
      <c r="WNA47" s="478"/>
      <c r="WNB47" s="478"/>
      <c r="WNC47" s="478"/>
      <c r="WND47" s="478"/>
      <c r="WNE47" s="478"/>
      <c r="WNF47" s="478"/>
      <c r="WNG47" s="478"/>
      <c r="WNH47" s="478"/>
      <c r="WNI47" s="478"/>
      <c r="WNJ47" s="478"/>
      <c r="WNK47" s="478"/>
      <c r="WNL47" s="478"/>
      <c r="WNM47" s="478"/>
      <c r="WNN47" s="478"/>
      <c r="WNO47" s="478"/>
      <c r="WNP47" s="478"/>
      <c r="WNQ47" s="478"/>
      <c r="WNR47" s="478"/>
      <c r="WNS47" s="478"/>
      <c r="WNT47" s="478"/>
      <c r="WNU47" s="478"/>
      <c r="WNV47" s="478"/>
      <c r="WNW47" s="478"/>
      <c r="WNX47" s="478"/>
      <c r="WNY47" s="478"/>
      <c r="WNZ47" s="478"/>
      <c r="WOA47" s="478"/>
      <c r="WOB47" s="478"/>
      <c r="WOC47" s="478"/>
      <c r="WOD47" s="478"/>
      <c r="WOE47" s="478"/>
      <c r="WOF47" s="478"/>
      <c r="WOG47" s="478"/>
      <c r="WOH47" s="478"/>
      <c r="WOI47" s="478"/>
      <c r="WOJ47" s="478"/>
      <c r="WOK47" s="478"/>
      <c r="WOL47" s="478"/>
      <c r="WOM47" s="478"/>
      <c r="WON47" s="478"/>
      <c r="WOO47" s="478"/>
      <c r="WOP47" s="478"/>
      <c r="WOQ47" s="478"/>
      <c r="WOR47" s="478"/>
      <c r="WOS47" s="478"/>
      <c r="WOT47" s="478"/>
      <c r="WOU47" s="478"/>
      <c r="WOV47" s="478"/>
      <c r="WOW47" s="478"/>
      <c r="WOX47" s="478"/>
      <c r="WOY47" s="478"/>
      <c r="WOZ47" s="478"/>
      <c r="WPA47" s="478"/>
      <c r="WPB47" s="478"/>
      <c r="WPC47" s="478"/>
      <c r="WPD47" s="478"/>
      <c r="WPE47" s="478"/>
      <c r="WPF47" s="478"/>
      <c r="WPG47" s="478"/>
      <c r="WPH47" s="478"/>
      <c r="WPI47" s="478"/>
      <c r="WPJ47" s="478"/>
      <c r="WPK47" s="478"/>
      <c r="WPL47" s="478"/>
      <c r="WPM47" s="478"/>
      <c r="WPN47" s="478"/>
      <c r="WPO47" s="478"/>
      <c r="WPP47" s="478"/>
      <c r="WPQ47" s="478"/>
      <c r="WPR47" s="478"/>
      <c r="WPS47" s="478"/>
      <c r="WPT47" s="478"/>
      <c r="WPU47" s="478"/>
      <c r="WPV47" s="478"/>
      <c r="WPW47" s="478"/>
      <c r="WPX47" s="478"/>
      <c r="WPY47" s="478"/>
      <c r="WPZ47" s="478"/>
      <c r="WQA47" s="478"/>
      <c r="WQB47" s="478"/>
      <c r="WQC47" s="478"/>
      <c r="WQD47" s="478"/>
      <c r="WQE47" s="478"/>
      <c r="WQF47" s="478"/>
      <c r="WQG47" s="478"/>
      <c r="WQH47" s="478"/>
      <c r="WQI47" s="478"/>
      <c r="WQJ47" s="478"/>
      <c r="WQK47" s="478"/>
      <c r="WQL47" s="478"/>
      <c r="WQM47" s="478"/>
      <c r="WQN47" s="478"/>
      <c r="WQO47" s="478"/>
      <c r="WQP47" s="478"/>
      <c r="WQQ47" s="478"/>
      <c r="WQR47" s="478"/>
      <c r="WQS47" s="478"/>
      <c r="WQT47" s="478"/>
      <c r="WQU47" s="478"/>
      <c r="WQV47" s="478"/>
      <c r="WQW47" s="478"/>
      <c r="WQX47" s="478"/>
      <c r="WQY47" s="478"/>
      <c r="WQZ47" s="478"/>
      <c r="WRA47" s="478"/>
      <c r="WRB47" s="478"/>
      <c r="WRC47" s="478"/>
      <c r="WRD47" s="478"/>
      <c r="WRE47" s="478"/>
      <c r="WRF47" s="478"/>
      <c r="WRG47" s="478"/>
      <c r="WRH47" s="478"/>
      <c r="WRI47" s="478"/>
      <c r="WRJ47" s="478"/>
      <c r="WRK47" s="478"/>
      <c r="WRL47" s="478"/>
      <c r="WRM47" s="478"/>
      <c r="WRN47" s="478"/>
      <c r="WRO47" s="478"/>
      <c r="WRP47" s="478"/>
      <c r="WRQ47" s="478"/>
      <c r="WRR47" s="478"/>
      <c r="WRS47" s="478"/>
      <c r="WRT47" s="478"/>
      <c r="WRU47" s="478"/>
      <c r="WRV47" s="478"/>
      <c r="WRW47" s="478"/>
      <c r="WRX47" s="478"/>
      <c r="WRY47" s="478"/>
      <c r="WRZ47" s="478"/>
      <c r="WSA47" s="478"/>
      <c r="WSB47" s="478"/>
      <c r="WSC47" s="478"/>
      <c r="WSD47" s="478"/>
      <c r="WSE47" s="478"/>
      <c r="WSF47" s="478"/>
      <c r="WSG47" s="478"/>
      <c r="WSH47" s="478"/>
      <c r="WSI47" s="478"/>
      <c r="WSJ47" s="478"/>
      <c r="WSK47" s="478"/>
      <c r="WSL47" s="478"/>
      <c r="WSM47" s="478"/>
      <c r="WSN47" s="478"/>
      <c r="WSO47" s="478"/>
      <c r="WSP47" s="478"/>
      <c r="WSQ47" s="478"/>
      <c r="WSR47" s="478"/>
      <c r="WSS47" s="478"/>
      <c r="WST47" s="478"/>
      <c r="WSU47" s="478"/>
      <c r="WSV47" s="478"/>
      <c r="WSW47" s="478"/>
      <c r="WSX47" s="478"/>
      <c r="WSY47" s="478"/>
      <c r="WSZ47" s="478"/>
      <c r="WTA47" s="478"/>
      <c r="WTB47" s="478"/>
      <c r="WTC47" s="478"/>
      <c r="WTD47" s="478"/>
      <c r="WTE47" s="478"/>
      <c r="WTF47" s="478"/>
      <c r="WTG47" s="478"/>
      <c r="WTH47" s="478"/>
      <c r="WTI47" s="478"/>
      <c r="WTJ47" s="478"/>
      <c r="WTK47" s="478"/>
      <c r="WTL47" s="478"/>
      <c r="WTM47" s="478"/>
      <c r="WTN47" s="478"/>
      <c r="WTO47" s="478"/>
      <c r="WTP47" s="478"/>
      <c r="WTQ47" s="478"/>
      <c r="WTR47" s="478"/>
      <c r="WTS47" s="478"/>
      <c r="WTT47" s="478"/>
      <c r="WTU47" s="478"/>
      <c r="WTV47" s="478"/>
      <c r="WTW47" s="478"/>
      <c r="WTX47" s="478"/>
      <c r="WTY47" s="478"/>
      <c r="WTZ47" s="478"/>
      <c r="WUA47" s="478"/>
      <c r="WUB47" s="478"/>
      <c r="WUC47" s="478"/>
      <c r="WUD47" s="478"/>
      <c r="WUE47" s="478"/>
      <c r="WUF47" s="478"/>
      <c r="WUG47" s="478"/>
      <c r="WUH47" s="478"/>
      <c r="WUI47" s="478"/>
      <c r="WUJ47" s="478"/>
      <c r="WUK47" s="478"/>
      <c r="WUL47" s="478"/>
      <c r="WUM47" s="478"/>
      <c r="WUN47" s="478"/>
      <c r="WUO47" s="478"/>
      <c r="WUP47" s="478"/>
      <c r="WUQ47" s="478"/>
      <c r="WUR47" s="478"/>
      <c r="WUS47" s="478"/>
      <c r="WUT47" s="478"/>
      <c r="WUU47" s="478"/>
      <c r="WUV47" s="478"/>
      <c r="WUW47" s="478"/>
      <c r="WUX47" s="478"/>
      <c r="WUY47" s="478"/>
      <c r="WUZ47" s="478"/>
      <c r="WVA47" s="478"/>
      <c r="WVB47" s="478"/>
      <c r="WVC47" s="478"/>
      <c r="WVD47" s="478"/>
      <c r="WVE47" s="478"/>
      <c r="WVF47" s="478"/>
      <c r="WVG47" s="478"/>
      <c r="WVH47" s="478"/>
      <c r="WVI47" s="478"/>
      <c r="WVJ47" s="478"/>
      <c r="WVK47" s="478"/>
      <c r="WVL47" s="478"/>
      <c r="WVM47" s="478"/>
      <c r="WVN47" s="478"/>
      <c r="WVO47" s="478"/>
      <c r="WVP47" s="478"/>
      <c r="WVQ47" s="478"/>
      <c r="WVR47" s="478"/>
      <c r="WVS47" s="478"/>
      <c r="WVT47" s="478"/>
      <c r="WVU47" s="478"/>
      <c r="WVV47" s="478"/>
      <c r="WVW47" s="478"/>
      <c r="WVX47" s="478"/>
      <c r="WVY47" s="478"/>
      <c r="WVZ47" s="478"/>
      <c r="WWA47" s="478"/>
      <c r="WWB47" s="478"/>
      <c r="WWC47" s="478"/>
      <c r="WWD47" s="478"/>
      <c r="WWE47" s="478"/>
      <c r="WWF47" s="478"/>
      <c r="WWG47" s="478"/>
      <c r="WWH47" s="478"/>
      <c r="WWI47" s="478"/>
      <c r="WWJ47" s="478"/>
      <c r="WWK47" s="478"/>
      <c r="WWL47" s="478"/>
      <c r="WWM47" s="478"/>
      <c r="WWN47" s="478"/>
      <c r="WWO47" s="478"/>
      <c r="WWP47" s="478"/>
      <c r="WWQ47" s="478"/>
      <c r="WWR47" s="478"/>
      <c r="WWS47" s="478"/>
      <c r="WWT47" s="478"/>
      <c r="WWU47" s="478"/>
      <c r="WWV47" s="478"/>
      <c r="WWW47" s="478"/>
      <c r="WWX47" s="478"/>
      <c r="WWY47" s="478"/>
      <c r="WWZ47" s="478"/>
      <c r="WXA47" s="478"/>
      <c r="WXB47" s="478"/>
      <c r="WXC47" s="478"/>
      <c r="WXD47" s="478"/>
      <c r="WXE47" s="478"/>
      <c r="WXF47" s="478"/>
      <c r="WXG47" s="478"/>
      <c r="WXH47" s="478"/>
      <c r="WXI47" s="478"/>
      <c r="WXJ47" s="478"/>
      <c r="WXK47" s="478"/>
      <c r="WXL47" s="478"/>
      <c r="WXM47" s="478"/>
      <c r="WXN47" s="478"/>
      <c r="WXO47" s="478"/>
      <c r="WXP47" s="478"/>
      <c r="WXQ47" s="478"/>
      <c r="WXR47" s="478"/>
      <c r="WXS47" s="478"/>
      <c r="WXT47" s="478"/>
      <c r="WXU47" s="478"/>
      <c r="WXV47" s="478"/>
      <c r="WXW47" s="478"/>
      <c r="WXX47" s="478"/>
      <c r="WXY47" s="478"/>
      <c r="WXZ47" s="478"/>
      <c r="WYA47" s="478"/>
      <c r="WYB47" s="478"/>
      <c r="WYC47" s="478"/>
      <c r="WYD47" s="478"/>
      <c r="WYE47" s="478"/>
      <c r="WYF47" s="478"/>
      <c r="WYG47" s="478"/>
      <c r="WYH47" s="478"/>
      <c r="WYI47" s="478"/>
      <c r="WYJ47" s="478"/>
      <c r="WYK47" s="478"/>
      <c r="WYL47" s="478"/>
      <c r="WYM47" s="478"/>
      <c r="WYN47" s="478"/>
      <c r="WYO47" s="478"/>
      <c r="WYP47" s="478"/>
      <c r="WYQ47" s="478"/>
      <c r="WYR47" s="478"/>
      <c r="WYS47" s="478"/>
      <c r="WYT47" s="478"/>
      <c r="WYU47" s="478"/>
      <c r="WYV47" s="478"/>
      <c r="WYW47" s="478"/>
      <c r="WYX47" s="478"/>
      <c r="WYY47" s="478"/>
      <c r="WYZ47" s="478"/>
      <c r="WZA47" s="478"/>
      <c r="WZB47" s="478"/>
      <c r="WZC47" s="478"/>
      <c r="WZD47" s="478"/>
      <c r="WZE47" s="478"/>
      <c r="WZF47" s="478"/>
      <c r="WZG47" s="478"/>
      <c r="WZH47" s="478"/>
      <c r="WZI47" s="478"/>
      <c r="WZJ47" s="478"/>
      <c r="WZK47" s="478"/>
      <c r="WZL47" s="478"/>
      <c r="WZM47" s="478"/>
      <c r="WZN47" s="478"/>
      <c r="WZO47" s="478"/>
      <c r="WZP47" s="478"/>
      <c r="WZQ47" s="478"/>
      <c r="WZR47" s="478"/>
      <c r="WZS47" s="478"/>
      <c r="WZT47" s="478"/>
      <c r="WZU47" s="478"/>
      <c r="WZV47" s="478"/>
      <c r="WZW47" s="478"/>
      <c r="WZX47" s="478"/>
      <c r="WZY47" s="478"/>
      <c r="WZZ47" s="478"/>
      <c r="XAA47" s="478"/>
      <c r="XAB47" s="478"/>
      <c r="XAC47" s="478"/>
      <c r="XAD47" s="478"/>
      <c r="XAE47" s="478"/>
      <c r="XAF47" s="478"/>
      <c r="XAG47" s="478"/>
      <c r="XAH47" s="478"/>
      <c r="XAI47" s="478"/>
      <c r="XAJ47" s="478"/>
      <c r="XAK47" s="478"/>
      <c r="XAL47" s="478"/>
      <c r="XAM47" s="478"/>
      <c r="XAN47" s="478"/>
      <c r="XAO47" s="478"/>
      <c r="XAP47" s="478"/>
      <c r="XAQ47" s="478"/>
      <c r="XAR47" s="478"/>
      <c r="XAS47" s="478"/>
      <c r="XAT47" s="478"/>
      <c r="XAU47" s="478"/>
      <c r="XAV47" s="478"/>
      <c r="XAW47" s="478"/>
      <c r="XAX47" s="478"/>
      <c r="XAY47" s="478"/>
      <c r="XAZ47" s="478"/>
      <c r="XBA47" s="478"/>
      <c r="XBB47" s="478"/>
      <c r="XBC47" s="478"/>
      <c r="XBD47" s="478"/>
      <c r="XBE47" s="478"/>
      <c r="XBF47" s="478"/>
      <c r="XBG47" s="478"/>
      <c r="XBH47" s="478"/>
      <c r="XBI47" s="478"/>
      <c r="XBJ47" s="478"/>
      <c r="XBK47" s="478"/>
      <c r="XBL47" s="478"/>
      <c r="XBM47" s="478"/>
      <c r="XBN47" s="478"/>
      <c r="XBO47" s="478"/>
      <c r="XBP47" s="478"/>
      <c r="XBQ47" s="478"/>
      <c r="XBR47" s="478"/>
      <c r="XBS47" s="478"/>
      <c r="XBT47" s="478"/>
      <c r="XBU47" s="478"/>
      <c r="XBV47" s="478"/>
      <c r="XBW47" s="478"/>
      <c r="XBX47" s="478"/>
      <c r="XBY47" s="478"/>
      <c r="XBZ47" s="478"/>
      <c r="XCA47" s="478"/>
      <c r="XCB47" s="478"/>
      <c r="XCC47" s="478"/>
      <c r="XCD47" s="478"/>
      <c r="XCE47" s="478"/>
      <c r="XCF47" s="478"/>
      <c r="XCG47" s="478"/>
      <c r="XCH47" s="478"/>
      <c r="XCI47" s="478"/>
      <c r="XCJ47" s="478"/>
      <c r="XCK47" s="478"/>
      <c r="XCL47" s="478"/>
      <c r="XCM47" s="478"/>
      <c r="XCN47" s="478"/>
      <c r="XCO47" s="478"/>
      <c r="XCP47" s="478"/>
      <c r="XCQ47" s="478"/>
      <c r="XCR47" s="478"/>
      <c r="XCS47" s="478"/>
      <c r="XCT47" s="478"/>
      <c r="XCU47" s="478"/>
      <c r="XCV47" s="478"/>
      <c r="XCW47" s="478"/>
      <c r="XCX47" s="478"/>
      <c r="XCY47" s="478"/>
      <c r="XCZ47" s="478"/>
      <c r="XDA47" s="478"/>
      <c r="XDB47" s="478"/>
      <c r="XDC47" s="478"/>
      <c r="XDD47" s="478"/>
      <c r="XDE47" s="478"/>
      <c r="XDF47" s="478"/>
      <c r="XDG47" s="478"/>
      <c r="XDH47" s="478"/>
      <c r="XDI47" s="478"/>
      <c r="XDJ47" s="478"/>
      <c r="XDK47" s="478"/>
      <c r="XDL47" s="478"/>
      <c r="XDM47" s="478"/>
      <c r="XDN47" s="478"/>
      <c r="XDO47" s="478"/>
      <c r="XDP47" s="478"/>
      <c r="XDQ47" s="478"/>
      <c r="XDR47" s="478"/>
      <c r="XDS47" s="478"/>
      <c r="XDT47" s="478"/>
      <c r="XDU47" s="478"/>
      <c r="XDV47" s="478"/>
      <c r="XDW47" s="478"/>
      <c r="XDX47" s="478"/>
      <c r="XDY47" s="478"/>
      <c r="XDZ47" s="478"/>
      <c r="XEA47" s="478"/>
      <c r="XEB47" s="478"/>
      <c r="XEC47" s="478"/>
      <c r="XED47" s="478"/>
      <c r="XEE47" s="478"/>
      <c r="XEF47" s="478"/>
      <c r="XEG47" s="478"/>
      <c r="XEH47" s="478"/>
      <c r="XEI47" s="478"/>
      <c r="XEJ47" s="478"/>
      <c r="XEK47" s="478"/>
      <c r="XEL47" s="478"/>
      <c r="XEM47" s="478"/>
      <c r="XEN47" s="478"/>
      <c r="XEO47" s="478"/>
      <c r="XEP47" s="478"/>
      <c r="XEQ47" s="478"/>
      <c r="XER47" s="478"/>
      <c r="XES47" s="478"/>
      <c r="XET47" s="478"/>
      <c r="XEU47" s="478"/>
      <c r="XEV47" s="478"/>
      <c r="XEW47" s="478"/>
      <c r="XEX47" s="478"/>
      <c r="XEY47" s="478"/>
      <c r="XEZ47" s="478"/>
      <c r="XFA47" s="478"/>
      <c r="XFB47" s="478"/>
      <c r="XFC47" s="478"/>
      <c r="XFD47" s="478"/>
    </row>
    <row r="48" s="344" customFormat="1" customHeight="1" spans="1:16384">
      <c r="A48" s="380" t="str">
        <f t="shared" si="28"/>
        <v>ZU8-1</v>
      </c>
      <c r="B48" s="381">
        <f t="shared" si="4"/>
        <v>250.15</v>
      </c>
      <c r="C48" s="381">
        <f t="shared" si="5"/>
        <v>270.15</v>
      </c>
      <c r="D48" s="382">
        <f t="shared" si="6"/>
        <v>20</v>
      </c>
      <c r="E48" s="383">
        <f t="shared" si="7"/>
        <v>3.348</v>
      </c>
      <c r="F48" s="383">
        <f t="shared" si="8"/>
        <v>3.348</v>
      </c>
      <c r="G48" s="383">
        <f t="shared" si="9"/>
        <v>-2.70774</v>
      </c>
      <c r="H48" s="383">
        <f t="shared" si="10"/>
        <v>-3.30793</v>
      </c>
      <c r="I48" s="383">
        <f t="shared" si="11"/>
        <v>6.05574</v>
      </c>
      <c r="J48" s="383">
        <f t="shared" si="12"/>
        <v>6.65593</v>
      </c>
      <c r="K48" s="415">
        <f t="shared" si="13"/>
        <v>0.8</v>
      </c>
      <c r="L48" s="415">
        <f>LOOKUP(MAX(J48,I48),{0,3,4,5,6.5,7.5,9,10},{0.3,0.4,0.5,0.6,0.7,0.8,0.9})</f>
        <v>0.7</v>
      </c>
      <c r="M48" s="415">
        <f t="shared" si="14"/>
        <v>13.9</v>
      </c>
      <c r="N48" s="415">
        <f t="shared" si="15"/>
        <v>13.9</v>
      </c>
      <c r="O48" s="416">
        <f t="shared" si="16"/>
        <v>2.8902</v>
      </c>
      <c r="P48" s="417">
        <f t="shared" si="17"/>
        <v>2.99039</v>
      </c>
      <c r="Q48" s="417">
        <f t="shared" si="18"/>
        <v>1.75</v>
      </c>
      <c r="R48" s="382">
        <f t="shared" si="19"/>
        <v>1.75</v>
      </c>
      <c r="S48" s="456">
        <f t="shared" si="20"/>
        <v>0</v>
      </c>
      <c r="T48" s="457">
        <f t="shared" si="21"/>
        <v>2.12336</v>
      </c>
      <c r="U48" s="416">
        <f t="shared" si="22"/>
        <v>2.16021</v>
      </c>
      <c r="V48" s="416">
        <f t="shared" si="23"/>
        <v>0.45</v>
      </c>
      <c r="W48" s="457">
        <f t="shared" si="24"/>
        <v>0.45</v>
      </c>
      <c r="X48" s="458">
        <f t="shared" si="25"/>
        <v>0</v>
      </c>
      <c r="Y48" s="447">
        <f t="shared" si="26"/>
        <v>0</v>
      </c>
      <c r="Z48" s="447">
        <f t="shared" si="27"/>
        <v>0</v>
      </c>
      <c r="AA48" s="478"/>
      <c r="AB48" s="479"/>
      <c r="AC48" s="479"/>
      <c r="AD48" s="478"/>
      <c r="AE48" s="478"/>
      <c r="AF48" s="478"/>
      <c r="AG48" s="478"/>
      <c r="AH48" s="478"/>
      <c r="AI48" s="478"/>
      <c r="AJ48" s="478"/>
      <c r="AK48" s="478"/>
      <c r="AL48" s="478"/>
      <c r="AM48" s="478"/>
      <c r="AN48" s="478"/>
      <c r="AO48" s="478"/>
      <c r="AP48" s="478"/>
      <c r="AQ48" s="478"/>
      <c r="AR48" s="478"/>
      <c r="AS48" s="478"/>
      <c r="AT48" s="478"/>
      <c r="AU48" s="478"/>
      <c r="AV48" s="478"/>
      <c r="AW48" s="478"/>
      <c r="AX48" s="478"/>
      <c r="AY48" s="478"/>
      <c r="AZ48" s="478"/>
      <c r="BA48" s="478"/>
      <c r="BB48" s="478"/>
      <c r="BC48" s="478"/>
      <c r="BD48" s="478"/>
      <c r="BE48" s="478"/>
      <c r="BF48" s="478"/>
      <c r="BG48" s="478"/>
      <c r="BH48" s="478"/>
      <c r="BI48" s="478"/>
      <c r="BJ48" s="478"/>
      <c r="BK48" s="478"/>
      <c r="BL48" s="478"/>
      <c r="BM48" s="478"/>
      <c r="BN48" s="478"/>
      <c r="BO48" s="478"/>
      <c r="BP48" s="478"/>
      <c r="BQ48" s="478"/>
      <c r="BR48" s="478"/>
      <c r="BS48" s="478"/>
      <c r="BT48" s="478"/>
      <c r="BU48" s="478"/>
      <c r="BV48" s="478"/>
      <c r="BW48" s="478"/>
      <c r="BX48" s="478"/>
      <c r="BY48" s="478"/>
      <c r="BZ48" s="478"/>
      <c r="CA48" s="478"/>
      <c r="CB48" s="478"/>
      <c r="CC48" s="478"/>
      <c r="CD48" s="478"/>
      <c r="CE48" s="478"/>
      <c r="CF48" s="478"/>
      <c r="CG48" s="478"/>
      <c r="CH48" s="478"/>
      <c r="CI48" s="478"/>
      <c r="CJ48" s="478"/>
      <c r="CK48" s="478"/>
      <c r="CL48" s="478"/>
      <c r="CM48" s="478"/>
      <c r="CN48" s="478"/>
      <c r="CO48" s="478"/>
      <c r="CP48" s="478"/>
      <c r="CQ48" s="478"/>
      <c r="CR48" s="478"/>
      <c r="CS48" s="478"/>
      <c r="CT48" s="478"/>
      <c r="CU48" s="478"/>
      <c r="CV48" s="478"/>
      <c r="CW48" s="478"/>
      <c r="CX48" s="478"/>
      <c r="CY48" s="478"/>
      <c r="CZ48" s="478"/>
      <c r="DA48" s="478"/>
      <c r="DB48" s="478"/>
      <c r="DC48" s="478"/>
      <c r="DD48" s="478"/>
      <c r="DE48" s="478"/>
      <c r="DF48" s="478"/>
      <c r="DG48" s="478"/>
      <c r="DH48" s="478"/>
      <c r="DI48" s="478"/>
      <c r="DJ48" s="478"/>
      <c r="DK48" s="478"/>
      <c r="DL48" s="478"/>
      <c r="DM48" s="478"/>
      <c r="DN48" s="478"/>
      <c r="DO48" s="478"/>
      <c r="DP48" s="478"/>
      <c r="DQ48" s="478"/>
      <c r="DR48" s="478"/>
      <c r="DS48" s="478"/>
      <c r="DT48" s="478"/>
      <c r="DU48" s="478"/>
      <c r="DV48" s="478"/>
      <c r="DW48" s="478"/>
      <c r="DX48" s="478"/>
      <c r="DY48" s="478"/>
      <c r="DZ48" s="478"/>
      <c r="EA48" s="478"/>
      <c r="EB48" s="478"/>
      <c r="EC48" s="478"/>
      <c r="ED48" s="478"/>
      <c r="EE48" s="478"/>
      <c r="EF48" s="478"/>
      <c r="EG48" s="478"/>
      <c r="EH48" s="478"/>
      <c r="EI48" s="478"/>
      <c r="EJ48" s="478"/>
      <c r="EK48" s="478"/>
      <c r="EL48" s="478"/>
      <c r="EM48" s="478"/>
      <c r="EN48" s="478"/>
      <c r="EO48" s="478"/>
      <c r="EP48" s="478"/>
      <c r="EQ48" s="478"/>
      <c r="ER48" s="478"/>
      <c r="ES48" s="478"/>
      <c r="ET48" s="478"/>
      <c r="EU48" s="478"/>
      <c r="EV48" s="478"/>
      <c r="EW48" s="478"/>
      <c r="EX48" s="478"/>
      <c r="EY48" s="478"/>
      <c r="EZ48" s="478"/>
      <c r="FA48" s="478"/>
      <c r="FB48" s="478"/>
      <c r="FC48" s="478"/>
      <c r="FD48" s="478"/>
      <c r="FE48" s="478"/>
      <c r="FF48" s="478"/>
      <c r="FG48" s="478"/>
      <c r="FH48" s="478"/>
      <c r="FI48" s="478"/>
      <c r="FJ48" s="478"/>
      <c r="FK48" s="478"/>
      <c r="FL48" s="478"/>
      <c r="FM48" s="478"/>
      <c r="FN48" s="478"/>
      <c r="FO48" s="478"/>
      <c r="FP48" s="478"/>
      <c r="FQ48" s="478"/>
      <c r="FR48" s="478"/>
      <c r="FS48" s="478"/>
      <c r="FT48" s="478"/>
      <c r="FU48" s="478"/>
      <c r="FV48" s="478"/>
      <c r="FW48" s="478"/>
      <c r="FX48" s="478"/>
      <c r="FY48" s="478"/>
      <c r="FZ48" s="478"/>
      <c r="GA48" s="478"/>
      <c r="GB48" s="478"/>
      <c r="GC48" s="478"/>
      <c r="GD48" s="478"/>
      <c r="GE48" s="478"/>
      <c r="GF48" s="478"/>
      <c r="GG48" s="478"/>
      <c r="GH48" s="478"/>
      <c r="GI48" s="478"/>
      <c r="GJ48" s="478"/>
      <c r="GK48" s="478"/>
      <c r="GL48" s="478"/>
      <c r="GM48" s="478"/>
      <c r="GN48" s="478"/>
      <c r="GO48" s="478"/>
      <c r="GP48" s="478"/>
      <c r="GQ48" s="478"/>
      <c r="GR48" s="478"/>
      <c r="GS48" s="478"/>
      <c r="GT48" s="478"/>
      <c r="GU48" s="478"/>
      <c r="GV48" s="478"/>
      <c r="GW48" s="478"/>
      <c r="GX48" s="478"/>
      <c r="GY48" s="478"/>
      <c r="GZ48" s="478"/>
      <c r="HA48" s="478"/>
      <c r="HB48" s="478"/>
      <c r="HC48" s="478"/>
      <c r="HD48" s="478"/>
      <c r="HE48" s="478"/>
      <c r="HF48" s="478"/>
      <c r="HG48" s="478"/>
      <c r="HH48" s="478"/>
      <c r="HI48" s="478"/>
      <c r="HJ48" s="478"/>
      <c r="HK48" s="478"/>
      <c r="HL48" s="478"/>
      <c r="HM48" s="478"/>
      <c r="HN48" s="478"/>
      <c r="HO48" s="478"/>
      <c r="HP48" s="478"/>
      <c r="HQ48" s="478"/>
      <c r="HR48" s="478"/>
      <c r="HS48" s="478"/>
      <c r="HT48" s="478"/>
      <c r="HU48" s="478"/>
      <c r="HV48" s="478"/>
      <c r="HW48" s="478"/>
      <c r="HX48" s="478"/>
      <c r="HY48" s="478"/>
      <c r="HZ48" s="478"/>
      <c r="IA48" s="478"/>
      <c r="IB48" s="478"/>
      <c r="IC48" s="478"/>
      <c r="ID48" s="478"/>
      <c r="IE48" s="478"/>
      <c r="IF48" s="478"/>
      <c r="IG48" s="478"/>
      <c r="IH48" s="478"/>
      <c r="II48" s="478"/>
      <c r="IJ48" s="478"/>
      <c r="IK48" s="478"/>
      <c r="IL48" s="478"/>
      <c r="IM48" s="478"/>
      <c r="IN48" s="478"/>
      <c r="IO48" s="478"/>
      <c r="IP48" s="478"/>
      <c r="IQ48" s="478"/>
      <c r="IR48" s="478"/>
      <c r="IS48" s="478"/>
      <c r="IT48" s="478"/>
      <c r="IU48" s="478"/>
      <c r="IV48" s="478"/>
      <c r="IW48" s="478"/>
      <c r="IX48" s="478"/>
      <c r="IY48" s="478"/>
      <c r="IZ48" s="478"/>
      <c r="JA48" s="478"/>
      <c r="JB48" s="478"/>
      <c r="JC48" s="478"/>
      <c r="JD48" s="478"/>
      <c r="JE48" s="478"/>
      <c r="JF48" s="478"/>
      <c r="JG48" s="478"/>
      <c r="JH48" s="478"/>
      <c r="JI48" s="478"/>
      <c r="JJ48" s="478"/>
      <c r="JK48" s="478"/>
      <c r="JL48" s="478"/>
      <c r="JM48" s="478"/>
      <c r="JN48" s="478"/>
      <c r="JO48" s="478"/>
      <c r="JP48" s="478"/>
      <c r="JQ48" s="478"/>
      <c r="JR48" s="478"/>
      <c r="JS48" s="478"/>
      <c r="JT48" s="478"/>
      <c r="JU48" s="478"/>
      <c r="JV48" s="478"/>
      <c r="JW48" s="478"/>
      <c r="JX48" s="478"/>
      <c r="JY48" s="478"/>
      <c r="JZ48" s="478"/>
      <c r="KA48" s="478"/>
      <c r="KB48" s="478"/>
      <c r="KC48" s="478"/>
      <c r="KD48" s="478"/>
      <c r="KE48" s="478"/>
      <c r="KF48" s="478"/>
      <c r="KG48" s="478"/>
      <c r="KH48" s="478"/>
      <c r="KI48" s="478"/>
      <c r="KJ48" s="478"/>
      <c r="KK48" s="478"/>
      <c r="KL48" s="478"/>
      <c r="KM48" s="478"/>
      <c r="KN48" s="478"/>
      <c r="KO48" s="478"/>
      <c r="KP48" s="478"/>
      <c r="KQ48" s="478"/>
      <c r="KR48" s="478"/>
      <c r="KS48" s="478"/>
      <c r="KT48" s="478"/>
      <c r="KU48" s="478"/>
      <c r="KV48" s="478"/>
      <c r="KW48" s="478"/>
      <c r="KX48" s="478"/>
      <c r="KY48" s="478"/>
      <c r="KZ48" s="478"/>
      <c r="LA48" s="478"/>
      <c r="LB48" s="478"/>
      <c r="LC48" s="478"/>
      <c r="LD48" s="478"/>
      <c r="LE48" s="478"/>
      <c r="LF48" s="478"/>
      <c r="LG48" s="478"/>
      <c r="LH48" s="478"/>
      <c r="LI48" s="478"/>
      <c r="LJ48" s="478"/>
      <c r="LK48" s="478"/>
      <c r="LL48" s="478"/>
      <c r="LM48" s="478"/>
      <c r="LN48" s="478"/>
      <c r="LO48" s="478"/>
      <c r="LP48" s="478"/>
      <c r="LQ48" s="478"/>
      <c r="LR48" s="478"/>
      <c r="LS48" s="478"/>
      <c r="LT48" s="478"/>
      <c r="LU48" s="478"/>
      <c r="LV48" s="478"/>
      <c r="LW48" s="478"/>
      <c r="LX48" s="478"/>
      <c r="LY48" s="478"/>
      <c r="LZ48" s="478"/>
      <c r="MA48" s="478"/>
      <c r="MB48" s="478"/>
      <c r="MC48" s="478"/>
      <c r="MD48" s="478"/>
      <c r="ME48" s="478"/>
      <c r="MF48" s="478"/>
      <c r="MG48" s="478"/>
      <c r="MH48" s="478"/>
      <c r="MI48" s="478"/>
      <c r="MJ48" s="478"/>
      <c r="MK48" s="478"/>
      <c r="ML48" s="478"/>
      <c r="MM48" s="478"/>
      <c r="MN48" s="478"/>
      <c r="MO48" s="478"/>
      <c r="MP48" s="478"/>
      <c r="MQ48" s="478"/>
      <c r="MR48" s="478"/>
      <c r="MS48" s="478"/>
      <c r="MT48" s="478"/>
      <c r="MU48" s="478"/>
      <c r="MV48" s="478"/>
      <c r="MW48" s="478"/>
      <c r="MX48" s="478"/>
      <c r="MY48" s="478"/>
      <c r="MZ48" s="478"/>
      <c r="NA48" s="478"/>
      <c r="NB48" s="478"/>
      <c r="NC48" s="478"/>
      <c r="ND48" s="478"/>
      <c r="NE48" s="478"/>
      <c r="NF48" s="478"/>
      <c r="NG48" s="478"/>
      <c r="NH48" s="478"/>
      <c r="NI48" s="478"/>
      <c r="NJ48" s="478"/>
      <c r="NK48" s="478"/>
      <c r="NL48" s="478"/>
      <c r="NM48" s="478"/>
      <c r="NN48" s="478"/>
      <c r="NO48" s="478"/>
      <c r="NP48" s="478"/>
      <c r="NQ48" s="478"/>
      <c r="NR48" s="478"/>
      <c r="NS48" s="478"/>
      <c r="NT48" s="478"/>
      <c r="NU48" s="478"/>
      <c r="NV48" s="478"/>
      <c r="NW48" s="478"/>
      <c r="NX48" s="478"/>
      <c r="NY48" s="478"/>
      <c r="NZ48" s="478"/>
      <c r="OA48" s="478"/>
      <c r="OB48" s="478"/>
      <c r="OC48" s="478"/>
      <c r="OD48" s="478"/>
      <c r="OE48" s="478"/>
      <c r="OF48" s="478"/>
      <c r="OG48" s="478"/>
      <c r="OH48" s="478"/>
      <c r="OI48" s="478"/>
      <c r="OJ48" s="478"/>
      <c r="OK48" s="478"/>
      <c r="OL48" s="478"/>
      <c r="OM48" s="478"/>
      <c r="ON48" s="478"/>
      <c r="OO48" s="478"/>
      <c r="OP48" s="478"/>
      <c r="OQ48" s="478"/>
      <c r="OR48" s="478"/>
      <c r="OS48" s="478"/>
      <c r="OT48" s="478"/>
      <c r="OU48" s="478"/>
      <c r="OV48" s="478"/>
      <c r="OW48" s="478"/>
      <c r="OX48" s="478"/>
      <c r="OY48" s="478"/>
      <c r="OZ48" s="478"/>
      <c r="PA48" s="478"/>
      <c r="PB48" s="478"/>
      <c r="PC48" s="478"/>
      <c r="PD48" s="478"/>
      <c r="PE48" s="478"/>
      <c r="PF48" s="478"/>
      <c r="PG48" s="478"/>
      <c r="PH48" s="478"/>
      <c r="PI48" s="478"/>
      <c r="PJ48" s="478"/>
      <c r="PK48" s="478"/>
      <c r="PL48" s="478"/>
      <c r="PM48" s="478"/>
      <c r="PN48" s="478"/>
      <c r="PO48" s="478"/>
      <c r="PP48" s="478"/>
      <c r="PQ48" s="478"/>
      <c r="PR48" s="478"/>
      <c r="PS48" s="478"/>
      <c r="PT48" s="478"/>
      <c r="PU48" s="478"/>
      <c r="PV48" s="478"/>
      <c r="PW48" s="478"/>
      <c r="PX48" s="478"/>
      <c r="PY48" s="478"/>
      <c r="PZ48" s="478"/>
      <c r="QA48" s="478"/>
      <c r="QB48" s="478"/>
      <c r="QC48" s="478"/>
      <c r="QD48" s="478"/>
      <c r="QE48" s="478"/>
      <c r="QF48" s="478"/>
      <c r="QG48" s="478"/>
      <c r="QH48" s="478"/>
      <c r="QI48" s="478"/>
      <c r="QJ48" s="478"/>
      <c r="QK48" s="478"/>
      <c r="QL48" s="478"/>
      <c r="QM48" s="478"/>
      <c r="QN48" s="478"/>
      <c r="QO48" s="478"/>
      <c r="QP48" s="478"/>
      <c r="QQ48" s="478"/>
      <c r="QR48" s="478"/>
      <c r="QS48" s="478"/>
      <c r="QT48" s="478"/>
      <c r="QU48" s="478"/>
      <c r="QV48" s="478"/>
      <c r="QW48" s="478"/>
      <c r="QX48" s="478"/>
      <c r="QY48" s="478"/>
      <c r="QZ48" s="478"/>
      <c r="RA48" s="478"/>
      <c r="RB48" s="478"/>
      <c r="RC48" s="478"/>
      <c r="RD48" s="478"/>
      <c r="RE48" s="478"/>
      <c r="RF48" s="478"/>
      <c r="RG48" s="478"/>
      <c r="RH48" s="478"/>
      <c r="RI48" s="478"/>
      <c r="RJ48" s="478"/>
      <c r="RK48" s="478"/>
      <c r="RL48" s="478"/>
      <c r="RM48" s="478"/>
      <c r="RN48" s="478"/>
      <c r="RO48" s="478"/>
      <c r="RP48" s="478"/>
      <c r="RQ48" s="478"/>
      <c r="RR48" s="478"/>
      <c r="RS48" s="478"/>
      <c r="RT48" s="478"/>
      <c r="RU48" s="478"/>
      <c r="RV48" s="478"/>
      <c r="RW48" s="478"/>
      <c r="RX48" s="478"/>
      <c r="RY48" s="478"/>
      <c r="RZ48" s="478"/>
      <c r="SA48" s="478"/>
      <c r="SB48" s="478"/>
      <c r="SC48" s="478"/>
      <c r="SD48" s="478"/>
      <c r="SE48" s="478"/>
      <c r="SF48" s="478"/>
      <c r="SG48" s="478"/>
      <c r="SH48" s="478"/>
      <c r="SI48" s="478"/>
      <c r="SJ48" s="478"/>
      <c r="SK48" s="478"/>
      <c r="SL48" s="478"/>
      <c r="SM48" s="478"/>
      <c r="SN48" s="478"/>
      <c r="SO48" s="478"/>
      <c r="SP48" s="478"/>
      <c r="SQ48" s="478"/>
      <c r="SR48" s="478"/>
      <c r="SS48" s="478"/>
      <c r="ST48" s="478"/>
      <c r="SU48" s="478"/>
      <c r="SV48" s="478"/>
      <c r="SW48" s="478"/>
      <c r="SX48" s="478"/>
      <c r="SY48" s="478"/>
      <c r="SZ48" s="478"/>
      <c r="TA48" s="478"/>
      <c r="TB48" s="478"/>
      <c r="TC48" s="478"/>
      <c r="TD48" s="478"/>
      <c r="TE48" s="478"/>
      <c r="TF48" s="478"/>
      <c r="TG48" s="478"/>
      <c r="TH48" s="478"/>
      <c r="TI48" s="478"/>
      <c r="TJ48" s="478"/>
      <c r="TK48" s="478"/>
      <c r="TL48" s="478"/>
      <c r="TM48" s="478"/>
      <c r="TN48" s="478"/>
      <c r="TO48" s="478"/>
      <c r="TP48" s="478"/>
      <c r="TQ48" s="478"/>
      <c r="TR48" s="478"/>
      <c r="TS48" s="478"/>
      <c r="TT48" s="478"/>
      <c r="TU48" s="478"/>
      <c r="TV48" s="478"/>
      <c r="TW48" s="478"/>
      <c r="TX48" s="478"/>
      <c r="TY48" s="478"/>
      <c r="TZ48" s="478"/>
      <c r="UA48" s="478"/>
      <c r="UB48" s="478"/>
      <c r="UC48" s="478"/>
      <c r="UD48" s="478"/>
      <c r="UE48" s="478"/>
      <c r="UF48" s="478"/>
      <c r="UG48" s="478"/>
      <c r="UH48" s="478"/>
      <c r="UI48" s="478"/>
      <c r="UJ48" s="478"/>
      <c r="UK48" s="478"/>
      <c r="UL48" s="478"/>
      <c r="UM48" s="478"/>
      <c r="UN48" s="478"/>
      <c r="UO48" s="478"/>
      <c r="UP48" s="478"/>
      <c r="UQ48" s="478"/>
      <c r="UR48" s="478"/>
      <c r="US48" s="478"/>
      <c r="UT48" s="478"/>
      <c r="UU48" s="478"/>
      <c r="UV48" s="478"/>
      <c r="UW48" s="478"/>
      <c r="UX48" s="478"/>
      <c r="UY48" s="478"/>
      <c r="UZ48" s="478"/>
      <c r="VA48" s="478"/>
      <c r="VB48" s="478"/>
      <c r="VC48" s="478"/>
      <c r="VD48" s="478"/>
      <c r="VE48" s="478"/>
      <c r="VF48" s="478"/>
      <c r="VG48" s="478"/>
      <c r="VH48" s="478"/>
      <c r="VI48" s="478"/>
      <c r="VJ48" s="478"/>
      <c r="VK48" s="478"/>
      <c r="VL48" s="478"/>
      <c r="VM48" s="478"/>
      <c r="VN48" s="478"/>
      <c r="VO48" s="478"/>
      <c r="VP48" s="478"/>
      <c r="VQ48" s="478"/>
      <c r="VR48" s="478"/>
      <c r="VS48" s="478"/>
      <c r="VT48" s="478"/>
      <c r="VU48" s="478"/>
      <c r="VV48" s="478"/>
      <c r="VW48" s="478"/>
      <c r="VX48" s="478"/>
      <c r="VY48" s="478"/>
      <c r="VZ48" s="478"/>
      <c r="WA48" s="478"/>
      <c r="WB48" s="478"/>
      <c r="WC48" s="478"/>
      <c r="WD48" s="478"/>
      <c r="WE48" s="478"/>
      <c r="WF48" s="478"/>
      <c r="WG48" s="478"/>
      <c r="WH48" s="478"/>
      <c r="WI48" s="478"/>
      <c r="WJ48" s="478"/>
      <c r="WK48" s="478"/>
      <c r="WL48" s="478"/>
      <c r="WM48" s="478"/>
      <c r="WN48" s="478"/>
      <c r="WO48" s="478"/>
      <c r="WP48" s="478"/>
      <c r="WQ48" s="478"/>
      <c r="WR48" s="478"/>
      <c r="WS48" s="478"/>
      <c r="WT48" s="478"/>
      <c r="WU48" s="478"/>
      <c r="WV48" s="478"/>
      <c r="WW48" s="478"/>
      <c r="WX48" s="478"/>
      <c r="WY48" s="478"/>
      <c r="WZ48" s="478"/>
      <c r="XA48" s="478"/>
      <c r="XB48" s="478"/>
      <c r="XC48" s="478"/>
      <c r="XD48" s="478"/>
      <c r="XE48" s="478"/>
      <c r="XF48" s="478"/>
      <c r="XG48" s="478"/>
      <c r="XH48" s="478"/>
      <c r="XI48" s="478"/>
      <c r="XJ48" s="478"/>
      <c r="XK48" s="478"/>
      <c r="XL48" s="478"/>
      <c r="XM48" s="478"/>
      <c r="XN48" s="478"/>
      <c r="XO48" s="478"/>
      <c r="XP48" s="478"/>
      <c r="XQ48" s="478"/>
      <c r="XR48" s="478"/>
      <c r="XS48" s="478"/>
      <c r="XT48" s="478"/>
      <c r="XU48" s="478"/>
      <c r="XV48" s="478"/>
      <c r="XW48" s="478"/>
      <c r="XX48" s="478"/>
      <c r="XY48" s="478"/>
      <c r="XZ48" s="478"/>
      <c r="YA48" s="478"/>
      <c r="YB48" s="478"/>
      <c r="YC48" s="478"/>
      <c r="YD48" s="478"/>
      <c r="YE48" s="478"/>
      <c r="YF48" s="478"/>
      <c r="YG48" s="478"/>
      <c r="YH48" s="478"/>
      <c r="YI48" s="478"/>
      <c r="YJ48" s="478"/>
      <c r="YK48" s="478"/>
      <c r="YL48" s="478"/>
      <c r="YM48" s="478"/>
      <c r="YN48" s="478"/>
      <c r="YO48" s="478"/>
      <c r="YP48" s="478"/>
      <c r="YQ48" s="478"/>
      <c r="YR48" s="478"/>
      <c r="YS48" s="478"/>
      <c r="YT48" s="478"/>
      <c r="YU48" s="478"/>
      <c r="YV48" s="478"/>
      <c r="YW48" s="478"/>
      <c r="YX48" s="478"/>
      <c r="YY48" s="478"/>
      <c r="YZ48" s="478"/>
      <c r="ZA48" s="478"/>
      <c r="ZB48" s="478"/>
      <c r="ZC48" s="478"/>
      <c r="ZD48" s="478"/>
      <c r="ZE48" s="478"/>
      <c r="ZF48" s="478"/>
      <c r="ZG48" s="478"/>
      <c r="ZH48" s="478"/>
      <c r="ZI48" s="478"/>
      <c r="ZJ48" s="478"/>
      <c r="ZK48" s="478"/>
      <c r="ZL48" s="478"/>
      <c r="ZM48" s="478"/>
      <c r="ZN48" s="478"/>
      <c r="ZO48" s="478"/>
      <c r="ZP48" s="478"/>
      <c r="ZQ48" s="478"/>
      <c r="ZR48" s="478"/>
      <c r="ZS48" s="478"/>
      <c r="ZT48" s="478"/>
      <c r="ZU48" s="478"/>
      <c r="ZV48" s="478"/>
      <c r="ZW48" s="478"/>
      <c r="ZX48" s="478"/>
      <c r="ZY48" s="478"/>
      <c r="ZZ48" s="478"/>
      <c r="AAA48" s="478"/>
      <c r="AAB48" s="478"/>
      <c r="AAC48" s="478"/>
      <c r="AAD48" s="478"/>
      <c r="AAE48" s="478"/>
      <c r="AAF48" s="478"/>
      <c r="AAG48" s="478"/>
      <c r="AAH48" s="478"/>
      <c r="AAI48" s="478"/>
      <c r="AAJ48" s="478"/>
      <c r="AAK48" s="478"/>
      <c r="AAL48" s="478"/>
      <c r="AAM48" s="478"/>
      <c r="AAN48" s="478"/>
      <c r="AAO48" s="478"/>
      <c r="AAP48" s="478"/>
      <c r="AAQ48" s="478"/>
      <c r="AAR48" s="478"/>
      <c r="AAS48" s="478"/>
      <c r="AAT48" s="478"/>
      <c r="AAU48" s="478"/>
      <c r="AAV48" s="478"/>
      <c r="AAW48" s="478"/>
      <c r="AAX48" s="478"/>
      <c r="AAY48" s="478"/>
      <c r="AAZ48" s="478"/>
      <c r="ABA48" s="478"/>
      <c r="ABB48" s="478"/>
      <c r="ABC48" s="478"/>
      <c r="ABD48" s="478"/>
      <c r="ABE48" s="478"/>
      <c r="ABF48" s="478"/>
      <c r="ABG48" s="478"/>
      <c r="ABH48" s="478"/>
      <c r="ABI48" s="478"/>
      <c r="ABJ48" s="478"/>
      <c r="ABK48" s="478"/>
      <c r="ABL48" s="478"/>
      <c r="ABM48" s="478"/>
      <c r="ABN48" s="478"/>
      <c r="ABO48" s="478"/>
      <c r="ABP48" s="478"/>
      <c r="ABQ48" s="478"/>
      <c r="ABR48" s="478"/>
      <c r="ABS48" s="478"/>
      <c r="ABT48" s="478"/>
      <c r="ABU48" s="478"/>
      <c r="ABV48" s="478"/>
      <c r="ABW48" s="478"/>
      <c r="ABX48" s="478"/>
      <c r="ABY48" s="478"/>
      <c r="ABZ48" s="478"/>
      <c r="ACA48" s="478"/>
      <c r="ACB48" s="478"/>
      <c r="ACC48" s="478"/>
      <c r="ACD48" s="478"/>
      <c r="ACE48" s="478"/>
      <c r="ACF48" s="478"/>
      <c r="ACG48" s="478"/>
      <c r="ACH48" s="478"/>
      <c r="ACI48" s="478"/>
      <c r="ACJ48" s="478"/>
      <c r="ACK48" s="478"/>
      <c r="ACL48" s="478"/>
      <c r="ACM48" s="478"/>
      <c r="ACN48" s="478"/>
      <c r="ACO48" s="478"/>
      <c r="ACP48" s="478"/>
      <c r="ACQ48" s="478"/>
      <c r="ACR48" s="478"/>
      <c r="ACS48" s="478"/>
      <c r="ACT48" s="478"/>
      <c r="ACU48" s="478"/>
      <c r="ACV48" s="478"/>
      <c r="ACW48" s="478"/>
      <c r="ACX48" s="478"/>
      <c r="ACY48" s="478"/>
      <c r="ACZ48" s="478"/>
      <c r="ADA48" s="478"/>
      <c r="ADB48" s="478"/>
      <c r="ADC48" s="478"/>
      <c r="ADD48" s="478"/>
      <c r="ADE48" s="478"/>
      <c r="ADF48" s="478"/>
      <c r="ADG48" s="478"/>
      <c r="ADH48" s="478"/>
      <c r="ADI48" s="478"/>
      <c r="ADJ48" s="478"/>
      <c r="ADK48" s="478"/>
      <c r="ADL48" s="478"/>
      <c r="ADM48" s="478"/>
      <c r="ADN48" s="478"/>
      <c r="ADO48" s="478"/>
      <c r="ADP48" s="478"/>
      <c r="ADQ48" s="478"/>
      <c r="ADR48" s="478"/>
      <c r="ADS48" s="478"/>
      <c r="ADT48" s="478"/>
      <c r="ADU48" s="478"/>
      <c r="ADV48" s="478"/>
      <c r="ADW48" s="478"/>
      <c r="ADX48" s="478"/>
      <c r="ADY48" s="478"/>
      <c r="ADZ48" s="478"/>
      <c r="AEA48" s="478"/>
      <c r="AEB48" s="478"/>
      <c r="AEC48" s="478"/>
      <c r="AED48" s="478"/>
      <c r="AEE48" s="478"/>
      <c r="AEF48" s="478"/>
      <c r="AEG48" s="478"/>
      <c r="AEH48" s="478"/>
      <c r="AEI48" s="478"/>
      <c r="AEJ48" s="478"/>
      <c r="AEK48" s="478"/>
      <c r="AEL48" s="478"/>
      <c r="AEM48" s="478"/>
      <c r="AEN48" s="478"/>
      <c r="AEO48" s="478"/>
      <c r="AEP48" s="478"/>
      <c r="AEQ48" s="478"/>
      <c r="AER48" s="478"/>
      <c r="AES48" s="478"/>
      <c r="AET48" s="478"/>
      <c r="AEU48" s="478"/>
      <c r="AEV48" s="478"/>
      <c r="AEW48" s="478"/>
      <c r="AEX48" s="478"/>
      <c r="AEY48" s="478"/>
      <c r="AEZ48" s="478"/>
      <c r="AFA48" s="478"/>
      <c r="AFB48" s="478"/>
      <c r="AFC48" s="478"/>
      <c r="AFD48" s="478"/>
      <c r="AFE48" s="478"/>
      <c r="AFF48" s="478"/>
      <c r="AFG48" s="478"/>
      <c r="AFH48" s="478"/>
      <c r="AFI48" s="478"/>
      <c r="AFJ48" s="478"/>
      <c r="AFK48" s="478"/>
      <c r="AFL48" s="478"/>
      <c r="AFM48" s="478"/>
      <c r="AFN48" s="478"/>
      <c r="AFO48" s="478"/>
      <c r="AFP48" s="478"/>
      <c r="AFQ48" s="478"/>
      <c r="AFR48" s="478"/>
      <c r="AFS48" s="478"/>
      <c r="AFT48" s="478"/>
      <c r="AFU48" s="478"/>
      <c r="AFV48" s="478"/>
      <c r="AFW48" s="478"/>
      <c r="AFX48" s="478"/>
      <c r="AFY48" s="478"/>
      <c r="AFZ48" s="478"/>
      <c r="AGA48" s="478"/>
      <c r="AGB48" s="478"/>
      <c r="AGC48" s="478"/>
      <c r="AGD48" s="478"/>
      <c r="AGE48" s="478"/>
      <c r="AGF48" s="478"/>
      <c r="AGG48" s="478"/>
      <c r="AGH48" s="478"/>
      <c r="AGI48" s="478"/>
      <c r="AGJ48" s="478"/>
      <c r="AGK48" s="478"/>
      <c r="AGL48" s="478"/>
      <c r="AGM48" s="478"/>
      <c r="AGN48" s="478"/>
      <c r="AGO48" s="478"/>
      <c r="AGP48" s="478"/>
      <c r="AGQ48" s="478"/>
      <c r="AGR48" s="478"/>
      <c r="AGS48" s="478"/>
      <c r="AGT48" s="478"/>
      <c r="AGU48" s="478"/>
      <c r="AGV48" s="478"/>
      <c r="AGW48" s="478"/>
      <c r="AGX48" s="478"/>
      <c r="AGY48" s="478"/>
      <c r="AGZ48" s="478"/>
      <c r="AHA48" s="478"/>
      <c r="AHB48" s="478"/>
      <c r="AHC48" s="478"/>
      <c r="AHD48" s="478"/>
      <c r="AHE48" s="478"/>
      <c r="AHF48" s="478"/>
      <c r="AHG48" s="478"/>
      <c r="AHH48" s="478"/>
      <c r="AHI48" s="478"/>
      <c r="AHJ48" s="478"/>
      <c r="AHK48" s="478"/>
      <c r="AHL48" s="478"/>
      <c r="AHM48" s="478"/>
      <c r="AHN48" s="478"/>
      <c r="AHO48" s="478"/>
      <c r="AHP48" s="478"/>
      <c r="AHQ48" s="478"/>
      <c r="AHR48" s="478"/>
      <c r="AHS48" s="478"/>
      <c r="AHT48" s="478"/>
      <c r="AHU48" s="478"/>
      <c r="AHV48" s="478"/>
      <c r="AHW48" s="478"/>
      <c r="AHX48" s="478"/>
      <c r="AHY48" s="478"/>
      <c r="AHZ48" s="478"/>
      <c r="AIA48" s="478"/>
      <c r="AIB48" s="478"/>
      <c r="AIC48" s="478"/>
      <c r="AID48" s="478"/>
      <c r="AIE48" s="478"/>
      <c r="AIF48" s="478"/>
      <c r="AIG48" s="478"/>
      <c r="AIH48" s="478"/>
      <c r="AII48" s="478"/>
      <c r="AIJ48" s="478"/>
      <c r="AIK48" s="478"/>
      <c r="AIL48" s="478"/>
      <c r="AIM48" s="478"/>
      <c r="AIN48" s="478"/>
      <c r="AIO48" s="478"/>
      <c r="AIP48" s="478"/>
      <c r="AIQ48" s="478"/>
      <c r="AIR48" s="478"/>
      <c r="AIS48" s="478"/>
      <c r="AIT48" s="478"/>
      <c r="AIU48" s="478"/>
      <c r="AIV48" s="478"/>
      <c r="AIW48" s="478"/>
      <c r="AIX48" s="478"/>
      <c r="AIY48" s="478"/>
      <c r="AIZ48" s="478"/>
      <c r="AJA48" s="478"/>
      <c r="AJB48" s="478"/>
      <c r="AJC48" s="478"/>
      <c r="AJD48" s="478"/>
      <c r="AJE48" s="478"/>
      <c r="AJF48" s="478"/>
      <c r="AJG48" s="478"/>
      <c r="AJH48" s="478"/>
      <c r="AJI48" s="478"/>
      <c r="AJJ48" s="478"/>
      <c r="AJK48" s="478"/>
      <c r="AJL48" s="478"/>
      <c r="AJM48" s="478"/>
      <c r="AJN48" s="478"/>
      <c r="AJO48" s="478"/>
      <c r="AJP48" s="478"/>
      <c r="AJQ48" s="478"/>
      <c r="AJR48" s="478"/>
      <c r="AJS48" s="478"/>
      <c r="AJT48" s="478"/>
      <c r="AJU48" s="478"/>
      <c r="AJV48" s="478"/>
      <c r="AJW48" s="478"/>
      <c r="AJX48" s="478"/>
      <c r="AJY48" s="478"/>
      <c r="AJZ48" s="478"/>
      <c r="AKA48" s="478"/>
      <c r="AKB48" s="478"/>
      <c r="AKC48" s="478"/>
      <c r="AKD48" s="478"/>
      <c r="AKE48" s="478"/>
      <c r="AKF48" s="478"/>
      <c r="AKG48" s="478"/>
      <c r="AKH48" s="478"/>
      <c r="AKI48" s="478"/>
      <c r="AKJ48" s="478"/>
      <c r="AKK48" s="478"/>
      <c r="AKL48" s="478"/>
      <c r="AKM48" s="478"/>
      <c r="AKN48" s="478"/>
      <c r="AKO48" s="478"/>
      <c r="AKP48" s="478"/>
      <c r="AKQ48" s="478"/>
      <c r="AKR48" s="478"/>
      <c r="AKS48" s="478"/>
      <c r="AKT48" s="478"/>
      <c r="AKU48" s="478"/>
      <c r="AKV48" s="478"/>
      <c r="AKW48" s="478"/>
      <c r="AKX48" s="478"/>
      <c r="AKY48" s="478"/>
      <c r="AKZ48" s="478"/>
      <c r="ALA48" s="478"/>
      <c r="ALB48" s="478"/>
      <c r="ALC48" s="478"/>
      <c r="ALD48" s="478"/>
      <c r="ALE48" s="478"/>
      <c r="ALF48" s="478"/>
      <c r="ALG48" s="478"/>
      <c r="ALH48" s="478"/>
      <c r="ALI48" s="478"/>
      <c r="ALJ48" s="478"/>
      <c r="ALK48" s="478"/>
      <c r="ALL48" s="478"/>
      <c r="ALM48" s="478"/>
      <c r="ALN48" s="478"/>
      <c r="ALO48" s="478"/>
      <c r="ALP48" s="478"/>
      <c r="ALQ48" s="478"/>
      <c r="ALR48" s="478"/>
      <c r="ALS48" s="478"/>
      <c r="ALT48" s="478"/>
      <c r="ALU48" s="478"/>
      <c r="ALV48" s="478"/>
      <c r="ALW48" s="478"/>
      <c r="ALX48" s="478"/>
      <c r="ALY48" s="478"/>
      <c r="ALZ48" s="478"/>
      <c r="AMA48" s="478"/>
      <c r="AMB48" s="478"/>
      <c r="AMC48" s="478"/>
      <c r="AMD48" s="478"/>
      <c r="AME48" s="478"/>
      <c r="AMF48" s="478"/>
      <c r="AMG48" s="478"/>
      <c r="AMH48" s="478"/>
      <c r="AMI48" s="478"/>
      <c r="AMJ48" s="478"/>
      <c r="AMK48" s="478"/>
      <c r="AML48" s="478"/>
      <c r="AMM48" s="478"/>
      <c r="AMN48" s="478"/>
      <c r="AMO48" s="478"/>
      <c r="AMP48" s="478"/>
      <c r="AMQ48" s="478"/>
      <c r="AMR48" s="478"/>
      <c r="AMS48" s="478"/>
      <c r="AMT48" s="478"/>
      <c r="AMU48" s="478"/>
      <c r="AMV48" s="478"/>
      <c r="AMW48" s="478"/>
      <c r="AMX48" s="478"/>
      <c r="AMY48" s="478"/>
      <c r="AMZ48" s="478"/>
      <c r="ANA48" s="478"/>
      <c r="ANB48" s="478"/>
      <c r="ANC48" s="478"/>
      <c r="AND48" s="478"/>
      <c r="ANE48" s="478"/>
      <c r="ANF48" s="478"/>
      <c r="ANG48" s="478"/>
      <c r="ANH48" s="478"/>
      <c r="ANI48" s="478"/>
      <c r="ANJ48" s="478"/>
      <c r="ANK48" s="478"/>
      <c r="ANL48" s="478"/>
      <c r="ANM48" s="478"/>
      <c r="ANN48" s="478"/>
      <c r="ANO48" s="478"/>
      <c r="ANP48" s="478"/>
      <c r="ANQ48" s="478"/>
      <c r="ANR48" s="478"/>
      <c r="ANS48" s="478"/>
      <c r="ANT48" s="478"/>
      <c r="ANU48" s="478"/>
      <c r="ANV48" s="478"/>
      <c r="ANW48" s="478"/>
      <c r="ANX48" s="478"/>
      <c r="ANY48" s="478"/>
      <c r="ANZ48" s="478"/>
      <c r="AOA48" s="478"/>
      <c r="AOB48" s="478"/>
      <c r="AOC48" s="478"/>
      <c r="AOD48" s="478"/>
      <c r="AOE48" s="478"/>
      <c r="AOF48" s="478"/>
      <c r="AOG48" s="478"/>
      <c r="AOH48" s="478"/>
      <c r="AOI48" s="478"/>
      <c r="AOJ48" s="478"/>
      <c r="AOK48" s="478"/>
      <c r="AOL48" s="478"/>
      <c r="AOM48" s="478"/>
      <c r="AON48" s="478"/>
      <c r="AOO48" s="478"/>
      <c r="AOP48" s="478"/>
      <c r="AOQ48" s="478"/>
      <c r="AOR48" s="478"/>
      <c r="AOS48" s="478"/>
      <c r="AOT48" s="478"/>
      <c r="AOU48" s="478"/>
      <c r="AOV48" s="478"/>
      <c r="AOW48" s="478"/>
      <c r="AOX48" s="478"/>
      <c r="AOY48" s="478"/>
      <c r="AOZ48" s="478"/>
      <c r="APA48" s="478"/>
      <c r="APB48" s="478"/>
      <c r="APC48" s="478"/>
      <c r="APD48" s="478"/>
      <c r="APE48" s="478"/>
      <c r="APF48" s="478"/>
      <c r="APG48" s="478"/>
      <c r="APH48" s="478"/>
      <c r="API48" s="478"/>
      <c r="APJ48" s="478"/>
      <c r="APK48" s="478"/>
      <c r="APL48" s="478"/>
      <c r="APM48" s="478"/>
      <c r="APN48" s="478"/>
      <c r="APO48" s="478"/>
      <c r="APP48" s="478"/>
      <c r="APQ48" s="478"/>
      <c r="APR48" s="478"/>
      <c r="APS48" s="478"/>
      <c r="APT48" s="478"/>
      <c r="APU48" s="478"/>
      <c r="APV48" s="478"/>
      <c r="APW48" s="478"/>
      <c r="APX48" s="478"/>
      <c r="APY48" s="478"/>
      <c r="APZ48" s="478"/>
      <c r="AQA48" s="478"/>
      <c r="AQB48" s="478"/>
      <c r="AQC48" s="478"/>
      <c r="AQD48" s="478"/>
      <c r="AQE48" s="478"/>
      <c r="AQF48" s="478"/>
      <c r="AQG48" s="478"/>
      <c r="AQH48" s="478"/>
      <c r="AQI48" s="478"/>
      <c r="AQJ48" s="478"/>
      <c r="AQK48" s="478"/>
      <c r="AQL48" s="478"/>
      <c r="AQM48" s="478"/>
      <c r="AQN48" s="478"/>
      <c r="AQO48" s="478"/>
      <c r="AQP48" s="478"/>
      <c r="AQQ48" s="478"/>
      <c r="AQR48" s="478"/>
      <c r="AQS48" s="478"/>
      <c r="AQT48" s="478"/>
      <c r="AQU48" s="478"/>
      <c r="AQV48" s="478"/>
      <c r="AQW48" s="478"/>
      <c r="AQX48" s="478"/>
      <c r="AQY48" s="478"/>
      <c r="AQZ48" s="478"/>
      <c r="ARA48" s="478"/>
      <c r="ARB48" s="478"/>
      <c r="ARC48" s="478"/>
      <c r="ARD48" s="478"/>
      <c r="ARE48" s="478"/>
      <c r="ARF48" s="478"/>
      <c r="ARG48" s="478"/>
      <c r="ARH48" s="478"/>
      <c r="ARI48" s="478"/>
      <c r="ARJ48" s="478"/>
      <c r="ARK48" s="478"/>
      <c r="ARL48" s="478"/>
      <c r="ARM48" s="478"/>
      <c r="ARN48" s="478"/>
      <c r="ARO48" s="478"/>
      <c r="ARP48" s="478"/>
      <c r="ARQ48" s="478"/>
      <c r="ARR48" s="478"/>
      <c r="ARS48" s="478"/>
      <c r="ART48" s="478"/>
      <c r="ARU48" s="478"/>
      <c r="ARV48" s="478"/>
      <c r="ARW48" s="478"/>
      <c r="ARX48" s="478"/>
      <c r="ARY48" s="478"/>
      <c r="ARZ48" s="478"/>
      <c r="ASA48" s="478"/>
      <c r="ASB48" s="478"/>
      <c r="ASC48" s="478"/>
      <c r="ASD48" s="478"/>
      <c r="ASE48" s="478"/>
      <c r="ASF48" s="478"/>
      <c r="ASG48" s="478"/>
      <c r="ASH48" s="478"/>
      <c r="ASI48" s="478"/>
      <c r="ASJ48" s="478"/>
      <c r="ASK48" s="478"/>
      <c r="ASL48" s="478"/>
      <c r="ASM48" s="478"/>
      <c r="ASN48" s="478"/>
      <c r="ASO48" s="478"/>
      <c r="ASP48" s="478"/>
      <c r="ASQ48" s="478"/>
      <c r="ASR48" s="478"/>
      <c r="ASS48" s="478"/>
      <c r="AST48" s="478"/>
      <c r="ASU48" s="478"/>
      <c r="ASV48" s="478"/>
      <c r="ASW48" s="478"/>
      <c r="ASX48" s="478"/>
      <c r="ASY48" s="478"/>
      <c r="ASZ48" s="478"/>
      <c r="ATA48" s="478"/>
      <c r="ATB48" s="478"/>
      <c r="ATC48" s="478"/>
      <c r="ATD48" s="478"/>
      <c r="ATE48" s="478"/>
      <c r="ATF48" s="478"/>
      <c r="ATG48" s="478"/>
      <c r="ATH48" s="478"/>
      <c r="ATI48" s="478"/>
      <c r="ATJ48" s="478"/>
      <c r="ATK48" s="478"/>
      <c r="ATL48" s="478"/>
      <c r="ATM48" s="478"/>
      <c r="ATN48" s="478"/>
      <c r="ATO48" s="478"/>
      <c r="ATP48" s="478"/>
      <c r="ATQ48" s="478"/>
      <c r="ATR48" s="478"/>
      <c r="ATS48" s="478"/>
      <c r="ATT48" s="478"/>
      <c r="ATU48" s="478"/>
      <c r="ATV48" s="478"/>
      <c r="ATW48" s="478"/>
      <c r="ATX48" s="478"/>
      <c r="ATY48" s="478"/>
      <c r="ATZ48" s="478"/>
      <c r="AUA48" s="478"/>
      <c r="AUB48" s="478"/>
      <c r="AUC48" s="478"/>
      <c r="AUD48" s="478"/>
      <c r="AUE48" s="478"/>
      <c r="AUF48" s="478"/>
      <c r="AUG48" s="478"/>
      <c r="AUH48" s="478"/>
      <c r="AUI48" s="478"/>
      <c r="AUJ48" s="478"/>
      <c r="AUK48" s="478"/>
      <c r="AUL48" s="478"/>
      <c r="AUM48" s="478"/>
      <c r="AUN48" s="478"/>
      <c r="AUO48" s="478"/>
      <c r="AUP48" s="478"/>
      <c r="AUQ48" s="478"/>
      <c r="AUR48" s="478"/>
      <c r="AUS48" s="478"/>
      <c r="AUT48" s="478"/>
      <c r="AUU48" s="478"/>
      <c r="AUV48" s="478"/>
      <c r="AUW48" s="478"/>
      <c r="AUX48" s="478"/>
      <c r="AUY48" s="478"/>
      <c r="AUZ48" s="478"/>
      <c r="AVA48" s="478"/>
      <c r="AVB48" s="478"/>
      <c r="AVC48" s="478"/>
      <c r="AVD48" s="478"/>
      <c r="AVE48" s="478"/>
      <c r="AVF48" s="478"/>
      <c r="AVG48" s="478"/>
      <c r="AVH48" s="478"/>
      <c r="AVI48" s="478"/>
      <c r="AVJ48" s="478"/>
      <c r="AVK48" s="478"/>
      <c r="AVL48" s="478"/>
      <c r="AVM48" s="478"/>
      <c r="AVN48" s="478"/>
      <c r="AVO48" s="478"/>
      <c r="AVP48" s="478"/>
      <c r="AVQ48" s="478"/>
      <c r="AVR48" s="478"/>
      <c r="AVS48" s="478"/>
      <c r="AVT48" s="478"/>
      <c r="AVU48" s="478"/>
      <c r="AVV48" s="478"/>
      <c r="AVW48" s="478"/>
      <c r="AVX48" s="478"/>
      <c r="AVY48" s="478"/>
      <c r="AVZ48" s="478"/>
      <c r="AWA48" s="478"/>
      <c r="AWB48" s="478"/>
      <c r="AWC48" s="478"/>
      <c r="AWD48" s="478"/>
      <c r="AWE48" s="478"/>
      <c r="AWF48" s="478"/>
      <c r="AWG48" s="478"/>
      <c r="AWH48" s="478"/>
      <c r="AWI48" s="478"/>
      <c r="AWJ48" s="478"/>
      <c r="AWK48" s="478"/>
      <c r="AWL48" s="478"/>
      <c r="AWM48" s="478"/>
      <c r="AWN48" s="478"/>
      <c r="AWO48" s="478"/>
      <c r="AWP48" s="478"/>
      <c r="AWQ48" s="478"/>
      <c r="AWR48" s="478"/>
      <c r="AWS48" s="478"/>
      <c r="AWT48" s="478"/>
      <c r="AWU48" s="478"/>
      <c r="AWV48" s="478"/>
      <c r="AWW48" s="478"/>
      <c r="AWX48" s="478"/>
      <c r="AWY48" s="478"/>
      <c r="AWZ48" s="478"/>
      <c r="AXA48" s="478"/>
      <c r="AXB48" s="478"/>
      <c r="AXC48" s="478"/>
      <c r="AXD48" s="478"/>
      <c r="AXE48" s="478"/>
      <c r="AXF48" s="478"/>
      <c r="AXG48" s="478"/>
      <c r="AXH48" s="478"/>
      <c r="AXI48" s="478"/>
      <c r="AXJ48" s="478"/>
      <c r="AXK48" s="478"/>
      <c r="AXL48" s="478"/>
      <c r="AXM48" s="478"/>
      <c r="AXN48" s="478"/>
      <c r="AXO48" s="478"/>
      <c r="AXP48" s="478"/>
      <c r="AXQ48" s="478"/>
      <c r="AXR48" s="478"/>
      <c r="AXS48" s="478"/>
      <c r="AXT48" s="478"/>
      <c r="AXU48" s="478"/>
      <c r="AXV48" s="478"/>
      <c r="AXW48" s="478"/>
      <c r="AXX48" s="478"/>
      <c r="AXY48" s="478"/>
      <c r="AXZ48" s="478"/>
      <c r="AYA48" s="478"/>
      <c r="AYB48" s="478"/>
      <c r="AYC48" s="478"/>
      <c r="AYD48" s="478"/>
      <c r="AYE48" s="478"/>
      <c r="AYF48" s="478"/>
      <c r="AYG48" s="478"/>
      <c r="AYH48" s="478"/>
      <c r="AYI48" s="478"/>
      <c r="AYJ48" s="478"/>
      <c r="AYK48" s="478"/>
      <c r="AYL48" s="478"/>
      <c r="AYM48" s="478"/>
      <c r="AYN48" s="478"/>
      <c r="AYO48" s="478"/>
      <c r="AYP48" s="478"/>
      <c r="AYQ48" s="478"/>
      <c r="AYR48" s="478"/>
      <c r="AYS48" s="478"/>
      <c r="AYT48" s="478"/>
      <c r="AYU48" s="478"/>
      <c r="AYV48" s="478"/>
      <c r="AYW48" s="478"/>
      <c r="AYX48" s="478"/>
      <c r="AYY48" s="478"/>
      <c r="AYZ48" s="478"/>
      <c r="AZA48" s="478"/>
      <c r="AZB48" s="478"/>
      <c r="AZC48" s="478"/>
      <c r="AZD48" s="478"/>
      <c r="AZE48" s="478"/>
      <c r="AZF48" s="478"/>
      <c r="AZG48" s="478"/>
      <c r="AZH48" s="478"/>
      <c r="AZI48" s="478"/>
      <c r="AZJ48" s="478"/>
      <c r="AZK48" s="478"/>
      <c r="AZL48" s="478"/>
      <c r="AZM48" s="478"/>
      <c r="AZN48" s="478"/>
      <c r="AZO48" s="478"/>
      <c r="AZP48" s="478"/>
      <c r="AZQ48" s="478"/>
      <c r="AZR48" s="478"/>
      <c r="AZS48" s="478"/>
      <c r="AZT48" s="478"/>
      <c r="AZU48" s="478"/>
      <c r="AZV48" s="478"/>
      <c r="AZW48" s="478"/>
      <c r="AZX48" s="478"/>
      <c r="AZY48" s="478"/>
      <c r="AZZ48" s="478"/>
      <c r="BAA48" s="478"/>
      <c r="BAB48" s="478"/>
      <c r="BAC48" s="478"/>
      <c r="BAD48" s="478"/>
      <c r="BAE48" s="478"/>
      <c r="BAF48" s="478"/>
      <c r="BAG48" s="478"/>
      <c r="BAH48" s="478"/>
      <c r="BAI48" s="478"/>
      <c r="BAJ48" s="478"/>
      <c r="BAK48" s="478"/>
      <c r="BAL48" s="478"/>
      <c r="BAM48" s="478"/>
      <c r="BAN48" s="478"/>
      <c r="BAO48" s="478"/>
      <c r="BAP48" s="478"/>
      <c r="BAQ48" s="478"/>
      <c r="BAR48" s="478"/>
      <c r="BAS48" s="478"/>
      <c r="BAT48" s="478"/>
      <c r="BAU48" s="478"/>
      <c r="BAV48" s="478"/>
      <c r="BAW48" s="478"/>
      <c r="BAX48" s="478"/>
      <c r="BAY48" s="478"/>
      <c r="BAZ48" s="478"/>
      <c r="BBA48" s="478"/>
      <c r="BBB48" s="478"/>
      <c r="BBC48" s="478"/>
      <c r="BBD48" s="478"/>
      <c r="BBE48" s="478"/>
      <c r="BBF48" s="478"/>
      <c r="BBG48" s="478"/>
      <c r="BBH48" s="478"/>
      <c r="BBI48" s="478"/>
      <c r="BBJ48" s="478"/>
      <c r="BBK48" s="478"/>
      <c r="BBL48" s="478"/>
      <c r="BBM48" s="478"/>
      <c r="BBN48" s="478"/>
      <c r="BBO48" s="478"/>
      <c r="BBP48" s="478"/>
      <c r="BBQ48" s="478"/>
      <c r="BBR48" s="478"/>
      <c r="BBS48" s="478"/>
      <c r="BBT48" s="478"/>
      <c r="BBU48" s="478"/>
      <c r="BBV48" s="478"/>
      <c r="BBW48" s="478"/>
      <c r="BBX48" s="478"/>
      <c r="BBY48" s="478"/>
      <c r="BBZ48" s="478"/>
      <c r="BCA48" s="478"/>
      <c r="BCB48" s="478"/>
      <c r="BCC48" s="478"/>
      <c r="BCD48" s="478"/>
      <c r="BCE48" s="478"/>
      <c r="BCF48" s="478"/>
      <c r="BCG48" s="478"/>
      <c r="BCH48" s="478"/>
      <c r="BCI48" s="478"/>
      <c r="BCJ48" s="478"/>
      <c r="BCK48" s="478"/>
      <c r="BCL48" s="478"/>
      <c r="BCM48" s="478"/>
      <c r="BCN48" s="478"/>
      <c r="BCO48" s="478"/>
      <c r="BCP48" s="478"/>
      <c r="BCQ48" s="478"/>
      <c r="BCR48" s="478"/>
      <c r="BCS48" s="478"/>
      <c r="BCT48" s="478"/>
      <c r="BCU48" s="478"/>
      <c r="BCV48" s="478"/>
      <c r="BCW48" s="478"/>
      <c r="BCX48" s="478"/>
      <c r="BCY48" s="478"/>
      <c r="BCZ48" s="478"/>
      <c r="BDA48" s="478"/>
      <c r="BDB48" s="478"/>
      <c r="BDC48" s="478"/>
      <c r="BDD48" s="478"/>
      <c r="BDE48" s="478"/>
      <c r="BDF48" s="478"/>
      <c r="BDG48" s="478"/>
      <c r="BDH48" s="478"/>
      <c r="BDI48" s="478"/>
      <c r="BDJ48" s="478"/>
      <c r="BDK48" s="478"/>
      <c r="BDL48" s="478"/>
      <c r="BDM48" s="478"/>
      <c r="BDN48" s="478"/>
      <c r="BDO48" s="478"/>
      <c r="BDP48" s="478"/>
      <c r="BDQ48" s="478"/>
      <c r="BDR48" s="478"/>
      <c r="BDS48" s="478"/>
      <c r="BDT48" s="478"/>
      <c r="BDU48" s="478"/>
      <c r="BDV48" s="478"/>
      <c r="BDW48" s="478"/>
      <c r="BDX48" s="478"/>
      <c r="BDY48" s="478"/>
      <c r="BDZ48" s="478"/>
      <c r="BEA48" s="478"/>
      <c r="BEB48" s="478"/>
      <c r="BEC48" s="478"/>
      <c r="BED48" s="478"/>
      <c r="BEE48" s="478"/>
      <c r="BEF48" s="478"/>
      <c r="BEG48" s="478"/>
      <c r="BEH48" s="478"/>
      <c r="BEI48" s="478"/>
      <c r="BEJ48" s="478"/>
      <c r="BEK48" s="478"/>
      <c r="BEL48" s="478"/>
      <c r="BEM48" s="478"/>
      <c r="BEN48" s="478"/>
      <c r="BEO48" s="478"/>
      <c r="BEP48" s="478"/>
      <c r="BEQ48" s="478"/>
      <c r="BER48" s="478"/>
      <c r="BES48" s="478"/>
      <c r="BET48" s="478"/>
      <c r="BEU48" s="478"/>
      <c r="BEV48" s="478"/>
      <c r="BEW48" s="478"/>
      <c r="BEX48" s="478"/>
      <c r="BEY48" s="478"/>
      <c r="BEZ48" s="478"/>
      <c r="BFA48" s="478"/>
      <c r="BFB48" s="478"/>
      <c r="BFC48" s="478"/>
      <c r="BFD48" s="478"/>
      <c r="BFE48" s="478"/>
      <c r="BFF48" s="478"/>
      <c r="BFG48" s="478"/>
      <c r="BFH48" s="478"/>
      <c r="BFI48" s="478"/>
      <c r="BFJ48" s="478"/>
      <c r="BFK48" s="478"/>
      <c r="BFL48" s="478"/>
      <c r="BFM48" s="478"/>
      <c r="BFN48" s="478"/>
      <c r="BFO48" s="478"/>
      <c r="BFP48" s="478"/>
      <c r="BFQ48" s="478"/>
      <c r="BFR48" s="478"/>
      <c r="BFS48" s="478"/>
      <c r="BFT48" s="478"/>
      <c r="BFU48" s="478"/>
      <c r="BFV48" s="478"/>
      <c r="BFW48" s="478"/>
      <c r="BFX48" s="478"/>
      <c r="BFY48" s="478"/>
      <c r="BFZ48" s="478"/>
      <c r="BGA48" s="478"/>
      <c r="BGB48" s="478"/>
      <c r="BGC48" s="478"/>
      <c r="BGD48" s="478"/>
      <c r="BGE48" s="478"/>
      <c r="BGF48" s="478"/>
      <c r="BGG48" s="478"/>
      <c r="BGH48" s="478"/>
      <c r="BGI48" s="478"/>
      <c r="BGJ48" s="478"/>
      <c r="BGK48" s="478"/>
      <c r="BGL48" s="478"/>
      <c r="BGM48" s="478"/>
      <c r="BGN48" s="478"/>
      <c r="BGO48" s="478"/>
      <c r="BGP48" s="478"/>
      <c r="BGQ48" s="478"/>
      <c r="BGR48" s="478"/>
      <c r="BGS48" s="478"/>
      <c r="BGT48" s="478"/>
      <c r="BGU48" s="478"/>
      <c r="BGV48" s="478"/>
      <c r="BGW48" s="478"/>
      <c r="BGX48" s="478"/>
      <c r="BGY48" s="478"/>
      <c r="BGZ48" s="478"/>
      <c r="BHA48" s="478"/>
      <c r="BHB48" s="478"/>
      <c r="BHC48" s="478"/>
      <c r="BHD48" s="478"/>
      <c r="BHE48" s="478"/>
      <c r="BHF48" s="478"/>
      <c r="BHG48" s="478"/>
      <c r="BHH48" s="478"/>
      <c r="BHI48" s="478"/>
      <c r="BHJ48" s="478"/>
      <c r="BHK48" s="478"/>
      <c r="BHL48" s="478"/>
      <c r="BHM48" s="478"/>
      <c r="BHN48" s="478"/>
      <c r="BHO48" s="478"/>
      <c r="BHP48" s="478"/>
      <c r="BHQ48" s="478"/>
      <c r="BHR48" s="478"/>
      <c r="BHS48" s="478"/>
      <c r="BHT48" s="478"/>
      <c r="BHU48" s="478"/>
      <c r="BHV48" s="478"/>
      <c r="BHW48" s="478"/>
      <c r="BHX48" s="478"/>
      <c r="BHY48" s="478"/>
      <c r="BHZ48" s="478"/>
      <c r="BIA48" s="478"/>
      <c r="BIB48" s="478"/>
      <c r="BIC48" s="478"/>
      <c r="BID48" s="478"/>
      <c r="BIE48" s="478"/>
      <c r="BIF48" s="478"/>
      <c r="BIG48" s="478"/>
      <c r="BIH48" s="478"/>
      <c r="BII48" s="478"/>
      <c r="BIJ48" s="478"/>
      <c r="BIK48" s="478"/>
      <c r="BIL48" s="478"/>
      <c r="BIM48" s="478"/>
      <c r="BIN48" s="478"/>
      <c r="BIO48" s="478"/>
      <c r="BIP48" s="478"/>
      <c r="BIQ48" s="478"/>
      <c r="BIR48" s="478"/>
      <c r="BIS48" s="478"/>
      <c r="BIT48" s="478"/>
      <c r="BIU48" s="478"/>
      <c r="BIV48" s="478"/>
      <c r="BIW48" s="478"/>
      <c r="BIX48" s="478"/>
      <c r="BIY48" s="478"/>
      <c r="BIZ48" s="478"/>
      <c r="BJA48" s="478"/>
      <c r="BJB48" s="478"/>
      <c r="BJC48" s="478"/>
      <c r="BJD48" s="478"/>
      <c r="BJE48" s="478"/>
      <c r="BJF48" s="478"/>
      <c r="BJG48" s="478"/>
      <c r="BJH48" s="478"/>
      <c r="BJI48" s="478"/>
      <c r="BJJ48" s="478"/>
      <c r="BJK48" s="478"/>
      <c r="BJL48" s="478"/>
      <c r="BJM48" s="478"/>
      <c r="BJN48" s="478"/>
      <c r="BJO48" s="478"/>
      <c r="BJP48" s="478"/>
      <c r="BJQ48" s="478"/>
      <c r="BJR48" s="478"/>
      <c r="BJS48" s="478"/>
      <c r="BJT48" s="478"/>
      <c r="BJU48" s="478"/>
      <c r="BJV48" s="478"/>
      <c r="BJW48" s="478"/>
      <c r="BJX48" s="478"/>
      <c r="BJY48" s="478"/>
      <c r="BJZ48" s="478"/>
      <c r="BKA48" s="478"/>
      <c r="BKB48" s="478"/>
      <c r="BKC48" s="478"/>
      <c r="BKD48" s="478"/>
      <c r="BKE48" s="478"/>
      <c r="BKF48" s="478"/>
      <c r="BKG48" s="478"/>
      <c r="BKH48" s="478"/>
      <c r="BKI48" s="478"/>
      <c r="BKJ48" s="478"/>
      <c r="BKK48" s="478"/>
      <c r="BKL48" s="478"/>
      <c r="BKM48" s="478"/>
      <c r="BKN48" s="478"/>
      <c r="BKO48" s="478"/>
      <c r="BKP48" s="478"/>
      <c r="BKQ48" s="478"/>
      <c r="BKR48" s="478"/>
      <c r="BKS48" s="478"/>
      <c r="BKT48" s="478"/>
      <c r="BKU48" s="478"/>
      <c r="BKV48" s="478"/>
      <c r="BKW48" s="478"/>
      <c r="BKX48" s="478"/>
      <c r="BKY48" s="478"/>
      <c r="BKZ48" s="478"/>
      <c r="BLA48" s="478"/>
      <c r="BLB48" s="478"/>
      <c r="BLC48" s="478"/>
      <c r="BLD48" s="478"/>
      <c r="BLE48" s="478"/>
      <c r="BLF48" s="478"/>
      <c r="BLG48" s="478"/>
      <c r="BLH48" s="478"/>
      <c r="BLI48" s="478"/>
      <c r="BLJ48" s="478"/>
      <c r="BLK48" s="478"/>
      <c r="BLL48" s="478"/>
      <c r="BLM48" s="478"/>
      <c r="BLN48" s="478"/>
      <c r="BLO48" s="478"/>
      <c r="BLP48" s="478"/>
      <c r="BLQ48" s="478"/>
      <c r="BLR48" s="478"/>
      <c r="BLS48" s="478"/>
      <c r="BLT48" s="478"/>
      <c r="BLU48" s="478"/>
      <c r="BLV48" s="478"/>
      <c r="BLW48" s="478"/>
      <c r="BLX48" s="478"/>
      <c r="BLY48" s="478"/>
      <c r="BLZ48" s="478"/>
      <c r="BMA48" s="478"/>
      <c r="BMB48" s="478"/>
      <c r="BMC48" s="478"/>
      <c r="BMD48" s="478"/>
      <c r="BME48" s="478"/>
      <c r="BMF48" s="478"/>
      <c r="BMG48" s="478"/>
      <c r="BMH48" s="478"/>
      <c r="BMI48" s="478"/>
      <c r="BMJ48" s="478"/>
      <c r="BMK48" s="478"/>
      <c r="BML48" s="478"/>
      <c r="BMM48" s="478"/>
      <c r="BMN48" s="478"/>
      <c r="BMO48" s="478"/>
      <c r="BMP48" s="478"/>
      <c r="BMQ48" s="478"/>
      <c r="BMR48" s="478"/>
      <c r="BMS48" s="478"/>
      <c r="BMT48" s="478"/>
      <c r="BMU48" s="478"/>
      <c r="BMV48" s="478"/>
      <c r="BMW48" s="478"/>
      <c r="BMX48" s="478"/>
      <c r="BMY48" s="478"/>
      <c r="BMZ48" s="478"/>
      <c r="BNA48" s="478"/>
      <c r="BNB48" s="478"/>
      <c r="BNC48" s="478"/>
      <c r="BND48" s="478"/>
      <c r="BNE48" s="478"/>
      <c r="BNF48" s="478"/>
      <c r="BNG48" s="478"/>
      <c r="BNH48" s="478"/>
      <c r="BNI48" s="478"/>
      <c r="BNJ48" s="478"/>
      <c r="BNK48" s="478"/>
      <c r="BNL48" s="478"/>
      <c r="BNM48" s="478"/>
      <c r="BNN48" s="478"/>
      <c r="BNO48" s="478"/>
      <c r="BNP48" s="478"/>
      <c r="BNQ48" s="478"/>
      <c r="BNR48" s="478"/>
      <c r="BNS48" s="478"/>
      <c r="BNT48" s="478"/>
      <c r="BNU48" s="478"/>
      <c r="BNV48" s="478"/>
      <c r="BNW48" s="478"/>
      <c r="BNX48" s="478"/>
      <c r="BNY48" s="478"/>
      <c r="BNZ48" s="478"/>
      <c r="BOA48" s="478"/>
      <c r="BOB48" s="478"/>
      <c r="BOC48" s="478"/>
      <c r="BOD48" s="478"/>
      <c r="BOE48" s="478"/>
      <c r="BOF48" s="478"/>
      <c r="BOG48" s="478"/>
      <c r="BOH48" s="478"/>
      <c r="BOI48" s="478"/>
      <c r="BOJ48" s="478"/>
      <c r="BOK48" s="478"/>
      <c r="BOL48" s="478"/>
      <c r="BOM48" s="478"/>
      <c r="BON48" s="478"/>
      <c r="BOO48" s="478"/>
      <c r="BOP48" s="478"/>
      <c r="BOQ48" s="478"/>
      <c r="BOR48" s="478"/>
      <c r="BOS48" s="478"/>
      <c r="BOT48" s="478"/>
      <c r="BOU48" s="478"/>
      <c r="BOV48" s="478"/>
      <c r="BOW48" s="478"/>
      <c r="BOX48" s="478"/>
      <c r="BOY48" s="478"/>
      <c r="BOZ48" s="478"/>
      <c r="BPA48" s="478"/>
      <c r="BPB48" s="478"/>
      <c r="BPC48" s="478"/>
      <c r="BPD48" s="478"/>
      <c r="BPE48" s="478"/>
      <c r="BPF48" s="478"/>
      <c r="BPG48" s="478"/>
      <c r="BPH48" s="478"/>
      <c r="BPI48" s="478"/>
      <c r="BPJ48" s="478"/>
      <c r="BPK48" s="478"/>
      <c r="BPL48" s="478"/>
      <c r="BPM48" s="478"/>
      <c r="BPN48" s="478"/>
      <c r="BPO48" s="478"/>
      <c r="BPP48" s="478"/>
      <c r="BPQ48" s="478"/>
      <c r="BPR48" s="478"/>
      <c r="BPS48" s="478"/>
      <c r="BPT48" s="478"/>
      <c r="BPU48" s="478"/>
      <c r="BPV48" s="478"/>
      <c r="BPW48" s="478"/>
      <c r="BPX48" s="478"/>
      <c r="BPY48" s="478"/>
      <c r="BPZ48" s="478"/>
      <c r="BQA48" s="478"/>
      <c r="BQB48" s="478"/>
      <c r="BQC48" s="478"/>
      <c r="BQD48" s="478"/>
      <c r="BQE48" s="478"/>
      <c r="BQF48" s="478"/>
      <c r="BQG48" s="478"/>
      <c r="BQH48" s="478"/>
      <c r="BQI48" s="478"/>
      <c r="BQJ48" s="478"/>
      <c r="BQK48" s="478"/>
      <c r="BQL48" s="478"/>
      <c r="BQM48" s="478"/>
      <c r="BQN48" s="478"/>
      <c r="BQO48" s="478"/>
      <c r="BQP48" s="478"/>
      <c r="BQQ48" s="478"/>
      <c r="BQR48" s="478"/>
      <c r="BQS48" s="478"/>
      <c r="BQT48" s="478"/>
      <c r="BQU48" s="478"/>
      <c r="BQV48" s="478"/>
      <c r="BQW48" s="478"/>
      <c r="BQX48" s="478"/>
      <c r="BQY48" s="478"/>
      <c r="BQZ48" s="478"/>
      <c r="BRA48" s="478"/>
      <c r="BRB48" s="478"/>
      <c r="BRC48" s="478"/>
      <c r="BRD48" s="478"/>
      <c r="BRE48" s="478"/>
      <c r="BRF48" s="478"/>
      <c r="BRG48" s="478"/>
      <c r="BRH48" s="478"/>
      <c r="BRI48" s="478"/>
      <c r="BRJ48" s="478"/>
      <c r="BRK48" s="478"/>
      <c r="BRL48" s="478"/>
      <c r="BRM48" s="478"/>
      <c r="BRN48" s="478"/>
      <c r="BRO48" s="478"/>
      <c r="BRP48" s="478"/>
      <c r="BRQ48" s="478"/>
      <c r="BRR48" s="478"/>
      <c r="BRS48" s="478"/>
      <c r="BRT48" s="478"/>
      <c r="BRU48" s="478"/>
      <c r="BRV48" s="478"/>
      <c r="BRW48" s="478"/>
      <c r="BRX48" s="478"/>
      <c r="BRY48" s="478"/>
      <c r="BRZ48" s="478"/>
      <c r="BSA48" s="478"/>
      <c r="BSB48" s="478"/>
      <c r="BSC48" s="478"/>
      <c r="BSD48" s="478"/>
      <c r="BSE48" s="478"/>
      <c r="BSF48" s="478"/>
      <c r="BSG48" s="478"/>
      <c r="BSH48" s="478"/>
      <c r="BSI48" s="478"/>
      <c r="BSJ48" s="478"/>
      <c r="BSK48" s="478"/>
      <c r="BSL48" s="478"/>
      <c r="BSM48" s="478"/>
      <c r="BSN48" s="478"/>
      <c r="BSO48" s="478"/>
      <c r="BSP48" s="478"/>
      <c r="BSQ48" s="478"/>
      <c r="BSR48" s="478"/>
      <c r="BSS48" s="478"/>
      <c r="BST48" s="478"/>
      <c r="BSU48" s="478"/>
      <c r="BSV48" s="478"/>
      <c r="BSW48" s="478"/>
      <c r="BSX48" s="478"/>
      <c r="BSY48" s="478"/>
      <c r="BSZ48" s="478"/>
      <c r="BTA48" s="478"/>
      <c r="BTB48" s="478"/>
      <c r="BTC48" s="478"/>
      <c r="BTD48" s="478"/>
      <c r="BTE48" s="478"/>
      <c r="BTF48" s="478"/>
      <c r="BTG48" s="478"/>
      <c r="BTH48" s="478"/>
      <c r="BTI48" s="478"/>
      <c r="BTJ48" s="478"/>
      <c r="BTK48" s="478"/>
      <c r="BTL48" s="478"/>
      <c r="BTM48" s="478"/>
      <c r="BTN48" s="478"/>
      <c r="BTO48" s="478"/>
      <c r="BTP48" s="478"/>
      <c r="BTQ48" s="478"/>
      <c r="BTR48" s="478"/>
      <c r="BTS48" s="478"/>
      <c r="BTT48" s="478"/>
      <c r="BTU48" s="478"/>
      <c r="BTV48" s="478"/>
      <c r="BTW48" s="478"/>
      <c r="BTX48" s="478"/>
      <c r="BTY48" s="478"/>
      <c r="BTZ48" s="478"/>
      <c r="BUA48" s="478"/>
      <c r="BUB48" s="478"/>
      <c r="BUC48" s="478"/>
      <c r="BUD48" s="478"/>
      <c r="BUE48" s="478"/>
      <c r="BUF48" s="478"/>
      <c r="BUG48" s="478"/>
      <c r="BUH48" s="478"/>
      <c r="BUI48" s="478"/>
      <c r="BUJ48" s="478"/>
      <c r="BUK48" s="478"/>
      <c r="BUL48" s="478"/>
      <c r="BUM48" s="478"/>
      <c r="BUN48" s="478"/>
      <c r="BUO48" s="478"/>
      <c r="BUP48" s="478"/>
      <c r="BUQ48" s="478"/>
      <c r="BUR48" s="478"/>
      <c r="BUS48" s="478"/>
      <c r="BUT48" s="478"/>
      <c r="BUU48" s="478"/>
      <c r="BUV48" s="478"/>
      <c r="BUW48" s="478"/>
      <c r="BUX48" s="478"/>
      <c r="BUY48" s="478"/>
      <c r="BUZ48" s="478"/>
      <c r="BVA48" s="478"/>
      <c r="BVB48" s="478"/>
      <c r="BVC48" s="478"/>
      <c r="BVD48" s="478"/>
      <c r="BVE48" s="478"/>
      <c r="BVF48" s="478"/>
      <c r="BVG48" s="478"/>
      <c r="BVH48" s="478"/>
      <c r="BVI48" s="478"/>
      <c r="BVJ48" s="478"/>
      <c r="BVK48" s="478"/>
      <c r="BVL48" s="478"/>
      <c r="BVM48" s="478"/>
      <c r="BVN48" s="478"/>
      <c r="BVO48" s="478"/>
      <c r="BVP48" s="478"/>
      <c r="BVQ48" s="478"/>
      <c r="BVR48" s="478"/>
      <c r="BVS48" s="478"/>
      <c r="BVT48" s="478"/>
      <c r="BVU48" s="478"/>
      <c r="BVV48" s="478"/>
      <c r="BVW48" s="478"/>
      <c r="BVX48" s="478"/>
      <c r="BVY48" s="478"/>
      <c r="BVZ48" s="478"/>
      <c r="BWA48" s="478"/>
      <c r="BWB48" s="478"/>
      <c r="BWC48" s="478"/>
      <c r="BWD48" s="478"/>
      <c r="BWE48" s="478"/>
      <c r="BWF48" s="478"/>
      <c r="BWG48" s="478"/>
      <c r="BWH48" s="478"/>
      <c r="BWI48" s="478"/>
      <c r="BWJ48" s="478"/>
      <c r="BWK48" s="478"/>
      <c r="BWL48" s="478"/>
      <c r="BWM48" s="478"/>
      <c r="BWN48" s="478"/>
      <c r="BWO48" s="478"/>
      <c r="BWP48" s="478"/>
      <c r="BWQ48" s="478"/>
      <c r="BWR48" s="478"/>
      <c r="BWS48" s="478"/>
      <c r="BWT48" s="478"/>
      <c r="BWU48" s="478"/>
      <c r="BWV48" s="478"/>
      <c r="BWW48" s="478"/>
      <c r="BWX48" s="478"/>
      <c r="BWY48" s="478"/>
      <c r="BWZ48" s="478"/>
      <c r="BXA48" s="478"/>
      <c r="BXB48" s="478"/>
      <c r="BXC48" s="478"/>
      <c r="BXD48" s="478"/>
      <c r="BXE48" s="478"/>
      <c r="BXF48" s="478"/>
      <c r="BXG48" s="478"/>
      <c r="BXH48" s="478"/>
      <c r="BXI48" s="478"/>
      <c r="BXJ48" s="478"/>
      <c r="BXK48" s="478"/>
      <c r="BXL48" s="478"/>
      <c r="BXM48" s="478"/>
      <c r="BXN48" s="478"/>
      <c r="BXO48" s="478"/>
      <c r="BXP48" s="478"/>
      <c r="BXQ48" s="478"/>
      <c r="BXR48" s="478"/>
      <c r="BXS48" s="478"/>
      <c r="BXT48" s="478"/>
      <c r="BXU48" s="478"/>
      <c r="BXV48" s="478"/>
      <c r="BXW48" s="478"/>
      <c r="BXX48" s="478"/>
      <c r="BXY48" s="478"/>
      <c r="BXZ48" s="478"/>
      <c r="BYA48" s="478"/>
      <c r="BYB48" s="478"/>
      <c r="BYC48" s="478"/>
      <c r="BYD48" s="478"/>
      <c r="BYE48" s="478"/>
      <c r="BYF48" s="478"/>
      <c r="BYG48" s="478"/>
      <c r="BYH48" s="478"/>
      <c r="BYI48" s="478"/>
      <c r="BYJ48" s="478"/>
      <c r="BYK48" s="478"/>
      <c r="BYL48" s="478"/>
      <c r="BYM48" s="478"/>
      <c r="BYN48" s="478"/>
      <c r="BYO48" s="478"/>
      <c r="BYP48" s="478"/>
      <c r="BYQ48" s="478"/>
      <c r="BYR48" s="478"/>
      <c r="BYS48" s="478"/>
      <c r="BYT48" s="478"/>
      <c r="BYU48" s="478"/>
      <c r="BYV48" s="478"/>
      <c r="BYW48" s="478"/>
      <c r="BYX48" s="478"/>
      <c r="BYY48" s="478"/>
      <c r="BYZ48" s="478"/>
      <c r="BZA48" s="478"/>
      <c r="BZB48" s="478"/>
      <c r="BZC48" s="478"/>
      <c r="BZD48" s="478"/>
      <c r="BZE48" s="478"/>
      <c r="BZF48" s="478"/>
      <c r="BZG48" s="478"/>
      <c r="BZH48" s="478"/>
      <c r="BZI48" s="478"/>
      <c r="BZJ48" s="478"/>
      <c r="BZK48" s="478"/>
      <c r="BZL48" s="478"/>
      <c r="BZM48" s="478"/>
      <c r="BZN48" s="478"/>
      <c r="BZO48" s="478"/>
      <c r="BZP48" s="478"/>
      <c r="BZQ48" s="478"/>
      <c r="BZR48" s="478"/>
      <c r="BZS48" s="478"/>
      <c r="BZT48" s="478"/>
      <c r="BZU48" s="478"/>
      <c r="BZV48" s="478"/>
      <c r="BZW48" s="478"/>
      <c r="BZX48" s="478"/>
      <c r="BZY48" s="478"/>
      <c r="BZZ48" s="478"/>
      <c r="CAA48" s="478"/>
      <c r="CAB48" s="478"/>
      <c r="CAC48" s="478"/>
      <c r="CAD48" s="478"/>
      <c r="CAE48" s="478"/>
      <c r="CAF48" s="478"/>
      <c r="CAG48" s="478"/>
      <c r="CAH48" s="478"/>
      <c r="CAI48" s="478"/>
      <c r="CAJ48" s="478"/>
      <c r="CAK48" s="478"/>
      <c r="CAL48" s="478"/>
      <c r="CAM48" s="478"/>
      <c r="CAN48" s="478"/>
      <c r="CAO48" s="478"/>
      <c r="CAP48" s="478"/>
      <c r="CAQ48" s="478"/>
      <c r="CAR48" s="478"/>
      <c r="CAS48" s="478"/>
      <c r="CAT48" s="478"/>
      <c r="CAU48" s="478"/>
      <c r="CAV48" s="478"/>
      <c r="CAW48" s="478"/>
      <c r="CAX48" s="478"/>
      <c r="CAY48" s="478"/>
      <c r="CAZ48" s="478"/>
      <c r="CBA48" s="478"/>
      <c r="CBB48" s="478"/>
      <c r="CBC48" s="478"/>
      <c r="CBD48" s="478"/>
      <c r="CBE48" s="478"/>
      <c r="CBF48" s="478"/>
      <c r="CBG48" s="478"/>
      <c r="CBH48" s="478"/>
      <c r="CBI48" s="478"/>
      <c r="CBJ48" s="478"/>
      <c r="CBK48" s="478"/>
      <c r="CBL48" s="478"/>
      <c r="CBM48" s="478"/>
      <c r="CBN48" s="478"/>
      <c r="CBO48" s="478"/>
      <c r="CBP48" s="478"/>
      <c r="CBQ48" s="478"/>
      <c r="CBR48" s="478"/>
      <c r="CBS48" s="478"/>
      <c r="CBT48" s="478"/>
      <c r="CBU48" s="478"/>
      <c r="CBV48" s="478"/>
      <c r="CBW48" s="478"/>
      <c r="CBX48" s="478"/>
      <c r="CBY48" s="478"/>
      <c r="CBZ48" s="478"/>
      <c r="CCA48" s="478"/>
      <c r="CCB48" s="478"/>
      <c r="CCC48" s="478"/>
      <c r="CCD48" s="478"/>
      <c r="CCE48" s="478"/>
      <c r="CCF48" s="478"/>
      <c r="CCG48" s="478"/>
      <c r="CCH48" s="478"/>
      <c r="CCI48" s="478"/>
      <c r="CCJ48" s="478"/>
      <c r="CCK48" s="478"/>
      <c r="CCL48" s="478"/>
      <c r="CCM48" s="478"/>
      <c r="CCN48" s="478"/>
      <c r="CCO48" s="478"/>
      <c r="CCP48" s="478"/>
      <c r="CCQ48" s="478"/>
      <c r="CCR48" s="478"/>
      <c r="CCS48" s="478"/>
      <c r="CCT48" s="478"/>
      <c r="CCU48" s="478"/>
      <c r="CCV48" s="478"/>
      <c r="CCW48" s="478"/>
      <c r="CCX48" s="478"/>
      <c r="CCY48" s="478"/>
      <c r="CCZ48" s="478"/>
      <c r="CDA48" s="478"/>
      <c r="CDB48" s="478"/>
      <c r="CDC48" s="478"/>
      <c r="CDD48" s="478"/>
      <c r="CDE48" s="478"/>
      <c r="CDF48" s="478"/>
      <c r="CDG48" s="478"/>
      <c r="CDH48" s="478"/>
      <c r="CDI48" s="478"/>
      <c r="CDJ48" s="478"/>
      <c r="CDK48" s="478"/>
      <c r="CDL48" s="478"/>
      <c r="CDM48" s="478"/>
      <c r="CDN48" s="478"/>
      <c r="CDO48" s="478"/>
      <c r="CDP48" s="478"/>
      <c r="CDQ48" s="478"/>
      <c r="CDR48" s="478"/>
      <c r="CDS48" s="478"/>
      <c r="CDT48" s="478"/>
      <c r="CDU48" s="478"/>
      <c r="CDV48" s="478"/>
      <c r="CDW48" s="478"/>
      <c r="CDX48" s="478"/>
      <c r="CDY48" s="478"/>
      <c r="CDZ48" s="478"/>
      <c r="CEA48" s="478"/>
      <c r="CEB48" s="478"/>
      <c r="CEC48" s="478"/>
      <c r="CED48" s="478"/>
      <c r="CEE48" s="478"/>
      <c r="CEF48" s="478"/>
      <c r="CEG48" s="478"/>
      <c r="CEH48" s="478"/>
      <c r="CEI48" s="478"/>
      <c r="CEJ48" s="478"/>
      <c r="CEK48" s="478"/>
      <c r="CEL48" s="478"/>
      <c r="CEM48" s="478"/>
      <c r="CEN48" s="478"/>
      <c r="CEO48" s="478"/>
      <c r="CEP48" s="478"/>
      <c r="CEQ48" s="478"/>
      <c r="CER48" s="478"/>
      <c r="CES48" s="478"/>
      <c r="CET48" s="478"/>
      <c r="CEU48" s="478"/>
      <c r="CEV48" s="478"/>
      <c r="CEW48" s="478"/>
      <c r="CEX48" s="478"/>
      <c r="CEY48" s="478"/>
      <c r="CEZ48" s="478"/>
      <c r="CFA48" s="478"/>
      <c r="CFB48" s="478"/>
      <c r="CFC48" s="478"/>
      <c r="CFD48" s="478"/>
      <c r="CFE48" s="478"/>
      <c r="CFF48" s="478"/>
      <c r="CFG48" s="478"/>
      <c r="CFH48" s="478"/>
      <c r="CFI48" s="478"/>
      <c r="CFJ48" s="478"/>
      <c r="CFK48" s="478"/>
      <c r="CFL48" s="478"/>
      <c r="CFM48" s="478"/>
      <c r="CFN48" s="478"/>
      <c r="CFO48" s="478"/>
      <c r="CFP48" s="478"/>
      <c r="CFQ48" s="478"/>
      <c r="CFR48" s="478"/>
      <c r="CFS48" s="478"/>
      <c r="CFT48" s="478"/>
      <c r="CFU48" s="478"/>
      <c r="CFV48" s="478"/>
      <c r="CFW48" s="478"/>
      <c r="CFX48" s="478"/>
      <c r="CFY48" s="478"/>
      <c r="CFZ48" s="478"/>
      <c r="CGA48" s="478"/>
      <c r="CGB48" s="478"/>
      <c r="CGC48" s="478"/>
      <c r="CGD48" s="478"/>
      <c r="CGE48" s="478"/>
      <c r="CGF48" s="478"/>
      <c r="CGG48" s="478"/>
      <c r="CGH48" s="478"/>
      <c r="CGI48" s="478"/>
      <c r="CGJ48" s="478"/>
      <c r="CGK48" s="478"/>
      <c r="CGL48" s="478"/>
      <c r="CGM48" s="478"/>
      <c r="CGN48" s="478"/>
      <c r="CGO48" s="478"/>
      <c r="CGP48" s="478"/>
      <c r="CGQ48" s="478"/>
      <c r="CGR48" s="478"/>
      <c r="CGS48" s="478"/>
      <c r="CGT48" s="478"/>
      <c r="CGU48" s="478"/>
      <c r="CGV48" s="478"/>
      <c r="CGW48" s="478"/>
      <c r="CGX48" s="478"/>
      <c r="CGY48" s="478"/>
      <c r="CGZ48" s="478"/>
      <c r="CHA48" s="478"/>
      <c r="CHB48" s="478"/>
      <c r="CHC48" s="478"/>
      <c r="CHD48" s="478"/>
      <c r="CHE48" s="478"/>
      <c r="CHF48" s="478"/>
      <c r="CHG48" s="478"/>
      <c r="CHH48" s="478"/>
      <c r="CHI48" s="478"/>
      <c r="CHJ48" s="478"/>
      <c r="CHK48" s="478"/>
      <c r="CHL48" s="478"/>
      <c r="CHM48" s="478"/>
      <c r="CHN48" s="478"/>
      <c r="CHO48" s="478"/>
      <c r="CHP48" s="478"/>
      <c r="CHQ48" s="478"/>
      <c r="CHR48" s="478"/>
      <c r="CHS48" s="478"/>
      <c r="CHT48" s="478"/>
      <c r="CHU48" s="478"/>
      <c r="CHV48" s="478"/>
      <c r="CHW48" s="478"/>
      <c r="CHX48" s="478"/>
      <c r="CHY48" s="478"/>
      <c r="CHZ48" s="478"/>
      <c r="CIA48" s="478"/>
      <c r="CIB48" s="478"/>
      <c r="CIC48" s="478"/>
      <c r="CID48" s="478"/>
      <c r="CIE48" s="478"/>
      <c r="CIF48" s="478"/>
      <c r="CIG48" s="478"/>
      <c r="CIH48" s="478"/>
      <c r="CII48" s="478"/>
      <c r="CIJ48" s="478"/>
      <c r="CIK48" s="478"/>
      <c r="CIL48" s="478"/>
      <c r="CIM48" s="478"/>
      <c r="CIN48" s="478"/>
      <c r="CIO48" s="478"/>
      <c r="CIP48" s="478"/>
      <c r="CIQ48" s="478"/>
      <c r="CIR48" s="478"/>
      <c r="CIS48" s="478"/>
      <c r="CIT48" s="478"/>
      <c r="CIU48" s="478"/>
      <c r="CIV48" s="478"/>
      <c r="CIW48" s="478"/>
      <c r="CIX48" s="478"/>
      <c r="CIY48" s="478"/>
      <c r="CIZ48" s="478"/>
      <c r="CJA48" s="478"/>
      <c r="CJB48" s="478"/>
      <c r="CJC48" s="478"/>
      <c r="CJD48" s="478"/>
      <c r="CJE48" s="478"/>
      <c r="CJF48" s="478"/>
      <c r="CJG48" s="478"/>
      <c r="CJH48" s="478"/>
      <c r="CJI48" s="478"/>
      <c r="CJJ48" s="478"/>
      <c r="CJK48" s="478"/>
      <c r="CJL48" s="478"/>
      <c r="CJM48" s="478"/>
      <c r="CJN48" s="478"/>
      <c r="CJO48" s="478"/>
      <c r="CJP48" s="478"/>
      <c r="CJQ48" s="478"/>
      <c r="CJR48" s="478"/>
      <c r="CJS48" s="478"/>
      <c r="CJT48" s="478"/>
      <c r="CJU48" s="478"/>
      <c r="CJV48" s="478"/>
      <c r="CJW48" s="478"/>
      <c r="CJX48" s="478"/>
      <c r="CJY48" s="478"/>
      <c r="CJZ48" s="478"/>
      <c r="CKA48" s="478"/>
      <c r="CKB48" s="478"/>
      <c r="CKC48" s="478"/>
      <c r="CKD48" s="478"/>
      <c r="CKE48" s="478"/>
      <c r="CKF48" s="478"/>
      <c r="CKG48" s="478"/>
      <c r="CKH48" s="478"/>
      <c r="CKI48" s="478"/>
      <c r="CKJ48" s="478"/>
      <c r="CKK48" s="478"/>
      <c r="CKL48" s="478"/>
      <c r="CKM48" s="478"/>
      <c r="CKN48" s="478"/>
      <c r="CKO48" s="478"/>
      <c r="CKP48" s="478"/>
      <c r="CKQ48" s="478"/>
      <c r="CKR48" s="478"/>
      <c r="CKS48" s="478"/>
      <c r="CKT48" s="478"/>
      <c r="CKU48" s="478"/>
      <c r="CKV48" s="478"/>
      <c r="CKW48" s="478"/>
      <c r="CKX48" s="478"/>
      <c r="CKY48" s="478"/>
      <c r="CKZ48" s="478"/>
      <c r="CLA48" s="478"/>
      <c r="CLB48" s="478"/>
      <c r="CLC48" s="478"/>
      <c r="CLD48" s="478"/>
      <c r="CLE48" s="478"/>
      <c r="CLF48" s="478"/>
      <c r="CLG48" s="478"/>
      <c r="CLH48" s="478"/>
      <c r="CLI48" s="478"/>
      <c r="CLJ48" s="478"/>
      <c r="CLK48" s="478"/>
      <c r="CLL48" s="478"/>
      <c r="CLM48" s="478"/>
      <c r="CLN48" s="478"/>
      <c r="CLO48" s="478"/>
      <c r="CLP48" s="478"/>
      <c r="CLQ48" s="478"/>
      <c r="CLR48" s="478"/>
      <c r="CLS48" s="478"/>
      <c r="CLT48" s="478"/>
      <c r="CLU48" s="478"/>
      <c r="CLV48" s="478"/>
      <c r="CLW48" s="478"/>
      <c r="CLX48" s="478"/>
      <c r="CLY48" s="478"/>
      <c r="CLZ48" s="478"/>
      <c r="CMA48" s="478"/>
      <c r="CMB48" s="478"/>
      <c r="CMC48" s="478"/>
      <c r="CMD48" s="478"/>
      <c r="CME48" s="478"/>
      <c r="CMF48" s="478"/>
      <c r="CMG48" s="478"/>
      <c r="CMH48" s="478"/>
      <c r="CMI48" s="478"/>
      <c r="CMJ48" s="478"/>
      <c r="CMK48" s="478"/>
      <c r="CML48" s="478"/>
      <c r="CMM48" s="478"/>
      <c r="CMN48" s="478"/>
      <c r="CMO48" s="478"/>
      <c r="CMP48" s="478"/>
      <c r="CMQ48" s="478"/>
      <c r="CMR48" s="478"/>
      <c r="CMS48" s="478"/>
      <c r="CMT48" s="478"/>
      <c r="CMU48" s="478"/>
      <c r="CMV48" s="478"/>
      <c r="CMW48" s="478"/>
      <c r="CMX48" s="478"/>
      <c r="CMY48" s="478"/>
      <c r="CMZ48" s="478"/>
      <c r="CNA48" s="478"/>
      <c r="CNB48" s="478"/>
      <c r="CNC48" s="478"/>
      <c r="CND48" s="478"/>
      <c r="CNE48" s="478"/>
      <c r="CNF48" s="478"/>
      <c r="CNG48" s="478"/>
      <c r="CNH48" s="478"/>
      <c r="CNI48" s="478"/>
      <c r="CNJ48" s="478"/>
      <c r="CNK48" s="478"/>
      <c r="CNL48" s="478"/>
      <c r="CNM48" s="478"/>
      <c r="CNN48" s="478"/>
      <c r="CNO48" s="478"/>
      <c r="CNP48" s="478"/>
      <c r="CNQ48" s="478"/>
      <c r="CNR48" s="478"/>
      <c r="CNS48" s="478"/>
      <c r="CNT48" s="478"/>
      <c r="CNU48" s="478"/>
      <c r="CNV48" s="478"/>
      <c r="CNW48" s="478"/>
      <c r="CNX48" s="478"/>
      <c r="CNY48" s="478"/>
      <c r="CNZ48" s="478"/>
      <c r="COA48" s="478"/>
      <c r="COB48" s="478"/>
      <c r="COC48" s="478"/>
      <c r="COD48" s="478"/>
      <c r="COE48" s="478"/>
      <c r="COF48" s="478"/>
      <c r="COG48" s="478"/>
      <c r="COH48" s="478"/>
      <c r="COI48" s="478"/>
      <c r="COJ48" s="478"/>
      <c r="COK48" s="478"/>
      <c r="COL48" s="478"/>
      <c r="COM48" s="478"/>
      <c r="CON48" s="478"/>
      <c r="COO48" s="478"/>
      <c r="COP48" s="478"/>
      <c r="COQ48" s="478"/>
      <c r="COR48" s="478"/>
      <c r="COS48" s="478"/>
      <c r="COT48" s="478"/>
      <c r="COU48" s="478"/>
      <c r="COV48" s="478"/>
      <c r="COW48" s="478"/>
      <c r="COX48" s="478"/>
      <c r="COY48" s="478"/>
      <c r="COZ48" s="478"/>
      <c r="CPA48" s="478"/>
      <c r="CPB48" s="478"/>
      <c r="CPC48" s="478"/>
      <c r="CPD48" s="478"/>
      <c r="CPE48" s="478"/>
      <c r="CPF48" s="478"/>
      <c r="CPG48" s="478"/>
      <c r="CPH48" s="478"/>
      <c r="CPI48" s="478"/>
      <c r="CPJ48" s="478"/>
      <c r="CPK48" s="478"/>
      <c r="CPL48" s="478"/>
      <c r="CPM48" s="478"/>
      <c r="CPN48" s="478"/>
      <c r="CPO48" s="478"/>
      <c r="CPP48" s="478"/>
      <c r="CPQ48" s="478"/>
      <c r="CPR48" s="478"/>
      <c r="CPS48" s="478"/>
      <c r="CPT48" s="478"/>
      <c r="CPU48" s="478"/>
      <c r="CPV48" s="478"/>
      <c r="CPW48" s="478"/>
      <c r="CPX48" s="478"/>
      <c r="CPY48" s="478"/>
      <c r="CPZ48" s="478"/>
      <c r="CQA48" s="478"/>
      <c r="CQB48" s="478"/>
      <c r="CQC48" s="478"/>
      <c r="CQD48" s="478"/>
      <c r="CQE48" s="478"/>
      <c r="CQF48" s="478"/>
      <c r="CQG48" s="478"/>
      <c r="CQH48" s="478"/>
      <c r="CQI48" s="478"/>
      <c r="CQJ48" s="478"/>
      <c r="CQK48" s="478"/>
      <c r="CQL48" s="478"/>
      <c r="CQM48" s="478"/>
      <c r="CQN48" s="478"/>
      <c r="CQO48" s="478"/>
      <c r="CQP48" s="478"/>
      <c r="CQQ48" s="478"/>
      <c r="CQR48" s="478"/>
      <c r="CQS48" s="478"/>
      <c r="CQT48" s="478"/>
      <c r="CQU48" s="478"/>
      <c r="CQV48" s="478"/>
      <c r="CQW48" s="478"/>
      <c r="CQX48" s="478"/>
      <c r="CQY48" s="478"/>
      <c r="CQZ48" s="478"/>
      <c r="CRA48" s="478"/>
      <c r="CRB48" s="478"/>
      <c r="CRC48" s="478"/>
      <c r="CRD48" s="478"/>
      <c r="CRE48" s="478"/>
      <c r="CRF48" s="478"/>
      <c r="CRG48" s="478"/>
      <c r="CRH48" s="478"/>
      <c r="CRI48" s="478"/>
      <c r="CRJ48" s="478"/>
      <c r="CRK48" s="478"/>
      <c r="CRL48" s="478"/>
      <c r="CRM48" s="478"/>
      <c r="CRN48" s="478"/>
      <c r="CRO48" s="478"/>
      <c r="CRP48" s="478"/>
      <c r="CRQ48" s="478"/>
      <c r="CRR48" s="478"/>
      <c r="CRS48" s="478"/>
      <c r="CRT48" s="478"/>
      <c r="CRU48" s="478"/>
      <c r="CRV48" s="478"/>
      <c r="CRW48" s="478"/>
      <c r="CRX48" s="478"/>
      <c r="CRY48" s="478"/>
      <c r="CRZ48" s="478"/>
      <c r="CSA48" s="478"/>
      <c r="CSB48" s="478"/>
      <c r="CSC48" s="478"/>
      <c r="CSD48" s="478"/>
      <c r="CSE48" s="478"/>
      <c r="CSF48" s="478"/>
      <c r="CSG48" s="478"/>
      <c r="CSH48" s="478"/>
      <c r="CSI48" s="478"/>
      <c r="CSJ48" s="478"/>
      <c r="CSK48" s="478"/>
      <c r="CSL48" s="478"/>
      <c r="CSM48" s="478"/>
      <c r="CSN48" s="478"/>
      <c r="CSO48" s="478"/>
      <c r="CSP48" s="478"/>
      <c r="CSQ48" s="478"/>
      <c r="CSR48" s="478"/>
      <c r="CSS48" s="478"/>
      <c r="CST48" s="478"/>
      <c r="CSU48" s="478"/>
      <c r="CSV48" s="478"/>
      <c r="CSW48" s="478"/>
      <c r="CSX48" s="478"/>
      <c r="CSY48" s="478"/>
      <c r="CSZ48" s="478"/>
      <c r="CTA48" s="478"/>
      <c r="CTB48" s="478"/>
      <c r="CTC48" s="478"/>
      <c r="CTD48" s="478"/>
      <c r="CTE48" s="478"/>
      <c r="CTF48" s="478"/>
      <c r="CTG48" s="478"/>
      <c r="CTH48" s="478"/>
      <c r="CTI48" s="478"/>
      <c r="CTJ48" s="478"/>
      <c r="CTK48" s="478"/>
      <c r="CTL48" s="478"/>
      <c r="CTM48" s="478"/>
      <c r="CTN48" s="478"/>
      <c r="CTO48" s="478"/>
      <c r="CTP48" s="478"/>
      <c r="CTQ48" s="478"/>
      <c r="CTR48" s="478"/>
      <c r="CTS48" s="478"/>
      <c r="CTT48" s="478"/>
      <c r="CTU48" s="478"/>
      <c r="CTV48" s="478"/>
      <c r="CTW48" s="478"/>
      <c r="CTX48" s="478"/>
      <c r="CTY48" s="478"/>
      <c r="CTZ48" s="478"/>
      <c r="CUA48" s="478"/>
      <c r="CUB48" s="478"/>
      <c r="CUC48" s="478"/>
      <c r="CUD48" s="478"/>
      <c r="CUE48" s="478"/>
      <c r="CUF48" s="478"/>
      <c r="CUG48" s="478"/>
      <c r="CUH48" s="478"/>
      <c r="CUI48" s="478"/>
      <c r="CUJ48" s="478"/>
      <c r="CUK48" s="478"/>
      <c r="CUL48" s="478"/>
      <c r="CUM48" s="478"/>
      <c r="CUN48" s="478"/>
      <c r="CUO48" s="478"/>
      <c r="CUP48" s="478"/>
      <c r="CUQ48" s="478"/>
      <c r="CUR48" s="478"/>
      <c r="CUS48" s="478"/>
      <c r="CUT48" s="478"/>
      <c r="CUU48" s="478"/>
      <c r="CUV48" s="478"/>
      <c r="CUW48" s="478"/>
      <c r="CUX48" s="478"/>
      <c r="CUY48" s="478"/>
      <c r="CUZ48" s="478"/>
      <c r="CVA48" s="478"/>
      <c r="CVB48" s="478"/>
      <c r="CVC48" s="478"/>
      <c r="CVD48" s="478"/>
      <c r="CVE48" s="478"/>
      <c r="CVF48" s="478"/>
      <c r="CVG48" s="478"/>
      <c r="CVH48" s="478"/>
      <c r="CVI48" s="478"/>
      <c r="CVJ48" s="478"/>
      <c r="CVK48" s="478"/>
      <c r="CVL48" s="478"/>
      <c r="CVM48" s="478"/>
      <c r="CVN48" s="478"/>
      <c r="CVO48" s="478"/>
      <c r="CVP48" s="478"/>
      <c r="CVQ48" s="478"/>
      <c r="CVR48" s="478"/>
      <c r="CVS48" s="478"/>
      <c r="CVT48" s="478"/>
      <c r="CVU48" s="478"/>
      <c r="CVV48" s="478"/>
      <c r="CVW48" s="478"/>
      <c r="CVX48" s="478"/>
      <c r="CVY48" s="478"/>
      <c r="CVZ48" s="478"/>
      <c r="CWA48" s="478"/>
      <c r="CWB48" s="478"/>
      <c r="CWC48" s="478"/>
      <c r="CWD48" s="478"/>
      <c r="CWE48" s="478"/>
      <c r="CWF48" s="478"/>
      <c r="CWG48" s="478"/>
      <c r="CWH48" s="478"/>
      <c r="CWI48" s="478"/>
      <c r="CWJ48" s="478"/>
      <c r="CWK48" s="478"/>
      <c r="CWL48" s="478"/>
      <c r="CWM48" s="478"/>
      <c r="CWN48" s="478"/>
      <c r="CWO48" s="478"/>
      <c r="CWP48" s="478"/>
      <c r="CWQ48" s="478"/>
      <c r="CWR48" s="478"/>
      <c r="CWS48" s="478"/>
      <c r="CWT48" s="478"/>
      <c r="CWU48" s="478"/>
      <c r="CWV48" s="478"/>
      <c r="CWW48" s="478"/>
      <c r="CWX48" s="478"/>
      <c r="CWY48" s="478"/>
      <c r="CWZ48" s="478"/>
      <c r="CXA48" s="478"/>
      <c r="CXB48" s="478"/>
      <c r="CXC48" s="478"/>
      <c r="CXD48" s="478"/>
      <c r="CXE48" s="478"/>
      <c r="CXF48" s="478"/>
      <c r="CXG48" s="478"/>
      <c r="CXH48" s="478"/>
      <c r="CXI48" s="478"/>
      <c r="CXJ48" s="478"/>
      <c r="CXK48" s="478"/>
      <c r="CXL48" s="478"/>
      <c r="CXM48" s="478"/>
      <c r="CXN48" s="478"/>
      <c r="CXO48" s="478"/>
      <c r="CXP48" s="478"/>
      <c r="CXQ48" s="478"/>
      <c r="CXR48" s="478"/>
      <c r="CXS48" s="478"/>
      <c r="CXT48" s="478"/>
      <c r="CXU48" s="478"/>
      <c r="CXV48" s="478"/>
      <c r="CXW48" s="478"/>
      <c r="CXX48" s="478"/>
      <c r="CXY48" s="478"/>
      <c r="CXZ48" s="478"/>
      <c r="CYA48" s="478"/>
      <c r="CYB48" s="478"/>
      <c r="CYC48" s="478"/>
      <c r="CYD48" s="478"/>
      <c r="CYE48" s="478"/>
      <c r="CYF48" s="478"/>
      <c r="CYG48" s="478"/>
      <c r="CYH48" s="478"/>
      <c r="CYI48" s="478"/>
      <c r="CYJ48" s="478"/>
      <c r="CYK48" s="478"/>
      <c r="CYL48" s="478"/>
      <c r="CYM48" s="478"/>
      <c r="CYN48" s="478"/>
      <c r="CYO48" s="478"/>
      <c r="CYP48" s="478"/>
      <c r="CYQ48" s="478"/>
      <c r="CYR48" s="478"/>
      <c r="CYS48" s="478"/>
      <c r="CYT48" s="478"/>
      <c r="CYU48" s="478"/>
      <c r="CYV48" s="478"/>
      <c r="CYW48" s="478"/>
      <c r="CYX48" s="478"/>
      <c r="CYY48" s="478"/>
      <c r="CYZ48" s="478"/>
      <c r="CZA48" s="478"/>
      <c r="CZB48" s="478"/>
      <c r="CZC48" s="478"/>
      <c r="CZD48" s="478"/>
      <c r="CZE48" s="478"/>
      <c r="CZF48" s="478"/>
      <c r="CZG48" s="478"/>
      <c r="CZH48" s="478"/>
      <c r="CZI48" s="478"/>
      <c r="CZJ48" s="478"/>
      <c r="CZK48" s="478"/>
      <c r="CZL48" s="478"/>
      <c r="CZM48" s="478"/>
      <c r="CZN48" s="478"/>
      <c r="CZO48" s="478"/>
      <c r="CZP48" s="478"/>
      <c r="CZQ48" s="478"/>
      <c r="CZR48" s="478"/>
      <c r="CZS48" s="478"/>
      <c r="CZT48" s="478"/>
      <c r="CZU48" s="478"/>
      <c r="CZV48" s="478"/>
      <c r="CZW48" s="478"/>
      <c r="CZX48" s="478"/>
      <c r="CZY48" s="478"/>
      <c r="CZZ48" s="478"/>
      <c r="DAA48" s="478"/>
      <c r="DAB48" s="478"/>
      <c r="DAC48" s="478"/>
      <c r="DAD48" s="478"/>
      <c r="DAE48" s="478"/>
      <c r="DAF48" s="478"/>
      <c r="DAG48" s="478"/>
      <c r="DAH48" s="478"/>
      <c r="DAI48" s="478"/>
      <c r="DAJ48" s="478"/>
      <c r="DAK48" s="478"/>
      <c r="DAL48" s="478"/>
      <c r="DAM48" s="478"/>
      <c r="DAN48" s="478"/>
      <c r="DAO48" s="478"/>
      <c r="DAP48" s="478"/>
      <c r="DAQ48" s="478"/>
      <c r="DAR48" s="478"/>
      <c r="DAS48" s="478"/>
      <c r="DAT48" s="478"/>
      <c r="DAU48" s="478"/>
      <c r="DAV48" s="478"/>
      <c r="DAW48" s="478"/>
      <c r="DAX48" s="478"/>
      <c r="DAY48" s="478"/>
      <c r="DAZ48" s="478"/>
      <c r="DBA48" s="478"/>
      <c r="DBB48" s="478"/>
      <c r="DBC48" s="478"/>
      <c r="DBD48" s="478"/>
      <c r="DBE48" s="478"/>
      <c r="DBF48" s="478"/>
      <c r="DBG48" s="478"/>
      <c r="DBH48" s="478"/>
      <c r="DBI48" s="478"/>
      <c r="DBJ48" s="478"/>
      <c r="DBK48" s="478"/>
      <c r="DBL48" s="478"/>
      <c r="DBM48" s="478"/>
      <c r="DBN48" s="478"/>
      <c r="DBO48" s="478"/>
      <c r="DBP48" s="478"/>
      <c r="DBQ48" s="478"/>
      <c r="DBR48" s="478"/>
      <c r="DBS48" s="478"/>
      <c r="DBT48" s="478"/>
      <c r="DBU48" s="478"/>
      <c r="DBV48" s="478"/>
      <c r="DBW48" s="478"/>
      <c r="DBX48" s="478"/>
      <c r="DBY48" s="478"/>
      <c r="DBZ48" s="478"/>
      <c r="DCA48" s="478"/>
      <c r="DCB48" s="478"/>
      <c r="DCC48" s="478"/>
      <c r="DCD48" s="478"/>
      <c r="DCE48" s="478"/>
      <c r="DCF48" s="478"/>
      <c r="DCG48" s="478"/>
      <c r="DCH48" s="478"/>
      <c r="DCI48" s="478"/>
      <c r="DCJ48" s="478"/>
      <c r="DCK48" s="478"/>
      <c r="DCL48" s="478"/>
      <c r="DCM48" s="478"/>
      <c r="DCN48" s="478"/>
      <c r="DCO48" s="478"/>
      <c r="DCP48" s="478"/>
      <c r="DCQ48" s="478"/>
      <c r="DCR48" s="478"/>
      <c r="DCS48" s="478"/>
      <c r="DCT48" s="478"/>
      <c r="DCU48" s="478"/>
      <c r="DCV48" s="478"/>
      <c r="DCW48" s="478"/>
      <c r="DCX48" s="478"/>
      <c r="DCY48" s="478"/>
      <c r="DCZ48" s="478"/>
      <c r="DDA48" s="478"/>
      <c r="DDB48" s="478"/>
      <c r="DDC48" s="478"/>
      <c r="DDD48" s="478"/>
      <c r="DDE48" s="478"/>
      <c r="DDF48" s="478"/>
      <c r="DDG48" s="478"/>
      <c r="DDH48" s="478"/>
      <c r="DDI48" s="478"/>
      <c r="DDJ48" s="478"/>
      <c r="DDK48" s="478"/>
      <c r="DDL48" s="478"/>
      <c r="DDM48" s="478"/>
      <c r="DDN48" s="478"/>
      <c r="DDO48" s="478"/>
      <c r="DDP48" s="478"/>
      <c r="DDQ48" s="478"/>
      <c r="DDR48" s="478"/>
      <c r="DDS48" s="478"/>
      <c r="DDT48" s="478"/>
      <c r="DDU48" s="478"/>
      <c r="DDV48" s="478"/>
      <c r="DDW48" s="478"/>
      <c r="DDX48" s="478"/>
      <c r="DDY48" s="478"/>
      <c r="DDZ48" s="478"/>
      <c r="DEA48" s="478"/>
      <c r="DEB48" s="478"/>
      <c r="DEC48" s="478"/>
      <c r="DED48" s="478"/>
      <c r="DEE48" s="478"/>
      <c r="DEF48" s="478"/>
      <c r="DEG48" s="478"/>
      <c r="DEH48" s="478"/>
      <c r="DEI48" s="478"/>
      <c r="DEJ48" s="478"/>
      <c r="DEK48" s="478"/>
      <c r="DEL48" s="478"/>
      <c r="DEM48" s="478"/>
      <c r="DEN48" s="478"/>
      <c r="DEO48" s="478"/>
      <c r="DEP48" s="478"/>
      <c r="DEQ48" s="478"/>
      <c r="DER48" s="478"/>
      <c r="DES48" s="478"/>
      <c r="DET48" s="478"/>
      <c r="DEU48" s="478"/>
      <c r="DEV48" s="478"/>
      <c r="DEW48" s="478"/>
      <c r="DEX48" s="478"/>
      <c r="DEY48" s="478"/>
      <c r="DEZ48" s="478"/>
      <c r="DFA48" s="478"/>
      <c r="DFB48" s="478"/>
      <c r="DFC48" s="478"/>
      <c r="DFD48" s="478"/>
      <c r="DFE48" s="478"/>
      <c r="DFF48" s="478"/>
      <c r="DFG48" s="478"/>
      <c r="DFH48" s="478"/>
      <c r="DFI48" s="478"/>
      <c r="DFJ48" s="478"/>
      <c r="DFK48" s="478"/>
      <c r="DFL48" s="478"/>
      <c r="DFM48" s="478"/>
      <c r="DFN48" s="478"/>
      <c r="DFO48" s="478"/>
      <c r="DFP48" s="478"/>
      <c r="DFQ48" s="478"/>
      <c r="DFR48" s="478"/>
      <c r="DFS48" s="478"/>
      <c r="DFT48" s="478"/>
      <c r="DFU48" s="478"/>
      <c r="DFV48" s="478"/>
      <c r="DFW48" s="478"/>
      <c r="DFX48" s="478"/>
      <c r="DFY48" s="478"/>
      <c r="DFZ48" s="478"/>
      <c r="DGA48" s="478"/>
      <c r="DGB48" s="478"/>
      <c r="DGC48" s="478"/>
      <c r="DGD48" s="478"/>
      <c r="DGE48" s="478"/>
      <c r="DGF48" s="478"/>
      <c r="DGG48" s="478"/>
      <c r="DGH48" s="478"/>
      <c r="DGI48" s="478"/>
      <c r="DGJ48" s="478"/>
      <c r="DGK48" s="478"/>
      <c r="DGL48" s="478"/>
      <c r="DGM48" s="478"/>
      <c r="DGN48" s="478"/>
      <c r="DGO48" s="478"/>
      <c r="DGP48" s="478"/>
      <c r="DGQ48" s="478"/>
      <c r="DGR48" s="478"/>
      <c r="DGS48" s="478"/>
      <c r="DGT48" s="478"/>
      <c r="DGU48" s="478"/>
      <c r="DGV48" s="478"/>
      <c r="DGW48" s="478"/>
      <c r="DGX48" s="478"/>
      <c r="DGY48" s="478"/>
      <c r="DGZ48" s="478"/>
      <c r="DHA48" s="478"/>
      <c r="DHB48" s="478"/>
      <c r="DHC48" s="478"/>
      <c r="DHD48" s="478"/>
      <c r="DHE48" s="478"/>
      <c r="DHF48" s="478"/>
      <c r="DHG48" s="478"/>
      <c r="DHH48" s="478"/>
      <c r="DHI48" s="478"/>
      <c r="DHJ48" s="478"/>
      <c r="DHK48" s="478"/>
      <c r="DHL48" s="478"/>
      <c r="DHM48" s="478"/>
      <c r="DHN48" s="478"/>
      <c r="DHO48" s="478"/>
      <c r="DHP48" s="478"/>
      <c r="DHQ48" s="478"/>
      <c r="DHR48" s="478"/>
      <c r="DHS48" s="478"/>
      <c r="DHT48" s="478"/>
      <c r="DHU48" s="478"/>
      <c r="DHV48" s="478"/>
      <c r="DHW48" s="478"/>
      <c r="DHX48" s="478"/>
      <c r="DHY48" s="478"/>
      <c r="DHZ48" s="478"/>
      <c r="DIA48" s="478"/>
      <c r="DIB48" s="478"/>
      <c r="DIC48" s="478"/>
      <c r="DID48" s="478"/>
      <c r="DIE48" s="478"/>
      <c r="DIF48" s="478"/>
      <c r="DIG48" s="478"/>
      <c r="DIH48" s="478"/>
      <c r="DII48" s="478"/>
      <c r="DIJ48" s="478"/>
      <c r="DIK48" s="478"/>
      <c r="DIL48" s="478"/>
      <c r="DIM48" s="478"/>
      <c r="DIN48" s="478"/>
      <c r="DIO48" s="478"/>
      <c r="DIP48" s="478"/>
      <c r="DIQ48" s="478"/>
      <c r="DIR48" s="478"/>
      <c r="DIS48" s="478"/>
      <c r="DIT48" s="478"/>
      <c r="DIU48" s="478"/>
      <c r="DIV48" s="478"/>
      <c r="DIW48" s="478"/>
      <c r="DIX48" s="478"/>
      <c r="DIY48" s="478"/>
      <c r="DIZ48" s="478"/>
      <c r="DJA48" s="478"/>
      <c r="DJB48" s="478"/>
      <c r="DJC48" s="478"/>
      <c r="DJD48" s="478"/>
      <c r="DJE48" s="478"/>
      <c r="DJF48" s="478"/>
      <c r="DJG48" s="478"/>
      <c r="DJH48" s="478"/>
      <c r="DJI48" s="478"/>
      <c r="DJJ48" s="478"/>
      <c r="DJK48" s="478"/>
      <c r="DJL48" s="478"/>
      <c r="DJM48" s="478"/>
      <c r="DJN48" s="478"/>
      <c r="DJO48" s="478"/>
      <c r="DJP48" s="478"/>
      <c r="DJQ48" s="478"/>
      <c r="DJR48" s="478"/>
      <c r="DJS48" s="478"/>
      <c r="DJT48" s="478"/>
      <c r="DJU48" s="478"/>
      <c r="DJV48" s="478"/>
      <c r="DJW48" s="478"/>
      <c r="DJX48" s="478"/>
      <c r="DJY48" s="478"/>
      <c r="DJZ48" s="478"/>
      <c r="DKA48" s="478"/>
      <c r="DKB48" s="478"/>
      <c r="DKC48" s="478"/>
      <c r="DKD48" s="478"/>
      <c r="DKE48" s="478"/>
      <c r="DKF48" s="478"/>
      <c r="DKG48" s="478"/>
      <c r="DKH48" s="478"/>
      <c r="DKI48" s="478"/>
      <c r="DKJ48" s="478"/>
      <c r="DKK48" s="478"/>
      <c r="DKL48" s="478"/>
      <c r="DKM48" s="478"/>
      <c r="DKN48" s="478"/>
      <c r="DKO48" s="478"/>
      <c r="DKP48" s="478"/>
      <c r="DKQ48" s="478"/>
      <c r="DKR48" s="478"/>
      <c r="DKS48" s="478"/>
      <c r="DKT48" s="478"/>
      <c r="DKU48" s="478"/>
      <c r="DKV48" s="478"/>
      <c r="DKW48" s="478"/>
      <c r="DKX48" s="478"/>
      <c r="DKY48" s="478"/>
      <c r="DKZ48" s="478"/>
      <c r="DLA48" s="478"/>
      <c r="DLB48" s="478"/>
      <c r="DLC48" s="478"/>
      <c r="DLD48" s="478"/>
      <c r="DLE48" s="478"/>
      <c r="DLF48" s="478"/>
      <c r="DLG48" s="478"/>
      <c r="DLH48" s="478"/>
      <c r="DLI48" s="478"/>
      <c r="DLJ48" s="478"/>
      <c r="DLK48" s="478"/>
      <c r="DLL48" s="478"/>
      <c r="DLM48" s="478"/>
      <c r="DLN48" s="478"/>
      <c r="DLO48" s="478"/>
      <c r="DLP48" s="478"/>
      <c r="DLQ48" s="478"/>
      <c r="DLR48" s="478"/>
      <c r="DLS48" s="478"/>
      <c r="DLT48" s="478"/>
      <c r="DLU48" s="478"/>
      <c r="DLV48" s="478"/>
      <c r="DLW48" s="478"/>
      <c r="DLX48" s="478"/>
      <c r="DLY48" s="478"/>
      <c r="DLZ48" s="478"/>
      <c r="DMA48" s="478"/>
      <c r="DMB48" s="478"/>
      <c r="DMC48" s="478"/>
      <c r="DMD48" s="478"/>
      <c r="DME48" s="478"/>
      <c r="DMF48" s="478"/>
      <c r="DMG48" s="478"/>
      <c r="DMH48" s="478"/>
      <c r="DMI48" s="478"/>
      <c r="DMJ48" s="478"/>
      <c r="DMK48" s="478"/>
      <c r="DML48" s="478"/>
      <c r="DMM48" s="478"/>
      <c r="DMN48" s="478"/>
      <c r="DMO48" s="478"/>
      <c r="DMP48" s="478"/>
      <c r="DMQ48" s="478"/>
      <c r="DMR48" s="478"/>
      <c r="DMS48" s="478"/>
      <c r="DMT48" s="478"/>
      <c r="DMU48" s="478"/>
      <c r="DMV48" s="478"/>
      <c r="DMW48" s="478"/>
      <c r="DMX48" s="478"/>
      <c r="DMY48" s="478"/>
      <c r="DMZ48" s="478"/>
      <c r="DNA48" s="478"/>
      <c r="DNB48" s="478"/>
      <c r="DNC48" s="478"/>
      <c r="DND48" s="478"/>
      <c r="DNE48" s="478"/>
      <c r="DNF48" s="478"/>
      <c r="DNG48" s="478"/>
      <c r="DNH48" s="478"/>
      <c r="DNI48" s="478"/>
      <c r="DNJ48" s="478"/>
      <c r="DNK48" s="478"/>
      <c r="DNL48" s="478"/>
      <c r="DNM48" s="478"/>
      <c r="DNN48" s="478"/>
      <c r="DNO48" s="478"/>
      <c r="DNP48" s="478"/>
      <c r="DNQ48" s="478"/>
      <c r="DNR48" s="478"/>
      <c r="DNS48" s="478"/>
      <c r="DNT48" s="478"/>
      <c r="DNU48" s="478"/>
      <c r="DNV48" s="478"/>
      <c r="DNW48" s="478"/>
      <c r="DNX48" s="478"/>
      <c r="DNY48" s="478"/>
      <c r="DNZ48" s="478"/>
      <c r="DOA48" s="478"/>
      <c r="DOB48" s="478"/>
      <c r="DOC48" s="478"/>
      <c r="DOD48" s="478"/>
      <c r="DOE48" s="478"/>
      <c r="DOF48" s="478"/>
      <c r="DOG48" s="478"/>
      <c r="DOH48" s="478"/>
      <c r="DOI48" s="478"/>
      <c r="DOJ48" s="478"/>
      <c r="DOK48" s="478"/>
      <c r="DOL48" s="478"/>
      <c r="DOM48" s="478"/>
      <c r="DON48" s="478"/>
      <c r="DOO48" s="478"/>
      <c r="DOP48" s="478"/>
      <c r="DOQ48" s="478"/>
      <c r="DOR48" s="478"/>
      <c r="DOS48" s="478"/>
      <c r="DOT48" s="478"/>
      <c r="DOU48" s="478"/>
      <c r="DOV48" s="478"/>
      <c r="DOW48" s="478"/>
      <c r="DOX48" s="478"/>
      <c r="DOY48" s="478"/>
      <c r="DOZ48" s="478"/>
      <c r="DPA48" s="478"/>
      <c r="DPB48" s="478"/>
      <c r="DPC48" s="478"/>
      <c r="DPD48" s="478"/>
      <c r="DPE48" s="478"/>
      <c r="DPF48" s="478"/>
      <c r="DPG48" s="478"/>
      <c r="DPH48" s="478"/>
      <c r="DPI48" s="478"/>
      <c r="DPJ48" s="478"/>
      <c r="DPK48" s="478"/>
      <c r="DPL48" s="478"/>
      <c r="DPM48" s="478"/>
      <c r="DPN48" s="478"/>
      <c r="DPO48" s="478"/>
      <c r="DPP48" s="478"/>
      <c r="DPQ48" s="478"/>
      <c r="DPR48" s="478"/>
      <c r="DPS48" s="478"/>
      <c r="DPT48" s="478"/>
      <c r="DPU48" s="478"/>
      <c r="DPV48" s="478"/>
      <c r="DPW48" s="478"/>
      <c r="DPX48" s="478"/>
      <c r="DPY48" s="478"/>
      <c r="DPZ48" s="478"/>
      <c r="DQA48" s="478"/>
      <c r="DQB48" s="478"/>
      <c r="DQC48" s="478"/>
      <c r="DQD48" s="478"/>
      <c r="DQE48" s="478"/>
      <c r="DQF48" s="478"/>
      <c r="DQG48" s="478"/>
      <c r="DQH48" s="478"/>
      <c r="DQI48" s="478"/>
      <c r="DQJ48" s="478"/>
      <c r="DQK48" s="478"/>
      <c r="DQL48" s="478"/>
      <c r="DQM48" s="478"/>
      <c r="DQN48" s="478"/>
      <c r="DQO48" s="478"/>
      <c r="DQP48" s="478"/>
      <c r="DQQ48" s="478"/>
      <c r="DQR48" s="478"/>
      <c r="DQS48" s="478"/>
      <c r="DQT48" s="478"/>
      <c r="DQU48" s="478"/>
      <c r="DQV48" s="478"/>
      <c r="DQW48" s="478"/>
      <c r="DQX48" s="478"/>
      <c r="DQY48" s="478"/>
      <c r="DQZ48" s="478"/>
      <c r="DRA48" s="478"/>
      <c r="DRB48" s="478"/>
      <c r="DRC48" s="478"/>
      <c r="DRD48" s="478"/>
      <c r="DRE48" s="478"/>
      <c r="DRF48" s="478"/>
      <c r="DRG48" s="478"/>
      <c r="DRH48" s="478"/>
      <c r="DRI48" s="478"/>
      <c r="DRJ48" s="478"/>
      <c r="DRK48" s="478"/>
      <c r="DRL48" s="478"/>
      <c r="DRM48" s="478"/>
      <c r="DRN48" s="478"/>
      <c r="DRO48" s="478"/>
      <c r="DRP48" s="478"/>
      <c r="DRQ48" s="478"/>
      <c r="DRR48" s="478"/>
      <c r="DRS48" s="478"/>
      <c r="DRT48" s="478"/>
      <c r="DRU48" s="478"/>
      <c r="DRV48" s="478"/>
      <c r="DRW48" s="478"/>
      <c r="DRX48" s="478"/>
      <c r="DRY48" s="478"/>
      <c r="DRZ48" s="478"/>
      <c r="DSA48" s="478"/>
      <c r="DSB48" s="478"/>
      <c r="DSC48" s="478"/>
      <c r="DSD48" s="478"/>
      <c r="DSE48" s="478"/>
      <c r="DSF48" s="478"/>
      <c r="DSG48" s="478"/>
      <c r="DSH48" s="478"/>
      <c r="DSI48" s="478"/>
      <c r="DSJ48" s="478"/>
      <c r="DSK48" s="478"/>
      <c r="DSL48" s="478"/>
      <c r="DSM48" s="478"/>
      <c r="DSN48" s="478"/>
      <c r="DSO48" s="478"/>
      <c r="DSP48" s="478"/>
      <c r="DSQ48" s="478"/>
      <c r="DSR48" s="478"/>
      <c r="DSS48" s="478"/>
      <c r="DST48" s="478"/>
      <c r="DSU48" s="478"/>
      <c r="DSV48" s="478"/>
      <c r="DSW48" s="478"/>
      <c r="DSX48" s="478"/>
      <c r="DSY48" s="478"/>
      <c r="DSZ48" s="478"/>
      <c r="DTA48" s="478"/>
      <c r="DTB48" s="478"/>
      <c r="DTC48" s="478"/>
      <c r="DTD48" s="478"/>
      <c r="DTE48" s="478"/>
      <c r="DTF48" s="478"/>
      <c r="DTG48" s="478"/>
      <c r="DTH48" s="478"/>
      <c r="DTI48" s="478"/>
      <c r="DTJ48" s="478"/>
      <c r="DTK48" s="478"/>
      <c r="DTL48" s="478"/>
      <c r="DTM48" s="478"/>
      <c r="DTN48" s="478"/>
      <c r="DTO48" s="478"/>
      <c r="DTP48" s="478"/>
      <c r="DTQ48" s="478"/>
      <c r="DTR48" s="478"/>
      <c r="DTS48" s="478"/>
      <c r="DTT48" s="478"/>
      <c r="DTU48" s="478"/>
      <c r="DTV48" s="478"/>
      <c r="DTW48" s="478"/>
      <c r="DTX48" s="478"/>
      <c r="DTY48" s="478"/>
      <c r="DTZ48" s="478"/>
      <c r="DUA48" s="478"/>
      <c r="DUB48" s="478"/>
      <c r="DUC48" s="478"/>
      <c r="DUD48" s="478"/>
      <c r="DUE48" s="478"/>
      <c r="DUF48" s="478"/>
      <c r="DUG48" s="478"/>
      <c r="DUH48" s="478"/>
      <c r="DUI48" s="478"/>
      <c r="DUJ48" s="478"/>
      <c r="DUK48" s="478"/>
      <c r="DUL48" s="478"/>
      <c r="DUM48" s="478"/>
      <c r="DUN48" s="478"/>
      <c r="DUO48" s="478"/>
      <c r="DUP48" s="478"/>
      <c r="DUQ48" s="478"/>
      <c r="DUR48" s="478"/>
      <c r="DUS48" s="478"/>
      <c r="DUT48" s="478"/>
      <c r="DUU48" s="478"/>
      <c r="DUV48" s="478"/>
      <c r="DUW48" s="478"/>
      <c r="DUX48" s="478"/>
      <c r="DUY48" s="478"/>
      <c r="DUZ48" s="478"/>
      <c r="DVA48" s="478"/>
      <c r="DVB48" s="478"/>
      <c r="DVC48" s="478"/>
      <c r="DVD48" s="478"/>
      <c r="DVE48" s="478"/>
      <c r="DVF48" s="478"/>
      <c r="DVG48" s="478"/>
      <c r="DVH48" s="478"/>
      <c r="DVI48" s="478"/>
      <c r="DVJ48" s="478"/>
      <c r="DVK48" s="478"/>
      <c r="DVL48" s="478"/>
      <c r="DVM48" s="478"/>
      <c r="DVN48" s="478"/>
      <c r="DVO48" s="478"/>
      <c r="DVP48" s="478"/>
      <c r="DVQ48" s="478"/>
      <c r="DVR48" s="478"/>
      <c r="DVS48" s="478"/>
      <c r="DVT48" s="478"/>
      <c r="DVU48" s="478"/>
      <c r="DVV48" s="478"/>
      <c r="DVW48" s="478"/>
      <c r="DVX48" s="478"/>
      <c r="DVY48" s="478"/>
      <c r="DVZ48" s="478"/>
      <c r="DWA48" s="478"/>
      <c r="DWB48" s="478"/>
      <c r="DWC48" s="478"/>
      <c r="DWD48" s="478"/>
      <c r="DWE48" s="478"/>
      <c r="DWF48" s="478"/>
      <c r="DWG48" s="478"/>
      <c r="DWH48" s="478"/>
      <c r="DWI48" s="478"/>
      <c r="DWJ48" s="478"/>
      <c r="DWK48" s="478"/>
      <c r="DWL48" s="478"/>
      <c r="DWM48" s="478"/>
      <c r="DWN48" s="478"/>
      <c r="DWO48" s="478"/>
      <c r="DWP48" s="478"/>
      <c r="DWQ48" s="478"/>
      <c r="DWR48" s="478"/>
      <c r="DWS48" s="478"/>
      <c r="DWT48" s="478"/>
      <c r="DWU48" s="478"/>
      <c r="DWV48" s="478"/>
      <c r="DWW48" s="478"/>
      <c r="DWX48" s="478"/>
      <c r="DWY48" s="478"/>
      <c r="DWZ48" s="478"/>
      <c r="DXA48" s="478"/>
      <c r="DXB48" s="478"/>
      <c r="DXC48" s="478"/>
      <c r="DXD48" s="478"/>
      <c r="DXE48" s="478"/>
      <c r="DXF48" s="478"/>
      <c r="DXG48" s="478"/>
      <c r="DXH48" s="478"/>
      <c r="DXI48" s="478"/>
      <c r="DXJ48" s="478"/>
      <c r="DXK48" s="478"/>
      <c r="DXL48" s="478"/>
      <c r="DXM48" s="478"/>
      <c r="DXN48" s="478"/>
      <c r="DXO48" s="478"/>
      <c r="DXP48" s="478"/>
      <c r="DXQ48" s="478"/>
      <c r="DXR48" s="478"/>
      <c r="DXS48" s="478"/>
      <c r="DXT48" s="478"/>
      <c r="DXU48" s="478"/>
      <c r="DXV48" s="478"/>
      <c r="DXW48" s="478"/>
      <c r="DXX48" s="478"/>
      <c r="DXY48" s="478"/>
      <c r="DXZ48" s="478"/>
      <c r="DYA48" s="478"/>
      <c r="DYB48" s="478"/>
      <c r="DYC48" s="478"/>
      <c r="DYD48" s="478"/>
      <c r="DYE48" s="478"/>
      <c r="DYF48" s="478"/>
      <c r="DYG48" s="478"/>
      <c r="DYH48" s="478"/>
      <c r="DYI48" s="478"/>
      <c r="DYJ48" s="478"/>
      <c r="DYK48" s="478"/>
      <c r="DYL48" s="478"/>
      <c r="DYM48" s="478"/>
      <c r="DYN48" s="478"/>
      <c r="DYO48" s="478"/>
      <c r="DYP48" s="478"/>
      <c r="DYQ48" s="478"/>
      <c r="DYR48" s="478"/>
      <c r="DYS48" s="478"/>
      <c r="DYT48" s="478"/>
      <c r="DYU48" s="478"/>
      <c r="DYV48" s="478"/>
      <c r="DYW48" s="478"/>
      <c r="DYX48" s="478"/>
      <c r="DYY48" s="478"/>
      <c r="DYZ48" s="478"/>
      <c r="DZA48" s="478"/>
      <c r="DZB48" s="478"/>
      <c r="DZC48" s="478"/>
      <c r="DZD48" s="478"/>
      <c r="DZE48" s="478"/>
      <c r="DZF48" s="478"/>
      <c r="DZG48" s="478"/>
      <c r="DZH48" s="478"/>
      <c r="DZI48" s="478"/>
      <c r="DZJ48" s="478"/>
      <c r="DZK48" s="478"/>
      <c r="DZL48" s="478"/>
      <c r="DZM48" s="478"/>
      <c r="DZN48" s="478"/>
      <c r="DZO48" s="478"/>
      <c r="DZP48" s="478"/>
      <c r="DZQ48" s="478"/>
      <c r="DZR48" s="478"/>
      <c r="DZS48" s="478"/>
      <c r="DZT48" s="478"/>
      <c r="DZU48" s="478"/>
      <c r="DZV48" s="478"/>
      <c r="DZW48" s="478"/>
      <c r="DZX48" s="478"/>
      <c r="DZY48" s="478"/>
      <c r="DZZ48" s="478"/>
      <c r="EAA48" s="478"/>
      <c r="EAB48" s="478"/>
      <c r="EAC48" s="478"/>
      <c r="EAD48" s="478"/>
      <c r="EAE48" s="478"/>
      <c r="EAF48" s="478"/>
      <c r="EAG48" s="478"/>
      <c r="EAH48" s="478"/>
      <c r="EAI48" s="478"/>
      <c r="EAJ48" s="478"/>
      <c r="EAK48" s="478"/>
      <c r="EAL48" s="478"/>
      <c r="EAM48" s="478"/>
      <c r="EAN48" s="478"/>
      <c r="EAO48" s="478"/>
      <c r="EAP48" s="478"/>
      <c r="EAQ48" s="478"/>
      <c r="EAR48" s="478"/>
      <c r="EAS48" s="478"/>
      <c r="EAT48" s="478"/>
      <c r="EAU48" s="478"/>
      <c r="EAV48" s="478"/>
      <c r="EAW48" s="478"/>
      <c r="EAX48" s="478"/>
      <c r="EAY48" s="478"/>
      <c r="EAZ48" s="478"/>
      <c r="EBA48" s="478"/>
      <c r="EBB48" s="478"/>
      <c r="EBC48" s="478"/>
      <c r="EBD48" s="478"/>
      <c r="EBE48" s="478"/>
      <c r="EBF48" s="478"/>
      <c r="EBG48" s="478"/>
      <c r="EBH48" s="478"/>
      <c r="EBI48" s="478"/>
      <c r="EBJ48" s="478"/>
      <c r="EBK48" s="478"/>
      <c r="EBL48" s="478"/>
      <c r="EBM48" s="478"/>
      <c r="EBN48" s="478"/>
      <c r="EBO48" s="478"/>
      <c r="EBP48" s="478"/>
      <c r="EBQ48" s="478"/>
      <c r="EBR48" s="478"/>
      <c r="EBS48" s="478"/>
      <c r="EBT48" s="478"/>
      <c r="EBU48" s="478"/>
      <c r="EBV48" s="478"/>
      <c r="EBW48" s="478"/>
      <c r="EBX48" s="478"/>
      <c r="EBY48" s="478"/>
      <c r="EBZ48" s="478"/>
      <c r="ECA48" s="478"/>
      <c r="ECB48" s="478"/>
      <c r="ECC48" s="478"/>
      <c r="ECD48" s="478"/>
      <c r="ECE48" s="478"/>
      <c r="ECF48" s="478"/>
      <c r="ECG48" s="478"/>
      <c r="ECH48" s="478"/>
      <c r="ECI48" s="478"/>
      <c r="ECJ48" s="478"/>
      <c r="ECK48" s="478"/>
      <c r="ECL48" s="478"/>
      <c r="ECM48" s="478"/>
      <c r="ECN48" s="478"/>
      <c r="ECO48" s="478"/>
      <c r="ECP48" s="478"/>
      <c r="ECQ48" s="478"/>
      <c r="ECR48" s="478"/>
      <c r="ECS48" s="478"/>
      <c r="ECT48" s="478"/>
      <c r="ECU48" s="478"/>
      <c r="ECV48" s="478"/>
      <c r="ECW48" s="478"/>
      <c r="ECX48" s="478"/>
      <c r="ECY48" s="478"/>
      <c r="ECZ48" s="478"/>
      <c r="EDA48" s="478"/>
      <c r="EDB48" s="478"/>
      <c r="EDC48" s="478"/>
      <c r="EDD48" s="478"/>
      <c r="EDE48" s="478"/>
      <c r="EDF48" s="478"/>
      <c r="EDG48" s="478"/>
      <c r="EDH48" s="478"/>
      <c r="EDI48" s="478"/>
      <c r="EDJ48" s="478"/>
      <c r="EDK48" s="478"/>
      <c r="EDL48" s="478"/>
      <c r="EDM48" s="478"/>
      <c r="EDN48" s="478"/>
      <c r="EDO48" s="478"/>
      <c r="EDP48" s="478"/>
      <c r="EDQ48" s="478"/>
      <c r="EDR48" s="478"/>
      <c r="EDS48" s="478"/>
      <c r="EDT48" s="478"/>
      <c r="EDU48" s="478"/>
      <c r="EDV48" s="478"/>
      <c r="EDW48" s="478"/>
      <c r="EDX48" s="478"/>
      <c r="EDY48" s="478"/>
      <c r="EDZ48" s="478"/>
      <c r="EEA48" s="478"/>
      <c r="EEB48" s="478"/>
      <c r="EEC48" s="478"/>
      <c r="EED48" s="478"/>
      <c r="EEE48" s="478"/>
      <c r="EEF48" s="478"/>
      <c r="EEG48" s="478"/>
      <c r="EEH48" s="478"/>
      <c r="EEI48" s="478"/>
      <c r="EEJ48" s="478"/>
      <c r="EEK48" s="478"/>
      <c r="EEL48" s="478"/>
      <c r="EEM48" s="478"/>
      <c r="EEN48" s="478"/>
      <c r="EEO48" s="478"/>
      <c r="EEP48" s="478"/>
      <c r="EEQ48" s="478"/>
      <c r="EER48" s="478"/>
      <c r="EES48" s="478"/>
      <c r="EET48" s="478"/>
      <c r="EEU48" s="478"/>
      <c r="EEV48" s="478"/>
      <c r="EEW48" s="478"/>
      <c r="EEX48" s="478"/>
      <c r="EEY48" s="478"/>
      <c r="EEZ48" s="478"/>
      <c r="EFA48" s="478"/>
      <c r="EFB48" s="478"/>
      <c r="EFC48" s="478"/>
      <c r="EFD48" s="478"/>
      <c r="EFE48" s="478"/>
      <c r="EFF48" s="478"/>
      <c r="EFG48" s="478"/>
      <c r="EFH48" s="478"/>
      <c r="EFI48" s="478"/>
      <c r="EFJ48" s="478"/>
      <c r="EFK48" s="478"/>
      <c r="EFL48" s="478"/>
      <c r="EFM48" s="478"/>
      <c r="EFN48" s="478"/>
      <c r="EFO48" s="478"/>
      <c r="EFP48" s="478"/>
      <c r="EFQ48" s="478"/>
      <c r="EFR48" s="478"/>
      <c r="EFS48" s="478"/>
      <c r="EFT48" s="478"/>
      <c r="EFU48" s="478"/>
      <c r="EFV48" s="478"/>
      <c r="EFW48" s="478"/>
      <c r="EFX48" s="478"/>
      <c r="EFY48" s="478"/>
      <c r="EFZ48" s="478"/>
      <c r="EGA48" s="478"/>
      <c r="EGB48" s="478"/>
      <c r="EGC48" s="478"/>
      <c r="EGD48" s="478"/>
      <c r="EGE48" s="478"/>
      <c r="EGF48" s="478"/>
      <c r="EGG48" s="478"/>
      <c r="EGH48" s="478"/>
      <c r="EGI48" s="478"/>
      <c r="EGJ48" s="478"/>
      <c r="EGK48" s="478"/>
      <c r="EGL48" s="478"/>
      <c r="EGM48" s="478"/>
      <c r="EGN48" s="478"/>
      <c r="EGO48" s="478"/>
      <c r="EGP48" s="478"/>
      <c r="EGQ48" s="478"/>
      <c r="EGR48" s="478"/>
      <c r="EGS48" s="478"/>
      <c r="EGT48" s="478"/>
      <c r="EGU48" s="478"/>
      <c r="EGV48" s="478"/>
      <c r="EGW48" s="478"/>
      <c r="EGX48" s="478"/>
      <c r="EGY48" s="478"/>
      <c r="EGZ48" s="478"/>
      <c r="EHA48" s="478"/>
      <c r="EHB48" s="478"/>
      <c r="EHC48" s="478"/>
      <c r="EHD48" s="478"/>
      <c r="EHE48" s="478"/>
      <c r="EHF48" s="478"/>
      <c r="EHG48" s="478"/>
      <c r="EHH48" s="478"/>
      <c r="EHI48" s="478"/>
      <c r="EHJ48" s="478"/>
      <c r="EHK48" s="478"/>
      <c r="EHL48" s="478"/>
      <c r="EHM48" s="478"/>
      <c r="EHN48" s="478"/>
      <c r="EHO48" s="478"/>
      <c r="EHP48" s="478"/>
      <c r="EHQ48" s="478"/>
      <c r="EHR48" s="478"/>
      <c r="EHS48" s="478"/>
      <c r="EHT48" s="478"/>
      <c r="EHU48" s="478"/>
      <c r="EHV48" s="478"/>
      <c r="EHW48" s="478"/>
      <c r="EHX48" s="478"/>
      <c r="EHY48" s="478"/>
      <c r="EHZ48" s="478"/>
      <c r="EIA48" s="478"/>
      <c r="EIB48" s="478"/>
      <c r="EIC48" s="478"/>
      <c r="EID48" s="478"/>
      <c r="EIE48" s="478"/>
      <c r="EIF48" s="478"/>
      <c r="EIG48" s="478"/>
      <c r="EIH48" s="478"/>
      <c r="EII48" s="478"/>
      <c r="EIJ48" s="478"/>
      <c r="EIK48" s="478"/>
      <c r="EIL48" s="478"/>
      <c r="EIM48" s="478"/>
      <c r="EIN48" s="478"/>
      <c r="EIO48" s="478"/>
      <c r="EIP48" s="478"/>
      <c r="EIQ48" s="478"/>
      <c r="EIR48" s="478"/>
      <c r="EIS48" s="478"/>
      <c r="EIT48" s="478"/>
      <c r="EIU48" s="478"/>
      <c r="EIV48" s="478"/>
      <c r="EIW48" s="478"/>
      <c r="EIX48" s="478"/>
      <c r="EIY48" s="478"/>
      <c r="EIZ48" s="478"/>
      <c r="EJA48" s="478"/>
      <c r="EJB48" s="478"/>
      <c r="EJC48" s="478"/>
      <c r="EJD48" s="478"/>
      <c r="EJE48" s="478"/>
      <c r="EJF48" s="478"/>
      <c r="EJG48" s="478"/>
      <c r="EJH48" s="478"/>
      <c r="EJI48" s="478"/>
      <c r="EJJ48" s="478"/>
      <c r="EJK48" s="478"/>
      <c r="EJL48" s="478"/>
      <c r="EJM48" s="478"/>
      <c r="EJN48" s="478"/>
      <c r="EJO48" s="478"/>
      <c r="EJP48" s="478"/>
      <c r="EJQ48" s="478"/>
      <c r="EJR48" s="478"/>
      <c r="EJS48" s="478"/>
      <c r="EJT48" s="478"/>
      <c r="EJU48" s="478"/>
      <c r="EJV48" s="478"/>
      <c r="EJW48" s="478"/>
      <c r="EJX48" s="478"/>
      <c r="EJY48" s="478"/>
      <c r="EJZ48" s="478"/>
      <c r="EKA48" s="478"/>
      <c r="EKB48" s="478"/>
      <c r="EKC48" s="478"/>
      <c r="EKD48" s="478"/>
      <c r="EKE48" s="478"/>
      <c r="EKF48" s="478"/>
      <c r="EKG48" s="478"/>
      <c r="EKH48" s="478"/>
      <c r="EKI48" s="478"/>
      <c r="EKJ48" s="478"/>
      <c r="EKK48" s="478"/>
      <c r="EKL48" s="478"/>
      <c r="EKM48" s="478"/>
      <c r="EKN48" s="478"/>
      <c r="EKO48" s="478"/>
      <c r="EKP48" s="478"/>
      <c r="EKQ48" s="478"/>
      <c r="EKR48" s="478"/>
      <c r="EKS48" s="478"/>
      <c r="EKT48" s="478"/>
      <c r="EKU48" s="478"/>
      <c r="EKV48" s="478"/>
      <c r="EKW48" s="478"/>
      <c r="EKX48" s="478"/>
      <c r="EKY48" s="478"/>
      <c r="EKZ48" s="478"/>
      <c r="ELA48" s="478"/>
      <c r="ELB48" s="478"/>
      <c r="ELC48" s="478"/>
      <c r="ELD48" s="478"/>
      <c r="ELE48" s="478"/>
      <c r="ELF48" s="478"/>
      <c r="ELG48" s="478"/>
      <c r="ELH48" s="478"/>
      <c r="ELI48" s="478"/>
      <c r="ELJ48" s="478"/>
      <c r="ELK48" s="478"/>
      <c r="ELL48" s="478"/>
      <c r="ELM48" s="478"/>
      <c r="ELN48" s="478"/>
      <c r="ELO48" s="478"/>
      <c r="ELP48" s="478"/>
      <c r="ELQ48" s="478"/>
      <c r="ELR48" s="478"/>
      <c r="ELS48" s="478"/>
      <c r="ELT48" s="478"/>
      <c r="ELU48" s="478"/>
      <c r="ELV48" s="478"/>
      <c r="ELW48" s="478"/>
      <c r="ELX48" s="478"/>
      <c r="ELY48" s="478"/>
      <c r="ELZ48" s="478"/>
      <c r="EMA48" s="478"/>
      <c r="EMB48" s="478"/>
      <c r="EMC48" s="478"/>
      <c r="EMD48" s="478"/>
      <c r="EME48" s="478"/>
      <c r="EMF48" s="478"/>
      <c r="EMG48" s="478"/>
      <c r="EMH48" s="478"/>
      <c r="EMI48" s="478"/>
      <c r="EMJ48" s="478"/>
      <c r="EMK48" s="478"/>
      <c r="EML48" s="478"/>
      <c r="EMM48" s="478"/>
      <c r="EMN48" s="478"/>
      <c r="EMO48" s="478"/>
      <c r="EMP48" s="478"/>
      <c r="EMQ48" s="478"/>
      <c r="EMR48" s="478"/>
      <c r="EMS48" s="478"/>
      <c r="EMT48" s="478"/>
      <c r="EMU48" s="478"/>
      <c r="EMV48" s="478"/>
      <c r="EMW48" s="478"/>
      <c r="EMX48" s="478"/>
      <c r="EMY48" s="478"/>
      <c r="EMZ48" s="478"/>
      <c r="ENA48" s="478"/>
      <c r="ENB48" s="478"/>
      <c r="ENC48" s="478"/>
      <c r="END48" s="478"/>
      <c r="ENE48" s="478"/>
      <c r="ENF48" s="478"/>
      <c r="ENG48" s="478"/>
      <c r="ENH48" s="478"/>
      <c r="ENI48" s="478"/>
      <c r="ENJ48" s="478"/>
      <c r="ENK48" s="478"/>
      <c r="ENL48" s="478"/>
      <c r="ENM48" s="478"/>
      <c r="ENN48" s="478"/>
      <c r="ENO48" s="478"/>
      <c r="ENP48" s="478"/>
      <c r="ENQ48" s="478"/>
      <c r="ENR48" s="478"/>
      <c r="ENS48" s="478"/>
      <c r="ENT48" s="478"/>
      <c r="ENU48" s="478"/>
      <c r="ENV48" s="478"/>
      <c r="ENW48" s="478"/>
      <c r="ENX48" s="478"/>
      <c r="ENY48" s="478"/>
      <c r="ENZ48" s="478"/>
      <c r="EOA48" s="478"/>
      <c r="EOB48" s="478"/>
      <c r="EOC48" s="478"/>
      <c r="EOD48" s="478"/>
      <c r="EOE48" s="478"/>
      <c r="EOF48" s="478"/>
      <c r="EOG48" s="478"/>
      <c r="EOH48" s="478"/>
      <c r="EOI48" s="478"/>
      <c r="EOJ48" s="478"/>
      <c r="EOK48" s="478"/>
      <c r="EOL48" s="478"/>
      <c r="EOM48" s="478"/>
      <c r="EON48" s="478"/>
      <c r="EOO48" s="478"/>
      <c r="EOP48" s="478"/>
      <c r="EOQ48" s="478"/>
      <c r="EOR48" s="478"/>
      <c r="EOS48" s="478"/>
      <c r="EOT48" s="478"/>
      <c r="EOU48" s="478"/>
      <c r="EOV48" s="478"/>
      <c r="EOW48" s="478"/>
      <c r="EOX48" s="478"/>
      <c r="EOY48" s="478"/>
      <c r="EOZ48" s="478"/>
      <c r="EPA48" s="478"/>
      <c r="EPB48" s="478"/>
      <c r="EPC48" s="478"/>
      <c r="EPD48" s="478"/>
      <c r="EPE48" s="478"/>
      <c r="EPF48" s="478"/>
      <c r="EPG48" s="478"/>
      <c r="EPH48" s="478"/>
      <c r="EPI48" s="478"/>
      <c r="EPJ48" s="478"/>
      <c r="EPK48" s="478"/>
      <c r="EPL48" s="478"/>
      <c r="EPM48" s="478"/>
      <c r="EPN48" s="478"/>
      <c r="EPO48" s="478"/>
      <c r="EPP48" s="478"/>
      <c r="EPQ48" s="478"/>
      <c r="EPR48" s="478"/>
      <c r="EPS48" s="478"/>
      <c r="EPT48" s="478"/>
      <c r="EPU48" s="478"/>
      <c r="EPV48" s="478"/>
      <c r="EPW48" s="478"/>
      <c r="EPX48" s="478"/>
      <c r="EPY48" s="478"/>
      <c r="EPZ48" s="478"/>
      <c r="EQA48" s="478"/>
      <c r="EQB48" s="478"/>
      <c r="EQC48" s="478"/>
      <c r="EQD48" s="478"/>
      <c r="EQE48" s="478"/>
      <c r="EQF48" s="478"/>
      <c r="EQG48" s="478"/>
      <c r="EQH48" s="478"/>
      <c r="EQI48" s="478"/>
      <c r="EQJ48" s="478"/>
      <c r="EQK48" s="478"/>
      <c r="EQL48" s="478"/>
      <c r="EQM48" s="478"/>
      <c r="EQN48" s="478"/>
      <c r="EQO48" s="478"/>
      <c r="EQP48" s="478"/>
      <c r="EQQ48" s="478"/>
      <c r="EQR48" s="478"/>
      <c r="EQS48" s="478"/>
      <c r="EQT48" s="478"/>
      <c r="EQU48" s="478"/>
      <c r="EQV48" s="478"/>
      <c r="EQW48" s="478"/>
      <c r="EQX48" s="478"/>
      <c r="EQY48" s="478"/>
      <c r="EQZ48" s="478"/>
      <c r="ERA48" s="478"/>
      <c r="ERB48" s="478"/>
      <c r="ERC48" s="478"/>
      <c r="ERD48" s="478"/>
      <c r="ERE48" s="478"/>
      <c r="ERF48" s="478"/>
      <c r="ERG48" s="478"/>
      <c r="ERH48" s="478"/>
      <c r="ERI48" s="478"/>
      <c r="ERJ48" s="478"/>
      <c r="ERK48" s="478"/>
      <c r="ERL48" s="478"/>
      <c r="ERM48" s="478"/>
      <c r="ERN48" s="478"/>
      <c r="ERO48" s="478"/>
      <c r="ERP48" s="478"/>
      <c r="ERQ48" s="478"/>
      <c r="ERR48" s="478"/>
      <c r="ERS48" s="478"/>
      <c r="ERT48" s="478"/>
      <c r="ERU48" s="478"/>
      <c r="ERV48" s="478"/>
      <c r="ERW48" s="478"/>
      <c r="ERX48" s="478"/>
      <c r="ERY48" s="478"/>
      <c r="ERZ48" s="478"/>
      <c r="ESA48" s="478"/>
      <c r="ESB48" s="478"/>
      <c r="ESC48" s="478"/>
      <c r="ESD48" s="478"/>
      <c r="ESE48" s="478"/>
      <c r="ESF48" s="478"/>
      <c r="ESG48" s="478"/>
      <c r="ESH48" s="478"/>
      <c r="ESI48" s="478"/>
      <c r="ESJ48" s="478"/>
      <c r="ESK48" s="478"/>
      <c r="ESL48" s="478"/>
      <c r="ESM48" s="478"/>
      <c r="ESN48" s="478"/>
      <c r="ESO48" s="478"/>
      <c r="ESP48" s="478"/>
      <c r="ESQ48" s="478"/>
      <c r="ESR48" s="478"/>
      <c r="ESS48" s="478"/>
      <c r="EST48" s="478"/>
      <c r="ESU48" s="478"/>
      <c r="ESV48" s="478"/>
      <c r="ESW48" s="478"/>
      <c r="ESX48" s="478"/>
      <c r="ESY48" s="478"/>
      <c r="ESZ48" s="478"/>
      <c r="ETA48" s="478"/>
      <c r="ETB48" s="478"/>
      <c r="ETC48" s="478"/>
      <c r="ETD48" s="478"/>
      <c r="ETE48" s="478"/>
      <c r="ETF48" s="478"/>
      <c r="ETG48" s="478"/>
      <c r="ETH48" s="478"/>
      <c r="ETI48" s="478"/>
      <c r="ETJ48" s="478"/>
      <c r="ETK48" s="478"/>
      <c r="ETL48" s="478"/>
      <c r="ETM48" s="478"/>
      <c r="ETN48" s="478"/>
      <c r="ETO48" s="478"/>
      <c r="ETP48" s="478"/>
      <c r="ETQ48" s="478"/>
      <c r="ETR48" s="478"/>
      <c r="ETS48" s="478"/>
      <c r="ETT48" s="478"/>
      <c r="ETU48" s="478"/>
      <c r="ETV48" s="478"/>
      <c r="ETW48" s="478"/>
      <c r="ETX48" s="478"/>
      <c r="ETY48" s="478"/>
      <c r="ETZ48" s="478"/>
      <c r="EUA48" s="478"/>
      <c r="EUB48" s="478"/>
      <c r="EUC48" s="478"/>
      <c r="EUD48" s="478"/>
      <c r="EUE48" s="478"/>
      <c r="EUF48" s="478"/>
      <c r="EUG48" s="478"/>
      <c r="EUH48" s="478"/>
      <c r="EUI48" s="478"/>
      <c r="EUJ48" s="478"/>
      <c r="EUK48" s="478"/>
      <c r="EUL48" s="478"/>
      <c r="EUM48" s="478"/>
      <c r="EUN48" s="478"/>
      <c r="EUO48" s="478"/>
      <c r="EUP48" s="478"/>
      <c r="EUQ48" s="478"/>
      <c r="EUR48" s="478"/>
      <c r="EUS48" s="478"/>
      <c r="EUT48" s="478"/>
      <c r="EUU48" s="478"/>
      <c r="EUV48" s="478"/>
      <c r="EUW48" s="478"/>
      <c r="EUX48" s="478"/>
      <c r="EUY48" s="478"/>
      <c r="EUZ48" s="478"/>
      <c r="EVA48" s="478"/>
      <c r="EVB48" s="478"/>
      <c r="EVC48" s="478"/>
      <c r="EVD48" s="478"/>
      <c r="EVE48" s="478"/>
      <c r="EVF48" s="478"/>
      <c r="EVG48" s="478"/>
      <c r="EVH48" s="478"/>
      <c r="EVI48" s="478"/>
      <c r="EVJ48" s="478"/>
      <c r="EVK48" s="478"/>
      <c r="EVL48" s="478"/>
      <c r="EVM48" s="478"/>
      <c r="EVN48" s="478"/>
      <c r="EVO48" s="478"/>
      <c r="EVP48" s="478"/>
      <c r="EVQ48" s="478"/>
      <c r="EVR48" s="478"/>
      <c r="EVS48" s="478"/>
      <c r="EVT48" s="478"/>
      <c r="EVU48" s="478"/>
      <c r="EVV48" s="478"/>
      <c r="EVW48" s="478"/>
      <c r="EVX48" s="478"/>
      <c r="EVY48" s="478"/>
      <c r="EVZ48" s="478"/>
      <c r="EWA48" s="478"/>
      <c r="EWB48" s="478"/>
      <c r="EWC48" s="478"/>
      <c r="EWD48" s="478"/>
      <c r="EWE48" s="478"/>
      <c r="EWF48" s="478"/>
      <c r="EWG48" s="478"/>
      <c r="EWH48" s="478"/>
      <c r="EWI48" s="478"/>
      <c r="EWJ48" s="478"/>
      <c r="EWK48" s="478"/>
      <c r="EWL48" s="478"/>
      <c r="EWM48" s="478"/>
      <c r="EWN48" s="478"/>
      <c r="EWO48" s="478"/>
      <c r="EWP48" s="478"/>
      <c r="EWQ48" s="478"/>
      <c r="EWR48" s="478"/>
      <c r="EWS48" s="478"/>
      <c r="EWT48" s="478"/>
      <c r="EWU48" s="478"/>
      <c r="EWV48" s="478"/>
      <c r="EWW48" s="478"/>
      <c r="EWX48" s="478"/>
      <c r="EWY48" s="478"/>
      <c r="EWZ48" s="478"/>
      <c r="EXA48" s="478"/>
      <c r="EXB48" s="478"/>
      <c r="EXC48" s="478"/>
      <c r="EXD48" s="478"/>
      <c r="EXE48" s="478"/>
      <c r="EXF48" s="478"/>
      <c r="EXG48" s="478"/>
      <c r="EXH48" s="478"/>
      <c r="EXI48" s="478"/>
      <c r="EXJ48" s="478"/>
      <c r="EXK48" s="478"/>
      <c r="EXL48" s="478"/>
      <c r="EXM48" s="478"/>
      <c r="EXN48" s="478"/>
      <c r="EXO48" s="478"/>
      <c r="EXP48" s="478"/>
      <c r="EXQ48" s="478"/>
      <c r="EXR48" s="478"/>
      <c r="EXS48" s="478"/>
      <c r="EXT48" s="478"/>
      <c r="EXU48" s="478"/>
      <c r="EXV48" s="478"/>
      <c r="EXW48" s="478"/>
      <c r="EXX48" s="478"/>
      <c r="EXY48" s="478"/>
      <c r="EXZ48" s="478"/>
      <c r="EYA48" s="478"/>
      <c r="EYB48" s="478"/>
      <c r="EYC48" s="478"/>
      <c r="EYD48" s="478"/>
      <c r="EYE48" s="478"/>
      <c r="EYF48" s="478"/>
      <c r="EYG48" s="478"/>
      <c r="EYH48" s="478"/>
      <c r="EYI48" s="478"/>
      <c r="EYJ48" s="478"/>
      <c r="EYK48" s="478"/>
      <c r="EYL48" s="478"/>
      <c r="EYM48" s="478"/>
      <c r="EYN48" s="478"/>
      <c r="EYO48" s="478"/>
      <c r="EYP48" s="478"/>
      <c r="EYQ48" s="478"/>
      <c r="EYR48" s="478"/>
      <c r="EYS48" s="478"/>
      <c r="EYT48" s="478"/>
      <c r="EYU48" s="478"/>
      <c r="EYV48" s="478"/>
      <c r="EYW48" s="478"/>
      <c r="EYX48" s="478"/>
      <c r="EYY48" s="478"/>
      <c r="EYZ48" s="478"/>
      <c r="EZA48" s="478"/>
      <c r="EZB48" s="478"/>
      <c r="EZC48" s="478"/>
      <c r="EZD48" s="478"/>
      <c r="EZE48" s="478"/>
      <c r="EZF48" s="478"/>
      <c r="EZG48" s="478"/>
      <c r="EZH48" s="478"/>
      <c r="EZI48" s="478"/>
      <c r="EZJ48" s="478"/>
      <c r="EZK48" s="478"/>
      <c r="EZL48" s="478"/>
      <c r="EZM48" s="478"/>
      <c r="EZN48" s="478"/>
      <c r="EZO48" s="478"/>
      <c r="EZP48" s="478"/>
      <c r="EZQ48" s="478"/>
      <c r="EZR48" s="478"/>
      <c r="EZS48" s="478"/>
      <c r="EZT48" s="478"/>
      <c r="EZU48" s="478"/>
      <c r="EZV48" s="478"/>
      <c r="EZW48" s="478"/>
      <c r="EZX48" s="478"/>
      <c r="EZY48" s="478"/>
      <c r="EZZ48" s="478"/>
      <c r="FAA48" s="478"/>
      <c r="FAB48" s="478"/>
      <c r="FAC48" s="478"/>
      <c r="FAD48" s="478"/>
      <c r="FAE48" s="478"/>
      <c r="FAF48" s="478"/>
      <c r="FAG48" s="478"/>
      <c r="FAH48" s="478"/>
      <c r="FAI48" s="478"/>
      <c r="FAJ48" s="478"/>
      <c r="FAK48" s="478"/>
      <c r="FAL48" s="478"/>
      <c r="FAM48" s="478"/>
      <c r="FAN48" s="478"/>
      <c r="FAO48" s="478"/>
      <c r="FAP48" s="478"/>
      <c r="FAQ48" s="478"/>
      <c r="FAR48" s="478"/>
      <c r="FAS48" s="478"/>
      <c r="FAT48" s="478"/>
      <c r="FAU48" s="478"/>
      <c r="FAV48" s="478"/>
      <c r="FAW48" s="478"/>
      <c r="FAX48" s="478"/>
      <c r="FAY48" s="478"/>
      <c r="FAZ48" s="478"/>
      <c r="FBA48" s="478"/>
      <c r="FBB48" s="478"/>
      <c r="FBC48" s="478"/>
      <c r="FBD48" s="478"/>
      <c r="FBE48" s="478"/>
      <c r="FBF48" s="478"/>
      <c r="FBG48" s="478"/>
      <c r="FBH48" s="478"/>
      <c r="FBI48" s="478"/>
      <c r="FBJ48" s="478"/>
      <c r="FBK48" s="478"/>
      <c r="FBL48" s="478"/>
      <c r="FBM48" s="478"/>
      <c r="FBN48" s="478"/>
      <c r="FBO48" s="478"/>
      <c r="FBP48" s="478"/>
      <c r="FBQ48" s="478"/>
      <c r="FBR48" s="478"/>
      <c r="FBS48" s="478"/>
      <c r="FBT48" s="478"/>
      <c r="FBU48" s="478"/>
      <c r="FBV48" s="478"/>
      <c r="FBW48" s="478"/>
      <c r="FBX48" s="478"/>
      <c r="FBY48" s="478"/>
      <c r="FBZ48" s="478"/>
      <c r="FCA48" s="478"/>
      <c r="FCB48" s="478"/>
      <c r="FCC48" s="478"/>
      <c r="FCD48" s="478"/>
      <c r="FCE48" s="478"/>
      <c r="FCF48" s="478"/>
      <c r="FCG48" s="478"/>
      <c r="FCH48" s="478"/>
      <c r="FCI48" s="478"/>
      <c r="FCJ48" s="478"/>
      <c r="FCK48" s="478"/>
      <c r="FCL48" s="478"/>
      <c r="FCM48" s="478"/>
      <c r="FCN48" s="478"/>
      <c r="FCO48" s="478"/>
      <c r="FCP48" s="478"/>
      <c r="FCQ48" s="478"/>
      <c r="FCR48" s="478"/>
      <c r="FCS48" s="478"/>
      <c r="FCT48" s="478"/>
      <c r="FCU48" s="478"/>
      <c r="FCV48" s="478"/>
      <c r="FCW48" s="478"/>
      <c r="FCX48" s="478"/>
      <c r="FCY48" s="478"/>
      <c r="FCZ48" s="478"/>
      <c r="FDA48" s="478"/>
      <c r="FDB48" s="478"/>
      <c r="FDC48" s="478"/>
      <c r="FDD48" s="478"/>
      <c r="FDE48" s="478"/>
      <c r="FDF48" s="478"/>
      <c r="FDG48" s="478"/>
      <c r="FDH48" s="478"/>
      <c r="FDI48" s="478"/>
      <c r="FDJ48" s="478"/>
      <c r="FDK48" s="478"/>
      <c r="FDL48" s="478"/>
      <c r="FDM48" s="478"/>
      <c r="FDN48" s="478"/>
      <c r="FDO48" s="478"/>
      <c r="FDP48" s="478"/>
      <c r="FDQ48" s="478"/>
      <c r="FDR48" s="478"/>
      <c r="FDS48" s="478"/>
      <c r="FDT48" s="478"/>
      <c r="FDU48" s="478"/>
      <c r="FDV48" s="478"/>
      <c r="FDW48" s="478"/>
      <c r="FDX48" s="478"/>
      <c r="FDY48" s="478"/>
      <c r="FDZ48" s="478"/>
      <c r="FEA48" s="478"/>
      <c r="FEB48" s="478"/>
      <c r="FEC48" s="478"/>
      <c r="FED48" s="478"/>
      <c r="FEE48" s="478"/>
      <c r="FEF48" s="478"/>
      <c r="FEG48" s="478"/>
      <c r="FEH48" s="478"/>
      <c r="FEI48" s="478"/>
      <c r="FEJ48" s="478"/>
      <c r="FEK48" s="478"/>
      <c r="FEL48" s="478"/>
      <c r="FEM48" s="478"/>
      <c r="FEN48" s="478"/>
      <c r="FEO48" s="478"/>
      <c r="FEP48" s="478"/>
      <c r="FEQ48" s="478"/>
      <c r="FER48" s="478"/>
      <c r="FES48" s="478"/>
      <c r="FET48" s="478"/>
      <c r="FEU48" s="478"/>
      <c r="FEV48" s="478"/>
      <c r="FEW48" s="478"/>
      <c r="FEX48" s="478"/>
      <c r="FEY48" s="478"/>
      <c r="FEZ48" s="478"/>
      <c r="FFA48" s="478"/>
      <c r="FFB48" s="478"/>
      <c r="FFC48" s="478"/>
      <c r="FFD48" s="478"/>
      <c r="FFE48" s="478"/>
      <c r="FFF48" s="478"/>
      <c r="FFG48" s="478"/>
      <c r="FFH48" s="478"/>
      <c r="FFI48" s="478"/>
      <c r="FFJ48" s="478"/>
      <c r="FFK48" s="478"/>
      <c r="FFL48" s="478"/>
      <c r="FFM48" s="478"/>
      <c r="FFN48" s="478"/>
      <c r="FFO48" s="478"/>
      <c r="FFP48" s="478"/>
      <c r="FFQ48" s="478"/>
      <c r="FFR48" s="478"/>
      <c r="FFS48" s="478"/>
      <c r="FFT48" s="478"/>
      <c r="FFU48" s="478"/>
      <c r="FFV48" s="478"/>
      <c r="FFW48" s="478"/>
      <c r="FFX48" s="478"/>
      <c r="FFY48" s="478"/>
      <c r="FFZ48" s="478"/>
      <c r="FGA48" s="478"/>
      <c r="FGB48" s="478"/>
      <c r="FGC48" s="478"/>
      <c r="FGD48" s="478"/>
      <c r="FGE48" s="478"/>
      <c r="FGF48" s="478"/>
      <c r="FGG48" s="478"/>
      <c r="FGH48" s="478"/>
      <c r="FGI48" s="478"/>
      <c r="FGJ48" s="478"/>
      <c r="FGK48" s="478"/>
      <c r="FGL48" s="478"/>
      <c r="FGM48" s="478"/>
      <c r="FGN48" s="478"/>
      <c r="FGO48" s="478"/>
      <c r="FGP48" s="478"/>
      <c r="FGQ48" s="478"/>
      <c r="FGR48" s="478"/>
      <c r="FGS48" s="478"/>
      <c r="FGT48" s="478"/>
      <c r="FGU48" s="478"/>
      <c r="FGV48" s="478"/>
      <c r="FGW48" s="478"/>
      <c r="FGX48" s="478"/>
      <c r="FGY48" s="478"/>
      <c r="FGZ48" s="478"/>
      <c r="FHA48" s="478"/>
      <c r="FHB48" s="478"/>
      <c r="FHC48" s="478"/>
      <c r="FHD48" s="478"/>
      <c r="FHE48" s="478"/>
      <c r="FHF48" s="478"/>
      <c r="FHG48" s="478"/>
      <c r="FHH48" s="478"/>
      <c r="FHI48" s="478"/>
      <c r="FHJ48" s="478"/>
      <c r="FHK48" s="478"/>
      <c r="FHL48" s="478"/>
      <c r="FHM48" s="478"/>
      <c r="FHN48" s="478"/>
      <c r="FHO48" s="478"/>
      <c r="FHP48" s="478"/>
      <c r="FHQ48" s="478"/>
      <c r="FHR48" s="478"/>
      <c r="FHS48" s="478"/>
      <c r="FHT48" s="478"/>
      <c r="FHU48" s="478"/>
      <c r="FHV48" s="478"/>
      <c r="FHW48" s="478"/>
      <c r="FHX48" s="478"/>
      <c r="FHY48" s="478"/>
      <c r="FHZ48" s="478"/>
      <c r="FIA48" s="478"/>
      <c r="FIB48" s="478"/>
      <c r="FIC48" s="478"/>
      <c r="FID48" s="478"/>
      <c r="FIE48" s="478"/>
      <c r="FIF48" s="478"/>
      <c r="FIG48" s="478"/>
      <c r="FIH48" s="478"/>
      <c r="FII48" s="478"/>
      <c r="FIJ48" s="478"/>
      <c r="FIK48" s="478"/>
      <c r="FIL48" s="478"/>
      <c r="FIM48" s="478"/>
      <c r="FIN48" s="478"/>
      <c r="FIO48" s="478"/>
      <c r="FIP48" s="478"/>
      <c r="FIQ48" s="478"/>
      <c r="FIR48" s="478"/>
      <c r="FIS48" s="478"/>
      <c r="FIT48" s="478"/>
      <c r="FIU48" s="478"/>
      <c r="FIV48" s="478"/>
      <c r="FIW48" s="478"/>
      <c r="FIX48" s="478"/>
      <c r="FIY48" s="478"/>
      <c r="FIZ48" s="478"/>
      <c r="FJA48" s="478"/>
      <c r="FJB48" s="478"/>
      <c r="FJC48" s="478"/>
      <c r="FJD48" s="478"/>
      <c r="FJE48" s="478"/>
      <c r="FJF48" s="478"/>
      <c r="FJG48" s="478"/>
      <c r="FJH48" s="478"/>
      <c r="FJI48" s="478"/>
      <c r="FJJ48" s="478"/>
      <c r="FJK48" s="478"/>
      <c r="FJL48" s="478"/>
      <c r="FJM48" s="478"/>
      <c r="FJN48" s="478"/>
      <c r="FJO48" s="478"/>
      <c r="FJP48" s="478"/>
      <c r="FJQ48" s="478"/>
      <c r="FJR48" s="478"/>
      <c r="FJS48" s="478"/>
      <c r="FJT48" s="478"/>
      <c r="FJU48" s="478"/>
      <c r="FJV48" s="478"/>
      <c r="FJW48" s="478"/>
      <c r="FJX48" s="478"/>
      <c r="FJY48" s="478"/>
      <c r="FJZ48" s="478"/>
      <c r="FKA48" s="478"/>
      <c r="FKB48" s="478"/>
      <c r="FKC48" s="478"/>
      <c r="FKD48" s="478"/>
      <c r="FKE48" s="478"/>
      <c r="FKF48" s="478"/>
      <c r="FKG48" s="478"/>
      <c r="FKH48" s="478"/>
      <c r="FKI48" s="478"/>
      <c r="FKJ48" s="478"/>
      <c r="FKK48" s="478"/>
      <c r="FKL48" s="478"/>
      <c r="FKM48" s="478"/>
      <c r="FKN48" s="478"/>
      <c r="FKO48" s="478"/>
      <c r="FKP48" s="478"/>
      <c r="FKQ48" s="478"/>
      <c r="FKR48" s="478"/>
      <c r="FKS48" s="478"/>
      <c r="FKT48" s="478"/>
      <c r="FKU48" s="478"/>
      <c r="FKV48" s="478"/>
      <c r="FKW48" s="478"/>
      <c r="FKX48" s="478"/>
      <c r="FKY48" s="478"/>
      <c r="FKZ48" s="478"/>
      <c r="FLA48" s="478"/>
      <c r="FLB48" s="478"/>
      <c r="FLC48" s="478"/>
      <c r="FLD48" s="478"/>
      <c r="FLE48" s="478"/>
      <c r="FLF48" s="478"/>
      <c r="FLG48" s="478"/>
      <c r="FLH48" s="478"/>
      <c r="FLI48" s="478"/>
      <c r="FLJ48" s="478"/>
      <c r="FLK48" s="478"/>
      <c r="FLL48" s="478"/>
      <c r="FLM48" s="478"/>
      <c r="FLN48" s="478"/>
      <c r="FLO48" s="478"/>
      <c r="FLP48" s="478"/>
      <c r="FLQ48" s="478"/>
      <c r="FLR48" s="478"/>
      <c r="FLS48" s="478"/>
      <c r="FLT48" s="478"/>
      <c r="FLU48" s="478"/>
      <c r="FLV48" s="478"/>
      <c r="FLW48" s="478"/>
      <c r="FLX48" s="478"/>
      <c r="FLY48" s="478"/>
      <c r="FLZ48" s="478"/>
      <c r="FMA48" s="478"/>
      <c r="FMB48" s="478"/>
      <c r="FMC48" s="478"/>
      <c r="FMD48" s="478"/>
      <c r="FME48" s="478"/>
      <c r="FMF48" s="478"/>
      <c r="FMG48" s="478"/>
      <c r="FMH48" s="478"/>
      <c r="FMI48" s="478"/>
      <c r="FMJ48" s="478"/>
      <c r="FMK48" s="478"/>
      <c r="FML48" s="478"/>
      <c r="FMM48" s="478"/>
      <c r="FMN48" s="478"/>
      <c r="FMO48" s="478"/>
      <c r="FMP48" s="478"/>
      <c r="FMQ48" s="478"/>
      <c r="FMR48" s="478"/>
      <c r="FMS48" s="478"/>
      <c r="FMT48" s="478"/>
      <c r="FMU48" s="478"/>
      <c r="FMV48" s="478"/>
      <c r="FMW48" s="478"/>
      <c r="FMX48" s="478"/>
      <c r="FMY48" s="478"/>
      <c r="FMZ48" s="478"/>
      <c r="FNA48" s="478"/>
      <c r="FNB48" s="478"/>
      <c r="FNC48" s="478"/>
      <c r="FND48" s="478"/>
      <c r="FNE48" s="478"/>
      <c r="FNF48" s="478"/>
      <c r="FNG48" s="478"/>
      <c r="FNH48" s="478"/>
      <c r="FNI48" s="478"/>
      <c r="FNJ48" s="478"/>
      <c r="FNK48" s="478"/>
      <c r="FNL48" s="478"/>
      <c r="FNM48" s="478"/>
      <c r="FNN48" s="478"/>
      <c r="FNO48" s="478"/>
      <c r="FNP48" s="478"/>
      <c r="FNQ48" s="478"/>
      <c r="FNR48" s="478"/>
      <c r="FNS48" s="478"/>
      <c r="FNT48" s="478"/>
      <c r="FNU48" s="478"/>
      <c r="FNV48" s="478"/>
      <c r="FNW48" s="478"/>
      <c r="FNX48" s="478"/>
      <c r="FNY48" s="478"/>
      <c r="FNZ48" s="478"/>
      <c r="FOA48" s="478"/>
      <c r="FOB48" s="478"/>
      <c r="FOC48" s="478"/>
      <c r="FOD48" s="478"/>
      <c r="FOE48" s="478"/>
      <c r="FOF48" s="478"/>
      <c r="FOG48" s="478"/>
      <c r="FOH48" s="478"/>
      <c r="FOI48" s="478"/>
      <c r="FOJ48" s="478"/>
      <c r="FOK48" s="478"/>
      <c r="FOL48" s="478"/>
      <c r="FOM48" s="478"/>
      <c r="FON48" s="478"/>
      <c r="FOO48" s="478"/>
      <c r="FOP48" s="478"/>
      <c r="FOQ48" s="478"/>
      <c r="FOR48" s="478"/>
      <c r="FOS48" s="478"/>
      <c r="FOT48" s="478"/>
      <c r="FOU48" s="478"/>
      <c r="FOV48" s="478"/>
      <c r="FOW48" s="478"/>
      <c r="FOX48" s="478"/>
      <c r="FOY48" s="478"/>
      <c r="FOZ48" s="478"/>
      <c r="FPA48" s="478"/>
      <c r="FPB48" s="478"/>
      <c r="FPC48" s="478"/>
      <c r="FPD48" s="478"/>
      <c r="FPE48" s="478"/>
      <c r="FPF48" s="478"/>
      <c r="FPG48" s="478"/>
      <c r="FPH48" s="478"/>
      <c r="FPI48" s="478"/>
      <c r="FPJ48" s="478"/>
      <c r="FPK48" s="478"/>
      <c r="FPL48" s="478"/>
      <c r="FPM48" s="478"/>
      <c r="FPN48" s="478"/>
      <c r="FPO48" s="478"/>
      <c r="FPP48" s="478"/>
      <c r="FPQ48" s="478"/>
      <c r="FPR48" s="478"/>
      <c r="FPS48" s="478"/>
      <c r="FPT48" s="478"/>
      <c r="FPU48" s="478"/>
      <c r="FPV48" s="478"/>
      <c r="FPW48" s="478"/>
      <c r="FPX48" s="478"/>
      <c r="FPY48" s="478"/>
      <c r="FPZ48" s="478"/>
      <c r="FQA48" s="478"/>
      <c r="FQB48" s="478"/>
      <c r="FQC48" s="478"/>
      <c r="FQD48" s="478"/>
      <c r="FQE48" s="478"/>
      <c r="FQF48" s="478"/>
      <c r="FQG48" s="478"/>
      <c r="FQH48" s="478"/>
      <c r="FQI48" s="478"/>
      <c r="FQJ48" s="478"/>
      <c r="FQK48" s="478"/>
      <c r="FQL48" s="478"/>
      <c r="FQM48" s="478"/>
      <c r="FQN48" s="478"/>
      <c r="FQO48" s="478"/>
      <c r="FQP48" s="478"/>
      <c r="FQQ48" s="478"/>
      <c r="FQR48" s="478"/>
      <c r="FQS48" s="478"/>
      <c r="FQT48" s="478"/>
      <c r="FQU48" s="478"/>
      <c r="FQV48" s="478"/>
      <c r="FQW48" s="478"/>
      <c r="FQX48" s="478"/>
      <c r="FQY48" s="478"/>
      <c r="FQZ48" s="478"/>
      <c r="FRA48" s="478"/>
      <c r="FRB48" s="478"/>
      <c r="FRC48" s="478"/>
      <c r="FRD48" s="478"/>
      <c r="FRE48" s="478"/>
      <c r="FRF48" s="478"/>
      <c r="FRG48" s="478"/>
      <c r="FRH48" s="478"/>
      <c r="FRI48" s="478"/>
      <c r="FRJ48" s="478"/>
      <c r="FRK48" s="478"/>
      <c r="FRL48" s="478"/>
      <c r="FRM48" s="478"/>
      <c r="FRN48" s="478"/>
      <c r="FRO48" s="478"/>
      <c r="FRP48" s="478"/>
      <c r="FRQ48" s="478"/>
      <c r="FRR48" s="478"/>
      <c r="FRS48" s="478"/>
      <c r="FRT48" s="478"/>
      <c r="FRU48" s="478"/>
      <c r="FRV48" s="478"/>
      <c r="FRW48" s="478"/>
      <c r="FRX48" s="478"/>
      <c r="FRY48" s="478"/>
      <c r="FRZ48" s="478"/>
      <c r="FSA48" s="478"/>
      <c r="FSB48" s="478"/>
      <c r="FSC48" s="478"/>
      <c r="FSD48" s="478"/>
      <c r="FSE48" s="478"/>
      <c r="FSF48" s="478"/>
      <c r="FSG48" s="478"/>
      <c r="FSH48" s="478"/>
      <c r="FSI48" s="478"/>
      <c r="FSJ48" s="478"/>
      <c r="FSK48" s="478"/>
      <c r="FSL48" s="478"/>
      <c r="FSM48" s="478"/>
      <c r="FSN48" s="478"/>
      <c r="FSO48" s="478"/>
      <c r="FSP48" s="478"/>
      <c r="FSQ48" s="478"/>
      <c r="FSR48" s="478"/>
      <c r="FSS48" s="478"/>
      <c r="FST48" s="478"/>
      <c r="FSU48" s="478"/>
      <c r="FSV48" s="478"/>
      <c r="FSW48" s="478"/>
      <c r="FSX48" s="478"/>
      <c r="FSY48" s="478"/>
      <c r="FSZ48" s="478"/>
      <c r="FTA48" s="478"/>
      <c r="FTB48" s="478"/>
      <c r="FTC48" s="478"/>
      <c r="FTD48" s="478"/>
      <c r="FTE48" s="478"/>
      <c r="FTF48" s="478"/>
      <c r="FTG48" s="478"/>
      <c r="FTH48" s="478"/>
      <c r="FTI48" s="478"/>
      <c r="FTJ48" s="478"/>
      <c r="FTK48" s="478"/>
      <c r="FTL48" s="478"/>
      <c r="FTM48" s="478"/>
      <c r="FTN48" s="478"/>
      <c r="FTO48" s="478"/>
      <c r="FTP48" s="478"/>
      <c r="FTQ48" s="478"/>
      <c r="FTR48" s="478"/>
      <c r="FTS48" s="478"/>
      <c r="FTT48" s="478"/>
      <c r="FTU48" s="478"/>
      <c r="FTV48" s="478"/>
      <c r="FTW48" s="478"/>
      <c r="FTX48" s="478"/>
      <c r="FTY48" s="478"/>
      <c r="FTZ48" s="478"/>
      <c r="FUA48" s="478"/>
      <c r="FUB48" s="478"/>
      <c r="FUC48" s="478"/>
      <c r="FUD48" s="478"/>
      <c r="FUE48" s="478"/>
      <c r="FUF48" s="478"/>
      <c r="FUG48" s="478"/>
      <c r="FUH48" s="478"/>
      <c r="FUI48" s="478"/>
      <c r="FUJ48" s="478"/>
      <c r="FUK48" s="478"/>
      <c r="FUL48" s="478"/>
      <c r="FUM48" s="478"/>
      <c r="FUN48" s="478"/>
      <c r="FUO48" s="478"/>
      <c r="FUP48" s="478"/>
      <c r="FUQ48" s="478"/>
      <c r="FUR48" s="478"/>
      <c r="FUS48" s="478"/>
      <c r="FUT48" s="478"/>
      <c r="FUU48" s="478"/>
      <c r="FUV48" s="478"/>
      <c r="FUW48" s="478"/>
      <c r="FUX48" s="478"/>
      <c r="FUY48" s="478"/>
      <c r="FUZ48" s="478"/>
      <c r="FVA48" s="478"/>
      <c r="FVB48" s="478"/>
      <c r="FVC48" s="478"/>
      <c r="FVD48" s="478"/>
      <c r="FVE48" s="478"/>
      <c r="FVF48" s="478"/>
      <c r="FVG48" s="478"/>
      <c r="FVH48" s="478"/>
      <c r="FVI48" s="478"/>
      <c r="FVJ48" s="478"/>
      <c r="FVK48" s="478"/>
      <c r="FVL48" s="478"/>
      <c r="FVM48" s="478"/>
      <c r="FVN48" s="478"/>
      <c r="FVO48" s="478"/>
      <c r="FVP48" s="478"/>
      <c r="FVQ48" s="478"/>
      <c r="FVR48" s="478"/>
      <c r="FVS48" s="478"/>
      <c r="FVT48" s="478"/>
      <c r="FVU48" s="478"/>
      <c r="FVV48" s="478"/>
      <c r="FVW48" s="478"/>
      <c r="FVX48" s="478"/>
      <c r="FVY48" s="478"/>
      <c r="FVZ48" s="478"/>
      <c r="FWA48" s="478"/>
      <c r="FWB48" s="478"/>
      <c r="FWC48" s="478"/>
      <c r="FWD48" s="478"/>
      <c r="FWE48" s="478"/>
      <c r="FWF48" s="478"/>
      <c r="FWG48" s="478"/>
      <c r="FWH48" s="478"/>
      <c r="FWI48" s="478"/>
      <c r="FWJ48" s="478"/>
      <c r="FWK48" s="478"/>
      <c r="FWL48" s="478"/>
      <c r="FWM48" s="478"/>
      <c r="FWN48" s="478"/>
      <c r="FWO48" s="478"/>
      <c r="FWP48" s="478"/>
      <c r="FWQ48" s="478"/>
      <c r="FWR48" s="478"/>
      <c r="FWS48" s="478"/>
      <c r="FWT48" s="478"/>
      <c r="FWU48" s="478"/>
      <c r="FWV48" s="478"/>
      <c r="FWW48" s="478"/>
      <c r="FWX48" s="478"/>
      <c r="FWY48" s="478"/>
      <c r="FWZ48" s="478"/>
      <c r="FXA48" s="478"/>
      <c r="FXB48" s="478"/>
      <c r="FXC48" s="478"/>
      <c r="FXD48" s="478"/>
      <c r="FXE48" s="478"/>
      <c r="FXF48" s="478"/>
      <c r="FXG48" s="478"/>
      <c r="FXH48" s="478"/>
      <c r="FXI48" s="478"/>
      <c r="FXJ48" s="478"/>
      <c r="FXK48" s="478"/>
      <c r="FXL48" s="478"/>
      <c r="FXM48" s="478"/>
      <c r="FXN48" s="478"/>
      <c r="FXO48" s="478"/>
      <c r="FXP48" s="478"/>
      <c r="FXQ48" s="478"/>
      <c r="FXR48" s="478"/>
      <c r="FXS48" s="478"/>
      <c r="FXT48" s="478"/>
      <c r="FXU48" s="478"/>
      <c r="FXV48" s="478"/>
      <c r="FXW48" s="478"/>
      <c r="FXX48" s="478"/>
      <c r="FXY48" s="478"/>
      <c r="FXZ48" s="478"/>
      <c r="FYA48" s="478"/>
      <c r="FYB48" s="478"/>
      <c r="FYC48" s="478"/>
      <c r="FYD48" s="478"/>
      <c r="FYE48" s="478"/>
      <c r="FYF48" s="478"/>
      <c r="FYG48" s="478"/>
      <c r="FYH48" s="478"/>
      <c r="FYI48" s="478"/>
      <c r="FYJ48" s="478"/>
      <c r="FYK48" s="478"/>
      <c r="FYL48" s="478"/>
      <c r="FYM48" s="478"/>
      <c r="FYN48" s="478"/>
      <c r="FYO48" s="478"/>
      <c r="FYP48" s="478"/>
      <c r="FYQ48" s="478"/>
      <c r="FYR48" s="478"/>
      <c r="FYS48" s="478"/>
      <c r="FYT48" s="478"/>
      <c r="FYU48" s="478"/>
      <c r="FYV48" s="478"/>
      <c r="FYW48" s="478"/>
      <c r="FYX48" s="478"/>
      <c r="FYY48" s="478"/>
      <c r="FYZ48" s="478"/>
      <c r="FZA48" s="478"/>
      <c r="FZB48" s="478"/>
      <c r="FZC48" s="478"/>
      <c r="FZD48" s="478"/>
      <c r="FZE48" s="478"/>
      <c r="FZF48" s="478"/>
      <c r="FZG48" s="478"/>
      <c r="FZH48" s="478"/>
      <c r="FZI48" s="478"/>
      <c r="FZJ48" s="478"/>
      <c r="FZK48" s="478"/>
      <c r="FZL48" s="478"/>
      <c r="FZM48" s="478"/>
      <c r="FZN48" s="478"/>
      <c r="FZO48" s="478"/>
      <c r="FZP48" s="478"/>
      <c r="FZQ48" s="478"/>
      <c r="FZR48" s="478"/>
      <c r="FZS48" s="478"/>
      <c r="FZT48" s="478"/>
      <c r="FZU48" s="478"/>
      <c r="FZV48" s="478"/>
      <c r="FZW48" s="478"/>
      <c r="FZX48" s="478"/>
      <c r="FZY48" s="478"/>
      <c r="FZZ48" s="478"/>
      <c r="GAA48" s="478"/>
      <c r="GAB48" s="478"/>
      <c r="GAC48" s="478"/>
      <c r="GAD48" s="478"/>
      <c r="GAE48" s="478"/>
      <c r="GAF48" s="478"/>
      <c r="GAG48" s="478"/>
      <c r="GAH48" s="478"/>
      <c r="GAI48" s="478"/>
      <c r="GAJ48" s="478"/>
      <c r="GAK48" s="478"/>
      <c r="GAL48" s="478"/>
      <c r="GAM48" s="478"/>
      <c r="GAN48" s="478"/>
      <c r="GAO48" s="478"/>
      <c r="GAP48" s="478"/>
      <c r="GAQ48" s="478"/>
      <c r="GAR48" s="478"/>
      <c r="GAS48" s="478"/>
      <c r="GAT48" s="478"/>
      <c r="GAU48" s="478"/>
      <c r="GAV48" s="478"/>
      <c r="GAW48" s="478"/>
      <c r="GAX48" s="478"/>
      <c r="GAY48" s="478"/>
      <c r="GAZ48" s="478"/>
      <c r="GBA48" s="478"/>
      <c r="GBB48" s="478"/>
      <c r="GBC48" s="478"/>
      <c r="GBD48" s="478"/>
      <c r="GBE48" s="478"/>
      <c r="GBF48" s="478"/>
      <c r="GBG48" s="478"/>
      <c r="GBH48" s="478"/>
      <c r="GBI48" s="478"/>
      <c r="GBJ48" s="478"/>
      <c r="GBK48" s="478"/>
      <c r="GBL48" s="478"/>
      <c r="GBM48" s="478"/>
      <c r="GBN48" s="478"/>
      <c r="GBO48" s="478"/>
      <c r="GBP48" s="478"/>
      <c r="GBQ48" s="478"/>
      <c r="GBR48" s="478"/>
      <c r="GBS48" s="478"/>
      <c r="GBT48" s="478"/>
      <c r="GBU48" s="478"/>
      <c r="GBV48" s="478"/>
      <c r="GBW48" s="478"/>
      <c r="GBX48" s="478"/>
      <c r="GBY48" s="478"/>
      <c r="GBZ48" s="478"/>
      <c r="GCA48" s="478"/>
      <c r="GCB48" s="478"/>
      <c r="GCC48" s="478"/>
      <c r="GCD48" s="478"/>
      <c r="GCE48" s="478"/>
      <c r="GCF48" s="478"/>
      <c r="GCG48" s="478"/>
      <c r="GCH48" s="478"/>
      <c r="GCI48" s="478"/>
      <c r="GCJ48" s="478"/>
      <c r="GCK48" s="478"/>
      <c r="GCL48" s="478"/>
      <c r="GCM48" s="478"/>
      <c r="GCN48" s="478"/>
      <c r="GCO48" s="478"/>
      <c r="GCP48" s="478"/>
      <c r="GCQ48" s="478"/>
      <c r="GCR48" s="478"/>
      <c r="GCS48" s="478"/>
      <c r="GCT48" s="478"/>
      <c r="GCU48" s="478"/>
      <c r="GCV48" s="478"/>
      <c r="GCW48" s="478"/>
      <c r="GCX48" s="478"/>
      <c r="GCY48" s="478"/>
      <c r="GCZ48" s="478"/>
      <c r="GDA48" s="478"/>
      <c r="GDB48" s="478"/>
      <c r="GDC48" s="478"/>
      <c r="GDD48" s="478"/>
      <c r="GDE48" s="478"/>
      <c r="GDF48" s="478"/>
      <c r="GDG48" s="478"/>
      <c r="GDH48" s="478"/>
      <c r="GDI48" s="478"/>
      <c r="GDJ48" s="478"/>
      <c r="GDK48" s="478"/>
      <c r="GDL48" s="478"/>
      <c r="GDM48" s="478"/>
      <c r="GDN48" s="478"/>
      <c r="GDO48" s="478"/>
      <c r="GDP48" s="478"/>
      <c r="GDQ48" s="478"/>
      <c r="GDR48" s="478"/>
      <c r="GDS48" s="478"/>
      <c r="GDT48" s="478"/>
      <c r="GDU48" s="478"/>
      <c r="GDV48" s="478"/>
      <c r="GDW48" s="478"/>
      <c r="GDX48" s="478"/>
      <c r="GDY48" s="478"/>
      <c r="GDZ48" s="478"/>
      <c r="GEA48" s="478"/>
      <c r="GEB48" s="478"/>
      <c r="GEC48" s="478"/>
      <c r="GED48" s="478"/>
      <c r="GEE48" s="478"/>
      <c r="GEF48" s="478"/>
      <c r="GEG48" s="478"/>
      <c r="GEH48" s="478"/>
      <c r="GEI48" s="478"/>
      <c r="GEJ48" s="478"/>
      <c r="GEK48" s="478"/>
      <c r="GEL48" s="478"/>
      <c r="GEM48" s="478"/>
      <c r="GEN48" s="478"/>
      <c r="GEO48" s="478"/>
      <c r="GEP48" s="478"/>
      <c r="GEQ48" s="478"/>
      <c r="GER48" s="478"/>
      <c r="GES48" s="478"/>
      <c r="GET48" s="478"/>
      <c r="GEU48" s="478"/>
      <c r="GEV48" s="478"/>
      <c r="GEW48" s="478"/>
      <c r="GEX48" s="478"/>
      <c r="GEY48" s="478"/>
      <c r="GEZ48" s="478"/>
      <c r="GFA48" s="478"/>
      <c r="GFB48" s="478"/>
      <c r="GFC48" s="478"/>
      <c r="GFD48" s="478"/>
      <c r="GFE48" s="478"/>
      <c r="GFF48" s="478"/>
      <c r="GFG48" s="478"/>
      <c r="GFH48" s="478"/>
      <c r="GFI48" s="478"/>
      <c r="GFJ48" s="478"/>
      <c r="GFK48" s="478"/>
      <c r="GFL48" s="478"/>
      <c r="GFM48" s="478"/>
      <c r="GFN48" s="478"/>
      <c r="GFO48" s="478"/>
      <c r="GFP48" s="478"/>
      <c r="GFQ48" s="478"/>
      <c r="GFR48" s="478"/>
      <c r="GFS48" s="478"/>
      <c r="GFT48" s="478"/>
      <c r="GFU48" s="478"/>
      <c r="GFV48" s="478"/>
      <c r="GFW48" s="478"/>
      <c r="GFX48" s="478"/>
      <c r="GFY48" s="478"/>
      <c r="GFZ48" s="478"/>
      <c r="GGA48" s="478"/>
      <c r="GGB48" s="478"/>
      <c r="GGC48" s="478"/>
      <c r="GGD48" s="478"/>
      <c r="GGE48" s="478"/>
      <c r="GGF48" s="478"/>
      <c r="GGG48" s="478"/>
      <c r="GGH48" s="478"/>
      <c r="GGI48" s="478"/>
      <c r="GGJ48" s="478"/>
      <c r="GGK48" s="478"/>
      <c r="GGL48" s="478"/>
      <c r="GGM48" s="478"/>
      <c r="GGN48" s="478"/>
      <c r="GGO48" s="478"/>
      <c r="GGP48" s="478"/>
      <c r="GGQ48" s="478"/>
      <c r="GGR48" s="478"/>
      <c r="GGS48" s="478"/>
      <c r="GGT48" s="478"/>
      <c r="GGU48" s="478"/>
      <c r="GGV48" s="478"/>
      <c r="GGW48" s="478"/>
      <c r="GGX48" s="478"/>
      <c r="GGY48" s="478"/>
      <c r="GGZ48" s="478"/>
      <c r="GHA48" s="478"/>
      <c r="GHB48" s="478"/>
      <c r="GHC48" s="478"/>
      <c r="GHD48" s="478"/>
      <c r="GHE48" s="478"/>
      <c r="GHF48" s="478"/>
      <c r="GHG48" s="478"/>
      <c r="GHH48" s="478"/>
      <c r="GHI48" s="478"/>
      <c r="GHJ48" s="478"/>
      <c r="GHK48" s="478"/>
      <c r="GHL48" s="478"/>
      <c r="GHM48" s="478"/>
      <c r="GHN48" s="478"/>
      <c r="GHO48" s="478"/>
      <c r="GHP48" s="478"/>
      <c r="GHQ48" s="478"/>
      <c r="GHR48" s="478"/>
      <c r="GHS48" s="478"/>
      <c r="GHT48" s="478"/>
      <c r="GHU48" s="478"/>
      <c r="GHV48" s="478"/>
      <c r="GHW48" s="478"/>
      <c r="GHX48" s="478"/>
      <c r="GHY48" s="478"/>
      <c r="GHZ48" s="478"/>
      <c r="GIA48" s="478"/>
      <c r="GIB48" s="478"/>
      <c r="GIC48" s="478"/>
      <c r="GID48" s="478"/>
      <c r="GIE48" s="478"/>
      <c r="GIF48" s="478"/>
      <c r="GIG48" s="478"/>
      <c r="GIH48" s="478"/>
      <c r="GII48" s="478"/>
      <c r="GIJ48" s="478"/>
      <c r="GIK48" s="478"/>
      <c r="GIL48" s="478"/>
      <c r="GIM48" s="478"/>
      <c r="GIN48" s="478"/>
      <c r="GIO48" s="478"/>
      <c r="GIP48" s="478"/>
      <c r="GIQ48" s="478"/>
      <c r="GIR48" s="478"/>
      <c r="GIS48" s="478"/>
      <c r="GIT48" s="478"/>
      <c r="GIU48" s="478"/>
      <c r="GIV48" s="478"/>
      <c r="GIW48" s="478"/>
      <c r="GIX48" s="478"/>
      <c r="GIY48" s="478"/>
      <c r="GIZ48" s="478"/>
      <c r="GJA48" s="478"/>
      <c r="GJB48" s="478"/>
      <c r="GJC48" s="478"/>
      <c r="GJD48" s="478"/>
      <c r="GJE48" s="478"/>
      <c r="GJF48" s="478"/>
      <c r="GJG48" s="478"/>
      <c r="GJH48" s="478"/>
      <c r="GJI48" s="478"/>
      <c r="GJJ48" s="478"/>
      <c r="GJK48" s="478"/>
      <c r="GJL48" s="478"/>
      <c r="GJM48" s="478"/>
      <c r="GJN48" s="478"/>
      <c r="GJO48" s="478"/>
      <c r="GJP48" s="478"/>
      <c r="GJQ48" s="478"/>
      <c r="GJR48" s="478"/>
      <c r="GJS48" s="478"/>
      <c r="GJT48" s="478"/>
      <c r="GJU48" s="478"/>
      <c r="GJV48" s="478"/>
      <c r="GJW48" s="478"/>
      <c r="GJX48" s="478"/>
      <c r="GJY48" s="478"/>
      <c r="GJZ48" s="478"/>
      <c r="GKA48" s="478"/>
      <c r="GKB48" s="478"/>
      <c r="GKC48" s="478"/>
      <c r="GKD48" s="478"/>
      <c r="GKE48" s="478"/>
      <c r="GKF48" s="478"/>
      <c r="GKG48" s="478"/>
      <c r="GKH48" s="478"/>
      <c r="GKI48" s="478"/>
      <c r="GKJ48" s="478"/>
      <c r="GKK48" s="478"/>
      <c r="GKL48" s="478"/>
      <c r="GKM48" s="478"/>
      <c r="GKN48" s="478"/>
      <c r="GKO48" s="478"/>
      <c r="GKP48" s="478"/>
      <c r="GKQ48" s="478"/>
      <c r="GKR48" s="478"/>
      <c r="GKS48" s="478"/>
      <c r="GKT48" s="478"/>
      <c r="GKU48" s="478"/>
      <c r="GKV48" s="478"/>
      <c r="GKW48" s="478"/>
      <c r="GKX48" s="478"/>
      <c r="GKY48" s="478"/>
      <c r="GKZ48" s="478"/>
      <c r="GLA48" s="478"/>
      <c r="GLB48" s="478"/>
      <c r="GLC48" s="478"/>
      <c r="GLD48" s="478"/>
      <c r="GLE48" s="478"/>
      <c r="GLF48" s="478"/>
      <c r="GLG48" s="478"/>
      <c r="GLH48" s="478"/>
      <c r="GLI48" s="478"/>
      <c r="GLJ48" s="478"/>
      <c r="GLK48" s="478"/>
      <c r="GLL48" s="478"/>
      <c r="GLM48" s="478"/>
      <c r="GLN48" s="478"/>
      <c r="GLO48" s="478"/>
      <c r="GLP48" s="478"/>
      <c r="GLQ48" s="478"/>
      <c r="GLR48" s="478"/>
      <c r="GLS48" s="478"/>
      <c r="GLT48" s="478"/>
      <c r="GLU48" s="478"/>
      <c r="GLV48" s="478"/>
      <c r="GLW48" s="478"/>
      <c r="GLX48" s="478"/>
      <c r="GLY48" s="478"/>
      <c r="GLZ48" s="478"/>
      <c r="GMA48" s="478"/>
      <c r="GMB48" s="478"/>
      <c r="GMC48" s="478"/>
      <c r="GMD48" s="478"/>
      <c r="GME48" s="478"/>
      <c r="GMF48" s="478"/>
      <c r="GMG48" s="478"/>
      <c r="GMH48" s="478"/>
      <c r="GMI48" s="478"/>
      <c r="GMJ48" s="478"/>
      <c r="GMK48" s="478"/>
      <c r="GML48" s="478"/>
      <c r="GMM48" s="478"/>
      <c r="GMN48" s="478"/>
      <c r="GMO48" s="478"/>
      <c r="GMP48" s="478"/>
      <c r="GMQ48" s="478"/>
      <c r="GMR48" s="478"/>
      <c r="GMS48" s="478"/>
      <c r="GMT48" s="478"/>
      <c r="GMU48" s="478"/>
      <c r="GMV48" s="478"/>
      <c r="GMW48" s="478"/>
      <c r="GMX48" s="478"/>
      <c r="GMY48" s="478"/>
      <c r="GMZ48" s="478"/>
      <c r="GNA48" s="478"/>
      <c r="GNB48" s="478"/>
      <c r="GNC48" s="478"/>
      <c r="GND48" s="478"/>
      <c r="GNE48" s="478"/>
      <c r="GNF48" s="478"/>
      <c r="GNG48" s="478"/>
      <c r="GNH48" s="478"/>
      <c r="GNI48" s="478"/>
      <c r="GNJ48" s="478"/>
      <c r="GNK48" s="478"/>
      <c r="GNL48" s="478"/>
      <c r="GNM48" s="478"/>
      <c r="GNN48" s="478"/>
      <c r="GNO48" s="478"/>
      <c r="GNP48" s="478"/>
      <c r="GNQ48" s="478"/>
      <c r="GNR48" s="478"/>
      <c r="GNS48" s="478"/>
      <c r="GNT48" s="478"/>
      <c r="GNU48" s="478"/>
      <c r="GNV48" s="478"/>
      <c r="GNW48" s="478"/>
      <c r="GNX48" s="478"/>
      <c r="GNY48" s="478"/>
      <c r="GNZ48" s="478"/>
      <c r="GOA48" s="478"/>
      <c r="GOB48" s="478"/>
      <c r="GOC48" s="478"/>
      <c r="GOD48" s="478"/>
      <c r="GOE48" s="478"/>
      <c r="GOF48" s="478"/>
      <c r="GOG48" s="478"/>
      <c r="GOH48" s="478"/>
      <c r="GOI48" s="478"/>
      <c r="GOJ48" s="478"/>
      <c r="GOK48" s="478"/>
      <c r="GOL48" s="478"/>
      <c r="GOM48" s="478"/>
      <c r="GON48" s="478"/>
      <c r="GOO48" s="478"/>
      <c r="GOP48" s="478"/>
      <c r="GOQ48" s="478"/>
      <c r="GOR48" s="478"/>
      <c r="GOS48" s="478"/>
      <c r="GOT48" s="478"/>
      <c r="GOU48" s="478"/>
      <c r="GOV48" s="478"/>
      <c r="GOW48" s="478"/>
      <c r="GOX48" s="478"/>
      <c r="GOY48" s="478"/>
      <c r="GOZ48" s="478"/>
      <c r="GPA48" s="478"/>
      <c r="GPB48" s="478"/>
      <c r="GPC48" s="478"/>
      <c r="GPD48" s="478"/>
      <c r="GPE48" s="478"/>
      <c r="GPF48" s="478"/>
      <c r="GPG48" s="478"/>
      <c r="GPH48" s="478"/>
      <c r="GPI48" s="478"/>
      <c r="GPJ48" s="478"/>
      <c r="GPK48" s="478"/>
      <c r="GPL48" s="478"/>
      <c r="GPM48" s="478"/>
      <c r="GPN48" s="478"/>
      <c r="GPO48" s="478"/>
      <c r="GPP48" s="478"/>
      <c r="GPQ48" s="478"/>
      <c r="GPR48" s="478"/>
      <c r="GPS48" s="478"/>
      <c r="GPT48" s="478"/>
      <c r="GPU48" s="478"/>
      <c r="GPV48" s="478"/>
      <c r="GPW48" s="478"/>
      <c r="GPX48" s="478"/>
      <c r="GPY48" s="478"/>
      <c r="GPZ48" s="478"/>
      <c r="GQA48" s="478"/>
      <c r="GQB48" s="478"/>
      <c r="GQC48" s="478"/>
      <c r="GQD48" s="478"/>
      <c r="GQE48" s="478"/>
      <c r="GQF48" s="478"/>
      <c r="GQG48" s="478"/>
      <c r="GQH48" s="478"/>
      <c r="GQI48" s="478"/>
      <c r="GQJ48" s="478"/>
      <c r="GQK48" s="478"/>
      <c r="GQL48" s="478"/>
      <c r="GQM48" s="478"/>
      <c r="GQN48" s="478"/>
      <c r="GQO48" s="478"/>
      <c r="GQP48" s="478"/>
      <c r="GQQ48" s="478"/>
      <c r="GQR48" s="478"/>
      <c r="GQS48" s="478"/>
      <c r="GQT48" s="478"/>
      <c r="GQU48" s="478"/>
      <c r="GQV48" s="478"/>
      <c r="GQW48" s="478"/>
      <c r="GQX48" s="478"/>
      <c r="GQY48" s="478"/>
      <c r="GQZ48" s="478"/>
      <c r="GRA48" s="478"/>
      <c r="GRB48" s="478"/>
      <c r="GRC48" s="478"/>
      <c r="GRD48" s="478"/>
      <c r="GRE48" s="478"/>
      <c r="GRF48" s="478"/>
      <c r="GRG48" s="478"/>
      <c r="GRH48" s="478"/>
      <c r="GRI48" s="478"/>
      <c r="GRJ48" s="478"/>
      <c r="GRK48" s="478"/>
      <c r="GRL48" s="478"/>
      <c r="GRM48" s="478"/>
      <c r="GRN48" s="478"/>
      <c r="GRO48" s="478"/>
      <c r="GRP48" s="478"/>
      <c r="GRQ48" s="478"/>
      <c r="GRR48" s="478"/>
      <c r="GRS48" s="478"/>
      <c r="GRT48" s="478"/>
      <c r="GRU48" s="478"/>
      <c r="GRV48" s="478"/>
      <c r="GRW48" s="478"/>
      <c r="GRX48" s="478"/>
      <c r="GRY48" s="478"/>
      <c r="GRZ48" s="478"/>
      <c r="GSA48" s="478"/>
      <c r="GSB48" s="478"/>
      <c r="GSC48" s="478"/>
      <c r="GSD48" s="478"/>
      <c r="GSE48" s="478"/>
      <c r="GSF48" s="478"/>
      <c r="GSG48" s="478"/>
      <c r="GSH48" s="478"/>
      <c r="GSI48" s="478"/>
      <c r="GSJ48" s="478"/>
      <c r="GSK48" s="478"/>
      <c r="GSL48" s="478"/>
      <c r="GSM48" s="478"/>
      <c r="GSN48" s="478"/>
      <c r="GSO48" s="478"/>
      <c r="GSP48" s="478"/>
      <c r="GSQ48" s="478"/>
      <c r="GSR48" s="478"/>
      <c r="GSS48" s="478"/>
      <c r="GST48" s="478"/>
      <c r="GSU48" s="478"/>
      <c r="GSV48" s="478"/>
      <c r="GSW48" s="478"/>
      <c r="GSX48" s="478"/>
      <c r="GSY48" s="478"/>
      <c r="GSZ48" s="478"/>
      <c r="GTA48" s="478"/>
      <c r="GTB48" s="478"/>
      <c r="GTC48" s="478"/>
      <c r="GTD48" s="478"/>
      <c r="GTE48" s="478"/>
      <c r="GTF48" s="478"/>
      <c r="GTG48" s="478"/>
      <c r="GTH48" s="478"/>
      <c r="GTI48" s="478"/>
      <c r="GTJ48" s="478"/>
      <c r="GTK48" s="478"/>
      <c r="GTL48" s="478"/>
      <c r="GTM48" s="478"/>
      <c r="GTN48" s="478"/>
      <c r="GTO48" s="478"/>
      <c r="GTP48" s="478"/>
      <c r="GTQ48" s="478"/>
      <c r="GTR48" s="478"/>
      <c r="GTS48" s="478"/>
      <c r="GTT48" s="478"/>
      <c r="GTU48" s="478"/>
      <c r="GTV48" s="478"/>
      <c r="GTW48" s="478"/>
      <c r="GTX48" s="478"/>
      <c r="GTY48" s="478"/>
      <c r="GTZ48" s="478"/>
      <c r="GUA48" s="478"/>
      <c r="GUB48" s="478"/>
      <c r="GUC48" s="478"/>
      <c r="GUD48" s="478"/>
      <c r="GUE48" s="478"/>
      <c r="GUF48" s="478"/>
      <c r="GUG48" s="478"/>
      <c r="GUH48" s="478"/>
      <c r="GUI48" s="478"/>
      <c r="GUJ48" s="478"/>
      <c r="GUK48" s="478"/>
      <c r="GUL48" s="478"/>
      <c r="GUM48" s="478"/>
      <c r="GUN48" s="478"/>
      <c r="GUO48" s="478"/>
      <c r="GUP48" s="478"/>
      <c r="GUQ48" s="478"/>
      <c r="GUR48" s="478"/>
      <c r="GUS48" s="478"/>
      <c r="GUT48" s="478"/>
      <c r="GUU48" s="478"/>
      <c r="GUV48" s="478"/>
      <c r="GUW48" s="478"/>
      <c r="GUX48" s="478"/>
      <c r="GUY48" s="478"/>
      <c r="GUZ48" s="478"/>
      <c r="GVA48" s="478"/>
      <c r="GVB48" s="478"/>
      <c r="GVC48" s="478"/>
      <c r="GVD48" s="478"/>
      <c r="GVE48" s="478"/>
      <c r="GVF48" s="478"/>
      <c r="GVG48" s="478"/>
      <c r="GVH48" s="478"/>
      <c r="GVI48" s="478"/>
      <c r="GVJ48" s="478"/>
      <c r="GVK48" s="478"/>
      <c r="GVL48" s="478"/>
      <c r="GVM48" s="478"/>
      <c r="GVN48" s="478"/>
      <c r="GVO48" s="478"/>
      <c r="GVP48" s="478"/>
      <c r="GVQ48" s="478"/>
      <c r="GVR48" s="478"/>
      <c r="GVS48" s="478"/>
      <c r="GVT48" s="478"/>
      <c r="GVU48" s="478"/>
      <c r="GVV48" s="478"/>
      <c r="GVW48" s="478"/>
      <c r="GVX48" s="478"/>
      <c r="GVY48" s="478"/>
      <c r="GVZ48" s="478"/>
      <c r="GWA48" s="478"/>
      <c r="GWB48" s="478"/>
      <c r="GWC48" s="478"/>
      <c r="GWD48" s="478"/>
      <c r="GWE48" s="478"/>
      <c r="GWF48" s="478"/>
      <c r="GWG48" s="478"/>
      <c r="GWH48" s="478"/>
      <c r="GWI48" s="478"/>
      <c r="GWJ48" s="478"/>
      <c r="GWK48" s="478"/>
      <c r="GWL48" s="478"/>
      <c r="GWM48" s="478"/>
      <c r="GWN48" s="478"/>
      <c r="GWO48" s="478"/>
      <c r="GWP48" s="478"/>
      <c r="GWQ48" s="478"/>
      <c r="GWR48" s="478"/>
      <c r="GWS48" s="478"/>
      <c r="GWT48" s="478"/>
      <c r="GWU48" s="478"/>
      <c r="GWV48" s="478"/>
      <c r="GWW48" s="478"/>
      <c r="GWX48" s="478"/>
      <c r="GWY48" s="478"/>
      <c r="GWZ48" s="478"/>
      <c r="GXA48" s="478"/>
      <c r="GXB48" s="478"/>
      <c r="GXC48" s="478"/>
      <c r="GXD48" s="478"/>
      <c r="GXE48" s="478"/>
      <c r="GXF48" s="478"/>
      <c r="GXG48" s="478"/>
      <c r="GXH48" s="478"/>
      <c r="GXI48" s="478"/>
      <c r="GXJ48" s="478"/>
      <c r="GXK48" s="478"/>
      <c r="GXL48" s="478"/>
      <c r="GXM48" s="478"/>
      <c r="GXN48" s="478"/>
      <c r="GXO48" s="478"/>
      <c r="GXP48" s="478"/>
      <c r="GXQ48" s="478"/>
      <c r="GXR48" s="478"/>
      <c r="GXS48" s="478"/>
      <c r="GXT48" s="478"/>
      <c r="GXU48" s="478"/>
      <c r="GXV48" s="478"/>
      <c r="GXW48" s="478"/>
      <c r="GXX48" s="478"/>
      <c r="GXY48" s="478"/>
      <c r="GXZ48" s="478"/>
      <c r="GYA48" s="478"/>
      <c r="GYB48" s="478"/>
      <c r="GYC48" s="478"/>
      <c r="GYD48" s="478"/>
      <c r="GYE48" s="478"/>
      <c r="GYF48" s="478"/>
      <c r="GYG48" s="478"/>
      <c r="GYH48" s="478"/>
      <c r="GYI48" s="478"/>
      <c r="GYJ48" s="478"/>
      <c r="GYK48" s="478"/>
      <c r="GYL48" s="478"/>
      <c r="GYM48" s="478"/>
      <c r="GYN48" s="478"/>
      <c r="GYO48" s="478"/>
      <c r="GYP48" s="478"/>
      <c r="GYQ48" s="478"/>
      <c r="GYR48" s="478"/>
      <c r="GYS48" s="478"/>
      <c r="GYT48" s="478"/>
      <c r="GYU48" s="478"/>
      <c r="GYV48" s="478"/>
      <c r="GYW48" s="478"/>
      <c r="GYX48" s="478"/>
      <c r="GYY48" s="478"/>
      <c r="GYZ48" s="478"/>
      <c r="GZA48" s="478"/>
      <c r="GZB48" s="478"/>
      <c r="GZC48" s="478"/>
      <c r="GZD48" s="478"/>
      <c r="GZE48" s="478"/>
      <c r="GZF48" s="478"/>
      <c r="GZG48" s="478"/>
      <c r="GZH48" s="478"/>
      <c r="GZI48" s="478"/>
      <c r="GZJ48" s="478"/>
      <c r="GZK48" s="478"/>
      <c r="GZL48" s="478"/>
      <c r="GZM48" s="478"/>
      <c r="GZN48" s="478"/>
      <c r="GZO48" s="478"/>
      <c r="GZP48" s="478"/>
      <c r="GZQ48" s="478"/>
      <c r="GZR48" s="478"/>
      <c r="GZS48" s="478"/>
      <c r="GZT48" s="478"/>
      <c r="GZU48" s="478"/>
      <c r="GZV48" s="478"/>
      <c r="GZW48" s="478"/>
      <c r="GZX48" s="478"/>
      <c r="GZY48" s="478"/>
      <c r="GZZ48" s="478"/>
      <c r="HAA48" s="478"/>
      <c r="HAB48" s="478"/>
      <c r="HAC48" s="478"/>
      <c r="HAD48" s="478"/>
      <c r="HAE48" s="478"/>
      <c r="HAF48" s="478"/>
      <c r="HAG48" s="478"/>
      <c r="HAH48" s="478"/>
      <c r="HAI48" s="478"/>
      <c r="HAJ48" s="478"/>
      <c r="HAK48" s="478"/>
      <c r="HAL48" s="478"/>
      <c r="HAM48" s="478"/>
      <c r="HAN48" s="478"/>
      <c r="HAO48" s="478"/>
      <c r="HAP48" s="478"/>
      <c r="HAQ48" s="478"/>
      <c r="HAR48" s="478"/>
      <c r="HAS48" s="478"/>
      <c r="HAT48" s="478"/>
      <c r="HAU48" s="478"/>
      <c r="HAV48" s="478"/>
      <c r="HAW48" s="478"/>
      <c r="HAX48" s="478"/>
      <c r="HAY48" s="478"/>
      <c r="HAZ48" s="478"/>
      <c r="HBA48" s="478"/>
      <c r="HBB48" s="478"/>
      <c r="HBC48" s="478"/>
      <c r="HBD48" s="478"/>
      <c r="HBE48" s="478"/>
      <c r="HBF48" s="478"/>
      <c r="HBG48" s="478"/>
      <c r="HBH48" s="478"/>
      <c r="HBI48" s="478"/>
      <c r="HBJ48" s="478"/>
      <c r="HBK48" s="478"/>
      <c r="HBL48" s="478"/>
      <c r="HBM48" s="478"/>
      <c r="HBN48" s="478"/>
      <c r="HBO48" s="478"/>
      <c r="HBP48" s="478"/>
      <c r="HBQ48" s="478"/>
      <c r="HBR48" s="478"/>
      <c r="HBS48" s="478"/>
      <c r="HBT48" s="478"/>
      <c r="HBU48" s="478"/>
      <c r="HBV48" s="478"/>
      <c r="HBW48" s="478"/>
      <c r="HBX48" s="478"/>
      <c r="HBY48" s="478"/>
      <c r="HBZ48" s="478"/>
      <c r="HCA48" s="478"/>
      <c r="HCB48" s="478"/>
      <c r="HCC48" s="478"/>
      <c r="HCD48" s="478"/>
      <c r="HCE48" s="478"/>
      <c r="HCF48" s="478"/>
      <c r="HCG48" s="478"/>
      <c r="HCH48" s="478"/>
      <c r="HCI48" s="478"/>
      <c r="HCJ48" s="478"/>
      <c r="HCK48" s="478"/>
      <c r="HCL48" s="478"/>
      <c r="HCM48" s="478"/>
      <c r="HCN48" s="478"/>
      <c r="HCO48" s="478"/>
      <c r="HCP48" s="478"/>
      <c r="HCQ48" s="478"/>
      <c r="HCR48" s="478"/>
      <c r="HCS48" s="478"/>
      <c r="HCT48" s="478"/>
      <c r="HCU48" s="478"/>
      <c r="HCV48" s="478"/>
      <c r="HCW48" s="478"/>
      <c r="HCX48" s="478"/>
      <c r="HCY48" s="478"/>
      <c r="HCZ48" s="478"/>
      <c r="HDA48" s="478"/>
      <c r="HDB48" s="478"/>
      <c r="HDC48" s="478"/>
      <c r="HDD48" s="478"/>
      <c r="HDE48" s="478"/>
      <c r="HDF48" s="478"/>
      <c r="HDG48" s="478"/>
      <c r="HDH48" s="478"/>
      <c r="HDI48" s="478"/>
      <c r="HDJ48" s="478"/>
      <c r="HDK48" s="478"/>
      <c r="HDL48" s="478"/>
      <c r="HDM48" s="478"/>
      <c r="HDN48" s="478"/>
      <c r="HDO48" s="478"/>
      <c r="HDP48" s="478"/>
      <c r="HDQ48" s="478"/>
      <c r="HDR48" s="478"/>
      <c r="HDS48" s="478"/>
      <c r="HDT48" s="478"/>
      <c r="HDU48" s="478"/>
      <c r="HDV48" s="478"/>
      <c r="HDW48" s="478"/>
      <c r="HDX48" s="478"/>
      <c r="HDY48" s="478"/>
      <c r="HDZ48" s="478"/>
      <c r="HEA48" s="478"/>
      <c r="HEB48" s="478"/>
      <c r="HEC48" s="478"/>
      <c r="HED48" s="478"/>
      <c r="HEE48" s="478"/>
      <c r="HEF48" s="478"/>
      <c r="HEG48" s="478"/>
      <c r="HEH48" s="478"/>
      <c r="HEI48" s="478"/>
      <c r="HEJ48" s="478"/>
      <c r="HEK48" s="478"/>
      <c r="HEL48" s="478"/>
      <c r="HEM48" s="478"/>
      <c r="HEN48" s="478"/>
      <c r="HEO48" s="478"/>
      <c r="HEP48" s="478"/>
      <c r="HEQ48" s="478"/>
      <c r="HER48" s="478"/>
      <c r="HES48" s="478"/>
      <c r="HET48" s="478"/>
      <c r="HEU48" s="478"/>
      <c r="HEV48" s="478"/>
      <c r="HEW48" s="478"/>
      <c r="HEX48" s="478"/>
      <c r="HEY48" s="478"/>
      <c r="HEZ48" s="478"/>
      <c r="HFA48" s="478"/>
      <c r="HFB48" s="478"/>
      <c r="HFC48" s="478"/>
      <c r="HFD48" s="478"/>
      <c r="HFE48" s="478"/>
      <c r="HFF48" s="478"/>
      <c r="HFG48" s="478"/>
      <c r="HFH48" s="478"/>
      <c r="HFI48" s="478"/>
      <c r="HFJ48" s="478"/>
      <c r="HFK48" s="478"/>
      <c r="HFL48" s="478"/>
      <c r="HFM48" s="478"/>
      <c r="HFN48" s="478"/>
      <c r="HFO48" s="478"/>
      <c r="HFP48" s="478"/>
      <c r="HFQ48" s="478"/>
      <c r="HFR48" s="478"/>
      <c r="HFS48" s="478"/>
      <c r="HFT48" s="478"/>
      <c r="HFU48" s="478"/>
      <c r="HFV48" s="478"/>
      <c r="HFW48" s="478"/>
      <c r="HFX48" s="478"/>
      <c r="HFY48" s="478"/>
      <c r="HFZ48" s="478"/>
      <c r="HGA48" s="478"/>
      <c r="HGB48" s="478"/>
      <c r="HGC48" s="478"/>
      <c r="HGD48" s="478"/>
      <c r="HGE48" s="478"/>
      <c r="HGF48" s="478"/>
      <c r="HGG48" s="478"/>
      <c r="HGH48" s="478"/>
      <c r="HGI48" s="478"/>
      <c r="HGJ48" s="478"/>
      <c r="HGK48" s="478"/>
      <c r="HGL48" s="478"/>
      <c r="HGM48" s="478"/>
      <c r="HGN48" s="478"/>
      <c r="HGO48" s="478"/>
      <c r="HGP48" s="478"/>
      <c r="HGQ48" s="478"/>
      <c r="HGR48" s="478"/>
      <c r="HGS48" s="478"/>
      <c r="HGT48" s="478"/>
      <c r="HGU48" s="478"/>
      <c r="HGV48" s="478"/>
      <c r="HGW48" s="478"/>
      <c r="HGX48" s="478"/>
      <c r="HGY48" s="478"/>
      <c r="HGZ48" s="478"/>
      <c r="HHA48" s="478"/>
      <c r="HHB48" s="478"/>
      <c r="HHC48" s="478"/>
      <c r="HHD48" s="478"/>
      <c r="HHE48" s="478"/>
      <c r="HHF48" s="478"/>
      <c r="HHG48" s="478"/>
      <c r="HHH48" s="478"/>
      <c r="HHI48" s="478"/>
      <c r="HHJ48" s="478"/>
      <c r="HHK48" s="478"/>
      <c r="HHL48" s="478"/>
      <c r="HHM48" s="478"/>
      <c r="HHN48" s="478"/>
      <c r="HHO48" s="478"/>
      <c r="HHP48" s="478"/>
      <c r="HHQ48" s="478"/>
      <c r="HHR48" s="478"/>
      <c r="HHS48" s="478"/>
      <c r="HHT48" s="478"/>
      <c r="HHU48" s="478"/>
      <c r="HHV48" s="478"/>
      <c r="HHW48" s="478"/>
      <c r="HHX48" s="478"/>
      <c r="HHY48" s="478"/>
      <c r="HHZ48" s="478"/>
      <c r="HIA48" s="478"/>
      <c r="HIB48" s="478"/>
      <c r="HIC48" s="478"/>
      <c r="HID48" s="478"/>
      <c r="HIE48" s="478"/>
      <c r="HIF48" s="478"/>
      <c r="HIG48" s="478"/>
      <c r="HIH48" s="478"/>
      <c r="HII48" s="478"/>
      <c r="HIJ48" s="478"/>
      <c r="HIK48" s="478"/>
      <c r="HIL48" s="478"/>
      <c r="HIM48" s="478"/>
      <c r="HIN48" s="478"/>
      <c r="HIO48" s="478"/>
      <c r="HIP48" s="478"/>
      <c r="HIQ48" s="478"/>
      <c r="HIR48" s="478"/>
      <c r="HIS48" s="478"/>
      <c r="HIT48" s="478"/>
      <c r="HIU48" s="478"/>
      <c r="HIV48" s="478"/>
      <c r="HIW48" s="478"/>
      <c r="HIX48" s="478"/>
      <c r="HIY48" s="478"/>
      <c r="HIZ48" s="478"/>
      <c r="HJA48" s="478"/>
      <c r="HJB48" s="478"/>
      <c r="HJC48" s="478"/>
      <c r="HJD48" s="478"/>
      <c r="HJE48" s="478"/>
      <c r="HJF48" s="478"/>
      <c r="HJG48" s="478"/>
      <c r="HJH48" s="478"/>
      <c r="HJI48" s="478"/>
      <c r="HJJ48" s="478"/>
      <c r="HJK48" s="478"/>
      <c r="HJL48" s="478"/>
      <c r="HJM48" s="478"/>
      <c r="HJN48" s="478"/>
      <c r="HJO48" s="478"/>
      <c r="HJP48" s="478"/>
      <c r="HJQ48" s="478"/>
      <c r="HJR48" s="478"/>
      <c r="HJS48" s="478"/>
      <c r="HJT48" s="478"/>
      <c r="HJU48" s="478"/>
      <c r="HJV48" s="478"/>
      <c r="HJW48" s="478"/>
      <c r="HJX48" s="478"/>
      <c r="HJY48" s="478"/>
      <c r="HJZ48" s="478"/>
      <c r="HKA48" s="478"/>
      <c r="HKB48" s="478"/>
      <c r="HKC48" s="478"/>
      <c r="HKD48" s="478"/>
      <c r="HKE48" s="478"/>
      <c r="HKF48" s="478"/>
      <c r="HKG48" s="478"/>
      <c r="HKH48" s="478"/>
      <c r="HKI48" s="478"/>
      <c r="HKJ48" s="478"/>
      <c r="HKK48" s="478"/>
      <c r="HKL48" s="478"/>
      <c r="HKM48" s="478"/>
      <c r="HKN48" s="478"/>
      <c r="HKO48" s="478"/>
      <c r="HKP48" s="478"/>
      <c r="HKQ48" s="478"/>
      <c r="HKR48" s="478"/>
      <c r="HKS48" s="478"/>
      <c r="HKT48" s="478"/>
      <c r="HKU48" s="478"/>
      <c r="HKV48" s="478"/>
      <c r="HKW48" s="478"/>
      <c r="HKX48" s="478"/>
      <c r="HKY48" s="478"/>
      <c r="HKZ48" s="478"/>
      <c r="HLA48" s="478"/>
      <c r="HLB48" s="478"/>
      <c r="HLC48" s="478"/>
      <c r="HLD48" s="478"/>
      <c r="HLE48" s="478"/>
      <c r="HLF48" s="478"/>
      <c r="HLG48" s="478"/>
      <c r="HLH48" s="478"/>
      <c r="HLI48" s="478"/>
      <c r="HLJ48" s="478"/>
      <c r="HLK48" s="478"/>
      <c r="HLL48" s="478"/>
      <c r="HLM48" s="478"/>
      <c r="HLN48" s="478"/>
      <c r="HLO48" s="478"/>
      <c r="HLP48" s="478"/>
      <c r="HLQ48" s="478"/>
      <c r="HLR48" s="478"/>
      <c r="HLS48" s="478"/>
      <c r="HLT48" s="478"/>
      <c r="HLU48" s="478"/>
      <c r="HLV48" s="478"/>
      <c r="HLW48" s="478"/>
      <c r="HLX48" s="478"/>
      <c r="HLY48" s="478"/>
      <c r="HLZ48" s="478"/>
      <c r="HMA48" s="478"/>
      <c r="HMB48" s="478"/>
      <c r="HMC48" s="478"/>
      <c r="HMD48" s="478"/>
      <c r="HME48" s="478"/>
      <c r="HMF48" s="478"/>
      <c r="HMG48" s="478"/>
      <c r="HMH48" s="478"/>
      <c r="HMI48" s="478"/>
      <c r="HMJ48" s="478"/>
      <c r="HMK48" s="478"/>
      <c r="HML48" s="478"/>
      <c r="HMM48" s="478"/>
      <c r="HMN48" s="478"/>
      <c r="HMO48" s="478"/>
      <c r="HMP48" s="478"/>
      <c r="HMQ48" s="478"/>
      <c r="HMR48" s="478"/>
      <c r="HMS48" s="478"/>
      <c r="HMT48" s="478"/>
      <c r="HMU48" s="478"/>
      <c r="HMV48" s="478"/>
      <c r="HMW48" s="478"/>
      <c r="HMX48" s="478"/>
      <c r="HMY48" s="478"/>
      <c r="HMZ48" s="478"/>
      <c r="HNA48" s="478"/>
      <c r="HNB48" s="478"/>
      <c r="HNC48" s="478"/>
      <c r="HND48" s="478"/>
      <c r="HNE48" s="478"/>
      <c r="HNF48" s="478"/>
      <c r="HNG48" s="478"/>
      <c r="HNH48" s="478"/>
      <c r="HNI48" s="478"/>
      <c r="HNJ48" s="478"/>
      <c r="HNK48" s="478"/>
      <c r="HNL48" s="478"/>
      <c r="HNM48" s="478"/>
      <c r="HNN48" s="478"/>
      <c r="HNO48" s="478"/>
      <c r="HNP48" s="478"/>
      <c r="HNQ48" s="478"/>
      <c r="HNR48" s="478"/>
      <c r="HNS48" s="478"/>
      <c r="HNT48" s="478"/>
      <c r="HNU48" s="478"/>
      <c r="HNV48" s="478"/>
      <c r="HNW48" s="478"/>
      <c r="HNX48" s="478"/>
      <c r="HNY48" s="478"/>
      <c r="HNZ48" s="478"/>
      <c r="HOA48" s="478"/>
      <c r="HOB48" s="478"/>
      <c r="HOC48" s="478"/>
      <c r="HOD48" s="478"/>
      <c r="HOE48" s="478"/>
      <c r="HOF48" s="478"/>
      <c r="HOG48" s="478"/>
      <c r="HOH48" s="478"/>
      <c r="HOI48" s="478"/>
      <c r="HOJ48" s="478"/>
      <c r="HOK48" s="478"/>
      <c r="HOL48" s="478"/>
      <c r="HOM48" s="478"/>
      <c r="HON48" s="478"/>
      <c r="HOO48" s="478"/>
      <c r="HOP48" s="478"/>
      <c r="HOQ48" s="478"/>
      <c r="HOR48" s="478"/>
      <c r="HOS48" s="478"/>
      <c r="HOT48" s="478"/>
      <c r="HOU48" s="478"/>
      <c r="HOV48" s="478"/>
      <c r="HOW48" s="478"/>
      <c r="HOX48" s="478"/>
      <c r="HOY48" s="478"/>
      <c r="HOZ48" s="478"/>
      <c r="HPA48" s="478"/>
      <c r="HPB48" s="478"/>
      <c r="HPC48" s="478"/>
      <c r="HPD48" s="478"/>
      <c r="HPE48" s="478"/>
      <c r="HPF48" s="478"/>
      <c r="HPG48" s="478"/>
      <c r="HPH48" s="478"/>
      <c r="HPI48" s="478"/>
      <c r="HPJ48" s="478"/>
      <c r="HPK48" s="478"/>
      <c r="HPL48" s="478"/>
      <c r="HPM48" s="478"/>
      <c r="HPN48" s="478"/>
      <c r="HPO48" s="478"/>
      <c r="HPP48" s="478"/>
      <c r="HPQ48" s="478"/>
      <c r="HPR48" s="478"/>
      <c r="HPS48" s="478"/>
      <c r="HPT48" s="478"/>
      <c r="HPU48" s="478"/>
      <c r="HPV48" s="478"/>
      <c r="HPW48" s="478"/>
      <c r="HPX48" s="478"/>
      <c r="HPY48" s="478"/>
      <c r="HPZ48" s="478"/>
      <c r="HQA48" s="478"/>
      <c r="HQB48" s="478"/>
      <c r="HQC48" s="478"/>
      <c r="HQD48" s="478"/>
      <c r="HQE48" s="478"/>
      <c r="HQF48" s="478"/>
      <c r="HQG48" s="478"/>
      <c r="HQH48" s="478"/>
      <c r="HQI48" s="478"/>
      <c r="HQJ48" s="478"/>
      <c r="HQK48" s="478"/>
      <c r="HQL48" s="478"/>
      <c r="HQM48" s="478"/>
      <c r="HQN48" s="478"/>
      <c r="HQO48" s="478"/>
      <c r="HQP48" s="478"/>
      <c r="HQQ48" s="478"/>
      <c r="HQR48" s="478"/>
      <c r="HQS48" s="478"/>
      <c r="HQT48" s="478"/>
      <c r="HQU48" s="478"/>
      <c r="HQV48" s="478"/>
      <c r="HQW48" s="478"/>
      <c r="HQX48" s="478"/>
      <c r="HQY48" s="478"/>
      <c r="HQZ48" s="478"/>
      <c r="HRA48" s="478"/>
      <c r="HRB48" s="478"/>
      <c r="HRC48" s="478"/>
      <c r="HRD48" s="478"/>
      <c r="HRE48" s="478"/>
      <c r="HRF48" s="478"/>
      <c r="HRG48" s="478"/>
      <c r="HRH48" s="478"/>
      <c r="HRI48" s="478"/>
      <c r="HRJ48" s="478"/>
      <c r="HRK48" s="478"/>
      <c r="HRL48" s="478"/>
      <c r="HRM48" s="478"/>
      <c r="HRN48" s="478"/>
      <c r="HRO48" s="478"/>
      <c r="HRP48" s="478"/>
      <c r="HRQ48" s="478"/>
      <c r="HRR48" s="478"/>
      <c r="HRS48" s="478"/>
      <c r="HRT48" s="478"/>
      <c r="HRU48" s="478"/>
      <c r="HRV48" s="478"/>
      <c r="HRW48" s="478"/>
      <c r="HRX48" s="478"/>
      <c r="HRY48" s="478"/>
      <c r="HRZ48" s="478"/>
      <c r="HSA48" s="478"/>
      <c r="HSB48" s="478"/>
      <c r="HSC48" s="478"/>
      <c r="HSD48" s="478"/>
      <c r="HSE48" s="478"/>
      <c r="HSF48" s="478"/>
      <c r="HSG48" s="478"/>
      <c r="HSH48" s="478"/>
      <c r="HSI48" s="478"/>
      <c r="HSJ48" s="478"/>
      <c r="HSK48" s="478"/>
      <c r="HSL48" s="478"/>
      <c r="HSM48" s="478"/>
      <c r="HSN48" s="478"/>
      <c r="HSO48" s="478"/>
      <c r="HSP48" s="478"/>
      <c r="HSQ48" s="478"/>
      <c r="HSR48" s="478"/>
      <c r="HSS48" s="478"/>
      <c r="HST48" s="478"/>
      <c r="HSU48" s="478"/>
      <c r="HSV48" s="478"/>
      <c r="HSW48" s="478"/>
      <c r="HSX48" s="478"/>
      <c r="HSY48" s="478"/>
      <c r="HSZ48" s="478"/>
      <c r="HTA48" s="478"/>
      <c r="HTB48" s="478"/>
      <c r="HTC48" s="478"/>
      <c r="HTD48" s="478"/>
      <c r="HTE48" s="478"/>
      <c r="HTF48" s="478"/>
      <c r="HTG48" s="478"/>
      <c r="HTH48" s="478"/>
      <c r="HTI48" s="478"/>
      <c r="HTJ48" s="478"/>
      <c r="HTK48" s="478"/>
      <c r="HTL48" s="478"/>
      <c r="HTM48" s="478"/>
      <c r="HTN48" s="478"/>
      <c r="HTO48" s="478"/>
      <c r="HTP48" s="478"/>
      <c r="HTQ48" s="478"/>
      <c r="HTR48" s="478"/>
      <c r="HTS48" s="478"/>
      <c r="HTT48" s="478"/>
      <c r="HTU48" s="478"/>
      <c r="HTV48" s="478"/>
      <c r="HTW48" s="478"/>
      <c r="HTX48" s="478"/>
      <c r="HTY48" s="478"/>
      <c r="HTZ48" s="478"/>
      <c r="HUA48" s="478"/>
      <c r="HUB48" s="478"/>
      <c r="HUC48" s="478"/>
      <c r="HUD48" s="478"/>
      <c r="HUE48" s="478"/>
      <c r="HUF48" s="478"/>
      <c r="HUG48" s="478"/>
      <c r="HUH48" s="478"/>
      <c r="HUI48" s="478"/>
      <c r="HUJ48" s="478"/>
      <c r="HUK48" s="478"/>
      <c r="HUL48" s="478"/>
      <c r="HUM48" s="478"/>
      <c r="HUN48" s="478"/>
      <c r="HUO48" s="478"/>
      <c r="HUP48" s="478"/>
      <c r="HUQ48" s="478"/>
      <c r="HUR48" s="478"/>
      <c r="HUS48" s="478"/>
      <c r="HUT48" s="478"/>
      <c r="HUU48" s="478"/>
      <c r="HUV48" s="478"/>
      <c r="HUW48" s="478"/>
      <c r="HUX48" s="478"/>
      <c r="HUY48" s="478"/>
      <c r="HUZ48" s="478"/>
      <c r="HVA48" s="478"/>
      <c r="HVB48" s="478"/>
      <c r="HVC48" s="478"/>
      <c r="HVD48" s="478"/>
      <c r="HVE48" s="478"/>
      <c r="HVF48" s="478"/>
      <c r="HVG48" s="478"/>
      <c r="HVH48" s="478"/>
      <c r="HVI48" s="478"/>
      <c r="HVJ48" s="478"/>
      <c r="HVK48" s="478"/>
      <c r="HVL48" s="478"/>
      <c r="HVM48" s="478"/>
      <c r="HVN48" s="478"/>
      <c r="HVO48" s="478"/>
      <c r="HVP48" s="478"/>
      <c r="HVQ48" s="478"/>
      <c r="HVR48" s="478"/>
      <c r="HVS48" s="478"/>
      <c r="HVT48" s="478"/>
      <c r="HVU48" s="478"/>
      <c r="HVV48" s="478"/>
      <c r="HVW48" s="478"/>
      <c r="HVX48" s="478"/>
      <c r="HVY48" s="478"/>
      <c r="HVZ48" s="478"/>
      <c r="HWA48" s="478"/>
      <c r="HWB48" s="478"/>
      <c r="HWC48" s="478"/>
      <c r="HWD48" s="478"/>
      <c r="HWE48" s="478"/>
      <c r="HWF48" s="478"/>
      <c r="HWG48" s="478"/>
      <c r="HWH48" s="478"/>
      <c r="HWI48" s="478"/>
      <c r="HWJ48" s="478"/>
      <c r="HWK48" s="478"/>
      <c r="HWL48" s="478"/>
      <c r="HWM48" s="478"/>
      <c r="HWN48" s="478"/>
      <c r="HWO48" s="478"/>
      <c r="HWP48" s="478"/>
      <c r="HWQ48" s="478"/>
      <c r="HWR48" s="478"/>
      <c r="HWS48" s="478"/>
      <c r="HWT48" s="478"/>
      <c r="HWU48" s="478"/>
      <c r="HWV48" s="478"/>
      <c r="HWW48" s="478"/>
      <c r="HWX48" s="478"/>
      <c r="HWY48" s="478"/>
      <c r="HWZ48" s="478"/>
      <c r="HXA48" s="478"/>
      <c r="HXB48" s="478"/>
      <c r="HXC48" s="478"/>
      <c r="HXD48" s="478"/>
      <c r="HXE48" s="478"/>
      <c r="HXF48" s="478"/>
      <c r="HXG48" s="478"/>
      <c r="HXH48" s="478"/>
      <c r="HXI48" s="478"/>
      <c r="HXJ48" s="478"/>
      <c r="HXK48" s="478"/>
      <c r="HXL48" s="478"/>
      <c r="HXM48" s="478"/>
      <c r="HXN48" s="478"/>
      <c r="HXO48" s="478"/>
      <c r="HXP48" s="478"/>
      <c r="HXQ48" s="478"/>
      <c r="HXR48" s="478"/>
      <c r="HXS48" s="478"/>
      <c r="HXT48" s="478"/>
      <c r="HXU48" s="478"/>
      <c r="HXV48" s="478"/>
      <c r="HXW48" s="478"/>
      <c r="HXX48" s="478"/>
      <c r="HXY48" s="478"/>
      <c r="HXZ48" s="478"/>
      <c r="HYA48" s="478"/>
      <c r="HYB48" s="478"/>
      <c r="HYC48" s="478"/>
      <c r="HYD48" s="478"/>
      <c r="HYE48" s="478"/>
      <c r="HYF48" s="478"/>
      <c r="HYG48" s="478"/>
      <c r="HYH48" s="478"/>
      <c r="HYI48" s="478"/>
      <c r="HYJ48" s="478"/>
      <c r="HYK48" s="478"/>
      <c r="HYL48" s="478"/>
      <c r="HYM48" s="478"/>
      <c r="HYN48" s="478"/>
      <c r="HYO48" s="478"/>
      <c r="HYP48" s="478"/>
      <c r="HYQ48" s="478"/>
      <c r="HYR48" s="478"/>
      <c r="HYS48" s="478"/>
      <c r="HYT48" s="478"/>
      <c r="HYU48" s="478"/>
      <c r="HYV48" s="478"/>
      <c r="HYW48" s="478"/>
      <c r="HYX48" s="478"/>
      <c r="HYY48" s="478"/>
      <c r="HYZ48" s="478"/>
      <c r="HZA48" s="478"/>
      <c r="HZB48" s="478"/>
      <c r="HZC48" s="478"/>
      <c r="HZD48" s="478"/>
      <c r="HZE48" s="478"/>
      <c r="HZF48" s="478"/>
      <c r="HZG48" s="478"/>
      <c r="HZH48" s="478"/>
      <c r="HZI48" s="478"/>
      <c r="HZJ48" s="478"/>
      <c r="HZK48" s="478"/>
      <c r="HZL48" s="478"/>
      <c r="HZM48" s="478"/>
      <c r="HZN48" s="478"/>
      <c r="HZO48" s="478"/>
      <c r="HZP48" s="478"/>
      <c r="HZQ48" s="478"/>
      <c r="HZR48" s="478"/>
      <c r="HZS48" s="478"/>
      <c r="HZT48" s="478"/>
      <c r="HZU48" s="478"/>
      <c r="HZV48" s="478"/>
      <c r="HZW48" s="478"/>
      <c r="HZX48" s="478"/>
      <c r="HZY48" s="478"/>
      <c r="HZZ48" s="478"/>
      <c r="IAA48" s="478"/>
      <c r="IAB48" s="478"/>
      <c r="IAC48" s="478"/>
      <c r="IAD48" s="478"/>
      <c r="IAE48" s="478"/>
      <c r="IAF48" s="478"/>
      <c r="IAG48" s="478"/>
      <c r="IAH48" s="478"/>
      <c r="IAI48" s="478"/>
      <c r="IAJ48" s="478"/>
      <c r="IAK48" s="478"/>
      <c r="IAL48" s="478"/>
      <c r="IAM48" s="478"/>
      <c r="IAN48" s="478"/>
      <c r="IAO48" s="478"/>
      <c r="IAP48" s="478"/>
      <c r="IAQ48" s="478"/>
      <c r="IAR48" s="478"/>
      <c r="IAS48" s="478"/>
      <c r="IAT48" s="478"/>
      <c r="IAU48" s="478"/>
      <c r="IAV48" s="478"/>
      <c r="IAW48" s="478"/>
      <c r="IAX48" s="478"/>
      <c r="IAY48" s="478"/>
      <c r="IAZ48" s="478"/>
      <c r="IBA48" s="478"/>
      <c r="IBB48" s="478"/>
      <c r="IBC48" s="478"/>
      <c r="IBD48" s="478"/>
      <c r="IBE48" s="478"/>
      <c r="IBF48" s="478"/>
      <c r="IBG48" s="478"/>
      <c r="IBH48" s="478"/>
      <c r="IBI48" s="478"/>
      <c r="IBJ48" s="478"/>
      <c r="IBK48" s="478"/>
      <c r="IBL48" s="478"/>
      <c r="IBM48" s="478"/>
      <c r="IBN48" s="478"/>
      <c r="IBO48" s="478"/>
      <c r="IBP48" s="478"/>
      <c r="IBQ48" s="478"/>
      <c r="IBR48" s="478"/>
      <c r="IBS48" s="478"/>
      <c r="IBT48" s="478"/>
      <c r="IBU48" s="478"/>
      <c r="IBV48" s="478"/>
      <c r="IBW48" s="478"/>
      <c r="IBX48" s="478"/>
      <c r="IBY48" s="478"/>
      <c r="IBZ48" s="478"/>
      <c r="ICA48" s="478"/>
      <c r="ICB48" s="478"/>
      <c r="ICC48" s="478"/>
      <c r="ICD48" s="478"/>
      <c r="ICE48" s="478"/>
      <c r="ICF48" s="478"/>
      <c r="ICG48" s="478"/>
      <c r="ICH48" s="478"/>
      <c r="ICI48" s="478"/>
      <c r="ICJ48" s="478"/>
      <c r="ICK48" s="478"/>
      <c r="ICL48" s="478"/>
      <c r="ICM48" s="478"/>
      <c r="ICN48" s="478"/>
      <c r="ICO48" s="478"/>
      <c r="ICP48" s="478"/>
      <c r="ICQ48" s="478"/>
      <c r="ICR48" s="478"/>
      <c r="ICS48" s="478"/>
      <c r="ICT48" s="478"/>
      <c r="ICU48" s="478"/>
      <c r="ICV48" s="478"/>
      <c r="ICW48" s="478"/>
      <c r="ICX48" s="478"/>
      <c r="ICY48" s="478"/>
      <c r="ICZ48" s="478"/>
      <c r="IDA48" s="478"/>
      <c r="IDB48" s="478"/>
      <c r="IDC48" s="478"/>
      <c r="IDD48" s="478"/>
      <c r="IDE48" s="478"/>
      <c r="IDF48" s="478"/>
      <c r="IDG48" s="478"/>
      <c r="IDH48" s="478"/>
      <c r="IDI48" s="478"/>
      <c r="IDJ48" s="478"/>
      <c r="IDK48" s="478"/>
      <c r="IDL48" s="478"/>
      <c r="IDM48" s="478"/>
      <c r="IDN48" s="478"/>
      <c r="IDO48" s="478"/>
      <c r="IDP48" s="478"/>
      <c r="IDQ48" s="478"/>
      <c r="IDR48" s="478"/>
      <c r="IDS48" s="478"/>
      <c r="IDT48" s="478"/>
      <c r="IDU48" s="478"/>
      <c r="IDV48" s="478"/>
      <c r="IDW48" s="478"/>
      <c r="IDX48" s="478"/>
      <c r="IDY48" s="478"/>
      <c r="IDZ48" s="478"/>
      <c r="IEA48" s="478"/>
      <c r="IEB48" s="478"/>
      <c r="IEC48" s="478"/>
      <c r="IED48" s="478"/>
      <c r="IEE48" s="478"/>
      <c r="IEF48" s="478"/>
      <c r="IEG48" s="478"/>
      <c r="IEH48" s="478"/>
      <c r="IEI48" s="478"/>
      <c r="IEJ48" s="478"/>
      <c r="IEK48" s="478"/>
      <c r="IEL48" s="478"/>
      <c r="IEM48" s="478"/>
      <c r="IEN48" s="478"/>
      <c r="IEO48" s="478"/>
      <c r="IEP48" s="478"/>
      <c r="IEQ48" s="478"/>
      <c r="IER48" s="478"/>
      <c r="IES48" s="478"/>
      <c r="IET48" s="478"/>
      <c r="IEU48" s="478"/>
      <c r="IEV48" s="478"/>
      <c r="IEW48" s="478"/>
      <c r="IEX48" s="478"/>
      <c r="IEY48" s="478"/>
      <c r="IEZ48" s="478"/>
      <c r="IFA48" s="478"/>
      <c r="IFB48" s="478"/>
      <c r="IFC48" s="478"/>
      <c r="IFD48" s="478"/>
      <c r="IFE48" s="478"/>
      <c r="IFF48" s="478"/>
      <c r="IFG48" s="478"/>
      <c r="IFH48" s="478"/>
      <c r="IFI48" s="478"/>
      <c r="IFJ48" s="478"/>
      <c r="IFK48" s="478"/>
      <c r="IFL48" s="478"/>
      <c r="IFM48" s="478"/>
      <c r="IFN48" s="478"/>
      <c r="IFO48" s="478"/>
      <c r="IFP48" s="478"/>
      <c r="IFQ48" s="478"/>
      <c r="IFR48" s="478"/>
      <c r="IFS48" s="478"/>
      <c r="IFT48" s="478"/>
      <c r="IFU48" s="478"/>
      <c r="IFV48" s="478"/>
      <c r="IFW48" s="478"/>
      <c r="IFX48" s="478"/>
      <c r="IFY48" s="478"/>
      <c r="IFZ48" s="478"/>
      <c r="IGA48" s="478"/>
      <c r="IGB48" s="478"/>
      <c r="IGC48" s="478"/>
      <c r="IGD48" s="478"/>
      <c r="IGE48" s="478"/>
      <c r="IGF48" s="478"/>
      <c r="IGG48" s="478"/>
      <c r="IGH48" s="478"/>
      <c r="IGI48" s="478"/>
      <c r="IGJ48" s="478"/>
      <c r="IGK48" s="478"/>
      <c r="IGL48" s="478"/>
      <c r="IGM48" s="478"/>
      <c r="IGN48" s="478"/>
      <c r="IGO48" s="478"/>
      <c r="IGP48" s="478"/>
      <c r="IGQ48" s="478"/>
      <c r="IGR48" s="478"/>
      <c r="IGS48" s="478"/>
      <c r="IGT48" s="478"/>
      <c r="IGU48" s="478"/>
      <c r="IGV48" s="478"/>
      <c r="IGW48" s="478"/>
      <c r="IGX48" s="478"/>
      <c r="IGY48" s="478"/>
      <c r="IGZ48" s="478"/>
      <c r="IHA48" s="478"/>
      <c r="IHB48" s="478"/>
      <c r="IHC48" s="478"/>
      <c r="IHD48" s="478"/>
      <c r="IHE48" s="478"/>
      <c r="IHF48" s="478"/>
      <c r="IHG48" s="478"/>
      <c r="IHH48" s="478"/>
      <c r="IHI48" s="478"/>
      <c r="IHJ48" s="478"/>
      <c r="IHK48" s="478"/>
      <c r="IHL48" s="478"/>
      <c r="IHM48" s="478"/>
      <c r="IHN48" s="478"/>
      <c r="IHO48" s="478"/>
      <c r="IHP48" s="478"/>
      <c r="IHQ48" s="478"/>
      <c r="IHR48" s="478"/>
      <c r="IHS48" s="478"/>
      <c r="IHT48" s="478"/>
      <c r="IHU48" s="478"/>
      <c r="IHV48" s="478"/>
      <c r="IHW48" s="478"/>
      <c r="IHX48" s="478"/>
      <c r="IHY48" s="478"/>
      <c r="IHZ48" s="478"/>
      <c r="IIA48" s="478"/>
      <c r="IIB48" s="478"/>
      <c r="IIC48" s="478"/>
      <c r="IID48" s="478"/>
      <c r="IIE48" s="478"/>
      <c r="IIF48" s="478"/>
      <c r="IIG48" s="478"/>
      <c r="IIH48" s="478"/>
      <c r="III48" s="478"/>
      <c r="IIJ48" s="478"/>
      <c r="IIK48" s="478"/>
      <c r="IIL48" s="478"/>
      <c r="IIM48" s="478"/>
      <c r="IIN48" s="478"/>
      <c r="IIO48" s="478"/>
      <c r="IIP48" s="478"/>
      <c r="IIQ48" s="478"/>
      <c r="IIR48" s="478"/>
      <c r="IIS48" s="478"/>
      <c r="IIT48" s="478"/>
      <c r="IIU48" s="478"/>
      <c r="IIV48" s="478"/>
      <c r="IIW48" s="478"/>
      <c r="IIX48" s="478"/>
      <c r="IIY48" s="478"/>
      <c r="IIZ48" s="478"/>
      <c r="IJA48" s="478"/>
      <c r="IJB48" s="478"/>
      <c r="IJC48" s="478"/>
      <c r="IJD48" s="478"/>
      <c r="IJE48" s="478"/>
      <c r="IJF48" s="478"/>
      <c r="IJG48" s="478"/>
      <c r="IJH48" s="478"/>
      <c r="IJI48" s="478"/>
      <c r="IJJ48" s="478"/>
      <c r="IJK48" s="478"/>
      <c r="IJL48" s="478"/>
      <c r="IJM48" s="478"/>
      <c r="IJN48" s="478"/>
      <c r="IJO48" s="478"/>
      <c r="IJP48" s="478"/>
      <c r="IJQ48" s="478"/>
      <c r="IJR48" s="478"/>
      <c r="IJS48" s="478"/>
      <c r="IJT48" s="478"/>
      <c r="IJU48" s="478"/>
      <c r="IJV48" s="478"/>
      <c r="IJW48" s="478"/>
      <c r="IJX48" s="478"/>
      <c r="IJY48" s="478"/>
      <c r="IJZ48" s="478"/>
      <c r="IKA48" s="478"/>
      <c r="IKB48" s="478"/>
      <c r="IKC48" s="478"/>
      <c r="IKD48" s="478"/>
      <c r="IKE48" s="478"/>
      <c r="IKF48" s="478"/>
      <c r="IKG48" s="478"/>
      <c r="IKH48" s="478"/>
      <c r="IKI48" s="478"/>
      <c r="IKJ48" s="478"/>
      <c r="IKK48" s="478"/>
      <c r="IKL48" s="478"/>
      <c r="IKM48" s="478"/>
      <c r="IKN48" s="478"/>
      <c r="IKO48" s="478"/>
      <c r="IKP48" s="478"/>
      <c r="IKQ48" s="478"/>
      <c r="IKR48" s="478"/>
      <c r="IKS48" s="478"/>
      <c r="IKT48" s="478"/>
      <c r="IKU48" s="478"/>
      <c r="IKV48" s="478"/>
      <c r="IKW48" s="478"/>
      <c r="IKX48" s="478"/>
      <c r="IKY48" s="478"/>
      <c r="IKZ48" s="478"/>
      <c r="ILA48" s="478"/>
      <c r="ILB48" s="478"/>
      <c r="ILC48" s="478"/>
      <c r="ILD48" s="478"/>
      <c r="ILE48" s="478"/>
      <c r="ILF48" s="478"/>
      <c r="ILG48" s="478"/>
      <c r="ILH48" s="478"/>
      <c r="ILI48" s="478"/>
      <c r="ILJ48" s="478"/>
      <c r="ILK48" s="478"/>
      <c r="ILL48" s="478"/>
      <c r="ILM48" s="478"/>
      <c r="ILN48" s="478"/>
      <c r="ILO48" s="478"/>
      <c r="ILP48" s="478"/>
      <c r="ILQ48" s="478"/>
      <c r="ILR48" s="478"/>
      <c r="ILS48" s="478"/>
      <c r="ILT48" s="478"/>
      <c r="ILU48" s="478"/>
      <c r="ILV48" s="478"/>
      <c r="ILW48" s="478"/>
      <c r="ILX48" s="478"/>
      <c r="ILY48" s="478"/>
      <c r="ILZ48" s="478"/>
      <c r="IMA48" s="478"/>
      <c r="IMB48" s="478"/>
      <c r="IMC48" s="478"/>
      <c r="IMD48" s="478"/>
      <c r="IME48" s="478"/>
      <c r="IMF48" s="478"/>
      <c r="IMG48" s="478"/>
      <c r="IMH48" s="478"/>
      <c r="IMI48" s="478"/>
      <c r="IMJ48" s="478"/>
      <c r="IMK48" s="478"/>
      <c r="IML48" s="478"/>
      <c r="IMM48" s="478"/>
      <c r="IMN48" s="478"/>
      <c r="IMO48" s="478"/>
      <c r="IMP48" s="478"/>
      <c r="IMQ48" s="478"/>
      <c r="IMR48" s="478"/>
      <c r="IMS48" s="478"/>
      <c r="IMT48" s="478"/>
      <c r="IMU48" s="478"/>
      <c r="IMV48" s="478"/>
      <c r="IMW48" s="478"/>
      <c r="IMX48" s="478"/>
      <c r="IMY48" s="478"/>
      <c r="IMZ48" s="478"/>
      <c r="INA48" s="478"/>
      <c r="INB48" s="478"/>
      <c r="INC48" s="478"/>
      <c r="IND48" s="478"/>
      <c r="INE48" s="478"/>
      <c r="INF48" s="478"/>
      <c r="ING48" s="478"/>
      <c r="INH48" s="478"/>
      <c r="INI48" s="478"/>
      <c r="INJ48" s="478"/>
      <c r="INK48" s="478"/>
      <c r="INL48" s="478"/>
      <c r="INM48" s="478"/>
      <c r="INN48" s="478"/>
      <c r="INO48" s="478"/>
      <c r="INP48" s="478"/>
      <c r="INQ48" s="478"/>
      <c r="INR48" s="478"/>
      <c r="INS48" s="478"/>
      <c r="INT48" s="478"/>
      <c r="INU48" s="478"/>
      <c r="INV48" s="478"/>
      <c r="INW48" s="478"/>
      <c r="INX48" s="478"/>
      <c r="INY48" s="478"/>
      <c r="INZ48" s="478"/>
      <c r="IOA48" s="478"/>
      <c r="IOB48" s="478"/>
      <c r="IOC48" s="478"/>
      <c r="IOD48" s="478"/>
      <c r="IOE48" s="478"/>
      <c r="IOF48" s="478"/>
      <c r="IOG48" s="478"/>
      <c r="IOH48" s="478"/>
      <c r="IOI48" s="478"/>
      <c r="IOJ48" s="478"/>
      <c r="IOK48" s="478"/>
      <c r="IOL48" s="478"/>
      <c r="IOM48" s="478"/>
      <c r="ION48" s="478"/>
      <c r="IOO48" s="478"/>
      <c r="IOP48" s="478"/>
      <c r="IOQ48" s="478"/>
      <c r="IOR48" s="478"/>
      <c r="IOS48" s="478"/>
      <c r="IOT48" s="478"/>
      <c r="IOU48" s="478"/>
      <c r="IOV48" s="478"/>
      <c r="IOW48" s="478"/>
      <c r="IOX48" s="478"/>
      <c r="IOY48" s="478"/>
      <c r="IOZ48" s="478"/>
      <c r="IPA48" s="478"/>
      <c r="IPB48" s="478"/>
      <c r="IPC48" s="478"/>
      <c r="IPD48" s="478"/>
      <c r="IPE48" s="478"/>
      <c r="IPF48" s="478"/>
      <c r="IPG48" s="478"/>
      <c r="IPH48" s="478"/>
      <c r="IPI48" s="478"/>
      <c r="IPJ48" s="478"/>
      <c r="IPK48" s="478"/>
      <c r="IPL48" s="478"/>
      <c r="IPM48" s="478"/>
      <c r="IPN48" s="478"/>
      <c r="IPO48" s="478"/>
      <c r="IPP48" s="478"/>
      <c r="IPQ48" s="478"/>
      <c r="IPR48" s="478"/>
      <c r="IPS48" s="478"/>
      <c r="IPT48" s="478"/>
      <c r="IPU48" s="478"/>
      <c r="IPV48" s="478"/>
      <c r="IPW48" s="478"/>
      <c r="IPX48" s="478"/>
      <c r="IPY48" s="478"/>
      <c r="IPZ48" s="478"/>
      <c r="IQA48" s="478"/>
      <c r="IQB48" s="478"/>
      <c r="IQC48" s="478"/>
      <c r="IQD48" s="478"/>
      <c r="IQE48" s="478"/>
      <c r="IQF48" s="478"/>
      <c r="IQG48" s="478"/>
      <c r="IQH48" s="478"/>
      <c r="IQI48" s="478"/>
      <c r="IQJ48" s="478"/>
      <c r="IQK48" s="478"/>
      <c r="IQL48" s="478"/>
      <c r="IQM48" s="478"/>
      <c r="IQN48" s="478"/>
      <c r="IQO48" s="478"/>
      <c r="IQP48" s="478"/>
      <c r="IQQ48" s="478"/>
      <c r="IQR48" s="478"/>
      <c r="IQS48" s="478"/>
      <c r="IQT48" s="478"/>
      <c r="IQU48" s="478"/>
      <c r="IQV48" s="478"/>
      <c r="IQW48" s="478"/>
      <c r="IQX48" s="478"/>
      <c r="IQY48" s="478"/>
      <c r="IQZ48" s="478"/>
      <c r="IRA48" s="478"/>
      <c r="IRB48" s="478"/>
      <c r="IRC48" s="478"/>
      <c r="IRD48" s="478"/>
      <c r="IRE48" s="478"/>
      <c r="IRF48" s="478"/>
      <c r="IRG48" s="478"/>
      <c r="IRH48" s="478"/>
      <c r="IRI48" s="478"/>
      <c r="IRJ48" s="478"/>
      <c r="IRK48" s="478"/>
      <c r="IRL48" s="478"/>
      <c r="IRM48" s="478"/>
      <c r="IRN48" s="478"/>
      <c r="IRO48" s="478"/>
      <c r="IRP48" s="478"/>
      <c r="IRQ48" s="478"/>
      <c r="IRR48" s="478"/>
      <c r="IRS48" s="478"/>
      <c r="IRT48" s="478"/>
      <c r="IRU48" s="478"/>
      <c r="IRV48" s="478"/>
      <c r="IRW48" s="478"/>
      <c r="IRX48" s="478"/>
      <c r="IRY48" s="478"/>
      <c r="IRZ48" s="478"/>
      <c r="ISA48" s="478"/>
      <c r="ISB48" s="478"/>
      <c r="ISC48" s="478"/>
      <c r="ISD48" s="478"/>
      <c r="ISE48" s="478"/>
      <c r="ISF48" s="478"/>
      <c r="ISG48" s="478"/>
      <c r="ISH48" s="478"/>
      <c r="ISI48" s="478"/>
      <c r="ISJ48" s="478"/>
      <c r="ISK48" s="478"/>
      <c r="ISL48" s="478"/>
      <c r="ISM48" s="478"/>
      <c r="ISN48" s="478"/>
      <c r="ISO48" s="478"/>
      <c r="ISP48" s="478"/>
      <c r="ISQ48" s="478"/>
      <c r="ISR48" s="478"/>
      <c r="ISS48" s="478"/>
      <c r="IST48" s="478"/>
      <c r="ISU48" s="478"/>
      <c r="ISV48" s="478"/>
      <c r="ISW48" s="478"/>
      <c r="ISX48" s="478"/>
      <c r="ISY48" s="478"/>
      <c r="ISZ48" s="478"/>
      <c r="ITA48" s="478"/>
      <c r="ITB48" s="478"/>
      <c r="ITC48" s="478"/>
      <c r="ITD48" s="478"/>
      <c r="ITE48" s="478"/>
      <c r="ITF48" s="478"/>
      <c r="ITG48" s="478"/>
      <c r="ITH48" s="478"/>
      <c r="ITI48" s="478"/>
      <c r="ITJ48" s="478"/>
      <c r="ITK48" s="478"/>
      <c r="ITL48" s="478"/>
      <c r="ITM48" s="478"/>
      <c r="ITN48" s="478"/>
      <c r="ITO48" s="478"/>
      <c r="ITP48" s="478"/>
      <c r="ITQ48" s="478"/>
      <c r="ITR48" s="478"/>
      <c r="ITS48" s="478"/>
      <c r="ITT48" s="478"/>
      <c r="ITU48" s="478"/>
      <c r="ITV48" s="478"/>
      <c r="ITW48" s="478"/>
      <c r="ITX48" s="478"/>
      <c r="ITY48" s="478"/>
      <c r="ITZ48" s="478"/>
      <c r="IUA48" s="478"/>
      <c r="IUB48" s="478"/>
      <c r="IUC48" s="478"/>
      <c r="IUD48" s="478"/>
      <c r="IUE48" s="478"/>
      <c r="IUF48" s="478"/>
      <c r="IUG48" s="478"/>
      <c r="IUH48" s="478"/>
      <c r="IUI48" s="478"/>
      <c r="IUJ48" s="478"/>
      <c r="IUK48" s="478"/>
      <c r="IUL48" s="478"/>
      <c r="IUM48" s="478"/>
      <c r="IUN48" s="478"/>
      <c r="IUO48" s="478"/>
      <c r="IUP48" s="478"/>
      <c r="IUQ48" s="478"/>
      <c r="IUR48" s="478"/>
      <c r="IUS48" s="478"/>
      <c r="IUT48" s="478"/>
      <c r="IUU48" s="478"/>
      <c r="IUV48" s="478"/>
      <c r="IUW48" s="478"/>
      <c r="IUX48" s="478"/>
      <c r="IUY48" s="478"/>
      <c r="IUZ48" s="478"/>
      <c r="IVA48" s="478"/>
      <c r="IVB48" s="478"/>
      <c r="IVC48" s="478"/>
      <c r="IVD48" s="478"/>
      <c r="IVE48" s="478"/>
      <c r="IVF48" s="478"/>
      <c r="IVG48" s="478"/>
      <c r="IVH48" s="478"/>
      <c r="IVI48" s="478"/>
      <c r="IVJ48" s="478"/>
      <c r="IVK48" s="478"/>
      <c r="IVL48" s="478"/>
      <c r="IVM48" s="478"/>
      <c r="IVN48" s="478"/>
      <c r="IVO48" s="478"/>
      <c r="IVP48" s="478"/>
      <c r="IVQ48" s="478"/>
      <c r="IVR48" s="478"/>
      <c r="IVS48" s="478"/>
      <c r="IVT48" s="478"/>
      <c r="IVU48" s="478"/>
      <c r="IVV48" s="478"/>
      <c r="IVW48" s="478"/>
      <c r="IVX48" s="478"/>
      <c r="IVY48" s="478"/>
      <c r="IVZ48" s="478"/>
      <c r="IWA48" s="478"/>
      <c r="IWB48" s="478"/>
      <c r="IWC48" s="478"/>
      <c r="IWD48" s="478"/>
      <c r="IWE48" s="478"/>
      <c r="IWF48" s="478"/>
      <c r="IWG48" s="478"/>
      <c r="IWH48" s="478"/>
      <c r="IWI48" s="478"/>
      <c r="IWJ48" s="478"/>
      <c r="IWK48" s="478"/>
      <c r="IWL48" s="478"/>
      <c r="IWM48" s="478"/>
      <c r="IWN48" s="478"/>
      <c r="IWO48" s="478"/>
      <c r="IWP48" s="478"/>
      <c r="IWQ48" s="478"/>
      <c r="IWR48" s="478"/>
      <c r="IWS48" s="478"/>
      <c r="IWT48" s="478"/>
      <c r="IWU48" s="478"/>
      <c r="IWV48" s="478"/>
      <c r="IWW48" s="478"/>
      <c r="IWX48" s="478"/>
      <c r="IWY48" s="478"/>
      <c r="IWZ48" s="478"/>
      <c r="IXA48" s="478"/>
      <c r="IXB48" s="478"/>
      <c r="IXC48" s="478"/>
      <c r="IXD48" s="478"/>
      <c r="IXE48" s="478"/>
      <c r="IXF48" s="478"/>
      <c r="IXG48" s="478"/>
      <c r="IXH48" s="478"/>
      <c r="IXI48" s="478"/>
      <c r="IXJ48" s="478"/>
      <c r="IXK48" s="478"/>
      <c r="IXL48" s="478"/>
      <c r="IXM48" s="478"/>
      <c r="IXN48" s="478"/>
      <c r="IXO48" s="478"/>
      <c r="IXP48" s="478"/>
      <c r="IXQ48" s="478"/>
      <c r="IXR48" s="478"/>
      <c r="IXS48" s="478"/>
      <c r="IXT48" s="478"/>
      <c r="IXU48" s="478"/>
      <c r="IXV48" s="478"/>
      <c r="IXW48" s="478"/>
      <c r="IXX48" s="478"/>
      <c r="IXY48" s="478"/>
      <c r="IXZ48" s="478"/>
      <c r="IYA48" s="478"/>
      <c r="IYB48" s="478"/>
      <c r="IYC48" s="478"/>
      <c r="IYD48" s="478"/>
      <c r="IYE48" s="478"/>
      <c r="IYF48" s="478"/>
      <c r="IYG48" s="478"/>
      <c r="IYH48" s="478"/>
      <c r="IYI48" s="478"/>
      <c r="IYJ48" s="478"/>
      <c r="IYK48" s="478"/>
      <c r="IYL48" s="478"/>
      <c r="IYM48" s="478"/>
      <c r="IYN48" s="478"/>
      <c r="IYO48" s="478"/>
      <c r="IYP48" s="478"/>
      <c r="IYQ48" s="478"/>
      <c r="IYR48" s="478"/>
      <c r="IYS48" s="478"/>
      <c r="IYT48" s="478"/>
      <c r="IYU48" s="478"/>
      <c r="IYV48" s="478"/>
      <c r="IYW48" s="478"/>
      <c r="IYX48" s="478"/>
      <c r="IYY48" s="478"/>
      <c r="IYZ48" s="478"/>
      <c r="IZA48" s="478"/>
      <c r="IZB48" s="478"/>
      <c r="IZC48" s="478"/>
      <c r="IZD48" s="478"/>
      <c r="IZE48" s="478"/>
      <c r="IZF48" s="478"/>
      <c r="IZG48" s="478"/>
      <c r="IZH48" s="478"/>
      <c r="IZI48" s="478"/>
      <c r="IZJ48" s="478"/>
      <c r="IZK48" s="478"/>
      <c r="IZL48" s="478"/>
      <c r="IZM48" s="478"/>
      <c r="IZN48" s="478"/>
      <c r="IZO48" s="478"/>
      <c r="IZP48" s="478"/>
      <c r="IZQ48" s="478"/>
      <c r="IZR48" s="478"/>
      <c r="IZS48" s="478"/>
      <c r="IZT48" s="478"/>
      <c r="IZU48" s="478"/>
      <c r="IZV48" s="478"/>
      <c r="IZW48" s="478"/>
      <c r="IZX48" s="478"/>
      <c r="IZY48" s="478"/>
      <c r="IZZ48" s="478"/>
      <c r="JAA48" s="478"/>
      <c r="JAB48" s="478"/>
      <c r="JAC48" s="478"/>
      <c r="JAD48" s="478"/>
      <c r="JAE48" s="478"/>
      <c r="JAF48" s="478"/>
      <c r="JAG48" s="478"/>
      <c r="JAH48" s="478"/>
      <c r="JAI48" s="478"/>
      <c r="JAJ48" s="478"/>
      <c r="JAK48" s="478"/>
      <c r="JAL48" s="478"/>
      <c r="JAM48" s="478"/>
      <c r="JAN48" s="478"/>
      <c r="JAO48" s="478"/>
      <c r="JAP48" s="478"/>
      <c r="JAQ48" s="478"/>
      <c r="JAR48" s="478"/>
      <c r="JAS48" s="478"/>
      <c r="JAT48" s="478"/>
      <c r="JAU48" s="478"/>
      <c r="JAV48" s="478"/>
      <c r="JAW48" s="478"/>
      <c r="JAX48" s="478"/>
      <c r="JAY48" s="478"/>
      <c r="JAZ48" s="478"/>
      <c r="JBA48" s="478"/>
      <c r="JBB48" s="478"/>
      <c r="JBC48" s="478"/>
      <c r="JBD48" s="478"/>
      <c r="JBE48" s="478"/>
      <c r="JBF48" s="478"/>
      <c r="JBG48" s="478"/>
      <c r="JBH48" s="478"/>
      <c r="JBI48" s="478"/>
      <c r="JBJ48" s="478"/>
      <c r="JBK48" s="478"/>
      <c r="JBL48" s="478"/>
      <c r="JBM48" s="478"/>
      <c r="JBN48" s="478"/>
      <c r="JBO48" s="478"/>
      <c r="JBP48" s="478"/>
      <c r="JBQ48" s="478"/>
      <c r="JBR48" s="478"/>
      <c r="JBS48" s="478"/>
      <c r="JBT48" s="478"/>
      <c r="JBU48" s="478"/>
      <c r="JBV48" s="478"/>
      <c r="JBW48" s="478"/>
      <c r="JBX48" s="478"/>
      <c r="JBY48" s="478"/>
      <c r="JBZ48" s="478"/>
      <c r="JCA48" s="478"/>
      <c r="JCB48" s="478"/>
      <c r="JCC48" s="478"/>
      <c r="JCD48" s="478"/>
      <c r="JCE48" s="478"/>
      <c r="JCF48" s="478"/>
      <c r="JCG48" s="478"/>
      <c r="JCH48" s="478"/>
      <c r="JCI48" s="478"/>
      <c r="JCJ48" s="478"/>
      <c r="JCK48" s="478"/>
      <c r="JCL48" s="478"/>
      <c r="JCM48" s="478"/>
      <c r="JCN48" s="478"/>
      <c r="JCO48" s="478"/>
      <c r="JCP48" s="478"/>
      <c r="JCQ48" s="478"/>
      <c r="JCR48" s="478"/>
      <c r="JCS48" s="478"/>
      <c r="JCT48" s="478"/>
      <c r="JCU48" s="478"/>
      <c r="JCV48" s="478"/>
      <c r="JCW48" s="478"/>
      <c r="JCX48" s="478"/>
      <c r="JCY48" s="478"/>
      <c r="JCZ48" s="478"/>
      <c r="JDA48" s="478"/>
      <c r="JDB48" s="478"/>
      <c r="JDC48" s="478"/>
      <c r="JDD48" s="478"/>
      <c r="JDE48" s="478"/>
      <c r="JDF48" s="478"/>
      <c r="JDG48" s="478"/>
      <c r="JDH48" s="478"/>
      <c r="JDI48" s="478"/>
      <c r="JDJ48" s="478"/>
      <c r="JDK48" s="478"/>
      <c r="JDL48" s="478"/>
      <c r="JDM48" s="478"/>
      <c r="JDN48" s="478"/>
      <c r="JDO48" s="478"/>
      <c r="JDP48" s="478"/>
      <c r="JDQ48" s="478"/>
      <c r="JDR48" s="478"/>
      <c r="JDS48" s="478"/>
      <c r="JDT48" s="478"/>
      <c r="JDU48" s="478"/>
      <c r="JDV48" s="478"/>
      <c r="JDW48" s="478"/>
      <c r="JDX48" s="478"/>
      <c r="JDY48" s="478"/>
      <c r="JDZ48" s="478"/>
      <c r="JEA48" s="478"/>
      <c r="JEB48" s="478"/>
      <c r="JEC48" s="478"/>
      <c r="JED48" s="478"/>
      <c r="JEE48" s="478"/>
      <c r="JEF48" s="478"/>
      <c r="JEG48" s="478"/>
      <c r="JEH48" s="478"/>
      <c r="JEI48" s="478"/>
      <c r="JEJ48" s="478"/>
      <c r="JEK48" s="478"/>
      <c r="JEL48" s="478"/>
      <c r="JEM48" s="478"/>
      <c r="JEN48" s="478"/>
      <c r="JEO48" s="478"/>
      <c r="JEP48" s="478"/>
      <c r="JEQ48" s="478"/>
      <c r="JER48" s="478"/>
      <c r="JES48" s="478"/>
      <c r="JET48" s="478"/>
      <c r="JEU48" s="478"/>
      <c r="JEV48" s="478"/>
      <c r="JEW48" s="478"/>
      <c r="JEX48" s="478"/>
      <c r="JEY48" s="478"/>
      <c r="JEZ48" s="478"/>
      <c r="JFA48" s="478"/>
      <c r="JFB48" s="478"/>
      <c r="JFC48" s="478"/>
      <c r="JFD48" s="478"/>
      <c r="JFE48" s="478"/>
      <c r="JFF48" s="478"/>
      <c r="JFG48" s="478"/>
      <c r="JFH48" s="478"/>
      <c r="JFI48" s="478"/>
      <c r="JFJ48" s="478"/>
      <c r="JFK48" s="478"/>
      <c r="JFL48" s="478"/>
      <c r="JFM48" s="478"/>
      <c r="JFN48" s="478"/>
      <c r="JFO48" s="478"/>
      <c r="JFP48" s="478"/>
      <c r="JFQ48" s="478"/>
      <c r="JFR48" s="478"/>
      <c r="JFS48" s="478"/>
      <c r="JFT48" s="478"/>
      <c r="JFU48" s="478"/>
      <c r="JFV48" s="478"/>
      <c r="JFW48" s="478"/>
      <c r="JFX48" s="478"/>
      <c r="JFY48" s="478"/>
      <c r="JFZ48" s="478"/>
      <c r="JGA48" s="478"/>
      <c r="JGB48" s="478"/>
      <c r="JGC48" s="478"/>
      <c r="JGD48" s="478"/>
      <c r="JGE48" s="478"/>
      <c r="JGF48" s="478"/>
      <c r="JGG48" s="478"/>
      <c r="JGH48" s="478"/>
      <c r="JGI48" s="478"/>
      <c r="JGJ48" s="478"/>
      <c r="JGK48" s="478"/>
      <c r="JGL48" s="478"/>
      <c r="JGM48" s="478"/>
      <c r="JGN48" s="478"/>
      <c r="JGO48" s="478"/>
      <c r="JGP48" s="478"/>
      <c r="JGQ48" s="478"/>
      <c r="JGR48" s="478"/>
      <c r="JGS48" s="478"/>
      <c r="JGT48" s="478"/>
      <c r="JGU48" s="478"/>
      <c r="JGV48" s="478"/>
      <c r="JGW48" s="478"/>
      <c r="JGX48" s="478"/>
      <c r="JGY48" s="478"/>
      <c r="JGZ48" s="478"/>
      <c r="JHA48" s="478"/>
      <c r="JHB48" s="478"/>
      <c r="JHC48" s="478"/>
      <c r="JHD48" s="478"/>
      <c r="JHE48" s="478"/>
      <c r="JHF48" s="478"/>
      <c r="JHG48" s="478"/>
      <c r="JHH48" s="478"/>
      <c r="JHI48" s="478"/>
      <c r="JHJ48" s="478"/>
      <c r="JHK48" s="478"/>
      <c r="JHL48" s="478"/>
      <c r="JHM48" s="478"/>
      <c r="JHN48" s="478"/>
      <c r="JHO48" s="478"/>
      <c r="JHP48" s="478"/>
      <c r="JHQ48" s="478"/>
      <c r="JHR48" s="478"/>
      <c r="JHS48" s="478"/>
      <c r="JHT48" s="478"/>
      <c r="JHU48" s="478"/>
      <c r="JHV48" s="478"/>
      <c r="JHW48" s="478"/>
      <c r="JHX48" s="478"/>
      <c r="JHY48" s="478"/>
      <c r="JHZ48" s="478"/>
      <c r="JIA48" s="478"/>
      <c r="JIB48" s="478"/>
      <c r="JIC48" s="478"/>
      <c r="JID48" s="478"/>
      <c r="JIE48" s="478"/>
      <c r="JIF48" s="478"/>
      <c r="JIG48" s="478"/>
      <c r="JIH48" s="478"/>
      <c r="JII48" s="478"/>
      <c r="JIJ48" s="478"/>
      <c r="JIK48" s="478"/>
      <c r="JIL48" s="478"/>
      <c r="JIM48" s="478"/>
      <c r="JIN48" s="478"/>
      <c r="JIO48" s="478"/>
      <c r="JIP48" s="478"/>
      <c r="JIQ48" s="478"/>
      <c r="JIR48" s="478"/>
      <c r="JIS48" s="478"/>
      <c r="JIT48" s="478"/>
      <c r="JIU48" s="478"/>
      <c r="JIV48" s="478"/>
      <c r="JIW48" s="478"/>
      <c r="JIX48" s="478"/>
      <c r="JIY48" s="478"/>
      <c r="JIZ48" s="478"/>
      <c r="JJA48" s="478"/>
      <c r="JJB48" s="478"/>
      <c r="JJC48" s="478"/>
      <c r="JJD48" s="478"/>
      <c r="JJE48" s="478"/>
      <c r="JJF48" s="478"/>
      <c r="JJG48" s="478"/>
      <c r="JJH48" s="478"/>
      <c r="JJI48" s="478"/>
      <c r="JJJ48" s="478"/>
      <c r="JJK48" s="478"/>
      <c r="JJL48" s="478"/>
      <c r="JJM48" s="478"/>
      <c r="JJN48" s="478"/>
      <c r="JJO48" s="478"/>
      <c r="JJP48" s="478"/>
      <c r="JJQ48" s="478"/>
      <c r="JJR48" s="478"/>
      <c r="JJS48" s="478"/>
      <c r="JJT48" s="478"/>
      <c r="JJU48" s="478"/>
      <c r="JJV48" s="478"/>
      <c r="JJW48" s="478"/>
      <c r="JJX48" s="478"/>
      <c r="JJY48" s="478"/>
      <c r="JJZ48" s="478"/>
      <c r="JKA48" s="478"/>
      <c r="JKB48" s="478"/>
      <c r="JKC48" s="478"/>
      <c r="JKD48" s="478"/>
      <c r="JKE48" s="478"/>
      <c r="JKF48" s="478"/>
      <c r="JKG48" s="478"/>
      <c r="JKH48" s="478"/>
      <c r="JKI48" s="478"/>
      <c r="JKJ48" s="478"/>
      <c r="JKK48" s="478"/>
      <c r="JKL48" s="478"/>
      <c r="JKM48" s="478"/>
      <c r="JKN48" s="478"/>
      <c r="JKO48" s="478"/>
      <c r="JKP48" s="478"/>
      <c r="JKQ48" s="478"/>
      <c r="JKR48" s="478"/>
      <c r="JKS48" s="478"/>
      <c r="JKT48" s="478"/>
      <c r="JKU48" s="478"/>
      <c r="JKV48" s="478"/>
      <c r="JKW48" s="478"/>
      <c r="JKX48" s="478"/>
      <c r="JKY48" s="478"/>
      <c r="JKZ48" s="478"/>
      <c r="JLA48" s="478"/>
      <c r="JLB48" s="478"/>
      <c r="JLC48" s="478"/>
      <c r="JLD48" s="478"/>
      <c r="JLE48" s="478"/>
      <c r="JLF48" s="478"/>
      <c r="JLG48" s="478"/>
      <c r="JLH48" s="478"/>
      <c r="JLI48" s="478"/>
      <c r="JLJ48" s="478"/>
      <c r="JLK48" s="478"/>
      <c r="JLL48" s="478"/>
      <c r="JLM48" s="478"/>
      <c r="JLN48" s="478"/>
      <c r="JLO48" s="478"/>
      <c r="JLP48" s="478"/>
      <c r="JLQ48" s="478"/>
      <c r="JLR48" s="478"/>
      <c r="JLS48" s="478"/>
      <c r="JLT48" s="478"/>
      <c r="JLU48" s="478"/>
      <c r="JLV48" s="478"/>
      <c r="JLW48" s="478"/>
      <c r="JLX48" s="478"/>
      <c r="JLY48" s="478"/>
      <c r="JLZ48" s="478"/>
      <c r="JMA48" s="478"/>
      <c r="JMB48" s="478"/>
      <c r="JMC48" s="478"/>
      <c r="JMD48" s="478"/>
      <c r="JME48" s="478"/>
      <c r="JMF48" s="478"/>
      <c r="JMG48" s="478"/>
      <c r="JMH48" s="478"/>
      <c r="JMI48" s="478"/>
      <c r="JMJ48" s="478"/>
      <c r="JMK48" s="478"/>
      <c r="JML48" s="478"/>
      <c r="JMM48" s="478"/>
      <c r="JMN48" s="478"/>
      <c r="JMO48" s="478"/>
      <c r="JMP48" s="478"/>
      <c r="JMQ48" s="478"/>
      <c r="JMR48" s="478"/>
      <c r="JMS48" s="478"/>
      <c r="JMT48" s="478"/>
      <c r="JMU48" s="478"/>
      <c r="JMV48" s="478"/>
      <c r="JMW48" s="478"/>
      <c r="JMX48" s="478"/>
      <c r="JMY48" s="478"/>
      <c r="JMZ48" s="478"/>
      <c r="JNA48" s="478"/>
      <c r="JNB48" s="478"/>
      <c r="JNC48" s="478"/>
      <c r="JND48" s="478"/>
      <c r="JNE48" s="478"/>
      <c r="JNF48" s="478"/>
      <c r="JNG48" s="478"/>
      <c r="JNH48" s="478"/>
      <c r="JNI48" s="478"/>
      <c r="JNJ48" s="478"/>
      <c r="JNK48" s="478"/>
      <c r="JNL48" s="478"/>
      <c r="JNM48" s="478"/>
      <c r="JNN48" s="478"/>
      <c r="JNO48" s="478"/>
      <c r="JNP48" s="478"/>
      <c r="JNQ48" s="478"/>
      <c r="JNR48" s="478"/>
      <c r="JNS48" s="478"/>
      <c r="JNT48" s="478"/>
      <c r="JNU48" s="478"/>
      <c r="JNV48" s="478"/>
      <c r="JNW48" s="478"/>
      <c r="JNX48" s="478"/>
      <c r="JNY48" s="478"/>
      <c r="JNZ48" s="478"/>
      <c r="JOA48" s="478"/>
      <c r="JOB48" s="478"/>
      <c r="JOC48" s="478"/>
      <c r="JOD48" s="478"/>
      <c r="JOE48" s="478"/>
      <c r="JOF48" s="478"/>
      <c r="JOG48" s="478"/>
      <c r="JOH48" s="478"/>
      <c r="JOI48" s="478"/>
      <c r="JOJ48" s="478"/>
      <c r="JOK48" s="478"/>
      <c r="JOL48" s="478"/>
      <c r="JOM48" s="478"/>
      <c r="JON48" s="478"/>
      <c r="JOO48" s="478"/>
      <c r="JOP48" s="478"/>
      <c r="JOQ48" s="478"/>
      <c r="JOR48" s="478"/>
      <c r="JOS48" s="478"/>
      <c r="JOT48" s="478"/>
      <c r="JOU48" s="478"/>
      <c r="JOV48" s="478"/>
      <c r="JOW48" s="478"/>
      <c r="JOX48" s="478"/>
      <c r="JOY48" s="478"/>
      <c r="JOZ48" s="478"/>
      <c r="JPA48" s="478"/>
      <c r="JPB48" s="478"/>
      <c r="JPC48" s="478"/>
      <c r="JPD48" s="478"/>
      <c r="JPE48" s="478"/>
      <c r="JPF48" s="478"/>
      <c r="JPG48" s="478"/>
      <c r="JPH48" s="478"/>
      <c r="JPI48" s="478"/>
      <c r="JPJ48" s="478"/>
      <c r="JPK48" s="478"/>
      <c r="JPL48" s="478"/>
      <c r="JPM48" s="478"/>
      <c r="JPN48" s="478"/>
      <c r="JPO48" s="478"/>
      <c r="JPP48" s="478"/>
      <c r="JPQ48" s="478"/>
      <c r="JPR48" s="478"/>
      <c r="JPS48" s="478"/>
      <c r="JPT48" s="478"/>
      <c r="JPU48" s="478"/>
      <c r="JPV48" s="478"/>
      <c r="JPW48" s="478"/>
      <c r="JPX48" s="478"/>
      <c r="JPY48" s="478"/>
      <c r="JPZ48" s="478"/>
      <c r="JQA48" s="478"/>
      <c r="JQB48" s="478"/>
      <c r="JQC48" s="478"/>
      <c r="JQD48" s="478"/>
      <c r="JQE48" s="478"/>
      <c r="JQF48" s="478"/>
      <c r="JQG48" s="478"/>
      <c r="JQH48" s="478"/>
      <c r="JQI48" s="478"/>
      <c r="JQJ48" s="478"/>
      <c r="JQK48" s="478"/>
      <c r="JQL48" s="478"/>
      <c r="JQM48" s="478"/>
      <c r="JQN48" s="478"/>
      <c r="JQO48" s="478"/>
      <c r="JQP48" s="478"/>
      <c r="JQQ48" s="478"/>
      <c r="JQR48" s="478"/>
      <c r="JQS48" s="478"/>
      <c r="JQT48" s="478"/>
      <c r="JQU48" s="478"/>
      <c r="JQV48" s="478"/>
      <c r="JQW48" s="478"/>
      <c r="JQX48" s="478"/>
      <c r="JQY48" s="478"/>
      <c r="JQZ48" s="478"/>
      <c r="JRA48" s="478"/>
      <c r="JRB48" s="478"/>
      <c r="JRC48" s="478"/>
      <c r="JRD48" s="478"/>
      <c r="JRE48" s="478"/>
      <c r="JRF48" s="478"/>
      <c r="JRG48" s="478"/>
      <c r="JRH48" s="478"/>
      <c r="JRI48" s="478"/>
      <c r="JRJ48" s="478"/>
      <c r="JRK48" s="478"/>
      <c r="JRL48" s="478"/>
      <c r="JRM48" s="478"/>
      <c r="JRN48" s="478"/>
      <c r="JRO48" s="478"/>
      <c r="JRP48" s="478"/>
      <c r="JRQ48" s="478"/>
      <c r="JRR48" s="478"/>
      <c r="JRS48" s="478"/>
      <c r="JRT48" s="478"/>
      <c r="JRU48" s="478"/>
      <c r="JRV48" s="478"/>
      <c r="JRW48" s="478"/>
      <c r="JRX48" s="478"/>
      <c r="JRY48" s="478"/>
      <c r="JRZ48" s="478"/>
      <c r="JSA48" s="478"/>
      <c r="JSB48" s="478"/>
      <c r="JSC48" s="478"/>
      <c r="JSD48" s="478"/>
      <c r="JSE48" s="478"/>
      <c r="JSF48" s="478"/>
      <c r="JSG48" s="478"/>
      <c r="JSH48" s="478"/>
      <c r="JSI48" s="478"/>
      <c r="JSJ48" s="478"/>
      <c r="JSK48" s="478"/>
      <c r="JSL48" s="478"/>
      <c r="JSM48" s="478"/>
      <c r="JSN48" s="478"/>
      <c r="JSO48" s="478"/>
      <c r="JSP48" s="478"/>
      <c r="JSQ48" s="478"/>
      <c r="JSR48" s="478"/>
      <c r="JSS48" s="478"/>
      <c r="JST48" s="478"/>
      <c r="JSU48" s="478"/>
      <c r="JSV48" s="478"/>
      <c r="JSW48" s="478"/>
      <c r="JSX48" s="478"/>
      <c r="JSY48" s="478"/>
      <c r="JSZ48" s="478"/>
      <c r="JTA48" s="478"/>
      <c r="JTB48" s="478"/>
      <c r="JTC48" s="478"/>
      <c r="JTD48" s="478"/>
      <c r="JTE48" s="478"/>
      <c r="JTF48" s="478"/>
      <c r="JTG48" s="478"/>
      <c r="JTH48" s="478"/>
      <c r="JTI48" s="478"/>
      <c r="JTJ48" s="478"/>
      <c r="JTK48" s="478"/>
      <c r="JTL48" s="478"/>
      <c r="JTM48" s="478"/>
      <c r="JTN48" s="478"/>
      <c r="JTO48" s="478"/>
      <c r="JTP48" s="478"/>
      <c r="JTQ48" s="478"/>
      <c r="JTR48" s="478"/>
      <c r="JTS48" s="478"/>
      <c r="JTT48" s="478"/>
      <c r="JTU48" s="478"/>
      <c r="JTV48" s="478"/>
      <c r="JTW48" s="478"/>
      <c r="JTX48" s="478"/>
      <c r="JTY48" s="478"/>
      <c r="JTZ48" s="478"/>
      <c r="JUA48" s="478"/>
      <c r="JUB48" s="478"/>
      <c r="JUC48" s="478"/>
      <c r="JUD48" s="478"/>
      <c r="JUE48" s="478"/>
      <c r="JUF48" s="478"/>
      <c r="JUG48" s="478"/>
      <c r="JUH48" s="478"/>
      <c r="JUI48" s="478"/>
      <c r="JUJ48" s="478"/>
      <c r="JUK48" s="478"/>
      <c r="JUL48" s="478"/>
      <c r="JUM48" s="478"/>
      <c r="JUN48" s="478"/>
      <c r="JUO48" s="478"/>
      <c r="JUP48" s="478"/>
      <c r="JUQ48" s="478"/>
      <c r="JUR48" s="478"/>
      <c r="JUS48" s="478"/>
      <c r="JUT48" s="478"/>
      <c r="JUU48" s="478"/>
      <c r="JUV48" s="478"/>
      <c r="JUW48" s="478"/>
      <c r="JUX48" s="478"/>
      <c r="JUY48" s="478"/>
      <c r="JUZ48" s="478"/>
      <c r="JVA48" s="478"/>
      <c r="JVB48" s="478"/>
      <c r="JVC48" s="478"/>
      <c r="JVD48" s="478"/>
      <c r="JVE48" s="478"/>
      <c r="JVF48" s="478"/>
      <c r="JVG48" s="478"/>
      <c r="JVH48" s="478"/>
      <c r="JVI48" s="478"/>
      <c r="JVJ48" s="478"/>
      <c r="JVK48" s="478"/>
      <c r="JVL48" s="478"/>
      <c r="JVM48" s="478"/>
      <c r="JVN48" s="478"/>
      <c r="JVO48" s="478"/>
      <c r="JVP48" s="478"/>
      <c r="JVQ48" s="478"/>
      <c r="JVR48" s="478"/>
      <c r="JVS48" s="478"/>
      <c r="JVT48" s="478"/>
      <c r="JVU48" s="478"/>
      <c r="JVV48" s="478"/>
      <c r="JVW48" s="478"/>
      <c r="JVX48" s="478"/>
      <c r="JVY48" s="478"/>
      <c r="JVZ48" s="478"/>
      <c r="JWA48" s="478"/>
      <c r="JWB48" s="478"/>
      <c r="JWC48" s="478"/>
      <c r="JWD48" s="478"/>
      <c r="JWE48" s="478"/>
      <c r="JWF48" s="478"/>
      <c r="JWG48" s="478"/>
      <c r="JWH48" s="478"/>
      <c r="JWI48" s="478"/>
      <c r="JWJ48" s="478"/>
      <c r="JWK48" s="478"/>
      <c r="JWL48" s="478"/>
      <c r="JWM48" s="478"/>
      <c r="JWN48" s="478"/>
      <c r="JWO48" s="478"/>
      <c r="JWP48" s="478"/>
      <c r="JWQ48" s="478"/>
      <c r="JWR48" s="478"/>
      <c r="JWS48" s="478"/>
      <c r="JWT48" s="478"/>
      <c r="JWU48" s="478"/>
      <c r="JWV48" s="478"/>
      <c r="JWW48" s="478"/>
      <c r="JWX48" s="478"/>
      <c r="JWY48" s="478"/>
      <c r="JWZ48" s="478"/>
      <c r="JXA48" s="478"/>
      <c r="JXB48" s="478"/>
      <c r="JXC48" s="478"/>
      <c r="JXD48" s="478"/>
      <c r="JXE48" s="478"/>
      <c r="JXF48" s="478"/>
      <c r="JXG48" s="478"/>
      <c r="JXH48" s="478"/>
      <c r="JXI48" s="478"/>
      <c r="JXJ48" s="478"/>
      <c r="JXK48" s="478"/>
      <c r="JXL48" s="478"/>
      <c r="JXM48" s="478"/>
      <c r="JXN48" s="478"/>
      <c r="JXO48" s="478"/>
      <c r="JXP48" s="478"/>
      <c r="JXQ48" s="478"/>
      <c r="JXR48" s="478"/>
      <c r="JXS48" s="478"/>
      <c r="JXT48" s="478"/>
      <c r="JXU48" s="478"/>
      <c r="JXV48" s="478"/>
      <c r="JXW48" s="478"/>
      <c r="JXX48" s="478"/>
      <c r="JXY48" s="478"/>
      <c r="JXZ48" s="478"/>
      <c r="JYA48" s="478"/>
      <c r="JYB48" s="478"/>
      <c r="JYC48" s="478"/>
      <c r="JYD48" s="478"/>
      <c r="JYE48" s="478"/>
      <c r="JYF48" s="478"/>
      <c r="JYG48" s="478"/>
      <c r="JYH48" s="478"/>
      <c r="JYI48" s="478"/>
      <c r="JYJ48" s="478"/>
      <c r="JYK48" s="478"/>
      <c r="JYL48" s="478"/>
      <c r="JYM48" s="478"/>
      <c r="JYN48" s="478"/>
      <c r="JYO48" s="478"/>
      <c r="JYP48" s="478"/>
      <c r="JYQ48" s="478"/>
      <c r="JYR48" s="478"/>
      <c r="JYS48" s="478"/>
      <c r="JYT48" s="478"/>
      <c r="JYU48" s="478"/>
      <c r="JYV48" s="478"/>
      <c r="JYW48" s="478"/>
      <c r="JYX48" s="478"/>
      <c r="JYY48" s="478"/>
      <c r="JYZ48" s="478"/>
      <c r="JZA48" s="478"/>
      <c r="JZB48" s="478"/>
      <c r="JZC48" s="478"/>
      <c r="JZD48" s="478"/>
      <c r="JZE48" s="478"/>
      <c r="JZF48" s="478"/>
      <c r="JZG48" s="478"/>
      <c r="JZH48" s="478"/>
      <c r="JZI48" s="478"/>
      <c r="JZJ48" s="478"/>
      <c r="JZK48" s="478"/>
      <c r="JZL48" s="478"/>
      <c r="JZM48" s="478"/>
      <c r="JZN48" s="478"/>
      <c r="JZO48" s="478"/>
      <c r="JZP48" s="478"/>
      <c r="JZQ48" s="478"/>
      <c r="JZR48" s="478"/>
      <c r="JZS48" s="478"/>
      <c r="JZT48" s="478"/>
      <c r="JZU48" s="478"/>
      <c r="JZV48" s="478"/>
      <c r="JZW48" s="478"/>
      <c r="JZX48" s="478"/>
      <c r="JZY48" s="478"/>
      <c r="JZZ48" s="478"/>
      <c r="KAA48" s="478"/>
      <c r="KAB48" s="478"/>
      <c r="KAC48" s="478"/>
      <c r="KAD48" s="478"/>
      <c r="KAE48" s="478"/>
      <c r="KAF48" s="478"/>
      <c r="KAG48" s="478"/>
      <c r="KAH48" s="478"/>
      <c r="KAI48" s="478"/>
      <c r="KAJ48" s="478"/>
      <c r="KAK48" s="478"/>
      <c r="KAL48" s="478"/>
      <c r="KAM48" s="478"/>
      <c r="KAN48" s="478"/>
      <c r="KAO48" s="478"/>
      <c r="KAP48" s="478"/>
      <c r="KAQ48" s="478"/>
      <c r="KAR48" s="478"/>
      <c r="KAS48" s="478"/>
      <c r="KAT48" s="478"/>
      <c r="KAU48" s="478"/>
      <c r="KAV48" s="478"/>
      <c r="KAW48" s="478"/>
      <c r="KAX48" s="478"/>
      <c r="KAY48" s="478"/>
      <c r="KAZ48" s="478"/>
      <c r="KBA48" s="478"/>
      <c r="KBB48" s="478"/>
      <c r="KBC48" s="478"/>
      <c r="KBD48" s="478"/>
      <c r="KBE48" s="478"/>
      <c r="KBF48" s="478"/>
      <c r="KBG48" s="478"/>
      <c r="KBH48" s="478"/>
      <c r="KBI48" s="478"/>
      <c r="KBJ48" s="478"/>
      <c r="KBK48" s="478"/>
      <c r="KBL48" s="478"/>
      <c r="KBM48" s="478"/>
      <c r="KBN48" s="478"/>
      <c r="KBO48" s="478"/>
      <c r="KBP48" s="478"/>
      <c r="KBQ48" s="478"/>
      <c r="KBR48" s="478"/>
      <c r="KBS48" s="478"/>
      <c r="KBT48" s="478"/>
      <c r="KBU48" s="478"/>
      <c r="KBV48" s="478"/>
      <c r="KBW48" s="478"/>
      <c r="KBX48" s="478"/>
      <c r="KBY48" s="478"/>
      <c r="KBZ48" s="478"/>
      <c r="KCA48" s="478"/>
      <c r="KCB48" s="478"/>
      <c r="KCC48" s="478"/>
      <c r="KCD48" s="478"/>
      <c r="KCE48" s="478"/>
      <c r="KCF48" s="478"/>
      <c r="KCG48" s="478"/>
      <c r="KCH48" s="478"/>
      <c r="KCI48" s="478"/>
      <c r="KCJ48" s="478"/>
      <c r="KCK48" s="478"/>
      <c r="KCL48" s="478"/>
      <c r="KCM48" s="478"/>
      <c r="KCN48" s="478"/>
      <c r="KCO48" s="478"/>
      <c r="KCP48" s="478"/>
      <c r="KCQ48" s="478"/>
      <c r="KCR48" s="478"/>
      <c r="KCS48" s="478"/>
      <c r="KCT48" s="478"/>
      <c r="KCU48" s="478"/>
      <c r="KCV48" s="478"/>
      <c r="KCW48" s="478"/>
      <c r="KCX48" s="478"/>
      <c r="KCY48" s="478"/>
      <c r="KCZ48" s="478"/>
      <c r="KDA48" s="478"/>
      <c r="KDB48" s="478"/>
      <c r="KDC48" s="478"/>
      <c r="KDD48" s="478"/>
      <c r="KDE48" s="478"/>
      <c r="KDF48" s="478"/>
      <c r="KDG48" s="478"/>
      <c r="KDH48" s="478"/>
      <c r="KDI48" s="478"/>
      <c r="KDJ48" s="478"/>
      <c r="KDK48" s="478"/>
      <c r="KDL48" s="478"/>
      <c r="KDM48" s="478"/>
      <c r="KDN48" s="478"/>
      <c r="KDO48" s="478"/>
      <c r="KDP48" s="478"/>
      <c r="KDQ48" s="478"/>
      <c r="KDR48" s="478"/>
      <c r="KDS48" s="478"/>
      <c r="KDT48" s="478"/>
      <c r="KDU48" s="478"/>
      <c r="KDV48" s="478"/>
      <c r="KDW48" s="478"/>
      <c r="KDX48" s="478"/>
      <c r="KDY48" s="478"/>
      <c r="KDZ48" s="478"/>
      <c r="KEA48" s="478"/>
      <c r="KEB48" s="478"/>
      <c r="KEC48" s="478"/>
      <c r="KED48" s="478"/>
      <c r="KEE48" s="478"/>
      <c r="KEF48" s="478"/>
      <c r="KEG48" s="478"/>
      <c r="KEH48" s="478"/>
      <c r="KEI48" s="478"/>
      <c r="KEJ48" s="478"/>
      <c r="KEK48" s="478"/>
      <c r="KEL48" s="478"/>
      <c r="KEM48" s="478"/>
      <c r="KEN48" s="478"/>
      <c r="KEO48" s="478"/>
      <c r="KEP48" s="478"/>
      <c r="KEQ48" s="478"/>
      <c r="KER48" s="478"/>
      <c r="KES48" s="478"/>
      <c r="KET48" s="478"/>
      <c r="KEU48" s="478"/>
      <c r="KEV48" s="478"/>
      <c r="KEW48" s="478"/>
      <c r="KEX48" s="478"/>
      <c r="KEY48" s="478"/>
      <c r="KEZ48" s="478"/>
      <c r="KFA48" s="478"/>
      <c r="KFB48" s="478"/>
      <c r="KFC48" s="478"/>
      <c r="KFD48" s="478"/>
      <c r="KFE48" s="478"/>
      <c r="KFF48" s="478"/>
      <c r="KFG48" s="478"/>
      <c r="KFH48" s="478"/>
      <c r="KFI48" s="478"/>
      <c r="KFJ48" s="478"/>
      <c r="KFK48" s="478"/>
      <c r="KFL48" s="478"/>
      <c r="KFM48" s="478"/>
      <c r="KFN48" s="478"/>
      <c r="KFO48" s="478"/>
      <c r="KFP48" s="478"/>
      <c r="KFQ48" s="478"/>
      <c r="KFR48" s="478"/>
      <c r="KFS48" s="478"/>
      <c r="KFT48" s="478"/>
      <c r="KFU48" s="478"/>
      <c r="KFV48" s="478"/>
      <c r="KFW48" s="478"/>
      <c r="KFX48" s="478"/>
      <c r="KFY48" s="478"/>
      <c r="KFZ48" s="478"/>
      <c r="KGA48" s="478"/>
      <c r="KGB48" s="478"/>
      <c r="KGC48" s="478"/>
      <c r="KGD48" s="478"/>
      <c r="KGE48" s="478"/>
      <c r="KGF48" s="478"/>
      <c r="KGG48" s="478"/>
      <c r="KGH48" s="478"/>
      <c r="KGI48" s="478"/>
      <c r="KGJ48" s="478"/>
      <c r="KGK48" s="478"/>
      <c r="KGL48" s="478"/>
      <c r="KGM48" s="478"/>
      <c r="KGN48" s="478"/>
      <c r="KGO48" s="478"/>
      <c r="KGP48" s="478"/>
      <c r="KGQ48" s="478"/>
      <c r="KGR48" s="478"/>
      <c r="KGS48" s="478"/>
      <c r="KGT48" s="478"/>
      <c r="KGU48" s="478"/>
      <c r="KGV48" s="478"/>
      <c r="KGW48" s="478"/>
      <c r="KGX48" s="478"/>
      <c r="KGY48" s="478"/>
      <c r="KGZ48" s="478"/>
      <c r="KHA48" s="478"/>
      <c r="KHB48" s="478"/>
      <c r="KHC48" s="478"/>
      <c r="KHD48" s="478"/>
      <c r="KHE48" s="478"/>
      <c r="KHF48" s="478"/>
      <c r="KHG48" s="478"/>
      <c r="KHH48" s="478"/>
      <c r="KHI48" s="478"/>
      <c r="KHJ48" s="478"/>
      <c r="KHK48" s="478"/>
      <c r="KHL48" s="478"/>
      <c r="KHM48" s="478"/>
      <c r="KHN48" s="478"/>
      <c r="KHO48" s="478"/>
      <c r="KHP48" s="478"/>
      <c r="KHQ48" s="478"/>
      <c r="KHR48" s="478"/>
      <c r="KHS48" s="478"/>
      <c r="KHT48" s="478"/>
      <c r="KHU48" s="478"/>
      <c r="KHV48" s="478"/>
      <c r="KHW48" s="478"/>
      <c r="KHX48" s="478"/>
      <c r="KHY48" s="478"/>
      <c r="KHZ48" s="478"/>
      <c r="KIA48" s="478"/>
      <c r="KIB48" s="478"/>
      <c r="KIC48" s="478"/>
      <c r="KID48" s="478"/>
      <c r="KIE48" s="478"/>
      <c r="KIF48" s="478"/>
      <c r="KIG48" s="478"/>
      <c r="KIH48" s="478"/>
      <c r="KII48" s="478"/>
      <c r="KIJ48" s="478"/>
      <c r="KIK48" s="478"/>
      <c r="KIL48" s="478"/>
      <c r="KIM48" s="478"/>
      <c r="KIN48" s="478"/>
      <c r="KIO48" s="478"/>
      <c r="KIP48" s="478"/>
      <c r="KIQ48" s="478"/>
      <c r="KIR48" s="478"/>
      <c r="KIS48" s="478"/>
      <c r="KIT48" s="478"/>
      <c r="KIU48" s="478"/>
      <c r="KIV48" s="478"/>
      <c r="KIW48" s="478"/>
      <c r="KIX48" s="478"/>
      <c r="KIY48" s="478"/>
      <c r="KIZ48" s="478"/>
      <c r="KJA48" s="478"/>
      <c r="KJB48" s="478"/>
      <c r="KJC48" s="478"/>
      <c r="KJD48" s="478"/>
      <c r="KJE48" s="478"/>
      <c r="KJF48" s="478"/>
      <c r="KJG48" s="478"/>
      <c r="KJH48" s="478"/>
      <c r="KJI48" s="478"/>
      <c r="KJJ48" s="478"/>
      <c r="KJK48" s="478"/>
      <c r="KJL48" s="478"/>
      <c r="KJM48" s="478"/>
      <c r="KJN48" s="478"/>
      <c r="KJO48" s="478"/>
      <c r="KJP48" s="478"/>
      <c r="KJQ48" s="478"/>
      <c r="KJR48" s="478"/>
      <c r="KJS48" s="478"/>
      <c r="KJT48" s="478"/>
      <c r="KJU48" s="478"/>
      <c r="KJV48" s="478"/>
      <c r="KJW48" s="478"/>
      <c r="KJX48" s="478"/>
      <c r="KJY48" s="478"/>
      <c r="KJZ48" s="478"/>
      <c r="KKA48" s="478"/>
      <c r="KKB48" s="478"/>
      <c r="KKC48" s="478"/>
      <c r="KKD48" s="478"/>
      <c r="KKE48" s="478"/>
      <c r="KKF48" s="478"/>
      <c r="KKG48" s="478"/>
      <c r="KKH48" s="478"/>
      <c r="KKI48" s="478"/>
      <c r="KKJ48" s="478"/>
      <c r="KKK48" s="478"/>
      <c r="KKL48" s="478"/>
      <c r="KKM48" s="478"/>
      <c r="KKN48" s="478"/>
      <c r="KKO48" s="478"/>
      <c r="KKP48" s="478"/>
      <c r="KKQ48" s="478"/>
      <c r="KKR48" s="478"/>
      <c r="KKS48" s="478"/>
      <c r="KKT48" s="478"/>
      <c r="KKU48" s="478"/>
      <c r="KKV48" s="478"/>
      <c r="KKW48" s="478"/>
      <c r="KKX48" s="478"/>
      <c r="KKY48" s="478"/>
      <c r="KKZ48" s="478"/>
      <c r="KLA48" s="478"/>
      <c r="KLB48" s="478"/>
      <c r="KLC48" s="478"/>
      <c r="KLD48" s="478"/>
      <c r="KLE48" s="478"/>
      <c r="KLF48" s="478"/>
      <c r="KLG48" s="478"/>
      <c r="KLH48" s="478"/>
      <c r="KLI48" s="478"/>
      <c r="KLJ48" s="478"/>
      <c r="KLK48" s="478"/>
      <c r="KLL48" s="478"/>
      <c r="KLM48" s="478"/>
      <c r="KLN48" s="478"/>
      <c r="KLO48" s="478"/>
      <c r="KLP48" s="478"/>
      <c r="KLQ48" s="478"/>
      <c r="KLR48" s="478"/>
      <c r="KLS48" s="478"/>
      <c r="KLT48" s="478"/>
      <c r="KLU48" s="478"/>
      <c r="KLV48" s="478"/>
      <c r="KLW48" s="478"/>
      <c r="KLX48" s="478"/>
      <c r="KLY48" s="478"/>
      <c r="KLZ48" s="478"/>
      <c r="KMA48" s="478"/>
      <c r="KMB48" s="478"/>
      <c r="KMC48" s="478"/>
      <c r="KMD48" s="478"/>
      <c r="KME48" s="478"/>
      <c r="KMF48" s="478"/>
      <c r="KMG48" s="478"/>
      <c r="KMH48" s="478"/>
      <c r="KMI48" s="478"/>
      <c r="KMJ48" s="478"/>
      <c r="KMK48" s="478"/>
      <c r="KML48" s="478"/>
      <c r="KMM48" s="478"/>
      <c r="KMN48" s="478"/>
      <c r="KMO48" s="478"/>
      <c r="KMP48" s="478"/>
      <c r="KMQ48" s="478"/>
      <c r="KMR48" s="478"/>
      <c r="KMS48" s="478"/>
      <c r="KMT48" s="478"/>
      <c r="KMU48" s="478"/>
      <c r="KMV48" s="478"/>
      <c r="KMW48" s="478"/>
      <c r="KMX48" s="478"/>
      <c r="KMY48" s="478"/>
      <c r="KMZ48" s="478"/>
      <c r="KNA48" s="478"/>
      <c r="KNB48" s="478"/>
      <c r="KNC48" s="478"/>
      <c r="KND48" s="478"/>
      <c r="KNE48" s="478"/>
      <c r="KNF48" s="478"/>
      <c r="KNG48" s="478"/>
      <c r="KNH48" s="478"/>
      <c r="KNI48" s="478"/>
      <c r="KNJ48" s="478"/>
      <c r="KNK48" s="478"/>
      <c r="KNL48" s="478"/>
      <c r="KNM48" s="478"/>
      <c r="KNN48" s="478"/>
      <c r="KNO48" s="478"/>
      <c r="KNP48" s="478"/>
      <c r="KNQ48" s="478"/>
      <c r="KNR48" s="478"/>
      <c r="KNS48" s="478"/>
      <c r="KNT48" s="478"/>
      <c r="KNU48" s="478"/>
      <c r="KNV48" s="478"/>
      <c r="KNW48" s="478"/>
      <c r="KNX48" s="478"/>
      <c r="KNY48" s="478"/>
      <c r="KNZ48" s="478"/>
      <c r="KOA48" s="478"/>
      <c r="KOB48" s="478"/>
      <c r="KOC48" s="478"/>
      <c r="KOD48" s="478"/>
      <c r="KOE48" s="478"/>
      <c r="KOF48" s="478"/>
      <c r="KOG48" s="478"/>
      <c r="KOH48" s="478"/>
      <c r="KOI48" s="478"/>
      <c r="KOJ48" s="478"/>
      <c r="KOK48" s="478"/>
      <c r="KOL48" s="478"/>
      <c r="KOM48" s="478"/>
      <c r="KON48" s="478"/>
      <c r="KOO48" s="478"/>
      <c r="KOP48" s="478"/>
      <c r="KOQ48" s="478"/>
      <c r="KOR48" s="478"/>
      <c r="KOS48" s="478"/>
      <c r="KOT48" s="478"/>
      <c r="KOU48" s="478"/>
      <c r="KOV48" s="478"/>
      <c r="KOW48" s="478"/>
      <c r="KOX48" s="478"/>
      <c r="KOY48" s="478"/>
      <c r="KOZ48" s="478"/>
      <c r="KPA48" s="478"/>
      <c r="KPB48" s="478"/>
      <c r="KPC48" s="478"/>
      <c r="KPD48" s="478"/>
      <c r="KPE48" s="478"/>
      <c r="KPF48" s="478"/>
      <c r="KPG48" s="478"/>
      <c r="KPH48" s="478"/>
      <c r="KPI48" s="478"/>
      <c r="KPJ48" s="478"/>
      <c r="KPK48" s="478"/>
      <c r="KPL48" s="478"/>
      <c r="KPM48" s="478"/>
      <c r="KPN48" s="478"/>
      <c r="KPO48" s="478"/>
      <c r="KPP48" s="478"/>
      <c r="KPQ48" s="478"/>
      <c r="KPR48" s="478"/>
      <c r="KPS48" s="478"/>
      <c r="KPT48" s="478"/>
      <c r="KPU48" s="478"/>
      <c r="KPV48" s="478"/>
      <c r="KPW48" s="478"/>
      <c r="KPX48" s="478"/>
      <c r="KPY48" s="478"/>
      <c r="KPZ48" s="478"/>
      <c r="KQA48" s="478"/>
      <c r="KQB48" s="478"/>
      <c r="KQC48" s="478"/>
      <c r="KQD48" s="478"/>
      <c r="KQE48" s="478"/>
      <c r="KQF48" s="478"/>
      <c r="KQG48" s="478"/>
      <c r="KQH48" s="478"/>
      <c r="KQI48" s="478"/>
      <c r="KQJ48" s="478"/>
      <c r="KQK48" s="478"/>
      <c r="KQL48" s="478"/>
      <c r="KQM48" s="478"/>
      <c r="KQN48" s="478"/>
      <c r="KQO48" s="478"/>
      <c r="KQP48" s="478"/>
      <c r="KQQ48" s="478"/>
      <c r="KQR48" s="478"/>
      <c r="KQS48" s="478"/>
      <c r="KQT48" s="478"/>
      <c r="KQU48" s="478"/>
      <c r="KQV48" s="478"/>
      <c r="KQW48" s="478"/>
      <c r="KQX48" s="478"/>
      <c r="KQY48" s="478"/>
      <c r="KQZ48" s="478"/>
      <c r="KRA48" s="478"/>
      <c r="KRB48" s="478"/>
      <c r="KRC48" s="478"/>
      <c r="KRD48" s="478"/>
      <c r="KRE48" s="478"/>
      <c r="KRF48" s="478"/>
      <c r="KRG48" s="478"/>
      <c r="KRH48" s="478"/>
      <c r="KRI48" s="478"/>
      <c r="KRJ48" s="478"/>
      <c r="KRK48" s="478"/>
      <c r="KRL48" s="478"/>
      <c r="KRM48" s="478"/>
      <c r="KRN48" s="478"/>
      <c r="KRO48" s="478"/>
      <c r="KRP48" s="478"/>
      <c r="KRQ48" s="478"/>
      <c r="KRR48" s="478"/>
      <c r="KRS48" s="478"/>
      <c r="KRT48" s="478"/>
      <c r="KRU48" s="478"/>
      <c r="KRV48" s="478"/>
      <c r="KRW48" s="478"/>
      <c r="KRX48" s="478"/>
      <c r="KRY48" s="478"/>
      <c r="KRZ48" s="478"/>
      <c r="KSA48" s="478"/>
      <c r="KSB48" s="478"/>
      <c r="KSC48" s="478"/>
      <c r="KSD48" s="478"/>
      <c r="KSE48" s="478"/>
      <c r="KSF48" s="478"/>
      <c r="KSG48" s="478"/>
      <c r="KSH48" s="478"/>
      <c r="KSI48" s="478"/>
      <c r="KSJ48" s="478"/>
      <c r="KSK48" s="478"/>
      <c r="KSL48" s="478"/>
      <c r="KSM48" s="478"/>
      <c r="KSN48" s="478"/>
      <c r="KSO48" s="478"/>
      <c r="KSP48" s="478"/>
      <c r="KSQ48" s="478"/>
      <c r="KSR48" s="478"/>
      <c r="KSS48" s="478"/>
      <c r="KST48" s="478"/>
      <c r="KSU48" s="478"/>
      <c r="KSV48" s="478"/>
      <c r="KSW48" s="478"/>
      <c r="KSX48" s="478"/>
      <c r="KSY48" s="478"/>
      <c r="KSZ48" s="478"/>
      <c r="KTA48" s="478"/>
      <c r="KTB48" s="478"/>
      <c r="KTC48" s="478"/>
      <c r="KTD48" s="478"/>
      <c r="KTE48" s="478"/>
      <c r="KTF48" s="478"/>
      <c r="KTG48" s="478"/>
      <c r="KTH48" s="478"/>
      <c r="KTI48" s="478"/>
      <c r="KTJ48" s="478"/>
      <c r="KTK48" s="478"/>
      <c r="KTL48" s="478"/>
      <c r="KTM48" s="478"/>
      <c r="KTN48" s="478"/>
      <c r="KTO48" s="478"/>
      <c r="KTP48" s="478"/>
      <c r="KTQ48" s="478"/>
      <c r="KTR48" s="478"/>
      <c r="KTS48" s="478"/>
      <c r="KTT48" s="478"/>
      <c r="KTU48" s="478"/>
      <c r="KTV48" s="478"/>
      <c r="KTW48" s="478"/>
      <c r="KTX48" s="478"/>
      <c r="KTY48" s="478"/>
      <c r="KTZ48" s="478"/>
      <c r="KUA48" s="478"/>
      <c r="KUB48" s="478"/>
      <c r="KUC48" s="478"/>
      <c r="KUD48" s="478"/>
      <c r="KUE48" s="478"/>
      <c r="KUF48" s="478"/>
      <c r="KUG48" s="478"/>
      <c r="KUH48" s="478"/>
      <c r="KUI48" s="478"/>
      <c r="KUJ48" s="478"/>
      <c r="KUK48" s="478"/>
      <c r="KUL48" s="478"/>
      <c r="KUM48" s="478"/>
      <c r="KUN48" s="478"/>
      <c r="KUO48" s="478"/>
      <c r="KUP48" s="478"/>
      <c r="KUQ48" s="478"/>
      <c r="KUR48" s="478"/>
      <c r="KUS48" s="478"/>
      <c r="KUT48" s="478"/>
      <c r="KUU48" s="478"/>
      <c r="KUV48" s="478"/>
      <c r="KUW48" s="478"/>
      <c r="KUX48" s="478"/>
      <c r="KUY48" s="478"/>
      <c r="KUZ48" s="478"/>
      <c r="KVA48" s="478"/>
      <c r="KVB48" s="478"/>
      <c r="KVC48" s="478"/>
      <c r="KVD48" s="478"/>
      <c r="KVE48" s="478"/>
      <c r="KVF48" s="478"/>
      <c r="KVG48" s="478"/>
      <c r="KVH48" s="478"/>
      <c r="KVI48" s="478"/>
      <c r="KVJ48" s="478"/>
      <c r="KVK48" s="478"/>
      <c r="KVL48" s="478"/>
      <c r="KVM48" s="478"/>
      <c r="KVN48" s="478"/>
      <c r="KVO48" s="478"/>
      <c r="KVP48" s="478"/>
      <c r="KVQ48" s="478"/>
      <c r="KVR48" s="478"/>
      <c r="KVS48" s="478"/>
      <c r="KVT48" s="478"/>
      <c r="KVU48" s="478"/>
      <c r="KVV48" s="478"/>
      <c r="KVW48" s="478"/>
      <c r="KVX48" s="478"/>
      <c r="KVY48" s="478"/>
      <c r="KVZ48" s="478"/>
      <c r="KWA48" s="478"/>
      <c r="KWB48" s="478"/>
      <c r="KWC48" s="478"/>
      <c r="KWD48" s="478"/>
      <c r="KWE48" s="478"/>
      <c r="KWF48" s="478"/>
      <c r="KWG48" s="478"/>
      <c r="KWH48" s="478"/>
      <c r="KWI48" s="478"/>
      <c r="KWJ48" s="478"/>
      <c r="KWK48" s="478"/>
      <c r="KWL48" s="478"/>
      <c r="KWM48" s="478"/>
      <c r="KWN48" s="478"/>
      <c r="KWO48" s="478"/>
      <c r="KWP48" s="478"/>
      <c r="KWQ48" s="478"/>
      <c r="KWR48" s="478"/>
      <c r="KWS48" s="478"/>
      <c r="KWT48" s="478"/>
      <c r="KWU48" s="478"/>
      <c r="KWV48" s="478"/>
      <c r="KWW48" s="478"/>
      <c r="KWX48" s="478"/>
      <c r="KWY48" s="478"/>
      <c r="KWZ48" s="478"/>
      <c r="KXA48" s="478"/>
      <c r="KXB48" s="478"/>
      <c r="KXC48" s="478"/>
      <c r="KXD48" s="478"/>
      <c r="KXE48" s="478"/>
      <c r="KXF48" s="478"/>
      <c r="KXG48" s="478"/>
      <c r="KXH48" s="478"/>
      <c r="KXI48" s="478"/>
      <c r="KXJ48" s="478"/>
      <c r="KXK48" s="478"/>
      <c r="KXL48" s="478"/>
      <c r="KXM48" s="478"/>
      <c r="KXN48" s="478"/>
      <c r="KXO48" s="478"/>
      <c r="KXP48" s="478"/>
      <c r="KXQ48" s="478"/>
      <c r="KXR48" s="478"/>
      <c r="KXS48" s="478"/>
      <c r="KXT48" s="478"/>
      <c r="KXU48" s="478"/>
      <c r="KXV48" s="478"/>
      <c r="KXW48" s="478"/>
      <c r="KXX48" s="478"/>
      <c r="KXY48" s="478"/>
      <c r="KXZ48" s="478"/>
      <c r="KYA48" s="478"/>
      <c r="KYB48" s="478"/>
      <c r="KYC48" s="478"/>
      <c r="KYD48" s="478"/>
      <c r="KYE48" s="478"/>
      <c r="KYF48" s="478"/>
      <c r="KYG48" s="478"/>
      <c r="KYH48" s="478"/>
      <c r="KYI48" s="478"/>
      <c r="KYJ48" s="478"/>
      <c r="KYK48" s="478"/>
      <c r="KYL48" s="478"/>
      <c r="KYM48" s="478"/>
      <c r="KYN48" s="478"/>
      <c r="KYO48" s="478"/>
      <c r="KYP48" s="478"/>
      <c r="KYQ48" s="478"/>
      <c r="KYR48" s="478"/>
      <c r="KYS48" s="478"/>
      <c r="KYT48" s="478"/>
      <c r="KYU48" s="478"/>
      <c r="KYV48" s="478"/>
      <c r="KYW48" s="478"/>
      <c r="KYX48" s="478"/>
      <c r="KYY48" s="478"/>
      <c r="KYZ48" s="478"/>
      <c r="KZA48" s="478"/>
      <c r="KZB48" s="478"/>
      <c r="KZC48" s="478"/>
      <c r="KZD48" s="478"/>
      <c r="KZE48" s="478"/>
      <c r="KZF48" s="478"/>
      <c r="KZG48" s="478"/>
      <c r="KZH48" s="478"/>
      <c r="KZI48" s="478"/>
      <c r="KZJ48" s="478"/>
      <c r="KZK48" s="478"/>
      <c r="KZL48" s="478"/>
      <c r="KZM48" s="478"/>
      <c r="KZN48" s="478"/>
      <c r="KZO48" s="478"/>
      <c r="KZP48" s="478"/>
      <c r="KZQ48" s="478"/>
      <c r="KZR48" s="478"/>
      <c r="KZS48" s="478"/>
      <c r="KZT48" s="478"/>
      <c r="KZU48" s="478"/>
      <c r="KZV48" s="478"/>
      <c r="KZW48" s="478"/>
      <c r="KZX48" s="478"/>
      <c r="KZY48" s="478"/>
      <c r="KZZ48" s="478"/>
      <c r="LAA48" s="478"/>
      <c r="LAB48" s="478"/>
      <c r="LAC48" s="478"/>
      <c r="LAD48" s="478"/>
      <c r="LAE48" s="478"/>
      <c r="LAF48" s="478"/>
      <c r="LAG48" s="478"/>
      <c r="LAH48" s="478"/>
      <c r="LAI48" s="478"/>
      <c r="LAJ48" s="478"/>
      <c r="LAK48" s="478"/>
      <c r="LAL48" s="478"/>
      <c r="LAM48" s="478"/>
      <c r="LAN48" s="478"/>
      <c r="LAO48" s="478"/>
      <c r="LAP48" s="478"/>
      <c r="LAQ48" s="478"/>
      <c r="LAR48" s="478"/>
      <c r="LAS48" s="478"/>
      <c r="LAT48" s="478"/>
      <c r="LAU48" s="478"/>
      <c r="LAV48" s="478"/>
      <c r="LAW48" s="478"/>
      <c r="LAX48" s="478"/>
      <c r="LAY48" s="478"/>
      <c r="LAZ48" s="478"/>
      <c r="LBA48" s="478"/>
      <c r="LBB48" s="478"/>
      <c r="LBC48" s="478"/>
      <c r="LBD48" s="478"/>
      <c r="LBE48" s="478"/>
      <c r="LBF48" s="478"/>
      <c r="LBG48" s="478"/>
      <c r="LBH48" s="478"/>
      <c r="LBI48" s="478"/>
      <c r="LBJ48" s="478"/>
      <c r="LBK48" s="478"/>
      <c r="LBL48" s="478"/>
      <c r="LBM48" s="478"/>
      <c r="LBN48" s="478"/>
      <c r="LBO48" s="478"/>
      <c r="LBP48" s="478"/>
      <c r="LBQ48" s="478"/>
      <c r="LBR48" s="478"/>
      <c r="LBS48" s="478"/>
      <c r="LBT48" s="478"/>
      <c r="LBU48" s="478"/>
      <c r="LBV48" s="478"/>
      <c r="LBW48" s="478"/>
      <c r="LBX48" s="478"/>
      <c r="LBY48" s="478"/>
      <c r="LBZ48" s="478"/>
      <c r="LCA48" s="478"/>
      <c r="LCB48" s="478"/>
      <c r="LCC48" s="478"/>
      <c r="LCD48" s="478"/>
      <c r="LCE48" s="478"/>
      <c r="LCF48" s="478"/>
      <c r="LCG48" s="478"/>
      <c r="LCH48" s="478"/>
      <c r="LCI48" s="478"/>
      <c r="LCJ48" s="478"/>
      <c r="LCK48" s="478"/>
      <c r="LCL48" s="478"/>
      <c r="LCM48" s="478"/>
      <c r="LCN48" s="478"/>
      <c r="LCO48" s="478"/>
      <c r="LCP48" s="478"/>
      <c r="LCQ48" s="478"/>
      <c r="LCR48" s="478"/>
      <c r="LCS48" s="478"/>
      <c r="LCT48" s="478"/>
      <c r="LCU48" s="478"/>
      <c r="LCV48" s="478"/>
      <c r="LCW48" s="478"/>
      <c r="LCX48" s="478"/>
      <c r="LCY48" s="478"/>
      <c r="LCZ48" s="478"/>
      <c r="LDA48" s="478"/>
      <c r="LDB48" s="478"/>
      <c r="LDC48" s="478"/>
      <c r="LDD48" s="478"/>
      <c r="LDE48" s="478"/>
      <c r="LDF48" s="478"/>
      <c r="LDG48" s="478"/>
      <c r="LDH48" s="478"/>
      <c r="LDI48" s="478"/>
      <c r="LDJ48" s="478"/>
      <c r="LDK48" s="478"/>
      <c r="LDL48" s="478"/>
      <c r="LDM48" s="478"/>
      <c r="LDN48" s="478"/>
      <c r="LDO48" s="478"/>
      <c r="LDP48" s="478"/>
      <c r="LDQ48" s="478"/>
      <c r="LDR48" s="478"/>
      <c r="LDS48" s="478"/>
      <c r="LDT48" s="478"/>
      <c r="LDU48" s="478"/>
      <c r="LDV48" s="478"/>
      <c r="LDW48" s="478"/>
      <c r="LDX48" s="478"/>
      <c r="LDY48" s="478"/>
      <c r="LDZ48" s="478"/>
      <c r="LEA48" s="478"/>
      <c r="LEB48" s="478"/>
      <c r="LEC48" s="478"/>
      <c r="LED48" s="478"/>
      <c r="LEE48" s="478"/>
      <c r="LEF48" s="478"/>
      <c r="LEG48" s="478"/>
      <c r="LEH48" s="478"/>
      <c r="LEI48" s="478"/>
      <c r="LEJ48" s="478"/>
      <c r="LEK48" s="478"/>
      <c r="LEL48" s="478"/>
      <c r="LEM48" s="478"/>
      <c r="LEN48" s="478"/>
      <c r="LEO48" s="478"/>
      <c r="LEP48" s="478"/>
      <c r="LEQ48" s="478"/>
      <c r="LER48" s="478"/>
      <c r="LES48" s="478"/>
      <c r="LET48" s="478"/>
      <c r="LEU48" s="478"/>
      <c r="LEV48" s="478"/>
      <c r="LEW48" s="478"/>
      <c r="LEX48" s="478"/>
      <c r="LEY48" s="478"/>
      <c r="LEZ48" s="478"/>
      <c r="LFA48" s="478"/>
      <c r="LFB48" s="478"/>
      <c r="LFC48" s="478"/>
      <c r="LFD48" s="478"/>
      <c r="LFE48" s="478"/>
      <c r="LFF48" s="478"/>
      <c r="LFG48" s="478"/>
      <c r="LFH48" s="478"/>
      <c r="LFI48" s="478"/>
      <c r="LFJ48" s="478"/>
      <c r="LFK48" s="478"/>
      <c r="LFL48" s="478"/>
      <c r="LFM48" s="478"/>
      <c r="LFN48" s="478"/>
      <c r="LFO48" s="478"/>
      <c r="LFP48" s="478"/>
      <c r="LFQ48" s="478"/>
      <c r="LFR48" s="478"/>
      <c r="LFS48" s="478"/>
      <c r="LFT48" s="478"/>
      <c r="LFU48" s="478"/>
      <c r="LFV48" s="478"/>
      <c r="LFW48" s="478"/>
      <c r="LFX48" s="478"/>
      <c r="LFY48" s="478"/>
      <c r="LFZ48" s="478"/>
      <c r="LGA48" s="478"/>
      <c r="LGB48" s="478"/>
      <c r="LGC48" s="478"/>
      <c r="LGD48" s="478"/>
      <c r="LGE48" s="478"/>
      <c r="LGF48" s="478"/>
      <c r="LGG48" s="478"/>
      <c r="LGH48" s="478"/>
      <c r="LGI48" s="478"/>
      <c r="LGJ48" s="478"/>
      <c r="LGK48" s="478"/>
      <c r="LGL48" s="478"/>
      <c r="LGM48" s="478"/>
      <c r="LGN48" s="478"/>
      <c r="LGO48" s="478"/>
      <c r="LGP48" s="478"/>
      <c r="LGQ48" s="478"/>
      <c r="LGR48" s="478"/>
      <c r="LGS48" s="478"/>
      <c r="LGT48" s="478"/>
      <c r="LGU48" s="478"/>
      <c r="LGV48" s="478"/>
      <c r="LGW48" s="478"/>
      <c r="LGX48" s="478"/>
      <c r="LGY48" s="478"/>
      <c r="LGZ48" s="478"/>
      <c r="LHA48" s="478"/>
      <c r="LHB48" s="478"/>
      <c r="LHC48" s="478"/>
      <c r="LHD48" s="478"/>
      <c r="LHE48" s="478"/>
      <c r="LHF48" s="478"/>
      <c r="LHG48" s="478"/>
      <c r="LHH48" s="478"/>
      <c r="LHI48" s="478"/>
      <c r="LHJ48" s="478"/>
      <c r="LHK48" s="478"/>
      <c r="LHL48" s="478"/>
      <c r="LHM48" s="478"/>
      <c r="LHN48" s="478"/>
      <c r="LHO48" s="478"/>
      <c r="LHP48" s="478"/>
      <c r="LHQ48" s="478"/>
      <c r="LHR48" s="478"/>
      <c r="LHS48" s="478"/>
      <c r="LHT48" s="478"/>
      <c r="LHU48" s="478"/>
      <c r="LHV48" s="478"/>
      <c r="LHW48" s="478"/>
      <c r="LHX48" s="478"/>
      <c r="LHY48" s="478"/>
      <c r="LHZ48" s="478"/>
      <c r="LIA48" s="478"/>
      <c r="LIB48" s="478"/>
      <c r="LIC48" s="478"/>
      <c r="LID48" s="478"/>
      <c r="LIE48" s="478"/>
      <c r="LIF48" s="478"/>
      <c r="LIG48" s="478"/>
      <c r="LIH48" s="478"/>
      <c r="LII48" s="478"/>
      <c r="LIJ48" s="478"/>
      <c r="LIK48" s="478"/>
      <c r="LIL48" s="478"/>
      <c r="LIM48" s="478"/>
      <c r="LIN48" s="478"/>
      <c r="LIO48" s="478"/>
      <c r="LIP48" s="478"/>
      <c r="LIQ48" s="478"/>
      <c r="LIR48" s="478"/>
      <c r="LIS48" s="478"/>
      <c r="LIT48" s="478"/>
      <c r="LIU48" s="478"/>
      <c r="LIV48" s="478"/>
      <c r="LIW48" s="478"/>
      <c r="LIX48" s="478"/>
      <c r="LIY48" s="478"/>
      <c r="LIZ48" s="478"/>
      <c r="LJA48" s="478"/>
      <c r="LJB48" s="478"/>
      <c r="LJC48" s="478"/>
      <c r="LJD48" s="478"/>
      <c r="LJE48" s="478"/>
      <c r="LJF48" s="478"/>
      <c r="LJG48" s="478"/>
      <c r="LJH48" s="478"/>
      <c r="LJI48" s="478"/>
      <c r="LJJ48" s="478"/>
      <c r="LJK48" s="478"/>
      <c r="LJL48" s="478"/>
      <c r="LJM48" s="478"/>
      <c r="LJN48" s="478"/>
      <c r="LJO48" s="478"/>
      <c r="LJP48" s="478"/>
      <c r="LJQ48" s="478"/>
      <c r="LJR48" s="478"/>
      <c r="LJS48" s="478"/>
      <c r="LJT48" s="478"/>
      <c r="LJU48" s="478"/>
      <c r="LJV48" s="478"/>
      <c r="LJW48" s="478"/>
      <c r="LJX48" s="478"/>
      <c r="LJY48" s="478"/>
      <c r="LJZ48" s="478"/>
      <c r="LKA48" s="478"/>
      <c r="LKB48" s="478"/>
      <c r="LKC48" s="478"/>
      <c r="LKD48" s="478"/>
      <c r="LKE48" s="478"/>
      <c r="LKF48" s="478"/>
      <c r="LKG48" s="478"/>
      <c r="LKH48" s="478"/>
      <c r="LKI48" s="478"/>
      <c r="LKJ48" s="478"/>
      <c r="LKK48" s="478"/>
      <c r="LKL48" s="478"/>
      <c r="LKM48" s="478"/>
      <c r="LKN48" s="478"/>
      <c r="LKO48" s="478"/>
      <c r="LKP48" s="478"/>
      <c r="LKQ48" s="478"/>
      <c r="LKR48" s="478"/>
      <c r="LKS48" s="478"/>
      <c r="LKT48" s="478"/>
      <c r="LKU48" s="478"/>
      <c r="LKV48" s="478"/>
      <c r="LKW48" s="478"/>
      <c r="LKX48" s="478"/>
      <c r="LKY48" s="478"/>
      <c r="LKZ48" s="478"/>
      <c r="LLA48" s="478"/>
      <c r="LLB48" s="478"/>
      <c r="LLC48" s="478"/>
      <c r="LLD48" s="478"/>
      <c r="LLE48" s="478"/>
      <c r="LLF48" s="478"/>
      <c r="LLG48" s="478"/>
      <c r="LLH48" s="478"/>
      <c r="LLI48" s="478"/>
      <c r="LLJ48" s="478"/>
      <c r="LLK48" s="478"/>
      <c r="LLL48" s="478"/>
      <c r="LLM48" s="478"/>
      <c r="LLN48" s="478"/>
      <c r="LLO48" s="478"/>
      <c r="LLP48" s="478"/>
      <c r="LLQ48" s="478"/>
      <c r="LLR48" s="478"/>
      <c r="LLS48" s="478"/>
      <c r="LLT48" s="478"/>
      <c r="LLU48" s="478"/>
      <c r="LLV48" s="478"/>
      <c r="LLW48" s="478"/>
      <c r="LLX48" s="478"/>
      <c r="LLY48" s="478"/>
      <c r="LLZ48" s="478"/>
      <c r="LMA48" s="478"/>
      <c r="LMB48" s="478"/>
      <c r="LMC48" s="478"/>
      <c r="LMD48" s="478"/>
      <c r="LME48" s="478"/>
      <c r="LMF48" s="478"/>
      <c r="LMG48" s="478"/>
      <c r="LMH48" s="478"/>
      <c r="LMI48" s="478"/>
      <c r="LMJ48" s="478"/>
      <c r="LMK48" s="478"/>
      <c r="LML48" s="478"/>
      <c r="LMM48" s="478"/>
      <c r="LMN48" s="478"/>
      <c r="LMO48" s="478"/>
      <c r="LMP48" s="478"/>
      <c r="LMQ48" s="478"/>
      <c r="LMR48" s="478"/>
      <c r="LMS48" s="478"/>
      <c r="LMT48" s="478"/>
      <c r="LMU48" s="478"/>
      <c r="LMV48" s="478"/>
      <c r="LMW48" s="478"/>
      <c r="LMX48" s="478"/>
      <c r="LMY48" s="478"/>
      <c r="LMZ48" s="478"/>
      <c r="LNA48" s="478"/>
      <c r="LNB48" s="478"/>
      <c r="LNC48" s="478"/>
      <c r="LND48" s="478"/>
      <c r="LNE48" s="478"/>
      <c r="LNF48" s="478"/>
      <c r="LNG48" s="478"/>
      <c r="LNH48" s="478"/>
      <c r="LNI48" s="478"/>
      <c r="LNJ48" s="478"/>
      <c r="LNK48" s="478"/>
      <c r="LNL48" s="478"/>
      <c r="LNM48" s="478"/>
      <c r="LNN48" s="478"/>
      <c r="LNO48" s="478"/>
      <c r="LNP48" s="478"/>
      <c r="LNQ48" s="478"/>
      <c r="LNR48" s="478"/>
      <c r="LNS48" s="478"/>
      <c r="LNT48" s="478"/>
      <c r="LNU48" s="478"/>
      <c r="LNV48" s="478"/>
      <c r="LNW48" s="478"/>
      <c r="LNX48" s="478"/>
      <c r="LNY48" s="478"/>
      <c r="LNZ48" s="478"/>
      <c r="LOA48" s="478"/>
      <c r="LOB48" s="478"/>
      <c r="LOC48" s="478"/>
      <c r="LOD48" s="478"/>
      <c r="LOE48" s="478"/>
      <c r="LOF48" s="478"/>
      <c r="LOG48" s="478"/>
      <c r="LOH48" s="478"/>
      <c r="LOI48" s="478"/>
      <c r="LOJ48" s="478"/>
      <c r="LOK48" s="478"/>
      <c r="LOL48" s="478"/>
      <c r="LOM48" s="478"/>
      <c r="LON48" s="478"/>
      <c r="LOO48" s="478"/>
      <c r="LOP48" s="478"/>
      <c r="LOQ48" s="478"/>
      <c r="LOR48" s="478"/>
      <c r="LOS48" s="478"/>
      <c r="LOT48" s="478"/>
      <c r="LOU48" s="478"/>
      <c r="LOV48" s="478"/>
      <c r="LOW48" s="478"/>
      <c r="LOX48" s="478"/>
      <c r="LOY48" s="478"/>
      <c r="LOZ48" s="478"/>
      <c r="LPA48" s="478"/>
      <c r="LPB48" s="478"/>
      <c r="LPC48" s="478"/>
      <c r="LPD48" s="478"/>
      <c r="LPE48" s="478"/>
      <c r="LPF48" s="478"/>
      <c r="LPG48" s="478"/>
      <c r="LPH48" s="478"/>
      <c r="LPI48" s="478"/>
      <c r="LPJ48" s="478"/>
      <c r="LPK48" s="478"/>
      <c r="LPL48" s="478"/>
      <c r="LPM48" s="478"/>
      <c r="LPN48" s="478"/>
      <c r="LPO48" s="478"/>
      <c r="LPP48" s="478"/>
      <c r="LPQ48" s="478"/>
      <c r="LPR48" s="478"/>
      <c r="LPS48" s="478"/>
      <c r="LPT48" s="478"/>
      <c r="LPU48" s="478"/>
      <c r="LPV48" s="478"/>
      <c r="LPW48" s="478"/>
      <c r="LPX48" s="478"/>
      <c r="LPY48" s="478"/>
      <c r="LPZ48" s="478"/>
      <c r="LQA48" s="478"/>
      <c r="LQB48" s="478"/>
      <c r="LQC48" s="478"/>
      <c r="LQD48" s="478"/>
      <c r="LQE48" s="478"/>
      <c r="LQF48" s="478"/>
      <c r="LQG48" s="478"/>
      <c r="LQH48" s="478"/>
      <c r="LQI48" s="478"/>
      <c r="LQJ48" s="478"/>
      <c r="LQK48" s="478"/>
      <c r="LQL48" s="478"/>
      <c r="LQM48" s="478"/>
      <c r="LQN48" s="478"/>
      <c r="LQO48" s="478"/>
      <c r="LQP48" s="478"/>
      <c r="LQQ48" s="478"/>
      <c r="LQR48" s="478"/>
      <c r="LQS48" s="478"/>
      <c r="LQT48" s="478"/>
      <c r="LQU48" s="478"/>
      <c r="LQV48" s="478"/>
      <c r="LQW48" s="478"/>
      <c r="LQX48" s="478"/>
      <c r="LQY48" s="478"/>
      <c r="LQZ48" s="478"/>
      <c r="LRA48" s="478"/>
      <c r="LRB48" s="478"/>
      <c r="LRC48" s="478"/>
      <c r="LRD48" s="478"/>
      <c r="LRE48" s="478"/>
      <c r="LRF48" s="478"/>
      <c r="LRG48" s="478"/>
      <c r="LRH48" s="478"/>
      <c r="LRI48" s="478"/>
      <c r="LRJ48" s="478"/>
      <c r="LRK48" s="478"/>
      <c r="LRL48" s="478"/>
      <c r="LRM48" s="478"/>
      <c r="LRN48" s="478"/>
      <c r="LRO48" s="478"/>
      <c r="LRP48" s="478"/>
      <c r="LRQ48" s="478"/>
      <c r="LRR48" s="478"/>
      <c r="LRS48" s="478"/>
      <c r="LRT48" s="478"/>
      <c r="LRU48" s="478"/>
      <c r="LRV48" s="478"/>
      <c r="LRW48" s="478"/>
      <c r="LRX48" s="478"/>
      <c r="LRY48" s="478"/>
      <c r="LRZ48" s="478"/>
      <c r="LSA48" s="478"/>
      <c r="LSB48" s="478"/>
      <c r="LSC48" s="478"/>
      <c r="LSD48" s="478"/>
      <c r="LSE48" s="478"/>
      <c r="LSF48" s="478"/>
      <c r="LSG48" s="478"/>
      <c r="LSH48" s="478"/>
      <c r="LSI48" s="478"/>
      <c r="LSJ48" s="478"/>
      <c r="LSK48" s="478"/>
      <c r="LSL48" s="478"/>
      <c r="LSM48" s="478"/>
      <c r="LSN48" s="478"/>
      <c r="LSO48" s="478"/>
      <c r="LSP48" s="478"/>
      <c r="LSQ48" s="478"/>
      <c r="LSR48" s="478"/>
      <c r="LSS48" s="478"/>
      <c r="LST48" s="478"/>
      <c r="LSU48" s="478"/>
      <c r="LSV48" s="478"/>
      <c r="LSW48" s="478"/>
      <c r="LSX48" s="478"/>
      <c r="LSY48" s="478"/>
      <c r="LSZ48" s="478"/>
      <c r="LTA48" s="478"/>
      <c r="LTB48" s="478"/>
      <c r="LTC48" s="478"/>
      <c r="LTD48" s="478"/>
      <c r="LTE48" s="478"/>
      <c r="LTF48" s="478"/>
      <c r="LTG48" s="478"/>
      <c r="LTH48" s="478"/>
      <c r="LTI48" s="478"/>
      <c r="LTJ48" s="478"/>
      <c r="LTK48" s="478"/>
      <c r="LTL48" s="478"/>
      <c r="LTM48" s="478"/>
      <c r="LTN48" s="478"/>
      <c r="LTO48" s="478"/>
      <c r="LTP48" s="478"/>
      <c r="LTQ48" s="478"/>
      <c r="LTR48" s="478"/>
      <c r="LTS48" s="478"/>
      <c r="LTT48" s="478"/>
      <c r="LTU48" s="478"/>
      <c r="LTV48" s="478"/>
      <c r="LTW48" s="478"/>
      <c r="LTX48" s="478"/>
      <c r="LTY48" s="478"/>
      <c r="LTZ48" s="478"/>
      <c r="LUA48" s="478"/>
      <c r="LUB48" s="478"/>
      <c r="LUC48" s="478"/>
      <c r="LUD48" s="478"/>
      <c r="LUE48" s="478"/>
      <c r="LUF48" s="478"/>
      <c r="LUG48" s="478"/>
      <c r="LUH48" s="478"/>
      <c r="LUI48" s="478"/>
      <c r="LUJ48" s="478"/>
      <c r="LUK48" s="478"/>
      <c r="LUL48" s="478"/>
      <c r="LUM48" s="478"/>
      <c r="LUN48" s="478"/>
      <c r="LUO48" s="478"/>
      <c r="LUP48" s="478"/>
      <c r="LUQ48" s="478"/>
      <c r="LUR48" s="478"/>
      <c r="LUS48" s="478"/>
      <c r="LUT48" s="478"/>
      <c r="LUU48" s="478"/>
      <c r="LUV48" s="478"/>
      <c r="LUW48" s="478"/>
      <c r="LUX48" s="478"/>
      <c r="LUY48" s="478"/>
      <c r="LUZ48" s="478"/>
      <c r="LVA48" s="478"/>
      <c r="LVB48" s="478"/>
      <c r="LVC48" s="478"/>
      <c r="LVD48" s="478"/>
      <c r="LVE48" s="478"/>
      <c r="LVF48" s="478"/>
      <c r="LVG48" s="478"/>
      <c r="LVH48" s="478"/>
      <c r="LVI48" s="478"/>
      <c r="LVJ48" s="478"/>
      <c r="LVK48" s="478"/>
      <c r="LVL48" s="478"/>
      <c r="LVM48" s="478"/>
      <c r="LVN48" s="478"/>
      <c r="LVO48" s="478"/>
      <c r="LVP48" s="478"/>
      <c r="LVQ48" s="478"/>
      <c r="LVR48" s="478"/>
      <c r="LVS48" s="478"/>
      <c r="LVT48" s="478"/>
      <c r="LVU48" s="478"/>
      <c r="LVV48" s="478"/>
      <c r="LVW48" s="478"/>
      <c r="LVX48" s="478"/>
      <c r="LVY48" s="478"/>
      <c r="LVZ48" s="478"/>
      <c r="LWA48" s="478"/>
      <c r="LWB48" s="478"/>
      <c r="LWC48" s="478"/>
      <c r="LWD48" s="478"/>
      <c r="LWE48" s="478"/>
      <c r="LWF48" s="478"/>
      <c r="LWG48" s="478"/>
      <c r="LWH48" s="478"/>
      <c r="LWI48" s="478"/>
      <c r="LWJ48" s="478"/>
      <c r="LWK48" s="478"/>
      <c r="LWL48" s="478"/>
      <c r="LWM48" s="478"/>
      <c r="LWN48" s="478"/>
      <c r="LWO48" s="478"/>
      <c r="LWP48" s="478"/>
      <c r="LWQ48" s="478"/>
      <c r="LWR48" s="478"/>
      <c r="LWS48" s="478"/>
      <c r="LWT48" s="478"/>
      <c r="LWU48" s="478"/>
      <c r="LWV48" s="478"/>
      <c r="LWW48" s="478"/>
      <c r="LWX48" s="478"/>
      <c r="LWY48" s="478"/>
      <c r="LWZ48" s="478"/>
      <c r="LXA48" s="478"/>
      <c r="LXB48" s="478"/>
      <c r="LXC48" s="478"/>
      <c r="LXD48" s="478"/>
      <c r="LXE48" s="478"/>
      <c r="LXF48" s="478"/>
      <c r="LXG48" s="478"/>
      <c r="LXH48" s="478"/>
      <c r="LXI48" s="478"/>
      <c r="LXJ48" s="478"/>
      <c r="LXK48" s="478"/>
      <c r="LXL48" s="478"/>
      <c r="LXM48" s="478"/>
      <c r="LXN48" s="478"/>
      <c r="LXO48" s="478"/>
      <c r="LXP48" s="478"/>
      <c r="LXQ48" s="478"/>
      <c r="LXR48" s="478"/>
      <c r="LXS48" s="478"/>
      <c r="LXT48" s="478"/>
      <c r="LXU48" s="478"/>
      <c r="LXV48" s="478"/>
      <c r="LXW48" s="478"/>
      <c r="LXX48" s="478"/>
      <c r="LXY48" s="478"/>
      <c r="LXZ48" s="478"/>
      <c r="LYA48" s="478"/>
      <c r="LYB48" s="478"/>
      <c r="LYC48" s="478"/>
      <c r="LYD48" s="478"/>
      <c r="LYE48" s="478"/>
      <c r="LYF48" s="478"/>
      <c r="LYG48" s="478"/>
      <c r="LYH48" s="478"/>
      <c r="LYI48" s="478"/>
      <c r="LYJ48" s="478"/>
      <c r="LYK48" s="478"/>
      <c r="LYL48" s="478"/>
      <c r="LYM48" s="478"/>
      <c r="LYN48" s="478"/>
      <c r="LYO48" s="478"/>
      <c r="LYP48" s="478"/>
      <c r="LYQ48" s="478"/>
      <c r="LYR48" s="478"/>
      <c r="LYS48" s="478"/>
      <c r="LYT48" s="478"/>
      <c r="LYU48" s="478"/>
      <c r="LYV48" s="478"/>
      <c r="LYW48" s="478"/>
      <c r="LYX48" s="478"/>
      <c r="LYY48" s="478"/>
      <c r="LYZ48" s="478"/>
      <c r="LZA48" s="478"/>
      <c r="LZB48" s="478"/>
      <c r="LZC48" s="478"/>
      <c r="LZD48" s="478"/>
      <c r="LZE48" s="478"/>
      <c r="LZF48" s="478"/>
      <c r="LZG48" s="478"/>
      <c r="LZH48" s="478"/>
      <c r="LZI48" s="478"/>
      <c r="LZJ48" s="478"/>
      <c r="LZK48" s="478"/>
      <c r="LZL48" s="478"/>
      <c r="LZM48" s="478"/>
      <c r="LZN48" s="478"/>
      <c r="LZO48" s="478"/>
      <c r="LZP48" s="478"/>
      <c r="LZQ48" s="478"/>
      <c r="LZR48" s="478"/>
      <c r="LZS48" s="478"/>
      <c r="LZT48" s="478"/>
      <c r="LZU48" s="478"/>
      <c r="LZV48" s="478"/>
      <c r="LZW48" s="478"/>
      <c r="LZX48" s="478"/>
      <c r="LZY48" s="478"/>
      <c r="LZZ48" s="478"/>
      <c r="MAA48" s="478"/>
      <c r="MAB48" s="478"/>
      <c r="MAC48" s="478"/>
      <c r="MAD48" s="478"/>
      <c r="MAE48" s="478"/>
      <c r="MAF48" s="478"/>
      <c r="MAG48" s="478"/>
      <c r="MAH48" s="478"/>
      <c r="MAI48" s="478"/>
      <c r="MAJ48" s="478"/>
      <c r="MAK48" s="478"/>
      <c r="MAL48" s="478"/>
      <c r="MAM48" s="478"/>
      <c r="MAN48" s="478"/>
      <c r="MAO48" s="478"/>
      <c r="MAP48" s="478"/>
      <c r="MAQ48" s="478"/>
      <c r="MAR48" s="478"/>
      <c r="MAS48" s="478"/>
      <c r="MAT48" s="478"/>
      <c r="MAU48" s="478"/>
      <c r="MAV48" s="478"/>
      <c r="MAW48" s="478"/>
      <c r="MAX48" s="478"/>
      <c r="MAY48" s="478"/>
      <c r="MAZ48" s="478"/>
      <c r="MBA48" s="478"/>
      <c r="MBB48" s="478"/>
      <c r="MBC48" s="478"/>
      <c r="MBD48" s="478"/>
      <c r="MBE48" s="478"/>
      <c r="MBF48" s="478"/>
      <c r="MBG48" s="478"/>
      <c r="MBH48" s="478"/>
      <c r="MBI48" s="478"/>
      <c r="MBJ48" s="478"/>
      <c r="MBK48" s="478"/>
      <c r="MBL48" s="478"/>
      <c r="MBM48" s="478"/>
      <c r="MBN48" s="478"/>
      <c r="MBO48" s="478"/>
      <c r="MBP48" s="478"/>
      <c r="MBQ48" s="478"/>
      <c r="MBR48" s="478"/>
      <c r="MBS48" s="478"/>
      <c r="MBT48" s="478"/>
      <c r="MBU48" s="478"/>
      <c r="MBV48" s="478"/>
      <c r="MBW48" s="478"/>
      <c r="MBX48" s="478"/>
      <c r="MBY48" s="478"/>
      <c r="MBZ48" s="478"/>
      <c r="MCA48" s="478"/>
      <c r="MCB48" s="478"/>
      <c r="MCC48" s="478"/>
      <c r="MCD48" s="478"/>
      <c r="MCE48" s="478"/>
      <c r="MCF48" s="478"/>
      <c r="MCG48" s="478"/>
      <c r="MCH48" s="478"/>
      <c r="MCI48" s="478"/>
      <c r="MCJ48" s="478"/>
      <c r="MCK48" s="478"/>
      <c r="MCL48" s="478"/>
      <c r="MCM48" s="478"/>
      <c r="MCN48" s="478"/>
      <c r="MCO48" s="478"/>
      <c r="MCP48" s="478"/>
      <c r="MCQ48" s="478"/>
      <c r="MCR48" s="478"/>
      <c r="MCS48" s="478"/>
      <c r="MCT48" s="478"/>
      <c r="MCU48" s="478"/>
      <c r="MCV48" s="478"/>
      <c r="MCW48" s="478"/>
      <c r="MCX48" s="478"/>
      <c r="MCY48" s="478"/>
      <c r="MCZ48" s="478"/>
      <c r="MDA48" s="478"/>
      <c r="MDB48" s="478"/>
      <c r="MDC48" s="478"/>
      <c r="MDD48" s="478"/>
      <c r="MDE48" s="478"/>
      <c r="MDF48" s="478"/>
      <c r="MDG48" s="478"/>
      <c r="MDH48" s="478"/>
      <c r="MDI48" s="478"/>
      <c r="MDJ48" s="478"/>
      <c r="MDK48" s="478"/>
      <c r="MDL48" s="478"/>
      <c r="MDM48" s="478"/>
      <c r="MDN48" s="478"/>
      <c r="MDO48" s="478"/>
      <c r="MDP48" s="478"/>
      <c r="MDQ48" s="478"/>
      <c r="MDR48" s="478"/>
      <c r="MDS48" s="478"/>
      <c r="MDT48" s="478"/>
      <c r="MDU48" s="478"/>
      <c r="MDV48" s="478"/>
      <c r="MDW48" s="478"/>
      <c r="MDX48" s="478"/>
      <c r="MDY48" s="478"/>
      <c r="MDZ48" s="478"/>
      <c r="MEA48" s="478"/>
      <c r="MEB48" s="478"/>
      <c r="MEC48" s="478"/>
      <c r="MED48" s="478"/>
      <c r="MEE48" s="478"/>
      <c r="MEF48" s="478"/>
      <c r="MEG48" s="478"/>
      <c r="MEH48" s="478"/>
      <c r="MEI48" s="478"/>
      <c r="MEJ48" s="478"/>
      <c r="MEK48" s="478"/>
      <c r="MEL48" s="478"/>
      <c r="MEM48" s="478"/>
      <c r="MEN48" s="478"/>
      <c r="MEO48" s="478"/>
      <c r="MEP48" s="478"/>
      <c r="MEQ48" s="478"/>
      <c r="MER48" s="478"/>
      <c r="MES48" s="478"/>
      <c r="MET48" s="478"/>
      <c r="MEU48" s="478"/>
      <c r="MEV48" s="478"/>
      <c r="MEW48" s="478"/>
      <c r="MEX48" s="478"/>
      <c r="MEY48" s="478"/>
      <c r="MEZ48" s="478"/>
      <c r="MFA48" s="478"/>
      <c r="MFB48" s="478"/>
      <c r="MFC48" s="478"/>
      <c r="MFD48" s="478"/>
      <c r="MFE48" s="478"/>
      <c r="MFF48" s="478"/>
      <c r="MFG48" s="478"/>
      <c r="MFH48" s="478"/>
      <c r="MFI48" s="478"/>
      <c r="MFJ48" s="478"/>
      <c r="MFK48" s="478"/>
      <c r="MFL48" s="478"/>
      <c r="MFM48" s="478"/>
      <c r="MFN48" s="478"/>
      <c r="MFO48" s="478"/>
      <c r="MFP48" s="478"/>
      <c r="MFQ48" s="478"/>
      <c r="MFR48" s="478"/>
      <c r="MFS48" s="478"/>
      <c r="MFT48" s="478"/>
      <c r="MFU48" s="478"/>
      <c r="MFV48" s="478"/>
      <c r="MFW48" s="478"/>
      <c r="MFX48" s="478"/>
      <c r="MFY48" s="478"/>
      <c r="MFZ48" s="478"/>
      <c r="MGA48" s="478"/>
      <c r="MGB48" s="478"/>
      <c r="MGC48" s="478"/>
      <c r="MGD48" s="478"/>
      <c r="MGE48" s="478"/>
      <c r="MGF48" s="478"/>
      <c r="MGG48" s="478"/>
      <c r="MGH48" s="478"/>
      <c r="MGI48" s="478"/>
      <c r="MGJ48" s="478"/>
      <c r="MGK48" s="478"/>
      <c r="MGL48" s="478"/>
      <c r="MGM48" s="478"/>
      <c r="MGN48" s="478"/>
      <c r="MGO48" s="478"/>
      <c r="MGP48" s="478"/>
      <c r="MGQ48" s="478"/>
      <c r="MGR48" s="478"/>
      <c r="MGS48" s="478"/>
      <c r="MGT48" s="478"/>
      <c r="MGU48" s="478"/>
      <c r="MGV48" s="478"/>
      <c r="MGW48" s="478"/>
      <c r="MGX48" s="478"/>
      <c r="MGY48" s="478"/>
      <c r="MGZ48" s="478"/>
      <c r="MHA48" s="478"/>
      <c r="MHB48" s="478"/>
      <c r="MHC48" s="478"/>
      <c r="MHD48" s="478"/>
      <c r="MHE48" s="478"/>
      <c r="MHF48" s="478"/>
      <c r="MHG48" s="478"/>
      <c r="MHH48" s="478"/>
      <c r="MHI48" s="478"/>
      <c r="MHJ48" s="478"/>
      <c r="MHK48" s="478"/>
      <c r="MHL48" s="478"/>
      <c r="MHM48" s="478"/>
      <c r="MHN48" s="478"/>
      <c r="MHO48" s="478"/>
      <c r="MHP48" s="478"/>
      <c r="MHQ48" s="478"/>
      <c r="MHR48" s="478"/>
      <c r="MHS48" s="478"/>
      <c r="MHT48" s="478"/>
      <c r="MHU48" s="478"/>
      <c r="MHV48" s="478"/>
      <c r="MHW48" s="478"/>
      <c r="MHX48" s="478"/>
      <c r="MHY48" s="478"/>
      <c r="MHZ48" s="478"/>
      <c r="MIA48" s="478"/>
      <c r="MIB48" s="478"/>
      <c r="MIC48" s="478"/>
      <c r="MID48" s="478"/>
      <c r="MIE48" s="478"/>
      <c r="MIF48" s="478"/>
      <c r="MIG48" s="478"/>
      <c r="MIH48" s="478"/>
      <c r="MII48" s="478"/>
      <c r="MIJ48" s="478"/>
      <c r="MIK48" s="478"/>
      <c r="MIL48" s="478"/>
      <c r="MIM48" s="478"/>
      <c r="MIN48" s="478"/>
      <c r="MIO48" s="478"/>
      <c r="MIP48" s="478"/>
      <c r="MIQ48" s="478"/>
      <c r="MIR48" s="478"/>
      <c r="MIS48" s="478"/>
      <c r="MIT48" s="478"/>
      <c r="MIU48" s="478"/>
      <c r="MIV48" s="478"/>
      <c r="MIW48" s="478"/>
      <c r="MIX48" s="478"/>
      <c r="MIY48" s="478"/>
      <c r="MIZ48" s="478"/>
      <c r="MJA48" s="478"/>
      <c r="MJB48" s="478"/>
      <c r="MJC48" s="478"/>
      <c r="MJD48" s="478"/>
      <c r="MJE48" s="478"/>
      <c r="MJF48" s="478"/>
      <c r="MJG48" s="478"/>
      <c r="MJH48" s="478"/>
      <c r="MJI48" s="478"/>
      <c r="MJJ48" s="478"/>
      <c r="MJK48" s="478"/>
      <c r="MJL48" s="478"/>
      <c r="MJM48" s="478"/>
      <c r="MJN48" s="478"/>
      <c r="MJO48" s="478"/>
      <c r="MJP48" s="478"/>
      <c r="MJQ48" s="478"/>
      <c r="MJR48" s="478"/>
      <c r="MJS48" s="478"/>
      <c r="MJT48" s="478"/>
      <c r="MJU48" s="478"/>
      <c r="MJV48" s="478"/>
      <c r="MJW48" s="478"/>
      <c r="MJX48" s="478"/>
      <c r="MJY48" s="478"/>
      <c r="MJZ48" s="478"/>
      <c r="MKA48" s="478"/>
      <c r="MKB48" s="478"/>
      <c r="MKC48" s="478"/>
      <c r="MKD48" s="478"/>
      <c r="MKE48" s="478"/>
      <c r="MKF48" s="478"/>
      <c r="MKG48" s="478"/>
      <c r="MKH48" s="478"/>
      <c r="MKI48" s="478"/>
      <c r="MKJ48" s="478"/>
      <c r="MKK48" s="478"/>
      <c r="MKL48" s="478"/>
      <c r="MKM48" s="478"/>
      <c r="MKN48" s="478"/>
      <c r="MKO48" s="478"/>
      <c r="MKP48" s="478"/>
      <c r="MKQ48" s="478"/>
      <c r="MKR48" s="478"/>
      <c r="MKS48" s="478"/>
      <c r="MKT48" s="478"/>
      <c r="MKU48" s="478"/>
      <c r="MKV48" s="478"/>
      <c r="MKW48" s="478"/>
      <c r="MKX48" s="478"/>
      <c r="MKY48" s="478"/>
      <c r="MKZ48" s="478"/>
      <c r="MLA48" s="478"/>
      <c r="MLB48" s="478"/>
      <c r="MLC48" s="478"/>
      <c r="MLD48" s="478"/>
      <c r="MLE48" s="478"/>
      <c r="MLF48" s="478"/>
      <c r="MLG48" s="478"/>
      <c r="MLH48" s="478"/>
      <c r="MLI48" s="478"/>
      <c r="MLJ48" s="478"/>
      <c r="MLK48" s="478"/>
      <c r="MLL48" s="478"/>
      <c r="MLM48" s="478"/>
      <c r="MLN48" s="478"/>
      <c r="MLO48" s="478"/>
      <c r="MLP48" s="478"/>
      <c r="MLQ48" s="478"/>
      <c r="MLR48" s="478"/>
      <c r="MLS48" s="478"/>
      <c r="MLT48" s="478"/>
      <c r="MLU48" s="478"/>
      <c r="MLV48" s="478"/>
      <c r="MLW48" s="478"/>
      <c r="MLX48" s="478"/>
      <c r="MLY48" s="478"/>
      <c r="MLZ48" s="478"/>
      <c r="MMA48" s="478"/>
      <c r="MMB48" s="478"/>
      <c r="MMC48" s="478"/>
      <c r="MMD48" s="478"/>
      <c r="MME48" s="478"/>
      <c r="MMF48" s="478"/>
      <c r="MMG48" s="478"/>
      <c r="MMH48" s="478"/>
      <c r="MMI48" s="478"/>
      <c r="MMJ48" s="478"/>
      <c r="MMK48" s="478"/>
      <c r="MML48" s="478"/>
      <c r="MMM48" s="478"/>
      <c r="MMN48" s="478"/>
      <c r="MMO48" s="478"/>
      <c r="MMP48" s="478"/>
      <c r="MMQ48" s="478"/>
      <c r="MMR48" s="478"/>
      <c r="MMS48" s="478"/>
      <c r="MMT48" s="478"/>
      <c r="MMU48" s="478"/>
      <c r="MMV48" s="478"/>
      <c r="MMW48" s="478"/>
      <c r="MMX48" s="478"/>
      <c r="MMY48" s="478"/>
      <c r="MMZ48" s="478"/>
      <c r="MNA48" s="478"/>
      <c r="MNB48" s="478"/>
      <c r="MNC48" s="478"/>
      <c r="MND48" s="478"/>
      <c r="MNE48" s="478"/>
      <c r="MNF48" s="478"/>
      <c r="MNG48" s="478"/>
      <c r="MNH48" s="478"/>
      <c r="MNI48" s="478"/>
      <c r="MNJ48" s="478"/>
      <c r="MNK48" s="478"/>
      <c r="MNL48" s="478"/>
      <c r="MNM48" s="478"/>
      <c r="MNN48" s="478"/>
      <c r="MNO48" s="478"/>
      <c r="MNP48" s="478"/>
      <c r="MNQ48" s="478"/>
      <c r="MNR48" s="478"/>
      <c r="MNS48" s="478"/>
      <c r="MNT48" s="478"/>
      <c r="MNU48" s="478"/>
      <c r="MNV48" s="478"/>
      <c r="MNW48" s="478"/>
      <c r="MNX48" s="478"/>
      <c r="MNY48" s="478"/>
      <c r="MNZ48" s="478"/>
      <c r="MOA48" s="478"/>
      <c r="MOB48" s="478"/>
      <c r="MOC48" s="478"/>
      <c r="MOD48" s="478"/>
      <c r="MOE48" s="478"/>
      <c r="MOF48" s="478"/>
      <c r="MOG48" s="478"/>
      <c r="MOH48" s="478"/>
      <c r="MOI48" s="478"/>
      <c r="MOJ48" s="478"/>
      <c r="MOK48" s="478"/>
      <c r="MOL48" s="478"/>
      <c r="MOM48" s="478"/>
      <c r="MON48" s="478"/>
      <c r="MOO48" s="478"/>
      <c r="MOP48" s="478"/>
      <c r="MOQ48" s="478"/>
      <c r="MOR48" s="478"/>
      <c r="MOS48" s="478"/>
      <c r="MOT48" s="478"/>
      <c r="MOU48" s="478"/>
      <c r="MOV48" s="478"/>
      <c r="MOW48" s="478"/>
      <c r="MOX48" s="478"/>
      <c r="MOY48" s="478"/>
      <c r="MOZ48" s="478"/>
      <c r="MPA48" s="478"/>
      <c r="MPB48" s="478"/>
      <c r="MPC48" s="478"/>
      <c r="MPD48" s="478"/>
      <c r="MPE48" s="478"/>
      <c r="MPF48" s="478"/>
      <c r="MPG48" s="478"/>
      <c r="MPH48" s="478"/>
      <c r="MPI48" s="478"/>
      <c r="MPJ48" s="478"/>
      <c r="MPK48" s="478"/>
      <c r="MPL48" s="478"/>
      <c r="MPM48" s="478"/>
      <c r="MPN48" s="478"/>
      <c r="MPO48" s="478"/>
      <c r="MPP48" s="478"/>
      <c r="MPQ48" s="478"/>
      <c r="MPR48" s="478"/>
      <c r="MPS48" s="478"/>
      <c r="MPT48" s="478"/>
      <c r="MPU48" s="478"/>
      <c r="MPV48" s="478"/>
      <c r="MPW48" s="478"/>
      <c r="MPX48" s="478"/>
      <c r="MPY48" s="478"/>
      <c r="MPZ48" s="478"/>
      <c r="MQA48" s="478"/>
      <c r="MQB48" s="478"/>
      <c r="MQC48" s="478"/>
      <c r="MQD48" s="478"/>
      <c r="MQE48" s="478"/>
      <c r="MQF48" s="478"/>
      <c r="MQG48" s="478"/>
      <c r="MQH48" s="478"/>
      <c r="MQI48" s="478"/>
      <c r="MQJ48" s="478"/>
      <c r="MQK48" s="478"/>
      <c r="MQL48" s="478"/>
      <c r="MQM48" s="478"/>
      <c r="MQN48" s="478"/>
      <c r="MQO48" s="478"/>
      <c r="MQP48" s="478"/>
      <c r="MQQ48" s="478"/>
      <c r="MQR48" s="478"/>
      <c r="MQS48" s="478"/>
      <c r="MQT48" s="478"/>
      <c r="MQU48" s="478"/>
      <c r="MQV48" s="478"/>
      <c r="MQW48" s="478"/>
      <c r="MQX48" s="478"/>
      <c r="MQY48" s="478"/>
      <c r="MQZ48" s="478"/>
      <c r="MRA48" s="478"/>
      <c r="MRB48" s="478"/>
      <c r="MRC48" s="478"/>
      <c r="MRD48" s="478"/>
      <c r="MRE48" s="478"/>
      <c r="MRF48" s="478"/>
      <c r="MRG48" s="478"/>
      <c r="MRH48" s="478"/>
      <c r="MRI48" s="478"/>
      <c r="MRJ48" s="478"/>
      <c r="MRK48" s="478"/>
      <c r="MRL48" s="478"/>
      <c r="MRM48" s="478"/>
      <c r="MRN48" s="478"/>
      <c r="MRO48" s="478"/>
      <c r="MRP48" s="478"/>
      <c r="MRQ48" s="478"/>
      <c r="MRR48" s="478"/>
      <c r="MRS48" s="478"/>
      <c r="MRT48" s="478"/>
      <c r="MRU48" s="478"/>
      <c r="MRV48" s="478"/>
      <c r="MRW48" s="478"/>
      <c r="MRX48" s="478"/>
      <c r="MRY48" s="478"/>
      <c r="MRZ48" s="478"/>
      <c r="MSA48" s="478"/>
      <c r="MSB48" s="478"/>
      <c r="MSC48" s="478"/>
      <c r="MSD48" s="478"/>
      <c r="MSE48" s="478"/>
      <c r="MSF48" s="478"/>
      <c r="MSG48" s="478"/>
      <c r="MSH48" s="478"/>
      <c r="MSI48" s="478"/>
      <c r="MSJ48" s="478"/>
      <c r="MSK48" s="478"/>
      <c r="MSL48" s="478"/>
      <c r="MSM48" s="478"/>
      <c r="MSN48" s="478"/>
      <c r="MSO48" s="478"/>
      <c r="MSP48" s="478"/>
      <c r="MSQ48" s="478"/>
      <c r="MSR48" s="478"/>
      <c r="MSS48" s="478"/>
      <c r="MST48" s="478"/>
      <c r="MSU48" s="478"/>
      <c r="MSV48" s="478"/>
      <c r="MSW48" s="478"/>
      <c r="MSX48" s="478"/>
      <c r="MSY48" s="478"/>
      <c r="MSZ48" s="478"/>
      <c r="MTA48" s="478"/>
      <c r="MTB48" s="478"/>
      <c r="MTC48" s="478"/>
      <c r="MTD48" s="478"/>
      <c r="MTE48" s="478"/>
      <c r="MTF48" s="478"/>
      <c r="MTG48" s="478"/>
      <c r="MTH48" s="478"/>
      <c r="MTI48" s="478"/>
      <c r="MTJ48" s="478"/>
      <c r="MTK48" s="478"/>
      <c r="MTL48" s="478"/>
      <c r="MTM48" s="478"/>
      <c r="MTN48" s="478"/>
      <c r="MTO48" s="478"/>
      <c r="MTP48" s="478"/>
      <c r="MTQ48" s="478"/>
      <c r="MTR48" s="478"/>
      <c r="MTS48" s="478"/>
      <c r="MTT48" s="478"/>
      <c r="MTU48" s="478"/>
      <c r="MTV48" s="478"/>
      <c r="MTW48" s="478"/>
      <c r="MTX48" s="478"/>
      <c r="MTY48" s="478"/>
      <c r="MTZ48" s="478"/>
      <c r="MUA48" s="478"/>
      <c r="MUB48" s="478"/>
      <c r="MUC48" s="478"/>
      <c r="MUD48" s="478"/>
      <c r="MUE48" s="478"/>
      <c r="MUF48" s="478"/>
      <c r="MUG48" s="478"/>
      <c r="MUH48" s="478"/>
      <c r="MUI48" s="478"/>
      <c r="MUJ48" s="478"/>
      <c r="MUK48" s="478"/>
      <c r="MUL48" s="478"/>
      <c r="MUM48" s="478"/>
      <c r="MUN48" s="478"/>
      <c r="MUO48" s="478"/>
      <c r="MUP48" s="478"/>
      <c r="MUQ48" s="478"/>
      <c r="MUR48" s="478"/>
      <c r="MUS48" s="478"/>
      <c r="MUT48" s="478"/>
      <c r="MUU48" s="478"/>
      <c r="MUV48" s="478"/>
      <c r="MUW48" s="478"/>
      <c r="MUX48" s="478"/>
      <c r="MUY48" s="478"/>
      <c r="MUZ48" s="478"/>
      <c r="MVA48" s="478"/>
      <c r="MVB48" s="478"/>
      <c r="MVC48" s="478"/>
      <c r="MVD48" s="478"/>
      <c r="MVE48" s="478"/>
      <c r="MVF48" s="478"/>
      <c r="MVG48" s="478"/>
      <c r="MVH48" s="478"/>
      <c r="MVI48" s="478"/>
      <c r="MVJ48" s="478"/>
      <c r="MVK48" s="478"/>
      <c r="MVL48" s="478"/>
      <c r="MVM48" s="478"/>
      <c r="MVN48" s="478"/>
      <c r="MVO48" s="478"/>
      <c r="MVP48" s="478"/>
      <c r="MVQ48" s="478"/>
      <c r="MVR48" s="478"/>
      <c r="MVS48" s="478"/>
      <c r="MVT48" s="478"/>
      <c r="MVU48" s="478"/>
      <c r="MVV48" s="478"/>
      <c r="MVW48" s="478"/>
      <c r="MVX48" s="478"/>
      <c r="MVY48" s="478"/>
      <c r="MVZ48" s="478"/>
      <c r="MWA48" s="478"/>
      <c r="MWB48" s="478"/>
      <c r="MWC48" s="478"/>
      <c r="MWD48" s="478"/>
      <c r="MWE48" s="478"/>
      <c r="MWF48" s="478"/>
      <c r="MWG48" s="478"/>
      <c r="MWH48" s="478"/>
      <c r="MWI48" s="478"/>
      <c r="MWJ48" s="478"/>
      <c r="MWK48" s="478"/>
      <c r="MWL48" s="478"/>
      <c r="MWM48" s="478"/>
      <c r="MWN48" s="478"/>
      <c r="MWO48" s="478"/>
      <c r="MWP48" s="478"/>
      <c r="MWQ48" s="478"/>
      <c r="MWR48" s="478"/>
      <c r="MWS48" s="478"/>
      <c r="MWT48" s="478"/>
      <c r="MWU48" s="478"/>
      <c r="MWV48" s="478"/>
      <c r="MWW48" s="478"/>
      <c r="MWX48" s="478"/>
      <c r="MWY48" s="478"/>
      <c r="MWZ48" s="478"/>
      <c r="MXA48" s="478"/>
      <c r="MXB48" s="478"/>
      <c r="MXC48" s="478"/>
      <c r="MXD48" s="478"/>
      <c r="MXE48" s="478"/>
      <c r="MXF48" s="478"/>
      <c r="MXG48" s="478"/>
      <c r="MXH48" s="478"/>
      <c r="MXI48" s="478"/>
      <c r="MXJ48" s="478"/>
      <c r="MXK48" s="478"/>
      <c r="MXL48" s="478"/>
      <c r="MXM48" s="478"/>
      <c r="MXN48" s="478"/>
      <c r="MXO48" s="478"/>
      <c r="MXP48" s="478"/>
      <c r="MXQ48" s="478"/>
      <c r="MXR48" s="478"/>
      <c r="MXS48" s="478"/>
      <c r="MXT48" s="478"/>
      <c r="MXU48" s="478"/>
      <c r="MXV48" s="478"/>
      <c r="MXW48" s="478"/>
      <c r="MXX48" s="478"/>
      <c r="MXY48" s="478"/>
      <c r="MXZ48" s="478"/>
      <c r="MYA48" s="478"/>
      <c r="MYB48" s="478"/>
      <c r="MYC48" s="478"/>
      <c r="MYD48" s="478"/>
      <c r="MYE48" s="478"/>
      <c r="MYF48" s="478"/>
      <c r="MYG48" s="478"/>
      <c r="MYH48" s="478"/>
      <c r="MYI48" s="478"/>
      <c r="MYJ48" s="478"/>
      <c r="MYK48" s="478"/>
      <c r="MYL48" s="478"/>
      <c r="MYM48" s="478"/>
      <c r="MYN48" s="478"/>
      <c r="MYO48" s="478"/>
      <c r="MYP48" s="478"/>
      <c r="MYQ48" s="478"/>
      <c r="MYR48" s="478"/>
      <c r="MYS48" s="478"/>
      <c r="MYT48" s="478"/>
      <c r="MYU48" s="478"/>
      <c r="MYV48" s="478"/>
      <c r="MYW48" s="478"/>
      <c r="MYX48" s="478"/>
      <c r="MYY48" s="478"/>
      <c r="MYZ48" s="478"/>
      <c r="MZA48" s="478"/>
      <c r="MZB48" s="478"/>
      <c r="MZC48" s="478"/>
      <c r="MZD48" s="478"/>
      <c r="MZE48" s="478"/>
      <c r="MZF48" s="478"/>
      <c r="MZG48" s="478"/>
      <c r="MZH48" s="478"/>
      <c r="MZI48" s="478"/>
      <c r="MZJ48" s="478"/>
      <c r="MZK48" s="478"/>
      <c r="MZL48" s="478"/>
      <c r="MZM48" s="478"/>
      <c r="MZN48" s="478"/>
      <c r="MZO48" s="478"/>
      <c r="MZP48" s="478"/>
      <c r="MZQ48" s="478"/>
      <c r="MZR48" s="478"/>
      <c r="MZS48" s="478"/>
      <c r="MZT48" s="478"/>
      <c r="MZU48" s="478"/>
      <c r="MZV48" s="478"/>
      <c r="MZW48" s="478"/>
      <c r="MZX48" s="478"/>
      <c r="MZY48" s="478"/>
      <c r="MZZ48" s="478"/>
      <c r="NAA48" s="478"/>
      <c r="NAB48" s="478"/>
      <c r="NAC48" s="478"/>
      <c r="NAD48" s="478"/>
      <c r="NAE48" s="478"/>
      <c r="NAF48" s="478"/>
      <c r="NAG48" s="478"/>
      <c r="NAH48" s="478"/>
      <c r="NAI48" s="478"/>
      <c r="NAJ48" s="478"/>
      <c r="NAK48" s="478"/>
      <c r="NAL48" s="478"/>
      <c r="NAM48" s="478"/>
      <c r="NAN48" s="478"/>
      <c r="NAO48" s="478"/>
      <c r="NAP48" s="478"/>
      <c r="NAQ48" s="478"/>
      <c r="NAR48" s="478"/>
      <c r="NAS48" s="478"/>
      <c r="NAT48" s="478"/>
      <c r="NAU48" s="478"/>
      <c r="NAV48" s="478"/>
      <c r="NAW48" s="478"/>
      <c r="NAX48" s="478"/>
      <c r="NAY48" s="478"/>
      <c r="NAZ48" s="478"/>
      <c r="NBA48" s="478"/>
      <c r="NBB48" s="478"/>
      <c r="NBC48" s="478"/>
      <c r="NBD48" s="478"/>
      <c r="NBE48" s="478"/>
      <c r="NBF48" s="478"/>
      <c r="NBG48" s="478"/>
      <c r="NBH48" s="478"/>
      <c r="NBI48" s="478"/>
      <c r="NBJ48" s="478"/>
      <c r="NBK48" s="478"/>
      <c r="NBL48" s="478"/>
      <c r="NBM48" s="478"/>
      <c r="NBN48" s="478"/>
      <c r="NBO48" s="478"/>
      <c r="NBP48" s="478"/>
      <c r="NBQ48" s="478"/>
      <c r="NBR48" s="478"/>
      <c r="NBS48" s="478"/>
      <c r="NBT48" s="478"/>
      <c r="NBU48" s="478"/>
      <c r="NBV48" s="478"/>
      <c r="NBW48" s="478"/>
      <c r="NBX48" s="478"/>
      <c r="NBY48" s="478"/>
      <c r="NBZ48" s="478"/>
      <c r="NCA48" s="478"/>
      <c r="NCB48" s="478"/>
      <c r="NCC48" s="478"/>
      <c r="NCD48" s="478"/>
      <c r="NCE48" s="478"/>
      <c r="NCF48" s="478"/>
      <c r="NCG48" s="478"/>
      <c r="NCH48" s="478"/>
      <c r="NCI48" s="478"/>
      <c r="NCJ48" s="478"/>
      <c r="NCK48" s="478"/>
      <c r="NCL48" s="478"/>
      <c r="NCM48" s="478"/>
      <c r="NCN48" s="478"/>
      <c r="NCO48" s="478"/>
      <c r="NCP48" s="478"/>
      <c r="NCQ48" s="478"/>
      <c r="NCR48" s="478"/>
      <c r="NCS48" s="478"/>
      <c r="NCT48" s="478"/>
      <c r="NCU48" s="478"/>
      <c r="NCV48" s="478"/>
      <c r="NCW48" s="478"/>
      <c r="NCX48" s="478"/>
      <c r="NCY48" s="478"/>
      <c r="NCZ48" s="478"/>
      <c r="NDA48" s="478"/>
      <c r="NDB48" s="478"/>
      <c r="NDC48" s="478"/>
      <c r="NDD48" s="478"/>
      <c r="NDE48" s="478"/>
      <c r="NDF48" s="478"/>
      <c r="NDG48" s="478"/>
      <c r="NDH48" s="478"/>
      <c r="NDI48" s="478"/>
      <c r="NDJ48" s="478"/>
      <c r="NDK48" s="478"/>
      <c r="NDL48" s="478"/>
      <c r="NDM48" s="478"/>
      <c r="NDN48" s="478"/>
      <c r="NDO48" s="478"/>
      <c r="NDP48" s="478"/>
      <c r="NDQ48" s="478"/>
      <c r="NDR48" s="478"/>
      <c r="NDS48" s="478"/>
      <c r="NDT48" s="478"/>
      <c r="NDU48" s="478"/>
      <c r="NDV48" s="478"/>
      <c r="NDW48" s="478"/>
      <c r="NDX48" s="478"/>
      <c r="NDY48" s="478"/>
      <c r="NDZ48" s="478"/>
      <c r="NEA48" s="478"/>
      <c r="NEB48" s="478"/>
      <c r="NEC48" s="478"/>
      <c r="NED48" s="478"/>
      <c r="NEE48" s="478"/>
      <c r="NEF48" s="478"/>
      <c r="NEG48" s="478"/>
      <c r="NEH48" s="478"/>
      <c r="NEI48" s="478"/>
      <c r="NEJ48" s="478"/>
      <c r="NEK48" s="478"/>
      <c r="NEL48" s="478"/>
      <c r="NEM48" s="478"/>
      <c r="NEN48" s="478"/>
      <c r="NEO48" s="478"/>
      <c r="NEP48" s="478"/>
      <c r="NEQ48" s="478"/>
      <c r="NER48" s="478"/>
      <c r="NES48" s="478"/>
      <c r="NET48" s="478"/>
      <c r="NEU48" s="478"/>
      <c r="NEV48" s="478"/>
      <c r="NEW48" s="478"/>
      <c r="NEX48" s="478"/>
      <c r="NEY48" s="478"/>
      <c r="NEZ48" s="478"/>
      <c r="NFA48" s="478"/>
      <c r="NFB48" s="478"/>
      <c r="NFC48" s="478"/>
      <c r="NFD48" s="478"/>
      <c r="NFE48" s="478"/>
      <c r="NFF48" s="478"/>
      <c r="NFG48" s="478"/>
      <c r="NFH48" s="478"/>
      <c r="NFI48" s="478"/>
      <c r="NFJ48" s="478"/>
      <c r="NFK48" s="478"/>
      <c r="NFL48" s="478"/>
      <c r="NFM48" s="478"/>
      <c r="NFN48" s="478"/>
      <c r="NFO48" s="478"/>
      <c r="NFP48" s="478"/>
      <c r="NFQ48" s="478"/>
      <c r="NFR48" s="478"/>
      <c r="NFS48" s="478"/>
      <c r="NFT48" s="478"/>
      <c r="NFU48" s="478"/>
      <c r="NFV48" s="478"/>
      <c r="NFW48" s="478"/>
      <c r="NFX48" s="478"/>
      <c r="NFY48" s="478"/>
      <c r="NFZ48" s="478"/>
      <c r="NGA48" s="478"/>
      <c r="NGB48" s="478"/>
      <c r="NGC48" s="478"/>
      <c r="NGD48" s="478"/>
      <c r="NGE48" s="478"/>
      <c r="NGF48" s="478"/>
      <c r="NGG48" s="478"/>
      <c r="NGH48" s="478"/>
      <c r="NGI48" s="478"/>
      <c r="NGJ48" s="478"/>
      <c r="NGK48" s="478"/>
      <c r="NGL48" s="478"/>
      <c r="NGM48" s="478"/>
      <c r="NGN48" s="478"/>
      <c r="NGO48" s="478"/>
      <c r="NGP48" s="478"/>
      <c r="NGQ48" s="478"/>
      <c r="NGR48" s="478"/>
      <c r="NGS48" s="478"/>
      <c r="NGT48" s="478"/>
      <c r="NGU48" s="478"/>
      <c r="NGV48" s="478"/>
      <c r="NGW48" s="478"/>
      <c r="NGX48" s="478"/>
      <c r="NGY48" s="478"/>
      <c r="NGZ48" s="478"/>
      <c r="NHA48" s="478"/>
      <c r="NHB48" s="478"/>
      <c r="NHC48" s="478"/>
      <c r="NHD48" s="478"/>
      <c r="NHE48" s="478"/>
      <c r="NHF48" s="478"/>
      <c r="NHG48" s="478"/>
      <c r="NHH48" s="478"/>
      <c r="NHI48" s="478"/>
      <c r="NHJ48" s="478"/>
      <c r="NHK48" s="478"/>
      <c r="NHL48" s="478"/>
      <c r="NHM48" s="478"/>
      <c r="NHN48" s="478"/>
      <c r="NHO48" s="478"/>
      <c r="NHP48" s="478"/>
      <c r="NHQ48" s="478"/>
      <c r="NHR48" s="478"/>
      <c r="NHS48" s="478"/>
      <c r="NHT48" s="478"/>
      <c r="NHU48" s="478"/>
      <c r="NHV48" s="478"/>
      <c r="NHW48" s="478"/>
      <c r="NHX48" s="478"/>
      <c r="NHY48" s="478"/>
      <c r="NHZ48" s="478"/>
      <c r="NIA48" s="478"/>
      <c r="NIB48" s="478"/>
      <c r="NIC48" s="478"/>
      <c r="NID48" s="478"/>
      <c r="NIE48" s="478"/>
      <c r="NIF48" s="478"/>
      <c r="NIG48" s="478"/>
      <c r="NIH48" s="478"/>
      <c r="NII48" s="478"/>
      <c r="NIJ48" s="478"/>
      <c r="NIK48" s="478"/>
      <c r="NIL48" s="478"/>
      <c r="NIM48" s="478"/>
      <c r="NIN48" s="478"/>
      <c r="NIO48" s="478"/>
      <c r="NIP48" s="478"/>
      <c r="NIQ48" s="478"/>
      <c r="NIR48" s="478"/>
      <c r="NIS48" s="478"/>
      <c r="NIT48" s="478"/>
      <c r="NIU48" s="478"/>
      <c r="NIV48" s="478"/>
      <c r="NIW48" s="478"/>
      <c r="NIX48" s="478"/>
      <c r="NIY48" s="478"/>
      <c r="NIZ48" s="478"/>
      <c r="NJA48" s="478"/>
      <c r="NJB48" s="478"/>
      <c r="NJC48" s="478"/>
      <c r="NJD48" s="478"/>
      <c r="NJE48" s="478"/>
      <c r="NJF48" s="478"/>
      <c r="NJG48" s="478"/>
      <c r="NJH48" s="478"/>
      <c r="NJI48" s="478"/>
      <c r="NJJ48" s="478"/>
      <c r="NJK48" s="478"/>
      <c r="NJL48" s="478"/>
      <c r="NJM48" s="478"/>
      <c r="NJN48" s="478"/>
      <c r="NJO48" s="478"/>
      <c r="NJP48" s="478"/>
      <c r="NJQ48" s="478"/>
      <c r="NJR48" s="478"/>
      <c r="NJS48" s="478"/>
      <c r="NJT48" s="478"/>
      <c r="NJU48" s="478"/>
      <c r="NJV48" s="478"/>
      <c r="NJW48" s="478"/>
      <c r="NJX48" s="478"/>
      <c r="NJY48" s="478"/>
      <c r="NJZ48" s="478"/>
      <c r="NKA48" s="478"/>
      <c r="NKB48" s="478"/>
      <c r="NKC48" s="478"/>
      <c r="NKD48" s="478"/>
      <c r="NKE48" s="478"/>
      <c r="NKF48" s="478"/>
      <c r="NKG48" s="478"/>
      <c r="NKH48" s="478"/>
      <c r="NKI48" s="478"/>
      <c r="NKJ48" s="478"/>
      <c r="NKK48" s="478"/>
      <c r="NKL48" s="478"/>
      <c r="NKM48" s="478"/>
      <c r="NKN48" s="478"/>
      <c r="NKO48" s="478"/>
      <c r="NKP48" s="478"/>
      <c r="NKQ48" s="478"/>
      <c r="NKR48" s="478"/>
      <c r="NKS48" s="478"/>
      <c r="NKT48" s="478"/>
      <c r="NKU48" s="478"/>
      <c r="NKV48" s="478"/>
      <c r="NKW48" s="478"/>
      <c r="NKX48" s="478"/>
      <c r="NKY48" s="478"/>
      <c r="NKZ48" s="478"/>
      <c r="NLA48" s="478"/>
      <c r="NLB48" s="478"/>
      <c r="NLC48" s="478"/>
      <c r="NLD48" s="478"/>
      <c r="NLE48" s="478"/>
      <c r="NLF48" s="478"/>
      <c r="NLG48" s="478"/>
      <c r="NLH48" s="478"/>
      <c r="NLI48" s="478"/>
      <c r="NLJ48" s="478"/>
      <c r="NLK48" s="478"/>
      <c r="NLL48" s="478"/>
      <c r="NLM48" s="478"/>
      <c r="NLN48" s="478"/>
      <c r="NLO48" s="478"/>
      <c r="NLP48" s="478"/>
      <c r="NLQ48" s="478"/>
      <c r="NLR48" s="478"/>
      <c r="NLS48" s="478"/>
      <c r="NLT48" s="478"/>
      <c r="NLU48" s="478"/>
      <c r="NLV48" s="478"/>
      <c r="NLW48" s="478"/>
      <c r="NLX48" s="478"/>
      <c r="NLY48" s="478"/>
      <c r="NLZ48" s="478"/>
      <c r="NMA48" s="478"/>
      <c r="NMB48" s="478"/>
      <c r="NMC48" s="478"/>
      <c r="NMD48" s="478"/>
      <c r="NME48" s="478"/>
      <c r="NMF48" s="478"/>
      <c r="NMG48" s="478"/>
      <c r="NMH48" s="478"/>
      <c r="NMI48" s="478"/>
      <c r="NMJ48" s="478"/>
      <c r="NMK48" s="478"/>
      <c r="NML48" s="478"/>
      <c r="NMM48" s="478"/>
      <c r="NMN48" s="478"/>
      <c r="NMO48" s="478"/>
      <c r="NMP48" s="478"/>
      <c r="NMQ48" s="478"/>
      <c r="NMR48" s="478"/>
      <c r="NMS48" s="478"/>
      <c r="NMT48" s="478"/>
      <c r="NMU48" s="478"/>
      <c r="NMV48" s="478"/>
      <c r="NMW48" s="478"/>
      <c r="NMX48" s="478"/>
      <c r="NMY48" s="478"/>
      <c r="NMZ48" s="478"/>
      <c r="NNA48" s="478"/>
      <c r="NNB48" s="478"/>
      <c r="NNC48" s="478"/>
      <c r="NND48" s="478"/>
      <c r="NNE48" s="478"/>
      <c r="NNF48" s="478"/>
      <c r="NNG48" s="478"/>
      <c r="NNH48" s="478"/>
      <c r="NNI48" s="478"/>
      <c r="NNJ48" s="478"/>
      <c r="NNK48" s="478"/>
      <c r="NNL48" s="478"/>
      <c r="NNM48" s="478"/>
      <c r="NNN48" s="478"/>
      <c r="NNO48" s="478"/>
      <c r="NNP48" s="478"/>
      <c r="NNQ48" s="478"/>
      <c r="NNR48" s="478"/>
      <c r="NNS48" s="478"/>
      <c r="NNT48" s="478"/>
      <c r="NNU48" s="478"/>
      <c r="NNV48" s="478"/>
      <c r="NNW48" s="478"/>
      <c r="NNX48" s="478"/>
      <c r="NNY48" s="478"/>
      <c r="NNZ48" s="478"/>
      <c r="NOA48" s="478"/>
      <c r="NOB48" s="478"/>
      <c r="NOC48" s="478"/>
      <c r="NOD48" s="478"/>
      <c r="NOE48" s="478"/>
      <c r="NOF48" s="478"/>
      <c r="NOG48" s="478"/>
      <c r="NOH48" s="478"/>
      <c r="NOI48" s="478"/>
      <c r="NOJ48" s="478"/>
      <c r="NOK48" s="478"/>
      <c r="NOL48" s="478"/>
      <c r="NOM48" s="478"/>
      <c r="NON48" s="478"/>
      <c r="NOO48" s="478"/>
      <c r="NOP48" s="478"/>
      <c r="NOQ48" s="478"/>
      <c r="NOR48" s="478"/>
      <c r="NOS48" s="478"/>
      <c r="NOT48" s="478"/>
      <c r="NOU48" s="478"/>
      <c r="NOV48" s="478"/>
      <c r="NOW48" s="478"/>
      <c r="NOX48" s="478"/>
      <c r="NOY48" s="478"/>
      <c r="NOZ48" s="478"/>
      <c r="NPA48" s="478"/>
      <c r="NPB48" s="478"/>
      <c r="NPC48" s="478"/>
      <c r="NPD48" s="478"/>
      <c r="NPE48" s="478"/>
      <c r="NPF48" s="478"/>
      <c r="NPG48" s="478"/>
      <c r="NPH48" s="478"/>
      <c r="NPI48" s="478"/>
      <c r="NPJ48" s="478"/>
      <c r="NPK48" s="478"/>
      <c r="NPL48" s="478"/>
      <c r="NPM48" s="478"/>
      <c r="NPN48" s="478"/>
      <c r="NPO48" s="478"/>
      <c r="NPP48" s="478"/>
      <c r="NPQ48" s="478"/>
      <c r="NPR48" s="478"/>
      <c r="NPS48" s="478"/>
      <c r="NPT48" s="478"/>
      <c r="NPU48" s="478"/>
      <c r="NPV48" s="478"/>
      <c r="NPW48" s="478"/>
      <c r="NPX48" s="478"/>
      <c r="NPY48" s="478"/>
      <c r="NPZ48" s="478"/>
      <c r="NQA48" s="478"/>
      <c r="NQB48" s="478"/>
      <c r="NQC48" s="478"/>
      <c r="NQD48" s="478"/>
      <c r="NQE48" s="478"/>
      <c r="NQF48" s="478"/>
      <c r="NQG48" s="478"/>
      <c r="NQH48" s="478"/>
      <c r="NQI48" s="478"/>
      <c r="NQJ48" s="478"/>
      <c r="NQK48" s="478"/>
      <c r="NQL48" s="478"/>
      <c r="NQM48" s="478"/>
      <c r="NQN48" s="478"/>
      <c r="NQO48" s="478"/>
      <c r="NQP48" s="478"/>
      <c r="NQQ48" s="478"/>
      <c r="NQR48" s="478"/>
      <c r="NQS48" s="478"/>
      <c r="NQT48" s="478"/>
      <c r="NQU48" s="478"/>
      <c r="NQV48" s="478"/>
      <c r="NQW48" s="478"/>
      <c r="NQX48" s="478"/>
      <c r="NQY48" s="478"/>
      <c r="NQZ48" s="478"/>
      <c r="NRA48" s="478"/>
      <c r="NRB48" s="478"/>
      <c r="NRC48" s="478"/>
      <c r="NRD48" s="478"/>
      <c r="NRE48" s="478"/>
      <c r="NRF48" s="478"/>
      <c r="NRG48" s="478"/>
      <c r="NRH48" s="478"/>
      <c r="NRI48" s="478"/>
      <c r="NRJ48" s="478"/>
      <c r="NRK48" s="478"/>
      <c r="NRL48" s="478"/>
      <c r="NRM48" s="478"/>
      <c r="NRN48" s="478"/>
      <c r="NRO48" s="478"/>
      <c r="NRP48" s="478"/>
      <c r="NRQ48" s="478"/>
      <c r="NRR48" s="478"/>
      <c r="NRS48" s="478"/>
      <c r="NRT48" s="478"/>
      <c r="NRU48" s="478"/>
      <c r="NRV48" s="478"/>
      <c r="NRW48" s="478"/>
      <c r="NRX48" s="478"/>
      <c r="NRY48" s="478"/>
      <c r="NRZ48" s="478"/>
      <c r="NSA48" s="478"/>
      <c r="NSB48" s="478"/>
      <c r="NSC48" s="478"/>
      <c r="NSD48" s="478"/>
      <c r="NSE48" s="478"/>
      <c r="NSF48" s="478"/>
      <c r="NSG48" s="478"/>
      <c r="NSH48" s="478"/>
      <c r="NSI48" s="478"/>
      <c r="NSJ48" s="478"/>
      <c r="NSK48" s="478"/>
      <c r="NSL48" s="478"/>
      <c r="NSM48" s="478"/>
      <c r="NSN48" s="478"/>
      <c r="NSO48" s="478"/>
      <c r="NSP48" s="478"/>
      <c r="NSQ48" s="478"/>
      <c r="NSR48" s="478"/>
      <c r="NSS48" s="478"/>
      <c r="NST48" s="478"/>
      <c r="NSU48" s="478"/>
      <c r="NSV48" s="478"/>
      <c r="NSW48" s="478"/>
      <c r="NSX48" s="478"/>
      <c r="NSY48" s="478"/>
      <c r="NSZ48" s="478"/>
      <c r="NTA48" s="478"/>
      <c r="NTB48" s="478"/>
      <c r="NTC48" s="478"/>
      <c r="NTD48" s="478"/>
      <c r="NTE48" s="478"/>
      <c r="NTF48" s="478"/>
      <c r="NTG48" s="478"/>
      <c r="NTH48" s="478"/>
      <c r="NTI48" s="478"/>
      <c r="NTJ48" s="478"/>
      <c r="NTK48" s="478"/>
      <c r="NTL48" s="478"/>
      <c r="NTM48" s="478"/>
      <c r="NTN48" s="478"/>
      <c r="NTO48" s="478"/>
      <c r="NTP48" s="478"/>
      <c r="NTQ48" s="478"/>
      <c r="NTR48" s="478"/>
      <c r="NTS48" s="478"/>
      <c r="NTT48" s="478"/>
      <c r="NTU48" s="478"/>
      <c r="NTV48" s="478"/>
      <c r="NTW48" s="478"/>
      <c r="NTX48" s="478"/>
      <c r="NTY48" s="478"/>
      <c r="NTZ48" s="478"/>
      <c r="NUA48" s="478"/>
      <c r="NUB48" s="478"/>
      <c r="NUC48" s="478"/>
      <c r="NUD48" s="478"/>
      <c r="NUE48" s="478"/>
      <c r="NUF48" s="478"/>
      <c r="NUG48" s="478"/>
      <c r="NUH48" s="478"/>
      <c r="NUI48" s="478"/>
      <c r="NUJ48" s="478"/>
      <c r="NUK48" s="478"/>
      <c r="NUL48" s="478"/>
      <c r="NUM48" s="478"/>
      <c r="NUN48" s="478"/>
      <c r="NUO48" s="478"/>
      <c r="NUP48" s="478"/>
      <c r="NUQ48" s="478"/>
      <c r="NUR48" s="478"/>
      <c r="NUS48" s="478"/>
      <c r="NUT48" s="478"/>
      <c r="NUU48" s="478"/>
      <c r="NUV48" s="478"/>
      <c r="NUW48" s="478"/>
      <c r="NUX48" s="478"/>
      <c r="NUY48" s="478"/>
      <c r="NUZ48" s="478"/>
      <c r="NVA48" s="478"/>
      <c r="NVB48" s="478"/>
      <c r="NVC48" s="478"/>
      <c r="NVD48" s="478"/>
      <c r="NVE48" s="478"/>
      <c r="NVF48" s="478"/>
      <c r="NVG48" s="478"/>
      <c r="NVH48" s="478"/>
      <c r="NVI48" s="478"/>
      <c r="NVJ48" s="478"/>
      <c r="NVK48" s="478"/>
      <c r="NVL48" s="478"/>
      <c r="NVM48" s="478"/>
      <c r="NVN48" s="478"/>
      <c r="NVO48" s="478"/>
      <c r="NVP48" s="478"/>
      <c r="NVQ48" s="478"/>
      <c r="NVR48" s="478"/>
      <c r="NVS48" s="478"/>
      <c r="NVT48" s="478"/>
      <c r="NVU48" s="478"/>
      <c r="NVV48" s="478"/>
      <c r="NVW48" s="478"/>
      <c r="NVX48" s="478"/>
      <c r="NVY48" s="478"/>
      <c r="NVZ48" s="478"/>
      <c r="NWA48" s="478"/>
      <c r="NWB48" s="478"/>
      <c r="NWC48" s="478"/>
      <c r="NWD48" s="478"/>
      <c r="NWE48" s="478"/>
      <c r="NWF48" s="478"/>
      <c r="NWG48" s="478"/>
      <c r="NWH48" s="478"/>
      <c r="NWI48" s="478"/>
      <c r="NWJ48" s="478"/>
      <c r="NWK48" s="478"/>
      <c r="NWL48" s="478"/>
      <c r="NWM48" s="478"/>
      <c r="NWN48" s="478"/>
      <c r="NWO48" s="478"/>
      <c r="NWP48" s="478"/>
      <c r="NWQ48" s="478"/>
      <c r="NWR48" s="478"/>
      <c r="NWS48" s="478"/>
      <c r="NWT48" s="478"/>
      <c r="NWU48" s="478"/>
      <c r="NWV48" s="478"/>
      <c r="NWW48" s="478"/>
      <c r="NWX48" s="478"/>
      <c r="NWY48" s="478"/>
      <c r="NWZ48" s="478"/>
      <c r="NXA48" s="478"/>
      <c r="NXB48" s="478"/>
      <c r="NXC48" s="478"/>
      <c r="NXD48" s="478"/>
      <c r="NXE48" s="478"/>
      <c r="NXF48" s="478"/>
      <c r="NXG48" s="478"/>
      <c r="NXH48" s="478"/>
      <c r="NXI48" s="478"/>
      <c r="NXJ48" s="478"/>
      <c r="NXK48" s="478"/>
      <c r="NXL48" s="478"/>
      <c r="NXM48" s="478"/>
      <c r="NXN48" s="478"/>
      <c r="NXO48" s="478"/>
      <c r="NXP48" s="478"/>
      <c r="NXQ48" s="478"/>
      <c r="NXR48" s="478"/>
      <c r="NXS48" s="478"/>
      <c r="NXT48" s="478"/>
      <c r="NXU48" s="478"/>
      <c r="NXV48" s="478"/>
      <c r="NXW48" s="478"/>
      <c r="NXX48" s="478"/>
      <c r="NXY48" s="478"/>
      <c r="NXZ48" s="478"/>
      <c r="NYA48" s="478"/>
      <c r="NYB48" s="478"/>
      <c r="NYC48" s="478"/>
      <c r="NYD48" s="478"/>
      <c r="NYE48" s="478"/>
      <c r="NYF48" s="478"/>
      <c r="NYG48" s="478"/>
      <c r="NYH48" s="478"/>
      <c r="NYI48" s="478"/>
      <c r="NYJ48" s="478"/>
      <c r="NYK48" s="478"/>
      <c r="NYL48" s="478"/>
      <c r="NYM48" s="478"/>
      <c r="NYN48" s="478"/>
      <c r="NYO48" s="478"/>
      <c r="NYP48" s="478"/>
      <c r="NYQ48" s="478"/>
      <c r="NYR48" s="478"/>
      <c r="NYS48" s="478"/>
      <c r="NYT48" s="478"/>
      <c r="NYU48" s="478"/>
      <c r="NYV48" s="478"/>
      <c r="NYW48" s="478"/>
      <c r="NYX48" s="478"/>
      <c r="NYY48" s="478"/>
      <c r="NYZ48" s="478"/>
      <c r="NZA48" s="478"/>
      <c r="NZB48" s="478"/>
      <c r="NZC48" s="478"/>
      <c r="NZD48" s="478"/>
      <c r="NZE48" s="478"/>
      <c r="NZF48" s="478"/>
      <c r="NZG48" s="478"/>
      <c r="NZH48" s="478"/>
      <c r="NZI48" s="478"/>
      <c r="NZJ48" s="478"/>
      <c r="NZK48" s="478"/>
      <c r="NZL48" s="478"/>
      <c r="NZM48" s="478"/>
      <c r="NZN48" s="478"/>
      <c r="NZO48" s="478"/>
      <c r="NZP48" s="478"/>
      <c r="NZQ48" s="478"/>
      <c r="NZR48" s="478"/>
      <c r="NZS48" s="478"/>
      <c r="NZT48" s="478"/>
      <c r="NZU48" s="478"/>
      <c r="NZV48" s="478"/>
      <c r="NZW48" s="478"/>
      <c r="NZX48" s="478"/>
      <c r="NZY48" s="478"/>
      <c r="NZZ48" s="478"/>
      <c r="OAA48" s="478"/>
      <c r="OAB48" s="478"/>
      <c r="OAC48" s="478"/>
      <c r="OAD48" s="478"/>
      <c r="OAE48" s="478"/>
      <c r="OAF48" s="478"/>
      <c r="OAG48" s="478"/>
      <c r="OAH48" s="478"/>
      <c r="OAI48" s="478"/>
      <c r="OAJ48" s="478"/>
      <c r="OAK48" s="478"/>
      <c r="OAL48" s="478"/>
      <c r="OAM48" s="478"/>
      <c r="OAN48" s="478"/>
      <c r="OAO48" s="478"/>
      <c r="OAP48" s="478"/>
      <c r="OAQ48" s="478"/>
      <c r="OAR48" s="478"/>
      <c r="OAS48" s="478"/>
      <c r="OAT48" s="478"/>
      <c r="OAU48" s="478"/>
      <c r="OAV48" s="478"/>
      <c r="OAW48" s="478"/>
      <c r="OAX48" s="478"/>
      <c r="OAY48" s="478"/>
      <c r="OAZ48" s="478"/>
      <c r="OBA48" s="478"/>
      <c r="OBB48" s="478"/>
      <c r="OBC48" s="478"/>
      <c r="OBD48" s="478"/>
      <c r="OBE48" s="478"/>
      <c r="OBF48" s="478"/>
      <c r="OBG48" s="478"/>
      <c r="OBH48" s="478"/>
      <c r="OBI48" s="478"/>
      <c r="OBJ48" s="478"/>
      <c r="OBK48" s="478"/>
      <c r="OBL48" s="478"/>
      <c r="OBM48" s="478"/>
      <c r="OBN48" s="478"/>
      <c r="OBO48" s="478"/>
      <c r="OBP48" s="478"/>
      <c r="OBQ48" s="478"/>
      <c r="OBR48" s="478"/>
      <c r="OBS48" s="478"/>
      <c r="OBT48" s="478"/>
      <c r="OBU48" s="478"/>
      <c r="OBV48" s="478"/>
      <c r="OBW48" s="478"/>
      <c r="OBX48" s="478"/>
      <c r="OBY48" s="478"/>
      <c r="OBZ48" s="478"/>
      <c r="OCA48" s="478"/>
      <c r="OCB48" s="478"/>
      <c r="OCC48" s="478"/>
      <c r="OCD48" s="478"/>
      <c r="OCE48" s="478"/>
      <c r="OCF48" s="478"/>
      <c r="OCG48" s="478"/>
      <c r="OCH48" s="478"/>
      <c r="OCI48" s="478"/>
      <c r="OCJ48" s="478"/>
      <c r="OCK48" s="478"/>
      <c r="OCL48" s="478"/>
      <c r="OCM48" s="478"/>
      <c r="OCN48" s="478"/>
      <c r="OCO48" s="478"/>
      <c r="OCP48" s="478"/>
      <c r="OCQ48" s="478"/>
      <c r="OCR48" s="478"/>
      <c r="OCS48" s="478"/>
      <c r="OCT48" s="478"/>
      <c r="OCU48" s="478"/>
      <c r="OCV48" s="478"/>
      <c r="OCW48" s="478"/>
      <c r="OCX48" s="478"/>
      <c r="OCY48" s="478"/>
      <c r="OCZ48" s="478"/>
      <c r="ODA48" s="478"/>
      <c r="ODB48" s="478"/>
      <c r="ODC48" s="478"/>
      <c r="ODD48" s="478"/>
      <c r="ODE48" s="478"/>
      <c r="ODF48" s="478"/>
      <c r="ODG48" s="478"/>
      <c r="ODH48" s="478"/>
      <c r="ODI48" s="478"/>
      <c r="ODJ48" s="478"/>
      <c r="ODK48" s="478"/>
      <c r="ODL48" s="478"/>
      <c r="ODM48" s="478"/>
      <c r="ODN48" s="478"/>
      <c r="ODO48" s="478"/>
      <c r="ODP48" s="478"/>
      <c r="ODQ48" s="478"/>
      <c r="ODR48" s="478"/>
      <c r="ODS48" s="478"/>
      <c r="ODT48" s="478"/>
      <c r="ODU48" s="478"/>
      <c r="ODV48" s="478"/>
      <c r="ODW48" s="478"/>
      <c r="ODX48" s="478"/>
      <c r="ODY48" s="478"/>
      <c r="ODZ48" s="478"/>
      <c r="OEA48" s="478"/>
      <c r="OEB48" s="478"/>
      <c r="OEC48" s="478"/>
      <c r="OED48" s="478"/>
      <c r="OEE48" s="478"/>
      <c r="OEF48" s="478"/>
      <c r="OEG48" s="478"/>
      <c r="OEH48" s="478"/>
      <c r="OEI48" s="478"/>
      <c r="OEJ48" s="478"/>
      <c r="OEK48" s="478"/>
      <c r="OEL48" s="478"/>
      <c r="OEM48" s="478"/>
      <c r="OEN48" s="478"/>
      <c r="OEO48" s="478"/>
      <c r="OEP48" s="478"/>
      <c r="OEQ48" s="478"/>
      <c r="OER48" s="478"/>
      <c r="OES48" s="478"/>
      <c r="OET48" s="478"/>
      <c r="OEU48" s="478"/>
      <c r="OEV48" s="478"/>
      <c r="OEW48" s="478"/>
      <c r="OEX48" s="478"/>
      <c r="OEY48" s="478"/>
      <c r="OEZ48" s="478"/>
      <c r="OFA48" s="478"/>
      <c r="OFB48" s="478"/>
      <c r="OFC48" s="478"/>
      <c r="OFD48" s="478"/>
      <c r="OFE48" s="478"/>
      <c r="OFF48" s="478"/>
      <c r="OFG48" s="478"/>
      <c r="OFH48" s="478"/>
      <c r="OFI48" s="478"/>
      <c r="OFJ48" s="478"/>
      <c r="OFK48" s="478"/>
      <c r="OFL48" s="478"/>
      <c r="OFM48" s="478"/>
      <c r="OFN48" s="478"/>
      <c r="OFO48" s="478"/>
      <c r="OFP48" s="478"/>
      <c r="OFQ48" s="478"/>
      <c r="OFR48" s="478"/>
      <c r="OFS48" s="478"/>
      <c r="OFT48" s="478"/>
      <c r="OFU48" s="478"/>
      <c r="OFV48" s="478"/>
      <c r="OFW48" s="478"/>
      <c r="OFX48" s="478"/>
      <c r="OFY48" s="478"/>
      <c r="OFZ48" s="478"/>
      <c r="OGA48" s="478"/>
      <c r="OGB48" s="478"/>
      <c r="OGC48" s="478"/>
      <c r="OGD48" s="478"/>
      <c r="OGE48" s="478"/>
      <c r="OGF48" s="478"/>
      <c r="OGG48" s="478"/>
      <c r="OGH48" s="478"/>
      <c r="OGI48" s="478"/>
      <c r="OGJ48" s="478"/>
      <c r="OGK48" s="478"/>
      <c r="OGL48" s="478"/>
      <c r="OGM48" s="478"/>
      <c r="OGN48" s="478"/>
      <c r="OGO48" s="478"/>
      <c r="OGP48" s="478"/>
      <c r="OGQ48" s="478"/>
      <c r="OGR48" s="478"/>
      <c r="OGS48" s="478"/>
      <c r="OGT48" s="478"/>
      <c r="OGU48" s="478"/>
      <c r="OGV48" s="478"/>
      <c r="OGW48" s="478"/>
      <c r="OGX48" s="478"/>
      <c r="OGY48" s="478"/>
      <c r="OGZ48" s="478"/>
      <c r="OHA48" s="478"/>
      <c r="OHB48" s="478"/>
      <c r="OHC48" s="478"/>
      <c r="OHD48" s="478"/>
      <c r="OHE48" s="478"/>
      <c r="OHF48" s="478"/>
      <c r="OHG48" s="478"/>
      <c r="OHH48" s="478"/>
      <c r="OHI48" s="478"/>
      <c r="OHJ48" s="478"/>
      <c r="OHK48" s="478"/>
      <c r="OHL48" s="478"/>
      <c r="OHM48" s="478"/>
      <c r="OHN48" s="478"/>
      <c r="OHO48" s="478"/>
      <c r="OHP48" s="478"/>
      <c r="OHQ48" s="478"/>
      <c r="OHR48" s="478"/>
      <c r="OHS48" s="478"/>
      <c r="OHT48" s="478"/>
      <c r="OHU48" s="478"/>
      <c r="OHV48" s="478"/>
      <c r="OHW48" s="478"/>
      <c r="OHX48" s="478"/>
      <c r="OHY48" s="478"/>
      <c r="OHZ48" s="478"/>
      <c r="OIA48" s="478"/>
      <c r="OIB48" s="478"/>
      <c r="OIC48" s="478"/>
      <c r="OID48" s="478"/>
      <c r="OIE48" s="478"/>
      <c r="OIF48" s="478"/>
      <c r="OIG48" s="478"/>
      <c r="OIH48" s="478"/>
      <c r="OII48" s="478"/>
      <c r="OIJ48" s="478"/>
      <c r="OIK48" s="478"/>
      <c r="OIL48" s="478"/>
      <c r="OIM48" s="478"/>
      <c r="OIN48" s="478"/>
      <c r="OIO48" s="478"/>
      <c r="OIP48" s="478"/>
      <c r="OIQ48" s="478"/>
      <c r="OIR48" s="478"/>
      <c r="OIS48" s="478"/>
      <c r="OIT48" s="478"/>
      <c r="OIU48" s="478"/>
      <c r="OIV48" s="478"/>
      <c r="OIW48" s="478"/>
      <c r="OIX48" s="478"/>
      <c r="OIY48" s="478"/>
      <c r="OIZ48" s="478"/>
      <c r="OJA48" s="478"/>
      <c r="OJB48" s="478"/>
      <c r="OJC48" s="478"/>
      <c r="OJD48" s="478"/>
      <c r="OJE48" s="478"/>
      <c r="OJF48" s="478"/>
      <c r="OJG48" s="478"/>
      <c r="OJH48" s="478"/>
      <c r="OJI48" s="478"/>
      <c r="OJJ48" s="478"/>
      <c r="OJK48" s="478"/>
      <c r="OJL48" s="478"/>
      <c r="OJM48" s="478"/>
      <c r="OJN48" s="478"/>
      <c r="OJO48" s="478"/>
      <c r="OJP48" s="478"/>
      <c r="OJQ48" s="478"/>
      <c r="OJR48" s="478"/>
      <c r="OJS48" s="478"/>
      <c r="OJT48" s="478"/>
      <c r="OJU48" s="478"/>
      <c r="OJV48" s="478"/>
      <c r="OJW48" s="478"/>
      <c r="OJX48" s="478"/>
      <c r="OJY48" s="478"/>
      <c r="OJZ48" s="478"/>
      <c r="OKA48" s="478"/>
      <c r="OKB48" s="478"/>
      <c r="OKC48" s="478"/>
      <c r="OKD48" s="478"/>
      <c r="OKE48" s="478"/>
      <c r="OKF48" s="478"/>
      <c r="OKG48" s="478"/>
      <c r="OKH48" s="478"/>
      <c r="OKI48" s="478"/>
      <c r="OKJ48" s="478"/>
      <c r="OKK48" s="478"/>
      <c r="OKL48" s="478"/>
      <c r="OKM48" s="478"/>
      <c r="OKN48" s="478"/>
      <c r="OKO48" s="478"/>
      <c r="OKP48" s="478"/>
      <c r="OKQ48" s="478"/>
      <c r="OKR48" s="478"/>
      <c r="OKS48" s="478"/>
      <c r="OKT48" s="478"/>
      <c r="OKU48" s="478"/>
      <c r="OKV48" s="478"/>
      <c r="OKW48" s="478"/>
      <c r="OKX48" s="478"/>
      <c r="OKY48" s="478"/>
      <c r="OKZ48" s="478"/>
      <c r="OLA48" s="478"/>
      <c r="OLB48" s="478"/>
      <c r="OLC48" s="478"/>
      <c r="OLD48" s="478"/>
      <c r="OLE48" s="478"/>
      <c r="OLF48" s="478"/>
      <c r="OLG48" s="478"/>
      <c r="OLH48" s="478"/>
      <c r="OLI48" s="478"/>
      <c r="OLJ48" s="478"/>
      <c r="OLK48" s="478"/>
      <c r="OLL48" s="478"/>
      <c r="OLM48" s="478"/>
      <c r="OLN48" s="478"/>
      <c r="OLO48" s="478"/>
      <c r="OLP48" s="478"/>
      <c r="OLQ48" s="478"/>
      <c r="OLR48" s="478"/>
      <c r="OLS48" s="478"/>
      <c r="OLT48" s="478"/>
      <c r="OLU48" s="478"/>
      <c r="OLV48" s="478"/>
      <c r="OLW48" s="478"/>
      <c r="OLX48" s="478"/>
      <c r="OLY48" s="478"/>
      <c r="OLZ48" s="478"/>
      <c r="OMA48" s="478"/>
      <c r="OMB48" s="478"/>
      <c r="OMC48" s="478"/>
      <c r="OMD48" s="478"/>
      <c r="OME48" s="478"/>
      <c r="OMF48" s="478"/>
      <c r="OMG48" s="478"/>
      <c r="OMH48" s="478"/>
      <c r="OMI48" s="478"/>
      <c r="OMJ48" s="478"/>
      <c r="OMK48" s="478"/>
      <c r="OML48" s="478"/>
      <c r="OMM48" s="478"/>
      <c r="OMN48" s="478"/>
      <c r="OMO48" s="478"/>
      <c r="OMP48" s="478"/>
      <c r="OMQ48" s="478"/>
      <c r="OMR48" s="478"/>
      <c r="OMS48" s="478"/>
      <c r="OMT48" s="478"/>
      <c r="OMU48" s="478"/>
      <c r="OMV48" s="478"/>
      <c r="OMW48" s="478"/>
      <c r="OMX48" s="478"/>
      <c r="OMY48" s="478"/>
      <c r="OMZ48" s="478"/>
      <c r="ONA48" s="478"/>
      <c r="ONB48" s="478"/>
      <c r="ONC48" s="478"/>
      <c r="OND48" s="478"/>
      <c r="ONE48" s="478"/>
      <c r="ONF48" s="478"/>
      <c r="ONG48" s="478"/>
      <c r="ONH48" s="478"/>
      <c r="ONI48" s="478"/>
      <c r="ONJ48" s="478"/>
      <c r="ONK48" s="478"/>
      <c r="ONL48" s="478"/>
      <c r="ONM48" s="478"/>
      <c r="ONN48" s="478"/>
      <c r="ONO48" s="478"/>
      <c r="ONP48" s="478"/>
      <c r="ONQ48" s="478"/>
      <c r="ONR48" s="478"/>
      <c r="ONS48" s="478"/>
      <c r="ONT48" s="478"/>
      <c r="ONU48" s="478"/>
      <c r="ONV48" s="478"/>
      <c r="ONW48" s="478"/>
      <c r="ONX48" s="478"/>
      <c r="ONY48" s="478"/>
      <c r="ONZ48" s="478"/>
      <c r="OOA48" s="478"/>
      <c r="OOB48" s="478"/>
      <c r="OOC48" s="478"/>
      <c r="OOD48" s="478"/>
      <c r="OOE48" s="478"/>
      <c r="OOF48" s="478"/>
      <c r="OOG48" s="478"/>
      <c r="OOH48" s="478"/>
      <c r="OOI48" s="478"/>
      <c r="OOJ48" s="478"/>
      <c r="OOK48" s="478"/>
      <c r="OOL48" s="478"/>
      <c r="OOM48" s="478"/>
      <c r="OON48" s="478"/>
      <c r="OOO48" s="478"/>
      <c r="OOP48" s="478"/>
      <c r="OOQ48" s="478"/>
      <c r="OOR48" s="478"/>
      <c r="OOS48" s="478"/>
      <c r="OOT48" s="478"/>
      <c r="OOU48" s="478"/>
      <c r="OOV48" s="478"/>
      <c r="OOW48" s="478"/>
      <c r="OOX48" s="478"/>
      <c r="OOY48" s="478"/>
      <c r="OOZ48" s="478"/>
      <c r="OPA48" s="478"/>
      <c r="OPB48" s="478"/>
      <c r="OPC48" s="478"/>
      <c r="OPD48" s="478"/>
      <c r="OPE48" s="478"/>
      <c r="OPF48" s="478"/>
      <c r="OPG48" s="478"/>
      <c r="OPH48" s="478"/>
      <c r="OPI48" s="478"/>
      <c r="OPJ48" s="478"/>
      <c r="OPK48" s="478"/>
      <c r="OPL48" s="478"/>
      <c r="OPM48" s="478"/>
      <c r="OPN48" s="478"/>
      <c r="OPO48" s="478"/>
      <c r="OPP48" s="478"/>
      <c r="OPQ48" s="478"/>
      <c r="OPR48" s="478"/>
      <c r="OPS48" s="478"/>
      <c r="OPT48" s="478"/>
      <c r="OPU48" s="478"/>
      <c r="OPV48" s="478"/>
      <c r="OPW48" s="478"/>
      <c r="OPX48" s="478"/>
      <c r="OPY48" s="478"/>
      <c r="OPZ48" s="478"/>
      <c r="OQA48" s="478"/>
      <c r="OQB48" s="478"/>
      <c r="OQC48" s="478"/>
      <c r="OQD48" s="478"/>
      <c r="OQE48" s="478"/>
      <c r="OQF48" s="478"/>
      <c r="OQG48" s="478"/>
      <c r="OQH48" s="478"/>
      <c r="OQI48" s="478"/>
      <c r="OQJ48" s="478"/>
      <c r="OQK48" s="478"/>
      <c r="OQL48" s="478"/>
      <c r="OQM48" s="478"/>
      <c r="OQN48" s="478"/>
      <c r="OQO48" s="478"/>
      <c r="OQP48" s="478"/>
      <c r="OQQ48" s="478"/>
      <c r="OQR48" s="478"/>
      <c r="OQS48" s="478"/>
      <c r="OQT48" s="478"/>
      <c r="OQU48" s="478"/>
      <c r="OQV48" s="478"/>
      <c r="OQW48" s="478"/>
      <c r="OQX48" s="478"/>
      <c r="OQY48" s="478"/>
      <c r="OQZ48" s="478"/>
      <c r="ORA48" s="478"/>
      <c r="ORB48" s="478"/>
      <c r="ORC48" s="478"/>
      <c r="ORD48" s="478"/>
      <c r="ORE48" s="478"/>
      <c r="ORF48" s="478"/>
      <c r="ORG48" s="478"/>
      <c r="ORH48" s="478"/>
      <c r="ORI48" s="478"/>
      <c r="ORJ48" s="478"/>
      <c r="ORK48" s="478"/>
      <c r="ORL48" s="478"/>
      <c r="ORM48" s="478"/>
      <c r="ORN48" s="478"/>
      <c r="ORO48" s="478"/>
      <c r="ORP48" s="478"/>
      <c r="ORQ48" s="478"/>
      <c r="ORR48" s="478"/>
      <c r="ORS48" s="478"/>
      <c r="ORT48" s="478"/>
      <c r="ORU48" s="478"/>
      <c r="ORV48" s="478"/>
      <c r="ORW48" s="478"/>
      <c r="ORX48" s="478"/>
      <c r="ORY48" s="478"/>
      <c r="ORZ48" s="478"/>
      <c r="OSA48" s="478"/>
      <c r="OSB48" s="478"/>
      <c r="OSC48" s="478"/>
      <c r="OSD48" s="478"/>
      <c r="OSE48" s="478"/>
      <c r="OSF48" s="478"/>
      <c r="OSG48" s="478"/>
      <c r="OSH48" s="478"/>
      <c r="OSI48" s="478"/>
      <c r="OSJ48" s="478"/>
      <c r="OSK48" s="478"/>
      <c r="OSL48" s="478"/>
      <c r="OSM48" s="478"/>
      <c r="OSN48" s="478"/>
      <c r="OSO48" s="478"/>
      <c r="OSP48" s="478"/>
      <c r="OSQ48" s="478"/>
      <c r="OSR48" s="478"/>
      <c r="OSS48" s="478"/>
      <c r="OST48" s="478"/>
      <c r="OSU48" s="478"/>
      <c r="OSV48" s="478"/>
      <c r="OSW48" s="478"/>
      <c r="OSX48" s="478"/>
      <c r="OSY48" s="478"/>
      <c r="OSZ48" s="478"/>
      <c r="OTA48" s="478"/>
      <c r="OTB48" s="478"/>
      <c r="OTC48" s="478"/>
      <c r="OTD48" s="478"/>
      <c r="OTE48" s="478"/>
      <c r="OTF48" s="478"/>
      <c r="OTG48" s="478"/>
      <c r="OTH48" s="478"/>
      <c r="OTI48" s="478"/>
      <c r="OTJ48" s="478"/>
      <c r="OTK48" s="478"/>
      <c r="OTL48" s="478"/>
      <c r="OTM48" s="478"/>
      <c r="OTN48" s="478"/>
      <c r="OTO48" s="478"/>
      <c r="OTP48" s="478"/>
      <c r="OTQ48" s="478"/>
      <c r="OTR48" s="478"/>
      <c r="OTS48" s="478"/>
      <c r="OTT48" s="478"/>
      <c r="OTU48" s="478"/>
      <c r="OTV48" s="478"/>
      <c r="OTW48" s="478"/>
      <c r="OTX48" s="478"/>
      <c r="OTY48" s="478"/>
      <c r="OTZ48" s="478"/>
      <c r="OUA48" s="478"/>
      <c r="OUB48" s="478"/>
      <c r="OUC48" s="478"/>
      <c r="OUD48" s="478"/>
      <c r="OUE48" s="478"/>
      <c r="OUF48" s="478"/>
      <c r="OUG48" s="478"/>
      <c r="OUH48" s="478"/>
      <c r="OUI48" s="478"/>
      <c r="OUJ48" s="478"/>
      <c r="OUK48" s="478"/>
      <c r="OUL48" s="478"/>
      <c r="OUM48" s="478"/>
      <c r="OUN48" s="478"/>
      <c r="OUO48" s="478"/>
      <c r="OUP48" s="478"/>
      <c r="OUQ48" s="478"/>
      <c r="OUR48" s="478"/>
      <c r="OUS48" s="478"/>
      <c r="OUT48" s="478"/>
      <c r="OUU48" s="478"/>
      <c r="OUV48" s="478"/>
      <c r="OUW48" s="478"/>
      <c r="OUX48" s="478"/>
      <c r="OUY48" s="478"/>
      <c r="OUZ48" s="478"/>
      <c r="OVA48" s="478"/>
      <c r="OVB48" s="478"/>
      <c r="OVC48" s="478"/>
      <c r="OVD48" s="478"/>
      <c r="OVE48" s="478"/>
      <c r="OVF48" s="478"/>
      <c r="OVG48" s="478"/>
      <c r="OVH48" s="478"/>
      <c r="OVI48" s="478"/>
      <c r="OVJ48" s="478"/>
      <c r="OVK48" s="478"/>
      <c r="OVL48" s="478"/>
      <c r="OVM48" s="478"/>
      <c r="OVN48" s="478"/>
      <c r="OVO48" s="478"/>
      <c r="OVP48" s="478"/>
      <c r="OVQ48" s="478"/>
      <c r="OVR48" s="478"/>
      <c r="OVS48" s="478"/>
      <c r="OVT48" s="478"/>
      <c r="OVU48" s="478"/>
      <c r="OVV48" s="478"/>
      <c r="OVW48" s="478"/>
      <c r="OVX48" s="478"/>
      <c r="OVY48" s="478"/>
      <c r="OVZ48" s="478"/>
      <c r="OWA48" s="478"/>
      <c r="OWB48" s="478"/>
      <c r="OWC48" s="478"/>
      <c r="OWD48" s="478"/>
      <c r="OWE48" s="478"/>
      <c r="OWF48" s="478"/>
      <c r="OWG48" s="478"/>
      <c r="OWH48" s="478"/>
      <c r="OWI48" s="478"/>
      <c r="OWJ48" s="478"/>
      <c r="OWK48" s="478"/>
      <c r="OWL48" s="478"/>
      <c r="OWM48" s="478"/>
      <c r="OWN48" s="478"/>
      <c r="OWO48" s="478"/>
      <c r="OWP48" s="478"/>
      <c r="OWQ48" s="478"/>
      <c r="OWR48" s="478"/>
      <c r="OWS48" s="478"/>
      <c r="OWT48" s="478"/>
      <c r="OWU48" s="478"/>
      <c r="OWV48" s="478"/>
      <c r="OWW48" s="478"/>
      <c r="OWX48" s="478"/>
      <c r="OWY48" s="478"/>
      <c r="OWZ48" s="478"/>
      <c r="OXA48" s="478"/>
      <c r="OXB48" s="478"/>
      <c r="OXC48" s="478"/>
      <c r="OXD48" s="478"/>
      <c r="OXE48" s="478"/>
      <c r="OXF48" s="478"/>
      <c r="OXG48" s="478"/>
      <c r="OXH48" s="478"/>
      <c r="OXI48" s="478"/>
      <c r="OXJ48" s="478"/>
      <c r="OXK48" s="478"/>
      <c r="OXL48" s="478"/>
      <c r="OXM48" s="478"/>
      <c r="OXN48" s="478"/>
      <c r="OXO48" s="478"/>
      <c r="OXP48" s="478"/>
      <c r="OXQ48" s="478"/>
      <c r="OXR48" s="478"/>
      <c r="OXS48" s="478"/>
      <c r="OXT48" s="478"/>
      <c r="OXU48" s="478"/>
      <c r="OXV48" s="478"/>
      <c r="OXW48" s="478"/>
      <c r="OXX48" s="478"/>
      <c r="OXY48" s="478"/>
      <c r="OXZ48" s="478"/>
      <c r="OYA48" s="478"/>
      <c r="OYB48" s="478"/>
      <c r="OYC48" s="478"/>
      <c r="OYD48" s="478"/>
      <c r="OYE48" s="478"/>
      <c r="OYF48" s="478"/>
      <c r="OYG48" s="478"/>
      <c r="OYH48" s="478"/>
      <c r="OYI48" s="478"/>
      <c r="OYJ48" s="478"/>
      <c r="OYK48" s="478"/>
      <c r="OYL48" s="478"/>
      <c r="OYM48" s="478"/>
      <c r="OYN48" s="478"/>
      <c r="OYO48" s="478"/>
      <c r="OYP48" s="478"/>
      <c r="OYQ48" s="478"/>
      <c r="OYR48" s="478"/>
      <c r="OYS48" s="478"/>
      <c r="OYT48" s="478"/>
      <c r="OYU48" s="478"/>
      <c r="OYV48" s="478"/>
      <c r="OYW48" s="478"/>
      <c r="OYX48" s="478"/>
      <c r="OYY48" s="478"/>
      <c r="OYZ48" s="478"/>
      <c r="OZA48" s="478"/>
      <c r="OZB48" s="478"/>
      <c r="OZC48" s="478"/>
      <c r="OZD48" s="478"/>
      <c r="OZE48" s="478"/>
      <c r="OZF48" s="478"/>
      <c r="OZG48" s="478"/>
      <c r="OZH48" s="478"/>
      <c r="OZI48" s="478"/>
      <c r="OZJ48" s="478"/>
      <c r="OZK48" s="478"/>
      <c r="OZL48" s="478"/>
      <c r="OZM48" s="478"/>
      <c r="OZN48" s="478"/>
      <c r="OZO48" s="478"/>
      <c r="OZP48" s="478"/>
      <c r="OZQ48" s="478"/>
      <c r="OZR48" s="478"/>
      <c r="OZS48" s="478"/>
      <c r="OZT48" s="478"/>
      <c r="OZU48" s="478"/>
      <c r="OZV48" s="478"/>
      <c r="OZW48" s="478"/>
      <c r="OZX48" s="478"/>
      <c r="OZY48" s="478"/>
      <c r="OZZ48" s="478"/>
      <c r="PAA48" s="478"/>
      <c r="PAB48" s="478"/>
      <c r="PAC48" s="478"/>
      <c r="PAD48" s="478"/>
      <c r="PAE48" s="478"/>
      <c r="PAF48" s="478"/>
      <c r="PAG48" s="478"/>
      <c r="PAH48" s="478"/>
      <c r="PAI48" s="478"/>
      <c r="PAJ48" s="478"/>
      <c r="PAK48" s="478"/>
      <c r="PAL48" s="478"/>
      <c r="PAM48" s="478"/>
      <c r="PAN48" s="478"/>
      <c r="PAO48" s="478"/>
      <c r="PAP48" s="478"/>
      <c r="PAQ48" s="478"/>
      <c r="PAR48" s="478"/>
      <c r="PAS48" s="478"/>
      <c r="PAT48" s="478"/>
      <c r="PAU48" s="478"/>
      <c r="PAV48" s="478"/>
      <c r="PAW48" s="478"/>
      <c r="PAX48" s="478"/>
      <c r="PAY48" s="478"/>
      <c r="PAZ48" s="478"/>
      <c r="PBA48" s="478"/>
      <c r="PBB48" s="478"/>
      <c r="PBC48" s="478"/>
      <c r="PBD48" s="478"/>
      <c r="PBE48" s="478"/>
      <c r="PBF48" s="478"/>
      <c r="PBG48" s="478"/>
      <c r="PBH48" s="478"/>
      <c r="PBI48" s="478"/>
      <c r="PBJ48" s="478"/>
      <c r="PBK48" s="478"/>
      <c r="PBL48" s="478"/>
      <c r="PBM48" s="478"/>
      <c r="PBN48" s="478"/>
      <c r="PBO48" s="478"/>
      <c r="PBP48" s="478"/>
      <c r="PBQ48" s="478"/>
      <c r="PBR48" s="478"/>
      <c r="PBS48" s="478"/>
      <c r="PBT48" s="478"/>
      <c r="PBU48" s="478"/>
      <c r="PBV48" s="478"/>
      <c r="PBW48" s="478"/>
      <c r="PBX48" s="478"/>
      <c r="PBY48" s="478"/>
      <c r="PBZ48" s="478"/>
      <c r="PCA48" s="478"/>
      <c r="PCB48" s="478"/>
      <c r="PCC48" s="478"/>
      <c r="PCD48" s="478"/>
      <c r="PCE48" s="478"/>
      <c r="PCF48" s="478"/>
      <c r="PCG48" s="478"/>
      <c r="PCH48" s="478"/>
      <c r="PCI48" s="478"/>
      <c r="PCJ48" s="478"/>
      <c r="PCK48" s="478"/>
      <c r="PCL48" s="478"/>
      <c r="PCM48" s="478"/>
      <c r="PCN48" s="478"/>
      <c r="PCO48" s="478"/>
      <c r="PCP48" s="478"/>
      <c r="PCQ48" s="478"/>
      <c r="PCR48" s="478"/>
      <c r="PCS48" s="478"/>
      <c r="PCT48" s="478"/>
      <c r="PCU48" s="478"/>
      <c r="PCV48" s="478"/>
      <c r="PCW48" s="478"/>
      <c r="PCX48" s="478"/>
      <c r="PCY48" s="478"/>
      <c r="PCZ48" s="478"/>
      <c r="PDA48" s="478"/>
      <c r="PDB48" s="478"/>
      <c r="PDC48" s="478"/>
      <c r="PDD48" s="478"/>
      <c r="PDE48" s="478"/>
      <c r="PDF48" s="478"/>
      <c r="PDG48" s="478"/>
      <c r="PDH48" s="478"/>
      <c r="PDI48" s="478"/>
      <c r="PDJ48" s="478"/>
      <c r="PDK48" s="478"/>
      <c r="PDL48" s="478"/>
      <c r="PDM48" s="478"/>
      <c r="PDN48" s="478"/>
      <c r="PDO48" s="478"/>
      <c r="PDP48" s="478"/>
      <c r="PDQ48" s="478"/>
      <c r="PDR48" s="478"/>
      <c r="PDS48" s="478"/>
      <c r="PDT48" s="478"/>
      <c r="PDU48" s="478"/>
      <c r="PDV48" s="478"/>
      <c r="PDW48" s="478"/>
      <c r="PDX48" s="478"/>
      <c r="PDY48" s="478"/>
      <c r="PDZ48" s="478"/>
      <c r="PEA48" s="478"/>
      <c r="PEB48" s="478"/>
      <c r="PEC48" s="478"/>
      <c r="PED48" s="478"/>
      <c r="PEE48" s="478"/>
      <c r="PEF48" s="478"/>
      <c r="PEG48" s="478"/>
      <c r="PEH48" s="478"/>
      <c r="PEI48" s="478"/>
      <c r="PEJ48" s="478"/>
      <c r="PEK48" s="478"/>
      <c r="PEL48" s="478"/>
      <c r="PEM48" s="478"/>
      <c r="PEN48" s="478"/>
      <c r="PEO48" s="478"/>
      <c r="PEP48" s="478"/>
      <c r="PEQ48" s="478"/>
      <c r="PER48" s="478"/>
      <c r="PES48" s="478"/>
      <c r="PET48" s="478"/>
      <c r="PEU48" s="478"/>
      <c r="PEV48" s="478"/>
      <c r="PEW48" s="478"/>
      <c r="PEX48" s="478"/>
      <c r="PEY48" s="478"/>
      <c r="PEZ48" s="478"/>
      <c r="PFA48" s="478"/>
      <c r="PFB48" s="478"/>
      <c r="PFC48" s="478"/>
      <c r="PFD48" s="478"/>
      <c r="PFE48" s="478"/>
      <c r="PFF48" s="478"/>
      <c r="PFG48" s="478"/>
      <c r="PFH48" s="478"/>
      <c r="PFI48" s="478"/>
      <c r="PFJ48" s="478"/>
      <c r="PFK48" s="478"/>
      <c r="PFL48" s="478"/>
      <c r="PFM48" s="478"/>
      <c r="PFN48" s="478"/>
      <c r="PFO48" s="478"/>
      <c r="PFP48" s="478"/>
      <c r="PFQ48" s="478"/>
      <c r="PFR48" s="478"/>
      <c r="PFS48" s="478"/>
      <c r="PFT48" s="478"/>
      <c r="PFU48" s="478"/>
      <c r="PFV48" s="478"/>
      <c r="PFW48" s="478"/>
      <c r="PFX48" s="478"/>
      <c r="PFY48" s="478"/>
      <c r="PFZ48" s="478"/>
      <c r="PGA48" s="478"/>
      <c r="PGB48" s="478"/>
      <c r="PGC48" s="478"/>
      <c r="PGD48" s="478"/>
      <c r="PGE48" s="478"/>
      <c r="PGF48" s="478"/>
      <c r="PGG48" s="478"/>
      <c r="PGH48" s="478"/>
      <c r="PGI48" s="478"/>
      <c r="PGJ48" s="478"/>
      <c r="PGK48" s="478"/>
      <c r="PGL48" s="478"/>
      <c r="PGM48" s="478"/>
      <c r="PGN48" s="478"/>
      <c r="PGO48" s="478"/>
      <c r="PGP48" s="478"/>
      <c r="PGQ48" s="478"/>
      <c r="PGR48" s="478"/>
      <c r="PGS48" s="478"/>
      <c r="PGT48" s="478"/>
      <c r="PGU48" s="478"/>
      <c r="PGV48" s="478"/>
      <c r="PGW48" s="478"/>
      <c r="PGX48" s="478"/>
      <c r="PGY48" s="478"/>
      <c r="PGZ48" s="478"/>
      <c r="PHA48" s="478"/>
      <c r="PHB48" s="478"/>
      <c r="PHC48" s="478"/>
      <c r="PHD48" s="478"/>
      <c r="PHE48" s="478"/>
      <c r="PHF48" s="478"/>
      <c r="PHG48" s="478"/>
      <c r="PHH48" s="478"/>
      <c r="PHI48" s="478"/>
      <c r="PHJ48" s="478"/>
      <c r="PHK48" s="478"/>
      <c r="PHL48" s="478"/>
      <c r="PHM48" s="478"/>
      <c r="PHN48" s="478"/>
      <c r="PHO48" s="478"/>
      <c r="PHP48" s="478"/>
      <c r="PHQ48" s="478"/>
      <c r="PHR48" s="478"/>
      <c r="PHS48" s="478"/>
      <c r="PHT48" s="478"/>
      <c r="PHU48" s="478"/>
      <c r="PHV48" s="478"/>
      <c r="PHW48" s="478"/>
      <c r="PHX48" s="478"/>
      <c r="PHY48" s="478"/>
      <c r="PHZ48" s="478"/>
      <c r="PIA48" s="478"/>
      <c r="PIB48" s="478"/>
      <c r="PIC48" s="478"/>
      <c r="PID48" s="478"/>
      <c r="PIE48" s="478"/>
      <c r="PIF48" s="478"/>
      <c r="PIG48" s="478"/>
      <c r="PIH48" s="478"/>
      <c r="PII48" s="478"/>
      <c r="PIJ48" s="478"/>
      <c r="PIK48" s="478"/>
      <c r="PIL48" s="478"/>
      <c r="PIM48" s="478"/>
      <c r="PIN48" s="478"/>
      <c r="PIO48" s="478"/>
      <c r="PIP48" s="478"/>
      <c r="PIQ48" s="478"/>
      <c r="PIR48" s="478"/>
      <c r="PIS48" s="478"/>
      <c r="PIT48" s="478"/>
      <c r="PIU48" s="478"/>
      <c r="PIV48" s="478"/>
      <c r="PIW48" s="478"/>
      <c r="PIX48" s="478"/>
      <c r="PIY48" s="478"/>
      <c r="PIZ48" s="478"/>
      <c r="PJA48" s="478"/>
      <c r="PJB48" s="478"/>
      <c r="PJC48" s="478"/>
      <c r="PJD48" s="478"/>
      <c r="PJE48" s="478"/>
      <c r="PJF48" s="478"/>
      <c r="PJG48" s="478"/>
      <c r="PJH48" s="478"/>
      <c r="PJI48" s="478"/>
      <c r="PJJ48" s="478"/>
      <c r="PJK48" s="478"/>
      <c r="PJL48" s="478"/>
      <c r="PJM48" s="478"/>
      <c r="PJN48" s="478"/>
      <c r="PJO48" s="478"/>
      <c r="PJP48" s="478"/>
      <c r="PJQ48" s="478"/>
      <c r="PJR48" s="478"/>
      <c r="PJS48" s="478"/>
      <c r="PJT48" s="478"/>
      <c r="PJU48" s="478"/>
      <c r="PJV48" s="478"/>
      <c r="PJW48" s="478"/>
      <c r="PJX48" s="478"/>
      <c r="PJY48" s="478"/>
      <c r="PJZ48" s="478"/>
      <c r="PKA48" s="478"/>
      <c r="PKB48" s="478"/>
      <c r="PKC48" s="478"/>
      <c r="PKD48" s="478"/>
      <c r="PKE48" s="478"/>
      <c r="PKF48" s="478"/>
      <c r="PKG48" s="478"/>
      <c r="PKH48" s="478"/>
      <c r="PKI48" s="478"/>
      <c r="PKJ48" s="478"/>
      <c r="PKK48" s="478"/>
      <c r="PKL48" s="478"/>
      <c r="PKM48" s="478"/>
      <c r="PKN48" s="478"/>
      <c r="PKO48" s="478"/>
      <c r="PKP48" s="478"/>
      <c r="PKQ48" s="478"/>
      <c r="PKR48" s="478"/>
      <c r="PKS48" s="478"/>
      <c r="PKT48" s="478"/>
      <c r="PKU48" s="478"/>
      <c r="PKV48" s="478"/>
      <c r="PKW48" s="478"/>
      <c r="PKX48" s="478"/>
      <c r="PKY48" s="478"/>
      <c r="PKZ48" s="478"/>
      <c r="PLA48" s="478"/>
      <c r="PLB48" s="478"/>
      <c r="PLC48" s="478"/>
      <c r="PLD48" s="478"/>
      <c r="PLE48" s="478"/>
      <c r="PLF48" s="478"/>
      <c r="PLG48" s="478"/>
      <c r="PLH48" s="478"/>
      <c r="PLI48" s="478"/>
      <c r="PLJ48" s="478"/>
      <c r="PLK48" s="478"/>
      <c r="PLL48" s="478"/>
      <c r="PLM48" s="478"/>
      <c r="PLN48" s="478"/>
      <c r="PLO48" s="478"/>
      <c r="PLP48" s="478"/>
      <c r="PLQ48" s="478"/>
      <c r="PLR48" s="478"/>
      <c r="PLS48" s="478"/>
      <c r="PLT48" s="478"/>
      <c r="PLU48" s="478"/>
      <c r="PLV48" s="478"/>
      <c r="PLW48" s="478"/>
      <c r="PLX48" s="478"/>
      <c r="PLY48" s="478"/>
      <c r="PLZ48" s="478"/>
      <c r="PMA48" s="478"/>
      <c r="PMB48" s="478"/>
      <c r="PMC48" s="478"/>
      <c r="PMD48" s="478"/>
      <c r="PME48" s="478"/>
      <c r="PMF48" s="478"/>
      <c r="PMG48" s="478"/>
      <c r="PMH48" s="478"/>
      <c r="PMI48" s="478"/>
      <c r="PMJ48" s="478"/>
      <c r="PMK48" s="478"/>
      <c r="PML48" s="478"/>
      <c r="PMM48" s="478"/>
      <c r="PMN48" s="478"/>
      <c r="PMO48" s="478"/>
      <c r="PMP48" s="478"/>
      <c r="PMQ48" s="478"/>
      <c r="PMR48" s="478"/>
      <c r="PMS48" s="478"/>
      <c r="PMT48" s="478"/>
      <c r="PMU48" s="478"/>
      <c r="PMV48" s="478"/>
      <c r="PMW48" s="478"/>
      <c r="PMX48" s="478"/>
      <c r="PMY48" s="478"/>
      <c r="PMZ48" s="478"/>
      <c r="PNA48" s="478"/>
      <c r="PNB48" s="478"/>
      <c r="PNC48" s="478"/>
      <c r="PND48" s="478"/>
      <c r="PNE48" s="478"/>
      <c r="PNF48" s="478"/>
      <c r="PNG48" s="478"/>
      <c r="PNH48" s="478"/>
      <c r="PNI48" s="478"/>
      <c r="PNJ48" s="478"/>
      <c r="PNK48" s="478"/>
      <c r="PNL48" s="478"/>
      <c r="PNM48" s="478"/>
      <c r="PNN48" s="478"/>
      <c r="PNO48" s="478"/>
      <c r="PNP48" s="478"/>
      <c r="PNQ48" s="478"/>
      <c r="PNR48" s="478"/>
      <c r="PNS48" s="478"/>
      <c r="PNT48" s="478"/>
      <c r="PNU48" s="478"/>
      <c r="PNV48" s="478"/>
      <c r="PNW48" s="478"/>
      <c r="PNX48" s="478"/>
      <c r="PNY48" s="478"/>
      <c r="PNZ48" s="478"/>
      <c r="POA48" s="478"/>
      <c r="POB48" s="478"/>
      <c r="POC48" s="478"/>
      <c r="POD48" s="478"/>
      <c r="POE48" s="478"/>
      <c r="POF48" s="478"/>
      <c r="POG48" s="478"/>
      <c r="POH48" s="478"/>
      <c r="POI48" s="478"/>
      <c r="POJ48" s="478"/>
      <c r="POK48" s="478"/>
      <c r="POL48" s="478"/>
      <c r="POM48" s="478"/>
      <c r="PON48" s="478"/>
      <c r="POO48" s="478"/>
      <c r="POP48" s="478"/>
      <c r="POQ48" s="478"/>
      <c r="POR48" s="478"/>
      <c r="POS48" s="478"/>
      <c r="POT48" s="478"/>
      <c r="POU48" s="478"/>
      <c r="POV48" s="478"/>
      <c r="POW48" s="478"/>
      <c r="POX48" s="478"/>
      <c r="POY48" s="478"/>
      <c r="POZ48" s="478"/>
      <c r="PPA48" s="478"/>
      <c r="PPB48" s="478"/>
      <c r="PPC48" s="478"/>
      <c r="PPD48" s="478"/>
      <c r="PPE48" s="478"/>
      <c r="PPF48" s="478"/>
      <c r="PPG48" s="478"/>
      <c r="PPH48" s="478"/>
      <c r="PPI48" s="478"/>
      <c r="PPJ48" s="478"/>
      <c r="PPK48" s="478"/>
      <c r="PPL48" s="478"/>
      <c r="PPM48" s="478"/>
      <c r="PPN48" s="478"/>
      <c r="PPO48" s="478"/>
      <c r="PPP48" s="478"/>
      <c r="PPQ48" s="478"/>
      <c r="PPR48" s="478"/>
      <c r="PPS48" s="478"/>
      <c r="PPT48" s="478"/>
      <c r="PPU48" s="478"/>
      <c r="PPV48" s="478"/>
      <c r="PPW48" s="478"/>
      <c r="PPX48" s="478"/>
      <c r="PPY48" s="478"/>
      <c r="PPZ48" s="478"/>
      <c r="PQA48" s="478"/>
      <c r="PQB48" s="478"/>
      <c r="PQC48" s="478"/>
      <c r="PQD48" s="478"/>
      <c r="PQE48" s="478"/>
      <c r="PQF48" s="478"/>
      <c r="PQG48" s="478"/>
      <c r="PQH48" s="478"/>
      <c r="PQI48" s="478"/>
      <c r="PQJ48" s="478"/>
      <c r="PQK48" s="478"/>
      <c r="PQL48" s="478"/>
      <c r="PQM48" s="478"/>
      <c r="PQN48" s="478"/>
      <c r="PQO48" s="478"/>
      <c r="PQP48" s="478"/>
      <c r="PQQ48" s="478"/>
      <c r="PQR48" s="478"/>
      <c r="PQS48" s="478"/>
      <c r="PQT48" s="478"/>
      <c r="PQU48" s="478"/>
      <c r="PQV48" s="478"/>
      <c r="PQW48" s="478"/>
      <c r="PQX48" s="478"/>
      <c r="PQY48" s="478"/>
      <c r="PQZ48" s="478"/>
      <c r="PRA48" s="478"/>
      <c r="PRB48" s="478"/>
      <c r="PRC48" s="478"/>
      <c r="PRD48" s="478"/>
      <c r="PRE48" s="478"/>
      <c r="PRF48" s="478"/>
      <c r="PRG48" s="478"/>
      <c r="PRH48" s="478"/>
      <c r="PRI48" s="478"/>
      <c r="PRJ48" s="478"/>
      <c r="PRK48" s="478"/>
      <c r="PRL48" s="478"/>
      <c r="PRM48" s="478"/>
      <c r="PRN48" s="478"/>
      <c r="PRO48" s="478"/>
      <c r="PRP48" s="478"/>
      <c r="PRQ48" s="478"/>
      <c r="PRR48" s="478"/>
      <c r="PRS48" s="478"/>
      <c r="PRT48" s="478"/>
      <c r="PRU48" s="478"/>
      <c r="PRV48" s="478"/>
      <c r="PRW48" s="478"/>
      <c r="PRX48" s="478"/>
      <c r="PRY48" s="478"/>
      <c r="PRZ48" s="478"/>
      <c r="PSA48" s="478"/>
      <c r="PSB48" s="478"/>
      <c r="PSC48" s="478"/>
      <c r="PSD48" s="478"/>
      <c r="PSE48" s="478"/>
      <c r="PSF48" s="478"/>
      <c r="PSG48" s="478"/>
      <c r="PSH48" s="478"/>
      <c r="PSI48" s="478"/>
      <c r="PSJ48" s="478"/>
      <c r="PSK48" s="478"/>
      <c r="PSL48" s="478"/>
      <c r="PSM48" s="478"/>
      <c r="PSN48" s="478"/>
      <c r="PSO48" s="478"/>
      <c r="PSP48" s="478"/>
      <c r="PSQ48" s="478"/>
      <c r="PSR48" s="478"/>
      <c r="PSS48" s="478"/>
      <c r="PST48" s="478"/>
      <c r="PSU48" s="478"/>
      <c r="PSV48" s="478"/>
      <c r="PSW48" s="478"/>
      <c r="PSX48" s="478"/>
      <c r="PSY48" s="478"/>
      <c r="PSZ48" s="478"/>
      <c r="PTA48" s="478"/>
      <c r="PTB48" s="478"/>
      <c r="PTC48" s="478"/>
      <c r="PTD48" s="478"/>
      <c r="PTE48" s="478"/>
      <c r="PTF48" s="478"/>
      <c r="PTG48" s="478"/>
      <c r="PTH48" s="478"/>
      <c r="PTI48" s="478"/>
      <c r="PTJ48" s="478"/>
      <c r="PTK48" s="478"/>
      <c r="PTL48" s="478"/>
      <c r="PTM48" s="478"/>
      <c r="PTN48" s="478"/>
      <c r="PTO48" s="478"/>
      <c r="PTP48" s="478"/>
      <c r="PTQ48" s="478"/>
      <c r="PTR48" s="478"/>
      <c r="PTS48" s="478"/>
      <c r="PTT48" s="478"/>
      <c r="PTU48" s="478"/>
      <c r="PTV48" s="478"/>
      <c r="PTW48" s="478"/>
      <c r="PTX48" s="478"/>
      <c r="PTY48" s="478"/>
      <c r="PTZ48" s="478"/>
      <c r="PUA48" s="478"/>
      <c r="PUB48" s="478"/>
      <c r="PUC48" s="478"/>
      <c r="PUD48" s="478"/>
      <c r="PUE48" s="478"/>
      <c r="PUF48" s="478"/>
      <c r="PUG48" s="478"/>
      <c r="PUH48" s="478"/>
      <c r="PUI48" s="478"/>
      <c r="PUJ48" s="478"/>
      <c r="PUK48" s="478"/>
      <c r="PUL48" s="478"/>
      <c r="PUM48" s="478"/>
      <c r="PUN48" s="478"/>
      <c r="PUO48" s="478"/>
      <c r="PUP48" s="478"/>
      <c r="PUQ48" s="478"/>
      <c r="PUR48" s="478"/>
      <c r="PUS48" s="478"/>
      <c r="PUT48" s="478"/>
      <c r="PUU48" s="478"/>
      <c r="PUV48" s="478"/>
      <c r="PUW48" s="478"/>
      <c r="PUX48" s="478"/>
      <c r="PUY48" s="478"/>
      <c r="PUZ48" s="478"/>
      <c r="PVA48" s="478"/>
      <c r="PVB48" s="478"/>
      <c r="PVC48" s="478"/>
      <c r="PVD48" s="478"/>
      <c r="PVE48" s="478"/>
      <c r="PVF48" s="478"/>
      <c r="PVG48" s="478"/>
      <c r="PVH48" s="478"/>
      <c r="PVI48" s="478"/>
      <c r="PVJ48" s="478"/>
      <c r="PVK48" s="478"/>
      <c r="PVL48" s="478"/>
      <c r="PVM48" s="478"/>
      <c r="PVN48" s="478"/>
      <c r="PVO48" s="478"/>
      <c r="PVP48" s="478"/>
      <c r="PVQ48" s="478"/>
      <c r="PVR48" s="478"/>
      <c r="PVS48" s="478"/>
      <c r="PVT48" s="478"/>
      <c r="PVU48" s="478"/>
      <c r="PVV48" s="478"/>
      <c r="PVW48" s="478"/>
      <c r="PVX48" s="478"/>
      <c r="PVY48" s="478"/>
      <c r="PVZ48" s="478"/>
      <c r="PWA48" s="478"/>
      <c r="PWB48" s="478"/>
      <c r="PWC48" s="478"/>
      <c r="PWD48" s="478"/>
      <c r="PWE48" s="478"/>
      <c r="PWF48" s="478"/>
      <c r="PWG48" s="478"/>
      <c r="PWH48" s="478"/>
      <c r="PWI48" s="478"/>
      <c r="PWJ48" s="478"/>
      <c r="PWK48" s="478"/>
      <c r="PWL48" s="478"/>
      <c r="PWM48" s="478"/>
      <c r="PWN48" s="478"/>
      <c r="PWO48" s="478"/>
      <c r="PWP48" s="478"/>
      <c r="PWQ48" s="478"/>
      <c r="PWR48" s="478"/>
      <c r="PWS48" s="478"/>
      <c r="PWT48" s="478"/>
      <c r="PWU48" s="478"/>
      <c r="PWV48" s="478"/>
      <c r="PWW48" s="478"/>
      <c r="PWX48" s="478"/>
      <c r="PWY48" s="478"/>
      <c r="PWZ48" s="478"/>
      <c r="PXA48" s="478"/>
      <c r="PXB48" s="478"/>
      <c r="PXC48" s="478"/>
      <c r="PXD48" s="478"/>
      <c r="PXE48" s="478"/>
      <c r="PXF48" s="478"/>
      <c r="PXG48" s="478"/>
      <c r="PXH48" s="478"/>
      <c r="PXI48" s="478"/>
      <c r="PXJ48" s="478"/>
      <c r="PXK48" s="478"/>
      <c r="PXL48" s="478"/>
      <c r="PXM48" s="478"/>
      <c r="PXN48" s="478"/>
      <c r="PXO48" s="478"/>
      <c r="PXP48" s="478"/>
      <c r="PXQ48" s="478"/>
      <c r="PXR48" s="478"/>
      <c r="PXS48" s="478"/>
      <c r="PXT48" s="478"/>
      <c r="PXU48" s="478"/>
      <c r="PXV48" s="478"/>
      <c r="PXW48" s="478"/>
      <c r="PXX48" s="478"/>
      <c r="PXY48" s="478"/>
      <c r="PXZ48" s="478"/>
      <c r="PYA48" s="478"/>
      <c r="PYB48" s="478"/>
      <c r="PYC48" s="478"/>
      <c r="PYD48" s="478"/>
      <c r="PYE48" s="478"/>
      <c r="PYF48" s="478"/>
      <c r="PYG48" s="478"/>
      <c r="PYH48" s="478"/>
      <c r="PYI48" s="478"/>
      <c r="PYJ48" s="478"/>
      <c r="PYK48" s="478"/>
      <c r="PYL48" s="478"/>
      <c r="PYM48" s="478"/>
      <c r="PYN48" s="478"/>
      <c r="PYO48" s="478"/>
      <c r="PYP48" s="478"/>
      <c r="PYQ48" s="478"/>
      <c r="PYR48" s="478"/>
      <c r="PYS48" s="478"/>
      <c r="PYT48" s="478"/>
      <c r="PYU48" s="478"/>
      <c r="PYV48" s="478"/>
      <c r="PYW48" s="478"/>
      <c r="PYX48" s="478"/>
      <c r="PYY48" s="478"/>
      <c r="PYZ48" s="478"/>
      <c r="PZA48" s="478"/>
      <c r="PZB48" s="478"/>
      <c r="PZC48" s="478"/>
      <c r="PZD48" s="478"/>
      <c r="PZE48" s="478"/>
      <c r="PZF48" s="478"/>
      <c r="PZG48" s="478"/>
      <c r="PZH48" s="478"/>
      <c r="PZI48" s="478"/>
      <c r="PZJ48" s="478"/>
      <c r="PZK48" s="478"/>
      <c r="PZL48" s="478"/>
      <c r="PZM48" s="478"/>
      <c r="PZN48" s="478"/>
      <c r="PZO48" s="478"/>
      <c r="PZP48" s="478"/>
      <c r="PZQ48" s="478"/>
      <c r="PZR48" s="478"/>
      <c r="PZS48" s="478"/>
      <c r="PZT48" s="478"/>
      <c r="PZU48" s="478"/>
      <c r="PZV48" s="478"/>
      <c r="PZW48" s="478"/>
      <c r="PZX48" s="478"/>
      <c r="PZY48" s="478"/>
      <c r="PZZ48" s="478"/>
      <c r="QAA48" s="478"/>
      <c r="QAB48" s="478"/>
      <c r="QAC48" s="478"/>
      <c r="QAD48" s="478"/>
      <c r="QAE48" s="478"/>
      <c r="QAF48" s="478"/>
      <c r="QAG48" s="478"/>
      <c r="QAH48" s="478"/>
      <c r="QAI48" s="478"/>
      <c r="QAJ48" s="478"/>
      <c r="QAK48" s="478"/>
      <c r="QAL48" s="478"/>
      <c r="QAM48" s="478"/>
      <c r="QAN48" s="478"/>
      <c r="QAO48" s="478"/>
      <c r="QAP48" s="478"/>
      <c r="QAQ48" s="478"/>
      <c r="QAR48" s="478"/>
      <c r="QAS48" s="478"/>
      <c r="QAT48" s="478"/>
      <c r="QAU48" s="478"/>
      <c r="QAV48" s="478"/>
      <c r="QAW48" s="478"/>
      <c r="QAX48" s="478"/>
      <c r="QAY48" s="478"/>
      <c r="QAZ48" s="478"/>
      <c r="QBA48" s="478"/>
      <c r="QBB48" s="478"/>
      <c r="QBC48" s="478"/>
      <c r="QBD48" s="478"/>
      <c r="QBE48" s="478"/>
      <c r="QBF48" s="478"/>
      <c r="QBG48" s="478"/>
      <c r="QBH48" s="478"/>
      <c r="QBI48" s="478"/>
      <c r="QBJ48" s="478"/>
      <c r="QBK48" s="478"/>
      <c r="QBL48" s="478"/>
      <c r="QBM48" s="478"/>
      <c r="QBN48" s="478"/>
      <c r="QBO48" s="478"/>
      <c r="QBP48" s="478"/>
      <c r="QBQ48" s="478"/>
      <c r="QBR48" s="478"/>
      <c r="QBS48" s="478"/>
      <c r="QBT48" s="478"/>
      <c r="QBU48" s="478"/>
      <c r="QBV48" s="478"/>
      <c r="QBW48" s="478"/>
      <c r="QBX48" s="478"/>
      <c r="QBY48" s="478"/>
      <c r="QBZ48" s="478"/>
      <c r="QCA48" s="478"/>
      <c r="QCB48" s="478"/>
      <c r="QCC48" s="478"/>
      <c r="QCD48" s="478"/>
      <c r="QCE48" s="478"/>
      <c r="QCF48" s="478"/>
      <c r="QCG48" s="478"/>
      <c r="QCH48" s="478"/>
      <c r="QCI48" s="478"/>
      <c r="QCJ48" s="478"/>
      <c r="QCK48" s="478"/>
      <c r="QCL48" s="478"/>
      <c r="QCM48" s="478"/>
      <c r="QCN48" s="478"/>
      <c r="QCO48" s="478"/>
      <c r="QCP48" s="478"/>
      <c r="QCQ48" s="478"/>
      <c r="QCR48" s="478"/>
      <c r="QCS48" s="478"/>
      <c r="QCT48" s="478"/>
      <c r="QCU48" s="478"/>
      <c r="QCV48" s="478"/>
      <c r="QCW48" s="478"/>
      <c r="QCX48" s="478"/>
      <c r="QCY48" s="478"/>
      <c r="QCZ48" s="478"/>
      <c r="QDA48" s="478"/>
      <c r="QDB48" s="478"/>
      <c r="QDC48" s="478"/>
      <c r="QDD48" s="478"/>
      <c r="QDE48" s="478"/>
      <c r="QDF48" s="478"/>
      <c r="QDG48" s="478"/>
      <c r="QDH48" s="478"/>
      <c r="QDI48" s="478"/>
      <c r="QDJ48" s="478"/>
      <c r="QDK48" s="478"/>
      <c r="QDL48" s="478"/>
      <c r="QDM48" s="478"/>
      <c r="QDN48" s="478"/>
      <c r="QDO48" s="478"/>
      <c r="QDP48" s="478"/>
      <c r="QDQ48" s="478"/>
      <c r="QDR48" s="478"/>
      <c r="QDS48" s="478"/>
      <c r="QDT48" s="478"/>
      <c r="QDU48" s="478"/>
      <c r="QDV48" s="478"/>
      <c r="QDW48" s="478"/>
      <c r="QDX48" s="478"/>
      <c r="QDY48" s="478"/>
      <c r="QDZ48" s="478"/>
      <c r="QEA48" s="478"/>
      <c r="QEB48" s="478"/>
      <c r="QEC48" s="478"/>
      <c r="QED48" s="478"/>
      <c r="QEE48" s="478"/>
      <c r="QEF48" s="478"/>
      <c r="QEG48" s="478"/>
      <c r="QEH48" s="478"/>
      <c r="QEI48" s="478"/>
      <c r="QEJ48" s="478"/>
      <c r="QEK48" s="478"/>
      <c r="QEL48" s="478"/>
      <c r="QEM48" s="478"/>
      <c r="QEN48" s="478"/>
      <c r="QEO48" s="478"/>
      <c r="QEP48" s="478"/>
      <c r="QEQ48" s="478"/>
      <c r="QER48" s="478"/>
      <c r="QES48" s="478"/>
      <c r="QET48" s="478"/>
      <c r="QEU48" s="478"/>
      <c r="QEV48" s="478"/>
      <c r="QEW48" s="478"/>
      <c r="QEX48" s="478"/>
      <c r="QEY48" s="478"/>
      <c r="QEZ48" s="478"/>
      <c r="QFA48" s="478"/>
      <c r="QFB48" s="478"/>
      <c r="QFC48" s="478"/>
      <c r="QFD48" s="478"/>
      <c r="QFE48" s="478"/>
      <c r="QFF48" s="478"/>
      <c r="QFG48" s="478"/>
      <c r="QFH48" s="478"/>
      <c r="QFI48" s="478"/>
      <c r="QFJ48" s="478"/>
      <c r="QFK48" s="478"/>
      <c r="QFL48" s="478"/>
      <c r="QFM48" s="478"/>
      <c r="QFN48" s="478"/>
      <c r="QFO48" s="478"/>
      <c r="QFP48" s="478"/>
      <c r="QFQ48" s="478"/>
      <c r="QFR48" s="478"/>
      <c r="QFS48" s="478"/>
      <c r="QFT48" s="478"/>
      <c r="QFU48" s="478"/>
      <c r="QFV48" s="478"/>
      <c r="QFW48" s="478"/>
      <c r="QFX48" s="478"/>
      <c r="QFY48" s="478"/>
      <c r="QFZ48" s="478"/>
      <c r="QGA48" s="478"/>
      <c r="QGB48" s="478"/>
      <c r="QGC48" s="478"/>
      <c r="QGD48" s="478"/>
      <c r="QGE48" s="478"/>
      <c r="QGF48" s="478"/>
      <c r="QGG48" s="478"/>
      <c r="QGH48" s="478"/>
      <c r="QGI48" s="478"/>
      <c r="QGJ48" s="478"/>
      <c r="QGK48" s="478"/>
      <c r="QGL48" s="478"/>
      <c r="QGM48" s="478"/>
      <c r="QGN48" s="478"/>
      <c r="QGO48" s="478"/>
      <c r="QGP48" s="478"/>
      <c r="QGQ48" s="478"/>
      <c r="QGR48" s="478"/>
      <c r="QGS48" s="478"/>
      <c r="QGT48" s="478"/>
      <c r="QGU48" s="478"/>
      <c r="QGV48" s="478"/>
      <c r="QGW48" s="478"/>
      <c r="QGX48" s="478"/>
      <c r="QGY48" s="478"/>
      <c r="QGZ48" s="478"/>
      <c r="QHA48" s="478"/>
      <c r="QHB48" s="478"/>
      <c r="QHC48" s="478"/>
      <c r="QHD48" s="478"/>
      <c r="QHE48" s="478"/>
      <c r="QHF48" s="478"/>
      <c r="QHG48" s="478"/>
      <c r="QHH48" s="478"/>
      <c r="QHI48" s="478"/>
      <c r="QHJ48" s="478"/>
      <c r="QHK48" s="478"/>
      <c r="QHL48" s="478"/>
      <c r="QHM48" s="478"/>
      <c r="QHN48" s="478"/>
      <c r="QHO48" s="478"/>
      <c r="QHP48" s="478"/>
      <c r="QHQ48" s="478"/>
      <c r="QHR48" s="478"/>
      <c r="QHS48" s="478"/>
      <c r="QHT48" s="478"/>
      <c r="QHU48" s="478"/>
      <c r="QHV48" s="478"/>
      <c r="QHW48" s="478"/>
      <c r="QHX48" s="478"/>
      <c r="QHY48" s="478"/>
      <c r="QHZ48" s="478"/>
      <c r="QIA48" s="478"/>
      <c r="QIB48" s="478"/>
      <c r="QIC48" s="478"/>
      <c r="QID48" s="478"/>
      <c r="QIE48" s="478"/>
      <c r="QIF48" s="478"/>
      <c r="QIG48" s="478"/>
      <c r="QIH48" s="478"/>
      <c r="QII48" s="478"/>
      <c r="QIJ48" s="478"/>
      <c r="QIK48" s="478"/>
      <c r="QIL48" s="478"/>
      <c r="QIM48" s="478"/>
      <c r="QIN48" s="478"/>
      <c r="QIO48" s="478"/>
      <c r="QIP48" s="478"/>
      <c r="QIQ48" s="478"/>
      <c r="QIR48" s="478"/>
      <c r="QIS48" s="478"/>
      <c r="QIT48" s="478"/>
      <c r="QIU48" s="478"/>
      <c r="QIV48" s="478"/>
      <c r="QIW48" s="478"/>
      <c r="QIX48" s="478"/>
      <c r="QIY48" s="478"/>
      <c r="QIZ48" s="478"/>
      <c r="QJA48" s="478"/>
      <c r="QJB48" s="478"/>
      <c r="QJC48" s="478"/>
      <c r="QJD48" s="478"/>
      <c r="QJE48" s="478"/>
      <c r="QJF48" s="478"/>
      <c r="QJG48" s="478"/>
      <c r="QJH48" s="478"/>
      <c r="QJI48" s="478"/>
      <c r="QJJ48" s="478"/>
      <c r="QJK48" s="478"/>
      <c r="QJL48" s="478"/>
      <c r="QJM48" s="478"/>
      <c r="QJN48" s="478"/>
      <c r="QJO48" s="478"/>
      <c r="QJP48" s="478"/>
      <c r="QJQ48" s="478"/>
      <c r="QJR48" s="478"/>
      <c r="QJS48" s="478"/>
      <c r="QJT48" s="478"/>
      <c r="QJU48" s="478"/>
      <c r="QJV48" s="478"/>
      <c r="QJW48" s="478"/>
      <c r="QJX48" s="478"/>
      <c r="QJY48" s="478"/>
      <c r="QJZ48" s="478"/>
      <c r="QKA48" s="478"/>
      <c r="QKB48" s="478"/>
      <c r="QKC48" s="478"/>
      <c r="QKD48" s="478"/>
      <c r="QKE48" s="478"/>
      <c r="QKF48" s="478"/>
      <c r="QKG48" s="478"/>
      <c r="QKH48" s="478"/>
      <c r="QKI48" s="478"/>
      <c r="QKJ48" s="478"/>
      <c r="QKK48" s="478"/>
      <c r="QKL48" s="478"/>
      <c r="QKM48" s="478"/>
      <c r="QKN48" s="478"/>
      <c r="QKO48" s="478"/>
      <c r="QKP48" s="478"/>
      <c r="QKQ48" s="478"/>
      <c r="QKR48" s="478"/>
      <c r="QKS48" s="478"/>
      <c r="QKT48" s="478"/>
      <c r="QKU48" s="478"/>
      <c r="QKV48" s="478"/>
      <c r="QKW48" s="478"/>
      <c r="QKX48" s="478"/>
      <c r="QKY48" s="478"/>
      <c r="QKZ48" s="478"/>
      <c r="QLA48" s="478"/>
      <c r="QLB48" s="478"/>
      <c r="QLC48" s="478"/>
      <c r="QLD48" s="478"/>
      <c r="QLE48" s="478"/>
      <c r="QLF48" s="478"/>
      <c r="QLG48" s="478"/>
      <c r="QLH48" s="478"/>
      <c r="QLI48" s="478"/>
      <c r="QLJ48" s="478"/>
      <c r="QLK48" s="478"/>
      <c r="QLL48" s="478"/>
      <c r="QLM48" s="478"/>
      <c r="QLN48" s="478"/>
      <c r="QLO48" s="478"/>
      <c r="QLP48" s="478"/>
      <c r="QLQ48" s="478"/>
      <c r="QLR48" s="478"/>
      <c r="QLS48" s="478"/>
      <c r="QLT48" s="478"/>
      <c r="QLU48" s="478"/>
      <c r="QLV48" s="478"/>
      <c r="QLW48" s="478"/>
      <c r="QLX48" s="478"/>
      <c r="QLY48" s="478"/>
      <c r="QLZ48" s="478"/>
      <c r="QMA48" s="478"/>
      <c r="QMB48" s="478"/>
      <c r="QMC48" s="478"/>
      <c r="QMD48" s="478"/>
      <c r="QME48" s="478"/>
      <c r="QMF48" s="478"/>
      <c r="QMG48" s="478"/>
      <c r="QMH48" s="478"/>
      <c r="QMI48" s="478"/>
      <c r="QMJ48" s="478"/>
      <c r="QMK48" s="478"/>
      <c r="QML48" s="478"/>
      <c r="QMM48" s="478"/>
      <c r="QMN48" s="478"/>
      <c r="QMO48" s="478"/>
      <c r="QMP48" s="478"/>
      <c r="QMQ48" s="478"/>
      <c r="QMR48" s="478"/>
      <c r="QMS48" s="478"/>
      <c r="QMT48" s="478"/>
      <c r="QMU48" s="478"/>
      <c r="QMV48" s="478"/>
      <c r="QMW48" s="478"/>
      <c r="QMX48" s="478"/>
      <c r="QMY48" s="478"/>
      <c r="QMZ48" s="478"/>
      <c r="QNA48" s="478"/>
      <c r="QNB48" s="478"/>
      <c r="QNC48" s="478"/>
      <c r="QND48" s="478"/>
      <c r="QNE48" s="478"/>
      <c r="QNF48" s="478"/>
      <c r="QNG48" s="478"/>
      <c r="QNH48" s="478"/>
      <c r="QNI48" s="478"/>
      <c r="QNJ48" s="478"/>
      <c r="QNK48" s="478"/>
      <c r="QNL48" s="478"/>
      <c r="QNM48" s="478"/>
      <c r="QNN48" s="478"/>
      <c r="QNO48" s="478"/>
      <c r="QNP48" s="478"/>
      <c r="QNQ48" s="478"/>
      <c r="QNR48" s="478"/>
      <c r="QNS48" s="478"/>
      <c r="QNT48" s="478"/>
      <c r="QNU48" s="478"/>
      <c r="QNV48" s="478"/>
      <c r="QNW48" s="478"/>
      <c r="QNX48" s="478"/>
      <c r="QNY48" s="478"/>
      <c r="QNZ48" s="478"/>
      <c r="QOA48" s="478"/>
      <c r="QOB48" s="478"/>
      <c r="QOC48" s="478"/>
      <c r="QOD48" s="478"/>
      <c r="QOE48" s="478"/>
      <c r="QOF48" s="478"/>
      <c r="QOG48" s="478"/>
      <c r="QOH48" s="478"/>
      <c r="QOI48" s="478"/>
      <c r="QOJ48" s="478"/>
      <c r="QOK48" s="478"/>
      <c r="QOL48" s="478"/>
      <c r="QOM48" s="478"/>
      <c r="QON48" s="478"/>
      <c r="QOO48" s="478"/>
      <c r="QOP48" s="478"/>
      <c r="QOQ48" s="478"/>
      <c r="QOR48" s="478"/>
      <c r="QOS48" s="478"/>
      <c r="QOT48" s="478"/>
      <c r="QOU48" s="478"/>
      <c r="QOV48" s="478"/>
      <c r="QOW48" s="478"/>
      <c r="QOX48" s="478"/>
      <c r="QOY48" s="478"/>
      <c r="QOZ48" s="478"/>
      <c r="QPA48" s="478"/>
      <c r="QPB48" s="478"/>
      <c r="QPC48" s="478"/>
      <c r="QPD48" s="478"/>
      <c r="QPE48" s="478"/>
      <c r="QPF48" s="478"/>
      <c r="QPG48" s="478"/>
      <c r="QPH48" s="478"/>
      <c r="QPI48" s="478"/>
      <c r="QPJ48" s="478"/>
      <c r="QPK48" s="478"/>
      <c r="QPL48" s="478"/>
      <c r="QPM48" s="478"/>
      <c r="QPN48" s="478"/>
      <c r="QPO48" s="478"/>
      <c r="QPP48" s="478"/>
      <c r="QPQ48" s="478"/>
      <c r="QPR48" s="478"/>
      <c r="QPS48" s="478"/>
      <c r="QPT48" s="478"/>
      <c r="QPU48" s="478"/>
      <c r="QPV48" s="478"/>
      <c r="QPW48" s="478"/>
      <c r="QPX48" s="478"/>
      <c r="QPY48" s="478"/>
      <c r="QPZ48" s="478"/>
      <c r="QQA48" s="478"/>
      <c r="QQB48" s="478"/>
      <c r="QQC48" s="478"/>
      <c r="QQD48" s="478"/>
      <c r="QQE48" s="478"/>
      <c r="QQF48" s="478"/>
      <c r="QQG48" s="478"/>
      <c r="QQH48" s="478"/>
      <c r="QQI48" s="478"/>
      <c r="QQJ48" s="478"/>
      <c r="QQK48" s="478"/>
      <c r="QQL48" s="478"/>
      <c r="QQM48" s="478"/>
      <c r="QQN48" s="478"/>
      <c r="QQO48" s="478"/>
      <c r="QQP48" s="478"/>
      <c r="QQQ48" s="478"/>
      <c r="QQR48" s="478"/>
      <c r="QQS48" s="478"/>
      <c r="QQT48" s="478"/>
      <c r="QQU48" s="478"/>
      <c r="QQV48" s="478"/>
      <c r="QQW48" s="478"/>
      <c r="QQX48" s="478"/>
      <c r="QQY48" s="478"/>
      <c r="QQZ48" s="478"/>
      <c r="QRA48" s="478"/>
      <c r="QRB48" s="478"/>
      <c r="QRC48" s="478"/>
      <c r="QRD48" s="478"/>
      <c r="QRE48" s="478"/>
      <c r="QRF48" s="478"/>
      <c r="QRG48" s="478"/>
      <c r="QRH48" s="478"/>
      <c r="QRI48" s="478"/>
      <c r="QRJ48" s="478"/>
      <c r="QRK48" s="478"/>
      <c r="QRL48" s="478"/>
      <c r="QRM48" s="478"/>
      <c r="QRN48" s="478"/>
      <c r="QRO48" s="478"/>
      <c r="QRP48" s="478"/>
      <c r="QRQ48" s="478"/>
      <c r="QRR48" s="478"/>
      <c r="QRS48" s="478"/>
      <c r="QRT48" s="478"/>
      <c r="QRU48" s="478"/>
      <c r="QRV48" s="478"/>
      <c r="QRW48" s="478"/>
      <c r="QRX48" s="478"/>
      <c r="QRY48" s="478"/>
      <c r="QRZ48" s="478"/>
      <c r="QSA48" s="478"/>
      <c r="QSB48" s="478"/>
      <c r="QSC48" s="478"/>
      <c r="QSD48" s="478"/>
      <c r="QSE48" s="478"/>
      <c r="QSF48" s="478"/>
      <c r="QSG48" s="478"/>
      <c r="QSH48" s="478"/>
      <c r="QSI48" s="478"/>
      <c r="QSJ48" s="478"/>
      <c r="QSK48" s="478"/>
      <c r="QSL48" s="478"/>
      <c r="QSM48" s="478"/>
      <c r="QSN48" s="478"/>
      <c r="QSO48" s="478"/>
      <c r="QSP48" s="478"/>
      <c r="QSQ48" s="478"/>
      <c r="QSR48" s="478"/>
      <c r="QSS48" s="478"/>
      <c r="QST48" s="478"/>
      <c r="QSU48" s="478"/>
      <c r="QSV48" s="478"/>
      <c r="QSW48" s="478"/>
      <c r="QSX48" s="478"/>
      <c r="QSY48" s="478"/>
      <c r="QSZ48" s="478"/>
      <c r="QTA48" s="478"/>
      <c r="QTB48" s="478"/>
      <c r="QTC48" s="478"/>
      <c r="QTD48" s="478"/>
      <c r="QTE48" s="478"/>
      <c r="QTF48" s="478"/>
      <c r="QTG48" s="478"/>
      <c r="QTH48" s="478"/>
      <c r="QTI48" s="478"/>
      <c r="QTJ48" s="478"/>
      <c r="QTK48" s="478"/>
      <c r="QTL48" s="478"/>
      <c r="QTM48" s="478"/>
      <c r="QTN48" s="478"/>
      <c r="QTO48" s="478"/>
      <c r="QTP48" s="478"/>
      <c r="QTQ48" s="478"/>
      <c r="QTR48" s="478"/>
      <c r="QTS48" s="478"/>
      <c r="QTT48" s="478"/>
      <c r="QTU48" s="478"/>
      <c r="QTV48" s="478"/>
      <c r="QTW48" s="478"/>
      <c r="QTX48" s="478"/>
      <c r="QTY48" s="478"/>
      <c r="QTZ48" s="478"/>
      <c r="QUA48" s="478"/>
      <c r="QUB48" s="478"/>
      <c r="QUC48" s="478"/>
      <c r="QUD48" s="478"/>
      <c r="QUE48" s="478"/>
      <c r="QUF48" s="478"/>
      <c r="QUG48" s="478"/>
      <c r="QUH48" s="478"/>
      <c r="QUI48" s="478"/>
      <c r="QUJ48" s="478"/>
      <c r="QUK48" s="478"/>
      <c r="QUL48" s="478"/>
      <c r="QUM48" s="478"/>
      <c r="QUN48" s="478"/>
      <c r="QUO48" s="478"/>
      <c r="QUP48" s="478"/>
      <c r="QUQ48" s="478"/>
      <c r="QUR48" s="478"/>
      <c r="QUS48" s="478"/>
      <c r="QUT48" s="478"/>
      <c r="QUU48" s="478"/>
      <c r="QUV48" s="478"/>
      <c r="QUW48" s="478"/>
      <c r="QUX48" s="478"/>
      <c r="QUY48" s="478"/>
      <c r="QUZ48" s="478"/>
      <c r="QVA48" s="478"/>
      <c r="QVB48" s="478"/>
      <c r="QVC48" s="478"/>
      <c r="QVD48" s="478"/>
      <c r="QVE48" s="478"/>
      <c r="QVF48" s="478"/>
      <c r="QVG48" s="478"/>
      <c r="QVH48" s="478"/>
      <c r="QVI48" s="478"/>
      <c r="QVJ48" s="478"/>
      <c r="QVK48" s="478"/>
      <c r="QVL48" s="478"/>
      <c r="QVM48" s="478"/>
      <c r="QVN48" s="478"/>
      <c r="QVO48" s="478"/>
      <c r="QVP48" s="478"/>
      <c r="QVQ48" s="478"/>
      <c r="QVR48" s="478"/>
      <c r="QVS48" s="478"/>
      <c r="QVT48" s="478"/>
      <c r="QVU48" s="478"/>
      <c r="QVV48" s="478"/>
      <c r="QVW48" s="478"/>
      <c r="QVX48" s="478"/>
      <c r="QVY48" s="478"/>
      <c r="QVZ48" s="478"/>
      <c r="QWA48" s="478"/>
      <c r="QWB48" s="478"/>
      <c r="QWC48" s="478"/>
      <c r="QWD48" s="478"/>
      <c r="QWE48" s="478"/>
      <c r="QWF48" s="478"/>
      <c r="QWG48" s="478"/>
      <c r="QWH48" s="478"/>
      <c r="QWI48" s="478"/>
      <c r="QWJ48" s="478"/>
      <c r="QWK48" s="478"/>
      <c r="QWL48" s="478"/>
      <c r="QWM48" s="478"/>
      <c r="QWN48" s="478"/>
      <c r="QWO48" s="478"/>
      <c r="QWP48" s="478"/>
      <c r="QWQ48" s="478"/>
      <c r="QWR48" s="478"/>
      <c r="QWS48" s="478"/>
      <c r="QWT48" s="478"/>
      <c r="QWU48" s="478"/>
      <c r="QWV48" s="478"/>
      <c r="QWW48" s="478"/>
      <c r="QWX48" s="478"/>
      <c r="QWY48" s="478"/>
      <c r="QWZ48" s="478"/>
      <c r="QXA48" s="478"/>
      <c r="QXB48" s="478"/>
      <c r="QXC48" s="478"/>
      <c r="QXD48" s="478"/>
      <c r="QXE48" s="478"/>
      <c r="QXF48" s="478"/>
      <c r="QXG48" s="478"/>
      <c r="QXH48" s="478"/>
      <c r="QXI48" s="478"/>
      <c r="QXJ48" s="478"/>
      <c r="QXK48" s="478"/>
      <c r="QXL48" s="478"/>
      <c r="QXM48" s="478"/>
      <c r="QXN48" s="478"/>
      <c r="QXO48" s="478"/>
      <c r="QXP48" s="478"/>
      <c r="QXQ48" s="478"/>
      <c r="QXR48" s="478"/>
      <c r="QXS48" s="478"/>
      <c r="QXT48" s="478"/>
      <c r="QXU48" s="478"/>
      <c r="QXV48" s="478"/>
      <c r="QXW48" s="478"/>
      <c r="QXX48" s="478"/>
      <c r="QXY48" s="478"/>
      <c r="QXZ48" s="478"/>
      <c r="QYA48" s="478"/>
      <c r="QYB48" s="478"/>
      <c r="QYC48" s="478"/>
      <c r="QYD48" s="478"/>
      <c r="QYE48" s="478"/>
      <c r="QYF48" s="478"/>
      <c r="QYG48" s="478"/>
      <c r="QYH48" s="478"/>
      <c r="QYI48" s="478"/>
      <c r="QYJ48" s="478"/>
      <c r="QYK48" s="478"/>
      <c r="QYL48" s="478"/>
      <c r="QYM48" s="478"/>
      <c r="QYN48" s="478"/>
      <c r="QYO48" s="478"/>
      <c r="QYP48" s="478"/>
      <c r="QYQ48" s="478"/>
      <c r="QYR48" s="478"/>
      <c r="QYS48" s="478"/>
      <c r="QYT48" s="478"/>
      <c r="QYU48" s="478"/>
      <c r="QYV48" s="478"/>
      <c r="QYW48" s="478"/>
      <c r="QYX48" s="478"/>
      <c r="QYY48" s="478"/>
      <c r="QYZ48" s="478"/>
      <c r="QZA48" s="478"/>
      <c r="QZB48" s="478"/>
      <c r="QZC48" s="478"/>
      <c r="QZD48" s="478"/>
      <c r="QZE48" s="478"/>
      <c r="QZF48" s="478"/>
      <c r="QZG48" s="478"/>
      <c r="QZH48" s="478"/>
      <c r="QZI48" s="478"/>
      <c r="QZJ48" s="478"/>
      <c r="QZK48" s="478"/>
      <c r="QZL48" s="478"/>
      <c r="QZM48" s="478"/>
      <c r="QZN48" s="478"/>
      <c r="QZO48" s="478"/>
      <c r="QZP48" s="478"/>
      <c r="QZQ48" s="478"/>
      <c r="QZR48" s="478"/>
      <c r="QZS48" s="478"/>
      <c r="QZT48" s="478"/>
      <c r="QZU48" s="478"/>
      <c r="QZV48" s="478"/>
      <c r="QZW48" s="478"/>
      <c r="QZX48" s="478"/>
      <c r="QZY48" s="478"/>
      <c r="QZZ48" s="478"/>
      <c r="RAA48" s="478"/>
      <c r="RAB48" s="478"/>
      <c r="RAC48" s="478"/>
      <c r="RAD48" s="478"/>
      <c r="RAE48" s="478"/>
      <c r="RAF48" s="478"/>
      <c r="RAG48" s="478"/>
      <c r="RAH48" s="478"/>
      <c r="RAI48" s="478"/>
      <c r="RAJ48" s="478"/>
      <c r="RAK48" s="478"/>
      <c r="RAL48" s="478"/>
      <c r="RAM48" s="478"/>
      <c r="RAN48" s="478"/>
      <c r="RAO48" s="478"/>
      <c r="RAP48" s="478"/>
      <c r="RAQ48" s="478"/>
      <c r="RAR48" s="478"/>
      <c r="RAS48" s="478"/>
      <c r="RAT48" s="478"/>
      <c r="RAU48" s="478"/>
      <c r="RAV48" s="478"/>
      <c r="RAW48" s="478"/>
      <c r="RAX48" s="478"/>
      <c r="RAY48" s="478"/>
      <c r="RAZ48" s="478"/>
      <c r="RBA48" s="478"/>
      <c r="RBB48" s="478"/>
      <c r="RBC48" s="478"/>
      <c r="RBD48" s="478"/>
      <c r="RBE48" s="478"/>
      <c r="RBF48" s="478"/>
      <c r="RBG48" s="478"/>
      <c r="RBH48" s="478"/>
      <c r="RBI48" s="478"/>
      <c r="RBJ48" s="478"/>
      <c r="RBK48" s="478"/>
      <c r="RBL48" s="478"/>
      <c r="RBM48" s="478"/>
      <c r="RBN48" s="478"/>
      <c r="RBO48" s="478"/>
      <c r="RBP48" s="478"/>
      <c r="RBQ48" s="478"/>
      <c r="RBR48" s="478"/>
      <c r="RBS48" s="478"/>
      <c r="RBT48" s="478"/>
      <c r="RBU48" s="478"/>
      <c r="RBV48" s="478"/>
      <c r="RBW48" s="478"/>
      <c r="RBX48" s="478"/>
      <c r="RBY48" s="478"/>
      <c r="RBZ48" s="478"/>
      <c r="RCA48" s="478"/>
      <c r="RCB48" s="478"/>
      <c r="RCC48" s="478"/>
      <c r="RCD48" s="478"/>
      <c r="RCE48" s="478"/>
      <c r="RCF48" s="478"/>
      <c r="RCG48" s="478"/>
      <c r="RCH48" s="478"/>
      <c r="RCI48" s="478"/>
      <c r="RCJ48" s="478"/>
      <c r="RCK48" s="478"/>
      <c r="RCL48" s="478"/>
      <c r="RCM48" s="478"/>
      <c r="RCN48" s="478"/>
      <c r="RCO48" s="478"/>
      <c r="RCP48" s="478"/>
      <c r="RCQ48" s="478"/>
      <c r="RCR48" s="478"/>
      <c r="RCS48" s="478"/>
      <c r="RCT48" s="478"/>
      <c r="RCU48" s="478"/>
      <c r="RCV48" s="478"/>
      <c r="RCW48" s="478"/>
      <c r="RCX48" s="478"/>
      <c r="RCY48" s="478"/>
      <c r="RCZ48" s="478"/>
      <c r="RDA48" s="478"/>
      <c r="RDB48" s="478"/>
      <c r="RDC48" s="478"/>
      <c r="RDD48" s="478"/>
      <c r="RDE48" s="478"/>
      <c r="RDF48" s="478"/>
      <c r="RDG48" s="478"/>
      <c r="RDH48" s="478"/>
      <c r="RDI48" s="478"/>
      <c r="RDJ48" s="478"/>
      <c r="RDK48" s="478"/>
      <c r="RDL48" s="478"/>
      <c r="RDM48" s="478"/>
      <c r="RDN48" s="478"/>
      <c r="RDO48" s="478"/>
      <c r="RDP48" s="478"/>
      <c r="RDQ48" s="478"/>
      <c r="RDR48" s="478"/>
      <c r="RDS48" s="478"/>
      <c r="RDT48" s="478"/>
      <c r="RDU48" s="478"/>
      <c r="RDV48" s="478"/>
      <c r="RDW48" s="478"/>
      <c r="RDX48" s="478"/>
      <c r="RDY48" s="478"/>
      <c r="RDZ48" s="478"/>
      <c r="REA48" s="478"/>
      <c r="REB48" s="478"/>
      <c r="REC48" s="478"/>
      <c r="RED48" s="478"/>
      <c r="REE48" s="478"/>
      <c r="REF48" s="478"/>
      <c r="REG48" s="478"/>
      <c r="REH48" s="478"/>
      <c r="REI48" s="478"/>
      <c r="REJ48" s="478"/>
      <c r="REK48" s="478"/>
      <c r="REL48" s="478"/>
      <c r="REM48" s="478"/>
      <c r="REN48" s="478"/>
      <c r="REO48" s="478"/>
      <c r="REP48" s="478"/>
      <c r="REQ48" s="478"/>
      <c r="RER48" s="478"/>
      <c r="RES48" s="478"/>
      <c r="RET48" s="478"/>
      <c r="REU48" s="478"/>
      <c r="REV48" s="478"/>
      <c r="REW48" s="478"/>
      <c r="REX48" s="478"/>
      <c r="REY48" s="478"/>
      <c r="REZ48" s="478"/>
      <c r="RFA48" s="478"/>
      <c r="RFB48" s="478"/>
      <c r="RFC48" s="478"/>
      <c r="RFD48" s="478"/>
      <c r="RFE48" s="478"/>
      <c r="RFF48" s="478"/>
      <c r="RFG48" s="478"/>
      <c r="RFH48" s="478"/>
      <c r="RFI48" s="478"/>
      <c r="RFJ48" s="478"/>
      <c r="RFK48" s="478"/>
      <c r="RFL48" s="478"/>
      <c r="RFM48" s="478"/>
      <c r="RFN48" s="478"/>
      <c r="RFO48" s="478"/>
      <c r="RFP48" s="478"/>
      <c r="RFQ48" s="478"/>
      <c r="RFR48" s="478"/>
      <c r="RFS48" s="478"/>
      <c r="RFT48" s="478"/>
      <c r="RFU48" s="478"/>
      <c r="RFV48" s="478"/>
      <c r="RFW48" s="478"/>
      <c r="RFX48" s="478"/>
      <c r="RFY48" s="478"/>
      <c r="RFZ48" s="478"/>
      <c r="RGA48" s="478"/>
      <c r="RGB48" s="478"/>
      <c r="RGC48" s="478"/>
      <c r="RGD48" s="478"/>
      <c r="RGE48" s="478"/>
      <c r="RGF48" s="478"/>
      <c r="RGG48" s="478"/>
      <c r="RGH48" s="478"/>
      <c r="RGI48" s="478"/>
      <c r="RGJ48" s="478"/>
      <c r="RGK48" s="478"/>
      <c r="RGL48" s="478"/>
      <c r="RGM48" s="478"/>
      <c r="RGN48" s="478"/>
      <c r="RGO48" s="478"/>
      <c r="RGP48" s="478"/>
      <c r="RGQ48" s="478"/>
      <c r="RGR48" s="478"/>
      <c r="RGS48" s="478"/>
      <c r="RGT48" s="478"/>
      <c r="RGU48" s="478"/>
      <c r="RGV48" s="478"/>
      <c r="RGW48" s="478"/>
      <c r="RGX48" s="478"/>
      <c r="RGY48" s="478"/>
      <c r="RGZ48" s="478"/>
      <c r="RHA48" s="478"/>
      <c r="RHB48" s="478"/>
      <c r="RHC48" s="478"/>
      <c r="RHD48" s="478"/>
      <c r="RHE48" s="478"/>
      <c r="RHF48" s="478"/>
      <c r="RHG48" s="478"/>
      <c r="RHH48" s="478"/>
      <c r="RHI48" s="478"/>
      <c r="RHJ48" s="478"/>
      <c r="RHK48" s="478"/>
      <c r="RHL48" s="478"/>
      <c r="RHM48" s="478"/>
      <c r="RHN48" s="478"/>
      <c r="RHO48" s="478"/>
      <c r="RHP48" s="478"/>
      <c r="RHQ48" s="478"/>
      <c r="RHR48" s="478"/>
      <c r="RHS48" s="478"/>
      <c r="RHT48" s="478"/>
      <c r="RHU48" s="478"/>
      <c r="RHV48" s="478"/>
      <c r="RHW48" s="478"/>
      <c r="RHX48" s="478"/>
      <c r="RHY48" s="478"/>
      <c r="RHZ48" s="478"/>
      <c r="RIA48" s="478"/>
      <c r="RIB48" s="478"/>
      <c r="RIC48" s="478"/>
      <c r="RID48" s="478"/>
      <c r="RIE48" s="478"/>
      <c r="RIF48" s="478"/>
      <c r="RIG48" s="478"/>
      <c r="RIH48" s="478"/>
      <c r="RII48" s="478"/>
      <c r="RIJ48" s="478"/>
      <c r="RIK48" s="478"/>
      <c r="RIL48" s="478"/>
      <c r="RIM48" s="478"/>
      <c r="RIN48" s="478"/>
      <c r="RIO48" s="478"/>
      <c r="RIP48" s="478"/>
      <c r="RIQ48" s="478"/>
      <c r="RIR48" s="478"/>
      <c r="RIS48" s="478"/>
      <c r="RIT48" s="478"/>
      <c r="RIU48" s="478"/>
      <c r="RIV48" s="478"/>
      <c r="RIW48" s="478"/>
      <c r="RIX48" s="478"/>
      <c r="RIY48" s="478"/>
      <c r="RIZ48" s="478"/>
      <c r="RJA48" s="478"/>
      <c r="RJB48" s="478"/>
      <c r="RJC48" s="478"/>
      <c r="RJD48" s="478"/>
      <c r="RJE48" s="478"/>
      <c r="RJF48" s="478"/>
      <c r="RJG48" s="478"/>
      <c r="RJH48" s="478"/>
      <c r="RJI48" s="478"/>
      <c r="RJJ48" s="478"/>
      <c r="RJK48" s="478"/>
      <c r="RJL48" s="478"/>
      <c r="RJM48" s="478"/>
      <c r="RJN48" s="478"/>
      <c r="RJO48" s="478"/>
      <c r="RJP48" s="478"/>
      <c r="RJQ48" s="478"/>
      <c r="RJR48" s="478"/>
      <c r="RJS48" s="478"/>
      <c r="RJT48" s="478"/>
      <c r="RJU48" s="478"/>
      <c r="RJV48" s="478"/>
      <c r="RJW48" s="478"/>
      <c r="RJX48" s="478"/>
      <c r="RJY48" s="478"/>
      <c r="RJZ48" s="478"/>
      <c r="RKA48" s="478"/>
      <c r="RKB48" s="478"/>
      <c r="RKC48" s="478"/>
      <c r="RKD48" s="478"/>
      <c r="RKE48" s="478"/>
      <c r="RKF48" s="478"/>
      <c r="RKG48" s="478"/>
      <c r="RKH48" s="478"/>
      <c r="RKI48" s="478"/>
      <c r="RKJ48" s="478"/>
      <c r="RKK48" s="478"/>
      <c r="RKL48" s="478"/>
      <c r="RKM48" s="478"/>
      <c r="RKN48" s="478"/>
      <c r="RKO48" s="478"/>
      <c r="RKP48" s="478"/>
      <c r="RKQ48" s="478"/>
      <c r="RKR48" s="478"/>
      <c r="RKS48" s="478"/>
      <c r="RKT48" s="478"/>
      <c r="RKU48" s="478"/>
      <c r="RKV48" s="478"/>
      <c r="RKW48" s="478"/>
      <c r="RKX48" s="478"/>
      <c r="RKY48" s="478"/>
      <c r="RKZ48" s="478"/>
      <c r="RLA48" s="478"/>
      <c r="RLB48" s="478"/>
      <c r="RLC48" s="478"/>
      <c r="RLD48" s="478"/>
      <c r="RLE48" s="478"/>
      <c r="RLF48" s="478"/>
      <c r="RLG48" s="478"/>
      <c r="RLH48" s="478"/>
      <c r="RLI48" s="478"/>
      <c r="RLJ48" s="478"/>
      <c r="RLK48" s="478"/>
      <c r="RLL48" s="478"/>
      <c r="RLM48" s="478"/>
      <c r="RLN48" s="478"/>
      <c r="RLO48" s="478"/>
      <c r="RLP48" s="478"/>
      <c r="RLQ48" s="478"/>
      <c r="RLR48" s="478"/>
      <c r="RLS48" s="478"/>
      <c r="RLT48" s="478"/>
      <c r="RLU48" s="478"/>
      <c r="RLV48" s="478"/>
      <c r="RLW48" s="478"/>
      <c r="RLX48" s="478"/>
      <c r="RLY48" s="478"/>
      <c r="RLZ48" s="478"/>
      <c r="RMA48" s="478"/>
      <c r="RMB48" s="478"/>
      <c r="RMC48" s="478"/>
      <c r="RMD48" s="478"/>
      <c r="RME48" s="478"/>
      <c r="RMF48" s="478"/>
      <c r="RMG48" s="478"/>
      <c r="RMH48" s="478"/>
      <c r="RMI48" s="478"/>
      <c r="RMJ48" s="478"/>
      <c r="RMK48" s="478"/>
      <c r="RML48" s="478"/>
      <c r="RMM48" s="478"/>
      <c r="RMN48" s="478"/>
      <c r="RMO48" s="478"/>
      <c r="RMP48" s="478"/>
      <c r="RMQ48" s="478"/>
      <c r="RMR48" s="478"/>
      <c r="RMS48" s="478"/>
      <c r="RMT48" s="478"/>
      <c r="RMU48" s="478"/>
      <c r="RMV48" s="478"/>
      <c r="RMW48" s="478"/>
      <c r="RMX48" s="478"/>
      <c r="RMY48" s="478"/>
      <c r="RMZ48" s="478"/>
      <c r="RNA48" s="478"/>
      <c r="RNB48" s="478"/>
      <c r="RNC48" s="478"/>
      <c r="RND48" s="478"/>
      <c r="RNE48" s="478"/>
      <c r="RNF48" s="478"/>
      <c r="RNG48" s="478"/>
      <c r="RNH48" s="478"/>
      <c r="RNI48" s="478"/>
      <c r="RNJ48" s="478"/>
      <c r="RNK48" s="478"/>
      <c r="RNL48" s="478"/>
      <c r="RNM48" s="478"/>
      <c r="RNN48" s="478"/>
      <c r="RNO48" s="478"/>
      <c r="RNP48" s="478"/>
      <c r="RNQ48" s="478"/>
      <c r="RNR48" s="478"/>
      <c r="RNS48" s="478"/>
      <c r="RNT48" s="478"/>
      <c r="RNU48" s="478"/>
      <c r="RNV48" s="478"/>
      <c r="RNW48" s="478"/>
      <c r="RNX48" s="478"/>
      <c r="RNY48" s="478"/>
      <c r="RNZ48" s="478"/>
      <c r="ROA48" s="478"/>
      <c r="ROB48" s="478"/>
      <c r="ROC48" s="478"/>
      <c r="ROD48" s="478"/>
      <c r="ROE48" s="478"/>
      <c r="ROF48" s="478"/>
      <c r="ROG48" s="478"/>
      <c r="ROH48" s="478"/>
      <c r="ROI48" s="478"/>
      <c r="ROJ48" s="478"/>
      <c r="ROK48" s="478"/>
      <c r="ROL48" s="478"/>
      <c r="ROM48" s="478"/>
      <c r="RON48" s="478"/>
      <c r="ROO48" s="478"/>
      <c r="ROP48" s="478"/>
      <c r="ROQ48" s="478"/>
      <c r="ROR48" s="478"/>
      <c r="ROS48" s="478"/>
      <c r="ROT48" s="478"/>
      <c r="ROU48" s="478"/>
      <c r="ROV48" s="478"/>
      <c r="ROW48" s="478"/>
      <c r="ROX48" s="478"/>
      <c r="ROY48" s="478"/>
      <c r="ROZ48" s="478"/>
      <c r="RPA48" s="478"/>
      <c r="RPB48" s="478"/>
      <c r="RPC48" s="478"/>
      <c r="RPD48" s="478"/>
      <c r="RPE48" s="478"/>
      <c r="RPF48" s="478"/>
      <c r="RPG48" s="478"/>
      <c r="RPH48" s="478"/>
      <c r="RPI48" s="478"/>
      <c r="RPJ48" s="478"/>
      <c r="RPK48" s="478"/>
      <c r="RPL48" s="478"/>
      <c r="RPM48" s="478"/>
      <c r="RPN48" s="478"/>
      <c r="RPO48" s="478"/>
      <c r="RPP48" s="478"/>
      <c r="RPQ48" s="478"/>
      <c r="RPR48" s="478"/>
      <c r="RPS48" s="478"/>
      <c r="RPT48" s="478"/>
      <c r="RPU48" s="478"/>
      <c r="RPV48" s="478"/>
      <c r="RPW48" s="478"/>
      <c r="RPX48" s="478"/>
      <c r="RPY48" s="478"/>
      <c r="RPZ48" s="478"/>
      <c r="RQA48" s="478"/>
      <c r="RQB48" s="478"/>
      <c r="RQC48" s="478"/>
      <c r="RQD48" s="478"/>
      <c r="RQE48" s="478"/>
      <c r="RQF48" s="478"/>
      <c r="RQG48" s="478"/>
      <c r="RQH48" s="478"/>
      <c r="RQI48" s="478"/>
      <c r="RQJ48" s="478"/>
      <c r="RQK48" s="478"/>
      <c r="RQL48" s="478"/>
      <c r="RQM48" s="478"/>
      <c r="RQN48" s="478"/>
      <c r="RQO48" s="478"/>
      <c r="RQP48" s="478"/>
      <c r="RQQ48" s="478"/>
      <c r="RQR48" s="478"/>
      <c r="RQS48" s="478"/>
      <c r="RQT48" s="478"/>
      <c r="RQU48" s="478"/>
      <c r="RQV48" s="478"/>
      <c r="RQW48" s="478"/>
      <c r="RQX48" s="478"/>
      <c r="RQY48" s="478"/>
      <c r="RQZ48" s="478"/>
      <c r="RRA48" s="478"/>
      <c r="RRB48" s="478"/>
      <c r="RRC48" s="478"/>
      <c r="RRD48" s="478"/>
      <c r="RRE48" s="478"/>
      <c r="RRF48" s="478"/>
      <c r="RRG48" s="478"/>
      <c r="RRH48" s="478"/>
      <c r="RRI48" s="478"/>
      <c r="RRJ48" s="478"/>
      <c r="RRK48" s="478"/>
      <c r="RRL48" s="478"/>
      <c r="RRM48" s="478"/>
      <c r="RRN48" s="478"/>
      <c r="RRO48" s="478"/>
      <c r="RRP48" s="478"/>
      <c r="RRQ48" s="478"/>
      <c r="RRR48" s="478"/>
      <c r="RRS48" s="478"/>
      <c r="RRT48" s="478"/>
      <c r="RRU48" s="478"/>
      <c r="RRV48" s="478"/>
      <c r="RRW48" s="478"/>
      <c r="RRX48" s="478"/>
      <c r="RRY48" s="478"/>
      <c r="RRZ48" s="478"/>
      <c r="RSA48" s="478"/>
      <c r="RSB48" s="478"/>
      <c r="RSC48" s="478"/>
      <c r="RSD48" s="478"/>
      <c r="RSE48" s="478"/>
      <c r="RSF48" s="478"/>
      <c r="RSG48" s="478"/>
      <c r="RSH48" s="478"/>
      <c r="RSI48" s="478"/>
      <c r="RSJ48" s="478"/>
      <c r="RSK48" s="478"/>
      <c r="RSL48" s="478"/>
      <c r="RSM48" s="478"/>
      <c r="RSN48" s="478"/>
      <c r="RSO48" s="478"/>
      <c r="RSP48" s="478"/>
      <c r="RSQ48" s="478"/>
      <c r="RSR48" s="478"/>
      <c r="RSS48" s="478"/>
      <c r="RST48" s="478"/>
      <c r="RSU48" s="478"/>
      <c r="RSV48" s="478"/>
      <c r="RSW48" s="478"/>
      <c r="RSX48" s="478"/>
      <c r="RSY48" s="478"/>
      <c r="RSZ48" s="478"/>
      <c r="RTA48" s="478"/>
      <c r="RTB48" s="478"/>
      <c r="RTC48" s="478"/>
      <c r="RTD48" s="478"/>
      <c r="RTE48" s="478"/>
      <c r="RTF48" s="478"/>
      <c r="RTG48" s="478"/>
      <c r="RTH48" s="478"/>
      <c r="RTI48" s="478"/>
      <c r="RTJ48" s="478"/>
      <c r="RTK48" s="478"/>
      <c r="RTL48" s="478"/>
      <c r="RTM48" s="478"/>
      <c r="RTN48" s="478"/>
      <c r="RTO48" s="478"/>
      <c r="RTP48" s="478"/>
      <c r="RTQ48" s="478"/>
      <c r="RTR48" s="478"/>
      <c r="RTS48" s="478"/>
      <c r="RTT48" s="478"/>
      <c r="RTU48" s="478"/>
      <c r="RTV48" s="478"/>
      <c r="RTW48" s="478"/>
      <c r="RTX48" s="478"/>
      <c r="RTY48" s="478"/>
      <c r="RTZ48" s="478"/>
      <c r="RUA48" s="478"/>
      <c r="RUB48" s="478"/>
      <c r="RUC48" s="478"/>
      <c r="RUD48" s="478"/>
      <c r="RUE48" s="478"/>
      <c r="RUF48" s="478"/>
      <c r="RUG48" s="478"/>
      <c r="RUH48" s="478"/>
      <c r="RUI48" s="478"/>
      <c r="RUJ48" s="478"/>
      <c r="RUK48" s="478"/>
      <c r="RUL48" s="478"/>
      <c r="RUM48" s="478"/>
      <c r="RUN48" s="478"/>
      <c r="RUO48" s="478"/>
      <c r="RUP48" s="478"/>
      <c r="RUQ48" s="478"/>
      <c r="RUR48" s="478"/>
      <c r="RUS48" s="478"/>
      <c r="RUT48" s="478"/>
      <c r="RUU48" s="478"/>
      <c r="RUV48" s="478"/>
      <c r="RUW48" s="478"/>
      <c r="RUX48" s="478"/>
      <c r="RUY48" s="478"/>
      <c r="RUZ48" s="478"/>
      <c r="RVA48" s="478"/>
      <c r="RVB48" s="478"/>
      <c r="RVC48" s="478"/>
      <c r="RVD48" s="478"/>
      <c r="RVE48" s="478"/>
      <c r="RVF48" s="478"/>
      <c r="RVG48" s="478"/>
      <c r="RVH48" s="478"/>
      <c r="RVI48" s="478"/>
      <c r="RVJ48" s="478"/>
      <c r="RVK48" s="478"/>
      <c r="RVL48" s="478"/>
      <c r="RVM48" s="478"/>
      <c r="RVN48" s="478"/>
      <c r="RVO48" s="478"/>
      <c r="RVP48" s="478"/>
      <c r="RVQ48" s="478"/>
      <c r="RVR48" s="478"/>
      <c r="RVS48" s="478"/>
      <c r="RVT48" s="478"/>
      <c r="RVU48" s="478"/>
      <c r="RVV48" s="478"/>
      <c r="RVW48" s="478"/>
      <c r="RVX48" s="478"/>
      <c r="RVY48" s="478"/>
      <c r="RVZ48" s="478"/>
      <c r="RWA48" s="478"/>
      <c r="RWB48" s="478"/>
      <c r="RWC48" s="478"/>
      <c r="RWD48" s="478"/>
      <c r="RWE48" s="478"/>
      <c r="RWF48" s="478"/>
      <c r="RWG48" s="478"/>
      <c r="RWH48" s="478"/>
      <c r="RWI48" s="478"/>
      <c r="RWJ48" s="478"/>
      <c r="RWK48" s="478"/>
      <c r="RWL48" s="478"/>
      <c r="RWM48" s="478"/>
      <c r="RWN48" s="478"/>
      <c r="RWO48" s="478"/>
      <c r="RWP48" s="478"/>
      <c r="RWQ48" s="478"/>
      <c r="RWR48" s="478"/>
      <c r="RWS48" s="478"/>
      <c r="RWT48" s="478"/>
      <c r="RWU48" s="478"/>
      <c r="RWV48" s="478"/>
      <c r="RWW48" s="478"/>
      <c r="RWX48" s="478"/>
      <c r="RWY48" s="478"/>
      <c r="RWZ48" s="478"/>
      <c r="RXA48" s="478"/>
      <c r="RXB48" s="478"/>
      <c r="RXC48" s="478"/>
      <c r="RXD48" s="478"/>
      <c r="RXE48" s="478"/>
      <c r="RXF48" s="478"/>
      <c r="RXG48" s="478"/>
      <c r="RXH48" s="478"/>
      <c r="RXI48" s="478"/>
      <c r="RXJ48" s="478"/>
      <c r="RXK48" s="478"/>
      <c r="RXL48" s="478"/>
      <c r="RXM48" s="478"/>
      <c r="RXN48" s="478"/>
      <c r="RXO48" s="478"/>
      <c r="RXP48" s="478"/>
      <c r="RXQ48" s="478"/>
      <c r="RXR48" s="478"/>
      <c r="RXS48" s="478"/>
      <c r="RXT48" s="478"/>
      <c r="RXU48" s="478"/>
      <c r="RXV48" s="478"/>
      <c r="RXW48" s="478"/>
      <c r="RXX48" s="478"/>
      <c r="RXY48" s="478"/>
      <c r="RXZ48" s="478"/>
      <c r="RYA48" s="478"/>
      <c r="RYB48" s="478"/>
      <c r="RYC48" s="478"/>
      <c r="RYD48" s="478"/>
      <c r="RYE48" s="478"/>
      <c r="RYF48" s="478"/>
      <c r="RYG48" s="478"/>
      <c r="RYH48" s="478"/>
      <c r="RYI48" s="478"/>
      <c r="RYJ48" s="478"/>
      <c r="RYK48" s="478"/>
      <c r="RYL48" s="478"/>
      <c r="RYM48" s="478"/>
      <c r="RYN48" s="478"/>
      <c r="RYO48" s="478"/>
      <c r="RYP48" s="478"/>
      <c r="RYQ48" s="478"/>
      <c r="RYR48" s="478"/>
      <c r="RYS48" s="478"/>
      <c r="RYT48" s="478"/>
      <c r="RYU48" s="478"/>
      <c r="RYV48" s="478"/>
      <c r="RYW48" s="478"/>
      <c r="RYX48" s="478"/>
      <c r="RYY48" s="478"/>
      <c r="RYZ48" s="478"/>
      <c r="RZA48" s="478"/>
      <c r="RZB48" s="478"/>
      <c r="RZC48" s="478"/>
      <c r="RZD48" s="478"/>
      <c r="RZE48" s="478"/>
      <c r="RZF48" s="478"/>
      <c r="RZG48" s="478"/>
      <c r="RZH48" s="478"/>
      <c r="RZI48" s="478"/>
      <c r="RZJ48" s="478"/>
      <c r="RZK48" s="478"/>
      <c r="RZL48" s="478"/>
      <c r="RZM48" s="478"/>
      <c r="RZN48" s="478"/>
      <c r="RZO48" s="478"/>
      <c r="RZP48" s="478"/>
      <c r="RZQ48" s="478"/>
      <c r="RZR48" s="478"/>
      <c r="RZS48" s="478"/>
      <c r="RZT48" s="478"/>
      <c r="RZU48" s="478"/>
      <c r="RZV48" s="478"/>
      <c r="RZW48" s="478"/>
      <c r="RZX48" s="478"/>
      <c r="RZY48" s="478"/>
      <c r="RZZ48" s="478"/>
      <c r="SAA48" s="478"/>
      <c r="SAB48" s="478"/>
      <c r="SAC48" s="478"/>
      <c r="SAD48" s="478"/>
      <c r="SAE48" s="478"/>
      <c r="SAF48" s="478"/>
      <c r="SAG48" s="478"/>
      <c r="SAH48" s="478"/>
      <c r="SAI48" s="478"/>
      <c r="SAJ48" s="478"/>
      <c r="SAK48" s="478"/>
      <c r="SAL48" s="478"/>
      <c r="SAM48" s="478"/>
      <c r="SAN48" s="478"/>
      <c r="SAO48" s="478"/>
      <c r="SAP48" s="478"/>
      <c r="SAQ48" s="478"/>
      <c r="SAR48" s="478"/>
      <c r="SAS48" s="478"/>
      <c r="SAT48" s="478"/>
      <c r="SAU48" s="478"/>
      <c r="SAV48" s="478"/>
      <c r="SAW48" s="478"/>
      <c r="SAX48" s="478"/>
      <c r="SAY48" s="478"/>
      <c r="SAZ48" s="478"/>
      <c r="SBA48" s="478"/>
      <c r="SBB48" s="478"/>
      <c r="SBC48" s="478"/>
      <c r="SBD48" s="478"/>
      <c r="SBE48" s="478"/>
      <c r="SBF48" s="478"/>
      <c r="SBG48" s="478"/>
      <c r="SBH48" s="478"/>
      <c r="SBI48" s="478"/>
      <c r="SBJ48" s="478"/>
      <c r="SBK48" s="478"/>
      <c r="SBL48" s="478"/>
      <c r="SBM48" s="478"/>
      <c r="SBN48" s="478"/>
      <c r="SBO48" s="478"/>
      <c r="SBP48" s="478"/>
      <c r="SBQ48" s="478"/>
      <c r="SBR48" s="478"/>
      <c r="SBS48" s="478"/>
      <c r="SBT48" s="478"/>
      <c r="SBU48" s="478"/>
      <c r="SBV48" s="478"/>
      <c r="SBW48" s="478"/>
      <c r="SBX48" s="478"/>
      <c r="SBY48" s="478"/>
      <c r="SBZ48" s="478"/>
      <c r="SCA48" s="478"/>
      <c r="SCB48" s="478"/>
      <c r="SCC48" s="478"/>
      <c r="SCD48" s="478"/>
      <c r="SCE48" s="478"/>
      <c r="SCF48" s="478"/>
      <c r="SCG48" s="478"/>
      <c r="SCH48" s="478"/>
      <c r="SCI48" s="478"/>
      <c r="SCJ48" s="478"/>
      <c r="SCK48" s="478"/>
      <c r="SCL48" s="478"/>
      <c r="SCM48" s="478"/>
      <c r="SCN48" s="478"/>
      <c r="SCO48" s="478"/>
      <c r="SCP48" s="478"/>
      <c r="SCQ48" s="478"/>
      <c r="SCR48" s="478"/>
      <c r="SCS48" s="478"/>
      <c r="SCT48" s="478"/>
      <c r="SCU48" s="478"/>
      <c r="SCV48" s="478"/>
      <c r="SCW48" s="478"/>
      <c r="SCX48" s="478"/>
      <c r="SCY48" s="478"/>
      <c r="SCZ48" s="478"/>
      <c r="SDA48" s="478"/>
      <c r="SDB48" s="478"/>
      <c r="SDC48" s="478"/>
      <c r="SDD48" s="478"/>
      <c r="SDE48" s="478"/>
      <c r="SDF48" s="478"/>
      <c r="SDG48" s="478"/>
      <c r="SDH48" s="478"/>
      <c r="SDI48" s="478"/>
      <c r="SDJ48" s="478"/>
      <c r="SDK48" s="478"/>
      <c r="SDL48" s="478"/>
      <c r="SDM48" s="478"/>
      <c r="SDN48" s="478"/>
      <c r="SDO48" s="478"/>
      <c r="SDP48" s="478"/>
      <c r="SDQ48" s="478"/>
      <c r="SDR48" s="478"/>
      <c r="SDS48" s="478"/>
      <c r="SDT48" s="478"/>
      <c r="SDU48" s="478"/>
      <c r="SDV48" s="478"/>
      <c r="SDW48" s="478"/>
      <c r="SDX48" s="478"/>
      <c r="SDY48" s="478"/>
      <c r="SDZ48" s="478"/>
      <c r="SEA48" s="478"/>
      <c r="SEB48" s="478"/>
      <c r="SEC48" s="478"/>
      <c r="SED48" s="478"/>
      <c r="SEE48" s="478"/>
      <c r="SEF48" s="478"/>
      <c r="SEG48" s="478"/>
      <c r="SEH48" s="478"/>
      <c r="SEI48" s="478"/>
      <c r="SEJ48" s="478"/>
      <c r="SEK48" s="478"/>
      <c r="SEL48" s="478"/>
      <c r="SEM48" s="478"/>
      <c r="SEN48" s="478"/>
      <c r="SEO48" s="478"/>
      <c r="SEP48" s="478"/>
      <c r="SEQ48" s="478"/>
      <c r="SER48" s="478"/>
      <c r="SES48" s="478"/>
      <c r="SET48" s="478"/>
      <c r="SEU48" s="478"/>
      <c r="SEV48" s="478"/>
      <c r="SEW48" s="478"/>
      <c r="SEX48" s="478"/>
      <c r="SEY48" s="478"/>
      <c r="SEZ48" s="478"/>
      <c r="SFA48" s="478"/>
      <c r="SFB48" s="478"/>
      <c r="SFC48" s="478"/>
      <c r="SFD48" s="478"/>
      <c r="SFE48" s="478"/>
      <c r="SFF48" s="478"/>
      <c r="SFG48" s="478"/>
      <c r="SFH48" s="478"/>
      <c r="SFI48" s="478"/>
      <c r="SFJ48" s="478"/>
      <c r="SFK48" s="478"/>
      <c r="SFL48" s="478"/>
      <c r="SFM48" s="478"/>
      <c r="SFN48" s="478"/>
      <c r="SFO48" s="478"/>
      <c r="SFP48" s="478"/>
      <c r="SFQ48" s="478"/>
      <c r="SFR48" s="478"/>
      <c r="SFS48" s="478"/>
      <c r="SFT48" s="478"/>
      <c r="SFU48" s="478"/>
      <c r="SFV48" s="478"/>
      <c r="SFW48" s="478"/>
      <c r="SFX48" s="478"/>
      <c r="SFY48" s="478"/>
      <c r="SFZ48" s="478"/>
      <c r="SGA48" s="478"/>
      <c r="SGB48" s="478"/>
      <c r="SGC48" s="478"/>
      <c r="SGD48" s="478"/>
      <c r="SGE48" s="478"/>
      <c r="SGF48" s="478"/>
      <c r="SGG48" s="478"/>
      <c r="SGH48" s="478"/>
      <c r="SGI48" s="478"/>
      <c r="SGJ48" s="478"/>
      <c r="SGK48" s="478"/>
      <c r="SGL48" s="478"/>
      <c r="SGM48" s="478"/>
      <c r="SGN48" s="478"/>
      <c r="SGO48" s="478"/>
      <c r="SGP48" s="478"/>
      <c r="SGQ48" s="478"/>
      <c r="SGR48" s="478"/>
      <c r="SGS48" s="478"/>
      <c r="SGT48" s="478"/>
      <c r="SGU48" s="478"/>
      <c r="SGV48" s="478"/>
      <c r="SGW48" s="478"/>
      <c r="SGX48" s="478"/>
      <c r="SGY48" s="478"/>
      <c r="SGZ48" s="478"/>
      <c r="SHA48" s="478"/>
      <c r="SHB48" s="478"/>
      <c r="SHC48" s="478"/>
      <c r="SHD48" s="478"/>
      <c r="SHE48" s="478"/>
      <c r="SHF48" s="478"/>
      <c r="SHG48" s="478"/>
      <c r="SHH48" s="478"/>
      <c r="SHI48" s="478"/>
      <c r="SHJ48" s="478"/>
      <c r="SHK48" s="478"/>
      <c r="SHL48" s="478"/>
      <c r="SHM48" s="478"/>
      <c r="SHN48" s="478"/>
      <c r="SHO48" s="478"/>
      <c r="SHP48" s="478"/>
      <c r="SHQ48" s="478"/>
      <c r="SHR48" s="478"/>
      <c r="SHS48" s="478"/>
      <c r="SHT48" s="478"/>
      <c r="SHU48" s="478"/>
      <c r="SHV48" s="478"/>
      <c r="SHW48" s="478"/>
      <c r="SHX48" s="478"/>
      <c r="SHY48" s="478"/>
      <c r="SHZ48" s="478"/>
      <c r="SIA48" s="478"/>
      <c r="SIB48" s="478"/>
      <c r="SIC48" s="478"/>
      <c r="SID48" s="478"/>
      <c r="SIE48" s="478"/>
      <c r="SIF48" s="478"/>
      <c r="SIG48" s="478"/>
      <c r="SIH48" s="478"/>
      <c r="SII48" s="478"/>
      <c r="SIJ48" s="478"/>
      <c r="SIK48" s="478"/>
      <c r="SIL48" s="478"/>
      <c r="SIM48" s="478"/>
      <c r="SIN48" s="478"/>
      <c r="SIO48" s="478"/>
      <c r="SIP48" s="478"/>
      <c r="SIQ48" s="478"/>
      <c r="SIR48" s="478"/>
      <c r="SIS48" s="478"/>
      <c r="SIT48" s="478"/>
      <c r="SIU48" s="478"/>
      <c r="SIV48" s="478"/>
      <c r="SIW48" s="478"/>
      <c r="SIX48" s="478"/>
      <c r="SIY48" s="478"/>
      <c r="SIZ48" s="478"/>
      <c r="SJA48" s="478"/>
      <c r="SJB48" s="478"/>
      <c r="SJC48" s="478"/>
      <c r="SJD48" s="478"/>
      <c r="SJE48" s="478"/>
      <c r="SJF48" s="478"/>
      <c r="SJG48" s="478"/>
      <c r="SJH48" s="478"/>
      <c r="SJI48" s="478"/>
      <c r="SJJ48" s="478"/>
      <c r="SJK48" s="478"/>
      <c r="SJL48" s="478"/>
      <c r="SJM48" s="478"/>
      <c r="SJN48" s="478"/>
      <c r="SJO48" s="478"/>
      <c r="SJP48" s="478"/>
      <c r="SJQ48" s="478"/>
      <c r="SJR48" s="478"/>
      <c r="SJS48" s="478"/>
      <c r="SJT48" s="478"/>
      <c r="SJU48" s="478"/>
      <c r="SJV48" s="478"/>
      <c r="SJW48" s="478"/>
      <c r="SJX48" s="478"/>
      <c r="SJY48" s="478"/>
      <c r="SJZ48" s="478"/>
      <c r="SKA48" s="478"/>
      <c r="SKB48" s="478"/>
      <c r="SKC48" s="478"/>
      <c r="SKD48" s="478"/>
      <c r="SKE48" s="478"/>
      <c r="SKF48" s="478"/>
      <c r="SKG48" s="478"/>
      <c r="SKH48" s="478"/>
      <c r="SKI48" s="478"/>
      <c r="SKJ48" s="478"/>
      <c r="SKK48" s="478"/>
      <c r="SKL48" s="478"/>
      <c r="SKM48" s="478"/>
      <c r="SKN48" s="478"/>
      <c r="SKO48" s="478"/>
      <c r="SKP48" s="478"/>
      <c r="SKQ48" s="478"/>
      <c r="SKR48" s="478"/>
      <c r="SKS48" s="478"/>
      <c r="SKT48" s="478"/>
      <c r="SKU48" s="478"/>
      <c r="SKV48" s="478"/>
      <c r="SKW48" s="478"/>
      <c r="SKX48" s="478"/>
      <c r="SKY48" s="478"/>
      <c r="SKZ48" s="478"/>
      <c r="SLA48" s="478"/>
      <c r="SLB48" s="478"/>
      <c r="SLC48" s="478"/>
      <c r="SLD48" s="478"/>
      <c r="SLE48" s="478"/>
      <c r="SLF48" s="478"/>
      <c r="SLG48" s="478"/>
      <c r="SLH48" s="478"/>
      <c r="SLI48" s="478"/>
      <c r="SLJ48" s="478"/>
      <c r="SLK48" s="478"/>
      <c r="SLL48" s="478"/>
      <c r="SLM48" s="478"/>
      <c r="SLN48" s="478"/>
      <c r="SLO48" s="478"/>
      <c r="SLP48" s="478"/>
      <c r="SLQ48" s="478"/>
      <c r="SLR48" s="478"/>
      <c r="SLS48" s="478"/>
      <c r="SLT48" s="478"/>
      <c r="SLU48" s="478"/>
      <c r="SLV48" s="478"/>
      <c r="SLW48" s="478"/>
      <c r="SLX48" s="478"/>
      <c r="SLY48" s="478"/>
      <c r="SLZ48" s="478"/>
      <c r="SMA48" s="478"/>
      <c r="SMB48" s="478"/>
      <c r="SMC48" s="478"/>
      <c r="SMD48" s="478"/>
      <c r="SME48" s="478"/>
      <c r="SMF48" s="478"/>
      <c r="SMG48" s="478"/>
      <c r="SMH48" s="478"/>
      <c r="SMI48" s="478"/>
      <c r="SMJ48" s="478"/>
      <c r="SMK48" s="478"/>
      <c r="SML48" s="478"/>
      <c r="SMM48" s="478"/>
      <c r="SMN48" s="478"/>
      <c r="SMO48" s="478"/>
      <c r="SMP48" s="478"/>
      <c r="SMQ48" s="478"/>
      <c r="SMR48" s="478"/>
      <c r="SMS48" s="478"/>
      <c r="SMT48" s="478"/>
      <c r="SMU48" s="478"/>
      <c r="SMV48" s="478"/>
      <c r="SMW48" s="478"/>
      <c r="SMX48" s="478"/>
      <c r="SMY48" s="478"/>
      <c r="SMZ48" s="478"/>
      <c r="SNA48" s="478"/>
      <c r="SNB48" s="478"/>
      <c r="SNC48" s="478"/>
      <c r="SND48" s="478"/>
      <c r="SNE48" s="478"/>
      <c r="SNF48" s="478"/>
      <c r="SNG48" s="478"/>
      <c r="SNH48" s="478"/>
      <c r="SNI48" s="478"/>
      <c r="SNJ48" s="478"/>
      <c r="SNK48" s="478"/>
      <c r="SNL48" s="478"/>
      <c r="SNM48" s="478"/>
      <c r="SNN48" s="478"/>
      <c r="SNO48" s="478"/>
      <c r="SNP48" s="478"/>
      <c r="SNQ48" s="478"/>
      <c r="SNR48" s="478"/>
      <c r="SNS48" s="478"/>
      <c r="SNT48" s="478"/>
      <c r="SNU48" s="478"/>
      <c r="SNV48" s="478"/>
      <c r="SNW48" s="478"/>
      <c r="SNX48" s="478"/>
      <c r="SNY48" s="478"/>
      <c r="SNZ48" s="478"/>
      <c r="SOA48" s="478"/>
      <c r="SOB48" s="478"/>
      <c r="SOC48" s="478"/>
      <c r="SOD48" s="478"/>
      <c r="SOE48" s="478"/>
      <c r="SOF48" s="478"/>
      <c r="SOG48" s="478"/>
      <c r="SOH48" s="478"/>
      <c r="SOI48" s="478"/>
      <c r="SOJ48" s="478"/>
      <c r="SOK48" s="478"/>
      <c r="SOL48" s="478"/>
      <c r="SOM48" s="478"/>
      <c r="SON48" s="478"/>
      <c r="SOO48" s="478"/>
      <c r="SOP48" s="478"/>
      <c r="SOQ48" s="478"/>
      <c r="SOR48" s="478"/>
      <c r="SOS48" s="478"/>
      <c r="SOT48" s="478"/>
      <c r="SOU48" s="478"/>
      <c r="SOV48" s="478"/>
      <c r="SOW48" s="478"/>
      <c r="SOX48" s="478"/>
      <c r="SOY48" s="478"/>
      <c r="SOZ48" s="478"/>
      <c r="SPA48" s="478"/>
      <c r="SPB48" s="478"/>
      <c r="SPC48" s="478"/>
      <c r="SPD48" s="478"/>
      <c r="SPE48" s="478"/>
      <c r="SPF48" s="478"/>
      <c r="SPG48" s="478"/>
      <c r="SPH48" s="478"/>
      <c r="SPI48" s="478"/>
      <c r="SPJ48" s="478"/>
      <c r="SPK48" s="478"/>
      <c r="SPL48" s="478"/>
      <c r="SPM48" s="478"/>
      <c r="SPN48" s="478"/>
      <c r="SPO48" s="478"/>
      <c r="SPP48" s="478"/>
      <c r="SPQ48" s="478"/>
      <c r="SPR48" s="478"/>
      <c r="SPS48" s="478"/>
      <c r="SPT48" s="478"/>
      <c r="SPU48" s="478"/>
      <c r="SPV48" s="478"/>
      <c r="SPW48" s="478"/>
      <c r="SPX48" s="478"/>
      <c r="SPY48" s="478"/>
      <c r="SPZ48" s="478"/>
      <c r="SQA48" s="478"/>
      <c r="SQB48" s="478"/>
      <c r="SQC48" s="478"/>
      <c r="SQD48" s="478"/>
      <c r="SQE48" s="478"/>
      <c r="SQF48" s="478"/>
      <c r="SQG48" s="478"/>
      <c r="SQH48" s="478"/>
      <c r="SQI48" s="478"/>
      <c r="SQJ48" s="478"/>
      <c r="SQK48" s="478"/>
      <c r="SQL48" s="478"/>
      <c r="SQM48" s="478"/>
      <c r="SQN48" s="478"/>
      <c r="SQO48" s="478"/>
      <c r="SQP48" s="478"/>
      <c r="SQQ48" s="478"/>
      <c r="SQR48" s="478"/>
      <c r="SQS48" s="478"/>
      <c r="SQT48" s="478"/>
      <c r="SQU48" s="478"/>
      <c r="SQV48" s="478"/>
      <c r="SQW48" s="478"/>
      <c r="SQX48" s="478"/>
      <c r="SQY48" s="478"/>
      <c r="SQZ48" s="478"/>
      <c r="SRA48" s="478"/>
      <c r="SRB48" s="478"/>
      <c r="SRC48" s="478"/>
      <c r="SRD48" s="478"/>
      <c r="SRE48" s="478"/>
      <c r="SRF48" s="478"/>
      <c r="SRG48" s="478"/>
      <c r="SRH48" s="478"/>
      <c r="SRI48" s="478"/>
      <c r="SRJ48" s="478"/>
      <c r="SRK48" s="478"/>
      <c r="SRL48" s="478"/>
      <c r="SRM48" s="478"/>
      <c r="SRN48" s="478"/>
      <c r="SRO48" s="478"/>
      <c r="SRP48" s="478"/>
      <c r="SRQ48" s="478"/>
      <c r="SRR48" s="478"/>
      <c r="SRS48" s="478"/>
      <c r="SRT48" s="478"/>
      <c r="SRU48" s="478"/>
      <c r="SRV48" s="478"/>
      <c r="SRW48" s="478"/>
      <c r="SRX48" s="478"/>
      <c r="SRY48" s="478"/>
      <c r="SRZ48" s="478"/>
      <c r="SSA48" s="478"/>
      <c r="SSB48" s="478"/>
      <c r="SSC48" s="478"/>
      <c r="SSD48" s="478"/>
      <c r="SSE48" s="478"/>
      <c r="SSF48" s="478"/>
      <c r="SSG48" s="478"/>
      <c r="SSH48" s="478"/>
      <c r="SSI48" s="478"/>
      <c r="SSJ48" s="478"/>
      <c r="SSK48" s="478"/>
      <c r="SSL48" s="478"/>
      <c r="SSM48" s="478"/>
      <c r="SSN48" s="478"/>
      <c r="SSO48" s="478"/>
      <c r="SSP48" s="478"/>
      <c r="SSQ48" s="478"/>
      <c r="SSR48" s="478"/>
      <c r="SSS48" s="478"/>
      <c r="SST48" s="478"/>
      <c r="SSU48" s="478"/>
      <c r="SSV48" s="478"/>
      <c r="SSW48" s="478"/>
      <c r="SSX48" s="478"/>
      <c r="SSY48" s="478"/>
      <c r="SSZ48" s="478"/>
      <c r="STA48" s="478"/>
      <c r="STB48" s="478"/>
      <c r="STC48" s="478"/>
      <c r="STD48" s="478"/>
      <c r="STE48" s="478"/>
      <c r="STF48" s="478"/>
      <c r="STG48" s="478"/>
      <c r="STH48" s="478"/>
      <c r="STI48" s="478"/>
      <c r="STJ48" s="478"/>
      <c r="STK48" s="478"/>
      <c r="STL48" s="478"/>
      <c r="STM48" s="478"/>
      <c r="STN48" s="478"/>
      <c r="STO48" s="478"/>
      <c r="STP48" s="478"/>
      <c r="STQ48" s="478"/>
      <c r="STR48" s="478"/>
      <c r="STS48" s="478"/>
      <c r="STT48" s="478"/>
      <c r="STU48" s="478"/>
      <c r="STV48" s="478"/>
      <c r="STW48" s="478"/>
      <c r="STX48" s="478"/>
      <c r="STY48" s="478"/>
      <c r="STZ48" s="478"/>
      <c r="SUA48" s="478"/>
      <c r="SUB48" s="478"/>
      <c r="SUC48" s="478"/>
      <c r="SUD48" s="478"/>
      <c r="SUE48" s="478"/>
      <c r="SUF48" s="478"/>
      <c r="SUG48" s="478"/>
      <c r="SUH48" s="478"/>
      <c r="SUI48" s="478"/>
      <c r="SUJ48" s="478"/>
      <c r="SUK48" s="478"/>
      <c r="SUL48" s="478"/>
      <c r="SUM48" s="478"/>
      <c r="SUN48" s="478"/>
      <c r="SUO48" s="478"/>
      <c r="SUP48" s="478"/>
      <c r="SUQ48" s="478"/>
      <c r="SUR48" s="478"/>
      <c r="SUS48" s="478"/>
      <c r="SUT48" s="478"/>
      <c r="SUU48" s="478"/>
      <c r="SUV48" s="478"/>
      <c r="SUW48" s="478"/>
      <c r="SUX48" s="478"/>
      <c r="SUY48" s="478"/>
      <c r="SUZ48" s="478"/>
      <c r="SVA48" s="478"/>
      <c r="SVB48" s="478"/>
      <c r="SVC48" s="478"/>
      <c r="SVD48" s="478"/>
      <c r="SVE48" s="478"/>
      <c r="SVF48" s="478"/>
      <c r="SVG48" s="478"/>
      <c r="SVH48" s="478"/>
      <c r="SVI48" s="478"/>
      <c r="SVJ48" s="478"/>
      <c r="SVK48" s="478"/>
      <c r="SVL48" s="478"/>
      <c r="SVM48" s="478"/>
      <c r="SVN48" s="478"/>
      <c r="SVO48" s="478"/>
      <c r="SVP48" s="478"/>
      <c r="SVQ48" s="478"/>
      <c r="SVR48" s="478"/>
      <c r="SVS48" s="478"/>
      <c r="SVT48" s="478"/>
      <c r="SVU48" s="478"/>
      <c r="SVV48" s="478"/>
      <c r="SVW48" s="478"/>
      <c r="SVX48" s="478"/>
      <c r="SVY48" s="478"/>
      <c r="SVZ48" s="478"/>
      <c r="SWA48" s="478"/>
      <c r="SWB48" s="478"/>
      <c r="SWC48" s="478"/>
      <c r="SWD48" s="478"/>
      <c r="SWE48" s="478"/>
      <c r="SWF48" s="478"/>
      <c r="SWG48" s="478"/>
      <c r="SWH48" s="478"/>
      <c r="SWI48" s="478"/>
      <c r="SWJ48" s="478"/>
      <c r="SWK48" s="478"/>
      <c r="SWL48" s="478"/>
      <c r="SWM48" s="478"/>
      <c r="SWN48" s="478"/>
      <c r="SWO48" s="478"/>
      <c r="SWP48" s="478"/>
      <c r="SWQ48" s="478"/>
      <c r="SWR48" s="478"/>
      <c r="SWS48" s="478"/>
      <c r="SWT48" s="478"/>
      <c r="SWU48" s="478"/>
      <c r="SWV48" s="478"/>
      <c r="SWW48" s="478"/>
      <c r="SWX48" s="478"/>
      <c r="SWY48" s="478"/>
      <c r="SWZ48" s="478"/>
      <c r="SXA48" s="478"/>
      <c r="SXB48" s="478"/>
      <c r="SXC48" s="478"/>
      <c r="SXD48" s="478"/>
      <c r="SXE48" s="478"/>
      <c r="SXF48" s="478"/>
      <c r="SXG48" s="478"/>
      <c r="SXH48" s="478"/>
      <c r="SXI48" s="478"/>
      <c r="SXJ48" s="478"/>
      <c r="SXK48" s="478"/>
      <c r="SXL48" s="478"/>
      <c r="SXM48" s="478"/>
      <c r="SXN48" s="478"/>
      <c r="SXO48" s="478"/>
      <c r="SXP48" s="478"/>
      <c r="SXQ48" s="478"/>
      <c r="SXR48" s="478"/>
      <c r="SXS48" s="478"/>
      <c r="SXT48" s="478"/>
      <c r="SXU48" s="478"/>
      <c r="SXV48" s="478"/>
      <c r="SXW48" s="478"/>
      <c r="SXX48" s="478"/>
      <c r="SXY48" s="478"/>
      <c r="SXZ48" s="478"/>
      <c r="SYA48" s="478"/>
      <c r="SYB48" s="478"/>
      <c r="SYC48" s="478"/>
      <c r="SYD48" s="478"/>
      <c r="SYE48" s="478"/>
      <c r="SYF48" s="478"/>
      <c r="SYG48" s="478"/>
      <c r="SYH48" s="478"/>
      <c r="SYI48" s="478"/>
      <c r="SYJ48" s="478"/>
      <c r="SYK48" s="478"/>
      <c r="SYL48" s="478"/>
      <c r="SYM48" s="478"/>
      <c r="SYN48" s="478"/>
      <c r="SYO48" s="478"/>
      <c r="SYP48" s="478"/>
      <c r="SYQ48" s="478"/>
      <c r="SYR48" s="478"/>
      <c r="SYS48" s="478"/>
      <c r="SYT48" s="478"/>
      <c r="SYU48" s="478"/>
      <c r="SYV48" s="478"/>
      <c r="SYW48" s="478"/>
      <c r="SYX48" s="478"/>
      <c r="SYY48" s="478"/>
      <c r="SYZ48" s="478"/>
      <c r="SZA48" s="478"/>
      <c r="SZB48" s="478"/>
      <c r="SZC48" s="478"/>
      <c r="SZD48" s="478"/>
      <c r="SZE48" s="478"/>
      <c r="SZF48" s="478"/>
      <c r="SZG48" s="478"/>
      <c r="SZH48" s="478"/>
      <c r="SZI48" s="478"/>
      <c r="SZJ48" s="478"/>
      <c r="SZK48" s="478"/>
      <c r="SZL48" s="478"/>
      <c r="SZM48" s="478"/>
      <c r="SZN48" s="478"/>
      <c r="SZO48" s="478"/>
      <c r="SZP48" s="478"/>
      <c r="SZQ48" s="478"/>
      <c r="SZR48" s="478"/>
      <c r="SZS48" s="478"/>
      <c r="SZT48" s="478"/>
      <c r="SZU48" s="478"/>
      <c r="SZV48" s="478"/>
      <c r="SZW48" s="478"/>
      <c r="SZX48" s="478"/>
      <c r="SZY48" s="478"/>
      <c r="SZZ48" s="478"/>
      <c r="TAA48" s="478"/>
      <c r="TAB48" s="478"/>
      <c r="TAC48" s="478"/>
      <c r="TAD48" s="478"/>
      <c r="TAE48" s="478"/>
      <c r="TAF48" s="478"/>
      <c r="TAG48" s="478"/>
      <c r="TAH48" s="478"/>
      <c r="TAI48" s="478"/>
      <c r="TAJ48" s="478"/>
      <c r="TAK48" s="478"/>
      <c r="TAL48" s="478"/>
      <c r="TAM48" s="478"/>
      <c r="TAN48" s="478"/>
      <c r="TAO48" s="478"/>
      <c r="TAP48" s="478"/>
      <c r="TAQ48" s="478"/>
      <c r="TAR48" s="478"/>
      <c r="TAS48" s="478"/>
      <c r="TAT48" s="478"/>
      <c r="TAU48" s="478"/>
      <c r="TAV48" s="478"/>
      <c r="TAW48" s="478"/>
      <c r="TAX48" s="478"/>
      <c r="TAY48" s="478"/>
      <c r="TAZ48" s="478"/>
      <c r="TBA48" s="478"/>
      <c r="TBB48" s="478"/>
      <c r="TBC48" s="478"/>
      <c r="TBD48" s="478"/>
      <c r="TBE48" s="478"/>
      <c r="TBF48" s="478"/>
      <c r="TBG48" s="478"/>
      <c r="TBH48" s="478"/>
      <c r="TBI48" s="478"/>
      <c r="TBJ48" s="478"/>
      <c r="TBK48" s="478"/>
      <c r="TBL48" s="478"/>
      <c r="TBM48" s="478"/>
      <c r="TBN48" s="478"/>
      <c r="TBO48" s="478"/>
      <c r="TBP48" s="478"/>
      <c r="TBQ48" s="478"/>
      <c r="TBR48" s="478"/>
      <c r="TBS48" s="478"/>
      <c r="TBT48" s="478"/>
      <c r="TBU48" s="478"/>
      <c r="TBV48" s="478"/>
      <c r="TBW48" s="478"/>
      <c r="TBX48" s="478"/>
      <c r="TBY48" s="478"/>
      <c r="TBZ48" s="478"/>
      <c r="TCA48" s="478"/>
      <c r="TCB48" s="478"/>
      <c r="TCC48" s="478"/>
      <c r="TCD48" s="478"/>
      <c r="TCE48" s="478"/>
      <c r="TCF48" s="478"/>
      <c r="TCG48" s="478"/>
      <c r="TCH48" s="478"/>
      <c r="TCI48" s="478"/>
      <c r="TCJ48" s="478"/>
      <c r="TCK48" s="478"/>
      <c r="TCL48" s="478"/>
      <c r="TCM48" s="478"/>
      <c r="TCN48" s="478"/>
      <c r="TCO48" s="478"/>
      <c r="TCP48" s="478"/>
      <c r="TCQ48" s="478"/>
      <c r="TCR48" s="478"/>
      <c r="TCS48" s="478"/>
      <c r="TCT48" s="478"/>
      <c r="TCU48" s="478"/>
      <c r="TCV48" s="478"/>
      <c r="TCW48" s="478"/>
      <c r="TCX48" s="478"/>
      <c r="TCY48" s="478"/>
      <c r="TCZ48" s="478"/>
      <c r="TDA48" s="478"/>
      <c r="TDB48" s="478"/>
      <c r="TDC48" s="478"/>
      <c r="TDD48" s="478"/>
      <c r="TDE48" s="478"/>
      <c r="TDF48" s="478"/>
      <c r="TDG48" s="478"/>
      <c r="TDH48" s="478"/>
      <c r="TDI48" s="478"/>
      <c r="TDJ48" s="478"/>
      <c r="TDK48" s="478"/>
      <c r="TDL48" s="478"/>
      <c r="TDM48" s="478"/>
      <c r="TDN48" s="478"/>
      <c r="TDO48" s="478"/>
      <c r="TDP48" s="478"/>
      <c r="TDQ48" s="478"/>
      <c r="TDR48" s="478"/>
      <c r="TDS48" s="478"/>
      <c r="TDT48" s="478"/>
      <c r="TDU48" s="478"/>
      <c r="TDV48" s="478"/>
      <c r="TDW48" s="478"/>
      <c r="TDX48" s="478"/>
      <c r="TDY48" s="478"/>
      <c r="TDZ48" s="478"/>
      <c r="TEA48" s="478"/>
      <c r="TEB48" s="478"/>
      <c r="TEC48" s="478"/>
      <c r="TED48" s="478"/>
      <c r="TEE48" s="478"/>
      <c r="TEF48" s="478"/>
      <c r="TEG48" s="478"/>
      <c r="TEH48" s="478"/>
      <c r="TEI48" s="478"/>
      <c r="TEJ48" s="478"/>
      <c r="TEK48" s="478"/>
      <c r="TEL48" s="478"/>
      <c r="TEM48" s="478"/>
      <c r="TEN48" s="478"/>
      <c r="TEO48" s="478"/>
      <c r="TEP48" s="478"/>
      <c r="TEQ48" s="478"/>
      <c r="TER48" s="478"/>
      <c r="TES48" s="478"/>
      <c r="TET48" s="478"/>
      <c r="TEU48" s="478"/>
      <c r="TEV48" s="478"/>
      <c r="TEW48" s="478"/>
      <c r="TEX48" s="478"/>
      <c r="TEY48" s="478"/>
      <c r="TEZ48" s="478"/>
      <c r="TFA48" s="478"/>
      <c r="TFB48" s="478"/>
      <c r="TFC48" s="478"/>
      <c r="TFD48" s="478"/>
      <c r="TFE48" s="478"/>
      <c r="TFF48" s="478"/>
      <c r="TFG48" s="478"/>
      <c r="TFH48" s="478"/>
      <c r="TFI48" s="478"/>
      <c r="TFJ48" s="478"/>
      <c r="TFK48" s="478"/>
      <c r="TFL48" s="478"/>
      <c r="TFM48" s="478"/>
      <c r="TFN48" s="478"/>
      <c r="TFO48" s="478"/>
      <c r="TFP48" s="478"/>
      <c r="TFQ48" s="478"/>
      <c r="TFR48" s="478"/>
      <c r="TFS48" s="478"/>
      <c r="TFT48" s="478"/>
      <c r="TFU48" s="478"/>
      <c r="TFV48" s="478"/>
      <c r="TFW48" s="478"/>
      <c r="TFX48" s="478"/>
      <c r="TFY48" s="478"/>
      <c r="TFZ48" s="478"/>
      <c r="TGA48" s="478"/>
      <c r="TGB48" s="478"/>
      <c r="TGC48" s="478"/>
      <c r="TGD48" s="478"/>
      <c r="TGE48" s="478"/>
      <c r="TGF48" s="478"/>
      <c r="TGG48" s="478"/>
      <c r="TGH48" s="478"/>
      <c r="TGI48" s="478"/>
      <c r="TGJ48" s="478"/>
      <c r="TGK48" s="478"/>
      <c r="TGL48" s="478"/>
      <c r="TGM48" s="478"/>
      <c r="TGN48" s="478"/>
      <c r="TGO48" s="478"/>
      <c r="TGP48" s="478"/>
      <c r="TGQ48" s="478"/>
      <c r="TGR48" s="478"/>
      <c r="TGS48" s="478"/>
      <c r="TGT48" s="478"/>
      <c r="TGU48" s="478"/>
      <c r="TGV48" s="478"/>
      <c r="TGW48" s="478"/>
      <c r="TGX48" s="478"/>
      <c r="TGY48" s="478"/>
      <c r="TGZ48" s="478"/>
      <c r="THA48" s="478"/>
      <c r="THB48" s="478"/>
      <c r="THC48" s="478"/>
      <c r="THD48" s="478"/>
      <c r="THE48" s="478"/>
      <c r="THF48" s="478"/>
      <c r="THG48" s="478"/>
      <c r="THH48" s="478"/>
      <c r="THI48" s="478"/>
      <c r="THJ48" s="478"/>
      <c r="THK48" s="478"/>
      <c r="THL48" s="478"/>
      <c r="THM48" s="478"/>
      <c r="THN48" s="478"/>
      <c r="THO48" s="478"/>
      <c r="THP48" s="478"/>
      <c r="THQ48" s="478"/>
      <c r="THR48" s="478"/>
      <c r="THS48" s="478"/>
      <c r="THT48" s="478"/>
      <c r="THU48" s="478"/>
      <c r="THV48" s="478"/>
      <c r="THW48" s="478"/>
      <c r="THX48" s="478"/>
      <c r="THY48" s="478"/>
      <c r="THZ48" s="478"/>
      <c r="TIA48" s="478"/>
      <c r="TIB48" s="478"/>
      <c r="TIC48" s="478"/>
      <c r="TID48" s="478"/>
      <c r="TIE48" s="478"/>
      <c r="TIF48" s="478"/>
      <c r="TIG48" s="478"/>
      <c r="TIH48" s="478"/>
      <c r="TII48" s="478"/>
      <c r="TIJ48" s="478"/>
      <c r="TIK48" s="478"/>
      <c r="TIL48" s="478"/>
      <c r="TIM48" s="478"/>
      <c r="TIN48" s="478"/>
      <c r="TIO48" s="478"/>
      <c r="TIP48" s="478"/>
      <c r="TIQ48" s="478"/>
      <c r="TIR48" s="478"/>
      <c r="TIS48" s="478"/>
      <c r="TIT48" s="478"/>
      <c r="TIU48" s="478"/>
      <c r="TIV48" s="478"/>
      <c r="TIW48" s="478"/>
      <c r="TIX48" s="478"/>
      <c r="TIY48" s="478"/>
      <c r="TIZ48" s="478"/>
      <c r="TJA48" s="478"/>
      <c r="TJB48" s="478"/>
      <c r="TJC48" s="478"/>
      <c r="TJD48" s="478"/>
      <c r="TJE48" s="478"/>
      <c r="TJF48" s="478"/>
      <c r="TJG48" s="478"/>
      <c r="TJH48" s="478"/>
      <c r="TJI48" s="478"/>
      <c r="TJJ48" s="478"/>
      <c r="TJK48" s="478"/>
      <c r="TJL48" s="478"/>
      <c r="TJM48" s="478"/>
      <c r="TJN48" s="478"/>
      <c r="TJO48" s="478"/>
      <c r="TJP48" s="478"/>
      <c r="TJQ48" s="478"/>
      <c r="TJR48" s="478"/>
      <c r="TJS48" s="478"/>
      <c r="TJT48" s="478"/>
      <c r="TJU48" s="478"/>
      <c r="TJV48" s="478"/>
      <c r="TJW48" s="478"/>
      <c r="TJX48" s="478"/>
      <c r="TJY48" s="478"/>
      <c r="TJZ48" s="478"/>
      <c r="TKA48" s="478"/>
      <c r="TKB48" s="478"/>
      <c r="TKC48" s="478"/>
      <c r="TKD48" s="478"/>
      <c r="TKE48" s="478"/>
      <c r="TKF48" s="478"/>
      <c r="TKG48" s="478"/>
      <c r="TKH48" s="478"/>
      <c r="TKI48" s="478"/>
      <c r="TKJ48" s="478"/>
      <c r="TKK48" s="478"/>
      <c r="TKL48" s="478"/>
      <c r="TKM48" s="478"/>
      <c r="TKN48" s="478"/>
      <c r="TKO48" s="478"/>
      <c r="TKP48" s="478"/>
      <c r="TKQ48" s="478"/>
      <c r="TKR48" s="478"/>
      <c r="TKS48" s="478"/>
      <c r="TKT48" s="478"/>
      <c r="TKU48" s="478"/>
      <c r="TKV48" s="478"/>
      <c r="TKW48" s="478"/>
      <c r="TKX48" s="478"/>
      <c r="TKY48" s="478"/>
      <c r="TKZ48" s="478"/>
      <c r="TLA48" s="478"/>
      <c r="TLB48" s="478"/>
      <c r="TLC48" s="478"/>
      <c r="TLD48" s="478"/>
      <c r="TLE48" s="478"/>
      <c r="TLF48" s="478"/>
      <c r="TLG48" s="478"/>
      <c r="TLH48" s="478"/>
      <c r="TLI48" s="478"/>
      <c r="TLJ48" s="478"/>
      <c r="TLK48" s="478"/>
      <c r="TLL48" s="478"/>
      <c r="TLM48" s="478"/>
      <c r="TLN48" s="478"/>
      <c r="TLO48" s="478"/>
      <c r="TLP48" s="478"/>
      <c r="TLQ48" s="478"/>
      <c r="TLR48" s="478"/>
      <c r="TLS48" s="478"/>
      <c r="TLT48" s="478"/>
      <c r="TLU48" s="478"/>
      <c r="TLV48" s="478"/>
      <c r="TLW48" s="478"/>
      <c r="TLX48" s="478"/>
      <c r="TLY48" s="478"/>
      <c r="TLZ48" s="478"/>
      <c r="TMA48" s="478"/>
      <c r="TMB48" s="478"/>
      <c r="TMC48" s="478"/>
      <c r="TMD48" s="478"/>
      <c r="TME48" s="478"/>
      <c r="TMF48" s="478"/>
      <c r="TMG48" s="478"/>
      <c r="TMH48" s="478"/>
      <c r="TMI48" s="478"/>
      <c r="TMJ48" s="478"/>
      <c r="TMK48" s="478"/>
      <c r="TML48" s="478"/>
      <c r="TMM48" s="478"/>
      <c r="TMN48" s="478"/>
      <c r="TMO48" s="478"/>
      <c r="TMP48" s="478"/>
      <c r="TMQ48" s="478"/>
      <c r="TMR48" s="478"/>
      <c r="TMS48" s="478"/>
      <c r="TMT48" s="478"/>
      <c r="TMU48" s="478"/>
      <c r="TMV48" s="478"/>
      <c r="TMW48" s="478"/>
      <c r="TMX48" s="478"/>
      <c r="TMY48" s="478"/>
      <c r="TMZ48" s="478"/>
      <c r="TNA48" s="478"/>
      <c r="TNB48" s="478"/>
      <c r="TNC48" s="478"/>
      <c r="TND48" s="478"/>
      <c r="TNE48" s="478"/>
      <c r="TNF48" s="478"/>
      <c r="TNG48" s="478"/>
      <c r="TNH48" s="478"/>
      <c r="TNI48" s="478"/>
      <c r="TNJ48" s="478"/>
      <c r="TNK48" s="478"/>
      <c r="TNL48" s="478"/>
      <c r="TNM48" s="478"/>
      <c r="TNN48" s="478"/>
      <c r="TNO48" s="478"/>
      <c r="TNP48" s="478"/>
      <c r="TNQ48" s="478"/>
      <c r="TNR48" s="478"/>
      <c r="TNS48" s="478"/>
      <c r="TNT48" s="478"/>
      <c r="TNU48" s="478"/>
      <c r="TNV48" s="478"/>
      <c r="TNW48" s="478"/>
      <c r="TNX48" s="478"/>
      <c r="TNY48" s="478"/>
      <c r="TNZ48" s="478"/>
      <c r="TOA48" s="478"/>
      <c r="TOB48" s="478"/>
      <c r="TOC48" s="478"/>
      <c r="TOD48" s="478"/>
      <c r="TOE48" s="478"/>
      <c r="TOF48" s="478"/>
      <c r="TOG48" s="478"/>
      <c r="TOH48" s="478"/>
      <c r="TOI48" s="478"/>
      <c r="TOJ48" s="478"/>
      <c r="TOK48" s="478"/>
      <c r="TOL48" s="478"/>
      <c r="TOM48" s="478"/>
      <c r="TON48" s="478"/>
      <c r="TOO48" s="478"/>
      <c r="TOP48" s="478"/>
      <c r="TOQ48" s="478"/>
      <c r="TOR48" s="478"/>
      <c r="TOS48" s="478"/>
      <c r="TOT48" s="478"/>
      <c r="TOU48" s="478"/>
      <c r="TOV48" s="478"/>
      <c r="TOW48" s="478"/>
      <c r="TOX48" s="478"/>
      <c r="TOY48" s="478"/>
      <c r="TOZ48" s="478"/>
      <c r="TPA48" s="478"/>
      <c r="TPB48" s="478"/>
      <c r="TPC48" s="478"/>
      <c r="TPD48" s="478"/>
      <c r="TPE48" s="478"/>
      <c r="TPF48" s="478"/>
      <c r="TPG48" s="478"/>
      <c r="TPH48" s="478"/>
      <c r="TPI48" s="478"/>
      <c r="TPJ48" s="478"/>
      <c r="TPK48" s="478"/>
      <c r="TPL48" s="478"/>
      <c r="TPM48" s="478"/>
      <c r="TPN48" s="478"/>
      <c r="TPO48" s="478"/>
      <c r="TPP48" s="478"/>
      <c r="TPQ48" s="478"/>
      <c r="TPR48" s="478"/>
      <c r="TPS48" s="478"/>
      <c r="TPT48" s="478"/>
      <c r="TPU48" s="478"/>
      <c r="TPV48" s="478"/>
      <c r="TPW48" s="478"/>
      <c r="TPX48" s="478"/>
      <c r="TPY48" s="478"/>
      <c r="TPZ48" s="478"/>
      <c r="TQA48" s="478"/>
      <c r="TQB48" s="478"/>
      <c r="TQC48" s="478"/>
      <c r="TQD48" s="478"/>
      <c r="TQE48" s="478"/>
      <c r="TQF48" s="478"/>
      <c r="TQG48" s="478"/>
      <c r="TQH48" s="478"/>
      <c r="TQI48" s="478"/>
      <c r="TQJ48" s="478"/>
      <c r="TQK48" s="478"/>
      <c r="TQL48" s="478"/>
      <c r="TQM48" s="478"/>
      <c r="TQN48" s="478"/>
      <c r="TQO48" s="478"/>
      <c r="TQP48" s="478"/>
      <c r="TQQ48" s="478"/>
      <c r="TQR48" s="478"/>
      <c r="TQS48" s="478"/>
      <c r="TQT48" s="478"/>
      <c r="TQU48" s="478"/>
      <c r="TQV48" s="478"/>
      <c r="TQW48" s="478"/>
      <c r="TQX48" s="478"/>
      <c r="TQY48" s="478"/>
      <c r="TQZ48" s="478"/>
      <c r="TRA48" s="478"/>
      <c r="TRB48" s="478"/>
      <c r="TRC48" s="478"/>
      <c r="TRD48" s="478"/>
      <c r="TRE48" s="478"/>
      <c r="TRF48" s="478"/>
      <c r="TRG48" s="478"/>
      <c r="TRH48" s="478"/>
      <c r="TRI48" s="478"/>
      <c r="TRJ48" s="478"/>
      <c r="TRK48" s="478"/>
      <c r="TRL48" s="478"/>
      <c r="TRM48" s="478"/>
      <c r="TRN48" s="478"/>
      <c r="TRO48" s="478"/>
      <c r="TRP48" s="478"/>
      <c r="TRQ48" s="478"/>
      <c r="TRR48" s="478"/>
      <c r="TRS48" s="478"/>
      <c r="TRT48" s="478"/>
      <c r="TRU48" s="478"/>
      <c r="TRV48" s="478"/>
      <c r="TRW48" s="478"/>
      <c r="TRX48" s="478"/>
      <c r="TRY48" s="478"/>
      <c r="TRZ48" s="478"/>
      <c r="TSA48" s="478"/>
      <c r="TSB48" s="478"/>
      <c r="TSC48" s="478"/>
      <c r="TSD48" s="478"/>
      <c r="TSE48" s="478"/>
      <c r="TSF48" s="478"/>
      <c r="TSG48" s="478"/>
      <c r="TSH48" s="478"/>
      <c r="TSI48" s="478"/>
      <c r="TSJ48" s="478"/>
      <c r="TSK48" s="478"/>
      <c r="TSL48" s="478"/>
      <c r="TSM48" s="478"/>
      <c r="TSN48" s="478"/>
      <c r="TSO48" s="478"/>
      <c r="TSP48" s="478"/>
      <c r="TSQ48" s="478"/>
      <c r="TSR48" s="478"/>
      <c r="TSS48" s="478"/>
      <c r="TST48" s="478"/>
      <c r="TSU48" s="478"/>
      <c r="TSV48" s="478"/>
      <c r="TSW48" s="478"/>
      <c r="TSX48" s="478"/>
      <c r="TSY48" s="478"/>
      <c r="TSZ48" s="478"/>
      <c r="TTA48" s="478"/>
      <c r="TTB48" s="478"/>
      <c r="TTC48" s="478"/>
      <c r="TTD48" s="478"/>
      <c r="TTE48" s="478"/>
      <c r="TTF48" s="478"/>
      <c r="TTG48" s="478"/>
      <c r="TTH48" s="478"/>
      <c r="TTI48" s="478"/>
      <c r="TTJ48" s="478"/>
      <c r="TTK48" s="478"/>
      <c r="TTL48" s="478"/>
      <c r="TTM48" s="478"/>
      <c r="TTN48" s="478"/>
      <c r="TTO48" s="478"/>
      <c r="TTP48" s="478"/>
      <c r="TTQ48" s="478"/>
      <c r="TTR48" s="478"/>
      <c r="TTS48" s="478"/>
      <c r="TTT48" s="478"/>
      <c r="TTU48" s="478"/>
      <c r="TTV48" s="478"/>
      <c r="TTW48" s="478"/>
      <c r="TTX48" s="478"/>
      <c r="TTY48" s="478"/>
      <c r="TTZ48" s="478"/>
      <c r="TUA48" s="478"/>
      <c r="TUB48" s="478"/>
      <c r="TUC48" s="478"/>
      <c r="TUD48" s="478"/>
      <c r="TUE48" s="478"/>
      <c r="TUF48" s="478"/>
      <c r="TUG48" s="478"/>
      <c r="TUH48" s="478"/>
      <c r="TUI48" s="478"/>
      <c r="TUJ48" s="478"/>
      <c r="TUK48" s="478"/>
      <c r="TUL48" s="478"/>
      <c r="TUM48" s="478"/>
      <c r="TUN48" s="478"/>
      <c r="TUO48" s="478"/>
      <c r="TUP48" s="478"/>
      <c r="TUQ48" s="478"/>
      <c r="TUR48" s="478"/>
      <c r="TUS48" s="478"/>
      <c r="TUT48" s="478"/>
      <c r="TUU48" s="478"/>
      <c r="TUV48" s="478"/>
      <c r="TUW48" s="478"/>
      <c r="TUX48" s="478"/>
      <c r="TUY48" s="478"/>
      <c r="TUZ48" s="478"/>
      <c r="TVA48" s="478"/>
      <c r="TVB48" s="478"/>
      <c r="TVC48" s="478"/>
      <c r="TVD48" s="478"/>
      <c r="TVE48" s="478"/>
      <c r="TVF48" s="478"/>
      <c r="TVG48" s="478"/>
      <c r="TVH48" s="478"/>
      <c r="TVI48" s="478"/>
      <c r="TVJ48" s="478"/>
      <c r="TVK48" s="478"/>
      <c r="TVL48" s="478"/>
      <c r="TVM48" s="478"/>
      <c r="TVN48" s="478"/>
      <c r="TVO48" s="478"/>
      <c r="TVP48" s="478"/>
      <c r="TVQ48" s="478"/>
      <c r="TVR48" s="478"/>
      <c r="TVS48" s="478"/>
      <c r="TVT48" s="478"/>
      <c r="TVU48" s="478"/>
      <c r="TVV48" s="478"/>
      <c r="TVW48" s="478"/>
      <c r="TVX48" s="478"/>
      <c r="TVY48" s="478"/>
      <c r="TVZ48" s="478"/>
      <c r="TWA48" s="478"/>
      <c r="TWB48" s="478"/>
      <c r="TWC48" s="478"/>
      <c r="TWD48" s="478"/>
      <c r="TWE48" s="478"/>
      <c r="TWF48" s="478"/>
      <c r="TWG48" s="478"/>
      <c r="TWH48" s="478"/>
      <c r="TWI48" s="478"/>
      <c r="TWJ48" s="478"/>
      <c r="TWK48" s="478"/>
      <c r="TWL48" s="478"/>
      <c r="TWM48" s="478"/>
      <c r="TWN48" s="478"/>
      <c r="TWO48" s="478"/>
      <c r="TWP48" s="478"/>
      <c r="TWQ48" s="478"/>
      <c r="TWR48" s="478"/>
      <c r="TWS48" s="478"/>
      <c r="TWT48" s="478"/>
      <c r="TWU48" s="478"/>
      <c r="TWV48" s="478"/>
      <c r="TWW48" s="478"/>
      <c r="TWX48" s="478"/>
      <c r="TWY48" s="478"/>
      <c r="TWZ48" s="478"/>
      <c r="TXA48" s="478"/>
      <c r="TXB48" s="478"/>
      <c r="TXC48" s="478"/>
      <c r="TXD48" s="478"/>
      <c r="TXE48" s="478"/>
      <c r="TXF48" s="478"/>
      <c r="TXG48" s="478"/>
      <c r="TXH48" s="478"/>
      <c r="TXI48" s="478"/>
      <c r="TXJ48" s="478"/>
      <c r="TXK48" s="478"/>
      <c r="TXL48" s="478"/>
      <c r="TXM48" s="478"/>
      <c r="TXN48" s="478"/>
      <c r="TXO48" s="478"/>
      <c r="TXP48" s="478"/>
      <c r="TXQ48" s="478"/>
      <c r="TXR48" s="478"/>
      <c r="TXS48" s="478"/>
      <c r="TXT48" s="478"/>
      <c r="TXU48" s="478"/>
      <c r="TXV48" s="478"/>
      <c r="TXW48" s="478"/>
      <c r="TXX48" s="478"/>
      <c r="TXY48" s="478"/>
      <c r="TXZ48" s="478"/>
      <c r="TYA48" s="478"/>
      <c r="TYB48" s="478"/>
      <c r="TYC48" s="478"/>
      <c r="TYD48" s="478"/>
      <c r="TYE48" s="478"/>
      <c r="TYF48" s="478"/>
      <c r="TYG48" s="478"/>
      <c r="TYH48" s="478"/>
      <c r="TYI48" s="478"/>
      <c r="TYJ48" s="478"/>
      <c r="TYK48" s="478"/>
      <c r="TYL48" s="478"/>
      <c r="TYM48" s="478"/>
      <c r="TYN48" s="478"/>
      <c r="TYO48" s="478"/>
      <c r="TYP48" s="478"/>
      <c r="TYQ48" s="478"/>
      <c r="TYR48" s="478"/>
      <c r="TYS48" s="478"/>
      <c r="TYT48" s="478"/>
      <c r="TYU48" s="478"/>
      <c r="TYV48" s="478"/>
      <c r="TYW48" s="478"/>
      <c r="TYX48" s="478"/>
      <c r="TYY48" s="478"/>
      <c r="TYZ48" s="478"/>
      <c r="TZA48" s="478"/>
      <c r="TZB48" s="478"/>
      <c r="TZC48" s="478"/>
      <c r="TZD48" s="478"/>
      <c r="TZE48" s="478"/>
      <c r="TZF48" s="478"/>
      <c r="TZG48" s="478"/>
      <c r="TZH48" s="478"/>
      <c r="TZI48" s="478"/>
      <c r="TZJ48" s="478"/>
      <c r="TZK48" s="478"/>
      <c r="TZL48" s="478"/>
      <c r="TZM48" s="478"/>
      <c r="TZN48" s="478"/>
      <c r="TZO48" s="478"/>
      <c r="TZP48" s="478"/>
      <c r="TZQ48" s="478"/>
      <c r="TZR48" s="478"/>
      <c r="TZS48" s="478"/>
      <c r="TZT48" s="478"/>
      <c r="TZU48" s="478"/>
      <c r="TZV48" s="478"/>
      <c r="TZW48" s="478"/>
      <c r="TZX48" s="478"/>
      <c r="TZY48" s="478"/>
      <c r="TZZ48" s="478"/>
      <c r="UAA48" s="478"/>
      <c r="UAB48" s="478"/>
      <c r="UAC48" s="478"/>
      <c r="UAD48" s="478"/>
      <c r="UAE48" s="478"/>
      <c r="UAF48" s="478"/>
      <c r="UAG48" s="478"/>
      <c r="UAH48" s="478"/>
      <c r="UAI48" s="478"/>
      <c r="UAJ48" s="478"/>
      <c r="UAK48" s="478"/>
      <c r="UAL48" s="478"/>
      <c r="UAM48" s="478"/>
      <c r="UAN48" s="478"/>
      <c r="UAO48" s="478"/>
      <c r="UAP48" s="478"/>
      <c r="UAQ48" s="478"/>
      <c r="UAR48" s="478"/>
      <c r="UAS48" s="478"/>
      <c r="UAT48" s="478"/>
      <c r="UAU48" s="478"/>
      <c r="UAV48" s="478"/>
      <c r="UAW48" s="478"/>
      <c r="UAX48" s="478"/>
      <c r="UAY48" s="478"/>
      <c r="UAZ48" s="478"/>
      <c r="UBA48" s="478"/>
      <c r="UBB48" s="478"/>
      <c r="UBC48" s="478"/>
      <c r="UBD48" s="478"/>
      <c r="UBE48" s="478"/>
      <c r="UBF48" s="478"/>
      <c r="UBG48" s="478"/>
      <c r="UBH48" s="478"/>
      <c r="UBI48" s="478"/>
      <c r="UBJ48" s="478"/>
      <c r="UBK48" s="478"/>
      <c r="UBL48" s="478"/>
      <c r="UBM48" s="478"/>
      <c r="UBN48" s="478"/>
      <c r="UBO48" s="478"/>
      <c r="UBP48" s="478"/>
      <c r="UBQ48" s="478"/>
      <c r="UBR48" s="478"/>
      <c r="UBS48" s="478"/>
      <c r="UBT48" s="478"/>
      <c r="UBU48" s="478"/>
      <c r="UBV48" s="478"/>
      <c r="UBW48" s="478"/>
      <c r="UBX48" s="478"/>
      <c r="UBY48" s="478"/>
      <c r="UBZ48" s="478"/>
      <c r="UCA48" s="478"/>
      <c r="UCB48" s="478"/>
      <c r="UCC48" s="478"/>
      <c r="UCD48" s="478"/>
      <c r="UCE48" s="478"/>
      <c r="UCF48" s="478"/>
      <c r="UCG48" s="478"/>
      <c r="UCH48" s="478"/>
      <c r="UCI48" s="478"/>
      <c r="UCJ48" s="478"/>
      <c r="UCK48" s="478"/>
      <c r="UCL48" s="478"/>
      <c r="UCM48" s="478"/>
      <c r="UCN48" s="478"/>
      <c r="UCO48" s="478"/>
      <c r="UCP48" s="478"/>
      <c r="UCQ48" s="478"/>
      <c r="UCR48" s="478"/>
      <c r="UCS48" s="478"/>
      <c r="UCT48" s="478"/>
      <c r="UCU48" s="478"/>
      <c r="UCV48" s="478"/>
      <c r="UCW48" s="478"/>
      <c r="UCX48" s="478"/>
      <c r="UCY48" s="478"/>
      <c r="UCZ48" s="478"/>
      <c r="UDA48" s="478"/>
      <c r="UDB48" s="478"/>
      <c r="UDC48" s="478"/>
      <c r="UDD48" s="478"/>
      <c r="UDE48" s="478"/>
      <c r="UDF48" s="478"/>
      <c r="UDG48" s="478"/>
      <c r="UDH48" s="478"/>
      <c r="UDI48" s="478"/>
      <c r="UDJ48" s="478"/>
      <c r="UDK48" s="478"/>
      <c r="UDL48" s="478"/>
      <c r="UDM48" s="478"/>
      <c r="UDN48" s="478"/>
      <c r="UDO48" s="478"/>
      <c r="UDP48" s="478"/>
      <c r="UDQ48" s="478"/>
      <c r="UDR48" s="478"/>
      <c r="UDS48" s="478"/>
      <c r="UDT48" s="478"/>
      <c r="UDU48" s="478"/>
      <c r="UDV48" s="478"/>
      <c r="UDW48" s="478"/>
      <c r="UDX48" s="478"/>
      <c r="UDY48" s="478"/>
      <c r="UDZ48" s="478"/>
      <c r="UEA48" s="478"/>
      <c r="UEB48" s="478"/>
      <c r="UEC48" s="478"/>
      <c r="UED48" s="478"/>
      <c r="UEE48" s="478"/>
      <c r="UEF48" s="478"/>
      <c r="UEG48" s="478"/>
      <c r="UEH48" s="478"/>
      <c r="UEI48" s="478"/>
      <c r="UEJ48" s="478"/>
      <c r="UEK48" s="478"/>
      <c r="UEL48" s="478"/>
      <c r="UEM48" s="478"/>
      <c r="UEN48" s="478"/>
      <c r="UEO48" s="478"/>
      <c r="UEP48" s="478"/>
      <c r="UEQ48" s="478"/>
      <c r="UER48" s="478"/>
      <c r="UES48" s="478"/>
      <c r="UET48" s="478"/>
      <c r="UEU48" s="478"/>
      <c r="UEV48" s="478"/>
      <c r="UEW48" s="478"/>
      <c r="UEX48" s="478"/>
      <c r="UEY48" s="478"/>
      <c r="UEZ48" s="478"/>
      <c r="UFA48" s="478"/>
      <c r="UFB48" s="478"/>
      <c r="UFC48" s="478"/>
      <c r="UFD48" s="478"/>
      <c r="UFE48" s="478"/>
      <c r="UFF48" s="478"/>
      <c r="UFG48" s="478"/>
      <c r="UFH48" s="478"/>
      <c r="UFI48" s="478"/>
      <c r="UFJ48" s="478"/>
      <c r="UFK48" s="478"/>
      <c r="UFL48" s="478"/>
      <c r="UFM48" s="478"/>
      <c r="UFN48" s="478"/>
      <c r="UFO48" s="478"/>
      <c r="UFP48" s="478"/>
      <c r="UFQ48" s="478"/>
      <c r="UFR48" s="478"/>
      <c r="UFS48" s="478"/>
      <c r="UFT48" s="478"/>
      <c r="UFU48" s="478"/>
      <c r="UFV48" s="478"/>
      <c r="UFW48" s="478"/>
      <c r="UFX48" s="478"/>
      <c r="UFY48" s="478"/>
      <c r="UFZ48" s="478"/>
      <c r="UGA48" s="478"/>
      <c r="UGB48" s="478"/>
      <c r="UGC48" s="478"/>
      <c r="UGD48" s="478"/>
      <c r="UGE48" s="478"/>
      <c r="UGF48" s="478"/>
      <c r="UGG48" s="478"/>
      <c r="UGH48" s="478"/>
      <c r="UGI48" s="478"/>
      <c r="UGJ48" s="478"/>
      <c r="UGK48" s="478"/>
      <c r="UGL48" s="478"/>
      <c r="UGM48" s="478"/>
      <c r="UGN48" s="478"/>
      <c r="UGO48" s="478"/>
      <c r="UGP48" s="478"/>
      <c r="UGQ48" s="478"/>
      <c r="UGR48" s="478"/>
      <c r="UGS48" s="478"/>
      <c r="UGT48" s="478"/>
      <c r="UGU48" s="478"/>
      <c r="UGV48" s="478"/>
      <c r="UGW48" s="478"/>
      <c r="UGX48" s="478"/>
      <c r="UGY48" s="478"/>
      <c r="UGZ48" s="478"/>
      <c r="UHA48" s="478"/>
      <c r="UHB48" s="478"/>
      <c r="UHC48" s="478"/>
      <c r="UHD48" s="478"/>
      <c r="UHE48" s="478"/>
      <c r="UHF48" s="478"/>
      <c r="UHG48" s="478"/>
      <c r="UHH48" s="478"/>
      <c r="UHI48" s="478"/>
      <c r="UHJ48" s="478"/>
      <c r="UHK48" s="478"/>
      <c r="UHL48" s="478"/>
      <c r="UHM48" s="478"/>
      <c r="UHN48" s="478"/>
      <c r="UHO48" s="478"/>
      <c r="UHP48" s="478"/>
      <c r="UHQ48" s="478"/>
      <c r="UHR48" s="478"/>
      <c r="UHS48" s="478"/>
      <c r="UHT48" s="478"/>
      <c r="UHU48" s="478"/>
      <c r="UHV48" s="478"/>
      <c r="UHW48" s="478"/>
      <c r="UHX48" s="478"/>
      <c r="UHY48" s="478"/>
      <c r="UHZ48" s="478"/>
      <c r="UIA48" s="478"/>
      <c r="UIB48" s="478"/>
      <c r="UIC48" s="478"/>
      <c r="UID48" s="478"/>
      <c r="UIE48" s="478"/>
      <c r="UIF48" s="478"/>
      <c r="UIG48" s="478"/>
      <c r="UIH48" s="478"/>
      <c r="UII48" s="478"/>
      <c r="UIJ48" s="478"/>
      <c r="UIK48" s="478"/>
      <c r="UIL48" s="478"/>
      <c r="UIM48" s="478"/>
      <c r="UIN48" s="478"/>
      <c r="UIO48" s="478"/>
      <c r="UIP48" s="478"/>
      <c r="UIQ48" s="478"/>
      <c r="UIR48" s="478"/>
      <c r="UIS48" s="478"/>
      <c r="UIT48" s="478"/>
      <c r="UIU48" s="478"/>
      <c r="UIV48" s="478"/>
      <c r="UIW48" s="478"/>
      <c r="UIX48" s="478"/>
      <c r="UIY48" s="478"/>
      <c r="UIZ48" s="478"/>
      <c r="UJA48" s="478"/>
      <c r="UJB48" s="478"/>
      <c r="UJC48" s="478"/>
      <c r="UJD48" s="478"/>
      <c r="UJE48" s="478"/>
      <c r="UJF48" s="478"/>
      <c r="UJG48" s="478"/>
      <c r="UJH48" s="478"/>
      <c r="UJI48" s="478"/>
      <c r="UJJ48" s="478"/>
      <c r="UJK48" s="478"/>
      <c r="UJL48" s="478"/>
      <c r="UJM48" s="478"/>
      <c r="UJN48" s="478"/>
      <c r="UJO48" s="478"/>
      <c r="UJP48" s="478"/>
      <c r="UJQ48" s="478"/>
      <c r="UJR48" s="478"/>
      <c r="UJS48" s="478"/>
      <c r="UJT48" s="478"/>
      <c r="UJU48" s="478"/>
      <c r="UJV48" s="478"/>
      <c r="UJW48" s="478"/>
      <c r="UJX48" s="478"/>
      <c r="UJY48" s="478"/>
      <c r="UJZ48" s="478"/>
      <c r="UKA48" s="478"/>
      <c r="UKB48" s="478"/>
      <c r="UKC48" s="478"/>
      <c r="UKD48" s="478"/>
      <c r="UKE48" s="478"/>
      <c r="UKF48" s="478"/>
      <c r="UKG48" s="478"/>
      <c r="UKH48" s="478"/>
      <c r="UKI48" s="478"/>
      <c r="UKJ48" s="478"/>
      <c r="UKK48" s="478"/>
      <c r="UKL48" s="478"/>
      <c r="UKM48" s="478"/>
      <c r="UKN48" s="478"/>
      <c r="UKO48" s="478"/>
      <c r="UKP48" s="478"/>
      <c r="UKQ48" s="478"/>
      <c r="UKR48" s="478"/>
      <c r="UKS48" s="478"/>
      <c r="UKT48" s="478"/>
      <c r="UKU48" s="478"/>
      <c r="UKV48" s="478"/>
      <c r="UKW48" s="478"/>
      <c r="UKX48" s="478"/>
      <c r="UKY48" s="478"/>
      <c r="UKZ48" s="478"/>
      <c r="ULA48" s="478"/>
      <c r="ULB48" s="478"/>
      <c r="ULC48" s="478"/>
      <c r="ULD48" s="478"/>
      <c r="ULE48" s="478"/>
      <c r="ULF48" s="478"/>
      <c r="ULG48" s="478"/>
      <c r="ULH48" s="478"/>
      <c r="ULI48" s="478"/>
      <c r="ULJ48" s="478"/>
      <c r="ULK48" s="478"/>
      <c r="ULL48" s="478"/>
      <c r="ULM48" s="478"/>
      <c r="ULN48" s="478"/>
      <c r="ULO48" s="478"/>
      <c r="ULP48" s="478"/>
      <c r="ULQ48" s="478"/>
      <c r="ULR48" s="478"/>
      <c r="ULS48" s="478"/>
      <c r="ULT48" s="478"/>
      <c r="ULU48" s="478"/>
      <c r="ULV48" s="478"/>
      <c r="ULW48" s="478"/>
      <c r="ULX48" s="478"/>
      <c r="ULY48" s="478"/>
      <c r="ULZ48" s="478"/>
      <c r="UMA48" s="478"/>
      <c r="UMB48" s="478"/>
      <c r="UMC48" s="478"/>
      <c r="UMD48" s="478"/>
      <c r="UME48" s="478"/>
      <c r="UMF48" s="478"/>
      <c r="UMG48" s="478"/>
      <c r="UMH48" s="478"/>
      <c r="UMI48" s="478"/>
      <c r="UMJ48" s="478"/>
      <c r="UMK48" s="478"/>
      <c r="UML48" s="478"/>
      <c r="UMM48" s="478"/>
      <c r="UMN48" s="478"/>
      <c r="UMO48" s="478"/>
      <c r="UMP48" s="478"/>
      <c r="UMQ48" s="478"/>
      <c r="UMR48" s="478"/>
      <c r="UMS48" s="478"/>
      <c r="UMT48" s="478"/>
      <c r="UMU48" s="478"/>
      <c r="UMV48" s="478"/>
      <c r="UMW48" s="478"/>
      <c r="UMX48" s="478"/>
      <c r="UMY48" s="478"/>
      <c r="UMZ48" s="478"/>
      <c r="UNA48" s="478"/>
      <c r="UNB48" s="478"/>
      <c r="UNC48" s="478"/>
      <c r="UND48" s="478"/>
      <c r="UNE48" s="478"/>
      <c r="UNF48" s="478"/>
      <c r="UNG48" s="478"/>
      <c r="UNH48" s="478"/>
      <c r="UNI48" s="478"/>
      <c r="UNJ48" s="478"/>
      <c r="UNK48" s="478"/>
      <c r="UNL48" s="478"/>
      <c r="UNM48" s="478"/>
      <c r="UNN48" s="478"/>
      <c r="UNO48" s="478"/>
      <c r="UNP48" s="478"/>
      <c r="UNQ48" s="478"/>
      <c r="UNR48" s="478"/>
      <c r="UNS48" s="478"/>
      <c r="UNT48" s="478"/>
      <c r="UNU48" s="478"/>
      <c r="UNV48" s="478"/>
      <c r="UNW48" s="478"/>
      <c r="UNX48" s="478"/>
      <c r="UNY48" s="478"/>
      <c r="UNZ48" s="478"/>
      <c r="UOA48" s="478"/>
      <c r="UOB48" s="478"/>
      <c r="UOC48" s="478"/>
      <c r="UOD48" s="478"/>
      <c r="UOE48" s="478"/>
      <c r="UOF48" s="478"/>
      <c r="UOG48" s="478"/>
      <c r="UOH48" s="478"/>
      <c r="UOI48" s="478"/>
      <c r="UOJ48" s="478"/>
      <c r="UOK48" s="478"/>
      <c r="UOL48" s="478"/>
      <c r="UOM48" s="478"/>
      <c r="UON48" s="478"/>
      <c r="UOO48" s="478"/>
      <c r="UOP48" s="478"/>
      <c r="UOQ48" s="478"/>
      <c r="UOR48" s="478"/>
      <c r="UOS48" s="478"/>
      <c r="UOT48" s="478"/>
      <c r="UOU48" s="478"/>
      <c r="UOV48" s="478"/>
      <c r="UOW48" s="478"/>
      <c r="UOX48" s="478"/>
      <c r="UOY48" s="478"/>
      <c r="UOZ48" s="478"/>
      <c r="UPA48" s="478"/>
      <c r="UPB48" s="478"/>
      <c r="UPC48" s="478"/>
      <c r="UPD48" s="478"/>
      <c r="UPE48" s="478"/>
      <c r="UPF48" s="478"/>
      <c r="UPG48" s="478"/>
      <c r="UPH48" s="478"/>
      <c r="UPI48" s="478"/>
      <c r="UPJ48" s="478"/>
      <c r="UPK48" s="478"/>
      <c r="UPL48" s="478"/>
      <c r="UPM48" s="478"/>
      <c r="UPN48" s="478"/>
      <c r="UPO48" s="478"/>
      <c r="UPP48" s="478"/>
      <c r="UPQ48" s="478"/>
      <c r="UPR48" s="478"/>
      <c r="UPS48" s="478"/>
      <c r="UPT48" s="478"/>
      <c r="UPU48" s="478"/>
      <c r="UPV48" s="478"/>
      <c r="UPW48" s="478"/>
      <c r="UPX48" s="478"/>
      <c r="UPY48" s="478"/>
      <c r="UPZ48" s="478"/>
      <c r="UQA48" s="478"/>
      <c r="UQB48" s="478"/>
      <c r="UQC48" s="478"/>
      <c r="UQD48" s="478"/>
      <c r="UQE48" s="478"/>
      <c r="UQF48" s="478"/>
      <c r="UQG48" s="478"/>
      <c r="UQH48" s="478"/>
      <c r="UQI48" s="478"/>
      <c r="UQJ48" s="478"/>
      <c r="UQK48" s="478"/>
      <c r="UQL48" s="478"/>
      <c r="UQM48" s="478"/>
      <c r="UQN48" s="478"/>
      <c r="UQO48" s="478"/>
      <c r="UQP48" s="478"/>
      <c r="UQQ48" s="478"/>
      <c r="UQR48" s="478"/>
      <c r="UQS48" s="478"/>
      <c r="UQT48" s="478"/>
      <c r="UQU48" s="478"/>
      <c r="UQV48" s="478"/>
      <c r="UQW48" s="478"/>
      <c r="UQX48" s="478"/>
      <c r="UQY48" s="478"/>
      <c r="UQZ48" s="478"/>
      <c r="URA48" s="478"/>
      <c r="URB48" s="478"/>
      <c r="URC48" s="478"/>
      <c r="URD48" s="478"/>
      <c r="URE48" s="478"/>
      <c r="URF48" s="478"/>
      <c r="URG48" s="478"/>
      <c r="URH48" s="478"/>
      <c r="URI48" s="478"/>
      <c r="URJ48" s="478"/>
      <c r="URK48" s="478"/>
      <c r="URL48" s="478"/>
      <c r="URM48" s="478"/>
      <c r="URN48" s="478"/>
      <c r="URO48" s="478"/>
      <c r="URP48" s="478"/>
      <c r="URQ48" s="478"/>
      <c r="URR48" s="478"/>
      <c r="URS48" s="478"/>
      <c r="URT48" s="478"/>
      <c r="URU48" s="478"/>
      <c r="URV48" s="478"/>
      <c r="URW48" s="478"/>
      <c r="URX48" s="478"/>
      <c r="URY48" s="478"/>
      <c r="URZ48" s="478"/>
      <c r="USA48" s="478"/>
      <c r="USB48" s="478"/>
      <c r="USC48" s="478"/>
      <c r="USD48" s="478"/>
      <c r="USE48" s="478"/>
      <c r="USF48" s="478"/>
      <c r="USG48" s="478"/>
      <c r="USH48" s="478"/>
      <c r="USI48" s="478"/>
      <c r="USJ48" s="478"/>
      <c r="USK48" s="478"/>
      <c r="USL48" s="478"/>
      <c r="USM48" s="478"/>
      <c r="USN48" s="478"/>
      <c r="USO48" s="478"/>
      <c r="USP48" s="478"/>
      <c r="USQ48" s="478"/>
      <c r="USR48" s="478"/>
      <c r="USS48" s="478"/>
      <c r="UST48" s="478"/>
      <c r="USU48" s="478"/>
      <c r="USV48" s="478"/>
      <c r="USW48" s="478"/>
      <c r="USX48" s="478"/>
      <c r="USY48" s="478"/>
      <c r="USZ48" s="478"/>
      <c r="UTA48" s="478"/>
      <c r="UTB48" s="478"/>
      <c r="UTC48" s="478"/>
      <c r="UTD48" s="478"/>
      <c r="UTE48" s="478"/>
      <c r="UTF48" s="478"/>
      <c r="UTG48" s="478"/>
      <c r="UTH48" s="478"/>
      <c r="UTI48" s="478"/>
      <c r="UTJ48" s="478"/>
      <c r="UTK48" s="478"/>
      <c r="UTL48" s="478"/>
      <c r="UTM48" s="478"/>
      <c r="UTN48" s="478"/>
      <c r="UTO48" s="478"/>
      <c r="UTP48" s="478"/>
      <c r="UTQ48" s="478"/>
      <c r="UTR48" s="478"/>
      <c r="UTS48" s="478"/>
      <c r="UTT48" s="478"/>
      <c r="UTU48" s="478"/>
      <c r="UTV48" s="478"/>
      <c r="UTW48" s="478"/>
      <c r="UTX48" s="478"/>
      <c r="UTY48" s="478"/>
      <c r="UTZ48" s="478"/>
      <c r="UUA48" s="478"/>
      <c r="UUB48" s="478"/>
      <c r="UUC48" s="478"/>
      <c r="UUD48" s="478"/>
      <c r="UUE48" s="478"/>
      <c r="UUF48" s="478"/>
      <c r="UUG48" s="478"/>
      <c r="UUH48" s="478"/>
      <c r="UUI48" s="478"/>
      <c r="UUJ48" s="478"/>
      <c r="UUK48" s="478"/>
      <c r="UUL48" s="478"/>
      <c r="UUM48" s="478"/>
      <c r="UUN48" s="478"/>
      <c r="UUO48" s="478"/>
      <c r="UUP48" s="478"/>
      <c r="UUQ48" s="478"/>
      <c r="UUR48" s="478"/>
      <c r="UUS48" s="478"/>
      <c r="UUT48" s="478"/>
      <c r="UUU48" s="478"/>
      <c r="UUV48" s="478"/>
      <c r="UUW48" s="478"/>
      <c r="UUX48" s="478"/>
      <c r="UUY48" s="478"/>
      <c r="UUZ48" s="478"/>
      <c r="UVA48" s="478"/>
      <c r="UVB48" s="478"/>
      <c r="UVC48" s="478"/>
      <c r="UVD48" s="478"/>
      <c r="UVE48" s="478"/>
      <c r="UVF48" s="478"/>
      <c r="UVG48" s="478"/>
      <c r="UVH48" s="478"/>
      <c r="UVI48" s="478"/>
      <c r="UVJ48" s="478"/>
      <c r="UVK48" s="478"/>
      <c r="UVL48" s="478"/>
      <c r="UVM48" s="478"/>
      <c r="UVN48" s="478"/>
      <c r="UVO48" s="478"/>
      <c r="UVP48" s="478"/>
      <c r="UVQ48" s="478"/>
      <c r="UVR48" s="478"/>
      <c r="UVS48" s="478"/>
      <c r="UVT48" s="478"/>
      <c r="UVU48" s="478"/>
      <c r="UVV48" s="478"/>
      <c r="UVW48" s="478"/>
      <c r="UVX48" s="478"/>
      <c r="UVY48" s="478"/>
      <c r="UVZ48" s="478"/>
      <c r="UWA48" s="478"/>
      <c r="UWB48" s="478"/>
      <c r="UWC48" s="478"/>
      <c r="UWD48" s="478"/>
      <c r="UWE48" s="478"/>
      <c r="UWF48" s="478"/>
      <c r="UWG48" s="478"/>
      <c r="UWH48" s="478"/>
      <c r="UWI48" s="478"/>
      <c r="UWJ48" s="478"/>
      <c r="UWK48" s="478"/>
      <c r="UWL48" s="478"/>
      <c r="UWM48" s="478"/>
      <c r="UWN48" s="478"/>
      <c r="UWO48" s="478"/>
      <c r="UWP48" s="478"/>
      <c r="UWQ48" s="478"/>
      <c r="UWR48" s="478"/>
      <c r="UWS48" s="478"/>
      <c r="UWT48" s="478"/>
      <c r="UWU48" s="478"/>
      <c r="UWV48" s="478"/>
      <c r="UWW48" s="478"/>
      <c r="UWX48" s="478"/>
      <c r="UWY48" s="478"/>
      <c r="UWZ48" s="478"/>
      <c r="UXA48" s="478"/>
      <c r="UXB48" s="478"/>
      <c r="UXC48" s="478"/>
      <c r="UXD48" s="478"/>
      <c r="UXE48" s="478"/>
      <c r="UXF48" s="478"/>
      <c r="UXG48" s="478"/>
      <c r="UXH48" s="478"/>
      <c r="UXI48" s="478"/>
      <c r="UXJ48" s="478"/>
      <c r="UXK48" s="478"/>
      <c r="UXL48" s="478"/>
      <c r="UXM48" s="478"/>
      <c r="UXN48" s="478"/>
      <c r="UXO48" s="478"/>
      <c r="UXP48" s="478"/>
      <c r="UXQ48" s="478"/>
      <c r="UXR48" s="478"/>
      <c r="UXS48" s="478"/>
      <c r="UXT48" s="478"/>
      <c r="UXU48" s="478"/>
      <c r="UXV48" s="478"/>
      <c r="UXW48" s="478"/>
      <c r="UXX48" s="478"/>
      <c r="UXY48" s="478"/>
      <c r="UXZ48" s="478"/>
      <c r="UYA48" s="478"/>
      <c r="UYB48" s="478"/>
      <c r="UYC48" s="478"/>
      <c r="UYD48" s="478"/>
      <c r="UYE48" s="478"/>
      <c r="UYF48" s="478"/>
      <c r="UYG48" s="478"/>
      <c r="UYH48" s="478"/>
      <c r="UYI48" s="478"/>
      <c r="UYJ48" s="478"/>
      <c r="UYK48" s="478"/>
      <c r="UYL48" s="478"/>
      <c r="UYM48" s="478"/>
      <c r="UYN48" s="478"/>
      <c r="UYO48" s="478"/>
      <c r="UYP48" s="478"/>
      <c r="UYQ48" s="478"/>
      <c r="UYR48" s="478"/>
      <c r="UYS48" s="478"/>
      <c r="UYT48" s="478"/>
      <c r="UYU48" s="478"/>
      <c r="UYV48" s="478"/>
      <c r="UYW48" s="478"/>
      <c r="UYX48" s="478"/>
      <c r="UYY48" s="478"/>
      <c r="UYZ48" s="478"/>
      <c r="UZA48" s="478"/>
      <c r="UZB48" s="478"/>
      <c r="UZC48" s="478"/>
      <c r="UZD48" s="478"/>
      <c r="UZE48" s="478"/>
      <c r="UZF48" s="478"/>
      <c r="UZG48" s="478"/>
      <c r="UZH48" s="478"/>
      <c r="UZI48" s="478"/>
      <c r="UZJ48" s="478"/>
      <c r="UZK48" s="478"/>
      <c r="UZL48" s="478"/>
      <c r="UZM48" s="478"/>
      <c r="UZN48" s="478"/>
      <c r="UZO48" s="478"/>
      <c r="UZP48" s="478"/>
      <c r="UZQ48" s="478"/>
      <c r="UZR48" s="478"/>
      <c r="UZS48" s="478"/>
      <c r="UZT48" s="478"/>
      <c r="UZU48" s="478"/>
      <c r="UZV48" s="478"/>
      <c r="UZW48" s="478"/>
      <c r="UZX48" s="478"/>
      <c r="UZY48" s="478"/>
      <c r="UZZ48" s="478"/>
      <c r="VAA48" s="478"/>
      <c r="VAB48" s="478"/>
      <c r="VAC48" s="478"/>
      <c r="VAD48" s="478"/>
      <c r="VAE48" s="478"/>
      <c r="VAF48" s="478"/>
      <c r="VAG48" s="478"/>
      <c r="VAH48" s="478"/>
      <c r="VAI48" s="478"/>
      <c r="VAJ48" s="478"/>
      <c r="VAK48" s="478"/>
      <c r="VAL48" s="478"/>
      <c r="VAM48" s="478"/>
      <c r="VAN48" s="478"/>
      <c r="VAO48" s="478"/>
      <c r="VAP48" s="478"/>
      <c r="VAQ48" s="478"/>
      <c r="VAR48" s="478"/>
      <c r="VAS48" s="478"/>
      <c r="VAT48" s="478"/>
      <c r="VAU48" s="478"/>
      <c r="VAV48" s="478"/>
      <c r="VAW48" s="478"/>
      <c r="VAX48" s="478"/>
      <c r="VAY48" s="478"/>
      <c r="VAZ48" s="478"/>
      <c r="VBA48" s="478"/>
      <c r="VBB48" s="478"/>
      <c r="VBC48" s="478"/>
      <c r="VBD48" s="478"/>
      <c r="VBE48" s="478"/>
      <c r="VBF48" s="478"/>
      <c r="VBG48" s="478"/>
      <c r="VBH48" s="478"/>
      <c r="VBI48" s="478"/>
      <c r="VBJ48" s="478"/>
      <c r="VBK48" s="478"/>
      <c r="VBL48" s="478"/>
      <c r="VBM48" s="478"/>
      <c r="VBN48" s="478"/>
      <c r="VBO48" s="478"/>
      <c r="VBP48" s="478"/>
      <c r="VBQ48" s="478"/>
      <c r="VBR48" s="478"/>
      <c r="VBS48" s="478"/>
      <c r="VBT48" s="478"/>
      <c r="VBU48" s="478"/>
      <c r="VBV48" s="478"/>
      <c r="VBW48" s="478"/>
      <c r="VBX48" s="478"/>
      <c r="VBY48" s="478"/>
      <c r="VBZ48" s="478"/>
      <c r="VCA48" s="478"/>
      <c r="VCB48" s="478"/>
      <c r="VCC48" s="478"/>
      <c r="VCD48" s="478"/>
      <c r="VCE48" s="478"/>
      <c r="VCF48" s="478"/>
      <c r="VCG48" s="478"/>
      <c r="VCH48" s="478"/>
      <c r="VCI48" s="478"/>
      <c r="VCJ48" s="478"/>
      <c r="VCK48" s="478"/>
      <c r="VCL48" s="478"/>
      <c r="VCM48" s="478"/>
      <c r="VCN48" s="478"/>
      <c r="VCO48" s="478"/>
      <c r="VCP48" s="478"/>
      <c r="VCQ48" s="478"/>
      <c r="VCR48" s="478"/>
      <c r="VCS48" s="478"/>
      <c r="VCT48" s="478"/>
      <c r="VCU48" s="478"/>
      <c r="VCV48" s="478"/>
      <c r="VCW48" s="478"/>
      <c r="VCX48" s="478"/>
      <c r="VCY48" s="478"/>
      <c r="VCZ48" s="478"/>
      <c r="VDA48" s="478"/>
      <c r="VDB48" s="478"/>
      <c r="VDC48" s="478"/>
      <c r="VDD48" s="478"/>
      <c r="VDE48" s="478"/>
      <c r="VDF48" s="478"/>
      <c r="VDG48" s="478"/>
      <c r="VDH48" s="478"/>
      <c r="VDI48" s="478"/>
      <c r="VDJ48" s="478"/>
      <c r="VDK48" s="478"/>
      <c r="VDL48" s="478"/>
      <c r="VDM48" s="478"/>
      <c r="VDN48" s="478"/>
      <c r="VDO48" s="478"/>
      <c r="VDP48" s="478"/>
      <c r="VDQ48" s="478"/>
      <c r="VDR48" s="478"/>
      <c r="VDS48" s="478"/>
      <c r="VDT48" s="478"/>
      <c r="VDU48" s="478"/>
      <c r="VDV48" s="478"/>
      <c r="VDW48" s="478"/>
      <c r="VDX48" s="478"/>
      <c r="VDY48" s="478"/>
      <c r="VDZ48" s="478"/>
      <c r="VEA48" s="478"/>
      <c r="VEB48" s="478"/>
      <c r="VEC48" s="478"/>
      <c r="VED48" s="478"/>
      <c r="VEE48" s="478"/>
      <c r="VEF48" s="478"/>
      <c r="VEG48" s="478"/>
      <c r="VEH48" s="478"/>
      <c r="VEI48" s="478"/>
      <c r="VEJ48" s="478"/>
      <c r="VEK48" s="478"/>
      <c r="VEL48" s="478"/>
      <c r="VEM48" s="478"/>
      <c r="VEN48" s="478"/>
      <c r="VEO48" s="478"/>
      <c r="VEP48" s="478"/>
      <c r="VEQ48" s="478"/>
      <c r="VER48" s="478"/>
      <c r="VES48" s="478"/>
      <c r="VET48" s="478"/>
      <c r="VEU48" s="478"/>
      <c r="VEV48" s="478"/>
      <c r="VEW48" s="478"/>
      <c r="VEX48" s="478"/>
      <c r="VEY48" s="478"/>
      <c r="VEZ48" s="478"/>
      <c r="VFA48" s="478"/>
      <c r="VFB48" s="478"/>
      <c r="VFC48" s="478"/>
      <c r="VFD48" s="478"/>
      <c r="VFE48" s="478"/>
      <c r="VFF48" s="478"/>
      <c r="VFG48" s="478"/>
      <c r="VFH48" s="478"/>
      <c r="VFI48" s="478"/>
      <c r="VFJ48" s="478"/>
      <c r="VFK48" s="478"/>
      <c r="VFL48" s="478"/>
      <c r="VFM48" s="478"/>
      <c r="VFN48" s="478"/>
      <c r="VFO48" s="478"/>
      <c r="VFP48" s="478"/>
      <c r="VFQ48" s="478"/>
      <c r="VFR48" s="478"/>
      <c r="VFS48" s="478"/>
      <c r="VFT48" s="478"/>
      <c r="VFU48" s="478"/>
      <c r="VFV48" s="478"/>
      <c r="VFW48" s="478"/>
      <c r="VFX48" s="478"/>
      <c r="VFY48" s="478"/>
      <c r="VFZ48" s="478"/>
      <c r="VGA48" s="478"/>
      <c r="VGB48" s="478"/>
      <c r="VGC48" s="478"/>
      <c r="VGD48" s="478"/>
      <c r="VGE48" s="478"/>
      <c r="VGF48" s="478"/>
      <c r="VGG48" s="478"/>
      <c r="VGH48" s="478"/>
      <c r="VGI48" s="478"/>
      <c r="VGJ48" s="478"/>
      <c r="VGK48" s="478"/>
      <c r="VGL48" s="478"/>
      <c r="VGM48" s="478"/>
      <c r="VGN48" s="478"/>
      <c r="VGO48" s="478"/>
      <c r="VGP48" s="478"/>
      <c r="VGQ48" s="478"/>
      <c r="VGR48" s="478"/>
      <c r="VGS48" s="478"/>
      <c r="VGT48" s="478"/>
      <c r="VGU48" s="478"/>
      <c r="VGV48" s="478"/>
      <c r="VGW48" s="478"/>
      <c r="VGX48" s="478"/>
      <c r="VGY48" s="478"/>
      <c r="VGZ48" s="478"/>
      <c r="VHA48" s="478"/>
      <c r="VHB48" s="478"/>
      <c r="VHC48" s="478"/>
      <c r="VHD48" s="478"/>
      <c r="VHE48" s="478"/>
      <c r="VHF48" s="478"/>
      <c r="VHG48" s="478"/>
      <c r="VHH48" s="478"/>
      <c r="VHI48" s="478"/>
      <c r="VHJ48" s="478"/>
      <c r="VHK48" s="478"/>
      <c r="VHL48" s="478"/>
      <c r="VHM48" s="478"/>
      <c r="VHN48" s="478"/>
      <c r="VHO48" s="478"/>
      <c r="VHP48" s="478"/>
      <c r="VHQ48" s="478"/>
      <c r="VHR48" s="478"/>
      <c r="VHS48" s="478"/>
      <c r="VHT48" s="478"/>
      <c r="VHU48" s="478"/>
      <c r="VHV48" s="478"/>
      <c r="VHW48" s="478"/>
      <c r="VHX48" s="478"/>
      <c r="VHY48" s="478"/>
      <c r="VHZ48" s="478"/>
      <c r="VIA48" s="478"/>
      <c r="VIB48" s="478"/>
      <c r="VIC48" s="478"/>
      <c r="VID48" s="478"/>
      <c r="VIE48" s="478"/>
      <c r="VIF48" s="478"/>
      <c r="VIG48" s="478"/>
      <c r="VIH48" s="478"/>
      <c r="VII48" s="478"/>
      <c r="VIJ48" s="478"/>
      <c r="VIK48" s="478"/>
      <c r="VIL48" s="478"/>
      <c r="VIM48" s="478"/>
      <c r="VIN48" s="478"/>
      <c r="VIO48" s="478"/>
      <c r="VIP48" s="478"/>
      <c r="VIQ48" s="478"/>
      <c r="VIR48" s="478"/>
      <c r="VIS48" s="478"/>
      <c r="VIT48" s="478"/>
      <c r="VIU48" s="478"/>
      <c r="VIV48" s="478"/>
      <c r="VIW48" s="478"/>
      <c r="VIX48" s="478"/>
      <c r="VIY48" s="478"/>
      <c r="VIZ48" s="478"/>
      <c r="VJA48" s="478"/>
      <c r="VJB48" s="478"/>
      <c r="VJC48" s="478"/>
      <c r="VJD48" s="478"/>
      <c r="VJE48" s="478"/>
      <c r="VJF48" s="478"/>
      <c r="VJG48" s="478"/>
      <c r="VJH48" s="478"/>
      <c r="VJI48" s="478"/>
      <c r="VJJ48" s="478"/>
      <c r="VJK48" s="478"/>
      <c r="VJL48" s="478"/>
      <c r="VJM48" s="478"/>
      <c r="VJN48" s="478"/>
      <c r="VJO48" s="478"/>
      <c r="VJP48" s="478"/>
      <c r="VJQ48" s="478"/>
      <c r="VJR48" s="478"/>
      <c r="VJS48" s="478"/>
      <c r="VJT48" s="478"/>
      <c r="VJU48" s="478"/>
      <c r="VJV48" s="478"/>
      <c r="VJW48" s="478"/>
      <c r="VJX48" s="478"/>
      <c r="VJY48" s="478"/>
      <c r="VJZ48" s="478"/>
      <c r="VKA48" s="478"/>
      <c r="VKB48" s="478"/>
      <c r="VKC48" s="478"/>
      <c r="VKD48" s="478"/>
      <c r="VKE48" s="478"/>
      <c r="VKF48" s="478"/>
      <c r="VKG48" s="478"/>
      <c r="VKH48" s="478"/>
      <c r="VKI48" s="478"/>
      <c r="VKJ48" s="478"/>
      <c r="VKK48" s="478"/>
      <c r="VKL48" s="478"/>
      <c r="VKM48" s="478"/>
      <c r="VKN48" s="478"/>
      <c r="VKO48" s="478"/>
      <c r="VKP48" s="478"/>
      <c r="VKQ48" s="478"/>
      <c r="VKR48" s="478"/>
      <c r="VKS48" s="478"/>
      <c r="VKT48" s="478"/>
      <c r="VKU48" s="478"/>
      <c r="VKV48" s="478"/>
      <c r="VKW48" s="478"/>
      <c r="VKX48" s="478"/>
      <c r="VKY48" s="478"/>
      <c r="VKZ48" s="478"/>
      <c r="VLA48" s="478"/>
      <c r="VLB48" s="478"/>
      <c r="VLC48" s="478"/>
      <c r="VLD48" s="478"/>
      <c r="VLE48" s="478"/>
      <c r="VLF48" s="478"/>
      <c r="VLG48" s="478"/>
      <c r="VLH48" s="478"/>
      <c r="VLI48" s="478"/>
      <c r="VLJ48" s="478"/>
      <c r="VLK48" s="478"/>
      <c r="VLL48" s="478"/>
      <c r="VLM48" s="478"/>
      <c r="VLN48" s="478"/>
      <c r="VLO48" s="478"/>
      <c r="VLP48" s="478"/>
      <c r="VLQ48" s="478"/>
      <c r="VLR48" s="478"/>
      <c r="VLS48" s="478"/>
      <c r="VLT48" s="478"/>
      <c r="VLU48" s="478"/>
      <c r="VLV48" s="478"/>
      <c r="VLW48" s="478"/>
      <c r="VLX48" s="478"/>
      <c r="VLY48" s="478"/>
      <c r="VLZ48" s="478"/>
      <c r="VMA48" s="478"/>
      <c r="VMB48" s="478"/>
      <c r="VMC48" s="478"/>
      <c r="VMD48" s="478"/>
      <c r="VME48" s="478"/>
      <c r="VMF48" s="478"/>
      <c r="VMG48" s="478"/>
      <c r="VMH48" s="478"/>
      <c r="VMI48" s="478"/>
      <c r="VMJ48" s="478"/>
      <c r="VMK48" s="478"/>
      <c r="VML48" s="478"/>
      <c r="VMM48" s="478"/>
      <c r="VMN48" s="478"/>
      <c r="VMO48" s="478"/>
      <c r="VMP48" s="478"/>
      <c r="VMQ48" s="478"/>
      <c r="VMR48" s="478"/>
      <c r="VMS48" s="478"/>
      <c r="VMT48" s="478"/>
      <c r="VMU48" s="478"/>
      <c r="VMV48" s="478"/>
      <c r="VMW48" s="478"/>
      <c r="VMX48" s="478"/>
      <c r="VMY48" s="478"/>
      <c r="VMZ48" s="478"/>
      <c r="VNA48" s="478"/>
      <c r="VNB48" s="478"/>
      <c r="VNC48" s="478"/>
      <c r="VND48" s="478"/>
      <c r="VNE48" s="478"/>
      <c r="VNF48" s="478"/>
      <c r="VNG48" s="478"/>
      <c r="VNH48" s="478"/>
      <c r="VNI48" s="478"/>
      <c r="VNJ48" s="478"/>
      <c r="VNK48" s="478"/>
      <c r="VNL48" s="478"/>
      <c r="VNM48" s="478"/>
      <c r="VNN48" s="478"/>
      <c r="VNO48" s="478"/>
      <c r="VNP48" s="478"/>
      <c r="VNQ48" s="478"/>
      <c r="VNR48" s="478"/>
      <c r="VNS48" s="478"/>
      <c r="VNT48" s="478"/>
      <c r="VNU48" s="478"/>
      <c r="VNV48" s="478"/>
      <c r="VNW48" s="478"/>
      <c r="VNX48" s="478"/>
      <c r="VNY48" s="478"/>
      <c r="VNZ48" s="478"/>
      <c r="VOA48" s="478"/>
      <c r="VOB48" s="478"/>
      <c r="VOC48" s="478"/>
      <c r="VOD48" s="478"/>
      <c r="VOE48" s="478"/>
      <c r="VOF48" s="478"/>
      <c r="VOG48" s="478"/>
      <c r="VOH48" s="478"/>
      <c r="VOI48" s="478"/>
      <c r="VOJ48" s="478"/>
      <c r="VOK48" s="478"/>
      <c r="VOL48" s="478"/>
      <c r="VOM48" s="478"/>
      <c r="VON48" s="478"/>
      <c r="VOO48" s="478"/>
      <c r="VOP48" s="478"/>
      <c r="VOQ48" s="478"/>
      <c r="VOR48" s="478"/>
      <c r="VOS48" s="478"/>
      <c r="VOT48" s="478"/>
      <c r="VOU48" s="478"/>
      <c r="VOV48" s="478"/>
      <c r="VOW48" s="478"/>
      <c r="VOX48" s="478"/>
      <c r="VOY48" s="478"/>
      <c r="VOZ48" s="478"/>
      <c r="VPA48" s="478"/>
      <c r="VPB48" s="478"/>
      <c r="VPC48" s="478"/>
      <c r="VPD48" s="478"/>
      <c r="VPE48" s="478"/>
      <c r="VPF48" s="478"/>
      <c r="VPG48" s="478"/>
      <c r="VPH48" s="478"/>
      <c r="VPI48" s="478"/>
      <c r="VPJ48" s="478"/>
      <c r="VPK48" s="478"/>
      <c r="VPL48" s="478"/>
      <c r="VPM48" s="478"/>
      <c r="VPN48" s="478"/>
      <c r="VPO48" s="478"/>
      <c r="VPP48" s="478"/>
      <c r="VPQ48" s="478"/>
      <c r="VPR48" s="478"/>
      <c r="VPS48" s="478"/>
      <c r="VPT48" s="478"/>
      <c r="VPU48" s="478"/>
      <c r="VPV48" s="478"/>
      <c r="VPW48" s="478"/>
      <c r="VPX48" s="478"/>
      <c r="VPY48" s="478"/>
      <c r="VPZ48" s="478"/>
      <c r="VQA48" s="478"/>
      <c r="VQB48" s="478"/>
      <c r="VQC48" s="478"/>
      <c r="VQD48" s="478"/>
      <c r="VQE48" s="478"/>
      <c r="VQF48" s="478"/>
      <c r="VQG48" s="478"/>
      <c r="VQH48" s="478"/>
      <c r="VQI48" s="478"/>
      <c r="VQJ48" s="478"/>
      <c r="VQK48" s="478"/>
      <c r="VQL48" s="478"/>
      <c r="VQM48" s="478"/>
      <c r="VQN48" s="478"/>
      <c r="VQO48" s="478"/>
      <c r="VQP48" s="478"/>
      <c r="VQQ48" s="478"/>
      <c r="VQR48" s="478"/>
      <c r="VQS48" s="478"/>
      <c r="VQT48" s="478"/>
      <c r="VQU48" s="478"/>
      <c r="VQV48" s="478"/>
      <c r="VQW48" s="478"/>
      <c r="VQX48" s="478"/>
      <c r="VQY48" s="478"/>
      <c r="VQZ48" s="478"/>
      <c r="VRA48" s="478"/>
      <c r="VRB48" s="478"/>
      <c r="VRC48" s="478"/>
      <c r="VRD48" s="478"/>
      <c r="VRE48" s="478"/>
      <c r="VRF48" s="478"/>
      <c r="VRG48" s="478"/>
      <c r="VRH48" s="478"/>
      <c r="VRI48" s="478"/>
      <c r="VRJ48" s="478"/>
      <c r="VRK48" s="478"/>
      <c r="VRL48" s="478"/>
      <c r="VRM48" s="478"/>
      <c r="VRN48" s="478"/>
      <c r="VRO48" s="478"/>
      <c r="VRP48" s="478"/>
      <c r="VRQ48" s="478"/>
      <c r="VRR48" s="478"/>
      <c r="VRS48" s="478"/>
      <c r="VRT48" s="478"/>
      <c r="VRU48" s="478"/>
      <c r="VRV48" s="478"/>
      <c r="VRW48" s="478"/>
      <c r="VRX48" s="478"/>
      <c r="VRY48" s="478"/>
      <c r="VRZ48" s="478"/>
      <c r="VSA48" s="478"/>
      <c r="VSB48" s="478"/>
      <c r="VSC48" s="478"/>
      <c r="VSD48" s="478"/>
      <c r="VSE48" s="478"/>
      <c r="VSF48" s="478"/>
      <c r="VSG48" s="478"/>
      <c r="VSH48" s="478"/>
      <c r="VSI48" s="478"/>
      <c r="VSJ48" s="478"/>
      <c r="VSK48" s="478"/>
      <c r="VSL48" s="478"/>
      <c r="VSM48" s="478"/>
      <c r="VSN48" s="478"/>
      <c r="VSO48" s="478"/>
      <c r="VSP48" s="478"/>
      <c r="VSQ48" s="478"/>
      <c r="VSR48" s="478"/>
      <c r="VSS48" s="478"/>
      <c r="VST48" s="478"/>
      <c r="VSU48" s="478"/>
      <c r="VSV48" s="478"/>
      <c r="VSW48" s="478"/>
      <c r="VSX48" s="478"/>
      <c r="VSY48" s="478"/>
      <c r="VSZ48" s="478"/>
      <c r="VTA48" s="478"/>
      <c r="VTB48" s="478"/>
      <c r="VTC48" s="478"/>
      <c r="VTD48" s="478"/>
      <c r="VTE48" s="478"/>
      <c r="VTF48" s="478"/>
      <c r="VTG48" s="478"/>
      <c r="VTH48" s="478"/>
      <c r="VTI48" s="478"/>
      <c r="VTJ48" s="478"/>
      <c r="VTK48" s="478"/>
      <c r="VTL48" s="478"/>
      <c r="VTM48" s="478"/>
      <c r="VTN48" s="478"/>
      <c r="VTO48" s="478"/>
      <c r="VTP48" s="478"/>
      <c r="VTQ48" s="478"/>
      <c r="VTR48" s="478"/>
      <c r="VTS48" s="478"/>
      <c r="VTT48" s="478"/>
      <c r="VTU48" s="478"/>
      <c r="VTV48" s="478"/>
      <c r="VTW48" s="478"/>
      <c r="VTX48" s="478"/>
      <c r="VTY48" s="478"/>
      <c r="VTZ48" s="478"/>
      <c r="VUA48" s="478"/>
      <c r="VUB48" s="478"/>
      <c r="VUC48" s="478"/>
      <c r="VUD48" s="478"/>
      <c r="VUE48" s="478"/>
      <c r="VUF48" s="478"/>
      <c r="VUG48" s="478"/>
      <c r="VUH48" s="478"/>
      <c r="VUI48" s="478"/>
      <c r="VUJ48" s="478"/>
      <c r="VUK48" s="478"/>
      <c r="VUL48" s="478"/>
      <c r="VUM48" s="478"/>
      <c r="VUN48" s="478"/>
      <c r="VUO48" s="478"/>
      <c r="VUP48" s="478"/>
      <c r="VUQ48" s="478"/>
      <c r="VUR48" s="478"/>
      <c r="VUS48" s="478"/>
      <c r="VUT48" s="478"/>
      <c r="VUU48" s="478"/>
      <c r="VUV48" s="478"/>
      <c r="VUW48" s="478"/>
      <c r="VUX48" s="478"/>
      <c r="VUY48" s="478"/>
      <c r="VUZ48" s="478"/>
      <c r="VVA48" s="478"/>
      <c r="VVB48" s="478"/>
      <c r="VVC48" s="478"/>
      <c r="VVD48" s="478"/>
      <c r="VVE48" s="478"/>
      <c r="VVF48" s="478"/>
      <c r="VVG48" s="478"/>
      <c r="VVH48" s="478"/>
      <c r="VVI48" s="478"/>
      <c r="VVJ48" s="478"/>
      <c r="VVK48" s="478"/>
      <c r="VVL48" s="478"/>
      <c r="VVM48" s="478"/>
      <c r="VVN48" s="478"/>
      <c r="VVO48" s="478"/>
      <c r="VVP48" s="478"/>
      <c r="VVQ48" s="478"/>
      <c r="VVR48" s="478"/>
      <c r="VVS48" s="478"/>
      <c r="VVT48" s="478"/>
      <c r="VVU48" s="478"/>
      <c r="VVV48" s="478"/>
      <c r="VVW48" s="478"/>
      <c r="VVX48" s="478"/>
      <c r="VVY48" s="478"/>
      <c r="VVZ48" s="478"/>
      <c r="VWA48" s="478"/>
      <c r="VWB48" s="478"/>
      <c r="VWC48" s="478"/>
      <c r="VWD48" s="478"/>
      <c r="VWE48" s="478"/>
      <c r="VWF48" s="478"/>
      <c r="VWG48" s="478"/>
      <c r="VWH48" s="478"/>
      <c r="VWI48" s="478"/>
      <c r="VWJ48" s="478"/>
      <c r="VWK48" s="478"/>
      <c r="VWL48" s="478"/>
      <c r="VWM48" s="478"/>
      <c r="VWN48" s="478"/>
      <c r="VWO48" s="478"/>
      <c r="VWP48" s="478"/>
      <c r="VWQ48" s="478"/>
      <c r="VWR48" s="478"/>
      <c r="VWS48" s="478"/>
      <c r="VWT48" s="478"/>
      <c r="VWU48" s="478"/>
      <c r="VWV48" s="478"/>
      <c r="VWW48" s="478"/>
      <c r="VWX48" s="478"/>
      <c r="VWY48" s="478"/>
      <c r="VWZ48" s="478"/>
      <c r="VXA48" s="478"/>
      <c r="VXB48" s="478"/>
      <c r="VXC48" s="478"/>
      <c r="VXD48" s="478"/>
      <c r="VXE48" s="478"/>
      <c r="VXF48" s="478"/>
      <c r="VXG48" s="478"/>
      <c r="VXH48" s="478"/>
      <c r="VXI48" s="478"/>
      <c r="VXJ48" s="478"/>
      <c r="VXK48" s="478"/>
      <c r="VXL48" s="478"/>
      <c r="VXM48" s="478"/>
      <c r="VXN48" s="478"/>
      <c r="VXO48" s="478"/>
      <c r="VXP48" s="478"/>
      <c r="VXQ48" s="478"/>
      <c r="VXR48" s="478"/>
      <c r="VXS48" s="478"/>
      <c r="VXT48" s="478"/>
      <c r="VXU48" s="478"/>
      <c r="VXV48" s="478"/>
      <c r="VXW48" s="478"/>
      <c r="VXX48" s="478"/>
      <c r="VXY48" s="478"/>
      <c r="VXZ48" s="478"/>
      <c r="VYA48" s="478"/>
      <c r="VYB48" s="478"/>
      <c r="VYC48" s="478"/>
      <c r="VYD48" s="478"/>
      <c r="VYE48" s="478"/>
      <c r="VYF48" s="478"/>
      <c r="VYG48" s="478"/>
      <c r="VYH48" s="478"/>
      <c r="VYI48" s="478"/>
      <c r="VYJ48" s="478"/>
      <c r="VYK48" s="478"/>
      <c r="VYL48" s="478"/>
      <c r="VYM48" s="478"/>
      <c r="VYN48" s="478"/>
      <c r="VYO48" s="478"/>
      <c r="VYP48" s="478"/>
      <c r="VYQ48" s="478"/>
      <c r="VYR48" s="478"/>
      <c r="VYS48" s="478"/>
      <c r="VYT48" s="478"/>
      <c r="VYU48" s="478"/>
      <c r="VYV48" s="478"/>
      <c r="VYW48" s="478"/>
      <c r="VYX48" s="478"/>
      <c r="VYY48" s="478"/>
      <c r="VYZ48" s="478"/>
      <c r="VZA48" s="478"/>
      <c r="VZB48" s="478"/>
      <c r="VZC48" s="478"/>
      <c r="VZD48" s="478"/>
      <c r="VZE48" s="478"/>
      <c r="VZF48" s="478"/>
      <c r="VZG48" s="478"/>
      <c r="VZH48" s="478"/>
      <c r="VZI48" s="478"/>
      <c r="VZJ48" s="478"/>
      <c r="VZK48" s="478"/>
      <c r="VZL48" s="478"/>
      <c r="VZM48" s="478"/>
      <c r="VZN48" s="478"/>
      <c r="VZO48" s="478"/>
      <c r="VZP48" s="478"/>
      <c r="VZQ48" s="478"/>
      <c r="VZR48" s="478"/>
      <c r="VZS48" s="478"/>
      <c r="VZT48" s="478"/>
      <c r="VZU48" s="478"/>
      <c r="VZV48" s="478"/>
      <c r="VZW48" s="478"/>
      <c r="VZX48" s="478"/>
      <c r="VZY48" s="478"/>
      <c r="VZZ48" s="478"/>
      <c r="WAA48" s="478"/>
      <c r="WAB48" s="478"/>
      <c r="WAC48" s="478"/>
      <c r="WAD48" s="478"/>
      <c r="WAE48" s="478"/>
      <c r="WAF48" s="478"/>
      <c r="WAG48" s="478"/>
      <c r="WAH48" s="478"/>
      <c r="WAI48" s="478"/>
      <c r="WAJ48" s="478"/>
      <c r="WAK48" s="478"/>
      <c r="WAL48" s="478"/>
      <c r="WAM48" s="478"/>
      <c r="WAN48" s="478"/>
      <c r="WAO48" s="478"/>
      <c r="WAP48" s="478"/>
      <c r="WAQ48" s="478"/>
      <c r="WAR48" s="478"/>
      <c r="WAS48" s="478"/>
      <c r="WAT48" s="478"/>
      <c r="WAU48" s="478"/>
      <c r="WAV48" s="478"/>
      <c r="WAW48" s="478"/>
      <c r="WAX48" s="478"/>
      <c r="WAY48" s="478"/>
      <c r="WAZ48" s="478"/>
      <c r="WBA48" s="478"/>
      <c r="WBB48" s="478"/>
      <c r="WBC48" s="478"/>
      <c r="WBD48" s="478"/>
      <c r="WBE48" s="478"/>
      <c r="WBF48" s="478"/>
      <c r="WBG48" s="478"/>
      <c r="WBH48" s="478"/>
      <c r="WBI48" s="478"/>
      <c r="WBJ48" s="478"/>
      <c r="WBK48" s="478"/>
      <c r="WBL48" s="478"/>
      <c r="WBM48" s="478"/>
      <c r="WBN48" s="478"/>
      <c r="WBO48" s="478"/>
      <c r="WBP48" s="478"/>
      <c r="WBQ48" s="478"/>
      <c r="WBR48" s="478"/>
      <c r="WBS48" s="478"/>
      <c r="WBT48" s="478"/>
      <c r="WBU48" s="478"/>
      <c r="WBV48" s="478"/>
      <c r="WBW48" s="478"/>
      <c r="WBX48" s="478"/>
      <c r="WBY48" s="478"/>
      <c r="WBZ48" s="478"/>
      <c r="WCA48" s="478"/>
      <c r="WCB48" s="478"/>
      <c r="WCC48" s="478"/>
      <c r="WCD48" s="478"/>
      <c r="WCE48" s="478"/>
      <c r="WCF48" s="478"/>
      <c r="WCG48" s="478"/>
      <c r="WCH48" s="478"/>
      <c r="WCI48" s="478"/>
      <c r="WCJ48" s="478"/>
      <c r="WCK48" s="478"/>
      <c r="WCL48" s="478"/>
      <c r="WCM48" s="478"/>
      <c r="WCN48" s="478"/>
      <c r="WCO48" s="478"/>
      <c r="WCP48" s="478"/>
      <c r="WCQ48" s="478"/>
      <c r="WCR48" s="478"/>
      <c r="WCS48" s="478"/>
      <c r="WCT48" s="478"/>
      <c r="WCU48" s="478"/>
      <c r="WCV48" s="478"/>
      <c r="WCW48" s="478"/>
      <c r="WCX48" s="478"/>
      <c r="WCY48" s="478"/>
      <c r="WCZ48" s="478"/>
      <c r="WDA48" s="478"/>
      <c r="WDB48" s="478"/>
      <c r="WDC48" s="478"/>
      <c r="WDD48" s="478"/>
      <c r="WDE48" s="478"/>
      <c r="WDF48" s="478"/>
      <c r="WDG48" s="478"/>
      <c r="WDH48" s="478"/>
      <c r="WDI48" s="478"/>
      <c r="WDJ48" s="478"/>
      <c r="WDK48" s="478"/>
      <c r="WDL48" s="478"/>
      <c r="WDM48" s="478"/>
      <c r="WDN48" s="478"/>
      <c r="WDO48" s="478"/>
      <c r="WDP48" s="478"/>
      <c r="WDQ48" s="478"/>
      <c r="WDR48" s="478"/>
      <c r="WDS48" s="478"/>
      <c r="WDT48" s="478"/>
      <c r="WDU48" s="478"/>
      <c r="WDV48" s="478"/>
      <c r="WDW48" s="478"/>
      <c r="WDX48" s="478"/>
      <c r="WDY48" s="478"/>
      <c r="WDZ48" s="478"/>
      <c r="WEA48" s="478"/>
      <c r="WEB48" s="478"/>
      <c r="WEC48" s="478"/>
      <c r="WED48" s="478"/>
      <c r="WEE48" s="478"/>
      <c r="WEF48" s="478"/>
      <c r="WEG48" s="478"/>
      <c r="WEH48" s="478"/>
      <c r="WEI48" s="478"/>
      <c r="WEJ48" s="478"/>
      <c r="WEK48" s="478"/>
      <c r="WEL48" s="478"/>
      <c r="WEM48" s="478"/>
      <c r="WEN48" s="478"/>
      <c r="WEO48" s="478"/>
      <c r="WEP48" s="478"/>
      <c r="WEQ48" s="478"/>
      <c r="WER48" s="478"/>
      <c r="WES48" s="478"/>
      <c r="WET48" s="478"/>
      <c r="WEU48" s="478"/>
      <c r="WEV48" s="478"/>
      <c r="WEW48" s="478"/>
      <c r="WEX48" s="478"/>
      <c r="WEY48" s="478"/>
      <c r="WEZ48" s="478"/>
      <c r="WFA48" s="478"/>
      <c r="WFB48" s="478"/>
      <c r="WFC48" s="478"/>
      <c r="WFD48" s="478"/>
      <c r="WFE48" s="478"/>
      <c r="WFF48" s="478"/>
      <c r="WFG48" s="478"/>
      <c r="WFH48" s="478"/>
      <c r="WFI48" s="478"/>
      <c r="WFJ48" s="478"/>
      <c r="WFK48" s="478"/>
      <c r="WFL48" s="478"/>
      <c r="WFM48" s="478"/>
      <c r="WFN48" s="478"/>
      <c r="WFO48" s="478"/>
      <c r="WFP48" s="478"/>
      <c r="WFQ48" s="478"/>
      <c r="WFR48" s="478"/>
      <c r="WFS48" s="478"/>
      <c r="WFT48" s="478"/>
      <c r="WFU48" s="478"/>
      <c r="WFV48" s="478"/>
      <c r="WFW48" s="478"/>
      <c r="WFX48" s="478"/>
      <c r="WFY48" s="478"/>
      <c r="WFZ48" s="478"/>
      <c r="WGA48" s="478"/>
      <c r="WGB48" s="478"/>
      <c r="WGC48" s="478"/>
      <c r="WGD48" s="478"/>
      <c r="WGE48" s="478"/>
      <c r="WGF48" s="478"/>
      <c r="WGG48" s="478"/>
      <c r="WGH48" s="478"/>
      <c r="WGI48" s="478"/>
      <c r="WGJ48" s="478"/>
      <c r="WGK48" s="478"/>
      <c r="WGL48" s="478"/>
      <c r="WGM48" s="478"/>
      <c r="WGN48" s="478"/>
      <c r="WGO48" s="478"/>
      <c r="WGP48" s="478"/>
      <c r="WGQ48" s="478"/>
      <c r="WGR48" s="478"/>
      <c r="WGS48" s="478"/>
      <c r="WGT48" s="478"/>
      <c r="WGU48" s="478"/>
      <c r="WGV48" s="478"/>
      <c r="WGW48" s="478"/>
      <c r="WGX48" s="478"/>
      <c r="WGY48" s="478"/>
      <c r="WGZ48" s="478"/>
      <c r="WHA48" s="478"/>
      <c r="WHB48" s="478"/>
      <c r="WHC48" s="478"/>
      <c r="WHD48" s="478"/>
      <c r="WHE48" s="478"/>
      <c r="WHF48" s="478"/>
      <c r="WHG48" s="478"/>
      <c r="WHH48" s="478"/>
      <c r="WHI48" s="478"/>
      <c r="WHJ48" s="478"/>
      <c r="WHK48" s="478"/>
      <c r="WHL48" s="478"/>
      <c r="WHM48" s="478"/>
      <c r="WHN48" s="478"/>
      <c r="WHO48" s="478"/>
      <c r="WHP48" s="478"/>
      <c r="WHQ48" s="478"/>
      <c r="WHR48" s="478"/>
      <c r="WHS48" s="478"/>
      <c r="WHT48" s="478"/>
      <c r="WHU48" s="478"/>
      <c r="WHV48" s="478"/>
      <c r="WHW48" s="478"/>
      <c r="WHX48" s="478"/>
      <c r="WHY48" s="478"/>
      <c r="WHZ48" s="478"/>
      <c r="WIA48" s="478"/>
      <c r="WIB48" s="478"/>
      <c r="WIC48" s="478"/>
      <c r="WID48" s="478"/>
      <c r="WIE48" s="478"/>
      <c r="WIF48" s="478"/>
      <c r="WIG48" s="478"/>
      <c r="WIH48" s="478"/>
      <c r="WII48" s="478"/>
      <c r="WIJ48" s="478"/>
      <c r="WIK48" s="478"/>
      <c r="WIL48" s="478"/>
      <c r="WIM48" s="478"/>
      <c r="WIN48" s="478"/>
      <c r="WIO48" s="478"/>
      <c r="WIP48" s="478"/>
      <c r="WIQ48" s="478"/>
      <c r="WIR48" s="478"/>
      <c r="WIS48" s="478"/>
      <c r="WIT48" s="478"/>
      <c r="WIU48" s="478"/>
      <c r="WIV48" s="478"/>
      <c r="WIW48" s="478"/>
      <c r="WIX48" s="478"/>
      <c r="WIY48" s="478"/>
      <c r="WIZ48" s="478"/>
      <c r="WJA48" s="478"/>
      <c r="WJB48" s="478"/>
      <c r="WJC48" s="478"/>
      <c r="WJD48" s="478"/>
      <c r="WJE48" s="478"/>
      <c r="WJF48" s="478"/>
      <c r="WJG48" s="478"/>
      <c r="WJH48" s="478"/>
      <c r="WJI48" s="478"/>
      <c r="WJJ48" s="478"/>
      <c r="WJK48" s="478"/>
      <c r="WJL48" s="478"/>
      <c r="WJM48" s="478"/>
      <c r="WJN48" s="478"/>
      <c r="WJO48" s="478"/>
      <c r="WJP48" s="478"/>
      <c r="WJQ48" s="478"/>
      <c r="WJR48" s="478"/>
      <c r="WJS48" s="478"/>
      <c r="WJT48" s="478"/>
      <c r="WJU48" s="478"/>
      <c r="WJV48" s="478"/>
      <c r="WJW48" s="478"/>
      <c r="WJX48" s="478"/>
      <c r="WJY48" s="478"/>
      <c r="WJZ48" s="478"/>
      <c r="WKA48" s="478"/>
      <c r="WKB48" s="478"/>
      <c r="WKC48" s="478"/>
      <c r="WKD48" s="478"/>
      <c r="WKE48" s="478"/>
      <c r="WKF48" s="478"/>
      <c r="WKG48" s="478"/>
      <c r="WKH48" s="478"/>
      <c r="WKI48" s="478"/>
      <c r="WKJ48" s="478"/>
      <c r="WKK48" s="478"/>
      <c r="WKL48" s="478"/>
      <c r="WKM48" s="478"/>
      <c r="WKN48" s="478"/>
      <c r="WKO48" s="478"/>
      <c r="WKP48" s="478"/>
      <c r="WKQ48" s="478"/>
      <c r="WKR48" s="478"/>
      <c r="WKS48" s="478"/>
      <c r="WKT48" s="478"/>
      <c r="WKU48" s="478"/>
      <c r="WKV48" s="478"/>
      <c r="WKW48" s="478"/>
      <c r="WKX48" s="478"/>
      <c r="WKY48" s="478"/>
      <c r="WKZ48" s="478"/>
      <c r="WLA48" s="478"/>
      <c r="WLB48" s="478"/>
      <c r="WLC48" s="478"/>
      <c r="WLD48" s="478"/>
      <c r="WLE48" s="478"/>
      <c r="WLF48" s="478"/>
      <c r="WLG48" s="478"/>
      <c r="WLH48" s="478"/>
      <c r="WLI48" s="478"/>
      <c r="WLJ48" s="478"/>
      <c r="WLK48" s="478"/>
      <c r="WLL48" s="478"/>
      <c r="WLM48" s="478"/>
      <c r="WLN48" s="478"/>
      <c r="WLO48" s="478"/>
      <c r="WLP48" s="478"/>
      <c r="WLQ48" s="478"/>
      <c r="WLR48" s="478"/>
      <c r="WLS48" s="478"/>
      <c r="WLT48" s="478"/>
      <c r="WLU48" s="478"/>
      <c r="WLV48" s="478"/>
      <c r="WLW48" s="478"/>
      <c r="WLX48" s="478"/>
      <c r="WLY48" s="478"/>
      <c r="WLZ48" s="478"/>
      <c r="WMA48" s="478"/>
      <c r="WMB48" s="478"/>
      <c r="WMC48" s="478"/>
      <c r="WMD48" s="478"/>
      <c r="WME48" s="478"/>
      <c r="WMF48" s="478"/>
      <c r="WMG48" s="478"/>
      <c r="WMH48" s="478"/>
      <c r="WMI48" s="478"/>
      <c r="WMJ48" s="478"/>
      <c r="WMK48" s="478"/>
      <c r="WML48" s="478"/>
      <c r="WMM48" s="478"/>
      <c r="WMN48" s="478"/>
      <c r="WMO48" s="478"/>
      <c r="WMP48" s="478"/>
      <c r="WMQ48" s="478"/>
      <c r="WMR48" s="478"/>
      <c r="WMS48" s="478"/>
      <c r="WMT48" s="478"/>
      <c r="WMU48" s="478"/>
      <c r="WMV48" s="478"/>
      <c r="WMW48" s="478"/>
      <c r="WMX48" s="478"/>
      <c r="WMY48" s="478"/>
      <c r="WMZ48" s="478"/>
      <c r="WNA48" s="478"/>
      <c r="WNB48" s="478"/>
      <c r="WNC48" s="478"/>
      <c r="WND48" s="478"/>
      <c r="WNE48" s="478"/>
      <c r="WNF48" s="478"/>
      <c r="WNG48" s="478"/>
      <c r="WNH48" s="478"/>
      <c r="WNI48" s="478"/>
      <c r="WNJ48" s="478"/>
      <c r="WNK48" s="478"/>
      <c r="WNL48" s="478"/>
      <c r="WNM48" s="478"/>
      <c r="WNN48" s="478"/>
      <c r="WNO48" s="478"/>
      <c r="WNP48" s="478"/>
      <c r="WNQ48" s="478"/>
      <c r="WNR48" s="478"/>
      <c r="WNS48" s="478"/>
      <c r="WNT48" s="478"/>
      <c r="WNU48" s="478"/>
      <c r="WNV48" s="478"/>
      <c r="WNW48" s="478"/>
      <c r="WNX48" s="478"/>
      <c r="WNY48" s="478"/>
      <c r="WNZ48" s="478"/>
      <c r="WOA48" s="478"/>
      <c r="WOB48" s="478"/>
      <c r="WOC48" s="478"/>
      <c r="WOD48" s="478"/>
      <c r="WOE48" s="478"/>
      <c r="WOF48" s="478"/>
      <c r="WOG48" s="478"/>
      <c r="WOH48" s="478"/>
      <c r="WOI48" s="478"/>
      <c r="WOJ48" s="478"/>
      <c r="WOK48" s="478"/>
      <c r="WOL48" s="478"/>
      <c r="WOM48" s="478"/>
      <c r="WON48" s="478"/>
      <c r="WOO48" s="478"/>
      <c r="WOP48" s="478"/>
      <c r="WOQ48" s="478"/>
      <c r="WOR48" s="478"/>
      <c r="WOS48" s="478"/>
      <c r="WOT48" s="478"/>
      <c r="WOU48" s="478"/>
      <c r="WOV48" s="478"/>
      <c r="WOW48" s="478"/>
      <c r="WOX48" s="478"/>
      <c r="WOY48" s="478"/>
      <c r="WOZ48" s="478"/>
      <c r="WPA48" s="478"/>
      <c r="WPB48" s="478"/>
      <c r="WPC48" s="478"/>
      <c r="WPD48" s="478"/>
      <c r="WPE48" s="478"/>
      <c r="WPF48" s="478"/>
      <c r="WPG48" s="478"/>
      <c r="WPH48" s="478"/>
      <c r="WPI48" s="478"/>
      <c r="WPJ48" s="478"/>
      <c r="WPK48" s="478"/>
      <c r="WPL48" s="478"/>
      <c r="WPM48" s="478"/>
      <c r="WPN48" s="478"/>
      <c r="WPO48" s="478"/>
      <c r="WPP48" s="478"/>
      <c r="WPQ48" s="478"/>
      <c r="WPR48" s="478"/>
      <c r="WPS48" s="478"/>
      <c r="WPT48" s="478"/>
      <c r="WPU48" s="478"/>
      <c r="WPV48" s="478"/>
      <c r="WPW48" s="478"/>
      <c r="WPX48" s="478"/>
      <c r="WPY48" s="478"/>
      <c r="WPZ48" s="478"/>
      <c r="WQA48" s="478"/>
      <c r="WQB48" s="478"/>
      <c r="WQC48" s="478"/>
      <c r="WQD48" s="478"/>
      <c r="WQE48" s="478"/>
      <c r="WQF48" s="478"/>
      <c r="WQG48" s="478"/>
      <c r="WQH48" s="478"/>
      <c r="WQI48" s="478"/>
      <c r="WQJ48" s="478"/>
      <c r="WQK48" s="478"/>
      <c r="WQL48" s="478"/>
      <c r="WQM48" s="478"/>
      <c r="WQN48" s="478"/>
      <c r="WQO48" s="478"/>
      <c r="WQP48" s="478"/>
      <c r="WQQ48" s="478"/>
      <c r="WQR48" s="478"/>
      <c r="WQS48" s="478"/>
      <c r="WQT48" s="478"/>
      <c r="WQU48" s="478"/>
      <c r="WQV48" s="478"/>
      <c r="WQW48" s="478"/>
      <c r="WQX48" s="478"/>
      <c r="WQY48" s="478"/>
      <c r="WQZ48" s="478"/>
      <c r="WRA48" s="478"/>
      <c r="WRB48" s="478"/>
      <c r="WRC48" s="478"/>
      <c r="WRD48" s="478"/>
      <c r="WRE48" s="478"/>
      <c r="WRF48" s="478"/>
      <c r="WRG48" s="478"/>
      <c r="WRH48" s="478"/>
      <c r="WRI48" s="478"/>
      <c r="WRJ48" s="478"/>
      <c r="WRK48" s="478"/>
      <c r="WRL48" s="478"/>
      <c r="WRM48" s="478"/>
      <c r="WRN48" s="478"/>
      <c r="WRO48" s="478"/>
      <c r="WRP48" s="478"/>
      <c r="WRQ48" s="478"/>
      <c r="WRR48" s="478"/>
      <c r="WRS48" s="478"/>
      <c r="WRT48" s="478"/>
      <c r="WRU48" s="478"/>
      <c r="WRV48" s="478"/>
      <c r="WRW48" s="478"/>
      <c r="WRX48" s="478"/>
      <c r="WRY48" s="478"/>
      <c r="WRZ48" s="478"/>
      <c r="WSA48" s="478"/>
      <c r="WSB48" s="478"/>
      <c r="WSC48" s="478"/>
      <c r="WSD48" s="478"/>
      <c r="WSE48" s="478"/>
      <c r="WSF48" s="478"/>
      <c r="WSG48" s="478"/>
      <c r="WSH48" s="478"/>
      <c r="WSI48" s="478"/>
      <c r="WSJ48" s="478"/>
      <c r="WSK48" s="478"/>
      <c r="WSL48" s="478"/>
      <c r="WSM48" s="478"/>
      <c r="WSN48" s="478"/>
      <c r="WSO48" s="478"/>
      <c r="WSP48" s="478"/>
      <c r="WSQ48" s="478"/>
      <c r="WSR48" s="478"/>
      <c r="WSS48" s="478"/>
      <c r="WST48" s="478"/>
      <c r="WSU48" s="478"/>
      <c r="WSV48" s="478"/>
      <c r="WSW48" s="478"/>
      <c r="WSX48" s="478"/>
      <c r="WSY48" s="478"/>
      <c r="WSZ48" s="478"/>
      <c r="WTA48" s="478"/>
      <c r="WTB48" s="478"/>
      <c r="WTC48" s="478"/>
      <c r="WTD48" s="478"/>
      <c r="WTE48" s="478"/>
      <c r="WTF48" s="478"/>
      <c r="WTG48" s="478"/>
      <c r="WTH48" s="478"/>
      <c r="WTI48" s="478"/>
      <c r="WTJ48" s="478"/>
      <c r="WTK48" s="478"/>
      <c r="WTL48" s="478"/>
      <c r="WTM48" s="478"/>
      <c r="WTN48" s="478"/>
      <c r="WTO48" s="478"/>
      <c r="WTP48" s="478"/>
      <c r="WTQ48" s="478"/>
      <c r="WTR48" s="478"/>
      <c r="WTS48" s="478"/>
      <c r="WTT48" s="478"/>
      <c r="WTU48" s="478"/>
      <c r="WTV48" s="478"/>
      <c r="WTW48" s="478"/>
      <c r="WTX48" s="478"/>
      <c r="WTY48" s="478"/>
      <c r="WTZ48" s="478"/>
      <c r="WUA48" s="478"/>
      <c r="WUB48" s="478"/>
      <c r="WUC48" s="478"/>
      <c r="WUD48" s="478"/>
      <c r="WUE48" s="478"/>
      <c r="WUF48" s="478"/>
      <c r="WUG48" s="478"/>
      <c r="WUH48" s="478"/>
      <c r="WUI48" s="478"/>
      <c r="WUJ48" s="478"/>
      <c r="WUK48" s="478"/>
      <c r="WUL48" s="478"/>
      <c r="WUM48" s="478"/>
      <c r="WUN48" s="478"/>
      <c r="WUO48" s="478"/>
      <c r="WUP48" s="478"/>
      <c r="WUQ48" s="478"/>
      <c r="WUR48" s="478"/>
      <c r="WUS48" s="478"/>
      <c r="WUT48" s="478"/>
      <c r="WUU48" s="478"/>
      <c r="WUV48" s="478"/>
      <c r="WUW48" s="478"/>
      <c r="WUX48" s="478"/>
      <c r="WUY48" s="478"/>
      <c r="WUZ48" s="478"/>
      <c r="WVA48" s="478"/>
      <c r="WVB48" s="478"/>
      <c r="WVC48" s="478"/>
      <c r="WVD48" s="478"/>
      <c r="WVE48" s="478"/>
      <c r="WVF48" s="478"/>
      <c r="WVG48" s="478"/>
      <c r="WVH48" s="478"/>
      <c r="WVI48" s="478"/>
      <c r="WVJ48" s="478"/>
      <c r="WVK48" s="478"/>
      <c r="WVL48" s="478"/>
      <c r="WVM48" s="478"/>
      <c r="WVN48" s="478"/>
      <c r="WVO48" s="478"/>
      <c r="WVP48" s="478"/>
      <c r="WVQ48" s="478"/>
      <c r="WVR48" s="478"/>
      <c r="WVS48" s="478"/>
      <c r="WVT48" s="478"/>
      <c r="WVU48" s="478"/>
      <c r="WVV48" s="478"/>
      <c r="WVW48" s="478"/>
      <c r="WVX48" s="478"/>
      <c r="WVY48" s="478"/>
      <c r="WVZ48" s="478"/>
      <c r="WWA48" s="478"/>
      <c r="WWB48" s="478"/>
      <c r="WWC48" s="478"/>
      <c r="WWD48" s="478"/>
      <c r="WWE48" s="478"/>
      <c r="WWF48" s="478"/>
      <c r="WWG48" s="478"/>
      <c r="WWH48" s="478"/>
      <c r="WWI48" s="478"/>
      <c r="WWJ48" s="478"/>
      <c r="WWK48" s="478"/>
      <c r="WWL48" s="478"/>
      <c r="WWM48" s="478"/>
      <c r="WWN48" s="478"/>
      <c r="WWO48" s="478"/>
      <c r="WWP48" s="478"/>
      <c r="WWQ48" s="478"/>
      <c r="WWR48" s="478"/>
      <c r="WWS48" s="478"/>
      <c r="WWT48" s="478"/>
      <c r="WWU48" s="478"/>
      <c r="WWV48" s="478"/>
      <c r="WWW48" s="478"/>
      <c r="WWX48" s="478"/>
      <c r="WWY48" s="478"/>
      <c r="WWZ48" s="478"/>
      <c r="WXA48" s="478"/>
      <c r="WXB48" s="478"/>
      <c r="WXC48" s="478"/>
      <c r="WXD48" s="478"/>
      <c r="WXE48" s="478"/>
      <c r="WXF48" s="478"/>
      <c r="WXG48" s="478"/>
      <c r="WXH48" s="478"/>
      <c r="WXI48" s="478"/>
      <c r="WXJ48" s="478"/>
      <c r="WXK48" s="478"/>
      <c r="WXL48" s="478"/>
      <c r="WXM48" s="478"/>
      <c r="WXN48" s="478"/>
      <c r="WXO48" s="478"/>
      <c r="WXP48" s="478"/>
      <c r="WXQ48" s="478"/>
      <c r="WXR48" s="478"/>
      <c r="WXS48" s="478"/>
      <c r="WXT48" s="478"/>
      <c r="WXU48" s="478"/>
      <c r="WXV48" s="478"/>
      <c r="WXW48" s="478"/>
      <c r="WXX48" s="478"/>
      <c r="WXY48" s="478"/>
      <c r="WXZ48" s="478"/>
      <c r="WYA48" s="478"/>
      <c r="WYB48" s="478"/>
      <c r="WYC48" s="478"/>
      <c r="WYD48" s="478"/>
      <c r="WYE48" s="478"/>
      <c r="WYF48" s="478"/>
      <c r="WYG48" s="478"/>
      <c r="WYH48" s="478"/>
      <c r="WYI48" s="478"/>
      <c r="WYJ48" s="478"/>
      <c r="WYK48" s="478"/>
      <c r="WYL48" s="478"/>
      <c r="WYM48" s="478"/>
      <c r="WYN48" s="478"/>
      <c r="WYO48" s="478"/>
      <c r="WYP48" s="478"/>
      <c r="WYQ48" s="478"/>
      <c r="WYR48" s="478"/>
      <c r="WYS48" s="478"/>
      <c r="WYT48" s="478"/>
      <c r="WYU48" s="478"/>
      <c r="WYV48" s="478"/>
      <c r="WYW48" s="478"/>
      <c r="WYX48" s="478"/>
      <c r="WYY48" s="478"/>
      <c r="WYZ48" s="478"/>
      <c r="WZA48" s="478"/>
      <c r="WZB48" s="478"/>
      <c r="WZC48" s="478"/>
      <c r="WZD48" s="478"/>
      <c r="WZE48" s="478"/>
      <c r="WZF48" s="478"/>
      <c r="WZG48" s="478"/>
      <c r="WZH48" s="478"/>
      <c r="WZI48" s="478"/>
      <c r="WZJ48" s="478"/>
      <c r="WZK48" s="478"/>
      <c r="WZL48" s="478"/>
      <c r="WZM48" s="478"/>
      <c r="WZN48" s="478"/>
      <c r="WZO48" s="478"/>
      <c r="WZP48" s="478"/>
      <c r="WZQ48" s="478"/>
      <c r="WZR48" s="478"/>
      <c r="WZS48" s="478"/>
      <c r="WZT48" s="478"/>
      <c r="WZU48" s="478"/>
      <c r="WZV48" s="478"/>
      <c r="WZW48" s="478"/>
      <c r="WZX48" s="478"/>
      <c r="WZY48" s="478"/>
      <c r="WZZ48" s="478"/>
      <c r="XAA48" s="478"/>
      <c r="XAB48" s="478"/>
      <c r="XAC48" s="478"/>
      <c r="XAD48" s="478"/>
      <c r="XAE48" s="478"/>
      <c r="XAF48" s="478"/>
      <c r="XAG48" s="478"/>
      <c r="XAH48" s="478"/>
      <c r="XAI48" s="478"/>
      <c r="XAJ48" s="478"/>
      <c r="XAK48" s="478"/>
      <c r="XAL48" s="478"/>
      <c r="XAM48" s="478"/>
      <c r="XAN48" s="478"/>
      <c r="XAO48" s="478"/>
      <c r="XAP48" s="478"/>
      <c r="XAQ48" s="478"/>
      <c r="XAR48" s="478"/>
      <c r="XAS48" s="478"/>
      <c r="XAT48" s="478"/>
      <c r="XAU48" s="478"/>
      <c r="XAV48" s="478"/>
      <c r="XAW48" s="478"/>
      <c r="XAX48" s="478"/>
      <c r="XAY48" s="478"/>
      <c r="XAZ48" s="478"/>
      <c r="XBA48" s="478"/>
      <c r="XBB48" s="478"/>
      <c r="XBC48" s="478"/>
      <c r="XBD48" s="478"/>
      <c r="XBE48" s="478"/>
      <c r="XBF48" s="478"/>
      <c r="XBG48" s="478"/>
      <c r="XBH48" s="478"/>
      <c r="XBI48" s="478"/>
      <c r="XBJ48" s="478"/>
      <c r="XBK48" s="478"/>
      <c r="XBL48" s="478"/>
      <c r="XBM48" s="478"/>
      <c r="XBN48" s="478"/>
      <c r="XBO48" s="478"/>
      <c r="XBP48" s="478"/>
      <c r="XBQ48" s="478"/>
      <c r="XBR48" s="478"/>
      <c r="XBS48" s="478"/>
      <c r="XBT48" s="478"/>
      <c r="XBU48" s="478"/>
      <c r="XBV48" s="478"/>
      <c r="XBW48" s="478"/>
      <c r="XBX48" s="478"/>
      <c r="XBY48" s="478"/>
      <c r="XBZ48" s="478"/>
      <c r="XCA48" s="478"/>
      <c r="XCB48" s="478"/>
      <c r="XCC48" s="478"/>
      <c r="XCD48" s="478"/>
      <c r="XCE48" s="478"/>
      <c r="XCF48" s="478"/>
      <c r="XCG48" s="478"/>
      <c r="XCH48" s="478"/>
      <c r="XCI48" s="478"/>
      <c r="XCJ48" s="478"/>
      <c r="XCK48" s="478"/>
      <c r="XCL48" s="478"/>
      <c r="XCM48" s="478"/>
      <c r="XCN48" s="478"/>
      <c r="XCO48" s="478"/>
      <c r="XCP48" s="478"/>
      <c r="XCQ48" s="478"/>
      <c r="XCR48" s="478"/>
      <c r="XCS48" s="478"/>
      <c r="XCT48" s="478"/>
      <c r="XCU48" s="478"/>
      <c r="XCV48" s="478"/>
      <c r="XCW48" s="478"/>
      <c r="XCX48" s="478"/>
      <c r="XCY48" s="478"/>
      <c r="XCZ48" s="478"/>
      <c r="XDA48" s="478"/>
      <c r="XDB48" s="478"/>
      <c r="XDC48" s="478"/>
      <c r="XDD48" s="478"/>
      <c r="XDE48" s="478"/>
      <c r="XDF48" s="478"/>
      <c r="XDG48" s="478"/>
      <c r="XDH48" s="478"/>
      <c r="XDI48" s="478"/>
      <c r="XDJ48" s="478"/>
      <c r="XDK48" s="478"/>
      <c r="XDL48" s="478"/>
      <c r="XDM48" s="478"/>
      <c r="XDN48" s="478"/>
      <c r="XDO48" s="478"/>
      <c r="XDP48" s="478"/>
      <c r="XDQ48" s="478"/>
      <c r="XDR48" s="478"/>
      <c r="XDS48" s="478"/>
      <c r="XDT48" s="478"/>
      <c r="XDU48" s="478"/>
      <c r="XDV48" s="478"/>
      <c r="XDW48" s="478"/>
      <c r="XDX48" s="478"/>
      <c r="XDY48" s="478"/>
      <c r="XDZ48" s="478"/>
      <c r="XEA48" s="478"/>
      <c r="XEB48" s="478"/>
      <c r="XEC48" s="478"/>
      <c r="XED48" s="478"/>
      <c r="XEE48" s="478"/>
      <c r="XEF48" s="478"/>
      <c r="XEG48" s="478"/>
      <c r="XEH48" s="478"/>
      <c r="XEI48" s="478"/>
      <c r="XEJ48" s="478"/>
      <c r="XEK48" s="478"/>
      <c r="XEL48" s="478"/>
      <c r="XEM48" s="478"/>
      <c r="XEN48" s="478"/>
      <c r="XEO48" s="478"/>
      <c r="XEP48" s="478"/>
      <c r="XEQ48" s="478"/>
      <c r="XER48" s="478"/>
      <c r="XES48" s="478"/>
      <c r="XET48" s="478"/>
      <c r="XEU48" s="478"/>
      <c r="XEV48" s="478"/>
      <c r="XEW48" s="478"/>
      <c r="XEX48" s="478"/>
      <c r="XEY48" s="478"/>
      <c r="XEZ48" s="478"/>
      <c r="XFA48" s="478"/>
      <c r="XFB48" s="478"/>
      <c r="XFC48" s="478"/>
      <c r="XFD48" s="478"/>
    </row>
    <row r="49" s="344" customFormat="1" customHeight="1" spans="1:16384">
      <c r="A49" s="380" t="str">
        <f t="shared" si="28"/>
        <v>ZU9-1</v>
      </c>
      <c r="B49" s="381">
        <f t="shared" si="4"/>
        <v>270.18</v>
      </c>
      <c r="C49" s="381">
        <f t="shared" si="5"/>
        <v>290.18</v>
      </c>
      <c r="D49" s="382">
        <f t="shared" si="6"/>
        <v>20</v>
      </c>
      <c r="E49" s="383">
        <f t="shared" si="7"/>
        <v>3.348</v>
      </c>
      <c r="F49" s="383">
        <f t="shared" si="8"/>
        <v>3.348</v>
      </c>
      <c r="G49" s="383">
        <f t="shared" si="9"/>
        <v>-3.30883</v>
      </c>
      <c r="H49" s="383">
        <f t="shared" si="10"/>
        <v>-3.90902</v>
      </c>
      <c r="I49" s="383">
        <f t="shared" si="11"/>
        <v>6.65683</v>
      </c>
      <c r="J49" s="383">
        <f t="shared" si="12"/>
        <v>7.25702</v>
      </c>
      <c r="K49" s="415">
        <f t="shared" si="13"/>
        <v>0.8</v>
      </c>
      <c r="L49" s="415">
        <f>LOOKUP(MAX(J49,I49),{0,3,4,5,6.5,7.5,9,10},{0.3,0.4,0.5,0.6,0.7,0.8,0.9})</f>
        <v>0.7</v>
      </c>
      <c r="M49" s="415">
        <f t="shared" si="14"/>
        <v>13.9</v>
      </c>
      <c r="N49" s="415">
        <f t="shared" si="15"/>
        <v>13.9</v>
      </c>
      <c r="O49" s="416">
        <f t="shared" si="16"/>
        <v>2.99054</v>
      </c>
      <c r="P49" s="417">
        <f t="shared" si="17"/>
        <v>3.19029</v>
      </c>
      <c r="Q49" s="417">
        <f t="shared" si="18"/>
        <v>1.75</v>
      </c>
      <c r="R49" s="382">
        <f t="shared" si="19"/>
        <v>1.75</v>
      </c>
      <c r="S49" s="456">
        <f t="shared" si="20"/>
        <v>0</v>
      </c>
      <c r="T49" s="457">
        <f t="shared" si="21"/>
        <v>2.16044</v>
      </c>
      <c r="U49" s="416">
        <f t="shared" si="22"/>
        <v>2.41984</v>
      </c>
      <c r="V49" s="416">
        <f t="shared" si="23"/>
        <v>0.45</v>
      </c>
      <c r="W49" s="457">
        <f t="shared" si="24"/>
        <v>0.45</v>
      </c>
      <c r="X49" s="458">
        <f t="shared" si="25"/>
        <v>0</v>
      </c>
      <c r="Y49" s="447">
        <f t="shared" si="26"/>
        <v>0</v>
      </c>
      <c r="Z49" s="447">
        <f t="shared" si="27"/>
        <v>0</v>
      </c>
      <c r="AA49" s="478"/>
      <c r="AB49" s="479"/>
      <c r="AC49" s="479"/>
      <c r="AD49" s="478"/>
      <c r="AE49" s="478"/>
      <c r="AF49" s="478"/>
      <c r="AG49" s="478"/>
      <c r="AH49" s="478"/>
      <c r="AI49" s="478"/>
      <c r="AJ49" s="478"/>
      <c r="AK49" s="478"/>
      <c r="AL49" s="478"/>
      <c r="AM49" s="478"/>
      <c r="AN49" s="478"/>
      <c r="AO49" s="478"/>
      <c r="AP49" s="478"/>
      <c r="AQ49" s="478"/>
      <c r="AR49" s="478"/>
      <c r="AS49" s="478"/>
      <c r="AT49" s="478"/>
      <c r="AU49" s="478"/>
      <c r="AV49" s="478"/>
      <c r="AW49" s="478"/>
      <c r="AX49" s="478"/>
      <c r="AY49" s="478"/>
      <c r="AZ49" s="478"/>
      <c r="BA49" s="478"/>
      <c r="BB49" s="478"/>
      <c r="BC49" s="478"/>
      <c r="BD49" s="478"/>
      <c r="BE49" s="478"/>
      <c r="BF49" s="478"/>
      <c r="BG49" s="478"/>
      <c r="BH49" s="478"/>
      <c r="BI49" s="478"/>
      <c r="BJ49" s="478"/>
      <c r="BK49" s="478"/>
      <c r="BL49" s="478"/>
      <c r="BM49" s="478"/>
      <c r="BN49" s="478"/>
      <c r="BO49" s="478"/>
      <c r="BP49" s="478"/>
      <c r="BQ49" s="478"/>
      <c r="BR49" s="478"/>
      <c r="BS49" s="478"/>
      <c r="BT49" s="478"/>
      <c r="BU49" s="478"/>
      <c r="BV49" s="478"/>
      <c r="BW49" s="478"/>
      <c r="BX49" s="478"/>
      <c r="BY49" s="478"/>
      <c r="BZ49" s="478"/>
      <c r="CA49" s="478"/>
      <c r="CB49" s="478"/>
      <c r="CC49" s="478"/>
      <c r="CD49" s="478"/>
      <c r="CE49" s="478"/>
      <c r="CF49" s="478"/>
      <c r="CG49" s="478"/>
      <c r="CH49" s="478"/>
      <c r="CI49" s="478"/>
      <c r="CJ49" s="478"/>
      <c r="CK49" s="478"/>
      <c r="CL49" s="478"/>
      <c r="CM49" s="478"/>
      <c r="CN49" s="478"/>
      <c r="CO49" s="478"/>
      <c r="CP49" s="478"/>
      <c r="CQ49" s="478"/>
      <c r="CR49" s="478"/>
      <c r="CS49" s="478"/>
      <c r="CT49" s="478"/>
      <c r="CU49" s="478"/>
      <c r="CV49" s="478"/>
      <c r="CW49" s="478"/>
      <c r="CX49" s="478"/>
      <c r="CY49" s="478"/>
      <c r="CZ49" s="478"/>
      <c r="DA49" s="478"/>
      <c r="DB49" s="478"/>
      <c r="DC49" s="478"/>
      <c r="DD49" s="478"/>
      <c r="DE49" s="478"/>
      <c r="DF49" s="478"/>
      <c r="DG49" s="478"/>
      <c r="DH49" s="478"/>
      <c r="DI49" s="478"/>
      <c r="DJ49" s="478"/>
      <c r="DK49" s="478"/>
      <c r="DL49" s="478"/>
      <c r="DM49" s="478"/>
      <c r="DN49" s="478"/>
      <c r="DO49" s="478"/>
      <c r="DP49" s="478"/>
      <c r="DQ49" s="478"/>
      <c r="DR49" s="478"/>
      <c r="DS49" s="478"/>
      <c r="DT49" s="478"/>
      <c r="DU49" s="478"/>
      <c r="DV49" s="478"/>
      <c r="DW49" s="478"/>
      <c r="DX49" s="478"/>
      <c r="DY49" s="478"/>
      <c r="DZ49" s="478"/>
      <c r="EA49" s="478"/>
      <c r="EB49" s="478"/>
      <c r="EC49" s="478"/>
      <c r="ED49" s="478"/>
      <c r="EE49" s="478"/>
      <c r="EF49" s="478"/>
      <c r="EG49" s="478"/>
      <c r="EH49" s="478"/>
      <c r="EI49" s="478"/>
      <c r="EJ49" s="478"/>
      <c r="EK49" s="478"/>
      <c r="EL49" s="478"/>
      <c r="EM49" s="478"/>
      <c r="EN49" s="478"/>
      <c r="EO49" s="478"/>
      <c r="EP49" s="478"/>
      <c r="EQ49" s="478"/>
      <c r="ER49" s="478"/>
      <c r="ES49" s="478"/>
      <c r="ET49" s="478"/>
      <c r="EU49" s="478"/>
      <c r="EV49" s="478"/>
      <c r="EW49" s="478"/>
      <c r="EX49" s="478"/>
      <c r="EY49" s="478"/>
      <c r="EZ49" s="478"/>
      <c r="FA49" s="478"/>
      <c r="FB49" s="478"/>
      <c r="FC49" s="478"/>
      <c r="FD49" s="478"/>
      <c r="FE49" s="478"/>
      <c r="FF49" s="478"/>
      <c r="FG49" s="478"/>
      <c r="FH49" s="478"/>
      <c r="FI49" s="478"/>
      <c r="FJ49" s="478"/>
      <c r="FK49" s="478"/>
      <c r="FL49" s="478"/>
      <c r="FM49" s="478"/>
      <c r="FN49" s="478"/>
      <c r="FO49" s="478"/>
      <c r="FP49" s="478"/>
      <c r="FQ49" s="478"/>
      <c r="FR49" s="478"/>
      <c r="FS49" s="478"/>
      <c r="FT49" s="478"/>
      <c r="FU49" s="478"/>
      <c r="FV49" s="478"/>
      <c r="FW49" s="478"/>
      <c r="FX49" s="478"/>
      <c r="FY49" s="478"/>
      <c r="FZ49" s="478"/>
      <c r="GA49" s="478"/>
      <c r="GB49" s="478"/>
      <c r="GC49" s="478"/>
      <c r="GD49" s="478"/>
      <c r="GE49" s="478"/>
      <c r="GF49" s="478"/>
      <c r="GG49" s="478"/>
      <c r="GH49" s="478"/>
      <c r="GI49" s="478"/>
      <c r="GJ49" s="478"/>
      <c r="GK49" s="478"/>
      <c r="GL49" s="478"/>
      <c r="GM49" s="478"/>
      <c r="GN49" s="478"/>
      <c r="GO49" s="478"/>
      <c r="GP49" s="478"/>
      <c r="GQ49" s="478"/>
      <c r="GR49" s="478"/>
      <c r="GS49" s="478"/>
      <c r="GT49" s="478"/>
      <c r="GU49" s="478"/>
      <c r="GV49" s="478"/>
      <c r="GW49" s="478"/>
      <c r="GX49" s="478"/>
      <c r="GY49" s="478"/>
      <c r="GZ49" s="478"/>
      <c r="HA49" s="478"/>
      <c r="HB49" s="478"/>
      <c r="HC49" s="478"/>
      <c r="HD49" s="478"/>
      <c r="HE49" s="478"/>
      <c r="HF49" s="478"/>
      <c r="HG49" s="478"/>
      <c r="HH49" s="478"/>
      <c r="HI49" s="478"/>
      <c r="HJ49" s="478"/>
      <c r="HK49" s="478"/>
      <c r="HL49" s="478"/>
      <c r="HM49" s="478"/>
      <c r="HN49" s="478"/>
      <c r="HO49" s="478"/>
      <c r="HP49" s="478"/>
      <c r="HQ49" s="478"/>
      <c r="HR49" s="478"/>
      <c r="HS49" s="478"/>
      <c r="HT49" s="478"/>
      <c r="HU49" s="478"/>
      <c r="HV49" s="478"/>
      <c r="HW49" s="478"/>
      <c r="HX49" s="478"/>
      <c r="HY49" s="478"/>
      <c r="HZ49" s="478"/>
      <c r="IA49" s="478"/>
      <c r="IB49" s="478"/>
      <c r="IC49" s="478"/>
      <c r="ID49" s="478"/>
      <c r="IE49" s="478"/>
      <c r="IF49" s="478"/>
      <c r="IG49" s="478"/>
      <c r="IH49" s="478"/>
      <c r="II49" s="478"/>
      <c r="IJ49" s="478"/>
      <c r="IK49" s="478"/>
      <c r="IL49" s="478"/>
      <c r="IM49" s="478"/>
      <c r="IN49" s="478"/>
      <c r="IO49" s="478"/>
      <c r="IP49" s="478"/>
      <c r="IQ49" s="478"/>
      <c r="IR49" s="478"/>
      <c r="IS49" s="478"/>
      <c r="IT49" s="478"/>
      <c r="IU49" s="478"/>
      <c r="IV49" s="478"/>
      <c r="IW49" s="478"/>
      <c r="IX49" s="478"/>
      <c r="IY49" s="478"/>
      <c r="IZ49" s="478"/>
      <c r="JA49" s="478"/>
      <c r="JB49" s="478"/>
      <c r="JC49" s="478"/>
      <c r="JD49" s="478"/>
      <c r="JE49" s="478"/>
      <c r="JF49" s="478"/>
      <c r="JG49" s="478"/>
      <c r="JH49" s="478"/>
      <c r="JI49" s="478"/>
      <c r="JJ49" s="478"/>
      <c r="JK49" s="478"/>
      <c r="JL49" s="478"/>
      <c r="JM49" s="478"/>
      <c r="JN49" s="478"/>
      <c r="JO49" s="478"/>
      <c r="JP49" s="478"/>
      <c r="JQ49" s="478"/>
      <c r="JR49" s="478"/>
      <c r="JS49" s="478"/>
      <c r="JT49" s="478"/>
      <c r="JU49" s="478"/>
      <c r="JV49" s="478"/>
      <c r="JW49" s="478"/>
      <c r="JX49" s="478"/>
      <c r="JY49" s="478"/>
      <c r="JZ49" s="478"/>
      <c r="KA49" s="478"/>
      <c r="KB49" s="478"/>
      <c r="KC49" s="478"/>
      <c r="KD49" s="478"/>
      <c r="KE49" s="478"/>
      <c r="KF49" s="478"/>
      <c r="KG49" s="478"/>
      <c r="KH49" s="478"/>
      <c r="KI49" s="478"/>
      <c r="KJ49" s="478"/>
      <c r="KK49" s="478"/>
      <c r="KL49" s="478"/>
      <c r="KM49" s="478"/>
      <c r="KN49" s="478"/>
      <c r="KO49" s="478"/>
      <c r="KP49" s="478"/>
      <c r="KQ49" s="478"/>
      <c r="KR49" s="478"/>
      <c r="KS49" s="478"/>
      <c r="KT49" s="478"/>
      <c r="KU49" s="478"/>
      <c r="KV49" s="478"/>
      <c r="KW49" s="478"/>
      <c r="KX49" s="478"/>
      <c r="KY49" s="478"/>
      <c r="KZ49" s="478"/>
      <c r="LA49" s="478"/>
      <c r="LB49" s="478"/>
      <c r="LC49" s="478"/>
      <c r="LD49" s="478"/>
      <c r="LE49" s="478"/>
      <c r="LF49" s="478"/>
      <c r="LG49" s="478"/>
      <c r="LH49" s="478"/>
      <c r="LI49" s="478"/>
      <c r="LJ49" s="478"/>
      <c r="LK49" s="478"/>
      <c r="LL49" s="478"/>
      <c r="LM49" s="478"/>
      <c r="LN49" s="478"/>
      <c r="LO49" s="478"/>
      <c r="LP49" s="478"/>
      <c r="LQ49" s="478"/>
      <c r="LR49" s="478"/>
      <c r="LS49" s="478"/>
      <c r="LT49" s="478"/>
      <c r="LU49" s="478"/>
      <c r="LV49" s="478"/>
      <c r="LW49" s="478"/>
      <c r="LX49" s="478"/>
      <c r="LY49" s="478"/>
      <c r="LZ49" s="478"/>
      <c r="MA49" s="478"/>
      <c r="MB49" s="478"/>
      <c r="MC49" s="478"/>
      <c r="MD49" s="478"/>
      <c r="ME49" s="478"/>
      <c r="MF49" s="478"/>
      <c r="MG49" s="478"/>
      <c r="MH49" s="478"/>
      <c r="MI49" s="478"/>
      <c r="MJ49" s="478"/>
      <c r="MK49" s="478"/>
      <c r="ML49" s="478"/>
      <c r="MM49" s="478"/>
      <c r="MN49" s="478"/>
      <c r="MO49" s="478"/>
      <c r="MP49" s="478"/>
      <c r="MQ49" s="478"/>
      <c r="MR49" s="478"/>
      <c r="MS49" s="478"/>
      <c r="MT49" s="478"/>
      <c r="MU49" s="478"/>
      <c r="MV49" s="478"/>
      <c r="MW49" s="478"/>
      <c r="MX49" s="478"/>
      <c r="MY49" s="478"/>
      <c r="MZ49" s="478"/>
      <c r="NA49" s="478"/>
      <c r="NB49" s="478"/>
      <c r="NC49" s="478"/>
      <c r="ND49" s="478"/>
      <c r="NE49" s="478"/>
      <c r="NF49" s="478"/>
      <c r="NG49" s="478"/>
      <c r="NH49" s="478"/>
      <c r="NI49" s="478"/>
      <c r="NJ49" s="478"/>
      <c r="NK49" s="478"/>
      <c r="NL49" s="478"/>
      <c r="NM49" s="478"/>
      <c r="NN49" s="478"/>
      <c r="NO49" s="478"/>
      <c r="NP49" s="478"/>
      <c r="NQ49" s="478"/>
      <c r="NR49" s="478"/>
      <c r="NS49" s="478"/>
      <c r="NT49" s="478"/>
      <c r="NU49" s="478"/>
      <c r="NV49" s="478"/>
      <c r="NW49" s="478"/>
      <c r="NX49" s="478"/>
      <c r="NY49" s="478"/>
      <c r="NZ49" s="478"/>
      <c r="OA49" s="478"/>
      <c r="OB49" s="478"/>
      <c r="OC49" s="478"/>
      <c r="OD49" s="478"/>
      <c r="OE49" s="478"/>
      <c r="OF49" s="478"/>
      <c r="OG49" s="478"/>
      <c r="OH49" s="478"/>
      <c r="OI49" s="478"/>
      <c r="OJ49" s="478"/>
      <c r="OK49" s="478"/>
      <c r="OL49" s="478"/>
      <c r="OM49" s="478"/>
      <c r="ON49" s="478"/>
      <c r="OO49" s="478"/>
      <c r="OP49" s="478"/>
      <c r="OQ49" s="478"/>
      <c r="OR49" s="478"/>
      <c r="OS49" s="478"/>
      <c r="OT49" s="478"/>
      <c r="OU49" s="478"/>
      <c r="OV49" s="478"/>
      <c r="OW49" s="478"/>
      <c r="OX49" s="478"/>
      <c r="OY49" s="478"/>
      <c r="OZ49" s="478"/>
      <c r="PA49" s="478"/>
      <c r="PB49" s="478"/>
      <c r="PC49" s="478"/>
      <c r="PD49" s="478"/>
      <c r="PE49" s="478"/>
      <c r="PF49" s="478"/>
      <c r="PG49" s="478"/>
      <c r="PH49" s="478"/>
      <c r="PI49" s="478"/>
      <c r="PJ49" s="478"/>
      <c r="PK49" s="478"/>
      <c r="PL49" s="478"/>
      <c r="PM49" s="478"/>
      <c r="PN49" s="478"/>
      <c r="PO49" s="478"/>
      <c r="PP49" s="478"/>
      <c r="PQ49" s="478"/>
      <c r="PR49" s="478"/>
      <c r="PS49" s="478"/>
      <c r="PT49" s="478"/>
      <c r="PU49" s="478"/>
      <c r="PV49" s="478"/>
      <c r="PW49" s="478"/>
      <c r="PX49" s="478"/>
      <c r="PY49" s="478"/>
      <c r="PZ49" s="478"/>
      <c r="QA49" s="478"/>
      <c r="QB49" s="478"/>
      <c r="QC49" s="478"/>
      <c r="QD49" s="478"/>
      <c r="QE49" s="478"/>
      <c r="QF49" s="478"/>
      <c r="QG49" s="478"/>
      <c r="QH49" s="478"/>
      <c r="QI49" s="478"/>
      <c r="QJ49" s="478"/>
      <c r="QK49" s="478"/>
      <c r="QL49" s="478"/>
      <c r="QM49" s="478"/>
      <c r="QN49" s="478"/>
      <c r="QO49" s="478"/>
      <c r="QP49" s="478"/>
      <c r="QQ49" s="478"/>
      <c r="QR49" s="478"/>
      <c r="QS49" s="478"/>
      <c r="QT49" s="478"/>
      <c r="QU49" s="478"/>
      <c r="QV49" s="478"/>
      <c r="QW49" s="478"/>
      <c r="QX49" s="478"/>
      <c r="QY49" s="478"/>
      <c r="QZ49" s="478"/>
      <c r="RA49" s="478"/>
      <c r="RB49" s="478"/>
      <c r="RC49" s="478"/>
      <c r="RD49" s="478"/>
      <c r="RE49" s="478"/>
      <c r="RF49" s="478"/>
      <c r="RG49" s="478"/>
      <c r="RH49" s="478"/>
      <c r="RI49" s="478"/>
      <c r="RJ49" s="478"/>
      <c r="RK49" s="478"/>
      <c r="RL49" s="478"/>
      <c r="RM49" s="478"/>
      <c r="RN49" s="478"/>
      <c r="RO49" s="478"/>
      <c r="RP49" s="478"/>
      <c r="RQ49" s="478"/>
      <c r="RR49" s="478"/>
      <c r="RS49" s="478"/>
      <c r="RT49" s="478"/>
      <c r="RU49" s="478"/>
      <c r="RV49" s="478"/>
      <c r="RW49" s="478"/>
      <c r="RX49" s="478"/>
      <c r="RY49" s="478"/>
      <c r="RZ49" s="478"/>
      <c r="SA49" s="478"/>
      <c r="SB49" s="478"/>
      <c r="SC49" s="478"/>
      <c r="SD49" s="478"/>
      <c r="SE49" s="478"/>
      <c r="SF49" s="478"/>
      <c r="SG49" s="478"/>
      <c r="SH49" s="478"/>
      <c r="SI49" s="478"/>
      <c r="SJ49" s="478"/>
      <c r="SK49" s="478"/>
      <c r="SL49" s="478"/>
      <c r="SM49" s="478"/>
      <c r="SN49" s="478"/>
      <c r="SO49" s="478"/>
      <c r="SP49" s="478"/>
      <c r="SQ49" s="478"/>
      <c r="SR49" s="478"/>
      <c r="SS49" s="478"/>
      <c r="ST49" s="478"/>
      <c r="SU49" s="478"/>
      <c r="SV49" s="478"/>
      <c r="SW49" s="478"/>
      <c r="SX49" s="478"/>
      <c r="SY49" s="478"/>
      <c r="SZ49" s="478"/>
      <c r="TA49" s="478"/>
      <c r="TB49" s="478"/>
      <c r="TC49" s="478"/>
      <c r="TD49" s="478"/>
      <c r="TE49" s="478"/>
      <c r="TF49" s="478"/>
      <c r="TG49" s="478"/>
      <c r="TH49" s="478"/>
      <c r="TI49" s="478"/>
      <c r="TJ49" s="478"/>
      <c r="TK49" s="478"/>
      <c r="TL49" s="478"/>
      <c r="TM49" s="478"/>
      <c r="TN49" s="478"/>
      <c r="TO49" s="478"/>
      <c r="TP49" s="478"/>
      <c r="TQ49" s="478"/>
      <c r="TR49" s="478"/>
      <c r="TS49" s="478"/>
      <c r="TT49" s="478"/>
      <c r="TU49" s="478"/>
      <c r="TV49" s="478"/>
      <c r="TW49" s="478"/>
      <c r="TX49" s="478"/>
      <c r="TY49" s="478"/>
      <c r="TZ49" s="478"/>
      <c r="UA49" s="478"/>
      <c r="UB49" s="478"/>
      <c r="UC49" s="478"/>
      <c r="UD49" s="478"/>
      <c r="UE49" s="478"/>
      <c r="UF49" s="478"/>
      <c r="UG49" s="478"/>
      <c r="UH49" s="478"/>
      <c r="UI49" s="478"/>
      <c r="UJ49" s="478"/>
      <c r="UK49" s="478"/>
      <c r="UL49" s="478"/>
      <c r="UM49" s="478"/>
      <c r="UN49" s="478"/>
      <c r="UO49" s="478"/>
      <c r="UP49" s="478"/>
      <c r="UQ49" s="478"/>
      <c r="UR49" s="478"/>
      <c r="US49" s="478"/>
      <c r="UT49" s="478"/>
      <c r="UU49" s="478"/>
      <c r="UV49" s="478"/>
      <c r="UW49" s="478"/>
      <c r="UX49" s="478"/>
      <c r="UY49" s="478"/>
      <c r="UZ49" s="478"/>
      <c r="VA49" s="478"/>
      <c r="VB49" s="478"/>
      <c r="VC49" s="478"/>
      <c r="VD49" s="478"/>
      <c r="VE49" s="478"/>
      <c r="VF49" s="478"/>
      <c r="VG49" s="478"/>
      <c r="VH49" s="478"/>
      <c r="VI49" s="478"/>
      <c r="VJ49" s="478"/>
      <c r="VK49" s="478"/>
      <c r="VL49" s="478"/>
      <c r="VM49" s="478"/>
      <c r="VN49" s="478"/>
      <c r="VO49" s="478"/>
      <c r="VP49" s="478"/>
      <c r="VQ49" s="478"/>
      <c r="VR49" s="478"/>
      <c r="VS49" s="478"/>
      <c r="VT49" s="478"/>
      <c r="VU49" s="478"/>
      <c r="VV49" s="478"/>
      <c r="VW49" s="478"/>
      <c r="VX49" s="478"/>
      <c r="VY49" s="478"/>
      <c r="VZ49" s="478"/>
      <c r="WA49" s="478"/>
      <c r="WB49" s="478"/>
      <c r="WC49" s="478"/>
      <c r="WD49" s="478"/>
      <c r="WE49" s="478"/>
      <c r="WF49" s="478"/>
      <c r="WG49" s="478"/>
      <c r="WH49" s="478"/>
      <c r="WI49" s="478"/>
      <c r="WJ49" s="478"/>
      <c r="WK49" s="478"/>
      <c r="WL49" s="478"/>
      <c r="WM49" s="478"/>
      <c r="WN49" s="478"/>
      <c r="WO49" s="478"/>
      <c r="WP49" s="478"/>
      <c r="WQ49" s="478"/>
      <c r="WR49" s="478"/>
      <c r="WS49" s="478"/>
      <c r="WT49" s="478"/>
      <c r="WU49" s="478"/>
      <c r="WV49" s="478"/>
      <c r="WW49" s="478"/>
      <c r="WX49" s="478"/>
      <c r="WY49" s="478"/>
      <c r="WZ49" s="478"/>
      <c r="XA49" s="478"/>
      <c r="XB49" s="478"/>
      <c r="XC49" s="478"/>
      <c r="XD49" s="478"/>
      <c r="XE49" s="478"/>
      <c r="XF49" s="478"/>
      <c r="XG49" s="478"/>
      <c r="XH49" s="478"/>
      <c r="XI49" s="478"/>
      <c r="XJ49" s="478"/>
      <c r="XK49" s="478"/>
      <c r="XL49" s="478"/>
      <c r="XM49" s="478"/>
      <c r="XN49" s="478"/>
      <c r="XO49" s="478"/>
      <c r="XP49" s="478"/>
      <c r="XQ49" s="478"/>
      <c r="XR49" s="478"/>
      <c r="XS49" s="478"/>
      <c r="XT49" s="478"/>
      <c r="XU49" s="478"/>
      <c r="XV49" s="478"/>
      <c r="XW49" s="478"/>
      <c r="XX49" s="478"/>
      <c r="XY49" s="478"/>
      <c r="XZ49" s="478"/>
      <c r="YA49" s="478"/>
      <c r="YB49" s="478"/>
      <c r="YC49" s="478"/>
      <c r="YD49" s="478"/>
      <c r="YE49" s="478"/>
      <c r="YF49" s="478"/>
      <c r="YG49" s="478"/>
      <c r="YH49" s="478"/>
      <c r="YI49" s="478"/>
      <c r="YJ49" s="478"/>
      <c r="YK49" s="478"/>
      <c r="YL49" s="478"/>
      <c r="YM49" s="478"/>
      <c r="YN49" s="478"/>
      <c r="YO49" s="478"/>
      <c r="YP49" s="478"/>
      <c r="YQ49" s="478"/>
      <c r="YR49" s="478"/>
      <c r="YS49" s="478"/>
      <c r="YT49" s="478"/>
      <c r="YU49" s="478"/>
      <c r="YV49" s="478"/>
      <c r="YW49" s="478"/>
      <c r="YX49" s="478"/>
      <c r="YY49" s="478"/>
      <c r="YZ49" s="478"/>
      <c r="ZA49" s="478"/>
      <c r="ZB49" s="478"/>
      <c r="ZC49" s="478"/>
      <c r="ZD49" s="478"/>
      <c r="ZE49" s="478"/>
      <c r="ZF49" s="478"/>
      <c r="ZG49" s="478"/>
      <c r="ZH49" s="478"/>
      <c r="ZI49" s="478"/>
      <c r="ZJ49" s="478"/>
      <c r="ZK49" s="478"/>
      <c r="ZL49" s="478"/>
      <c r="ZM49" s="478"/>
      <c r="ZN49" s="478"/>
      <c r="ZO49" s="478"/>
      <c r="ZP49" s="478"/>
      <c r="ZQ49" s="478"/>
      <c r="ZR49" s="478"/>
      <c r="ZS49" s="478"/>
      <c r="ZT49" s="478"/>
      <c r="ZU49" s="478"/>
      <c r="ZV49" s="478"/>
      <c r="ZW49" s="478"/>
      <c r="ZX49" s="478"/>
      <c r="ZY49" s="478"/>
      <c r="ZZ49" s="478"/>
      <c r="AAA49" s="478"/>
      <c r="AAB49" s="478"/>
      <c r="AAC49" s="478"/>
      <c r="AAD49" s="478"/>
      <c r="AAE49" s="478"/>
      <c r="AAF49" s="478"/>
      <c r="AAG49" s="478"/>
      <c r="AAH49" s="478"/>
      <c r="AAI49" s="478"/>
      <c r="AAJ49" s="478"/>
      <c r="AAK49" s="478"/>
      <c r="AAL49" s="478"/>
      <c r="AAM49" s="478"/>
      <c r="AAN49" s="478"/>
      <c r="AAO49" s="478"/>
      <c r="AAP49" s="478"/>
      <c r="AAQ49" s="478"/>
      <c r="AAR49" s="478"/>
      <c r="AAS49" s="478"/>
      <c r="AAT49" s="478"/>
      <c r="AAU49" s="478"/>
      <c r="AAV49" s="478"/>
      <c r="AAW49" s="478"/>
      <c r="AAX49" s="478"/>
      <c r="AAY49" s="478"/>
      <c r="AAZ49" s="478"/>
      <c r="ABA49" s="478"/>
      <c r="ABB49" s="478"/>
      <c r="ABC49" s="478"/>
      <c r="ABD49" s="478"/>
      <c r="ABE49" s="478"/>
      <c r="ABF49" s="478"/>
      <c r="ABG49" s="478"/>
      <c r="ABH49" s="478"/>
      <c r="ABI49" s="478"/>
      <c r="ABJ49" s="478"/>
      <c r="ABK49" s="478"/>
      <c r="ABL49" s="478"/>
      <c r="ABM49" s="478"/>
      <c r="ABN49" s="478"/>
      <c r="ABO49" s="478"/>
      <c r="ABP49" s="478"/>
      <c r="ABQ49" s="478"/>
      <c r="ABR49" s="478"/>
      <c r="ABS49" s="478"/>
      <c r="ABT49" s="478"/>
      <c r="ABU49" s="478"/>
      <c r="ABV49" s="478"/>
      <c r="ABW49" s="478"/>
      <c r="ABX49" s="478"/>
      <c r="ABY49" s="478"/>
      <c r="ABZ49" s="478"/>
      <c r="ACA49" s="478"/>
      <c r="ACB49" s="478"/>
      <c r="ACC49" s="478"/>
      <c r="ACD49" s="478"/>
      <c r="ACE49" s="478"/>
      <c r="ACF49" s="478"/>
      <c r="ACG49" s="478"/>
      <c r="ACH49" s="478"/>
      <c r="ACI49" s="478"/>
      <c r="ACJ49" s="478"/>
      <c r="ACK49" s="478"/>
      <c r="ACL49" s="478"/>
      <c r="ACM49" s="478"/>
      <c r="ACN49" s="478"/>
      <c r="ACO49" s="478"/>
      <c r="ACP49" s="478"/>
      <c r="ACQ49" s="478"/>
      <c r="ACR49" s="478"/>
      <c r="ACS49" s="478"/>
      <c r="ACT49" s="478"/>
      <c r="ACU49" s="478"/>
      <c r="ACV49" s="478"/>
      <c r="ACW49" s="478"/>
      <c r="ACX49" s="478"/>
      <c r="ACY49" s="478"/>
      <c r="ACZ49" s="478"/>
      <c r="ADA49" s="478"/>
      <c r="ADB49" s="478"/>
      <c r="ADC49" s="478"/>
      <c r="ADD49" s="478"/>
      <c r="ADE49" s="478"/>
      <c r="ADF49" s="478"/>
      <c r="ADG49" s="478"/>
      <c r="ADH49" s="478"/>
      <c r="ADI49" s="478"/>
      <c r="ADJ49" s="478"/>
      <c r="ADK49" s="478"/>
      <c r="ADL49" s="478"/>
      <c r="ADM49" s="478"/>
      <c r="ADN49" s="478"/>
      <c r="ADO49" s="478"/>
      <c r="ADP49" s="478"/>
      <c r="ADQ49" s="478"/>
      <c r="ADR49" s="478"/>
      <c r="ADS49" s="478"/>
      <c r="ADT49" s="478"/>
      <c r="ADU49" s="478"/>
      <c r="ADV49" s="478"/>
      <c r="ADW49" s="478"/>
      <c r="ADX49" s="478"/>
      <c r="ADY49" s="478"/>
      <c r="ADZ49" s="478"/>
      <c r="AEA49" s="478"/>
      <c r="AEB49" s="478"/>
      <c r="AEC49" s="478"/>
      <c r="AED49" s="478"/>
      <c r="AEE49" s="478"/>
      <c r="AEF49" s="478"/>
      <c r="AEG49" s="478"/>
      <c r="AEH49" s="478"/>
      <c r="AEI49" s="478"/>
      <c r="AEJ49" s="478"/>
      <c r="AEK49" s="478"/>
      <c r="AEL49" s="478"/>
      <c r="AEM49" s="478"/>
      <c r="AEN49" s="478"/>
      <c r="AEO49" s="478"/>
      <c r="AEP49" s="478"/>
      <c r="AEQ49" s="478"/>
      <c r="AER49" s="478"/>
      <c r="AES49" s="478"/>
      <c r="AET49" s="478"/>
      <c r="AEU49" s="478"/>
      <c r="AEV49" s="478"/>
      <c r="AEW49" s="478"/>
      <c r="AEX49" s="478"/>
      <c r="AEY49" s="478"/>
      <c r="AEZ49" s="478"/>
      <c r="AFA49" s="478"/>
      <c r="AFB49" s="478"/>
      <c r="AFC49" s="478"/>
      <c r="AFD49" s="478"/>
      <c r="AFE49" s="478"/>
      <c r="AFF49" s="478"/>
      <c r="AFG49" s="478"/>
      <c r="AFH49" s="478"/>
      <c r="AFI49" s="478"/>
      <c r="AFJ49" s="478"/>
      <c r="AFK49" s="478"/>
      <c r="AFL49" s="478"/>
      <c r="AFM49" s="478"/>
      <c r="AFN49" s="478"/>
      <c r="AFO49" s="478"/>
      <c r="AFP49" s="478"/>
      <c r="AFQ49" s="478"/>
      <c r="AFR49" s="478"/>
      <c r="AFS49" s="478"/>
      <c r="AFT49" s="478"/>
      <c r="AFU49" s="478"/>
      <c r="AFV49" s="478"/>
      <c r="AFW49" s="478"/>
      <c r="AFX49" s="478"/>
      <c r="AFY49" s="478"/>
      <c r="AFZ49" s="478"/>
      <c r="AGA49" s="478"/>
      <c r="AGB49" s="478"/>
      <c r="AGC49" s="478"/>
      <c r="AGD49" s="478"/>
      <c r="AGE49" s="478"/>
      <c r="AGF49" s="478"/>
      <c r="AGG49" s="478"/>
      <c r="AGH49" s="478"/>
      <c r="AGI49" s="478"/>
      <c r="AGJ49" s="478"/>
      <c r="AGK49" s="478"/>
      <c r="AGL49" s="478"/>
      <c r="AGM49" s="478"/>
      <c r="AGN49" s="478"/>
      <c r="AGO49" s="478"/>
      <c r="AGP49" s="478"/>
      <c r="AGQ49" s="478"/>
      <c r="AGR49" s="478"/>
      <c r="AGS49" s="478"/>
      <c r="AGT49" s="478"/>
      <c r="AGU49" s="478"/>
      <c r="AGV49" s="478"/>
      <c r="AGW49" s="478"/>
      <c r="AGX49" s="478"/>
      <c r="AGY49" s="478"/>
      <c r="AGZ49" s="478"/>
      <c r="AHA49" s="478"/>
      <c r="AHB49" s="478"/>
      <c r="AHC49" s="478"/>
      <c r="AHD49" s="478"/>
      <c r="AHE49" s="478"/>
      <c r="AHF49" s="478"/>
      <c r="AHG49" s="478"/>
      <c r="AHH49" s="478"/>
      <c r="AHI49" s="478"/>
      <c r="AHJ49" s="478"/>
      <c r="AHK49" s="478"/>
      <c r="AHL49" s="478"/>
      <c r="AHM49" s="478"/>
      <c r="AHN49" s="478"/>
      <c r="AHO49" s="478"/>
      <c r="AHP49" s="478"/>
      <c r="AHQ49" s="478"/>
      <c r="AHR49" s="478"/>
      <c r="AHS49" s="478"/>
      <c r="AHT49" s="478"/>
      <c r="AHU49" s="478"/>
      <c r="AHV49" s="478"/>
      <c r="AHW49" s="478"/>
      <c r="AHX49" s="478"/>
      <c r="AHY49" s="478"/>
      <c r="AHZ49" s="478"/>
      <c r="AIA49" s="478"/>
      <c r="AIB49" s="478"/>
      <c r="AIC49" s="478"/>
      <c r="AID49" s="478"/>
      <c r="AIE49" s="478"/>
      <c r="AIF49" s="478"/>
      <c r="AIG49" s="478"/>
      <c r="AIH49" s="478"/>
      <c r="AII49" s="478"/>
      <c r="AIJ49" s="478"/>
      <c r="AIK49" s="478"/>
      <c r="AIL49" s="478"/>
      <c r="AIM49" s="478"/>
      <c r="AIN49" s="478"/>
      <c r="AIO49" s="478"/>
      <c r="AIP49" s="478"/>
      <c r="AIQ49" s="478"/>
      <c r="AIR49" s="478"/>
      <c r="AIS49" s="478"/>
      <c r="AIT49" s="478"/>
      <c r="AIU49" s="478"/>
      <c r="AIV49" s="478"/>
      <c r="AIW49" s="478"/>
      <c r="AIX49" s="478"/>
      <c r="AIY49" s="478"/>
      <c r="AIZ49" s="478"/>
      <c r="AJA49" s="478"/>
      <c r="AJB49" s="478"/>
      <c r="AJC49" s="478"/>
      <c r="AJD49" s="478"/>
      <c r="AJE49" s="478"/>
      <c r="AJF49" s="478"/>
      <c r="AJG49" s="478"/>
      <c r="AJH49" s="478"/>
      <c r="AJI49" s="478"/>
      <c r="AJJ49" s="478"/>
      <c r="AJK49" s="478"/>
      <c r="AJL49" s="478"/>
      <c r="AJM49" s="478"/>
      <c r="AJN49" s="478"/>
      <c r="AJO49" s="478"/>
      <c r="AJP49" s="478"/>
      <c r="AJQ49" s="478"/>
      <c r="AJR49" s="478"/>
      <c r="AJS49" s="478"/>
      <c r="AJT49" s="478"/>
      <c r="AJU49" s="478"/>
      <c r="AJV49" s="478"/>
      <c r="AJW49" s="478"/>
      <c r="AJX49" s="478"/>
      <c r="AJY49" s="478"/>
      <c r="AJZ49" s="478"/>
      <c r="AKA49" s="478"/>
      <c r="AKB49" s="478"/>
      <c r="AKC49" s="478"/>
      <c r="AKD49" s="478"/>
      <c r="AKE49" s="478"/>
      <c r="AKF49" s="478"/>
      <c r="AKG49" s="478"/>
      <c r="AKH49" s="478"/>
      <c r="AKI49" s="478"/>
      <c r="AKJ49" s="478"/>
      <c r="AKK49" s="478"/>
      <c r="AKL49" s="478"/>
      <c r="AKM49" s="478"/>
      <c r="AKN49" s="478"/>
      <c r="AKO49" s="478"/>
      <c r="AKP49" s="478"/>
      <c r="AKQ49" s="478"/>
      <c r="AKR49" s="478"/>
      <c r="AKS49" s="478"/>
      <c r="AKT49" s="478"/>
      <c r="AKU49" s="478"/>
      <c r="AKV49" s="478"/>
      <c r="AKW49" s="478"/>
      <c r="AKX49" s="478"/>
      <c r="AKY49" s="478"/>
      <c r="AKZ49" s="478"/>
      <c r="ALA49" s="478"/>
      <c r="ALB49" s="478"/>
      <c r="ALC49" s="478"/>
      <c r="ALD49" s="478"/>
      <c r="ALE49" s="478"/>
      <c r="ALF49" s="478"/>
      <c r="ALG49" s="478"/>
      <c r="ALH49" s="478"/>
      <c r="ALI49" s="478"/>
      <c r="ALJ49" s="478"/>
      <c r="ALK49" s="478"/>
      <c r="ALL49" s="478"/>
      <c r="ALM49" s="478"/>
      <c r="ALN49" s="478"/>
      <c r="ALO49" s="478"/>
      <c r="ALP49" s="478"/>
      <c r="ALQ49" s="478"/>
      <c r="ALR49" s="478"/>
      <c r="ALS49" s="478"/>
      <c r="ALT49" s="478"/>
      <c r="ALU49" s="478"/>
      <c r="ALV49" s="478"/>
      <c r="ALW49" s="478"/>
      <c r="ALX49" s="478"/>
      <c r="ALY49" s="478"/>
      <c r="ALZ49" s="478"/>
      <c r="AMA49" s="478"/>
      <c r="AMB49" s="478"/>
      <c r="AMC49" s="478"/>
      <c r="AMD49" s="478"/>
      <c r="AME49" s="478"/>
      <c r="AMF49" s="478"/>
      <c r="AMG49" s="478"/>
      <c r="AMH49" s="478"/>
      <c r="AMI49" s="478"/>
      <c r="AMJ49" s="478"/>
      <c r="AMK49" s="478"/>
      <c r="AML49" s="478"/>
      <c r="AMM49" s="478"/>
      <c r="AMN49" s="478"/>
      <c r="AMO49" s="478"/>
      <c r="AMP49" s="478"/>
      <c r="AMQ49" s="478"/>
      <c r="AMR49" s="478"/>
      <c r="AMS49" s="478"/>
      <c r="AMT49" s="478"/>
      <c r="AMU49" s="478"/>
      <c r="AMV49" s="478"/>
      <c r="AMW49" s="478"/>
      <c r="AMX49" s="478"/>
      <c r="AMY49" s="478"/>
      <c r="AMZ49" s="478"/>
      <c r="ANA49" s="478"/>
      <c r="ANB49" s="478"/>
      <c r="ANC49" s="478"/>
      <c r="AND49" s="478"/>
      <c r="ANE49" s="478"/>
      <c r="ANF49" s="478"/>
      <c r="ANG49" s="478"/>
      <c r="ANH49" s="478"/>
      <c r="ANI49" s="478"/>
      <c r="ANJ49" s="478"/>
      <c r="ANK49" s="478"/>
      <c r="ANL49" s="478"/>
      <c r="ANM49" s="478"/>
      <c r="ANN49" s="478"/>
      <c r="ANO49" s="478"/>
      <c r="ANP49" s="478"/>
      <c r="ANQ49" s="478"/>
      <c r="ANR49" s="478"/>
      <c r="ANS49" s="478"/>
      <c r="ANT49" s="478"/>
      <c r="ANU49" s="478"/>
      <c r="ANV49" s="478"/>
      <c r="ANW49" s="478"/>
      <c r="ANX49" s="478"/>
      <c r="ANY49" s="478"/>
      <c r="ANZ49" s="478"/>
      <c r="AOA49" s="478"/>
      <c r="AOB49" s="478"/>
      <c r="AOC49" s="478"/>
      <c r="AOD49" s="478"/>
      <c r="AOE49" s="478"/>
      <c r="AOF49" s="478"/>
      <c r="AOG49" s="478"/>
      <c r="AOH49" s="478"/>
      <c r="AOI49" s="478"/>
      <c r="AOJ49" s="478"/>
      <c r="AOK49" s="478"/>
      <c r="AOL49" s="478"/>
      <c r="AOM49" s="478"/>
      <c r="AON49" s="478"/>
      <c r="AOO49" s="478"/>
      <c r="AOP49" s="478"/>
      <c r="AOQ49" s="478"/>
      <c r="AOR49" s="478"/>
      <c r="AOS49" s="478"/>
      <c r="AOT49" s="478"/>
      <c r="AOU49" s="478"/>
      <c r="AOV49" s="478"/>
      <c r="AOW49" s="478"/>
      <c r="AOX49" s="478"/>
      <c r="AOY49" s="478"/>
      <c r="AOZ49" s="478"/>
      <c r="APA49" s="478"/>
      <c r="APB49" s="478"/>
      <c r="APC49" s="478"/>
      <c r="APD49" s="478"/>
      <c r="APE49" s="478"/>
      <c r="APF49" s="478"/>
      <c r="APG49" s="478"/>
      <c r="APH49" s="478"/>
      <c r="API49" s="478"/>
      <c r="APJ49" s="478"/>
      <c r="APK49" s="478"/>
      <c r="APL49" s="478"/>
      <c r="APM49" s="478"/>
      <c r="APN49" s="478"/>
      <c r="APO49" s="478"/>
      <c r="APP49" s="478"/>
      <c r="APQ49" s="478"/>
      <c r="APR49" s="478"/>
      <c r="APS49" s="478"/>
      <c r="APT49" s="478"/>
      <c r="APU49" s="478"/>
      <c r="APV49" s="478"/>
      <c r="APW49" s="478"/>
      <c r="APX49" s="478"/>
      <c r="APY49" s="478"/>
      <c r="APZ49" s="478"/>
      <c r="AQA49" s="478"/>
      <c r="AQB49" s="478"/>
      <c r="AQC49" s="478"/>
      <c r="AQD49" s="478"/>
      <c r="AQE49" s="478"/>
      <c r="AQF49" s="478"/>
      <c r="AQG49" s="478"/>
      <c r="AQH49" s="478"/>
      <c r="AQI49" s="478"/>
      <c r="AQJ49" s="478"/>
      <c r="AQK49" s="478"/>
      <c r="AQL49" s="478"/>
      <c r="AQM49" s="478"/>
      <c r="AQN49" s="478"/>
      <c r="AQO49" s="478"/>
      <c r="AQP49" s="478"/>
      <c r="AQQ49" s="478"/>
      <c r="AQR49" s="478"/>
      <c r="AQS49" s="478"/>
      <c r="AQT49" s="478"/>
      <c r="AQU49" s="478"/>
      <c r="AQV49" s="478"/>
      <c r="AQW49" s="478"/>
      <c r="AQX49" s="478"/>
      <c r="AQY49" s="478"/>
      <c r="AQZ49" s="478"/>
      <c r="ARA49" s="478"/>
      <c r="ARB49" s="478"/>
      <c r="ARC49" s="478"/>
      <c r="ARD49" s="478"/>
      <c r="ARE49" s="478"/>
      <c r="ARF49" s="478"/>
      <c r="ARG49" s="478"/>
      <c r="ARH49" s="478"/>
      <c r="ARI49" s="478"/>
      <c r="ARJ49" s="478"/>
      <c r="ARK49" s="478"/>
      <c r="ARL49" s="478"/>
      <c r="ARM49" s="478"/>
      <c r="ARN49" s="478"/>
      <c r="ARO49" s="478"/>
      <c r="ARP49" s="478"/>
      <c r="ARQ49" s="478"/>
      <c r="ARR49" s="478"/>
      <c r="ARS49" s="478"/>
      <c r="ART49" s="478"/>
      <c r="ARU49" s="478"/>
      <c r="ARV49" s="478"/>
      <c r="ARW49" s="478"/>
      <c r="ARX49" s="478"/>
      <c r="ARY49" s="478"/>
      <c r="ARZ49" s="478"/>
      <c r="ASA49" s="478"/>
      <c r="ASB49" s="478"/>
      <c r="ASC49" s="478"/>
      <c r="ASD49" s="478"/>
      <c r="ASE49" s="478"/>
      <c r="ASF49" s="478"/>
      <c r="ASG49" s="478"/>
      <c r="ASH49" s="478"/>
      <c r="ASI49" s="478"/>
      <c r="ASJ49" s="478"/>
      <c r="ASK49" s="478"/>
      <c r="ASL49" s="478"/>
      <c r="ASM49" s="478"/>
      <c r="ASN49" s="478"/>
      <c r="ASO49" s="478"/>
      <c r="ASP49" s="478"/>
      <c r="ASQ49" s="478"/>
      <c r="ASR49" s="478"/>
      <c r="ASS49" s="478"/>
      <c r="AST49" s="478"/>
      <c r="ASU49" s="478"/>
      <c r="ASV49" s="478"/>
      <c r="ASW49" s="478"/>
      <c r="ASX49" s="478"/>
      <c r="ASY49" s="478"/>
      <c r="ASZ49" s="478"/>
      <c r="ATA49" s="478"/>
      <c r="ATB49" s="478"/>
      <c r="ATC49" s="478"/>
      <c r="ATD49" s="478"/>
      <c r="ATE49" s="478"/>
      <c r="ATF49" s="478"/>
      <c r="ATG49" s="478"/>
      <c r="ATH49" s="478"/>
      <c r="ATI49" s="478"/>
      <c r="ATJ49" s="478"/>
      <c r="ATK49" s="478"/>
      <c r="ATL49" s="478"/>
      <c r="ATM49" s="478"/>
      <c r="ATN49" s="478"/>
      <c r="ATO49" s="478"/>
      <c r="ATP49" s="478"/>
      <c r="ATQ49" s="478"/>
      <c r="ATR49" s="478"/>
      <c r="ATS49" s="478"/>
      <c r="ATT49" s="478"/>
      <c r="ATU49" s="478"/>
      <c r="ATV49" s="478"/>
      <c r="ATW49" s="478"/>
      <c r="ATX49" s="478"/>
      <c r="ATY49" s="478"/>
      <c r="ATZ49" s="478"/>
      <c r="AUA49" s="478"/>
      <c r="AUB49" s="478"/>
      <c r="AUC49" s="478"/>
      <c r="AUD49" s="478"/>
      <c r="AUE49" s="478"/>
      <c r="AUF49" s="478"/>
      <c r="AUG49" s="478"/>
      <c r="AUH49" s="478"/>
      <c r="AUI49" s="478"/>
      <c r="AUJ49" s="478"/>
      <c r="AUK49" s="478"/>
      <c r="AUL49" s="478"/>
      <c r="AUM49" s="478"/>
      <c r="AUN49" s="478"/>
      <c r="AUO49" s="478"/>
      <c r="AUP49" s="478"/>
      <c r="AUQ49" s="478"/>
      <c r="AUR49" s="478"/>
      <c r="AUS49" s="478"/>
      <c r="AUT49" s="478"/>
      <c r="AUU49" s="478"/>
      <c r="AUV49" s="478"/>
      <c r="AUW49" s="478"/>
      <c r="AUX49" s="478"/>
      <c r="AUY49" s="478"/>
      <c r="AUZ49" s="478"/>
      <c r="AVA49" s="478"/>
      <c r="AVB49" s="478"/>
      <c r="AVC49" s="478"/>
      <c r="AVD49" s="478"/>
      <c r="AVE49" s="478"/>
      <c r="AVF49" s="478"/>
      <c r="AVG49" s="478"/>
      <c r="AVH49" s="478"/>
      <c r="AVI49" s="478"/>
      <c r="AVJ49" s="478"/>
      <c r="AVK49" s="478"/>
      <c r="AVL49" s="478"/>
      <c r="AVM49" s="478"/>
      <c r="AVN49" s="478"/>
      <c r="AVO49" s="478"/>
      <c r="AVP49" s="478"/>
      <c r="AVQ49" s="478"/>
      <c r="AVR49" s="478"/>
      <c r="AVS49" s="478"/>
      <c r="AVT49" s="478"/>
      <c r="AVU49" s="478"/>
      <c r="AVV49" s="478"/>
      <c r="AVW49" s="478"/>
      <c r="AVX49" s="478"/>
      <c r="AVY49" s="478"/>
      <c r="AVZ49" s="478"/>
      <c r="AWA49" s="478"/>
      <c r="AWB49" s="478"/>
      <c r="AWC49" s="478"/>
      <c r="AWD49" s="478"/>
      <c r="AWE49" s="478"/>
      <c r="AWF49" s="478"/>
      <c r="AWG49" s="478"/>
      <c r="AWH49" s="478"/>
      <c r="AWI49" s="478"/>
      <c r="AWJ49" s="478"/>
      <c r="AWK49" s="478"/>
      <c r="AWL49" s="478"/>
      <c r="AWM49" s="478"/>
      <c r="AWN49" s="478"/>
      <c r="AWO49" s="478"/>
      <c r="AWP49" s="478"/>
      <c r="AWQ49" s="478"/>
      <c r="AWR49" s="478"/>
      <c r="AWS49" s="478"/>
      <c r="AWT49" s="478"/>
      <c r="AWU49" s="478"/>
      <c r="AWV49" s="478"/>
      <c r="AWW49" s="478"/>
      <c r="AWX49" s="478"/>
      <c r="AWY49" s="478"/>
      <c r="AWZ49" s="478"/>
      <c r="AXA49" s="478"/>
      <c r="AXB49" s="478"/>
      <c r="AXC49" s="478"/>
      <c r="AXD49" s="478"/>
      <c r="AXE49" s="478"/>
      <c r="AXF49" s="478"/>
      <c r="AXG49" s="478"/>
      <c r="AXH49" s="478"/>
      <c r="AXI49" s="478"/>
      <c r="AXJ49" s="478"/>
      <c r="AXK49" s="478"/>
      <c r="AXL49" s="478"/>
      <c r="AXM49" s="478"/>
      <c r="AXN49" s="478"/>
      <c r="AXO49" s="478"/>
      <c r="AXP49" s="478"/>
      <c r="AXQ49" s="478"/>
      <c r="AXR49" s="478"/>
      <c r="AXS49" s="478"/>
      <c r="AXT49" s="478"/>
      <c r="AXU49" s="478"/>
      <c r="AXV49" s="478"/>
      <c r="AXW49" s="478"/>
      <c r="AXX49" s="478"/>
      <c r="AXY49" s="478"/>
      <c r="AXZ49" s="478"/>
      <c r="AYA49" s="478"/>
      <c r="AYB49" s="478"/>
      <c r="AYC49" s="478"/>
      <c r="AYD49" s="478"/>
      <c r="AYE49" s="478"/>
      <c r="AYF49" s="478"/>
      <c r="AYG49" s="478"/>
      <c r="AYH49" s="478"/>
      <c r="AYI49" s="478"/>
      <c r="AYJ49" s="478"/>
      <c r="AYK49" s="478"/>
      <c r="AYL49" s="478"/>
      <c r="AYM49" s="478"/>
      <c r="AYN49" s="478"/>
      <c r="AYO49" s="478"/>
      <c r="AYP49" s="478"/>
      <c r="AYQ49" s="478"/>
      <c r="AYR49" s="478"/>
      <c r="AYS49" s="478"/>
      <c r="AYT49" s="478"/>
      <c r="AYU49" s="478"/>
      <c r="AYV49" s="478"/>
      <c r="AYW49" s="478"/>
      <c r="AYX49" s="478"/>
      <c r="AYY49" s="478"/>
      <c r="AYZ49" s="478"/>
      <c r="AZA49" s="478"/>
      <c r="AZB49" s="478"/>
      <c r="AZC49" s="478"/>
      <c r="AZD49" s="478"/>
      <c r="AZE49" s="478"/>
      <c r="AZF49" s="478"/>
      <c r="AZG49" s="478"/>
      <c r="AZH49" s="478"/>
      <c r="AZI49" s="478"/>
      <c r="AZJ49" s="478"/>
      <c r="AZK49" s="478"/>
      <c r="AZL49" s="478"/>
      <c r="AZM49" s="478"/>
      <c r="AZN49" s="478"/>
      <c r="AZO49" s="478"/>
      <c r="AZP49" s="478"/>
      <c r="AZQ49" s="478"/>
      <c r="AZR49" s="478"/>
      <c r="AZS49" s="478"/>
      <c r="AZT49" s="478"/>
      <c r="AZU49" s="478"/>
      <c r="AZV49" s="478"/>
      <c r="AZW49" s="478"/>
      <c r="AZX49" s="478"/>
      <c r="AZY49" s="478"/>
      <c r="AZZ49" s="478"/>
      <c r="BAA49" s="478"/>
      <c r="BAB49" s="478"/>
      <c r="BAC49" s="478"/>
      <c r="BAD49" s="478"/>
      <c r="BAE49" s="478"/>
      <c r="BAF49" s="478"/>
      <c r="BAG49" s="478"/>
      <c r="BAH49" s="478"/>
      <c r="BAI49" s="478"/>
      <c r="BAJ49" s="478"/>
      <c r="BAK49" s="478"/>
      <c r="BAL49" s="478"/>
      <c r="BAM49" s="478"/>
      <c r="BAN49" s="478"/>
      <c r="BAO49" s="478"/>
      <c r="BAP49" s="478"/>
      <c r="BAQ49" s="478"/>
      <c r="BAR49" s="478"/>
      <c r="BAS49" s="478"/>
      <c r="BAT49" s="478"/>
      <c r="BAU49" s="478"/>
      <c r="BAV49" s="478"/>
      <c r="BAW49" s="478"/>
      <c r="BAX49" s="478"/>
      <c r="BAY49" s="478"/>
      <c r="BAZ49" s="478"/>
      <c r="BBA49" s="478"/>
      <c r="BBB49" s="478"/>
      <c r="BBC49" s="478"/>
      <c r="BBD49" s="478"/>
      <c r="BBE49" s="478"/>
      <c r="BBF49" s="478"/>
      <c r="BBG49" s="478"/>
      <c r="BBH49" s="478"/>
      <c r="BBI49" s="478"/>
      <c r="BBJ49" s="478"/>
      <c r="BBK49" s="478"/>
      <c r="BBL49" s="478"/>
      <c r="BBM49" s="478"/>
      <c r="BBN49" s="478"/>
      <c r="BBO49" s="478"/>
      <c r="BBP49" s="478"/>
      <c r="BBQ49" s="478"/>
      <c r="BBR49" s="478"/>
      <c r="BBS49" s="478"/>
      <c r="BBT49" s="478"/>
      <c r="BBU49" s="478"/>
      <c r="BBV49" s="478"/>
      <c r="BBW49" s="478"/>
      <c r="BBX49" s="478"/>
      <c r="BBY49" s="478"/>
      <c r="BBZ49" s="478"/>
      <c r="BCA49" s="478"/>
      <c r="BCB49" s="478"/>
      <c r="BCC49" s="478"/>
      <c r="BCD49" s="478"/>
      <c r="BCE49" s="478"/>
      <c r="BCF49" s="478"/>
      <c r="BCG49" s="478"/>
      <c r="BCH49" s="478"/>
      <c r="BCI49" s="478"/>
      <c r="BCJ49" s="478"/>
      <c r="BCK49" s="478"/>
      <c r="BCL49" s="478"/>
      <c r="BCM49" s="478"/>
      <c r="BCN49" s="478"/>
      <c r="BCO49" s="478"/>
      <c r="BCP49" s="478"/>
      <c r="BCQ49" s="478"/>
      <c r="BCR49" s="478"/>
      <c r="BCS49" s="478"/>
      <c r="BCT49" s="478"/>
      <c r="BCU49" s="478"/>
      <c r="BCV49" s="478"/>
      <c r="BCW49" s="478"/>
      <c r="BCX49" s="478"/>
      <c r="BCY49" s="478"/>
      <c r="BCZ49" s="478"/>
      <c r="BDA49" s="478"/>
      <c r="BDB49" s="478"/>
      <c r="BDC49" s="478"/>
      <c r="BDD49" s="478"/>
      <c r="BDE49" s="478"/>
      <c r="BDF49" s="478"/>
      <c r="BDG49" s="478"/>
      <c r="BDH49" s="478"/>
      <c r="BDI49" s="478"/>
      <c r="BDJ49" s="478"/>
      <c r="BDK49" s="478"/>
      <c r="BDL49" s="478"/>
      <c r="BDM49" s="478"/>
      <c r="BDN49" s="478"/>
      <c r="BDO49" s="478"/>
      <c r="BDP49" s="478"/>
      <c r="BDQ49" s="478"/>
      <c r="BDR49" s="478"/>
      <c r="BDS49" s="478"/>
      <c r="BDT49" s="478"/>
      <c r="BDU49" s="478"/>
      <c r="BDV49" s="478"/>
      <c r="BDW49" s="478"/>
      <c r="BDX49" s="478"/>
      <c r="BDY49" s="478"/>
      <c r="BDZ49" s="478"/>
      <c r="BEA49" s="478"/>
      <c r="BEB49" s="478"/>
      <c r="BEC49" s="478"/>
      <c r="BED49" s="478"/>
      <c r="BEE49" s="478"/>
      <c r="BEF49" s="478"/>
      <c r="BEG49" s="478"/>
      <c r="BEH49" s="478"/>
      <c r="BEI49" s="478"/>
      <c r="BEJ49" s="478"/>
      <c r="BEK49" s="478"/>
      <c r="BEL49" s="478"/>
      <c r="BEM49" s="478"/>
      <c r="BEN49" s="478"/>
      <c r="BEO49" s="478"/>
      <c r="BEP49" s="478"/>
      <c r="BEQ49" s="478"/>
      <c r="BER49" s="478"/>
      <c r="BES49" s="478"/>
      <c r="BET49" s="478"/>
      <c r="BEU49" s="478"/>
      <c r="BEV49" s="478"/>
      <c r="BEW49" s="478"/>
      <c r="BEX49" s="478"/>
      <c r="BEY49" s="478"/>
      <c r="BEZ49" s="478"/>
      <c r="BFA49" s="478"/>
      <c r="BFB49" s="478"/>
      <c r="BFC49" s="478"/>
      <c r="BFD49" s="478"/>
      <c r="BFE49" s="478"/>
      <c r="BFF49" s="478"/>
      <c r="BFG49" s="478"/>
      <c r="BFH49" s="478"/>
      <c r="BFI49" s="478"/>
      <c r="BFJ49" s="478"/>
      <c r="BFK49" s="478"/>
      <c r="BFL49" s="478"/>
      <c r="BFM49" s="478"/>
      <c r="BFN49" s="478"/>
      <c r="BFO49" s="478"/>
      <c r="BFP49" s="478"/>
      <c r="BFQ49" s="478"/>
      <c r="BFR49" s="478"/>
      <c r="BFS49" s="478"/>
      <c r="BFT49" s="478"/>
      <c r="BFU49" s="478"/>
      <c r="BFV49" s="478"/>
      <c r="BFW49" s="478"/>
      <c r="BFX49" s="478"/>
      <c r="BFY49" s="478"/>
      <c r="BFZ49" s="478"/>
      <c r="BGA49" s="478"/>
      <c r="BGB49" s="478"/>
      <c r="BGC49" s="478"/>
      <c r="BGD49" s="478"/>
      <c r="BGE49" s="478"/>
      <c r="BGF49" s="478"/>
      <c r="BGG49" s="478"/>
      <c r="BGH49" s="478"/>
      <c r="BGI49" s="478"/>
      <c r="BGJ49" s="478"/>
      <c r="BGK49" s="478"/>
      <c r="BGL49" s="478"/>
      <c r="BGM49" s="478"/>
      <c r="BGN49" s="478"/>
      <c r="BGO49" s="478"/>
      <c r="BGP49" s="478"/>
      <c r="BGQ49" s="478"/>
      <c r="BGR49" s="478"/>
      <c r="BGS49" s="478"/>
      <c r="BGT49" s="478"/>
      <c r="BGU49" s="478"/>
      <c r="BGV49" s="478"/>
      <c r="BGW49" s="478"/>
      <c r="BGX49" s="478"/>
      <c r="BGY49" s="478"/>
      <c r="BGZ49" s="478"/>
      <c r="BHA49" s="478"/>
      <c r="BHB49" s="478"/>
      <c r="BHC49" s="478"/>
      <c r="BHD49" s="478"/>
      <c r="BHE49" s="478"/>
      <c r="BHF49" s="478"/>
      <c r="BHG49" s="478"/>
      <c r="BHH49" s="478"/>
      <c r="BHI49" s="478"/>
      <c r="BHJ49" s="478"/>
      <c r="BHK49" s="478"/>
      <c r="BHL49" s="478"/>
      <c r="BHM49" s="478"/>
      <c r="BHN49" s="478"/>
      <c r="BHO49" s="478"/>
      <c r="BHP49" s="478"/>
      <c r="BHQ49" s="478"/>
      <c r="BHR49" s="478"/>
      <c r="BHS49" s="478"/>
      <c r="BHT49" s="478"/>
      <c r="BHU49" s="478"/>
      <c r="BHV49" s="478"/>
      <c r="BHW49" s="478"/>
      <c r="BHX49" s="478"/>
      <c r="BHY49" s="478"/>
      <c r="BHZ49" s="478"/>
      <c r="BIA49" s="478"/>
      <c r="BIB49" s="478"/>
      <c r="BIC49" s="478"/>
      <c r="BID49" s="478"/>
      <c r="BIE49" s="478"/>
      <c r="BIF49" s="478"/>
      <c r="BIG49" s="478"/>
      <c r="BIH49" s="478"/>
      <c r="BII49" s="478"/>
      <c r="BIJ49" s="478"/>
      <c r="BIK49" s="478"/>
      <c r="BIL49" s="478"/>
      <c r="BIM49" s="478"/>
      <c r="BIN49" s="478"/>
      <c r="BIO49" s="478"/>
      <c r="BIP49" s="478"/>
      <c r="BIQ49" s="478"/>
      <c r="BIR49" s="478"/>
      <c r="BIS49" s="478"/>
      <c r="BIT49" s="478"/>
      <c r="BIU49" s="478"/>
      <c r="BIV49" s="478"/>
      <c r="BIW49" s="478"/>
      <c r="BIX49" s="478"/>
      <c r="BIY49" s="478"/>
      <c r="BIZ49" s="478"/>
      <c r="BJA49" s="478"/>
      <c r="BJB49" s="478"/>
      <c r="BJC49" s="478"/>
      <c r="BJD49" s="478"/>
      <c r="BJE49" s="478"/>
      <c r="BJF49" s="478"/>
      <c r="BJG49" s="478"/>
      <c r="BJH49" s="478"/>
      <c r="BJI49" s="478"/>
      <c r="BJJ49" s="478"/>
      <c r="BJK49" s="478"/>
      <c r="BJL49" s="478"/>
      <c r="BJM49" s="478"/>
      <c r="BJN49" s="478"/>
      <c r="BJO49" s="478"/>
      <c r="BJP49" s="478"/>
      <c r="BJQ49" s="478"/>
      <c r="BJR49" s="478"/>
      <c r="BJS49" s="478"/>
      <c r="BJT49" s="478"/>
      <c r="BJU49" s="478"/>
      <c r="BJV49" s="478"/>
      <c r="BJW49" s="478"/>
      <c r="BJX49" s="478"/>
      <c r="BJY49" s="478"/>
      <c r="BJZ49" s="478"/>
      <c r="BKA49" s="478"/>
      <c r="BKB49" s="478"/>
      <c r="BKC49" s="478"/>
      <c r="BKD49" s="478"/>
      <c r="BKE49" s="478"/>
      <c r="BKF49" s="478"/>
      <c r="BKG49" s="478"/>
      <c r="BKH49" s="478"/>
      <c r="BKI49" s="478"/>
      <c r="BKJ49" s="478"/>
      <c r="BKK49" s="478"/>
      <c r="BKL49" s="478"/>
      <c r="BKM49" s="478"/>
      <c r="BKN49" s="478"/>
      <c r="BKO49" s="478"/>
      <c r="BKP49" s="478"/>
      <c r="BKQ49" s="478"/>
      <c r="BKR49" s="478"/>
      <c r="BKS49" s="478"/>
      <c r="BKT49" s="478"/>
      <c r="BKU49" s="478"/>
      <c r="BKV49" s="478"/>
      <c r="BKW49" s="478"/>
      <c r="BKX49" s="478"/>
      <c r="BKY49" s="478"/>
      <c r="BKZ49" s="478"/>
      <c r="BLA49" s="478"/>
      <c r="BLB49" s="478"/>
      <c r="BLC49" s="478"/>
      <c r="BLD49" s="478"/>
      <c r="BLE49" s="478"/>
      <c r="BLF49" s="478"/>
      <c r="BLG49" s="478"/>
      <c r="BLH49" s="478"/>
      <c r="BLI49" s="478"/>
      <c r="BLJ49" s="478"/>
      <c r="BLK49" s="478"/>
      <c r="BLL49" s="478"/>
      <c r="BLM49" s="478"/>
      <c r="BLN49" s="478"/>
      <c r="BLO49" s="478"/>
      <c r="BLP49" s="478"/>
      <c r="BLQ49" s="478"/>
      <c r="BLR49" s="478"/>
      <c r="BLS49" s="478"/>
      <c r="BLT49" s="478"/>
      <c r="BLU49" s="478"/>
      <c r="BLV49" s="478"/>
      <c r="BLW49" s="478"/>
      <c r="BLX49" s="478"/>
      <c r="BLY49" s="478"/>
      <c r="BLZ49" s="478"/>
      <c r="BMA49" s="478"/>
      <c r="BMB49" s="478"/>
      <c r="BMC49" s="478"/>
      <c r="BMD49" s="478"/>
      <c r="BME49" s="478"/>
      <c r="BMF49" s="478"/>
      <c r="BMG49" s="478"/>
      <c r="BMH49" s="478"/>
      <c r="BMI49" s="478"/>
      <c r="BMJ49" s="478"/>
      <c r="BMK49" s="478"/>
      <c r="BML49" s="478"/>
      <c r="BMM49" s="478"/>
      <c r="BMN49" s="478"/>
      <c r="BMO49" s="478"/>
      <c r="BMP49" s="478"/>
      <c r="BMQ49" s="478"/>
      <c r="BMR49" s="478"/>
      <c r="BMS49" s="478"/>
      <c r="BMT49" s="478"/>
      <c r="BMU49" s="478"/>
      <c r="BMV49" s="478"/>
      <c r="BMW49" s="478"/>
      <c r="BMX49" s="478"/>
      <c r="BMY49" s="478"/>
      <c r="BMZ49" s="478"/>
      <c r="BNA49" s="478"/>
      <c r="BNB49" s="478"/>
      <c r="BNC49" s="478"/>
      <c r="BND49" s="478"/>
      <c r="BNE49" s="478"/>
      <c r="BNF49" s="478"/>
      <c r="BNG49" s="478"/>
      <c r="BNH49" s="478"/>
      <c r="BNI49" s="478"/>
      <c r="BNJ49" s="478"/>
      <c r="BNK49" s="478"/>
      <c r="BNL49" s="478"/>
      <c r="BNM49" s="478"/>
      <c r="BNN49" s="478"/>
      <c r="BNO49" s="478"/>
      <c r="BNP49" s="478"/>
      <c r="BNQ49" s="478"/>
      <c r="BNR49" s="478"/>
      <c r="BNS49" s="478"/>
      <c r="BNT49" s="478"/>
      <c r="BNU49" s="478"/>
      <c r="BNV49" s="478"/>
      <c r="BNW49" s="478"/>
      <c r="BNX49" s="478"/>
      <c r="BNY49" s="478"/>
      <c r="BNZ49" s="478"/>
      <c r="BOA49" s="478"/>
      <c r="BOB49" s="478"/>
      <c r="BOC49" s="478"/>
      <c r="BOD49" s="478"/>
      <c r="BOE49" s="478"/>
      <c r="BOF49" s="478"/>
      <c r="BOG49" s="478"/>
      <c r="BOH49" s="478"/>
      <c r="BOI49" s="478"/>
      <c r="BOJ49" s="478"/>
      <c r="BOK49" s="478"/>
      <c r="BOL49" s="478"/>
      <c r="BOM49" s="478"/>
      <c r="BON49" s="478"/>
      <c r="BOO49" s="478"/>
      <c r="BOP49" s="478"/>
      <c r="BOQ49" s="478"/>
      <c r="BOR49" s="478"/>
      <c r="BOS49" s="478"/>
      <c r="BOT49" s="478"/>
      <c r="BOU49" s="478"/>
      <c r="BOV49" s="478"/>
      <c r="BOW49" s="478"/>
      <c r="BOX49" s="478"/>
      <c r="BOY49" s="478"/>
      <c r="BOZ49" s="478"/>
      <c r="BPA49" s="478"/>
      <c r="BPB49" s="478"/>
      <c r="BPC49" s="478"/>
      <c r="BPD49" s="478"/>
      <c r="BPE49" s="478"/>
      <c r="BPF49" s="478"/>
      <c r="BPG49" s="478"/>
      <c r="BPH49" s="478"/>
      <c r="BPI49" s="478"/>
      <c r="BPJ49" s="478"/>
      <c r="BPK49" s="478"/>
      <c r="BPL49" s="478"/>
      <c r="BPM49" s="478"/>
      <c r="BPN49" s="478"/>
      <c r="BPO49" s="478"/>
      <c r="BPP49" s="478"/>
      <c r="BPQ49" s="478"/>
      <c r="BPR49" s="478"/>
      <c r="BPS49" s="478"/>
      <c r="BPT49" s="478"/>
      <c r="BPU49" s="478"/>
      <c r="BPV49" s="478"/>
      <c r="BPW49" s="478"/>
      <c r="BPX49" s="478"/>
      <c r="BPY49" s="478"/>
      <c r="BPZ49" s="478"/>
      <c r="BQA49" s="478"/>
      <c r="BQB49" s="478"/>
      <c r="BQC49" s="478"/>
      <c r="BQD49" s="478"/>
      <c r="BQE49" s="478"/>
      <c r="BQF49" s="478"/>
      <c r="BQG49" s="478"/>
      <c r="BQH49" s="478"/>
      <c r="BQI49" s="478"/>
      <c r="BQJ49" s="478"/>
      <c r="BQK49" s="478"/>
      <c r="BQL49" s="478"/>
      <c r="BQM49" s="478"/>
      <c r="BQN49" s="478"/>
      <c r="BQO49" s="478"/>
      <c r="BQP49" s="478"/>
      <c r="BQQ49" s="478"/>
      <c r="BQR49" s="478"/>
      <c r="BQS49" s="478"/>
      <c r="BQT49" s="478"/>
      <c r="BQU49" s="478"/>
      <c r="BQV49" s="478"/>
      <c r="BQW49" s="478"/>
      <c r="BQX49" s="478"/>
      <c r="BQY49" s="478"/>
      <c r="BQZ49" s="478"/>
      <c r="BRA49" s="478"/>
      <c r="BRB49" s="478"/>
      <c r="BRC49" s="478"/>
      <c r="BRD49" s="478"/>
      <c r="BRE49" s="478"/>
      <c r="BRF49" s="478"/>
      <c r="BRG49" s="478"/>
      <c r="BRH49" s="478"/>
      <c r="BRI49" s="478"/>
      <c r="BRJ49" s="478"/>
      <c r="BRK49" s="478"/>
      <c r="BRL49" s="478"/>
      <c r="BRM49" s="478"/>
      <c r="BRN49" s="478"/>
      <c r="BRO49" s="478"/>
      <c r="BRP49" s="478"/>
      <c r="BRQ49" s="478"/>
      <c r="BRR49" s="478"/>
      <c r="BRS49" s="478"/>
      <c r="BRT49" s="478"/>
      <c r="BRU49" s="478"/>
      <c r="BRV49" s="478"/>
      <c r="BRW49" s="478"/>
      <c r="BRX49" s="478"/>
      <c r="BRY49" s="478"/>
      <c r="BRZ49" s="478"/>
      <c r="BSA49" s="478"/>
      <c r="BSB49" s="478"/>
      <c r="BSC49" s="478"/>
      <c r="BSD49" s="478"/>
      <c r="BSE49" s="478"/>
      <c r="BSF49" s="478"/>
      <c r="BSG49" s="478"/>
      <c r="BSH49" s="478"/>
      <c r="BSI49" s="478"/>
      <c r="BSJ49" s="478"/>
      <c r="BSK49" s="478"/>
      <c r="BSL49" s="478"/>
      <c r="BSM49" s="478"/>
      <c r="BSN49" s="478"/>
      <c r="BSO49" s="478"/>
      <c r="BSP49" s="478"/>
      <c r="BSQ49" s="478"/>
      <c r="BSR49" s="478"/>
      <c r="BSS49" s="478"/>
      <c r="BST49" s="478"/>
      <c r="BSU49" s="478"/>
      <c r="BSV49" s="478"/>
      <c r="BSW49" s="478"/>
      <c r="BSX49" s="478"/>
      <c r="BSY49" s="478"/>
      <c r="BSZ49" s="478"/>
      <c r="BTA49" s="478"/>
      <c r="BTB49" s="478"/>
      <c r="BTC49" s="478"/>
      <c r="BTD49" s="478"/>
      <c r="BTE49" s="478"/>
      <c r="BTF49" s="478"/>
      <c r="BTG49" s="478"/>
      <c r="BTH49" s="478"/>
      <c r="BTI49" s="478"/>
      <c r="BTJ49" s="478"/>
      <c r="BTK49" s="478"/>
      <c r="BTL49" s="478"/>
      <c r="BTM49" s="478"/>
      <c r="BTN49" s="478"/>
      <c r="BTO49" s="478"/>
      <c r="BTP49" s="478"/>
      <c r="BTQ49" s="478"/>
      <c r="BTR49" s="478"/>
      <c r="BTS49" s="478"/>
      <c r="BTT49" s="478"/>
      <c r="BTU49" s="478"/>
      <c r="BTV49" s="478"/>
      <c r="BTW49" s="478"/>
      <c r="BTX49" s="478"/>
      <c r="BTY49" s="478"/>
      <c r="BTZ49" s="478"/>
      <c r="BUA49" s="478"/>
      <c r="BUB49" s="478"/>
      <c r="BUC49" s="478"/>
      <c r="BUD49" s="478"/>
      <c r="BUE49" s="478"/>
      <c r="BUF49" s="478"/>
      <c r="BUG49" s="478"/>
      <c r="BUH49" s="478"/>
      <c r="BUI49" s="478"/>
      <c r="BUJ49" s="478"/>
      <c r="BUK49" s="478"/>
      <c r="BUL49" s="478"/>
      <c r="BUM49" s="478"/>
      <c r="BUN49" s="478"/>
      <c r="BUO49" s="478"/>
      <c r="BUP49" s="478"/>
      <c r="BUQ49" s="478"/>
      <c r="BUR49" s="478"/>
      <c r="BUS49" s="478"/>
      <c r="BUT49" s="478"/>
      <c r="BUU49" s="478"/>
      <c r="BUV49" s="478"/>
      <c r="BUW49" s="478"/>
      <c r="BUX49" s="478"/>
      <c r="BUY49" s="478"/>
      <c r="BUZ49" s="478"/>
      <c r="BVA49" s="478"/>
      <c r="BVB49" s="478"/>
      <c r="BVC49" s="478"/>
      <c r="BVD49" s="478"/>
      <c r="BVE49" s="478"/>
      <c r="BVF49" s="478"/>
      <c r="BVG49" s="478"/>
      <c r="BVH49" s="478"/>
      <c r="BVI49" s="478"/>
      <c r="BVJ49" s="478"/>
      <c r="BVK49" s="478"/>
      <c r="BVL49" s="478"/>
      <c r="BVM49" s="478"/>
      <c r="BVN49" s="478"/>
      <c r="BVO49" s="478"/>
      <c r="BVP49" s="478"/>
      <c r="BVQ49" s="478"/>
      <c r="BVR49" s="478"/>
      <c r="BVS49" s="478"/>
      <c r="BVT49" s="478"/>
      <c r="BVU49" s="478"/>
      <c r="BVV49" s="478"/>
      <c r="BVW49" s="478"/>
      <c r="BVX49" s="478"/>
      <c r="BVY49" s="478"/>
      <c r="BVZ49" s="478"/>
      <c r="BWA49" s="478"/>
      <c r="BWB49" s="478"/>
      <c r="BWC49" s="478"/>
      <c r="BWD49" s="478"/>
      <c r="BWE49" s="478"/>
      <c r="BWF49" s="478"/>
      <c r="BWG49" s="478"/>
      <c r="BWH49" s="478"/>
      <c r="BWI49" s="478"/>
      <c r="BWJ49" s="478"/>
      <c r="BWK49" s="478"/>
      <c r="BWL49" s="478"/>
      <c r="BWM49" s="478"/>
      <c r="BWN49" s="478"/>
      <c r="BWO49" s="478"/>
      <c r="BWP49" s="478"/>
      <c r="BWQ49" s="478"/>
      <c r="BWR49" s="478"/>
      <c r="BWS49" s="478"/>
      <c r="BWT49" s="478"/>
      <c r="BWU49" s="478"/>
      <c r="BWV49" s="478"/>
      <c r="BWW49" s="478"/>
      <c r="BWX49" s="478"/>
      <c r="BWY49" s="478"/>
      <c r="BWZ49" s="478"/>
      <c r="BXA49" s="478"/>
      <c r="BXB49" s="478"/>
      <c r="BXC49" s="478"/>
      <c r="BXD49" s="478"/>
      <c r="BXE49" s="478"/>
      <c r="BXF49" s="478"/>
      <c r="BXG49" s="478"/>
      <c r="BXH49" s="478"/>
      <c r="BXI49" s="478"/>
      <c r="BXJ49" s="478"/>
      <c r="BXK49" s="478"/>
      <c r="BXL49" s="478"/>
      <c r="BXM49" s="478"/>
      <c r="BXN49" s="478"/>
      <c r="BXO49" s="478"/>
      <c r="BXP49" s="478"/>
      <c r="BXQ49" s="478"/>
      <c r="BXR49" s="478"/>
      <c r="BXS49" s="478"/>
      <c r="BXT49" s="478"/>
      <c r="BXU49" s="478"/>
      <c r="BXV49" s="478"/>
      <c r="BXW49" s="478"/>
      <c r="BXX49" s="478"/>
      <c r="BXY49" s="478"/>
      <c r="BXZ49" s="478"/>
      <c r="BYA49" s="478"/>
      <c r="BYB49" s="478"/>
      <c r="BYC49" s="478"/>
      <c r="BYD49" s="478"/>
      <c r="BYE49" s="478"/>
      <c r="BYF49" s="478"/>
      <c r="BYG49" s="478"/>
      <c r="BYH49" s="478"/>
      <c r="BYI49" s="478"/>
      <c r="BYJ49" s="478"/>
      <c r="BYK49" s="478"/>
      <c r="BYL49" s="478"/>
      <c r="BYM49" s="478"/>
      <c r="BYN49" s="478"/>
      <c r="BYO49" s="478"/>
      <c r="BYP49" s="478"/>
      <c r="BYQ49" s="478"/>
      <c r="BYR49" s="478"/>
      <c r="BYS49" s="478"/>
      <c r="BYT49" s="478"/>
      <c r="BYU49" s="478"/>
      <c r="BYV49" s="478"/>
      <c r="BYW49" s="478"/>
      <c r="BYX49" s="478"/>
      <c r="BYY49" s="478"/>
      <c r="BYZ49" s="478"/>
      <c r="BZA49" s="478"/>
      <c r="BZB49" s="478"/>
      <c r="BZC49" s="478"/>
      <c r="BZD49" s="478"/>
      <c r="BZE49" s="478"/>
      <c r="BZF49" s="478"/>
      <c r="BZG49" s="478"/>
      <c r="BZH49" s="478"/>
      <c r="BZI49" s="478"/>
      <c r="BZJ49" s="478"/>
      <c r="BZK49" s="478"/>
      <c r="BZL49" s="478"/>
      <c r="BZM49" s="478"/>
      <c r="BZN49" s="478"/>
      <c r="BZO49" s="478"/>
      <c r="BZP49" s="478"/>
      <c r="BZQ49" s="478"/>
      <c r="BZR49" s="478"/>
      <c r="BZS49" s="478"/>
      <c r="BZT49" s="478"/>
      <c r="BZU49" s="478"/>
      <c r="BZV49" s="478"/>
      <c r="BZW49" s="478"/>
      <c r="BZX49" s="478"/>
      <c r="BZY49" s="478"/>
      <c r="BZZ49" s="478"/>
      <c r="CAA49" s="478"/>
      <c r="CAB49" s="478"/>
      <c r="CAC49" s="478"/>
      <c r="CAD49" s="478"/>
      <c r="CAE49" s="478"/>
      <c r="CAF49" s="478"/>
      <c r="CAG49" s="478"/>
      <c r="CAH49" s="478"/>
      <c r="CAI49" s="478"/>
      <c r="CAJ49" s="478"/>
      <c r="CAK49" s="478"/>
      <c r="CAL49" s="478"/>
      <c r="CAM49" s="478"/>
      <c r="CAN49" s="478"/>
      <c r="CAO49" s="478"/>
      <c r="CAP49" s="478"/>
      <c r="CAQ49" s="478"/>
      <c r="CAR49" s="478"/>
      <c r="CAS49" s="478"/>
      <c r="CAT49" s="478"/>
      <c r="CAU49" s="478"/>
      <c r="CAV49" s="478"/>
      <c r="CAW49" s="478"/>
      <c r="CAX49" s="478"/>
      <c r="CAY49" s="478"/>
      <c r="CAZ49" s="478"/>
      <c r="CBA49" s="478"/>
      <c r="CBB49" s="478"/>
      <c r="CBC49" s="478"/>
      <c r="CBD49" s="478"/>
      <c r="CBE49" s="478"/>
      <c r="CBF49" s="478"/>
      <c r="CBG49" s="478"/>
      <c r="CBH49" s="478"/>
      <c r="CBI49" s="478"/>
      <c r="CBJ49" s="478"/>
      <c r="CBK49" s="478"/>
      <c r="CBL49" s="478"/>
      <c r="CBM49" s="478"/>
      <c r="CBN49" s="478"/>
      <c r="CBO49" s="478"/>
      <c r="CBP49" s="478"/>
      <c r="CBQ49" s="478"/>
      <c r="CBR49" s="478"/>
      <c r="CBS49" s="478"/>
      <c r="CBT49" s="478"/>
      <c r="CBU49" s="478"/>
      <c r="CBV49" s="478"/>
      <c r="CBW49" s="478"/>
      <c r="CBX49" s="478"/>
      <c r="CBY49" s="478"/>
      <c r="CBZ49" s="478"/>
      <c r="CCA49" s="478"/>
      <c r="CCB49" s="478"/>
      <c r="CCC49" s="478"/>
      <c r="CCD49" s="478"/>
      <c r="CCE49" s="478"/>
      <c r="CCF49" s="478"/>
      <c r="CCG49" s="478"/>
      <c r="CCH49" s="478"/>
      <c r="CCI49" s="478"/>
      <c r="CCJ49" s="478"/>
      <c r="CCK49" s="478"/>
      <c r="CCL49" s="478"/>
      <c r="CCM49" s="478"/>
      <c r="CCN49" s="478"/>
      <c r="CCO49" s="478"/>
      <c r="CCP49" s="478"/>
      <c r="CCQ49" s="478"/>
      <c r="CCR49" s="478"/>
      <c r="CCS49" s="478"/>
      <c r="CCT49" s="478"/>
      <c r="CCU49" s="478"/>
      <c r="CCV49" s="478"/>
      <c r="CCW49" s="478"/>
      <c r="CCX49" s="478"/>
      <c r="CCY49" s="478"/>
      <c r="CCZ49" s="478"/>
      <c r="CDA49" s="478"/>
      <c r="CDB49" s="478"/>
      <c r="CDC49" s="478"/>
      <c r="CDD49" s="478"/>
      <c r="CDE49" s="478"/>
      <c r="CDF49" s="478"/>
      <c r="CDG49" s="478"/>
      <c r="CDH49" s="478"/>
      <c r="CDI49" s="478"/>
      <c r="CDJ49" s="478"/>
      <c r="CDK49" s="478"/>
      <c r="CDL49" s="478"/>
      <c r="CDM49" s="478"/>
      <c r="CDN49" s="478"/>
      <c r="CDO49" s="478"/>
      <c r="CDP49" s="478"/>
      <c r="CDQ49" s="478"/>
      <c r="CDR49" s="478"/>
      <c r="CDS49" s="478"/>
      <c r="CDT49" s="478"/>
      <c r="CDU49" s="478"/>
      <c r="CDV49" s="478"/>
      <c r="CDW49" s="478"/>
      <c r="CDX49" s="478"/>
      <c r="CDY49" s="478"/>
      <c r="CDZ49" s="478"/>
      <c r="CEA49" s="478"/>
      <c r="CEB49" s="478"/>
      <c r="CEC49" s="478"/>
      <c r="CED49" s="478"/>
      <c r="CEE49" s="478"/>
      <c r="CEF49" s="478"/>
      <c r="CEG49" s="478"/>
      <c r="CEH49" s="478"/>
      <c r="CEI49" s="478"/>
      <c r="CEJ49" s="478"/>
      <c r="CEK49" s="478"/>
      <c r="CEL49" s="478"/>
      <c r="CEM49" s="478"/>
      <c r="CEN49" s="478"/>
      <c r="CEO49" s="478"/>
      <c r="CEP49" s="478"/>
      <c r="CEQ49" s="478"/>
      <c r="CER49" s="478"/>
      <c r="CES49" s="478"/>
      <c r="CET49" s="478"/>
      <c r="CEU49" s="478"/>
      <c r="CEV49" s="478"/>
      <c r="CEW49" s="478"/>
      <c r="CEX49" s="478"/>
      <c r="CEY49" s="478"/>
      <c r="CEZ49" s="478"/>
      <c r="CFA49" s="478"/>
      <c r="CFB49" s="478"/>
      <c r="CFC49" s="478"/>
      <c r="CFD49" s="478"/>
      <c r="CFE49" s="478"/>
      <c r="CFF49" s="478"/>
      <c r="CFG49" s="478"/>
      <c r="CFH49" s="478"/>
      <c r="CFI49" s="478"/>
      <c r="CFJ49" s="478"/>
      <c r="CFK49" s="478"/>
      <c r="CFL49" s="478"/>
      <c r="CFM49" s="478"/>
      <c r="CFN49" s="478"/>
      <c r="CFO49" s="478"/>
      <c r="CFP49" s="478"/>
      <c r="CFQ49" s="478"/>
      <c r="CFR49" s="478"/>
      <c r="CFS49" s="478"/>
      <c r="CFT49" s="478"/>
      <c r="CFU49" s="478"/>
      <c r="CFV49" s="478"/>
      <c r="CFW49" s="478"/>
      <c r="CFX49" s="478"/>
      <c r="CFY49" s="478"/>
      <c r="CFZ49" s="478"/>
      <c r="CGA49" s="478"/>
      <c r="CGB49" s="478"/>
      <c r="CGC49" s="478"/>
      <c r="CGD49" s="478"/>
      <c r="CGE49" s="478"/>
      <c r="CGF49" s="478"/>
      <c r="CGG49" s="478"/>
      <c r="CGH49" s="478"/>
      <c r="CGI49" s="478"/>
      <c r="CGJ49" s="478"/>
      <c r="CGK49" s="478"/>
      <c r="CGL49" s="478"/>
      <c r="CGM49" s="478"/>
      <c r="CGN49" s="478"/>
      <c r="CGO49" s="478"/>
      <c r="CGP49" s="478"/>
      <c r="CGQ49" s="478"/>
      <c r="CGR49" s="478"/>
      <c r="CGS49" s="478"/>
      <c r="CGT49" s="478"/>
      <c r="CGU49" s="478"/>
      <c r="CGV49" s="478"/>
      <c r="CGW49" s="478"/>
      <c r="CGX49" s="478"/>
      <c r="CGY49" s="478"/>
      <c r="CGZ49" s="478"/>
      <c r="CHA49" s="478"/>
      <c r="CHB49" s="478"/>
      <c r="CHC49" s="478"/>
      <c r="CHD49" s="478"/>
      <c r="CHE49" s="478"/>
      <c r="CHF49" s="478"/>
      <c r="CHG49" s="478"/>
      <c r="CHH49" s="478"/>
      <c r="CHI49" s="478"/>
      <c r="CHJ49" s="478"/>
      <c r="CHK49" s="478"/>
      <c r="CHL49" s="478"/>
      <c r="CHM49" s="478"/>
      <c r="CHN49" s="478"/>
      <c r="CHO49" s="478"/>
      <c r="CHP49" s="478"/>
      <c r="CHQ49" s="478"/>
      <c r="CHR49" s="478"/>
      <c r="CHS49" s="478"/>
      <c r="CHT49" s="478"/>
      <c r="CHU49" s="478"/>
      <c r="CHV49" s="478"/>
      <c r="CHW49" s="478"/>
      <c r="CHX49" s="478"/>
      <c r="CHY49" s="478"/>
      <c r="CHZ49" s="478"/>
      <c r="CIA49" s="478"/>
      <c r="CIB49" s="478"/>
      <c r="CIC49" s="478"/>
      <c r="CID49" s="478"/>
      <c r="CIE49" s="478"/>
      <c r="CIF49" s="478"/>
      <c r="CIG49" s="478"/>
      <c r="CIH49" s="478"/>
      <c r="CII49" s="478"/>
      <c r="CIJ49" s="478"/>
      <c r="CIK49" s="478"/>
      <c r="CIL49" s="478"/>
      <c r="CIM49" s="478"/>
      <c r="CIN49" s="478"/>
      <c r="CIO49" s="478"/>
      <c r="CIP49" s="478"/>
      <c r="CIQ49" s="478"/>
      <c r="CIR49" s="478"/>
      <c r="CIS49" s="478"/>
      <c r="CIT49" s="478"/>
      <c r="CIU49" s="478"/>
      <c r="CIV49" s="478"/>
      <c r="CIW49" s="478"/>
      <c r="CIX49" s="478"/>
      <c r="CIY49" s="478"/>
      <c r="CIZ49" s="478"/>
      <c r="CJA49" s="478"/>
      <c r="CJB49" s="478"/>
      <c r="CJC49" s="478"/>
      <c r="CJD49" s="478"/>
      <c r="CJE49" s="478"/>
      <c r="CJF49" s="478"/>
      <c r="CJG49" s="478"/>
      <c r="CJH49" s="478"/>
      <c r="CJI49" s="478"/>
      <c r="CJJ49" s="478"/>
      <c r="CJK49" s="478"/>
      <c r="CJL49" s="478"/>
      <c r="CJM49" s="478"/>
      <c r="CJN49" s="478"/>
      <c r="CJO49" s="478"/>
      <c r="CJP49" s="478"/>
      <c r="CJQ49" s="478"/>
      <c r="CJR49" s="478"/>
      <c r="CJS49" s="478"/>
      <c r="CJT49" s="478"/>
      <c r="CJU49" s="478"/>
      <c r="CJV49" s="478"/>
      <c r="CJW49" s="478"/>
      <c r="CJX49" s="478"/>
      <c r="CJY49" s="478"/>
      <c r="CJZ49" s="478"/>
      <c r="CKA49" s="478"/>
      <c r="CKB49" s="478"/>
      <c r="CKC49" s="478"/>
      <c r="CKD49" s="478"/>
      <c r="CKE49" s="478"/>
      <c r="CKF49" s="478"/>
      <c r="CKG49" s="478"/>
      <c r="CKH49" s="478"/>
      <c r="CKI49" s="478"/>
      <c r="CKJ49" s="478"/>
      <c r="CKK49" s="478"/>
      <c r="CKL49" s="478"/>
      <c r="CKM49" s="478"/>
      <c r="CKN49" s="478"/>
      <c r="CKO49" s="478"/>
      <c r="CKP49" s="478"/>
      <c r="CKQ49" s="478"/>
      <c r="CKR49" s="478"/>
      <c r="CKS49" s="478"/>
      <c r="CKT49" s="478"/>
      <c r="CKU49" s="478"/>
      <c r="CKV49" s="478"/>
      <c r="CKW49" s="478"/>
      <c r="CKX49" s="478"/>
      <c r="CKY49" s="478"/>
      <c r="CKZ49" s="478"/>
      <c r="CLA49" s="478"/>
      <c r="CLB49" s="478"/>
      <c r="CLC49" s="478"/>
      <c r="CLD49" s="478"/>
      <c r="CLE49" s="478"/>
      <c r="CLF49" s="478"/>
      <c r="CLG49" s="478"/>
      <c r="CLH49" s="478"/>
      <c r="CLI49" s="478"/>
      <c r="CLJ49" s="478"/>
      <c r="CLK49" s="478"/>
      <c r="CLL49" s="478"/>
      <c r="CLM49" s="478"/>
      <c r="CLN49" s="478"/>
      <c r="CLO49" s="478"/>
      <c r="CLP49" s="478"/>
      <c r="CLQ49" s="478"/>
      <c r="CLR49" s="478"/>
      <c r="CLS49" s="478"/>
      <c r="CLT49" s="478"/>
      <c r="CLU49" s="478"/>
      <c r="CLV49" s="478"/>
      <c r="CLW49" s="478"/>
      <c r="CLX49" s="478"/>
      <c r="CLY49" s="478"/>
      <c r="CLZ49" s="478"/>
      <c r="CMA49" s="478"/>
      <c r="CMB49" s="478"/>
      <c r="CMC49" s="478"/>
      <c r="CMD49" s="478"/>
      <c r="CME49" s="478"/>
      <c r="CMF49" s="478"/>
      <c r="CMG49" s="478"/>
      <c r="CMH49" s="478"/>
      <c r="CMI49" s="478"/>
      <c r="CMJ49" s="478"/>
      <c r="CMK49" s="478"/>
      <c r="CML49" s="478"/>
      <c r="CMM49" s="478"/>
      <c r="CMN49" s="478"/>
      <c r="CMO49" s="478"/>
      <c r="CMP49" s="478"/>
      <c r="CMQ49" s="478"/>
      <c r="CMR49" s="478"/>
      <c r="CMS49" s="478"/>
      <c r="CMT49" s="478"/>
      <c r="CMU49" s="478"/>
      <c r="CMV49" s="478"/>
      <c r="CMW49" s="478"/>
      <c r="CMX49" s="478"/>
      <c r="CMY49" s="478"/>
      <c r="CMZ49" s="478"/>
      <c r="CNA49" s="478"/>
      <c r="CNB49" s="478"/>
      <c r="CNC49" s="478"/>
      <c r="CND49" s="478"/>
      <c r="CNE49" s="478"/>
      <c r="CNF49" s="478"/>
      <c r="CNG49" s="478"/>
      <c r="CNH49" s="478"/>
      <c r="CNI49" s="478"/>
      <c r="CNJ49" s="478"/>
      <c r="CNK49" s="478"/>
      <c r="CNL49" s="478"/>
      <c r="CNM49" s="478"/>
      <c r="CNN49" s="478"/>
      <c r="CNO49" s="478"/>
      <c r="CNP49" s="478"/>
      <c r="CNQ49" s="478"/>
      <c r="CNR49" s="478"/>
      <c r="CNS49" s="478"/>
      <c r="CNT49" s="478"/>
      <c r="CNU49" s="478"/>
      <c r="CNV49" s="478"/>
      <c r="CNW49" s="478"/>
      <c r="CNX49" s="478"/>
      <c r="CNY49" s="478"/>
      <c r="CNZ49" s="478"/>
      <c r="COA49" s="478"/>
      <c r="COB49" s="478"/>
      <c r="COC49" s="478"/>
      <c r="COD49" s="478"/>
      <c r="COE49" s="478"/>
      <c r="COF49" s="478"/>
      <c r="COG49" s="478"/>
      <c r="COH49" s="478"/>
      <c r="COI49" s="478"/>
      <c r="COJ49" s="478"/>
      <c r="COK49" s="478"/>
      <c r="COL49" s="478"/>
      <c r="COM49" s="478"/>
      <c r="CON49" s="478"/>
      <c r="COO49" s="478"/>
      <c r="COP49" s="478"/>
      <c r="COQ49" s="478"/>
      <c r="COR49" s="478"/>
      <c r="COS49" s="478"/>
      <c r="COT49" s="478"/>
      <c r="COU49" s="478"/>
      <c r="COV49" s="478"/>
      <c r="COW49" s="478"/>
      <c r="COX49" s="478"/>
      <c r="COY49" s="478"/>
      <c r="COZ49" s="478"/>
      <c r="CPA49" s="478"/>
      <c r="CPB49" s="478"/>
      <c r="CPC49" s="478"/>
      <c r="CPD49" s="478"/>
      <c r="CPE49" s="478"/>
      <c r="CPF49" s="478"/>
      <c r="CPG49" s="478"/>
      <c r="CPH49" s="478"/>
      <c r="CPI49" s="478"/>
      <c r="CPJ49" s="478"/>
      <c r="CPK49" s="478"/>
      <c r="CPL49" s="478"/>
      <c r="CPM49" s="478"/>
      <c r="CPN49" s="478"/>
      <c r="CPO49" s="478"/>
      <c r="CPP49" s="478"/>
      <c r="CPQ49" s="478"/>
      <c r="CPR49" s="478"/>
      <c r="CPS49" s="478"/>
      <c r="CPT49" s="478"/>
      <c r="CPU49" s="478"/>
      <c r="CPV49" s="478"/>
      <c r="CPW49" s="478"/>
      <c r="CPX49" s="478"/>
      <c r="CPY49" s="478"/>
      <c r="CPZ49" s="478"/>
      <c r="CQA49" s="478"/>
      <c r="CQB49" s="478"/>
      <c r="CQC49" s="478"/>
      <c r="CQD49" s="478"/>
      <c r="CQE49" s="478"/>
      <c r="CQF49" s="478"/>
      <c r="CQG49" s="478"/>
      <c r="CQH49" s="478"/>
      <c r="CQI49" s="478"/>
      <c r="CQJ49" s="478"/>
      <c r="CQK49" s="478"/>
      <c r="CQL49" s="478"/>
      <c r="CQM49" s="478"/>
      <c r="CQN49" s="478"/>
      <c r="CQO49" s="478"/>
      <c r="CQP49" s="478"/>
      <c r="CQQ49" s="478"/>
      <c r="CQR49" s="478"/>
      <c r="CQS49" s="478"/>
      <c r="CQT49" s="478"/>
      <c r="CQU49" s="478"/>
      <c r="CQV49" s="478"/>
      <c r="CQW49" s="478"/>
      <c r="CQX49" s="478"/>
      <c r="CQY49" s="478"/>
      <c r="CQZ49" s="478"/>
      <c r="CRA49" s="478"/>
      <c r="CRB49" s="478"/>
      <c r="CRC49" s="478"/>
      <c r="CRD49" s="478"/>
      <c r="CRE49" s="478"/>
      <c r="CRF49" s="478"/>
      <c r="CRG49" s="478"/>
      <c r="CRH49" s="478"/>
      <c r="CRI49" s="478"/>
      <c r="CRJ49" s="478"/>
      <c r="CRK49" s="478"/>
      <c r="CRL49" s="478"/>
      <c r="CRM49" s="478"/>
      <c r="CRN49" s="478"/>
      <c r="CRO49" s="478"/>
      <c r="CRP49" s="478"/>
      <c r="CRQ49" s="478"/>
      <c r="CRR49" s="478"/>
      <c r="CRS49" s="478"/>
      <c r="CRT49" s="478"/>
      <c r="CRU49" s="478"/>
      <c r="CRV49" s="478"/>
      <c r="CRW49" s="478"/>
      <c r="CRX49" s="478"/>
      <c r="CRY49" s="478"/>
      <c r="CRZ49" s="478"/>
      <c r="CSA49" s="478"/>
      <c r="CSB49" s="478"/>
      <c r="CSC49" s="478"/>
      <c r="CSD49" s="478"/>
      <c r="CSE49" s="478"/>
      <c r="CSF49" s="478"/>
      <c r="CSG49" s="478"/>
      <c r="CSH49" s="478"/>
      <c r="CSI49" s="478"/>
      <c r="CSJ49" s="478"/>
      <c r="CSK49" s="478"/>
      <c r="CSL49" s="478"/>
      <c r="CSM49" s="478"/>
      <c r="CSN49" s="478"/>
      <c r="CSO49" s="478"/>
      <c r="CSP49" s="478"/>
      <c r="CSQ49" s="478"/>
      <c r="CSR49" s="478"/>
      <c r="CSS49" s="478"/>
      <c r="CST49" s="478"/>
      <c r="CSU49" s="478"/>
      <c r="CSV49" s="478"/>
      <c r="CSW49" s="478"/>
      <c r="CSX49" s="478"/>
      <c r="CSY49" s="478"/>
      <c r="CSZ49" s="478"/>
      <c r="CTA49" s="478"/>
      <c r="CTB49" s="478"/>
      <c r="CTC49" s="478"/>
      <c r="CTD49" s="478"/>
      <c r="CTE49" s="478"/>
      <c r="CTF49" s="478"/>
      <c r="CTG49" s="478"/>
      <c r="CTH49" s="478"/>
      <c r="CTI49" s="478"/>
      <c r="CTJ49" s="478"/>
      <c r="CTK49" s="478"/>
      <c r="CTL49" s="478"/>
      <c r="CTM49" s="478"/>
      <c r="CTN49" s="478"/>
      <c r="CTO49" s="478"/>
      <c r="CTP49" s="478"/>
      <c r="CTQ49" s="478"/>
      <c r="CTR49" s="478"/>
      <c r="CTS49" s="478"/>
      <c r="CTT49" s="478"/>
      <c r="CTU49" s="478"/>
      <c r="CTV49" s="478"/>
      <c r="CTW49" s="478"/>
      <c r="CTX49" s="478"/>
      <c r="CTY49" s="478"/>
      <c r="CTZ49" s="478"/>
      <c r="CUA49" s="478"/>
      <c r="CUB49" s="478"/>
      <c r="CUC49" s="478"/>
      <c r="CUD49" s="478"/>
      <c r="CUE49" s="478"/>
      <c r="CUF49" s="478"/>
      <c r="CUG49" s="478"/>
      <c r="CUH49" s="478"/>
      <c r="CUI49" s="478"/>
      <c r="CUJ49" s="478"/>
      <c r="CUK49" s="478"/>
      <c r="CUL49" s="478"/>
      <c r="CUM49" s="478"/>
      <c r="CUN49" s="478"/>
      <c r="CUO49" s="478"/>
      <c r="CUP49" s="478"/>
      <c r="CUQ49" s="478"/>
      <c r="CUR49" s="478"/>
      <c r="CUS49" s="478"/>
      <c r="CUT49" s="478"/>
      <c r="CUU49" s="478"/>
      <c r="CUV49" s="478"/>
      <c r="CUW49" s="478"/>
      <c r="CUX49" s="478"/>
      <c r="CUY49" s="478"/>
      <c r="CUZ49" s="478"/>
      <c r="CVA49" s="478"/>
      <c r="CVB49" s="478"/>
      <c r="CVC49" s="478"/>
      <c r="CVD49" s="478"/>
      <c r="CVE49" s="478"/>
      <c r="CVF49" s="478"/>
      <c r="CVG49" s="478"/>
      <c r="CVH49" s="478"/>
      <c r="CVI49" s="478"/>
      <c r="CVJ49" s="478"/>
      <c r="CVK49" s="478"/>
      <c r="CVL49" s="478"/>
      <c r="CVM49" s="478"/>
      <c r="CVN49" s="478"/>
      <c r="CVO49" s="478"/>
      <c r="CVP49" s="478"/>
      <c r="CVQ49" s="478"/>
      <c r="CVR49" s="478"/>
      <c r="CVS49" s="478"/>
      <c r="CVT49" s="478"/>
      <c r="CVU49" s="478"/>
      <c r="CVV49" s="478"/>
      <c r="CVW49" s="478"/>
      <c r="CVX49" s="478"/>
      <c r="CVY49" s="478"/>
      <c r="CVZ49" s="478"/>
      <c r="CWA49" s="478"/>
      <c r="CWB49" s="478"/>
      <c r="CWC49" s="478"/>
      <c r="CWD49" s="478"/>
      <c r="CWE49" s="478"/>
      <c r="CWF49" s="478"/>
      <c r="CWG49" s="478"/>
      <c r="CWH49" s="478"/>
      <c r="CWI49" s="478"/>
      <c r="CWJ49" s="478"/>
      <c r="CWK49" s="478"/>
      <c r="CWL49" s="478"/>
      <c r="CWM49" s="478"/>
      <c r="CWN49" s="478"/>
      <c r="CWO49" s="478"/>
      <c r="CWP49" s="478"/>
      <c r="CWQ49" s="478"/>
      <c r="CWR49" s="478"/>
      <c r="CWS49" s="478"/>
      <c r="CWT49" s="478"/>
      <c r="CWU49" s="478"/>
      <c r="CWV49" s="478"/>
      <c r="CWW49" s="478"/>
      <c r="CWX49" s="478"/>
      <c r="CWY49" s="478"/>
      <c r="CWZ49" s="478"/>
      <c r="CXA49" s="478"/>
      <c r="CXB49" s="478"/>
      <c r="CXC49" s="478"/>
      <c r="CXD49" s="478"/>
      <c r="CXE49" s="478"/>
      <c r="CXF49" s="478"/>
      <c r="CXG49" s="478"/>
      <c r="CXH49" s="478"/>
      <c r="CXI49" s="478"/>
      <c r="CXJ49" s="478"/>
      <c r="CXK49" s="478"/>
      <c r="CXL49" s="478"/>
      <c r="CXM49" s="478"/>
      <c r="CXN49" s="478"/>
      <c r="CXO49" s="478"/>
      <c r="CXP49" s="478"/>
      <c r="CXQ49" s="478"/>
      <c r="CXR49" s="478"/>
      <c r="CXS49" s="478"/>
      <c r="CXT49" s="478"/>
      <c r="CXU49" s="478"/>
      <c r="CXV49" s="478"/>
      <c r="CXW49" s="478"/>
      <c r="CXX49" s="478"/>
      <c r="CXY49" s="478"/>
      <c r="CXZ49" s="478"/>
      <c r="CYA49" s="478"/>
      <c r="CYB49" s="478"/>
      <c r="CYC49" s="478"/>
      <c r="CYD49" s="478"/>
      <c r="CYE49" s="478"/>
      <c r="CYF49" s="478"/>
      <c r="CYG49" s="478"/>
      <c r="CYH49" s="478"/>
      <c r="CYI49" s="478"/>
      <c r="CYJ49" s="478"/>
      <c r="CYK49" s="478"/>
      <c r="CYL49" s="478"/>
      <c r="CYM49" s="478"/>
      <c r="CYN49" s="478"/>
      <c r="CYO49" s="478"/>
      <c r="CYP49" s="478"/>
      <c r="CYQ49" s="478"/>
      <c r="CYR49" s="478"/>
      <c r="CYS49" s="478"/>
      <c r="CYT49" s="478"/>
      <c r="CYU49" s="478"/>
      <c r="CYV49" s="478"/>
      <c r="CYW49" s="478"/>
      <c r="CYX49" s="478"/>
      <c r="CYY49" s="478"/>
      <c r="CYZ49" s="478"/>
      <c r="CZA49" s="478"/>
      <c r="CZB49" s="478"/>
      <c r="CZC49" s="478"/>
      <c r="CZD49" s="478"/>
      <c r="CZE49" s="478"/>
      <c r="CZF49" s="478"/>
      <c r="CZG49" s="478"/>
      <c r="CZH49" s="478"/>
      <c r="CZI49" s="478"/>
      <c r="CZJ49" s="478"/>
      <c r="CZK49" s="478"/>
      <c r="CZL49" s="478"/>
      <c r="CZM49" s="478"/>
      <c r="CZN49" s="478"/>
      <c r="CZO49" s="478"/>
      <c r="CZP49" s="478"/>
      <c r="CZQ49" s="478"/>
      <c r="CZR49" s="478"/>
      <c r="CZS49" s="478"/>
      <c r="CZT49" s="478"/>
      <c r="CZU49" s="478"/>
      <c r="CZV49" s="478"/>
      <c r="CZW49" s="478"/>
      <c r="CZX49" s="478"/>
      <c r="CZY49" s="478"/>
      <c r="CZZ49" s="478"/>
      <c r="DAA49" s="478"/>
      <c r="DAB49" s="478"/>
      <c r="DAC49" s="478"/>
      <c r="DAD49" s="478"/>
      <c r="DAE49" s="478"/>
      <c r="DAF49" s="478"/>
      <c r="DAG49" s="478"/>
      <c r="DAH49" s="478"/>
      <c r="DAI49" s="478"/>
      <c r="DAJ49" s="478"/>
      <c r="DAK49" s="478"/>
      <c r="DAL49" s="478"/>
      <c r="DAM49" s="478"/>
      <c r="DAN49" s="478"/>
      <c r="DAO49" s="478"/>
      <c r="DAP49" s="478"/>
      <c r="DAQ49" s="478"/>
      <c r="DAR49" s="478"/>
      <c r="DAS49" s="478"/>
      <c r="DAT49" s="478"/>
      <c r="DAU49" s="478"/>
      <c r="DAV49" s="478"/>
      <c r="DAW49" s="478"/>
      <c r="DAX49" s="478"/>
      <c r="DAY49" s="478"/>
      <c r="DAZ49" s="478"/>
      <c r="DBA49" s="478"/>
      <c r="DBB49" s="478"/>
      <c r="DBC49" s="478"/>
      <c r="DBD49" s="478"/>
      <c r="DBE49" s="478"/>
      <c r="DBF49" s="478"/>
      <c r="DBG49" s="478"/>
      <c r="DBH49" s="478"/>
      <c r="DBI49" s="478"/>
      <c r="DBJ49" s="478"/>
      <c r="DBK49" s="478"/>
      <c r="DBL49" s="478"/>
      <c r="DBM49" s="478"/>
      <c r="DBN49" s="478"/>
      <c r="DBO49" s="478"/>
      <c r="DBP49" s="478"/>
      <c r="DBQ49" s="478"/>
      <c r="DBR49" s="478"/>
      <c r="DBS49" s="478"/>
      <c r="DBT49" s="478"/>
      <c r="DBU49" s="478"/>
      <c r="DBV49" s="478"/>
      <c r="DBW49" s="478"/>
      <c r="DBX49" s="478"/>
      <c r="DBY49" s="478"/>
      <c r="DBZ49" s="478"/>
      <c r="DCA49" s="478"/>
      <c r="DCB49" s="478"/>
      <c r="DCC49" s="478"/>
      <c r="DCD49" s="478"/>
      <c r="DCE49" s="478"/>
      <c r="DCF49" s="478"/>
      <c r="DCG49" s="478"/>
      <c r="DCH49" s="478"/>
      <c r="DCI49" s="478"/>
      <c r="DCJ49" s="478"/>
      <c r="DCK49" s="478"/>
      <c r="DCL49" s="478"/>
      <c r="DCM49" s="478"/>
      <c r="DCN49" s="478"/>
      <c r="DCO49" s="478"/>
      <c r="DCP49" s="478"/>
      <c r="DCQ49" s="478"/>
      <c r="DCR49" s="478"/>
      <c r="DCS49" s="478"/>
      <c r="DCT49" s="478"/>
      <c r="DCU49" s="478"/>
      <c r="DCV49" s="478"/>
      <c r="DCW49" s="478"/>
      <c r="DCX49" s="478"/>
      <c r="DCY49" s="478"/>
      <c r="DCZ49" s="478"/>
      <c r="DDA49" s="478"/>
      <c r="DDB49" s="478"/>
      <c r="DDC49" s="478"/>
      <c r="DDD49" s="478"/>
      <c r="DDE49" s="478"/>
      <c r="DDF49" s="478"/>
      <c r="DDG49" s="478"/>
      <c r="DDH49" s="478"/>
      <c r="DDI49" s="478"/>
      <c r="DDJ49" s="478"/>
      <c r="DDK49" s="478"/>
      <c r="DDL49" s="478"/>
      <c r="DDM49" s="478"/>
      <c r="DDN49" s="478"/>
      <c r="DDO49" s="478"/>
      <c r="DDP49" s="478"/>
      <c r="DDQ49" s="478"/>
      <c r="DDR49" s="478"/>
      <c r="DDS49" s="478"/>
      <c r="DDT49" s="478"/>
      <c r="DDU49" s="478"/>
      <c r="DDV49" s="478"/>
      <c r="DDW49" s="478"/>
      <c r="DDX49" s="478"/>
      <c r="DDY49" s="478"/>
      <c r="DDZ49" s="478"/>
      <c r="DEA49" s="478"/>
      <c r="DEB49" s="478"/>
      <c r="DEC49" s="478"/>
      <c r="DED49" s="478"/>
      <c r="DEE49" s="478"/>
      <c r="DEF49" s="478"/>
      <c r="DEG49" s="478"/>
      <c r="DEH49" s="478"/>
      <c r="DEI49" s="478"/>
      <c r="DEJ49" s="478"/>
      <c r="DEK49" s="478"/>
      <c r="DEL49" s="478"/>
      <c r="DEM49" s="478"/>
      <c r="DEN49" s="478"/>
      <c r="DEO49" s="478"/>
      <c r="DEP49" s="478"/>
      <c r="DEQ49" s="478"/>
      <c r="DER49" s="478"/>
      <c r="DES49" s="478"/>
      <c r="DET49" s="478"/>
      <c r="DEU49" s="478"/>
      <c r="DEV49" s="478"/>
      <c r="DEW49" s="478"/>
      <c r="DEX49" s="478"/>
      <c r="DEY49" s="478"/>
      <c r="DEZ49" s="478"/>
      <c r="DFA49" s="478"/>
      <c r="DFB49" s="478"/>
      <c r="DFC49" s="478"/>
      <c r="DFD49" s="478"/>
      <c r="DFE49" s="478"/>
      <c r="DFF49" s="478"/>
      <c r="DFG49" s="478"/>
      <c r="DFH49" s="478"/>
      <c r="DFI49" s="478"/>
      <c r="DFJ49" s="478"/>
      <c r="DFK49" s="478"/>
      <c r="DFL49" s="478"/>
      <c r="DFM49" s="478"/>
      <c r="DFN49" s="478"/>
      <c r="DFO49" s="478"/>
      <c r="DFP49" s="478"/>
      <c r="DFQ49" s="478"/>
      <c r="DFR49" s="478"/>
      <c r="DFS49" s="478"/>
      <c r="DFT49" s="478"/>
      <c r="DFU49" s="478"/>
      <c r="DFV49" s="478"/>
      <c r="DFW49" s="478"/>
      <c r="DFX49" s="478"/>
      <c r="DFY49" s="478"/>
      <c r="DFZ49" s="478"/>
      <c r="DGA49" s="478"/>
      <c r="DGB49" s="478"/>
      <c r="DGC49" s="478"/>
      <c r="DGD49" s="478"/>
      <c r="DGE49" s="478"/>
      <c r="DGF49" s="478"/>
      <c r="DGG49" s="478"/>
      <c r="DGH49" s="478"/>
      <c r="DGI49" s="478"/>
      <c r="DGJ49" s="478"/>
      <c r="DGK49" s="478"/>
      <c r="DGL49" s="478"/>
      <c r="DGM49" s="478"/>
      <c r="DGN49" s="478"/>
      <c r="DGO49" s="478"/>
      <c r="DGP49" s="478"/>
      <c r="DGQ49" s="478"/>
      <c r="DGR49" s="478"/>
      <c r="DGS49" s="478"/>
      <c r="DGT49" s="478"/>
      <c r="DGU49" s="478"/>
      <c r="DGV49" s="478"/>
      <c r="DGW49" s="478"/>
      <c r="DGX49" s="478"/>
      <c r="DGY49" s="478"/>
      <c r="DGZ49" s="478"/>
      <c r="DHA49" s="478"/>
      <c r="DHB49" s="478"/>
      <c r="DHC49" s="478"/>
      <c r="DHD49" s="478"/>
      <c r="DHE49" s="478"/>
      <c r="DHF49" s="478"/>
      <c r="DHG49" s="478"/>
      <c r="DHH49" s="478"/>
      <c r="DHI49" s="478"/>
      <c r="DHJ49" s="478"/>
      <c r="DHK49" s="478"/>
      <c r="DHL49" s="478"/>
      <c r="DHM49" s="478"/>
      <c r="DHN49" s="478"/>
      <c r="DHO49" s="478"/>
      <c r="DHP49" s="478"/>
      <c r="DHQ49" s="478"/>
      <c r="DHR49" s="478"/>
      <c r="DHS49" s="478"/>
      <c r="DHT49" s="478"/>
      <c r="DHU49" s="478"/>
      <c r="DHV49" s="478"/>
      <c r="DHW49" s="478"/>
      <c r="DHX49" s="478"/>
      <c r="DHY49" s="478"/>
      <c r="DHZ49" s="478"/>
      <c r="DIA49" s="478"/>
      <c r="DIB49" s="478"/>
      <c r="DIC49" s="478"/>
      <c r="DID49" s="478"/>
      <c r="DIE49" s="478"/>
      <c r="DIF49" s="478"/>
      <c r="DIG49" s="478"/>
      <c r="DIH49" s="478"/>
      <c r="DII49" s="478"/>
      <c r="DIJ49" s="478"/>
      <c r="DIK49" s="478"/>
      <c r="DIL49" s="478"/>
      <c r="DIM49" s="478"/>
      <c r="DIN49" s="478"/>
      <c r="DIO49" s="478"/>
      <c r="DIP49" s="478"/>
      <c r="DIQ49" s="478"/>
      <c r="DIR49" s="478"/>
      <c r="DIS49" s="478"/>
      <c r="DIT49" s="478"/>
      <c r="DIU49" s="478"/>
      <c r="DIV49" s="478"/>
      <c r="DIW49" s="478"/>
      <c r="DIX49" s="478"/>
      <c r="DIY49" s="478"/>
      <c r="DIZ49" s="478"/>
      <c r="DJA49" s="478"/>
      <c r="DJB49" s="478"/>
      <c r="DJC49" s="478"/>
      <c r="DJD49" s="478"/>
      <c r="DJE49" s="478"/>
      <c r="DJF49" s="478"/>
      <c r="DJG49" s="478"/>
      <c r="DJH49" s="478"/>
      <c r="DJI49" s="478"/>
      <c r="DJJ49" s="478"/>
      <c r="DJK49" s="478"/>
      <c r="DJL49" s="478"/>
      <c r="DJM49" s="478"/>
      <c r="DJN49" s="478"/>
      <c r="DJO49" s="478"/>
      <c r="DJP49" s="478"/>
      <c r="DJQ49" s="478"/>
      <c r="DJR49" s="478"/>
      <c r="DJS49" s="478"/>
      <c r="DJT49" s="478"/>
      <c r="DJU49" s="478"/>
      <c r="DJV49" s="478"/>
      <c r="DJW49" s="478"/>
      <c r="DJX49" s="478"/>
      <c r="DJY49" s="478"/>
      <c r="DJZ49" s="478"/>
      <c r="DKA49" s="478"/>
      <c r="DKB49" s="478"/>
      <c r="DKC49" s="478"/>
      <c r="DKD49" s="478"/>
      <c r="DKE49" s="478"/>
      <c r="DKF49" s="478"/>
      <c r="DKG49" s="478"/>
      <c r="DKH49" s="478"/>
      <c r="DKI49" s="478"/>
      <c r="DKJ49" s="478"/>
      <c r="DKK49" s="478"/>
      <c r="DKL49" s="478"/>
      <c r="DKM49" s="478"/>
      <c r="DKN49" s="478"/>
      <c r="DKO49" s="478"/>
      <c r="DKP49" s="478"/>
      <c r="DKQ49" s="478"/>
      <c r="DKR49" s="478"/>
      <c r="DKS49" s="478"/>
      <c r="DKT49" s="478"/>
      <c r="DKU49" s="478"/>
      <c r="DKV49" s="478"/>
      <c r="DKW49" s="478"/>
      <c r="DKX49" s="478"/>
      <c r="DKY49" s="478"/>
      <c r="DKZ49" s="478"/>
      <c r="DLA49" s="478"/>
      <c r="DLB49" s="478"/>
      <c r="DLC49" s="478"/>
      <c r="DLD49" s="478"/>
      <c r="DLE49" s="478"/>
      <c r="DLF49" s="478"/>
      <c r="DLG49" s="478"/>
      <c r="DLH49" s="478"/>
      <c r="DLI49" s="478"/>
      <c r="DLJ49" s="478"/>
      <c r="DLK49" s="478"/>
      <c r="DLL49" s="478"/>
      <c r="DLM49" s="478"/>
      <c r="DLN49" s="478"/>
      <c r="DLO49" s="478"/>
      <c r="DLP49" s="478"/>
      <c r="DLQ49" s="478"/>
      <c r="DLR49" s="478"/>
      <c r="DLS49" s="478"/>
      <c r="DLT49" s="478"/>
      <c r="DLU49" s="478"/>
      <c r="DLV49" s="478"/>
      <c r="DLW49" s="478"/>
      <c r="DLX49" s="478"/>
      <c r="DLY49" s="478"/>
      <c r="DLZ49" s="478"/>
      <c r="DMA49" s="478"/>
      <c r="DMB49" s="478"/>
      <c r="DMC49" s="478"/>
      <c r="DMD49" s="478"/>
      <c r="DME49" s="478"/>
      <c r="DMF49" s="478"/>
      <c r="DMG49" s="478"/>
      <c r="DMH49" s="478"/>
      <c r="DMI49" s="478"/>
      <c r="DMJ49" s="478"/>
      <c r="DMK49" s="478"/>
      <c r="DML49" s="478"/>
      <c r="DMM49" s="478"/>
      <c r="DMN49" s="478"/>
      <c r="DMO49" s="478"/>
      <c r="DMP49" s="478"/>
      <c r="DMQ49" s="478"/>
      <c r="DMR49" s="478"/>
      <c r="DMS49" s="478"/>
      <c r="DMT49" s="478"/>
      <c r="DMU49" s="478"/>
      <c r="DMV49" s="478"/>
      <c r="DMW49" s="478"/>
      <c r="DMX49" s="478"/>
      <c r="DMY49" s="478"/>
      <c r="DMZ49" s="478"/>
      <c r="DNA49" s="478"/>
      <c r="DNB49" s="478"/>
      <c r="DNC49" s="478"/>
      <c r="DND49" s="478"/>
      <c r="DNE49" s="478"/>
      <c r="DNF49" s="478"/>
      <c r="DNG49" s="478"/>
      <c r="DNH49" s="478"/>
      <c r="DNI49" s="478"/>
      <c r="DNJ49" s="478"/>
      <c r="DNK49" s="478"/>
      <c r="DNL49" s="478"/>
      <c r="DNM49" s="478"/>
      <c r="DNN49" s="478"/>
      <c r="DNO49" s="478"/>
      <c r="DNP49" s="478"/>
      <c r="DNQ49" s="478"/>
      <c r="DNR49" s="478"/>
      <c r="DNS49" s="478"/>
      <c r="DNT49" s="478"/>
      <c r="DNU49" s="478"/>
      <c r="DNV49" s="478"/>
      <c r="DNW49" s="478"/>
      <c r="DNX49" s="478"/>
      <c r="DNY49" s="478"/>
      <c r="DNZ49" s="478"/>
      <c r="DOA49" s="478"/>
      <c r="DOB49" s="478"/>
      <c r="DOC49" s="478"/>
      <c r="DOD49" s="478"/>
      <c r="DOE49" s="478"/>
      <c r="DOF49" s="478"/>
      <c r="DOG49" s="478"/>
      <c r="DOH49" s="478"/>
      <c r="DOI49" s="478"/>
      <c r="DOJ49" s="478"/>
      <c r="DOK49" s="478"/>
      <c r="DOL49" s="478"/>
      <c r="DOM49" s="478"/>
      <c r="DON49" s="478"/>
      <c r="DOO49" s="478"/>
      <c r="DOP49" s="478"/>
      <c r="DOQ49" s="478"/>
      <c r="DOR49" s="478"/>
      <c r="DOS49" s="478"/>
      <c r="DOT49" s="478"/>
      <c r="DOU49" s="478"/>
      <c r="DOV49" s="478"/>
      <c r="DOW49" s="478"/>
      <c r="DOX49" s="478"/>
      <c r="DOY49" s="478"/>
      <c r="DOZ49" s="478"/>
      <c r="DPA49" s="478"/>
      <c r="DPB49" s="478"/>
      <c r="DPC49" s="478"/>
      <c r="DPD49" s="478"/>
      <c r="DPE49" s="478"/>
      <c r="DPF49" s="478"/>
      <c r="DPG49" s="478"/>
      <c r="DPH49" s="478"/>
      <c r="DPI49" s="478"/>
      <c r="DPJ49" s="478"/>
      <c r="DPK49" s="478"/>
      <c r="DPL49" s="478"/>
      <c r="DPM49" s="478"/>
      <c r="DPN49" s="478"/>
      <c r="DPO49" s="478"/>
      <c r="DPP49" s="478"/>
      <c r="DPQ49" s="478"/>
      <c r="DPR49" s="478"/>
      <c r="DPS49" s="478"/>
      <c r="DPT49" s="478"/>
      <c r="DPU49" s="478"/>
      <c r="DPV49" s="478"/>
      <c r="DPW49" s="478"/>
      <c r="DPX49" s="478"/>
      <c r="DPY49" s="478"/>
      <c r="DPZ49" s="478"/>
      <c r="DQA49" s="478"/>
      <c r="DQB49" s="478"/>
      <c r="DQC49" s="478"/>
      <c r="DQD49" s="478"/>
      <c r="DQE49" s="478"/>
      <c r="DQF49" s="478"/>
      <c r="DQG49" s="478"/>
      <c r="DQH49" s="478"/>
      <c r="DQI49" s="478"/>
      <c r="DQJ49" s="478"/>
      <c r="DQK49" s="478"/>
      <c r="DQL49" s="478"/>
      <c r="DQM49" s="478"/>
      <c r="DQN49" s="478"/>
      <c r="DQO49" s="478"/>
      <c r="DQP49" s="478"/>
      <c r="DQQ49" s="478"/>
      <c r="DQR49" s="478"/>
      <c r="DQS49" s="478"/>
      <c r="DQT49" s="478"/>
      <c r="DQU49" s="478"/>
      <c r="DQV49" s="478"/>
      <c r="DQW49" s="478"/>
      <c r="DQX49" s="478"/>
      <c r="DQY49" s="478"/>
      <c r="DQZ49" s="478"/>
      <c r="DRA49" s="478"/>
      <c r="DRB49" s="478"/>
      <c r="DRC49" s="478"/>
      <c r="DRD49" s="478"/>
      <c r="DRE49" s="478"/>
      <c r="DRF49" s="478"/>
      <c r="DRG49" s="478"/>
      <c r="DRH49" s="478"/>
      <c r="DRI49" s="478"/>
      <c r="DRJ49" s="478"/>
      <c r="DRK49" s="478"/>
      <c r="DRL49" s="478"/>
      <c r="DRM49" s="478"/>
      <c r="DRN49" s="478"/>
      <c r="DRO49" s="478"/>
      <c r="DRP49" s="478"/>
      <c r="DRQ49" s="478"/>
      <c r="DRR49" s="478"/>
      <c r="DRS49" s="478"/>
      <c r="DRT49" s="478"/>
      <c r="DRU49" s="478"/>
      <c r="DRV49" s="478"/>
      <c r="DRW49" s="478"/>
      <c r="DRX49" s="478"/>
      <c r="DRY49" s="478"/>
      <c r="DRZ49" s="478"/>
      <c r="DSA49" s="478"/>
      <c r="DSB49" s="478"/>
      <c r="DSC49" s="478"/>
      <c r="DSD49" s="478"/>
      <c r="DSE49" s="478"/>
      <c r="DSF49" s="478"/>
      <c r="DSG49" s="478"/>
      <c r="DSH49" s="478"/>
      <c r="DSI49" s="478"/>
      <c r="DSJ49" s="478"/>
      <c r="DSK49" s="478"/>
      <c r="DSL49" s="478"/>
      <c r="DSM49" s="478"/>
      <c r="DSN49" s="478"/>
      <c r="DSO49" s="478"/>
      <c r="DSP49" s="478"/>
      <c r="DSQ49" s="478"/>
      <c r="DSR49" s="478"/>
      <c r="DSS49" s="478"/>
      <c r="DST49" s="478"/>
      <c r="DSU49" s="478"/>
      <c r="DSV49" s="478"/>
      <c r="DSW49" s="478"/>
      <c r="DSX49" s="478"/>
      <c r="DSY49" s="478"/>
      <c r="DSZ49" s="478"/>
      <c r="DTA49" s="478"/>
      <c r="DTB49" s="478"/>
      <c r="DTC49" s="478"/>
      <c r="DTD49" s="478"/>
      <c r="DTE49" s="478"/>
      <c r="DTF49" s="478"/>
      <c r="DTG49" s="478"/>
      <c r="DTH49" s="478"/>
      <c r="DTI49" s="478"/>
      <c r="DTJ49" s="478"/>
      <c r="DTK49" s="478"/>
      <c r="DTL49" s="478"/>
      <c r="DTM49" s="478"/>
      <c r="DTN49" s="478"/>
      <c r="DTO49" s="478"/>
      <c r="DTP49" s="478"/>
      <c r="DTQ49" s="478"/>
      <c r="DTR49" s="478"/>
      <c r="DTS49" s="478"/>
      <c r="DTT49" s="478"/>
      <c r="DTU49" s="478"/>
      <c r="DTV49" s="478"/>
      <c r="DTW49" s="478"/>
      <c r="DTX49" s="478"/>
      <c r="DTY49" s="478"/>
      <c r="DTZ49" s="478"/>
      <c r="DUA49" s="478"/>
      <c r="DUB49" s="478"/>
      <c r="DUC49" s="478"/>
      <c r="DUD49" s="478"/>
      <c r="DUE49" s="478"/>
      <c r="DUF49" s="478"/>
      <c r="DUG49" s="478"/>
      <c r="DUH49" s="478"/>
      <c r="DUI49" s="478"/>
      <c r="DUJ49" s="478"/>
      <c r="DUK49" s="478"/>
      <c r="DUL49" s="478"/>
      <c r="DUM49" s="478"/>
      <c r="DUN49" s="478"/>
      <c r="DUO49" s="478"/>
      <c r="DUP49" s="478"/>
      <c r="DUQ49" s="478"/>
      <c r="DUR49" s="478"/>
      <c r="DUS49" s="478"/>
      <c r="DUT49" s="478"/>
      <c r="DUU49" s="478"/>
      <c r="DUV49" s="478"/>
      <c r="DUW49" s="478"/>
      <c r="DUX49" s="478"/>
      <c r="DUY49" s="478"/>
      <c r="DUZ49" s="478"/>
      <c r="DVA49" s="478"/>
      <c r="DVB49" s="478"/>
      <c r="DVC49" s="478"/>
      <c r="DVD49" s="478"/>
      <c r="DVE49" s="478"/>
      <c r="DVF49" s="478"/>
      <c r="DVG49" s="478"/>
      <c r="DVH49" s="478"/>
      <c r="DVI49" s="478"/>
      <c r="DVJ49" s="478"/>
      <c r="DVK49" s="478"/>
      <c r="DVL49" s="478"/>
      <c r="DVM49" s="478"/>
      <c r="DVN49" s="478"/>
      <c r="DVO49" s="478"/>
      <c r="DVP49" s="478"/>
      <c r="DVQ49" s="478"/>
      <c r="DVR49" s="478"/>
      <c r="DVS49" s="478"/>
      <c r="DVT49" s="478"/>
      <c r="DVU49" s="478"/>
      <c r="DVV49" s="478"/>
      <c r="DVW49" s="478"/>
      <c r="DVX49" s="478"/>
      <c r="DVY49" s="478"/>
      <c r="DVZ49" s="478"/>
      <c r="DWA49" s="478"/>
      <c r="DWB49" s="478"/>
      <c r="DWC49" s="478"/>
      <c r="DWD49" s="478"/>
      <c r="DWE49" s="478"/>
      <c r="DWF49" s="478"/>
      <c r="DWG49" s="478"/>
      <c r="DWH49" s="478"/>
      <c r="DWI49" s="478"/>
      <c r="DWJ49" s="478"/>
      <c r="DWK49" s="478"/>
      <c r="DWL49" s="478"/>
      <c r="DWM49" s="478"/>
      <c r="DWN49" s="478"/>
      <c r="DWO49" s="478"/>
      <c r="DWP49" s="478"/>
      <c r="DWQ49" s="478"/>
      <c r="DWR49" s="478"/>
      <c r="DWS49" s="478"/>
      <c r="DWT49" s="478"/>
      <c r="DWU49" s="478"/>
      <c r="DWV49" s="478"/>
      <c r="DWW49" s="478"/>
      <c r="DWX49" s="478"/>
      <c r="DWY49" s="478"/>
      <c r="DWZ49" s="478"/>
      <c r="DXA49" s="478"/>
      <c r="DXB49" s="478"/>
      <c r="DXC49" s="478"/>
      <c r="DXD49" s="478"/>
      <c r="DXE49" s="478"/>
      <c r="DXF49" s="478"/>
      <c r="DXG49" s="478"/>
      <c r="DXH49" s="478"/>
      <c r="DXI49" s="478"/>
      <c r="DXJ49" s="478"/>
      <c r="DXK49" s="478"/>
      <c r="DXL49" s="478"/>
      <c r="DXM49" s="478"/>
      <c r="DXN49" s="478"/>
      <c r="DXO49" s="478"/>
      <c r="DXP49" s="478"/>
      <c r="DXQ49" s="478"/>
      <c r="DXR49" s="478"/>
      <c r="DXS49" s="478"/>
      <c r="DXT49" s="478"/>
      <c r="DXU49" s="478"/>
      <c r="DXV49" s="478"/>
      <c r="DXW49" s="478"/>
      <c r="DXX49" s="478"/>
      <c r="DXY49" s="478"/>
      <c r="DXZ49" s="478"/>
      <c r="DYA49" s="478"/>
      <c r="DYB49" s="478"/>
      <c r="DYC49" s="478"/>
      <c r="DYD49" s="478"/>
      <c r="DYE49" s="478"/>
      <c r="DYF49" s="478"/>
      <c r="DYG49" s="478"/>
      <c r="DYH49" s="478"/>
      <c r="DYI49" s="478"/>
      <c r="DYJ49" s="478"/>
      <c r="DYK49" s="478"/>
      <c r="DYL49" s="478"/>
      <c r="DYM49" s="478"/>
      <c r="DYN49" s="478"/>
      <c r="DYO49" s="478"/>
      <c r="DYP49" s="478"/>
      <c r="DYQ49" s="478"/>
      <c r="DYR49" s="478"/>
      <c r="DYS49" s="478"/>
      <c r="DYT49" s="478"/>
      <c r="DYU49" s="478"/>
      <c r="DYV49" s="478"/>
      <c r="DYW49" s="478"/>
      <c r="DYX49" s="478"/>
      <c r="DYY49" s="478"/>
      <c r="DYZ49" s="478"/>
      <c r="DZA49" s="478"/>
      <c r="DZB49" s="478"/>
      <c r="DZC49" s="478"/>
      <c r="DZD49" s="478"/>
      <c r="DZE49" s="478"/>
      <c r="DZF49" s="478"/>
      <c r="DZG49" s="478"/>
      <c r="DZH49" s="478"/>
      <c r="DZI49" s="478"/>
      <c r="DZJ49" s="478"/>
      <c r="DZK49" s="478"/>
      <c r="DZL49" s="478"/>
      <c r="DZM49" s="478"/>
      <c r="DZN49" s="478"/>
      <c r="DZO49" s="478"/>
      <c r="DZP49" s="478"/>
      <c r="DZQ49" s="478"/>
      <c r="DZR49" s="478"/>
      <c r="DZS49" s="478"/>
      <c r="DZT49" s="478"/>
      <c r="DZU49" s="478"/>
      <c r="DZV49" s="478"/>
      <c r="DZW49" s="478"/>
      <c r="DZX49" s="478"/>
      <c r="DZY49" s="478"/>
      <c r="DZZ49" s="478"/>
      <c r="EAA49" s="478"/>
      <c r="EAB49" s="478"/>
      <c r="EAC49" s="478"/>
      <c r="EAD49" s="478"/>
      <c r="EAE49" s="478"/>
      <c r="EAF49" s="478"/>
      <c r="EAG49" s="478"/>
      <c r="EAH49" s="478"/>
      <c r="EAI49" s="478"/>
      <c r="EAJ49" s="478"/>
      <c r="EAK49" s="478"/>
      <c r="EAL49" s="478"/>
      <c r="EAM49" s="478"/>
      <c r="EAN49" s="478"/>
      <c r="EAO49" s="478"/>
      <c r="EAP49" s="478"/>
      <c r="EAQ49" s="478"/>
      <c r="EAR49" s="478"/>
      <c r="EAS49" s="478"/>
      <c r="EAT49" s="478"/>
      <c r="EAU49" s="478"/>
      <c r="EAV49" s="478"/>
      <c r="EAW49" s="478"/>
      <c r="EAX49" s="478"/>
      <c r="EAY49" s="478"/>
      <c r="EAZ49" s="478"/>
      <c r="EBA49" s="478"/>
      <c r="EBB49" s="478"/>
      <c r="EBC49" s="478"/>
      <c r="EBD49" s="478"/>
      <c r="EBE49" s="478"/>
      <c r="EBF49" s="478"/>
      <c r="EBG49" s="478"/>
      <c r="EBH49" s="478"/>
      <c r="EBI49" s="478"/>
      <c r="EBJ49" s="478"/>
      <c r="EBK49" s="478"/>
      <c r="EBL49" s="478"/>
      <c r="EBM49" s="478"/>
      <c r="EBN49" s="478"/>
      <c r="EBO49" s="478"/>
      <c r="EBP49" s="478"/>
      <c r="EBQ49" s="478"/>
      <c r="EBR49" s="478"/>
      <c r="EBS49" s="478"/>
      <c r="EBT49" s="478"/>
      <c r="EBU49" s="478"/>
      <c r="EBV49" s="478"/>
      <c r="EBW49" s="478"/>
      <c r="EBX49" s="478"/>
      <c r="EBY49" s="478"/>
      <c r="EBZ49" s="478"/>
      <c r="ECA49" s="478"/>
      <c r="ECB49" s="478"/>
      <c r="ECC49" s="478"/>
      <c r="ECD49" s="478"/>
      <c r="ECE49" s="478"/>
      <c r="ECF49" s="478"/>
      <c r="ECG49" s="478"/>
      <c r="ECH49" s="478"/>
      <c r="ECI49" s="478"/>
      <c r="ECJ49" s="478"/>
      <c r="ECK49" s="478"/>
      <c r="ECL49" s="478"/>
      <c r="ECM49" s="478"/>
      <c r="ECN49" s="478"/>
      <c r="ECO49" s="478"/>
      <c r="ECP49" s="478"/>
      <c r="ECQ49" s="478"/>
      <c r="ECR49" s="478"/>
      <c r="ECS49" s="478"/>
      <c r="ECT49" s="478"/>
      <c r="ECU49" s="478"/>
      <c r="ECV49" s="478"/>
      <c r="ECW49" s="478"/>
      <c r="ECX49" s="478"/>
      <c r="ECY49" s="478"/>
      <c r="ECZ49" s="478"/>
      <c r="EDA49" s="478"/>
      <c r="EDB49" s="478"/>
      <c r="EDC49" s="478"/>
      <c r="EDD49" s="478"/>
      <c r="EDE49" s="478"/>
      <c r="EDF49" s="478"/>
      <c r="EDG49" s="478"/>
      <c r="EDH49" s="478"/>
      <c r="EDI49" s="478"/>
      <c r="EDJ49" s="478"/>
      <c r="EDK49" s="478"/>
      <c r="EDL49" s="478"/>
      <c r="EDM49" s="478"/>
      <c r="EDN49" s="478"/>
      <c r="EDO49" s="478"/>
      <c r="EDP49" s="478"/>
      <c r="EDQ49" s="478"/>
      <c r="EDR49" s="478"/>
      <c r="EDS49" s="478"/>
      <c r="EDT49" s="478"/>
      <c r="EDU49" s="478"/>
      <c r="EDV49" s="478"/>
      <c r="EDW49" s="478"/>
      <c r="EDX49" s="478"/>
      <c r="EDY49" s="478"/>
      <c r="EDZ49" s="478"/>
      <c r="EEA49" s="478"/>
      <c r="EEB49" s="478"/>
      <c r="EEC49" s="478"/>
      <c r="EED49" s="478"/>
      <c r="EEE49" s="478"/>
      <c r="EEF49" s="478"/>
      <c r="EEG49" s="478"/>
      <c r="EEH49" s="478"/>
      <c r="EEI49" s="478"/>
      <c r="EEJ49" s="478"/>
      <c r="EEK49" s="478"/>
      <c r="EEL49" s="478"/>
      <c r="EEM49" s="478"/>
      <c r="EEN49" s="478"/>
      <c r="EEO49" s="478"/>
      <c r="EEP49" s="478"/>
      <c r="EEQ49" s="478"/>
      <c r="EER49" s="478"/>
      <c r="EES49" s="478"/>
      <c r="EET49" s="478"/>
      <c r="EEU49" s="478"/>
      <c r="EEV49" s="478"/>
      <c r="EEW49" s="478"/>
      <c r="EEX49" s="478"/>
      <c r="EEY49" s="478"/>
      <c r="EEZ49" s="478"/>
      <c r="EFA49" s="478"/>
      <c r="EFB49" s="478"/>
      <c r="EFC49" s="478"/>
      <c r="EFD49" s="478"/>
      <c r="EFE49" s="478"/>
      <c r="EFF49" s="478"/>
      <c r="EFG49" s="478"/>
      <c r="EFH49" s="478"/>
      <c r="EFI49" s="478"/>
      <c r="EFJ49" s="478"/>
      <c r="EFK49" s="478"/>
      <c r="EFL49" s="478"/>
      <c r="EFM49" s="478"/>
      <c r="EFN49" s="478"/>
      <c r="EFO49" s="478"/>
      <c r="EFP49" s="478"/>
      <c r="EFQ49" s="478"/>
      <c r="EFR49" s="478"/>
      <c r="EFS49" s="478"/>
      <c r="EFT49" s="478"/>
      <c r="EFU49" s="478"/>
      <c r="EFV49" s="478"/>
      <c r="EFW49" s="478"/>
      <c r="EFX49" s="478"/>
      <c r="EFY49" s="478"/>
      <c r="EFZ49" s="478"/>
      <c r="EGA49" s="478"/>
      <c r="EGB49" s="478"/>
      <c r="EGC49" s="478"/>
      <c r="EGD49" s="478"/>
      <c r="EGE49" s="478"/>
      <c r="EGF49" s="478"/>
      <c r="EGG49" s="478"/>
      <c r="EGH49" s="478"/>
      <c r="EGI49" s="478"/>
      <c r="EGJ49" s="478"/>
      <c r="EGK49" s="478"/>
      <c r="EGL49" s="478"/>
      <c r="EGM49" s="478"/>
      <c r="EGN49" s="478"/>
      <c r="EGO49" s="478"/>
      <c r="EGP49" s="478"/>
      <c r="EGQ49" s="478"/>
      <c r="EGR49" s="478"/>
      <c r="EGS49" s="478"/>
      <c r="EGT49" s="478"/>
      <c r="EGU49" s="478"/>
      <c r="EGV49" s="478"/>
      <c r="EGW49" s="478"/>
      <c r="EGX49" s="478"/>
      <c r="EGY49" s="478"/>
      <c r="EGZ49" s="478"/>
      <c r="EHA49" s="478"/>
      <c r="EHB49" s="478"/>
      <c r="EHC49" s="478"/>
      <c r="EHD49" s="478"/>
      <c r="EHE49" s="478"/>
      <c r="EHF49" s="478"/>
      <c r="EHG49" s="478"/>
      <c r="EHH49" s="478"/>
      <c r="EHI49" s="478"/>
      <c r="EHJ49" s="478"/>
      <c r="EHK49" s="478"/>
      <c r="EHL49" s="478"/>
      <c r="EHM49" s="478"/>
      <c r="EHN49" s="478"/>
      <c r="EHO49" s="478"/>
      <c r="EHP49" s="478"/>
      <c r="EHQ49" s="478"/>
      <c r="EHR49" s="478"/>
      <c r="EHS49" s="478"/>
      <c r="EHT49" s="478"/>
      <c r="EHU49" s="478"/>
      <c r="EHV49" s="478"/>
      <c r="EHW49" s="478"/>
      <c r="EHX49" s="478"/>
      <c r="EHY49" s="478"/>
      <c r="EHZ49" s="478"/>
      <c r="EIA49" s="478"/>
      <c r="EIB49" s="478"/>
      <c r="EIC49" s="478"/>
      <c r="EID49" s="478"/>
      <c r="EIE49" s="478"/>
      <c r="EIF49" s="478"/>
      <c r="EIG49" s="478"/>
      <c r="EIH49" s="478"/>
      <c r="EII49" s="478"/>
      <c r="EIJ49" s="478"/>
      <c r="EIK49" s="478"/>
      <c r="EIL49" s="478"/>
      <c r="EIM49" s="478"/>
      <c r="EIN49" s="478"/>
      <c r="EIO49" s="478"/>
      <c r="EIP49" s="478"/>
      <c r="EIQ49" s="478"/>
      <c r="EIR49" s="478"/>
      <c r="EIS49" s="478"/>
      <c r="EIT49" s="478"/>
      <c r="EIU49" s="478"/>
      <c r="EIV49" s="478"/>
      <c r="EIW49" s="478"/>
      <c r="EIX49" s="478"/>
      <c r="EIY49" s="478"/>
      <c r="EIZ49" s="478"/>
      <c r="EJA49" s="478"/>
      <c r="EJB49" s="478"/>
      <c r="EJC49" s="478"/>
      <c r="EJD49" s="478"/>
      <c r="EJE49" s="478"/>
      <c r="EJF49" s="478"/>
      <c r="EJG49" s="478"/>
      <c r="EJH49" s="478"/>
      <c r="EJI49" s="478"/>
      <c r="EJJ49" s="478"/>
      <c r="EJK49" s="478"/>
      <c r="EJL49" s="478"/>
      <c r="EJM49" s="478"/>
      <c r="EJN49" s="478"/>
      <c r="EJO49" s="478"/>
      <c r="EJP49" s="478"/>
      <c r="EJQ49" s="478"/>
      <c r="EJR49" s="478"/>
      <c r="EJS49" s="478"/>
      <c r="EJT49" s="478"/>
      <c r="EJU49" s="478"/>
      <c r="EJV49" s="478"/>
      <c r="EJW49" s="478"/>
      <c r="EJX49" s="478"/>
      <c r="EJY49" s="478"/>
      <c r="EJZ49" s="478"/>
      <c r="EKA49" s="478"/>
      <c r="EKB49" s="478"/>
      <c r="EKC49" s="478"/>
      <c r="EKD49" s="478"/>
      <c r="EKE49" s="478"/>
      <c r="EKF49" s="478"/>
      <c r="EKG49" s="478"/>
      <c r="EKH49" s="478"/>
      <c r="EKI49" s="478"/>
      <c r="EKJ49" s="478"/>
      <c r="EKK49" s="478"/>
      <c r="EKL49" s="478"/>
      <c r="EKM49" s="478"/>
      <c r="EKN49" s="478"/>
      <c r="EKO49" s="478"/>
      <c r="EKP49" s="478"/>
      <c r="EKQ49" s="478"/>
      <c r="EKR49" s="478"/>
      <c r="EKS49" s="478"/>
      <c r="EKT49" s="478"/>
      <c r="EKU49" s="478"/>
      <c r="EKV49" s="478"/>
      <c r="EKW49" s="478"/>
      <c r="EKX49" s="478"/>
      <c r="EKY49" s="478"/>
      <c r="EKZ49" s="478"/>
      <c r="ELA49" s="478"/>
      <c r="ELB49" s="478"/>
      <c r="ELC49" s="478"/>
      <c r="ELD49" s="478"/>
      <c r="ELE49" s="478"/>
      <c r="ELF49" s="478"/>
      <c r="ELG49" s="478"/>
      <c r="ELH49" s="478"/>
      <c r="ELI49" s="478"/>
      <c r="ELJ49" s="478"/>
      <c r="ELK49" s="478"/>
      <c r="ELL49" s="478"/>
      <c r="ELM49" s="478"/>
      <c r="ELN49" s="478"/>
      <c r="ELO49" s="478"/>
      <c r="ELP49" s="478"/>
      <c r="ELQ49" s="478"/>
      <c r="ELR49" s="478"/>
      <c r="ELS49" s="478"/>
      <c r="ELT49" s="478"/>
      <c r="ELU49" s="478"/>
      <c r="ELV49" s="478"/>
      <c r="ELW49" s="478"/>
      <c r="ELX49" s="478"/>
      <c r="ELY49" s="478"/>
      <c r="ELZ49" s="478"/>
      <c r="EMA49" s="478"/>
      <c r="EMB49" s="478"/>
      <c r="EMC49" s="478"/>
      <c r="EMD49" s="478"/>
      <c r="EME49" s="478"/>
      <c r="EMF49" s="478"/>
      <c r="EMG49" s="478"/>
      <c r="EMH49" s="478"/>
      <c r="EMI49" s="478"/>
      <c r="EMJ49" s="478"/>
      <c r="EMK49" s="478"/>
      <c r="EML49" s="478"/>
      <c r="EMM49" s="478"/>
      <c r="EMN49" s="478"/>
      <c r="EMO49" s="478"/>
      <c r="EMP49" s="478"/>
      <c r="EMQ49" s="478"/>
      <c r="EMR49" s="478"/>
      <c r="EMS49" s="478"/>
      <c r="EMT49" s="478"/>
      <c r="EMU49" s="478"/>
      <c r="EMV49" s="478"/>
      <c r="EMW49" s="478"/>
      <c r="EMX49" s="478"/>
      <c r="EMY49" s="478"/>
      <c r="EMZ49" s="478"/>
      <c r="ENA49" s="478"/>
      <c r="ENB49" s="478"/>
      <c r="ENC49" s="478"/>
      <c r="END49" s="478"/>
      <c r="ENE49" s="478"/>
      <c r="ENF49" s="478"/>
      <c r="ENG49" s="478"/>
      <c r="ENH49" s="478"/>
      <c r="ENI49" s="478"/>
      <c r="ENJ49" s="478"/>
      <c r="ENK49" s="478"/>
      <c r="ENL49" s="478"/>
      <c r="ENM49" s="478"/>
      <c r="ENN49" s="478"/>
      <c r="ENO49" s="478"/>
      <c r="ENP49" s="478"/>
      <c r="ENQ49" s="478"/>
      <c r="ENR49" s="478"/>
      <c r="ENS49" s="478"/>
      <c r="ENT49" s="478"/>
      <c r="ENU49" s="478"/>
      <c r="ENV49" s="478"/>
      <c r="ENW49" s="478"/>
      <c r="ENX49" s="478"/>
      <c r="ENY49" s="478"/>
      <c r="ENZ49" s="478"/>
      <c r="EOA49" s="478"/>
      <c r="EOB49" s="478"/>
      <c r="EOC49" s="478"/>
      <c r="EOD49" s="478"/>
      <c r="EOE49" s="478"/>
      <c r="EOF49" s="478"/>
      <c r="EOG49" s="478"/>
      <c r="EOH49" s="478"/>
      <c r="EOI49" s="478"/>
      <c r="EOJ49" s="478"/>
      <c r="EOK49" s="478"/>
      <c r="EOL49" s="478"/>
      <c r="EOM49" s="478"/>
      <c r="EON49" s="478"/>
      <c r="EOO49" s="478"/>
      <c r="EOP49" s="478"/>
      <c r="EOQ49" s="478"/>
      <c r="EOR49" s="478"/>
      <c r="EOS49" s="478"/>
      <c r="EOT49" s="478"/>
      <c r="EOU49" s="478"/>
      <c r="EOV49" s="478"/>
      <c r="EOW49" s="478"/>
      <c r="EOX49" s="478"/>
      <c r="EOY49" s="478"/>
      <c r="EOZ49" s="478"/>
      <c r="EPA49" s="478"/>
      <c r="EPB49" s="478"/>
      <c r="EPC49" s="478"/>
      <c r="EPD49" s="478"/>
      <c r="EPE49" s="478"/>
      <c r="EPF49" s="478"/>
      <c r="EPG49" s="478"/>
      <c r="EPH49" s="478"/>
      <c r="EPI49" s="478"/>
      <c r="EPJ49" s="478"/>
      <c r="EPK49" s="478"/>
      <c r="EPL49" s="478"/>
      <c r="EPM49" s="478"/>
      <c r="EPN49" s="478"/>
      <c r="EPO49" s="478"/>
      <c r="EPP49" s="478"/>
      <c r="EPQ49" s="478"/>
      <c r="EPR49" s="478"/>
      <c r="EPS49" s="478"/>
      <c r="EPT49" s="478"/>
      <c r="EPU49" s="478"/>
      <c r="EPV49" s="478"/>
      <c r="EPW49" s="478"/>
      <c r="EPX49" s="478"/>
      <c r="EPY49" s="478"/>
      <c r="EPZ49" s="478"/>
      <c r="EQA49" s="478"/>
      <c r="EQB49" s="478"/>
      <c r="EQC49" s="478"/>
      <c r="EQD49" s="478"/>
      <c r="EQE49" s="478"/>
      <c r="EQF49" s="478"/>
      <c r="EQG49" s="478"/>
      <c r="EQH49" s="478"/>
      <c r="EQI49" s="478"/>
      <c r="EQJ49" s="478"/>
      <c r="EQK49" s="478"/>
      <c r="EQL49" s="478"/>
      <c r="EQM49" s="478"/>
      <c r="EQN49" s="478"/>
      <c r="EQO49" s="478"/>
      <c r="EQP49" s="478"/>
      <c r="EQQ49" s="478"/>
      <c r="EQR49" s="478"/>
      <c r="EQS49" s="478"/>
      <c r="EQT49" s="478"/>
      <c r="EQU49" s="478"/>
      <c r="EQV49" s="478"/>
      <c r="EQW49" s="478"/>
      <c r="EQX49" s="478"/>
      <c r="EQY49" s="478"/>
      <c r="EQZ49" s="478"/>
      <c r="ERA49" s="478"/>
      <c r="ERB49" s="478"/>
      <c r="ERC49" s="478"/>
      <c r="ERD49" s="478"/>
      <c r="ERE49" s="478"/>
      <c r="ERF49" s="478"/>
      <c r="ERG49" s="478"/>
      <c r="ERH49" s="478"/>
      <c r="ERI49" s="478"/>
      <c r="ERJ49" s="478"/>
      <c r="ERK49" s="478"/>
      <c r="ERL49" s="478"/>
      <c r="ERM49" s="478"/>
      <c r="ERN49" s="478"/>
      <c r="ERO49" s="478"/>
      <c r="ERP49" s="478"/>
      <c r="ERQ49" s="478"/>
      <c r="ERR49" s="478"/>
      <c r="ERS49" s="478"/>
      <c r="ERT49" s="478"/>
      <c r="ERU49" s="478"/>
      <c r="ERV49" s="478"/>
      <c r="ERW49" s="478"/>
      <c r="ERX49" s="478"/>
      <c r="ERY49" s="478"/>
      <c r="ERZ49" s="478"/>
      <c r="ESA49" s="478"/>
      <c r="ESB49" s="478"/>
      <c r="ESC49" s="478"/>
      <c r="ESD49" s="478"/>
      <c r="ESE49" s="478"/>
      <c r="ESF49" s="478"/>
      <c r="ESG49" s="478"/>
      <c r="ESH49" s="478"/>
      <c r="ESI49" s="478"/>
      <c r="ESJ49" s="478"/>
      <c r="ESK49" s="478"/>
      <c r="ESL49" s="478"/>
      <c r="ESM49" s="478"/>
      <c r="ESN49" s="478"/>
      <c r="ESO49" s="478"/>
      <c r="ESP49" s="478"/>
      <c r="ESQ49" s="478"/>
      <c r="ESR49" s="478"/>
      <c r="ESS49" s="478"/>
      <c r="EST49" s="478"/>
      <c r="ESU49" s="478"/>
      <c r="ESV49" s="478"/>
      <c r="ESW49" s="478"/>
      <c r="ESX49" s="478"/>
      <c r="ESY49" s="478"/>
      <c r="ESZ49" s="478"/>
      <c r="ETA49" s="478"/>
      <c r="ETB49" s="478"/>
      <c r="ETC49" s="478"/>
      <c r="ETD49" s="478"/>
      <c r="ETE49" s="478"/>
      <c r="ETF49" s="478"/>
      <c r="ETG49" s="478"/>
      <c r="ETH49" s="478"/>
      <c r="ETI49" s="478"/>
      <c r="ETJ49" s="478"/>
      <c r="ETK49" s="478"/>
      <c r="ETL49" s="478"/>
      <c r="ETM49" s="478"/>
      <c r="ETN49" s="478"/>
      <c r="ETO49" s="478"/>
      <c r="ETP49" s="478"/>
      <c r="ETQ49" s="478"/>
      <c r="ETR49" s="478"/>
      <c r="ETS49" s="478"/>
      <c r="ETT49" s="478"/>
      <c r="ETU49" s="478"/>
      <c r="ETV49" s="478"/>
      <c r="ETW49" s="478"/>
      <c r="ETX49" s="478"/>
      <c r="ETY49" s="478"/>
      <c r="ETZ49" s="478"/>
      <c r="EUA49" s="478"/>
      <c r="EUB49" s="478"/>
      <c r="EUC49" s="478"/>
      <c r="EUD49" s="478"/>
      <c r="EUE49" s="478"/>
      <c r="EUF49" s="478"/>
      <c r="EUG49" s="478"/>
      <c r="EUH49" s="478"/>
      <c r="EUI49" s="478"/>
      <c r="EUJ49" s="478"/>
      <c r="EUK49" s="478"/>
      <c r="EUL49" s="478"/>
      <c r="EUM49" s="478"/>
      <c r="EUN49" s="478"/>
      <c r="EUO49" s="478"/>
      <c r="EUP49" s="478"/>
      <c r="EUQ49" s="478"/>
      <c r="EUR49" s="478"/>
      <c r="EUS49" s="478"/>
      <c r="EUT49" s="478"/>
      <c r="EUU49" s="478"/>
      <c r="EUV49" s="478"/>
      <c r="EUW49" s="478"/>
      <c r="EUX49" s="478"/>
      <c r="EUY49" s="478"/>
      <c r="EUZ49" s="478"/>
      <c r="EVA49" s="478"/>
      <c r="EVB49" s="478"/>
      <c r="EVC49" s="478"/>
      <c r="EVD49" s="478"/>
      <c r="EVE49" s="478"/>
      <c r="EVF49" s="478"/>
      <c r="EVG49" s="478"/>
      <c r="EVH49" s="478"/>
      <c r="EVI49" s="478"/>
      <c r="EVJ49" s="478"/>
      <c r="EVK49" s="478"/>
      <c r="EVL49" s="478"/>
      <c r="EVM49" s="478"/>
      <c r="EVN49" s="478"/>
      <c r="EVO49" s="478"/>
      <c r="EVP49" s="478"/>
      <c r="EVQ49" s="478"/>
      <c r="EVR49" s="478"/>
      <c r="EVS49" s="478"/>
      <c r="EVT49" s="478"/>
      <c r="EVU49" s="478"/>
      <c r="EVV49" s="478"/>
      <c r="EVW49" s="478"/>
      <c r="EVX49" s="478"/>
      <c r="EVY49" s="478"/>
      <c r="EVZ49" s="478"/>
      <c r="EWA49" s="478"/>
      <c r="EWB49" s="478"/>
      <c r="EWC49" s="478"/>
      <c r="EWD49" s="478"/>
      <c r="EWE49" s="478"/>
      <c r="EWF49" s="478"/>
      <c r="EWG49" s="478"/>
      <c r="EWH49" s="478"/>
      <c r="EWI49" s="478"/>
      <c r="EWJ49" s="478"/>
      <c r="EWK49" s="478"/>
      <c r="EWL49" s="478"/>
      <c r="EWM49" s="478"/>
      <c r="EWN49" s="478"/>
      <c r="EWO49" s="478"/>
      <c r="EWP49" s="478"/>
      <c r="EWQ49" s="478"/>
      <c r="EWR49" s="478"/>
      <c r="EWS49" s="478"/>
      <c r="EWT49" s="478"/>
      <c r="EWU49" s="478"/>
      <c r="EWV49" s="478"/>
      <c r="EWW49" s="478"/>
      <c r="EWX49" s="478"/>
      <c r="EWY49" s="478"/>
      <c r="EWZ49" s="478"/>
      <c r="EXA49" s="478"/>
      <c r="EXB49" s="478"/>
      <c r="EXC49" s="478"/>
      <c r="EXD49" s="478"/>
      <c r="EXE49" s="478"/>
      <c r="EXF49" s="478"/>
      <c r="EXG49" s="478"/>
      <c r="EXH49" s="478"/>
      <c r="EXI49" s="478"/>
      <c r="EXJ49" s="478"/>
      <c r="EXK49" s="478"/>
      <c r="EXL49" s="478"/>
      <c r="EXM49" s="478"/>
      <c r="EXN49" s="478"/>
      <c r="EXO49" s="478"/>
      <c r="EXP49" s="478"/>
      <c r="EXQ49" s="478"/>
      <c r="EXR49" s="478"/>
      <c r="EXS49" s="478"/>
      <c r="EXT49" s="478"/>
      <c r="EXU49" s="478"/>
      <c r="EXV49" s="478"/>
      <c r="EXW49" s="478"/>
      <c r="EXX49" s="478"/>
      <c r="EXY49" s="478"/>
      <c r="EXZ49" s="478"/>
      <c r="EYA49" s="478"/>
      <c r="EYB49" s="478"/>
      <c r="EYC49" s="478"/>
      <c r="EYD49" s="478"/>
      <c r="EYE49" s="478"/>
      <c r="EYF49" s="478"/>
      <c r="EYG49" s="478"/>
      <c r="EYH49" s="478"/>
      <c r="EYI49" s="478"/>
      <c r="EYJ49" s="478"/>
      <c r="EYK49" s="478"/>
      <c r="EYL49" s="478"/>
      <c r="EYM49" s="478"/>
      <c r="EYN49" s="478"/>
      <c r="EYO49" s="478"/>
      <c r="EYP49" s="478"/>
      <c r="EYQ49" s="478"/>
      <c r="EYR49" s="478"/>
      <c r="EYS49" s="478"/>
      <c r="EYT49" s="478"/>
      <c r="EYU49" s="478"/>
      <c r="EYV49" s="478"/>
      <c r="EYW49" s="478"/>
      <c r="EYX49" s="478"/>
      <c r="EYY49" s="478"/>
      <c r="EYZ49" s="478"/>
      <c r="EZA49" s="478"/>
      <c r="EZB49" s="478"/>
      <c r="EZC49" s="478"/>
      <c r="EZD49" s="478"/>
      <c r="EZE49" s="478"/>
      <c r="EZF49" s="478"/>
      <c r="EZG49" s="478"/>
      <c r="EZH49" s="478"/>
      <c r="EZI49" s="478"/>
      <c r="EZJ49" s="478"/>
      <c r="EZK49" s="478"/>
      <c r="EZL49" s="478"/>
      <c r="EZM49" s="478"/>
      <c r="EZN49" s="478"/>
      <c r="EZO49" s="478"/>
      <c r="EZP49" s="478"/>
      <c r="EZQ49" s="478"/>
      <c r="EZR49" s="478"/>
      <c r="EZS49" s="478"/>
      <c r="EZT49" s="478"/>
      <c r="EZU49" s="478"/>
      <c r="EZV49" s="478"/>
      <c r="EZW49" s="478"/>
      <c r="EZX49" s="478"/>
      <c r="EZY49" s="478"/>
      <c r="EZZ49" s="478"/>
      <c r="FAA49" s="478"/>
      <c r="FAB49" s="478"/>
      <c r="FAC49" s="478"/>
      <c r="FAD49" s="478"/>
      <c r="FAE49" s="478"/>
      <c r="FAF49" s="478"/>
      <c r="FAG49" s="478"/>
      <c r="FAH49" s="478"/>
      <c r="FAI49" s="478"/>
      <c r="FAJ49" s="478"/>
      <c r="FAK49" s="478"/>
      <c r="FAL49" s="478"/>
      <c r="FAM49" s="478"/>
      <c r="FAN49" s="478"/>
      <c r="FAO49" s="478"/>
      <c r="FAP49" s="478"/>
      <c r="FAQ49" s="478"/>
      <c r="FAR49" s="478"/>
      <c r="FAS49" s="478"/>
      <c r="FAT49" s="478"/>
      <c r="FAU49" s="478"/>
      <c r="FAV49" s="478"/>
      <c r="FAW49" s="478"/>
      <c r="FAX49" s="478"/>
      <c r="FAY49" s="478"/>
      <c r="FAZ49" s="478"/>
      <c r="FBA49" s="478"/>
      <c r="FBB49" s="478"/>
      <c r="FBC49" s="478"/>
      <c r="FBD49" s="478"/>
      <c r="FBE49" s="478"/>
      <c r="FBF49" s="478"/>
      <c r="FBG49" s="478"/>
      <c r="FBH49" s="478"/>
      <c r="FBI49" s="478"/>
      <c r="FBJ49" s="478"/>
      <c r="FBK49" s="478"/>
      <c r="FBL49" s="478"/>
      <c r="FBM49" s="478"/>
      <c r="FBN49" s="478"/>
      <c r="FBO49" s="478"/>
      <c r="FBP49" s="478"/>
      <c r="FBQ49" s="478"/>
      <c r="FBR49" s="478"/>
      <c r="FBS49" s="478"/>
      <c r="FBT49" s="478"/>
      <c r="FBU49" s="478"/>
      <c r="FBV49" s="478"/>
      <c r="FBW49" s="478"/>
      <c r="FBX49" s="478"/>
      <c r="FBY49" s="478"/>
      <c r="FBZ49" s="478"/>
      <c r="FCA49" s="478"/>
      <c r="FCB49" s="478"/>
      <c r="FCC49" s="478"/>
      <c r="FCD49" s="478"/>
      <c r="FCE49" s="478"/>
      <c r="FCF49" s="478"/>
      <c r="FCG49" s="478"/>
      <c r="FCH49" s="478"/>
      <c r="FCI49" s="478"/>
      <c r="FCJ49" s="478"/>
      <c r="FCK49" s="478"/>
      <c r="FCL49" s="478"/>
      <c r="FCM49" s="478"/>
      <c r="FCN49" s="478"/>
      <c r="FCO49" s="478"/>
      <c r="FCP49" s="478"/>
      <c r="FCQ49" s="478"/>
      <c r="FCR49" s="478"/>
      <c r="FCS49" s="478"/>
      <c r="FCT49" s="478"/>
      <c r="FCU49" s="478"/>
      <c r="FCV49" s="478"/>
      <c r="FCW49" s="478"/>
      <c r="FCX49" s="478"/>
      <c r="FCY49" s="478"/>
      <c r="FCZ49" s="478"/>
      <c r="FDA49" s="478"/>
      <c r="FDB49" s="478"/>
      <c r="FDC49" s="478"/>
      <c r="FDD49" s="478"/>
      <c r="FDE49" s="478"/>
      <c r="FDF49" s="478"/>
      <c r="FDG49" s="478"/>
      <c r="FDH49" s="478"/>
      <c r="FDI49" s="478"/>
      <c r="FDJ49" s="478"/>
      <c r="FDK49" s="478"/>
      <c r="FDL49" s="478"/>
      <c r="FDM49" s="478"/>
      <c r="FDN49" s="478"/>
      <c r="FDO49" s="478"/>
      <c r="FDP49" s="478"/>
      <c r="FDQ49" s="478"/>
      <c r="FDR49" s="478"/>
      <c r="FDS49" s="478"/>
      <c r="FDT49" s="478"/>
      <c r="FDU49" s="478"/>
      <c r="FDV49" s="478"/>
      <c r="FDW49" s="478"/>
      <c r="FDX49" s="478"/>
      <c r="FDY49" s="478"/>
      <c r="FDZ49" s="478"/>
      <c r="FEA49" s="478"/>
      <c r="FEB49" s="478"/>
      <c r="FEC49" s="478"/>
      <c r="FED49" s="478"/>
      <c r="FEE49" s="478"/>
      <c r="FEF49" s="478"/>
      <c r="FEG49" s="478"/>
      <c r="FEH49" s="478"/>
      <c r="FEI49" s="478"/>
      <c r="FEJ49" s="478"/>
      <c r="FEK49" s="478"/>
      <c r="FEL49" s="478"/>
      <c r="FEM49" s="478"/>
      <c r="FEN49" s="478"/>
      <c r="FEO49" s="478"/>
      <c r="FEP49" s="478"/>
      <c r="FEQ49" s="478"/>
      <c r="FER49" s="478"/>
      <c r="FES49" s="478"/>
      <c r="FET49" s="478"/>
      <c r="FEU49" s="478"/>
      <c r="FEV49" s="478"/>
      <c r="FEW49" s="478"/>
      <c r="FEX49" s="478"/>
      <c r="FEY49" s="478"/>
      <c r="FEZ49" s="478"/>
      <c r="FFA49" s="478"/>
      <c r="FFB49" s="478"/>
      <c r="FFC49" s="478"/>
      <c r="FFD49" s="478"/>
      <c r="FFE49" s="478"/>
      <c r="FFF49" s="478"/>
      <c r="FFG49" s="478"/>
      <c r="FFH49" s="478"/>
      <c r="FFI49" s="478"/>
      <c r="FFJ49" s="478"/>
      <c r="FFK49" s="478"/>
      <c r="FFL49" s="478"/>
      <c r="FFM49" s="478"/>
      <c r="FFN49" s="478"/>
      <c r="FFO49" s="478"/>
      <c r="FFP49" s="478"/>
      <c r="FFQ49" s="478"/>
      <c r="FFR49" s="478"/>
      <c r="FFS49" s="478"/>
      <c r="FFT49" s="478"/>
      <c r="FFU49" s="478"/>
      <c r="FFV49" s="478"/>
      <c r="FFW49" s="478"/>
      <c r="FFX49" s="478"/>
      <c r="FFY49" s="478"/>
      <c r="FFZ49" s="478"/>
      <c r="FGA49" s="478"/>
      <c r="FGB49" s="478"/>
      <c r="FGC49" s="478"/>
      <c r="FGD49" s="478"/>
      <c r="FGE49" s="478"/>
      <c r="FGF49" s="478"/>
      <c r="FGG49" s="478"/>
      <c r="FGH49" s="478"/>
      <c r="FGI49" s="478"/>
      <c r="FGJ49" s="478"/>
      <c r="FGK49" s="478"/>
      <c r="FGL49" s="478"/>
      <c r="FGM49" s="478"/>
      <c r="FGN49" s="478"/>
      <c r="FGO49" s="478"/>
      <c r="FGP49" s="478"/>
      <c r="FGQ49" s="478"/>
      <c r="FGR49" s="478"/>
      <c r="FGS49" s="478"/>
      <c r="FGT49" s="478"/>
      <c r="FGU49" s="478"/>
      <c r="FGV49" s="478"/>
      <c r="FGW49" s="478"/>
      <c r="FGX49" s="478"/>
      <c r="FGY49" s="478"/>
      <c r="FGZ49" s="478"/>
      <c r="FHA49" s="478"/>
      <c r="FHB49" s="478"/>
      <c r="FHC49" s="478"/>
      <c r="FHD49" s="478"/>
      <c r="FHE49" s="478"/>
      <c r="FHF49" s="478"/>
      <c r="FHG49" s="478"/>
      <c r="FHH49" s="478"/>
      <c r="FHI49" s="478"/>
      <c r="FHJ49" s="478"/>
      <c r="FHK49" s="478"/>
      <c r="FHL49" s="478"/>
      <c r="FHM49" s="478"/>
      <c r="FHN49" s="478"/>
      <c r="FHO49" s="478"/>
      <c r="FHP49" s="478"/>
      <c r="FHQ49" s="478"/>
      <c r="FHR49" s="478"/>
      <c r="FHS49" s="478"/>
      <c r="FHT49" s="478"/>
      <c r="FHU49" s="478"/>
      <c r="FHV49" s="478"/>
      <c r="FHW49" s="478"/>
      <c r="FHX49" s="478"/>
      <c r="FHY49" s="478"/>
      <c r="FHZ49" s="478"/>
      <c r="FIA49" s="478"/>
      <c r="FIB49" s="478"/>
      <c r="FIC49" s="478"/>
      <c r="FID49" s="478"/>
      <c r="FIE49" s="478"/>
      <c r="FIF49" s="478"/>
      <c r="FIG49" s="478"/>
      <c r="FIH49" s="478"/>
      <c r="FII49" s="478"/>
      <c r="FIJ49" s="478"/>
      <c r="FIK49" s="478"/>
      <c r="FIL49" s="478"/>
      <c r="FIM49" s="478"/>
      <c r="FIN49" s="478"/>
      <c r="FIO49" s="478"/>
      <c r="FIP49" s="478"/>
      <c r="FIQ49" s="478"/>
      <c r="FIR49" s="478"/>
      <c r="FIS49" s="478"/>
      <c r="FIT49" s="478"/>
      <c r="FIU49" s="478"/>
      <c r="FIV49" s="478"/>
      <c r="FIW49" s="478"/>
      <c r="FIX49" s="478"/>
      <c r="FIY49" s="478"/>
      <c r="FIZ49" s="478"/>
      <c r="FJA49" s="478"/>
      <c r="FJB49" s="478"/>
      <c r="FJC49" s="478"/>
      <c r="FJD49" s="478"/>
      <c r="FJE49" s="478"/>
      <c r="FJF49" s="478"/>
      <c r="FJG49" s="478"/>
      <c r="FJH49" s="478"/>
      <c r="FJI49" s="478"/>
      <c r="FJJ49" s="478"/>
      <c r="FJK49" s="478"/>
      <c r="FJL49" s="478"/>
      <c r="FJM49" s="478"/>
      <c r="FJN49" s="478"/>
      <c r="FJO49" s="478"/>
      <c r="FJP49" s="478"/>
      <c r="FJQ49" s="478"/>
      <c r="FJR49" s="478"/>
      <c r="FJS49" s="478"/>
      <c r="FJT49" s="478"/>
      <c r="FJU49" s="478"/>
      <c r="FJV49" s="478"/>
      <c r="FJW49" s="478"/>
      <c r="FJX49" s="478"/>
      <c r="FJY49" s="478"/>
      <c r="FJZ49" s="478"/>
      <c r="FKA49" s="478"/>
      <c r="FKB49" s="478"/>
      <c r="FKC49" s="478"/>
      <c r="FKD49" s="478"/>
      <c r="FKE49" s="478"/>
      <c r="FKF49" s="478"/>
      <c r="FKG49" s="478"/>
      <c r="FKH49" s="478"/>
      <c r="FKI49" s="478"/>
      <c r="FKJ49" s="478"/>
      <c r="FKK49" s="478"/>
      <c r="FKL49" s="478"/>
      <c r="FKM49" s="478"/>
      <c r="FKN49" s="478"/>
      <c r="FKO49" s="478"/>
      <c r="FKP49" s="478"/>
      <c r="FKQ49" s="478"/>
      <c r="FKR49" s="478"/>
      <c r="FKS49" s="478"/>
      <c r="FKT49" s="478"/>
      <c r="FKU49" s="478"/>
      <c r="FKV49" s="478"/>
      <c r="FKW49" s="478"/>
      <c r="FKX49" s="478"/>
      <c r="FKY49" s="478"/>
      <c r="FKZ49" s="478"/>
      <c r="FLA49" s="478"/>
      <c r="FLB49" s="478"/>
      <c r="FLC49" s="478"/>
      <c r="FLD49" s="478"/>
      <c r="FLE49" s="478"/>
      <c r="FLF49" s="478"/>
      <c r="FLG49" s="478"/>
      <c r="FLH49" s="478"/>
      <c r="FLI49" s="478"/>
      <c r="FLJ49" s="478"/>
      <c r="FLK49" s="478"/>
      <c r="FLL49" s="478"/>
      <c r="FLM49" s="478"/>
      <c r="FLN49" s="478"/>
      <c r="FLO49" s="478"/>
      <c r="FLP49" s="478"/>
      <c r="FLQ49" s="478"/>
      <c r="FLR49" s="478"/>
      <c r="FLS49" s="478"/>
      <c r="FLT49" s="478"/>
      <c r="FLU49" s="478"/>
      <c r="FLV49" s="478"/>
      <c r="FLW49" s="478"/>
      <c r="FLX49" s="478"/>
      <c r="FLY49" s="478"/>
      <c r="FLZ49" s="478"/>
      <c r="FMA49" s="478"/>
      <c r="FMB49" s="478"/>
      <c r="FMC49" s="478"/>
      <c r="FMD49" s="478"/>
      <c r="FME49" s="478"/>
      <c r="FMF49" s="478"/>
      <c r="FMG49" s="478"/>
      <c r="FMH49" s="478"/>
      <c r="FMI49" s="478"/>
      <c r="FMJ49" s="478"/>
      <c r="FMK49" s="478"/>
      <c r="FML49" s="478"/>
      <c r="FMM49" s="478"/>
      <c r="FMN49" s="478"/>
      <c r="FMO49" s="478"/>
      <c r="FMP49" s="478"/>
      <c r="FMQ49" s="478"/>
      <c r="FMR49" s="478"/>
      <c r="FMS49" s="478"/>
      <c r="FMT49" s="478"/>
      <c r="FMU49" s="478"/>
      <c r="FMV49" s="478"/>
      <c r="FMW49" s="478"/>
      <c r="FMX49" s="478"/>
      <c r="FMY49" s="478"/>
      <c r="FMZ49" s="478"/>
      <c r="FNA49" s="478"/>
      <c r="FNB49" s="478"/>
      <c r="FNC49" s="478"/>
      <c r="FND49" s="478"/>
      <c r="FNE49" s="478"/>
      <c r="FNF49" s="478"/>
      <c r="FNG49" s="478"/>
      <c r="FNH49" s="478"/>
      <c r="FNI49" s="478"/>
      <c r="FNJ49" s="478"/>
      <c r="FNK49" s="478"/>
      <c r="FNL49" s="478"/>
      <c r="FNM49" s="478"/>
      <c r="FNN49" s="478"/>
      <c r="FNO49" s="478"/>
      <c r="FNP49" s="478"/>
      <c r="FNQ49" s="478"/>
      <c r="FNR49" s="478"/>
      <c r="FNS49" s="478"/>
      <c r="FNT49" s="478"/>
      <c r="FNU49" s="478"/>
      <c r="FNV49" s="478"/>
      <c r="FNW49" s="478"/>
      <c r="FNX49" s="478"/>
      <c r="FNY49" s="478"/>
      <c r="FNZ49" s="478"/>
      <c r="FOA49" s="478"/>
      <c r="FOB49" s="478"/>
      <c r="FOC49" s="478"/>
      <c r="FOD49" s="478"/>
      <c r="FOE49" s="478"/>
      <c r="FOF49" s="478"/>
      <c r="FOG49" s="478"/>
      <c r="FOH49" s="478"/>
      <c r="FOI49" s="478"/>
      <c r="FOJ49" s="478"/>
      <c r="FOK49" s="478"/>
      <c r="FOL49" s="478"/>
      <c r="FOM49" s="478"/>
      <c r="FON49" s="478"/>
      <c r="FOO49" s="478"/>
      <c r="FOP49" s="478"/>
      <c r="FOQ49" s="478"/>
      <c r="FOR49" s="478"/>
      <c r="FOS49" s="478"/>
      <c r="FOT49" s="478"/>
      <c r="FOU49" s="478"/>
      <c r="FOV49" s="478"/>
      <c r="FOW49" s="478"/>
      <c r="FOX49" s="478"/>
      <c r="FOY49" s="478"/>
      <c r="FOZ49" s="478"/>
      <c r="FPA49" s="478"/>
      <c r="FPB49" s="478"/>
      <c r="FPC49" s="478"/>
      <c r="FPD49" s="478"/>
      <c r="FPE49" s="478"/>
      <c r="FPF49" s="478"/>
      <c r="FPG49" s="478"/>
      <c r="FPH49" s="478"/>
      <c r="FPI49" s="478"/>
      <c r="FPJ49" s="478"/>
      <c r="FPK49" s="478"/>
      <c r="FPL49" s="478"/>
      <c r="FPM49" s="478"/>
      <c r="FPN49" s="478"/>
      <c r="FPO49" s="478"/>
      <c r="FPP49" s="478"/>
      <c r="FPQ49" s="478"/>
      <c r="FPR49" s="478"/>
      <c r="FPS49" s="478"/>
      <c r="FPT49" s="478"/>
      <c r="FPU49" s="478"/>
      <c r="FPV49" s="478"/>
      <c r="FPW49" s="478"/>
      <c r="FPX49" s="478"/>
      <c r="FPY49" s="478"/>
      <c r="FPZ49" s="478"/>
      <c r="FQA49" s="478"/>
      <c r="FQB49" s="478"/>
      <c r="FQC49" s="478"/>
      <c r="FQD49" s="478"/>
      <c r="FQE49" s="478"/>
      <c r="FQF49" s="478"/>
      <c r="FQG49" s="478"/>
      <c r="FQH49" s="478"/>
      <c r="FQI49" s="478"/>
      <c r="FQJ49" s="478"/>
      <c r="FQK49" s="478"/>
      <c r="FQL49" s="478"/>
      <c r="FQM49" s="478"/>
      <c r="FQN49" s="478"/>
      <c r="FQO49" s="478"/>
      <c r="FQP49" s="478"/>
      <c r="FQQ49" s="478"/>
      <c r="FQR49" s="478"/>
      <c r="FQS49" s="478"/>
      <c r="FQT49" s="478"/>
      <c r="FQU49" s="478"/>
      <c r="FQV49" s="478"/>
      <c r="FQW49" s="478"/>
      <c r="FQX49" s="478"/>
      <c r="FQY49" s="478"/>
      <c r="FQZ49" s="478"/>
      <c r="FRA49" s="478"/>
      <c r="FRB49" s="478"/>
      <c r="FRC49" s="478"/>
      <c r="FRD49" s="478"/>
      <c r="FRE49" s="478"/>
      <c r="FRF49" s="478"/>
      <c r="FRG49" s="478"/>
      <c r="FRH49" s="478"/>
      <c r="FRI49" s="478"/>
      <c r="FRJ49" s="478"/>
      <c r="FRK49" s="478"/>
      <c r="FRL49" s="478"/>
      <c r="FRM49" s="478"/>
      <c r="FRN49" s="478"/>
      <c r="FRO49" s="478"/>
      <c r="FRP49" s="478"/>
      <c r="FRQ49" s="478"/>
      <c r="FRR49" s="478"/>
      <c r="FRS49" s="478"/>
      <c r="FRT49" s="478"/>
      <c r="FRU49" s="478"/>
      <c r="FRV49" s="478"/>
      <c r="FRW49" s="478"/>
      <c r="FRX49" s="478"/>
      <c r="FRY49" s="478"/>
      <c r="FRZ49" s="478"/>
      <c r="FSA49" s="478"/>
      <c r="FSB49" s="478"/>
      <c r="FSC49" s="478"/>
      <c r="FSD49" s="478"/>
      <c r="FSE49" s="478"/>
      <c r="FSF49" s="478"/>
      <c r="FSG49" s="478"/>
      <c r="FSH49" s="478"/>
      <c r="FSI49" s="478"/>
      <c r="FSJ49" s="478"/>
      <c r="FSK49" s="478"/>
      <c r="FSL49" s="478"/>
      <c r="FSM49" s="478"/>
      <c r="FSN49" s="478"/>
      <c r="FSO49" s="478"/>
      <c r="FSP49" s="478"/>
      <c r="FSQ49" s="478"/>
      <c r="FSR49" s="478"/>
      <c r="FSS49" s="478"/>
      <c r="FST49" s="478"/>
      <c r="FSU49" s="478"/>
      <c r="FSV49" s="478"/>
      <c r="FSW49" s="478"/>
      <c r="FSX49" s="478"/>
      <c r="FSY49" s="478"/>
      <c r="FSZ49" s="478"/>
      <c r="FTA49" s="478"/>
      <c r="FTB49" s="478"/>
      <c r="FTC49" s="478"/>
      <c r="FTD49" s="478"/>
      <c r="FTE49" s="478"/>
      <c r="FTF49" s="478"/>
      <c r="FTG49" s="478"/>
      <c r="FTH49" s="478"/>
      <c r="FTI49" s="478"/>
      <c r="FTJ49" s="478"/>
      <c r="FTK49" s="478"/>
      <c r="FTL49" s="478"/>
      <c r="FTM49" s="478"/>
      <c r="FTN49" s="478"/>
      <c r="FTO49" s="478"/>
      <c r="FTP49" s="478"/>
      <c r="FTQ49" s="478"/>
      <c r="FTR49" s="478"/>
      <c r="FTS49" s="478"/>
      <c r="FTT49" s="478"/>
      <c r="FTU49" s="478"/>
      <c r="FTV49" s="478"/>
      <c r="FTW49" s="478"/>
      <c r="FTX49" s="478"/>
      <c r="FTY49" s="478"/>
      <c r="FTZ49" s="478"/>
      <c r="FUA49" s="478"/>
      <c r="FUB49" s="478"/>
      <c r="FUC49" s="478"/>
      <c r="FUD49" s="478"/>
      <c r="FUE49" s="478"/>
      <c r="FUF49" s="478"/>
      <c r="FUG49" s="478"/>
      <c r="FUH49" s="478"/>
      <c r="FUI49" s="478"/>
      <c r="FUJ49" s="478"/>
      <c r="FUK49" s="478"/>
      <c r="FUL49" s="478"/>
      <c r="FUM49" s="478"/>
      <c r="FUN49" s="478"/>
      <c r="FUO49" s="478"/>
      <c r="FUP49" s="478"/>
      <c r="FUQ49" s="478"/>
      <c r="FUR49" s="478"/>
      <c r="FUS49" s="478"/>
      <c r="FUT49" s="478"/>
      <c r="FUU49" s="478"/>
      <c r="FUV49" s="478"/>
      <c r="FUW49" s="478"/>
      <c r="FUX49" s="478"/>
      <c r="FUY49" s="478"/>
      <c r="FUZ49" s="478"/>
      <c r="FVA49" s="478"/>
      <c r="FVB49" s="478"/>
      <c r="FVC49" s="478"/>
      <c r="FVD49" s="478"/>
      <c r="FVE49" s="478"/>
      <c r="FVF49" s="478"/>
      <c r="FVG49" s="478"/>
      <c r="FVH49" s="478"/>
      <c r="FVI49" s="478"/>
      <c r="FVJ49" s="478"/>
      <c r="FVK49" s="478"/>
      <c r="FVL49" s="478"/>
      <c r="FVM49" s="478"/>
      <c r="FVN49" s="478"/>
      <c r="FVO49" s="478"/>
      <c r="FVP49" s="478"/>
      <c r="FVQ49" s="478"/>
      <c r="FVR49" s="478"/>
      <c r="FVS49" s="478"/>
      <c r="FVT49" s="478"/>
      <c r="FVU49" s="478"/>
      <c r="FVV49" s="478"/>
      <c r="FVW49" s="478"/>
      <c r="FVX49" s="478"/>
      <c r="FVY49" s="478"/>
      <c r="FVZ49" s="478"/>
      <c r="FWA49" s="478"/>
      <c r="FWB49" s="478"/>
      <c r="FWC49" s="478"/>
      <c r="FWD49" s="478"/>
      <c r="FWE49" s="478"/>
      <c r="FWF49" s="478"/>
      <c r="FWG49" s="478"/>
      <c r="FWH49" s="478"/>
      <c r="FWI49" s="478"/>
      <c r="FWJ49" s="478"/>
      <c r="FWK49" s="478"/>
      <c r="FWL49" s="478"/>
      <c r="FWM49" s="478"/>
      <c r="FWN49" s="478"/>
      <c r="FWO49" s="478"/>
      <c r="FWP49" s="478"/>
      <c r="FWQ49" s="478"/>
      <c r="FWR49" s="478"/>
      <c r="FWS49" s="478"/>
      <c r="FWT49" s="478"/>
      <c r="FWU49" s="478"/>
      <c r="FWV49" s="478"/>
      <c r="FWW49" s="478"/>
      <c r="FWX49" s="478"/>
      <c r="FWY49" s="478"/>
      <c r="FWZ49" s="478"/>
      <c r="FXA49" s="478"/>
      <c r="FXB49" s="478"/>
      <c r="FXC49" s="478"/>
      <c r="FXD49" s="478"/>
      <c r="FXE49" s="478"/>
      <c r="FXF49" s="478"/>
      <c r="FXG49" s="478"/>
      <c r="FXH49" s="478"/>
      <c r="FXI49" s="478"/>
      <c r="FXJ49" s="478"/>
      <c r="FXK49" s="478"/>
      <c r="FXL49" s="478"/>
      <c r="FXM49" s="478"/>
      <c r="FXN49" s="478"/>
      <c r="FXO49" s="478"/>
      <c r="FXP49" s="478"/>
      <c r="FXQ49" s="478"/>
      <c r="FXR49" s="478"/>
      <c r="FXS49" s="478"/>
      <c r="FXT49" s="478"/>
      <c r="FXU49" s="478"/>
      <c r="FXV49" s="478"/>
      <c r="FXW49" s="478"/>
      <c r="FXX49" s="478"/>
      <c r="FXY49" s="478"/>
      <c r="FXZ49" s="478"/>
      <c r="FYA49" s="478"/>
      <c r="FYB49" s="478"/>
      <c r="FYC49" s="478"/>
      <c r="FYD49" s="478"/>
      <c r="FYE49" s="478"/>
      <c r="FYF49" s="478"/>
      <c r="FYG49" s="478"/>
      <c r="FYH49" s="478"/>
      <c r="FYI49" s="478"/>
      <c r="FYJ49" s="478"/>
      <c r="FYK49" s="478"/>
      <c r="FYL49" s="478"/>
      <c r="FYM49" s="478"/>
      <c r="FYN49" s="478"/>
      <c r="FYO49" s="478"/>
      <c r="FYP49" s="478"/>
      <c r="FYQ49" s="478"/>
      <c r="FYR49" s="478"/>
      <c r="FYS49" s="478"/>
      <c r="FYT49" s="478"/>
      <c r="FYU49" s="478"/>
      <c r="FYV49" s="478"/>
      <c r="FYW49" s="478"/>
      <c r="FYX49" s="478"/>
      <c r="FYY49" s="478"/>
      <c r="FYZ49" s="478"/>
      <c r="FZA49" s="478"/>
      <c r="FZB49" s="478"/>
      <c r="FZC49" s="478"/>
      <c r="FZD49" s="478"/>
      <c r="FZE49" s="478"/>
      <c r="FZF49" s="478"/>
      <c r="FZG49" s="478"/>
      <c r="FZH49" s="478"/>
      <c r="FZI49" s="478"/>
      <c r="FZJ49" s="478"/>
      <c r="FZK49" s="478"/>
      <c r="FZL49" s="478"/>
      <c r="FZM49" s="478"/>
      <c r="FZN49" s="478"/>
      <c r="FZO49" s="478"/>
      <c r="FZP49" s="478"/>
      <c r="FZQ49" s="478"/>
      <c r="FZR49" s="478"/>
      <c r="FZS49" s="478"/>
      <c r="FZT49" s="478"/>
      <c r="FZU49" s="478"/>
      <c r="FZV49" s="478"/>
      <c r="FZW49" s="478"/>
      <c r="FZX49" s="478"/>
      <c r="FZY49" s="478"/>
      <c r="FZZ49" s="478"/>
      <c r="GAA49" s="478"/>
      <c r="GAB49" s="478"/>
      <c r="GAC49" s="478"/>
      <c r="GAD49" s="478"/>
      <c r="GAE49" s="478"/>
      <c r="GAF49" s="478"/>
      <c r="GAG49" s="478"/>
      <c r="GAH49" s="478"/>
      <c r="GAI49" s="478"/>
      <c r="GAJ49" s="478"/>
      <c r="GAK49" s="478"/>
      <c r="GAL49" s="478"/>
      <c r="GAM49" s="478"/>
      <c r="GAN49" s="478"/>
      <c r="GAO49" s="478"/>
      <c r="GAP49" s="478"/>
      <c r="GAQ49" s="478"/>
      <c r="GAR49" s="478"/>
      <c r="GAS49" s="478"/>
      <c r="GAT49" s="478"/>
      <c r="GAU49" s="478"/>
      <c r="GAV49" s="478"/>
      <c r="GAW49" s="478"/>
      <c r="GAX49" s="478"/>
      <c r="GAY49" s="478"/>
      <c r="GAZ49" s="478"/>
      <c r="GBA49" s="478"/>
      <c r="GBB49" s="478"/>
      <c r="GBC49" s="478"/>
      <c r="GBD49" s="478"/>
      <c r="GBE49" s="478"/>
      <c r="GBF49" s="478"/>
      <c r="GBG49" s="478"/>
      <c r="GBH49" s="478"/>
      <c r="GBI49" s="478"/>
      <c r="GBJ49" s="478"/>
      <c r="GBK49" s="478"/>
      <c r="GBL49" s="478"/>
      <c r="GBM49" s="478"/>
      <c r="GBN49" s="478"/>
      <c r="GBO49" s="478"/>
      <c r="GBP49" s="478"/>
      <c r="GBQ49" s="478"/>
      <c r="GBR49" s="478"/>
      <c r="GBS49" s="478"/>
      <c r="GBT49" s="478"/>
      <c r="GBU49" s="478"/>
      <c r="GBV49" s="478"/>
      <c r="GBW49" s="478"/>
      <c r="GBX49" s="478"/>
      <c r="GBY49" s="478"/>
      <c r="GBZ49" s="478"/>
      <c r="GCA49" s="478"/>
      <c r="GCB49" s="478"/>
      <c r="GCC49" s="478"/>
      <c r="GCD49" s="478"/>
      <c r="GCE49" s="478"/>
      <c r="GCF49" s="478"/>
      <c r="GCG49" s="478"/>
      <c r="GCH49" s="478"/>
      <c r="GCI49" s="478"/>
      <c r="GCJ49" s="478"/>
      <c r="GCK49" s="478"/>
      <c r="GCL49" s="478"/>
      <c r="GCM49" s="478"/>
      <c r="GCN49" s="478"/>
      <c r="GCO49" s="478"/>
      <c r="GCP49" s="478"/>
      <c r="GCQ49" s="478"/>
      <c r="GCR49" s="478"/>
      <c r="GCS49" s="478"/>
      <c r="GCT49" s="478"/>
      <c r="GCU49" s="478"/>
      <c r="GCV49" s="478"/>
      <c r="GCW49" s="478"/>
      <c r="GCX49" s="478"/>
      <c r="GCY49" s="478"/>
      <c r="GCZ49" s="478"/>
      <c r="GDA49" s="478"/>
      <c r="GDB49" s="478"/>
      <c r="GDC49" s="478"/>
      <c r="GDD49" s="478"/>
      <c r="GDE49" s="478"/>
      <c r="GDF49" s="478"/>
      <c r="GDG49" s="478"/>
      <c r="GDH49" s="478"/>
      <c r="GDI49" s="478"/>
      <c r="GDJ49" s="478"/>
      <c r="GDK49" s="478"/>
      <c r="GDL49" s="478"/>
      <c r="GDM49" s="478"/>
      <c r="GDN49" s="478"/>
      <c r="GDO49" s="478"/>
      <c r="GDP49" s="478"/>
      <c r="GDQ49" s="478"/>
      <c r="GDR49" s="478"/>
      <c r="GDS49" s="478"/>
      <c r="GDT49" s="478"/>
      <c r="GDU49" s="478"/>
      <c r="GDV49" s="478"/>
      <c r="GDW49" s="478"/>
      <c r="GDX49" s="478"/>
      <c r="GDY49" s="478"/>
      <c r="GDZ49" s="478"/>
      <c r="GEA49" s="478"/>
      <c r="GEB49" s="478"/>
      <c r="GEC49" s="478"/>
      <c r="GED49" s="478"/>
      <c r="GEE49" s="478"/>
      <c r="GEF49" s="478"/>
      <c r="GEG49" s="478"/>
      <c r="GEH49" s="478"/>
      <c r="GEI49" s="478"/>
      <c r="GEJ49" s="478"/>
      <c r="GEK49" s="478"/>
      <c r="GEL49" s="478"/>
      <c r="GEM49" s="478"/>
      <c r="GEN49" s="478"/>
      <c r="GEO49" s="478"/>
      <c r="GEP49" s="478"/>
      <c r="GEQ49" s="478"/>
      <c r="GER49" s="478"/>
      <c r="GES49" s="478"/>
      <c r="GET49" s="478"/>
      <c r="GEU49" s="478"/>
      <c r="GEV49" s="478"/>
      <c r="GEW49" s="478"/>
      <c r="GEX49" s="478"/>
      <c r="GEY49" s="478"/>
      <c r="GEZ49" s="478"/>
      <c r="GFA49" s="478"/>
      <c r="GFB49" s="478"/>
      <c r="GFC49" s="478"/>
      <c r="GFD49" s="478"/>
      <c r="GFE49" s="478"/>
      <c r="GFF49" s="478"/>
      <c r="GFG49" s="478"/>
      <c r="GFH49" s="478"/>
      <c r="GFI49" s="478"/>
      <c r="GFJ49" s="478"/>
      <c r="GFK49" s="478"/>
      <c r="GFL49" s="478"/>
      <c r="GFM49" s="478"/>
      <c r="GFN49" s="478"/>
      <c r="GFO49" s="478"/>
      <c r="GFP49" s="478"/>
      <c r="GFQ49" s="478"/>
      <c r="GFR49" s="478"/>
      <c r="GFS49" s="478"/>
      <c r="GFT49" s="478"/>
      <c r="GFU49" s="478"/>
      <c r="GFV49" s="478"/>
      <c r="GFW49" s="478"/>
      <c r="GFX49" s="478"/>
      <c r="GFY49" s="478"/>
      <c r="GFZ49" s="478"/>
      <c r="GGA49" s="478"/>
      <c r="GGB49" s="478"/>
      <c r="GGC49" s="478"/>
      <c r="GGD49" s="478"/>
      <c r="GGE49" s="478"/>
      <c r="GGF49" s="478"/>
      <c r="GGG49" s="478"/>
      <c r="GGH49" s="478"/>
      <c r="GGI49" s="478"/>
      <c r="GGJ49" s="478"/>
      <c r="GGK49" s="478"/>
      <c r="GGL49" s="478"/>
      <c r="GGM49" s="478"/>
      <c r="GGN49" s="478"/>
      <c r="GGO49" s="478"/>
      <c r="GGP49" s="478"/>
      <c r="GGQ49" s="478"/>
      <c r="GGR49" s="478"/>
      <c r="GGS49" s="478"/>
      <c r="GGT49" s="478"/>
      <c r="GGU49" s="478"/>
      <c r="GGV49" s="478"/>
      <c r="GGW49" s="478"/>
      <c r="GGX49" s="478"/>
      <c r="GGY49" s="478"/>
      <c r="GGZ49" s="478"/>
      <c r="GHA49" s="478"/>
      <c r="GHB49" s="478"/>
      <c r="GHC49" s="478"/>
      <c r="GHD49" s="478"/>
      <c r="GHE49" s="478"/>
      <c r="GHF49" s="478"/>
      <c r="GHG49" s="478"/>
      <c r="GHH49" s="478"/>
      <c r="GHI49" s="478"/>
      <c r="GHJ49" s="478"/>
      <c r="GHK49" s="478"/>
      <c r="GHL49" s="478"/>
      <c r="GHM49" s="478"/>
      <c r="GHN49" s="478"/>
      <c r="GHO49" s="478"/>
      <c r="GHP49" s="478"/>
      <c r="GHQ49" s="478"/>
      <c r="GHR49" s="478"/>
      <c r="GHS49" s="478"/>
      <c r="GHT49" s="478"/>
      <c r="GHU49" s="478"/>
      <c r="GHV49" s="478"/>
      <c r="GHW49" s="478"/>
      <c r="GHX49" s="478"/>
      <c r="GHY49" s="478"/>
      <c r="GHZ49" s="478"/>
      <c r="GIA49" s="478"/>
      <c r="GIB49" s="478"/>
      <c r="GIC49" s="478"/>
      <c r="GID49" s="478"/>
      <c r="GIE49" s="478"/>
      <c r="GIF49" s="478"/>
      <c r="GIG49" s="478"/>
      <c r="GIH49" s="478"/>
      <c r="GII49" s="478"/>
      <c r="GIJ49" s="478"/>
      <c r="GIK49" s="478"/>
      <c r="GIL49" s="478"/>
      <c r="GIM49" s="478"/>
      <c r="GIN49" s="478"/>
      <c r="GIO49" s="478"/>
      <c r="GIP49" s="478"/>
      <c r="GIQ49" s="478"/>
      <c r="GIR49" s="478"/>
      <c r="GIS49" s="478"/>
      <c r="GIT49" s="478"/>
      <c r="GIU49" s="478"/>
      <c r="GIV49" s="478"/>
      <c r="GIW49" s="478"/>
      <c r="GIX49" s="478"/>
      <c r="GIY49" s="478"/>
      <c r="GIZ49" s="478"/>
      <c r="GJA49" s="478"/>
      <c r="GJB49" s="478"/>
      <c r="GJC49" s="478"/>
      <c r="GJD49" s="478"/>
      <c r="GJE49" s="478"/>
      <c r="GJF49" s="478"/>
      <c r="GJG49" s="478"/>
      <c r="GJH49" s="478"/>
      <c r="GJI49" s="478"/>
      <c r="GJJ49" s="478"/>
      <c r="GJK49" s="478"/>
      <c r="GJL49" s="478"/>
      <c r="GJM49" s="478"/>
      <c r="GJN49" s="478"/>
      <c r="GJO49" s="478"/>
      <c r="GJP49" s="478"/>
      <c r="GJQ49" s="478"/>
      <c r="GJR49" s="478"/>
      <c r="GJS49" s="478"/>
      <c r="GJT49" s="478"/>
      <c r="GJU49" s="478"/>
      <c r="GJV49" s="478"/>
      <c r="GJW49" s="478"/>
      <c r="GJX49" s="478"/>
      <c r="GJY49" s="478"/>
      <c r="GJZ49" s="478"/>
      <c r="GKA49" s="478"/>
      <c r="GKB49" s="478"/>
      <c r="GKC49" s="478"/>
      <c r="GKD49" s="478"/>
      <c r="GKE49" s="478"/>
      <c r="GKF49" s="478"/>
      <c r="GKG49" s="478"/>
      <c r="GKH49" s="478"/>
      <c r="GKI49" s="478"/>
      <c r="GKJ49" s="478"/>
      <c r="GKK49" s="478"/>
      <c r="GKL49" s="478"/>
      <c r="GKM49" s="478"/>
      <c r="GKN49" s="478"/>
      <c r="GKO49" s="478"/>
      <c r="GKP49" s="478"/>
      <c r="GKQ49" s="478"/>
      <c r="GKR49" s="478"/>
      <c r="GKS49" s="478"/>
      <c r="GKT49" s="478"/>
      <c r="GKU49" s="478"/>
      <c r="GKV49" s="478"/>
      <c r="GKW49" s="478"/>
      <c r="GKX49" s="478"/>
      <c r="GKY49" s="478"/>
      <c r="GKZ49" s="478"/>
      <c r="GLA49" s="478"/>
      <c r="GLB49" s="478"/>
      <c r="GLC49" s="478"/>
      <c r="GLD49" s="478"/>
      <c r="GLE49" s="478"/>
      <c r="GLF49" s="478"/>
      <c r="GLG49" s="478"/>
      <c r="GLH49" s="478"/>
      <c r="GLI49" s="478"/>
      <c r="GLJ49" s="478"/>
      <c r="GLK49" s="478"/>
      <c r="GLL49" s="478"/>
      <c r="GLM49" s="478"/>
      <c r="GLN49" s="478"/>
      <c r="GLO49" s="478"/>
      <c r="GLP49" s="478"/>
      <c r="GLQ49" s="478"/>
      <c r="GLR49" s="478"/>
      <c r="GLS49" s="478"/>
      <c r="GLT49" s="478"/>
      <c r="GLU49" s="478"/>
      <c r="GLV49" s="478"/>
      <c r="GLW49" s="478"/>
      <c r="GLX49" s="478"/>
      <c r="GLY49" s="478"/>
      <c r="GLZ49" s="478"/>
      <c r="GMA49" s="478"/>
      <c r="GMB49" s="478"/>
      <c r="GMC49" s="478"/>
      <c r="GMD49" s="478"/>
      <c r="GME49" s="478"/>
      <c r="GMF49" s="478"/>
      <c r="GMG49" s="478"/>
      <c r="GMH49" s="478"/>
      <c r="GMI49" s="478"/>
      <c r="GMJ49" s="478"/>
      <c r="GMK49" s="478"/>
      <c r="GML49" s="478"/>
      <c r="GMM49" s="478"/>
      <c r="GMN49" s="478"/>
      <c r="GMO49" s="478"/>
      <c r="GMP49" s="478"/>
      <c r="GMQ49" s="478"/>
      <c r="GMR49" s="478"/>
      <c r="GMS49" s="478"/>
      <c r="GMT49" s="478"/>
      <c r="GMU49" s="478"/>
      <c r="GMV49" s="478"/>
      <c r="GMW49" s="478"/>
      <c r="GMX49" s="478"/>
      <c r="GMY49" s="478"/>
      <c r="GMZ49" s="478"/>
      <c r="GNA49" s="478"/>
      <c r="GNB49" s="478"/>
      <c r="GNC49" s="478"/>
      <c r="GND49" s="478"/>
      <c r="GNE49" s="478"/>
      <c r="GNF49" s="478"/>
      <c r="GNG49" s="478"/>
      <c r="GNH49" s="478"/>
      <c r="GNI49" s="478"/>
      <c r="GNJ49" s="478"/>
      <c r="GNK49" s="478"/>
      <c r="GNL49" s="478"/>
      <c r="GNM49" s="478"/>
      <c r="GNN49" s="478"/>
      <c r="GNO49" s="478"/>
      <c r="GNP49" s="478"/>
      <c r="GNQ49" s="478"/>
      <c r="GNR49" s="478"/>
      <c r="GNS49" s="478"/>
      <c r="GNT49" s="478"/>
      <c r="GNU49" s="478"/>
      <c r="GNV49" s="478"/>
      <c r="GNW49" s="478"/>
      <c r="GNX49" s="478"/>
      <c r="GNY49" s="478"/>
      <c r="GNZ49" s="478"/>
      <c r="GOA49" s="478"/>
      <c r="GOB49" s="478"/>
      <c r="GOC49" s="478"/>
      <c r="GOD49" s="478"/>
      <c r="GOE49" s="478"/>
      <c r="GOF49" s="478"/>
      <c r="GOG49" s="478"/>
      <c r="GOH49" s="478"/>
      <c r="GOI49" s="478"/>
      <c r="GOJ49" s="478"/>
      <c r="GOK49" s="478"/>
      <c r="GOL49" s="478"/>
      <c r="GOM49" s="478"/>
      <c r="GON49" s="478"/>
      <c r="GOO49" s="478"/>
      <c r="GOP49" s="478"/>
      <c r="GOQ49" s="478"/>
      <c r="GOR49" s="478"/>
      <c r="GOS49" s="478"/>
      <c r="GOT49" s="478"/>
      <c r="GOU49" s="478"/>
      <c r="GOV49" s="478"/>
      <c r="GOW49" s="478"/>
      <c r="GOX49" s="478"/>
      <c r="GOY49" s="478"/>
      <c r="GOZ49" s="478"/>
      <c r="GPA49" s="478"/>
      <c r="GPB49" s="478"/>
      <c r="GPC49" s="478"/>
      <c r="GPD49" s="478"/>
      <c r="GPE49" s="478"/>
      <c r="GPF49" s="478"/>
      <c r="GPG49" s="478"/>
      <c r="GPH49" s="478"/>
      <c r="GPI49" s="478"/>
      <c r="GPJ49" s="478"/>
      <c r="GPK49" s="478"/>
      <c r="GPL49" s="478"/>
      <c r="GPM49" s="478"/>
      <c r="GPN49" s="478"/>
      <c r="GPO49" s="478"/>
      <c r="GPP49" s="478"/>
      <c r="GPQ49" s="478"/>
      <c r="GPR49" s="478"/>
      <c r="GPS49" s="478"/>
      <c r="GPT49" s="478"/>
      <c r="GPU49" s="478"/>
      <c r="GPV49" s="478"/>
      <c r="GPW49" s="478"/>
      <c r="GPX49" s="478"/>
      <c r="GPY49" s="478"/>
      <c r="GPZ49" s="478"/>
      <c r="GQA49" s="478"/>
      <c r="GQB49" s="478"/>
      <c r="GQC49" s="478"/>
      <c r="GQD49" s="478"/>
      <c r="GQE49" s="478"/>
      <c r="GQF49" s="478"/>
      <c r="GQG49" s="478"/>
      <c r="GQH49" s="478"/>
      <c r="GQI49" s="478"/>
      <c r="GQJ49" s="478"/>
      <c r="GQK49" s="478"/>
      <c r="GQL49" s="478"/>
      <c r="GQM49" s="478"/>
      <c r="GQN49" s="478"/>
      <c r="GQO49" s="478"/>
      <c r="GQP49" s="478"/>
      <c r="GQQ49" s="478"/>
      <c r="GQR49" s="478"/>
      <c r="GQS49" s="478"/>
      <c r="GQT49" s="478"/>
      <c r="GQU49" s="478"/>
      <c r="GQV49" s="478"/>
      <c r="GQW49" s="478"/>
      <c r="GQX49" s="478"/>
      <c r="GQY49" s="478"/>
      <c r="GQZ49" s="478"/>
      <c r="GRA49" s="478"/>
      <c r="GRB49" s="478"/>
      <c r="GRC49" s="478"/>
      <c r="GRD49" s="478"/>
      <c r="GRE49" s="478"/>
      <c r="GRF49" s="478"/>
      <c r="GRG49" s="478"/>
      <c r="GRH49" s="478"/>
      <c r="GRI49" s="478"/>
      <c r="GRJ49" s="478"/>
      <c r="GRK49" s="478"/>
      <c r="GRL49" s="478"/>
      <c r="GRM49" s="478"/>
      <c r="GRN49" s="478"/>
      <c r="GRO49" s="478"/>
      <c r="GRP49" s="478"/>
      <c r="GRQ49" s="478"/>
      <c r="GRR49" s="478"/>
      <c r="GRS49" s="478"/>
      <c r="GRT49" s="478"/>
      <c r="GRU49" s="478"/>
      <c r="GRV49" s="478"/>
      <c r="GRW49" s="478"/>
      <c r="GRX49" s="478"/>
      <c r="GRY49" s="478"/>
      <c r="GRZ49" s="478"/>
      <c r="GSA49" s="478"/>
      <c r="GSB49" s="478"/>
      <c r="GSC49" s="478"/>
      <c r="GSD49" s="478"/>
      <c r="GSE49" s="478"/>
      <c r="GSF49" s="478"/>
      <c r="GSG49" s="478"/>
      <c r="GSH49" s="478"/>
      <c r="GSI49" s="478"/>
      <c r="GSJ49" s="478"/>
      <c r="GSK49" s="478"/>
      <c r="GSL49" s="478"/>
      <c r="GSM49" s="478"/>
      <c r="GSN49" s="478"/>
      <c r="GSO49" s="478"/>
      <c r="GSP49" s="478"/>
      <c r="GSQ49" s="478"/>
      <c r="GSR49" s="478"/>
      <c r="GSS49" s="478"/>
      <c r="GST49" s="478"/>
      <c r="GSU49" s="478"/>
      <c r="GSV49" s="478"/>
      <c r="GSW49" s="478"/>
      <c r="GSX49" s="478"/>
      <c r="GSY49" s="478"/>
      <c r="GSZ49" s="478"/>
      <c r="GTA49" s="478"/>
      <c r="GTB49" s="478"/>
      <c r="GTC49" s="478"/>
      <c r="GTD49" s="478"/>
      <c r="GTE49" s="478"/>
      <c r="GTF49" s="478"/>
      <c r="GTG49" s="478"/>
      <c r="GTH49" s="478"/>
      <c r="GTI49" s="478"/>
      <c r="GTJ49" s="478"/>
      <c r="GTK49" s="478"/>
      <c r="GTL49" s="478"/>
      <c r="GTM49" s="478"/>
      <c r="GTN49" s="478"/>
      <c r="GTO49" s="478"/>
      <c r="GTP49" s="478"/>
      <c r="GTQ49" s="478"/>
      <c r="GTR49" s="478"/>
      <c r="GTS49" s="478"/>
      <c r="GTT49" s="478"/>
      <c r="GTU49" s="478"/>
      <c r="GTV49" s="478"/>
      <c r="GTW49" s="478"/>
      <c r="GTX49" s="478"/>
      <c r="GTY49" s="478"/>
      <c r="GTZ49" s="478"/>
      <c r="GUA49" s="478"/>
      <c r="GUB49" s="478"/>
      <c r="GUC49" s="478"/>
      <c r="GUD49" s="478"/>
      <c r="GUE49" s="478"/>
      <c r="GUF49" s="478"/>
      <c r="GUG49" s="478"/>
      <c r="GUH49" s="478"/>
      <c r="GUI49" s="478"/>
      <c r="GUJ49" s="478"/>
      <c r="GUK49" s="478"/>
      <c r="GUL49" s="478"/>
      <c r="GUM49" s="478"/>
      <c r="GUN49" s="478"/>
      <c r="GUO49" s="478"/>
      <c r="GUP49" s="478"/>
      <c r="GUQ49" s="478"/>
      <c r="GUR49" s="478"/>
      <c r="GUS49" s="478"/>
      <c r="GUT49" s="478"/>
      <c r="GUU49" s="478"/>
      <c r="GUV49" s="478"/>
      <c r="GUW49" s="478"/>
      <c r="GUX49" s="478"/>
      <c r="GUY49" s="478"/>
      <c r="GUZ49" s="478"/>
      <c r="GVA49" s="478"/>
      <c r="GVB49" s="478"/>
      <c r="GVC49" s="478"/>
      <c r="GVD49" s="478"/>
      <c r="GVE49" s="478"/>
      <c r="GVF49" s="478"/>
      <c r="GVG49" s="478"/>
      <c r="GVH49" s="478"/>
      <c r="GVI49" s="478"/>
      <c r="GVJ49" s="478"/>
      <c r="GVK49" s="478"/>
      <c r="GVL49" s="478"/>
      <c r="GVM49" s="478"/>
      <c r="GVN49" s="478"/>
      <c r="GVO49" s="478"/>
      <c r="GVP49" s="478"/>
      <c r="GVQ49" s="478"/>
      <c r="GVR49" s="478"/>
      <c r="GVS49" s="478"/>
      <c r="GVT49" s="478"/>
      <c r="GVU49" s="478"/>
      <c r="GVV49" s="478"/>
      <c r="GVW49" s="478"/>
      <c r="GVX49" s="478"/>
      <c r="GVY49" s="478"/>
      <c r="GVZ49" s="478"/>
      <c r="GWA49" s="478"/>
      <c r="GWB49" s="478"/>
      <c r="GWC49" s="478"/>
      <c r="GWD49" s="478"/>
      <c r="GWE49" s="478"/>
      <c r="GWF49" s="478"/>
      <c r="GWG49" s="478"/>
      <c r="GWH49" s="478"/>
      <c r="GWI49" s="478"/>
      <c r="GWJ49" s="478"/>
      <c r="GWK49" s="478"/>
      <c r="GWL49" s="478"/>
      <c r="GWM49" s="478"/>
      <c r="GWN49" s="478"/>
      <c r="GWO49" s="478"/>
      <c r="GWP49" s="478"/>
      <c r="GWQ49" s="478"/>
      <c r="GWR49" s="478"/>
      <c r="GWS49" s="478"/>
      <c r="GWT49" s="478"/>
      <c r="GWU49" s="478"/>
      <c r="GWV49" s="478"/>
      <c r="GWW49" s="478"/>
      <c r="GWX49" s="478"/>
      <c r="GWY49" s="478"/>
      <c r="GWZ49" s="478"/>
      <c r="GXA49" s="478"/>
      <c r="GXB49" s="478"/>
      <c r="GXC49" s="478"/>
      <c r="GXD49" s="478"/>
      <c r="GXE49" s="478"/>
      <c r="GXF49" s="478"/>
      <c r="GXG49" s="478"/>
      <c r="GXH49" s="478"/>
      <c r="GXI49" s="478"/>
      <c r="GXJ49" s="478"/>
      <c r="GXK49" s="478"/>
      <c r="GXL49" s="478"/>
      <c r="GXM49" s="478"/>
      <c r="GXN49" s="478"/>
      <c r="GXO49" s="478"/>
      <c r="GXP49" s="478"/>
      <c r="GXQ49" s="478"/>
      <c r="GXR49" s="478"/>
      <c r="GXS49" s="478"/>
      <c r="GXT49" s="478"/>
      <c r="GXU49" s="478"/>
      <c r="GXV49" s="478"/>
      <c r="GXW49" s="478"/>
      <c r="GXX49" s="478"/>
      <c r="GXY49" s="478"/>
      <c r="GXZ49" s="478"/>
      <c r="GYA49" s="478"/>
      <c r="GYB49" s="478"/>
      <c r="GYC49" s="478"/>
      <c r="GYD49" s="478"/>
      <c r="GYE49" s="478"/>
      <c r="GYF49" s="478"/>
      <c r="GYG49" s="478"/>
      <c r="GYH49" s="478"/>
      <c r="GYI49" s="478"/>
      <c r="GYJ49" s="478"/>
      <c r="GYK49" s="478"/>
      <c r="GYL49" s="478"/>
      <c r="GYM49" s="478"/>
      <c r="GYN49" s="478"/>
      <c r="GYO49" s="478"/>
      <c r="GYP49" s="478"/>
      <c r="GYQ49" s="478"/>
      <c r="GYR49" s="478"/>
      <c r="GYS49" s="478"/>
      <c r="GYT49" s="478"/>
      <c r="GYU49" s="478"/>
      <c r="GYV49" s="478"/>
      <c r="GYW49" s="478"/>
      <c r="GYX49" s="478"/>
      <c r="GYY49" s="478"/>
      <c r="GYZ49" s="478"/>
      <c r="GZA49" s="478"/>
      <c r="GZB49" s="478"/>
      <c r="GZC49" s="478"/>
      <c r="GZD49" s="478"/>
      <c r="GZE49" s="478"/>
      <c r="GZF49" s="478"/>
      <c r="GZG49" s="478"/>
      <c r="GZH49" s="478"/>
      <c r="GZI49" s="478"/>
      <c r="GZJ49" s="478"/>
      <c r="GZK49" s="478"/>
      <c r="GZL49" s="478"/>
      <c r="GZM49" s="478"/>
      <c r="GZN49" s="478"/>
      <c r="GZO49" s="478"/>
      <c r="GZP49" s="478"/>
      <c r="GZQ49" s="478"/>
      <c r="GZR49" s="478"/>
      <c r="GZS49" s="478"/>
      <c r="GZT49" s="478"/>
      <c r="GZU49" s="478"/>
      <c r="GZV49" s="478"/>
      <c r="GZW49" s="478"/>
      <c r="GZX49" s="478"/>
      <c r="GZY49" s="478"/>
      <c r="GZZ49" s="478"/>
      <c r="HAA49" s="478"/>
      <c r="HAB49" s="478"/>
      <c r="HAC49" s="478"/>
      <c r="HAD49" s="478"/>
      <c r="HAE49" s="478"/>
      <c r="HAF49" s="478"/>
      <c r="HAG49" s="478"/>
      <c r="HAH49" s="478"/>
      <c r="HAI49" s="478"/>
      <c r="HAJ49" s="478"/>
      <c r="HAK49" s="478"/>
      <c r="HAL49" s="478"/>
      <c r="HAM49" s="478"/>
      <c r="HAN49" s="478"/>
      <c r="HAO49" s="478"/>
      <c r="HAP49" s="478"/>
      <c r="HAQ49" s="478"/>
      <c r="HAR49" s="478"/>
      <c r="HAS49" s="478"/>
      <c r="HAT49" s="478"/>
      <c r="HAU49" s="478"/>
      <c r="HAV49" s="478"/>
      <c r="HAW49" s="478"/>
      <c r="HAX49" s="478"/>
      <c r="HAY49" s="478"/>
      <c r="HAZ49" s="478"/>
      <c r="HBA49" s="478"/>
      <c r="HBB49" s="478"/>
      <c r="HBC49" s="478"/>
      <c r="HBD49" s="478"/>
      <c r="HBE49" s="478"/>
      <c r="HBF49" s="478"/>
      <c r="HBG49" s="478"/>
      <c r="HBH49" s="478"/>
      <c r="HBI49" s="478"/>
      <c r="HBJ49" s="478"/>
      <c r="HBK49" s="478"/>
      <c r="HBL49" s="478"/>
      <c r="HBM49" s="478"/>
      <c r="HBN49" s="478"/>
      <c r="HBO49" s="478"/>
      <c r="HBP49" s="478"/>
      <c r="HBQ49" s="478"/>
      <c r="HBR49" s="478"/>
      <c r="HBS49" s="478"/>
      <c r="HBT49" s="478"/>
      <c r="HBU49" s="478"/>
      <c r="HBV49" s="478"/>
      <c r="HBW49" s="478"/>
      <c r="HBX49" s="478"/>
      <c r="HBY49" s="478"/>
      <c r="HBZ49" s="478"/>
      <c r="HCA49" s="478"/>
      <c r="HCB49" s="478"/>
      <c r="HCC49" s="478"/>
      <c r="HCD49" s="478"/>
      <c r="HCE49" s="478"/>
      <c r="HCF49" s="478"/>
      <c r="HCG49" s="478"/>
      <c r="HCH49" s="478"/>
      <c r="HCI49" s="478"/>
      <c r="HCJ49" s="478"/>
      <c r="HCK49" s="478"/>
      <c r="HCL49" s="478"/>
      <c r="HCM49" s="478"/>
      <c r="HCN49" s="478"/>
      <c r="HCO49" s="478"/>
      <c r="HCP49" s="478"/>
      <c r="HCQ49" s="478"/>
      <c r="HCR49" s="478"/>
      <c r="HCS49" s="478"/>
      <c r="HCT49" s="478"/>
      <c r="HCU49" s="478"/>
      <c r="HCV49" s="478"/>
      <c r="HCW49" s="478"/>
      <c r="HCX49" s="478"/>
      <c r="HCY49" s="478"/>
      <c r="HCZ49" s="478"/>
      <c r="HDA49" s="478"/>
      <c r="HDB49" s="478"/>
      <c r="HDC49" s="478"/>
      <c r="HDD49" s="478"/>
      <c r="HDE49" s="478"/>
      <c r="HDF49" s="478"/>
      <c r="HDG49" s="478"/>
      <c r="HDH49" s="478"/>
      <c r="HDI49" s="478"/>
      <c r="HDJ49" s="478"/>
      <c r="HDK49" s="478"/>
      <c r="HDL49" s="478"/>
      <c r="HDM49" s="478"/>
      <c r="HDN49" s="478"/>
      <c r="HDO49" s="478"/>
      <c r="HDP49" s="478"/>
      <c r="HDQ49" s="478"/>
      <c r="HDR49" s="478"/>
      <c r="HDS49" s="478"/>
      <c r="HDT49" s="478"/>
      <c r="HDU49" s="478"/>
      <c r="HDV49" s="478"/>
      <c r="HDW49" s="478"/>
      <c r="HDX49" s="478"/>
      <c r="HDY49" s="478"/>
      <c r="HDZ49" s="478"/>
      <c r="HEA49" s="478"/>
      <c r="HEB49" s="478"/>
      <c r="HEC49" s="478"/>
      <c r="HED49" s="478"/>
      <c r="HEE49" s="478"/>
      <c r="HEF49" s="478"/>
      <c r="HEG49" s="478"/>
      <c r="HEH49" s="478"/>
      <c r="HEI49" s="478"/>
      <c r="HEJ49" s="478"/>
      <c r="HEK49" s="478"/>
      <c r="HEL49" s="478"/>
      <c r="HEM49" s="478"/>
      <c r="HEN49" s="478"/>
      <c r="HEO49" s="478"/>
      <c r="HEP49" s="478"/>
      <c r="HEQ49" s="478"/>
      <c r="HER49" s="478"/>
      <c r="HES49" s="478"/>
      <c r="HET49" s="478"/>
      <c r="HEU49" s="478"/>
      <c r="HEV49" s="478"/>
      <c r="HEW49" s="478"/>
      <c r="HEX49" s="478"/>
      <c r="HEY49" s="478"/>
      <c r="HEZ49" s="478"/>
      <c r="HFA49" s="478"/>
      <c r="HFB49" s="478"/>
      <c r="HFC49" s="478"/>
      <c r="HFD49" s="478"/>
      <c r="HFE49" s="478"/>
      <c r="HFF49" s="478"/>
      <c r="HFG49" s="478"/>
      <c r="HFH49" s="478"/>
      <c r="HFI49" s="478"/>
      <c r="HFJ49" s="478"/>
      <c r="HFK49" s="478"/>
      <c r="HFL49" s="478"/>
      <c r="HFM49" s="478"/>
      <c r="HFN49" s="478"/>
      <c r="HFO49" s="478"/>
      <c r="HFP49" s="478"/>
      <c r="HFQ49" s="478"/>
      <c r="HFR49" s="478"/>
      <c r="HFS49" s="478"/>
      <c r="HFT49" s="478"/>
      <c r="HFU49" s="478"/>
      <c r="HFV49" s="478"/>
      <c r="HFW49" s="478"/>
      <c r="HFX49" s="478"/>
      <c r="HFY49" s="478"/>
      <c r="HFZ49" s="478"/>
      <c r="HGA49" s="478"/>
      <c r="HGB49" s="478"/>
      <c r="HGC49" s="478"/>
      <c r="HGD49" s="478"/>
      <c r="HGE49" s="478"/>
      <c r="HGF49" s="478"/>
      <c r="HGG49" s="478"/>
      <c r="HGH49" s="478"/>
      <c r="HGI49" s="478"/>
      <c r="HGJ49" s="478"/>
      <c r="HGK49" s="478"/>
      <c r="HGL49" s="478"/>
      <c r="HGM49" s="478"/>
      <c r="HGN49" s="478"/>
      <c r="HGO49" s="478"/>
      <c r="HGP49" s="478"/>
      <c r="HGQ49" s="478"/>
      <c r="HGR49" s="478"/>
      <c r="HGS49" s="478"/>
      <c r="HGT49" s="478"/>
      <c r="HGU49" s="478"/>
      <c r="HGV49" s="478"/>
      <c r="HGW49" s="478"/>
      <c r="HGX49" s="478"/>
      <c r="HGY49" s="478"/>
      <c r="HGZ49" s="478"/>
      <c r="HHA49" s="478"/>
      <c r="HHB49" s="478"/>
      <c r="HHC49" s="478"/>
      <c r="HHD49" s="478"/>
      <c r="HHE49" s="478"/>
      <c r="HHF49" s="478"/>
      <c r="HHG49" s="478"/>
      <c r="HHH49" s="478"/>
      <c r="HHI49" s="478"/>
      <c r="HHJ49" s="478"/>
      <c r="HHK49" s="478"/>
      <c r="HHL49" s="478"/>
      <c r="HHM49" s="478"/>
      <c r="HHN49" s="478"/>
      <c r="HHO49" s="478"/>
      <c r="HHP49" s="478"/>
      <c r="HHQ49" s="478"/>
      <c r="HHR49" s="478"/>
      <c r="HHS49" s="478"/>
      <c r="HHT49" s="478"/>
      <c r="HHU49" s="478"/>
      <c r="HHV49" s="478"/>
      <c r="HHW49" s="478"/>
      <c r="HHX49" s="478"/>
      <c r="HHY49" s="478"/>
      <c r="HHZ49" s="478"/>
      <c r="HIA49" s="478"/>
      <c r="HIB49" s="478"/>
      <c r="HIC49" s="478"/>
      <c r="HID49" s="478"/>
      <c r="HIE49" s="478"/>
      <c r="HIF49" s="478"/>
      <c r="HIG49" s="478"/>
      <c r="HIH49" s="478"/>
      <c r="HII49" s="478"/>
      <c r="HIJ49" s="478"/>
      <c r="HIK49" s="478"/>
      <c r="HIL49" s="478"/>
      <c r="HIM49" s="478"/>
      <c r="HIN49" s="478"/>
      <c r="HIO49" s="478"/>
      <c r="HIP49" s="478"/>
      <c r="HIQ49" s="478"/>
      <c r="HIR49" s="478"/>
      <c r="HIS49" s="478"/>
      <c r="HIT49" s="478"/>
      <c r="HIU49" s="478"/>
      <c r="HIV49" s="478"/>
      <c r="HIW49" s="478"/>
      <c r="HIX49" s="478"/>
      <c r="HIY49" s="478"/>
      <c r="HIZ49" s="478"/>
      <c r="HJA49" s="478"/>
      <c r="HJB49" s="478"/>
      <c r="HJC49" s="478"/>
      <c r="HJD49" s="478"/>
      <c r="HJE49" s="478"/>
      <c r="HJF49" s="478"/>
      <c r="HJG49" s="478"/>
      <c r="HJH49" s="478"/>
      <c r="HJI49" s="478"/>
      <c r="HJJ49" s="478"/>
      <c r="HJK49" s="478"/>
      <c r="HJL49" s="478"/>
      <c r="HJM49" s="478"/>
      <c r="HJN49" s="478"/>
      <c r="HJO49" s="478"/>
      <c r="HJP49" s="478"/>
      <c r="HJQ49" s="478"/>
      <c r="HJR49" s="478"/>
      <c r="HJS49" s="478"/>
      <c r="HJT49" s="478"/>
      <c r="HJU49" s="478"/>
      <c r="HJV49" s="478"/>
      <c r="HJW49" s="478"/>
      <c r="HJX49" s="478"/>
      <c r="HJY49" s="478"/>
      <c r="HJZ49" s="478"/>
      <c r="HKA49" s="478"/>
      <c r="HKB49" s="478"/>
      <c r="HKC49" s="478"/>
      <c r="HKD49" s="478"/>
      <c r="HKE49" s="478"/>
      <c r="HKF49" s="478"/>
      <c r="HKG49" s="478"/>
      <c r="HKH49" s="478"/>
      <c r="HKI49" s="478"/>
      <c r="HKJ49" s="478"/>
      <c r="HKK49" s="478"/>
      <c r="HKL49" s="478"/>
      <c r="HKM49" s="478"/>
      <c r="HKN49" s="478"/>
      <c r="HKO49" s="478"/>
      <c r="HKP49" s="478"/>
      <c r="HKQ49" s="478"/>
      <c r="HKR49" s="478"/>
      <c r="HKS49" s="478"/>
      <c r="HKT49" s="478"/>
      <c r="HKU49" s="478"/>
      <c r="HKV49" s="478"/>
      <c r="HKW49" s="478"/>
      <c r="HKX49" s="478"/>
      <c r="HKY49" s="478"/>
      <c r="HKZ49" s="478"/>
      <c r="HLA49" s="478"/>
      <c r="HLB49" s="478"/>
      <c r="HLC49" s="478"/>
      <c r="HLD49" s="478"/>
      <c r="HLE49" s="478"/>
      <c r="HLF49" s="478"/>
      <c r="HLG49" s="478"/>
      <c r="HLH49" s="478"/>
      <c r="HLI49" s="478"/>
      <c r="HLJ49" s="478"/>
      <c r="HLK49" s="478"/>
      <c r="HLL49" s="478"/>
      <c r="HLM49" s="478"/>
      <c r="HLN49" s="478"/>
      <c r="HLO49" s="478"/>
      <c r="HLP49" s="478"/>
      <c r="HLQ49" s="478"/>
      <c r="HLR49" s="478"/>
      <c r="HLS49" s="478"/>
      <c r="HLT49" s="478"/>
      <c r="HLU49" s="478"/>
      <c r="HLV49" s="478"/>
      <c r="HLW49" s="478"/>
      <c r="HLX49" s="478"/>
      <c r="HLY49" s="478"/>
      <c r="HLZ49" s="478"/>
      <c r="HMA49" s="478"/>
      <c r="HMB49" s="478"/>
      <c r="HMC49" s="478"/>
      <c r="HMD49" s="478"/>
      <c r="HME49" s="478"/>
      <c r="HMF49" s="478"/>
      <c r="HMG49" s="478"/>
      <c r="HMH49" s="478"/>
      <c r="HMI49" s="478"/>
      <c r="HMJ49" s="478"/>
      <c r="HMK49" s="478"/>
      <c r="HML49" s="478"/>
      <c r="HMM49" s="478"/>
      <c r="HMN49" s="478"/>
      <c r="HMO49" s="478"/>
      <c r="HMP49" s="478"/>
      <c r="HMQ49" s="478"/>
      <c r="HMR49" s="478"/>
      <c r="HMS49" s="478"/>
      <c r="HMT49" s="478"/>
      <c r="HMU49" s="478"/>
      <c r="HMV49" s="478"/>
      <c r="HMW49" s="478"/>
      <c r="HMX49" s="478"/>
      <c r="HMY49" s="478"/>
      <c r="HMZ49" s="478"/>
      <c r="HNA49" s="478"/>
      <c r="HNB49" s="478"/>
      <c r="HNC49" s="478"/>
      <c r="HND49" s="478"/>
      <c r="HNE49" s="478"/>
      <c r="HNF49" s="478"/>
      <c r="HNG49" s="478"/>
      <c r="HNH49" s="478"/>
      <c r="HNI49" s="478"/>
      <c r="HNJ49" s="478"/>
      <c r="HNK49" s="478"/>
      <c r="HNL49" s="478"/>
      <c r="HNM49" s="478"/>
      <c r="HNN49" s="478"/>
      <c r="HNO49" s="478"/>
      <c r="HNP49" s="478"/>
      <c r="HNQ49" s="478"/>
      <c r="HNR49" s="478"/>
      <c r="HNS49" s="478"/>
      <c r="HNT49" s="478"/>
      <c r="HNU49" s="478"/>
      <c r="HNV49" s="478"/>
      <c r="HNW49" s="478"/>
      <c r="HNX49" s="478"/>
      <c r="HNY49" s="478"/>
      <c r="HNZ49" s="478"/>
      <c r="HOA49" s="478"/>
      <c r="HOB49" s="478"/>
      <c r="HOC49" s="478"/>
      <c r="HOD49" s="478"/>
      <c r="HOE49" s="478"/>
      <c r="HOF49" s="478"/>
      <c r="HOG49" s="478"/>
      <c r="HOH49" s="478"/>
      <c r="HOI49" s="478"/>
      <c r="HOJ49" s="478"/>
      <c r="HOK49" s="478"/>
      <c r="HOL49" s="478"/>
      <c r="HOM49" s="478"/>
      <c r="HON49" s="478"/>
      <c r="HOO49" s="478"/>
      <c r="HOP49" s="478"/>
      <c r="HOQ49" s="478"/>
      <c r="HOR49" s="478"/>
      <c r="HOS49" s="478"/>
      <c r="HOT49" s="478"/>
      <c r="HOU49" s="478"/>
      <c r="HOV49" s="478"/>
      <c r="HOW49" s="478"/>
      <c r="HOX49" s="478"/>
      <c r="HOY49" s="478"/>
      <c r="HOZ49" s="478"/>
      <c r="HPA49" s="478"/>
      <c r="HPB49" s="478"/>
      <c r="HPC49" s="478"/>
      <c r="HPD49" s="478"/>
      <c r="HPE49" s="478"/>
      <c r="HPF49" s="478"/>
      <c r="HPG49" s="478"/>
      <c r="HPH49" s="478"/>
      <c r="HPI49" s="478"/>
      <c r="HPJ49" s="478"/>
      <c r="HPK49" s="478"/>
      <c r="HPL49" s="478"/>
      <c r="HPM49" s="478"/>
      <c r="HPN49" s="478"/>
      <c r="HPO49" s="478"/>
      <c r="HPP49" s="478"/>
      <c r="HPQ49" s="478"/>
      <c r="HPR49" s="478"/>
      <c r="HPS49" s="478"/>
      <c r="HPT49" s="478"/>
      <c r="HPU49" s="478"/>
      <c r="HPV49" s="478"/>
      <c r="HPW49" s="478"/>
      <c r="HPX49" s="478"/>
      <c r="HPY49" s="478"/>
      <c r="HPZ49" s="478"/>
      <c r="HQA49" s="478"/>
      <c r="HQB49" s="478"/>
      <c r="HQC49" s="478"/>
      <c r="HQD49" s="478"/>
      <c r="HQE49" s="478"/>
      <c r="HQF49" s="478"/>
      <c r="HQG49" s="478"/>
      <c r="HQH49" s="478"/>
      <c r="HQI49" s="478"/>
      <c r="HQJ49" s="478"/>
      <c r="HQK49" s="478"/>
      <c r="HQL49" s="478"/>
      <c r="HQM49" s="478"/>
      <c r="HQN49" s="478"/>
      <c r="HQO49" s="478"/>
      <c r="HQP49" s="478"/>
      <c r="HQQ49" s="478"/>
      <c r="HQR49" s="478"/>
      <c r="HQS49" s="478"/>
      <c r="HQT49" s="478"/>
      <c r="HQU49" s="478"/>
      <c r="HQV49" s="478"/>
      <c r="HQW49" s="478"/>
      <c r="HQX49" s="478"/>
      <c r="HQY49" s="478"/>
      <c r="HQZ49" s="478"/>
      <c r="HRA49" s="478"/>
      <c r="HRB49" s="478"/>
      <c r="HRC49" s="478"/>
      <c r="HRD49" s="478"/>
      <c r="HRE49" s="478"/>
      <c r="HRF49" s="478"/>
      <c r="HRG49" s="478"/>
      <c r="HRH49" s="478"/>
      <c r="HRI49" s="478"/>
      <c r="HRJ49" s="478"/>
      <c r="HRK49" s="478"/>
      <c r="HRL49" s="478"/>
      <c r="HRM49" s="478"/>
      <c r="HRN49" s="478"/>
      <c r="HRO49" s="478"/>
      <c r="HRP49" s="478"/>
      <c r="HRQ49" s="478"/>
      <c r="HRR49" s="478"/>
      <c r="HRS49" s="478"/>
      <c r="HRT49" s="478"/>
      <c r="HRU49" s="478"/>
      <c r="HRV49" s="478"/>
      <c r="HRW49" s="478"/>
      <c r="HRX49" s="478"/>
      <c r="HRY49" s="478"/>
      <c r="HRZ49" s="478"/>
      <c r="HSA49" s="478"/>
      <c r="HSB49" s="478"/>
      <c r="HSC49" s="478"/>
      <c r="HSD49" s="478"/>
      <c r="HSE49" s="478"/>
      <c r="HSF49" s="478"/>
      <c r="HSG49" s="478"/>
      <c r="HSH49" s="478"/>
      <c r="HSI49" s="478"/>
      <c r="HSJ49" s="478"/>
      <c r="HSK49" s="478"/>
      <c r="HSL49" s="478"/>
      <c r="HSM49" s="478"/>
      <c r="HSN49" s="478"/>
      <c r="HSO49" s="478"/>
      <c r="HSP49" s="478"/>
      <c r="HSQ49" s="478"/>
      <c r="HSR49" s="478"/>
      <c r="HSS49" s="478"/>
      <c r="HST49" s="478"/>
      <c r="HSU49" s="478"/>
      <c r="HSV49" s="478"/>
      <c r="HSW49" s="478"/>
      <c r="HSX49" s="478"/>
      <c r="HSY49" s="478"/>
      <c r="HSZ49" s="478"/>
      <c r="HTA49" s="478"/>
      <c r="HTB49" s="478"/>
      <c r="HTC49" s="478"/>
      <c r="HTD49" s="478"/>
      <c r="HTE49" s="478"/>
      <c r="HTF49" s="478"/>
      <c r="HTG49" s="478"/>
      <c r="HTH49" s="478"/>
      <c r="HTI49" s="478"/>
      <c r="HTJ49" s="478"/>
      <c r="HTK49" s="478"/>
      <c r="HTL49" s="478"/>
      <c r="HTM49" s="478"/>
      <c r="HTN49" s="478"/>
      <c r="HTO49" s="478"/>
      <c r="HTP49" s="478"/>
      <c r="HTQ49" s="478"/>
      <c r="HTR49" s="478"/>
      <c r="HTS49" s="478"/>
      <c r="HTT49" s="478"/>
      <c r="HTU49" s="478"/>
      <c r="HTV49" s="478"/>
      <c r="HTW49" s="478"/>
      <c r="HTX49" s="478"/>
      <c r="HTY49" s="478"/>
      <c r="HTZ49" s="478"/>
      <c r="HUA49" s="478"/>
      <c r="HUB49" s="478"/>
      <c r="HUC49" s="478"/>
      <c r="HUD49" s="478"/>
      <c r="HUE49" s="478"/>
      <c r="HUF49" s="478"/>
      <c r="HUG49" s="478"/>
      <c r="HUH49" s="478"/>
      <c r="HUI49" s="478"/>
      <c r="HUJ49" s="478"/>
      <c r="HUK49" s="478"/>
      <c r="HUL49" s="478"/>
      <c r="HUM49" s="478"/>
      <c r="HUN49" s="478"/>
      <c r="HUO49" s="478"/>
      <c r="HUP49" s="478"/>
      <c r="HUQ49" s="478"/>
      <c r="HUR49" s="478"/>
      <c r="HUS49" s="478"/>
      <c r="HUT49" s="478"/>
      <c r="HUU49" s="478"/>
      <c r="HUV49" s="478"/>
      <c r="HUW49" s="478"/>
      <c r="HUX49" s="478"/>
      <c r="HUY49" s="478"/>
      <c r="HUZ49" s="478"/>
      <c r="HVA49" s="478"/>
      <c r="HVB49" s="478"/>
      <c r="HVC49" s="478"/>
      <c r="HVD49" s="478"/>
      <c r="HVE49" s="478"/>
      <c r="HVF49" s="478"/>
      <c r="HVG49" s="478"/>
      <c r="HVH49" s="478"/>
      <c r="HVI49" s="478"/>
      <c r="HVJ49" s="478"/>
      <c r="HVK49" s="478"/>
      <c r="HVL49" s="478"/>
      <c r="HVM49" s="478"/>
      <c r="HVN49" s="478"/>
      <c r="HVO49" s="478"/>
      <c r="HVP49" s="478"/>
      <c r="HVQ49" s="478"/>
      <c r="HVR49" s="478"/>
      <c r="HVS49" s="478"/>
      <c r="HVT49" s="478"/>
      <c r="HVU49" s="478"/>
      <c r="HVV49" s="478"/>
      <c r="HVW49" s="478"/>
      <c r="HVX49" s="478"/>
      <c r="HVY49" s="478"/>
      <c r="HVZ49" s="478"/>
      <c r="HWA49" s="478"/>
      <c r="HWB49" s="478"/>
      <c r="HWC49" s="478"/>
      <c r="HWD49" s="478"/>
      <c r="HWE49" s="478"/>
      <c r="HWF49" s="478"/>
      <c r="HWG49" s="478"/>
      <c r="HWH49" s="478"/>
      <c r="HWI49" s="478"/>
      <c r="HWJ49" s="478"/>
      <c r="HWK49" s="478"/>
      <c r="HWL49" s="478"/>
      <c r="HWM49" s="478"/>
      <c r="HWN49" s="478"/>
      <c r="HWO49" s="478"/>
      <c r="HWP49" s="478"/>
      <c r="HWQ49" s="478"/>
      <c r="HWR49" s="478"/>
      <c r="HWS49" s="478"/>
      <c r="HWT49" s="478"/>
      <c r="HWU49" s="478"/>
      <c r="HWV49" s="478"/>
      <c r="HWW49" s="478"/>
      <c r="HWX49" s="478"/>
      <c r="HWY49" s="478"/>
      <c r="HWZ49" s="478"/>
      <c r="HXA49" s="478"/>
      <c r="HXB49" s="478"/>
      <c r="HXC49" s="478"/>
      <c r="HXD49" s="478"/>
      <c r="HXE49" s="478"/>
      <c r="HXF49" s="478"/>
      <c r="HXG49" s="478"/>
      <c r="HXH49" s="478"/>
      <c r="HXI49" s="478"/>
      <c r="HXJ49" s="478"/>
      <c r="HXK49" s="478"/>
      <c r="HXL49" s="478"/>
      <c r="HXM49" s="478"/>
      <c r="HXN49" s="478"/>
      <c r="HXO49" s="478"/>
      <c r="HXP49" s="478"/>
      <c r="HXQ49" s="478"/>
      <c r="HXR49" s="478"/>
      <c r="HXS49" s="478"/>
      <c r="HXT49" s="478"/>
      <c r="HXU49" s="478"/>
      <c r="HXV49" s="478"/>
      <c r="HXW49" s="478"/>
      <c r="HXX49" s="478"/>
      <c r="HXY49" s="478"/>
      <c r="HXZ49" s="478"/>
      <c r="HYA49" s="478"/>
      <c r="HYB49" s="478"/>
      <c r="HYC49" s="478"/>
      <c r="HYD49" s="478"/>
      <c r="HYE49" s="478"/>
      <c r="HYF49" s="478"/>
      <c r="HYG49" s="478"/>
      <c r="HYH49" s="478"/>
      <c r="HYI49" s="478"/>
      <c r="HYJ49" s="478"/>
      <c r="HYK49" s="478"/>
      <c r="HYL49" s="478"/>
      <c r="HYM49" s="478"/>
      <c r="HYN49" s="478"/>
      <c r="HYO49" s="478"/>
      <c r="HYP49" s="478"/>
      <c r="HYQ49" s="478"/>
      <c r="HYR49" s="478"/>
      <c r="HYS49" s="478"/>
      <c r="HYT49" s="478"/>
      <c r="HYU49" s="478"/>
      <c r="HYV49" s="478"/>
      <c r="HYW49" s="478"/>
      <c r="HYX49" s="478"/>
      <c r="HYY49" s="478"/>
      <c r="HYZ49" s="478"/>
      <c r="HZA49" s="478"/>
      <c r="HZB49" s="478"/>
      <c r="HZC49" s="478"/>
      <c r="HZD49" s="478"/>
      <c r="HZE49" s="478"/>
      <c r="HZF49" s="478"/>
      <c r="HZG49" s="478"/>
      <c r="HZH49" s="478"/>
      <c r="HZI49" s="478"/>
      <c r="HZJ49" s="478"/>
      <c r="HZK49" s="478"/>
      <c r="HZL49" s="478"/>
      <c r="HZM49" s="478"/>
      <c r="HZN49" s="478"/>
      <c r="HZO49" s="478"/>
      <c r="HZP49" s="478"/>
      <c r="HZQ49" s="478"/>
      <c r="HZR49" s="478"/>
      <c r="HZS49" s="478"/>
      <c r="HZT49" s="478"/>
      <c r="HZU49" s="478"/>
      <c r="HZV49" s="478"/>
      <c r="HZW49" s="478"/>
      <c r="HZX49" s="478"/>
      <c r="HZY49" s="478"/>
      <c r="HZZ49" s="478"/>
      <c r="IAA49" s="478"/>
      <c r="IAB49" s="478"/>
      <c r="IAC49" s="478"/>
      <c r="IAD49" s="478"/>
      <c r="IAE49" s="478"/>
      <c r="IAF49" s="478"/>
      <c r="IAG49" s="478"/>
      <c r="IAH49" s="478"/>
      <c r="IAI49" s="478"/>
      <c r="IAJ49" s="478"/>
      <c r="IAK49" s="478"/>
      <c r="IAL49" s="478"/>
      <c r="IAM49" s="478"/>
      <c r="IAN49" s="478"/>
      <c r="IAO49" s="478"/>
      <c r="IAP49" s="478"/>
      <c r="IAQ49" s="478"/>
      <c r="IAR49" s="478"/>
      <c r="IAS49" s="478"/>
      <c r="IAT49" s="478"/>
      <c r="IAU49" s="478"/>
      <c r="IAV49" s="478"/>
      <c r="IAW49" s="478"/>
      <c r="IAX49" s="478"/>
      <c r="IAY49" s="478"/>
      <c r="IAZ49" s="478"/>
      <c r="IBA49" s="478"/>
      <c r="IBB49" s="478"/>
      <c r="IBC49" s="478"/>
      <c r="IBD49" s="478"/>
      <c r="IBE49" s="478"/>
      <c r="IBF49" s="478"/>
      <c r="IBG49" s="478"/>
      <c r="IBH49" s="478"/>
      <c r="IBI49" s="478"/>
      <c r="IBJ49" s="478"/>
      <c r="IBK49" s="478"/>
      <c r="IBL49" s="478"/>
      <c r="IBM49" s="478"/>
      <c r="IBN49" s="478"/>
      <c r="IBO49" s="478"/>
      <c r="IBP49" s="478"/>
      <c r="IBQ49" s="478"/>
      <c r="IBR49" s="478"/>
      <c r="IBS49" s="478"/>
      <c r="IBT49" s="478"/>
      <c r="IBU49" s="478"/>
      <c r="IBV49" s="478"/>
      <c r="IBW49" s="478"/>
      <c r="IBX49" s="478"/>
      <c r="IBY49" s="478"/>
      <c r="IBZ49" s="478"/>
      <c r="ICA49" s="478"/>
      <c r="ICB49" s="478"/>
      <c r="ICC49" s="478"/>
      <c r="ICD49" s="478"/>
      <c r="ICE49" s="478"/>
      <c r="ICF49" s="478"/>
      <c r="ICG49" s="478"/>
      <c r="ICH49" s="478"/>
      <c r="ICI49" s="478"/>
      <c r="ICJ49" s="478"/>
      <c r="ICK49" s="478"/>
      <c r="ICL49" s="478"/>
      <c r="ICM49" s="478"/>
      <c r="ICN49" s="478"/>
      <c r="ICO49" s="478"/>
      <c r="ICP49" s="478"/>
      <c r="ICQ49" s="478"/>
      <c r="ICR49" s="478"/>
      <c r="ICS49" s="478"/>
      <c r="ICT49" s="478"/>
      <c r="ICU49" s="478"/>
      <c r="ICV49" s="478"/>
      <c r="ICW49" s="478"/>
      <c r="ICX49" s="478"/>
      <c r="ICY49" s="478"/>
      <c r="ICZ49" s="478"/>
      <c r="IDA49" s="478"/>
      <c r="IDB49" s="478"/>
      <c r="IDC49" s="478"/>
      <c r="IDD49" s="478"/>
      <c r="IDE49" s="478"/>
      <c r="IDF49" s="478"/>
      <c r="IDG49" s="478"/>
      <c r="IDH49" s="478"/>
      <c r="IDI49" s="478"/>
      <c r="IDJ49" s="478"/>
      <c r="IDK49" s="478"/>
      <c r="IDL49" s="478"/>
      <c r="IDM49" s="478"/>
      <c r="IDN49" s="478"/>
      <c r="IDO49" s="478"/>
      <c r="IDP49" s="478"/>
      <c r="IDQ49" s="478"/>
      <c r="IDR49" s="478"/>
      <c r="IDS49" s="478"/>
      <c r="IDT49" s="478"/>
      <c r="IDU49" s="478"/>
      <c r="IDV49" s="478"/>
      <c r="IDW49" s="478"/>
      <c r="IDX49" s="478"/>
      <c r="IDY49" s="478"/>
      <c r="IDZ49" s="478"/>
      <c r="IEA49" s="478"/>
      <c r="IEB49" s="478"/>
      <c r="IEC49" s="478"/>
      <c r="IED49" s="478"/>
      <c r="IEE49" s="478"/>
      <c r="IEF49" s="478"/>
      <c r="IEG49" s="478"/>
      <c r="IEH49" s="478"/>
      <c r="IEI49" s="478"/>
      <c r="IEJ49" s="478"/>
      <c r="IEK49" s="478"/>
      <c r="IEL49" s="478"/>
      <c r="IEM49" s="478"/>
      <c r="IEN49" s="478"/>
      <c r="IEO49" s="478"/>
      <c r="IEP49" s="478"/>
      <c r="IEQ49" s="478"/>
      <c r="IER49" s="478"/>
      <c r="IES49" s="478"/>
      <c r="IET49" s="478"/>
      <c r="IEU49" s="478"/>
      <c r="IEV49" s="478"/>
      <c r="IEW49" s="478"/>
      <c r="IEX49" s="478"/>
      <c r="IEY49" s="478"/>
      <c r="IEZ49" s="478"/>
      <c r="IFA49" s="478"/>
      <c r="IFB49" s="478"/>
      <c r="IFC49" s="478"/>
      <c r="IFD49" s="478"/>
      <c r="IFE49" s="478"/>
      <c r="IFF49" s="478"/>
      <c r="IFG49" s="478"/>
      <c r="IFH49" s="478"/>
      <c r="IFI49" s="478"/>
      <c r="IFJ49" s="478"/>
      <c r="IFK49" s="478"/>
      <c r="IFL49" s="478"/>
      <c r="IFM49" s="478"/>
      <c r="IFN49" s="478"/>
      <c r="IFO49" s="478"/>
      <c r="IFP49" s="478"/>
      <c r="IFQ49" s="478"/>
      <c r="IFR49" s="478"/>
      <c r="IFS49" s="478"/>
      <c r="IFT49" s="478"/>
      <c r="IFU49" s="478"/>
      <c r="IFV49" s="478"/>
      <c r="IFW49" s="478"/>
      <c r="IFX49" s="478"/>
      <c r="IFY49" s="478"/>
      <c r="IFZ49" s="478"/>
      <c r="IGA49" s="478"/>
      <c r="IGB49" s="478"/>
      <c r="IGC49" s="478"/>
      <c r="IGD49" s="478"/>
      <c r="IGE49" s="478"/>
      <c r="IGF49" s="478"/>
      <c r="IGG49" s="478"/>
      <c r="IGH49" s="478"/>
      <c r="IGI49" s="478"/>
      <c r="IGJ49" s="478"/>
      <c r="IGK49" s="478"/>
      <c r="IGL49" s="478"/>
      <c r="IGM49" s="478"/>
      <c r="IGN49" s="478"/>
      <c r="IGO49" s="478"/>
      <c r="IGP49" s="478"/>
      <c r="IGQ49" s="478"/>
      <c r="IGR49" s="478"/>
      <c r="IGS49" s="478"/>
      <c r="IGT49" s="478"/>
      <c r="IGU49" s="478"/>
      <c r="IGV49" s="478"/>
      <c r="IGW49" s="478"/>
      <c r="IGX49" s="478"/>
      <c r="IGY49" s="478"/>
      <c r="IGZ49" s="478"/>
      <c r="IHA49" s="478"/>
      <c r="IHB49" s="478"/>
      <c r="IHC49" s="478"/>
      <c r="IHD49" s="478"/>
      <c r="IHE49" s="478"/>
      <c r="IHF49" s="478"/>
      <c r="IHG49" s="478"/>
      <c r="IHH49" s="478"/>
      <c r="IHI49" s="478"/>
      <c r="IHJ49" s="478"/>
      <c r="IHK49" s="478"/>
      <c r="IHL49" s="478"/>
      <c r="IHM49" s="478"/>
      <c r="IHN49" s="478"/>
      <c r="IHO49" s="478"/>
      <c r="IHP49" s="478"/>
      <c r="IHQ49" s="478"/>
      <c r="IHR49" s="478"/>
      <c r="IHS49" s="478"/>
      <c r="IHT49" s="478"/>
      <c r="IHU49" s="478"/>
      <c r="IHV49" s="478"/>
      <c r="IHW49" s="478"/>
      <c r="IHX49" s="478"/>
      <c r="IHY49" s="478"/>
      <c r="IHZ49" s="478"/>
      <c r="IIA49" s="478"/>
      <c r="IIB49" s="478"/>
      <c r="IIC49" s="478"/>
      <c r="IID49" s="478"/>
      <c r="IIE49" s="478"/>
      <c r="IIF49" s="478"/>
      <c r="IIG49" s="478"/>
      <c r="IIH49" s="478"/>
      <c r="III49" s="478"/>
      <c r="IIJ49" s="478"/>
      <c r="IIK49" s="478"/>
      <c r="IIL49" s="478"/>
      <c r="IIM49" s="478"/>
      <c r="IIN49" s="478"/>
      <c r="IIO49" s="478"/>
      <c r="IIP49" s="478"/>
      <c r="IIQ49" s="478"/>
      <c r="IIR49" s="478"/>
      <c r="IIS49" s="478"/>
      <c r="IIT49" s="478"/>
      <c r="IIU49" s="478"/>
      <c r="IIV49" s="478"/>
      <c r="IIW49" s="478"/>
      <c r="IIX49" s="478"/>
      <c r="IIY49" s="478"/>
      <c r="IIZ49" s="478"/>
      <c r="IJA49" s="478"/>
      <c r="IJB49" s="478"/>
      <c r="IJC49" s="478"/>
      <c r="IJD49" s="478"/>
      <c r="IJE49" s="478"/>
      <c r="IJF49" s="478"/>
      <c r="IJG49" s="478"/>
      <c r="IJH49" s="478"/>
      <c r="IJI49" s="478"/>
      <c r="IJJ49" s="478"/>
      <c r="IJK49" s="478"/>
      <c r="IJL49" s="478"/>
      <c r="IJM49" s="478"/>
      <c r="IJN49" s="478"/>
      <c r="IJO49" s="478"/>
      <c r="IJP49" s="478"/>
      <c r="IJQ49" s="478"/>
      <c r="IJR49" s="478"/>
      <c r="IJS49" s="478"/>
      <c r="IJT49" s="478"/>
      <c r="IJU49" s="478"/>
      <c r="IJV49" s="478"/>
      <c r="IJW49" s="478"/>
      <c r="IJX49" s="478"/>
      <c r="IJY49" s="478"/>
      <c r="IJZ49" s="478"/>
      <c r="IKA49" s="478"/>
      <c r="IKB49" s="478"/>
      <c r="IKC49" s="478"/>
      <c r="IKD49" s="478"/>
      <c r="IKE49" s="478"/>
      <c r="IKF49" s="478"/>
      <c r="IKG49" s="478"/>
      <c r="IKH49" s="478"/>
      <c r="IKI49" s="478"/>
      <c r="IKJ49" s="478"/>
      <c r="IKK49" s="478"/>
      <c r="IKL49" s="478"/>
      <c r="IKM49" s="478"/>
      <c r="IKN49" s="478"/>
      <c r="IKO49" s="478"/>
      <c r="IKP49" s="478"/>
      <c r="IKQ49" s="478"/>
      <c r="IKR49" s="478"/>
      <c r="IKS49" s="478"/>
      <c r="IKT49" s="478"/>
      <c r="IKU49" s="478"/>
      <c r="IKV49" s="478"/>
      <c r="IKW49" s="478"/>
      <c r="IKX49" s="478"/>
      <c r="IKY49" s="478"/>
      <c r="IKZ49" s="478"/>
      <c r="ILA49" s="478"/>
      <c r="ILB49" s="478"/>
      <c r="ILC49" s="478"/>
      <c r="ILD49" s="478"/>
      <c r="ILE49" s="478"/>
      <c r="ILF49" s="478"/>
      <c r="ILG49" s="478"/>
      <c r="ILH49" s="478"/>
      <c r="ILI49" s="478"/>
      <c r="ILJ49" s="478"/>
      <c r="ILK49" s="478"/>
      <c r="ILL49" s="478"/>
      <c r="ILM49" s="478"/>
      <c r="ILN49" s="478"/>
      <c r="ILO49" s="478"/>
      <c r="ILP49" s="478"/>
      <c r="ILQ49" s="478"/>
      <c r="ILR49" s="478"/>
      <c r="ILS49" s="478"/>
      <c r="ILT49" s="478"/>
      <c r="ILU49" s="478"/>
      <c r="ILV49" s="478"/>
      <c r="ILW49" s="478"/>
      <c r="ILX49" s="478"/>
      <c r="ILY49" s="478"/>
      <c r="ILZ49" s="478"/>
      <c r="IMA49" s="478"/>
      <c r="IMB49" s="478"/>
      <c r="IMC49" s="478"/>
      <c r="IMD49" s="478"/>
      <c r="IME49" s="478"/>
      <c r="IMF49" s="478"/>
      <c r="IMG49" s="478"/>
      <c r="IMH49" s="478"/>
      <c r="IMI49" s="478"/>
      <c r="IMJ49" s="478"/>
      <c r="IMK49" s="478"/>
      <c r="IML49" s="478"/>
      <c r="IMM49" s="478"/>
      <c r="IMN49" s="478"/>
      <c r="IMO49" s="478"/>
      <c r="IMP49" s="478"/>
      <c r="IMQ49" s="478"/>
      <c r="IMR49" s="478"/>
      <c r="IMS49" s="478"/>
      <c r="IMT49" s="478"/>
      <c r="IMU49" s="478"/>
      <c r="IMV49" s="478"/>
      <c r="IMW49" s="478"/>
      <c r="IMX49" s="478"/>
      <c r="IMY49" s="478"/>
      <c r="IMZ49" s="478"/>
      <c r="INA49" s="478"/>
      <c r="INB49" s="478"/>
      <c r="INC49" s="478"/>
      <c r="IND49" s="478"/>
      <c r="INE49" s="478"/>
      <c r="INF49" s="478"/>
      <c r="ING49" s="478"/>
      <c r="INH49" s="478"/>
      <c r="INI49" s="478"/>
      <c r="INJ49" s="478"/>
      <c r="INK49" s="478"/>
      <c r="INL49" s="478"/>
      <c r="INM49" s="478"/>
      <c r="INN49" s="478"/>
      <c r="INO49" s="478"/>
      <c r="INP49" s="478"/>
      <c r="INQ49" s="478"/>
      <c r="INR49" s="478"/>
      <c r="INS49" s="478"/>
      <c r="INT49" s="478"/>
      <c r="INU49" s="478"/>
      <c r="INV49" s="478"/>
      <c r="INW49" s="478"/>
      <c r="INX49" s="478"/>
      <c r="INY49" s="478"/>
      <c r="INZ49" s="478"/>
      <c r="IOA49" s="478"/>
      <c r="IOB49" s="478"/>
      <c r="IOC49" s="478"/>
      <c r="IOD49" s="478"/>
      <c r="IOE49" s="478"/>
      <c r="IOF49" s="478"/>
      <c r="IOG49" s="478"/>
      <c r="IOH49" s="478"/>
      <c r="IOI49" s="478"/>
      <c r="IOJ49" s="478"/>
      <c r="IOK49" s="478"/>
      <c r="IOL49" s="478"/>
      <c r="IOM49" s="478"/>
      <c r="ION49" s="478"/>
      <c r="IOO49" s="478"/>
      <c r="IOP49" s="478"/>
      <c r="IOQ49" s="478"/>
      <c r="IOR49" s="478"/>
      <c r="IOS49" s="478"/>
      <c r="IOT49" s="478"/>
      <c r="IOU49" s="478"/>
      <c r="IOV49" s="478"/>
      <c r="IOW49" s="478"/>
      <c r="IOX49" s="478"/>
      <c r="IOY49" s="478"/>
      <c r="IOZ49" s="478"/>
      <c r="IPA49" s="478"/>
      <c r="IPB49" s="478"/>
      <c r="IPC49" s="478"/>
      <c r="IPD49" s="478"/>
      <c r="IPE49" s="478"/>
      <c r="IPF49" s="478"/>
      <c r="IPG49" s="478"/>
      <c r="IPH49" s="478"/>
      <c r="IPI49" s="478"/>
      <c r="IPJ49" s="478"/>
      <c r="IPK49" s="478"/>
      <c r="IPL49" s="478"/>
      <c r="IPM49" s="478"/>
      <c r="IPN49" s="478"/>
      <c r="IPO49" s="478"/>
      <c r="IPP49" s="478"/>
      <c r="IPQ49" s="478"/>
      <c r="IPR49" s="478"/>
      <c r="IPS49" s="478"/>
      <c r="IPT49" s="478"/>
      <c r="IPU49" s="478"/>
      <c r="IPV49" s="478"/>
      <c r="IPW49" s="478"/>
      <c r="IPX49" s="478"/>
      <c r="IPY49" s="478"/>
      <c r="IPZ49" s="478"/>
      <c r="IQA49" s="478"/>
      <c r="IQB49" s="478"/>
      <c r="IQC49" s="478"/>
      <c r="IQD49" s="478"/>
      <c r="IQE49" s="478"/>
      <c r="IQF49" s="478"/>
      <c r="IQG49" s="478"/>
      <c r="IQH49" s="478"/>
      <c r="IQI49" s="478"/>
      <c r="IQJ49" s="478"/>
      <c r="IQK49" s="478"/>
      <c r="IQL49" s="478"/>
      <c r="IQM49" s="478"/>
      <c r="IQN49" s="478"/>
      <c r="IQO49" s="478"/>
      <c r="IQP49" s="478"/>
      <c r="IQQ49" s="478"/>
      <c r="IQR49" s="478"/>
      <c r="IQS49" s="478"/>
      <c r="IQT49" s="478"/>
      <c r="IQU49" s="478"/>
      <c r="IQV49" s="478"/>
      <c r="IQW49" s="478"/>
      <c r="IQX49" s="478"/>
      <c r="IQY49" s="478"/>
      <c r="IQZ49" s="478"/>
      <c r="IRA49" s="478"/>
      <c r="IRB49" s="478"/>
      <c r="IRC49" s="478"/>
      <c r="IRD49" s="478"/>
      <c r="IRE49" s="478"/>
      <c r="IRF49" s="478"/>
      <c r="IRG49" s="478"/>
      <c r="IRH49" s="478"/>
      <c r="IRI49" s="478"/>
      <c r="IRJ49" s="478"/>
      <c r="IRK49" s="478"/>
      <c r="IRL49" s="478"/>
      <c r="IRM49" s="478"/>
      <c r="IRN49" s="478"/>
      <c r="IRO49" s="478"/>
      <c r="IRP49" s="478"/>
      <c r="IRQ49" s="478"/>
      <c r="IRR49" s="478"/>
      <c r="IRS49" s="478"/>
      <c r="IRT49" s="478"/>
      <c r="IRU49" s="478"/>
      <c r="IRV49" s="478"/>
      <c r="IRW49" s="478"/>
      <c r="IRX49" s="478"/>
      <c r="IRY49" s="478"/>
      <c r="IRZ49" s="478"/>
      <c r="ISA49" s="478"/>
      <c r="ISB49" s="478"/>
      <c r="ISC49" s="478"/>
      <c r="ISD49" s="478"/>
      <c r="ISE49" s="478"/>
      <c r="ISF49" s="478"/>
      <c r="ISG49" s="478"/>
      <c r="ISH49" s="478"/>
      <c r="ISI49" s="478"/>
      <c r="ISJ49" s="478"/>
      <c r="ISK49" s="478"/>
      <c r="ISL49" s="478"/>
      <c r="ISM49" s="478"/>
      <c r="ISN49" s="478"/>
      <c r="ISO49" s="478"/>
      <c r="ISP49" s="478"/>
      <c r="ISQ49" s="478"/>
      <c r="ISR49" s="478"/>
      <c r="ISS49" s="478"/>
      <c r="IST49" s="478"/>
      <c r="ISU49" s="478"/>
      <c r="ISV49" s="478"/>
      <c r="ISW49" s="478"/>
      <c r="ISX49" s="478"/>
      <c r="ISY49" s="478"/>
      <c r="ISZ49" s="478"/>
      <c r="ITA49" s="478"/>
      <c r="ITB49" s="478"/>
      <c r="ITC49" s="478"/>
      <c r="ITD49" s="478"/>
      <c r="ITE49" s="478"/>
      <c r="ITF49" s="478"/>
      <c r="ITG49" s="478"/>
      <c r="ITH49" s="478"/>
      <c r="ITI49" s="478"/>
      <c r="ITJ49" s="478"/>
      <c r="ITK49" s="478"/>
      <c r="ITL49" s="478"/>
      <c r="ITM49" s="478"/>
      <c r="ITN49" s="478"/>
      <c r="ITO49" s="478"/>
      <c r="ITP49" s="478"/>
      <c r="ITQ49" s="478"/>
      <c r="ITR49" s="478"/>
      <c r="ITS49" s="478"/>
      <c r="ITT49" s="478"/>
      <c r="ITU49" s="478"/>
      <c r="ITV49" s="478"/>
      <c r="ITW49" s="478"/>
      <c r="ITX49" s="478"/>
      <c r="ITY49" s="478"/>
      <c r="ITZ49" s="478"/>
      <c r="IUA49" s="478"/>
      <c r="IUB49" s="478"/>
      <c r="IUC49" s="478"/>
      <c r="IUD49" s="478"/>
      <c r="IUE49" s="478"/>
      <c r="IUF49" s="478"/>
      <c r="IUG49" s="478"/>
      <c r="IUH49" s="478"/>
      <c r="IUI49" s="478"/>
      <c r="IUJ49" s="478"/>
      <c r="IUK49" s="478"/>
      <c r="IUL49" s="478"/>
      <c r="IUM49" s="478"/>
      <c r="IUN49" s="478"/>
      <c r="IUO49" s="478"/>
      <c r="IUP49" s="478"/>
      <c r="IUQ49" s="478"/>
      <c r="IUR49" s="478"/>
      <c r="IUS49" s="478"/>
      <c r="IUT49" s="478"/>
      <c r="IUU49" s="478"/>
      <c r="IUV49" s="478"/>
      <c r="IUW49" s="478"/>
      <c r="IUX49" s="478"/>
      <c r="IUY49" s="478"/>
      <c r="IUZ49" s="478"/>
      <c r="IVA49" s="478"/>
      <c r="IVB49" s="478"/>
      <c r="IVC49" s="478"/>
      <c r="IVD49" s="478"/>
      <c r="IVE49" s="478"/>
      <c r="IVF49" s="478"/>
      <c r="IVG49" s="478"/>
      <c r="IVH49" s="478"/>
      <c r="IVI49" s="478"/>
      <c r="IVJ49" s="478"/>
      <c r="IVK49" s="478"/>
      <c r="IVL49" s="478"/>
      <c r="IVM49" s="478"/>
      <c r="IVN49" s="478"/>
      <c r="IVO49" s="478"/>
      <c r="IVP49" s="478"/>
      <c r="IVQ49" s="478"/>
      <c r="IVR49" s="478"/>
      <c r="IVS49" s="478"/>
      <c r="IVT49" s="478"/>
      <c r="IVU49" s="478"/>
      <c r="IVV49" s="478"/>
      <c r="IVW49" s="478"/>
      <c r="IVX49" s="478"/>
      <c r="IVY49" s="478"/>
      <c r="IVZ49" s="478"/>
      <c r="IWA49" s="478"/>
      <c r="IWB49" s="478"/>
      <c r="IWC49" s="478"/>
      <c r="IWD49" s="478"/>
      <c r="IWE49" s="478"/>
      <c r="IWF49" s="478"/>
      <c r="IWG49" s="478"/>
      <c r="IWH49" s="478"/>
      <c r="IWI49" s="478"/>
      <c r="IWJ49" s="478"/>
      <c r="IWK49" s="478"/>
      <c r="IWL49" s="478"/>
      <c r="IWM49" s="478"/>
      <c r="IWN49" s="478"/>
      <c r="IWO49" s="478"/>
      <c r="IWP49" s="478"/>
      <c r="IWQ49" s="478"/>
      <c r="IWR49" s="478"/>
      <c r="IWS49" s="478"/>
      <c r="IWT49" s="478"/>
      <c r="IWU49" s="478"/>
      <c r="IWV49" s="478"/>
      <c r="IWW49" s="478"/>
      <c r="IWX49" s="478"/>
      <c r="IWY49" s="478"/>
      <c r="IWZ49" s="478"/>
      <c r="IXA49" s="478"/>
      <c r="IXB49" s="478"/>
      <c r="IXC49" s="478"/>
      <c r="IXD49" s="478"/>
      <c r="IXE49" s="478"/>
      <c r="IXF49" s="478"/>
      <c r="IXG49" s="478"/>
      <c r="IXH49" s="478"/>
      <c r="IXI49" s="478"/>
      <c r="IXJ49" s="478"/>
      <c r="IXK49" s="478"/>
      <c r="IXL49" s="478"/>
      <c r="IXM49" s="478"/>
      <c r="IXN49" s="478"/>
      <c r="IXO49" s="478"/>
      <c r="IXP49" s="478"/>
      <c r="IXQ49" s="478"/>
      <c r="IXR49" s="478"/>
      <c r="IXS49" s="478"/>
      <c r="IXT49" s="478"/>
      <c r="IXU49" s="478"/>
      <c r="IXV49" s="478"/>
      <c r="IXW49" s="478"/>
      <c r="IXX49" s="478"/>
      <c r="IXY49" s="478"/>
      <c r="IXZ49" s="478"/>
      <c r="IYA49" s="478"/>
      <c r="IYB49" s="478"/>
      <c r="IYC49" s="478"/>
      <c r="IYD49" s="478"/>
      <c r="IYE49" s="478"/>
      <c r="IYF49" s="478"/>
      <c r="IYG49" s="478"/>
      <c r="IYH49" s="478"/>
      <c r="IYI49" s="478"/>
      <c r="IYJ49" s="478"/>
      <c r="IYK49" s="478"/>
      <c r="IYL49" s="478"/>
      <c r="IYM49" s="478"/>
      <c r="IYN49" s="478"/>
      <c r="IYO49" s="478"/>
      <c r="IYP49" s="478"/>
      <c r="IYQ49" s="478"/>
      <c r="IYR49" s="478"/>
      <c r="IYS49" s="478"/>
      <c r="IYT49" s="478"/>
      <c r="IYU49" s="478"/>
      <c r="IYV49" s="478"/>
      <c r="IYW49" s="478"/>
      <c r="IYX49" s="478"/>
      <c r="IYY49" s="478"/>
      <c r="IYZ49" s="478"/>
      <c r="IZA49" s="478"/>
      <c r="IZB49" s="478"/>
      <c r="IZC49" s="478"/>
      <c r="IZD49" s="478"/>
      <c r="IZE49" s="478"/>
      <c r="IZF49" s="478"/>
      <c r="IZG49" s="478"/>
      <c r="IZH49" s="478"/>
      <c r="IZI49" s="478"/>
      <c r="IZJ49" s="478"/>
      <c r="IZK49" s="478"/>
      <c r="IZL49" s="478"/>
      <c r="IZM49" s="478"/>
      <c r="IZN49" s="478"/>
      <c r="IZO49" s="478"/>
      <c r="IZP49" s="478"/>
      <c r="IZQ49" s="478"/>
      <c r="IZR49" s="478"/>
      <c r="IZS49" s="478"/>
      <c r="IZT49" s="478"/>
      <c r="IZU49" s="478"/>
      <c r="IZV49" s="478"/>
      <c r="IZW49" s="478"/>
      <c r="IZX49" s="478"/>
      <c r="IZY49" s="478"/>
      <c r="IZZ49" s="478"/>
      <c r="JAA49" s="478"/>
      <c r="JAB49" s="478"/>
      <c r="JAC49" s="478"/>
      <c r="JAD49" s="478"/>
      <c r="JAE49" s="478"/>
      <c r="JAF49" s="478"/>
      <c r="JAG49" s="478"/>
      <c r="JAH49" s="478"/>
      <c r="JAI49" s="478"/>
      <c r="JAJ49" s="478"/>
      <c r="JAK49" s="478"/>
      <c r="JAL49" s="478"/>
      <c r="JAM49" s="478"/>
      <c r="JAN49" s="478"/>
      <c r="JAO49" s="478"/>
      <c r="JAP49" s="478"/>
      <c r="JAQ49" s="478"/>
      <c r="JAR49" s="478"/>
      <c r="JAS49" s="478"/>
      <c r="JAT49" s="478"/>
      <c r="JAU49" s="478"/>
      <c r="JAV49" s="478"/>
      <c r="JAW49" s="478"/>
      <c r="JAX49" s="478"/>
      <c r="JAY49" s="478"/>
      <c r="JAZ49" s="478"/>
      <c r="JBA49" s="478"/>
      <c r="JBB49" s="478"/>
      <c r="JBC49" s="478"/>
      <c r="JBD49" s="478"/>
      <c r="JBE49" s="478"/>
      <c r="JBF49" s="478"/>
      <c r="JBG49" s="478"/>
      <c r="JBH49" s="478"/>
      <c r="JBI49" s="478"/>
      <c r="JBJ49" s="478"/>
      <c r="JBK49" s="478"/>
      <c r="JBL49" s="478"/>
      <c r="JBM49" s="478"/>
      <c r="JBN49" s="478"/>
      <c r="JBO49" s="478"/>
      <c r="JBP49" s="478"/>
      <c r="JBQ49" s="478"/>
      <c r="JBR49" s="478"/>
      <c r="JBS49" s="478"/>
      <c r="JBT49" s="478"/>
      <c r="JBU49" s="478"/>
      <c r="JBV49" s="478"/>
      <c r="JBW49" s="478"/>
      <c r="JBX49" s="478"/>
      <c r="JBY49" s="478"/>
      <c r="JBZ49" s="478"/>
      <c r="JCA49" s="478"/>
      <c r="JCB49" s="478"/>
      <c r="JCC49" s="478"/>
      <c r="JCD49" s="478"/>
      <c r="JCE49" s="478"/>
      <c r="JCF49" s="478"/>
      <c r="JCG49" s="478"/>
      <c r="JCH49" s="478"/>
      <c r="JCI49" s="478"/>
      <c r="JCJ49" s="478"/>
      <c r="JCK49" s="478"/>
      <c r="JCL49" s="478"/>
      <c r="JCM49" s="478"/>
      <c r="JCN49" s="478"/>
      <c r="JCO49" s="478"/>
      <c r="JCP49" s="478"/>
      <c r="JCQ49" s="478"/>
      <c r="JCR49" s="478"/>
      <c r="JCS49" s="478"/>
      <c r="JCT49" s="478"/>
      <c r="JCU49" s="478"/>
      <c r="JCV49" s="478"/>
      <c r="JCW49" s="478"/>
      <c r="JCX49" s="478"/>
      <c r="JCY49" s="478"/>
      <c r="JCZ49" s="478"/>
      <c r="JDA49" s="478"/>
      <c r="JDB49" s="478"/>
      <c r="JDC49" s="478"/>
      <c r="JDD49" s="478"/>
      <c r="JDE49" s="478"/>
      <c r="JDF49" s="478"/>
      <c r="JDG49" s="478"/>
      <c r="JDH49" s="478"/>
      <c r="JDI49" s="478"/>
      <c r="JDJ49" s="478"/>
      <c r="JDK49" s="478"/>
      <c r="JDL49" s="478"/>
      <c r="JDM49" s="478"/>
      <c r="JDN49" s="478"/>
      <c r="JDO49" s="478"/>
      <c r="JDP49" s="478"/>
      <c r="JDQ49" s="478"/>
      <c r="JDR49" s="478"/>
      <c r="JDS49" s="478"/>
      <c r="JDT49" s="478"/>
      <c r="JDU49" s="478"/>
      <c r="JDV49" s="478"/>
      <c r="JDW49" s="478"/>
      <c r="JDX49" s="478"/>
      <c r="JDY49" s="478"/>
      <c r="JDZ49" s="478"/>
      <c r="JEA49" s="478"/>
      <c r="JEB49" s="478"/>
      <c r="JEC49" s="478"/>
      <c r="JED49" s="478"/>
      <c r="JEE49" s="478"/>
      <c r="JEF49" s="478"/>
      <c r="JEG49" s="478"/>
      <c r="JEH49" s="478"/>
      <c r="JEI49" s="478"/>
      <c r="JEJ49" s="478"/>
      <c r="JEK49" s="478"/>
      <c r="JEL49" s="478"/>
      <c r="JEM49" s="478"/>
      <c r="JEN49" s="478"/>
      <c r="JEO49" s="478"/>
      <c r="JEP49" s="478"/>
      <c r="JEQ49" s="478"/>
      <c r="JER49" s="478"/>
      <c r="JES49" s="478"/>
      <c r="JET49" s="478"/>
      <c r="JEU49" s="478"/>
      <c r="JEV49" s="478"/>
      <c r="JEW49" s="478"/>
      <c r="JEX49" s="478"/>
      <c r="JEY49" s="478"/>
      <c r="JEZ49" s="478"/>
      <c r="JFA49" s="478"/>
      <c r="JFB49" s="478"/>
      <c r="JFC49" s="478"/>
      <c r="JFD49" s="478"/>
      <c r="JFE49" s="478"/>
      <c r="JFF49" s="478"/>
      <c r="JFG49" s="478"/>
      <c r="JFH49" s="478"/>
      <c r="JFI49" s="478"/>
      <c r="JFJ49" s="478"/>
      <c r="JFK49" s="478"/>
      <c r="JFL49" s="478"/>
      <c r="JFM49" s="478"/>
      <c r="JFN49" s="478"/>
      <c r="JFO49" s="478"/>
      <c r="JFP49" s="478"/>
      <c r="JFQ49" s="478"/>
      <c r="JFR49" s="478"/>
      <c r="JFS49" s="478"/>
      <c r="JFT49" s="478"/>
      <c r="JFU49" s="478"/>
      <c r="JFV49" s="478"/>
      <c r="JFW49" s="478"/>
      <c r="JFX49" s="478"/>
      <c r="JFY49" s="478"/>
      <c r="JFZ49" s="478"/>
      <c r="JGA49" s="478"/>
      <c r="JGB49" s="478"/>
      <c r="JGC49" s="478"/>
      <c r="JGD49" s="478"/>
      <c r="JGE49" s="478"/>
      <c r="JGF49" s="478"/>
      <c r="JGG49" s="478"/>
      <c r="JGH49" s="478"/>
      <c r="JGI49" s="478"/>
      <c r="JGJ49" s="478"/>
      <c r="JGK49" s="478"/>
      <c r="JGL49" s="478"/>
      <c r="JGM49" s="478"/>
      <c r="JGN49" s="478"/>
      <c r="JGO49" s="478"/>
      <c r="JGP49" s="478"/>
      <c r="JGQ49" s="478"/>
      <c r="JGR49" s="478"/>
      <c r="JGS49" s="478"/>
      <c r="JGT49" s="478"/>
      <c r="JGU49" s="478"/>
      <c r="JGV49" s="478"/>
      <c r="JGW49" s="478"/>
      <c r="JGX49" s="478"/>
      <c r="JGY49" s="478"/>
      <c r="JGZ49" s="478"/>
      <c r="JHA49" s="478"/>
      <c r="JHB49" s="478"/>
      <c r="JHC49" s="478"/>
      <c r="JHD49" s="478"/>
      <c r="JHE49" s="478"/>
      <c r="JHF49" s="478"/>
      <c r="JHG49" s="478"/>
      <c r="JHH49" s="478"/>
      <c r="JHI49" s="478"/>
      <c r="JHJ49" s="478"/>
      <c r="JHK49" s="478"/>
      <c r="JHL49" s="478"/>
      <c r="JHM49" s="478"/>
      <c r="JHN49" s="478"/>
      <c r="JHO49" s="478"/>
      <c r="JHP49" s="478"/>
      <c r="JHQ49" s="478"/>
      <c r="JHR49" s="478"/>
      <c r="JHS49" s="478"/>
      <c r="JHT49" s="478"/>
      <c r="JHU49" s="478"/>
      <c r="JHV49" s="478"/>
      <c r="JHW49" s="478"/>
      <c r="JHX49" s="478"/>
      <c r="JHY49" s="478"/>
      <c r="JHZ49" s="478"/>
      <c r="JIA49" s="478"/>
      <c r="JIB49" s="478"/>
      <c r="JIC49" s="478"/>
      <c r="JID49" s="478"/>
      <c r="JIE49" s="478"/>
      <c r="JIF49" s="478"/>
      <c r="JIG49" s="478"/>
      <c r="JIH49" s="478"/>
      <c r="JII49" s="478"/>
      <c r="JIJ49" s="478"/>
      <c r="JIK49" s="478"/>
      <c r="JIL49" s="478"/>
      <c r="JIM49" s="478"/>
      <c r="JIN49" s="478"/>
      <c r="JIO49" s="478"/>
      <c r="JIP49" s="478"/>
      <c r="JIQ49" s="478"/>
      <c r="JIR49" s="478"/>
      <c r="JIS49" s="478"/>
      <c r="JIT49" s="478"/>
      <c r="JIU49" s="478"/>
      <c r="JIV49" s="478"/>
      <c r="JIW49" s="478"/>
      <c r="JIX49" s="478"/>
      <c r="JIY49" s="478"/>
      <c r="JIZ49" s="478"/>
      <c r="JJA49" s="478"/>
      <c r="JJB49" s="478"/>
      <c r="JJC49" s="478"/>
      <c r="JJD49" s="478"/>
      <c r="JJE49" s="478"/>
      <c r="JJF49" s="478"/>
      <c r="JJG49" s="478"/>
      <c r="JJH49" s="478"/>
      <c r="JJI49" s="478"/>
      <c r="JJJ49" s="478"/>
      <c r="JJK49" s="478"/>
      <c r="JJL49" s="478"/>
      <c r="JJM49" s="478"/>
      <c r="JJN49" s="478"/>
      <c r="JJO49" s="478"/>
      <c r="JJP49" s="478"/>
      <c r="JJQ49" s="478"/>
      <c r="JJR49" s="478"/>
      <c r="JJS49" s="478"/>
      <c r="JJT49" s="478"/>
      <c r="JJU49" s="478"/>
      <c r="JJV49" s="478"/>
      <c r="JJW49" s="478"/>
      <c r="JJX49" s="478"/>
      <c r="JJY49" s="478"/>
      <c r="JJZ49" s="478"/>
      <c r="JKA49" s="478"/>
      <c r="JKB49" s="478"/>
      <c r="JKC49" s="478"/>
      <c r="JKD49" s="478"/>
      <c r="JKE49" s="478"/>
      <c r="JKF49" s="478"/>
      <c r="JKG49" s="478"/>
      <c r="JKH49" s="478"/>
      <c r="JKI49" s="478"/>
      <c r="JKJ49" s="478"/>
      <c r="JKK49" s="478"/>
      <c r="JKL49" s="478"/>
      <c r="JKM49" s="478"/>
      <c r="JKN49" s="478"/>
      <c r="JKO49" s="478"/>
      <c r="JKP49" s="478"/>
      <c r="JKQ49" s="478"/>
      <c r="JKR49" s="478"/>
      <c r="JKS49" s="478"/>
      <c r="JKT49" s="478"/>
      <c r="JKU49" s="478"/>
      <c r="JKV49" s="478"/>
      <c r="JKW49" s="478"/>
      <c r="JKX49" s="478"/>
      <c r="JKY49" s="478"/>
      <c r="JKZ49" s="478"/>
      <c r="JLA49" s="478"/>
      <c r="JLB49" s="478"/>
      <c r="JLC49" s="478"/>
      <c r="JLD49" s="478"/>
      <c r="JLE49" s="478"/>
      <c r="JLF49" s="478"/>
      <c r="JLG49" s="478"/>
      <c r="JLH49" s="478"/>
      <c r="JLI49" s="478"/>
      <c r="JLJ49" s="478"/>
      <c r="JLK49" s="478"/>
      <c r="JLL49" s="478"/>
      <c r="JLM49" s="478"/>
      <c r="JLN49" s="478"/>
      <c r="JLO49" s="478"/>
      <c r="JLP49" s="478"/>
      <c r="JLQ49" s="478"/>
      <c r="JLR49" s="478"/>
      <c r="JLS49" s="478"/>
      <c r="JLT49" s="478"/>
      <c r="JLU49" s="478"/>
      <c r="JLV49" s="478"/>
      <c r="JLW49" s="478"/>
      <c r="JLX49" s="478"/>
      <c r="JLY49" s="478"/>
      <c r="JLZ49" s="478"/>
      <c r="JMA49" s="478"/>
      <c r="JMB49" s="478"/>
      <c r="JMC49" s="478"/>
      <c r="JMD49" s="478"/>
      <c r="JME49" s="478"/>
      <c r="JMF49" s="478"/>
      <c r="JMG49" s="478"/>
      <c r="JMH49" s="478"/>
      <c r="JMI49" s="478"/>
      <c r="JMJ49" s="478"/>
      <c r="JMK49" s="478"/>
      <c r="JML49" s="478"/>
      <c r="JMM49" s="478"/>
      <c r="JMN49" s="478"/>
      <c r="JMO49" s="478"/>
      <c r="JMP49" s="478"/>
      <c r="JMQ49" s="478"/>
      <c r="JMR49" s="478"/>
      <c r="JMS49" s="478"/>
      <c r="JMT49" s="478"/>
      <c r="JMU49" s="478"/>
      <c r="JMV49" s="478"/>
      <c r="JMW49" s="478"/>
      <c r="JMX49" s="478"/>
      <c r="JMY49" s="478"/>
      <c r="JMZ49" s="478"/>
      <c r="JNA49" s="478"/>
      <c r="JNB49" s="478"/>
      <c r="JNC49" s="478"/>
      <c r="JND49" s="478"/>
      <c r="JNE49" s="478"/>
      <c r="JNF49" s="478"/>
      <c r="JNG49" s="478"/>
      <c r="JNH49" s="478"/>
      <c r="JNI49" s="478"/>
      <c r="JNJ49" s="478"/>
      <c r="JNK49" s="478"/>
      <c r="JNL49" s="478"/>
      <c r="JNM49" s="478"/>
      <c r="JNN49" s="478"/>
      <c r="JNO49" s="478"/>
      <c r="JNP49" s="478"/>
      <c r="JNQ49" s="478"/>
      <c r="JNR49" s="478"/>
      <c r="JNS49" s="478"/>
      <c r="JNT49" s="478"/>
      <c r="JNU49" s="478"/>
      <c r="JNV49" s="478"/>
      <c r="JNW49" s="478"/>
      <c r="JNX49" s="478"/>
      <c r="JNY49" s="478"/>
      <c r="JNZ49" s="478"/>
      <c r="JOA49" s="478"/>
      <c r="JOB49" s="478"/>
      <c r="JOC49" s="478"/>
      <c r="JOD49" s="478"/>
      <c r="JOE49" s="478"/>
      <c r="JOF49" s="478"/>
      <c r="JOG49" s="478"/>
      <c r="JOH49" s="478"/>
      <c r="JOI49" s="478"/>
      <c r="JOJ49" s="478"/>
      <c r="JOK49" s="478"/>
      <c r="JOL49" s="478"/>
      <c r="JOM49" s="478"/>
      <c r="JON49" s="478"/>
      <c r="JOO49" s="478"/>
      <c r="JOP49" s="478"/>
      <c r="JOQ49" s="478"/>
      <c r="JOR49" s="478"/>
      <c r="JOS49" s="478"/>
      <c r="JOT49" s="478"/>
      <c r="JOU49" s="478"/>
      <c r="JOV49" s="478"/>
      <c r="JOW49" s="478"/>
      <c r="JOX49" s="478"/>
      <c r="JOY49" s="478"/>
      <c r="JOZ49" s="478"/>
      <c r="JPA49" s="478"/>
      <c r="JPB49" s="478"/>
      <c r="JPC49" s="478"/>
      <c r="JPD49" s="478"/>
      <c r="JPE49" s="478"/>
      <c r="JPF49" s="478"/>
      <c r="JPG49" s="478"/>
      <c r="JPH49" s="478"/>
      <c r="JPI49" s="478"/>
      <c r="JPJ49" s="478"/>
      <c r="JPK49" s="478"/>
      <c r="JPL49" s="478"/>
      <c r="JPM49" s="478"/>
      <c r="JPN49" s="478"/>
      <c r="JPO49" s="478"/>
      <c r="JPP49" s="478"/>
      <c r="JPQ49" s="478"/>
      <c r="JPR49" s="478"/>
      <c r="JPS49" s="478"/>
      <c r="JPT49" s="478"/>
      <c r="JPU49" s="478"/>
      <c r="JPV49" s="478"/>
      <c r="JPW49" s="478"/>
      <c r="JPX49" s="478"/>
      <c r="JPY49" s="478"/>
      <c r="JPZ49" s="478"/>
      <c r="JQA49" s="478"/>
      <c r="JQB49" s="478"/>
      <c r="JQC49" s="478"/>
      <c r="JQD49" s="478"/>
      <c r="JQE49" s="478"/>
      <c r="JQF49" s="478"/>
      <c r="JQG49" s="478"/>
      <c r="JQH49" s="478"/>
      <c r="JQI49" s="478"/>
      <c r="JQJ49" s="478"/>
      <c r="JQK49" s="478"/>
      <c r="JQL49" s="478"/>
      <c r="JQM49" s="478"/>
      <c r="JQN49" s="478"/>
      <c r="JQO49" s="478"/>
      <c r="JQP49" s="478"/>
      <c r="JQQ49" s="478"/>
      <c r="JQR49" s="478"/>
      <c r="JQS49" s="478"/>
      <c r="JQT49" s="478"/>
      <c r="JQU49" s="478"/>
      <c r="JQV49" s="478"/>
      <c r="JQW49" s="478"/>
      <c r="JQX49" s="478"/>
      <c r="JQY49" s="478"/>
      <c r="JQZ49" s="478"/>
      <c r="JRA49" s="478"/>
      <c r="JRB49" s="478"/>
      <c r="JRC49" s="478"/>
      <c r="JRD49" s="478"/>
      <c r="JRE49" s="478"/>
      <c r="JRF49" s="478"/>
      <c r="JRG49" s="478"/>
      <c r="JRH49" s="478"/>
      <c r="JRI49" s="478"/>
      <c r="JRJ49" s="478"/>
      <c r="JRK49" s="478"/>
      <c r="JRL49" s="478"/>
      <c r="JRM49" s="478"/>
      <c r="JRN49" s="478"/>
      <c r="JRO49" s="478"/>
      <c r="JRP49" s="478"/>
      <c r="JRQ49" s="478"/>
      <c r="JRR49" s="478"/>
      <c r="JRS49" s="478"/>
      <c r="JRT49" s="478"/>
      <c r="JRU49" s="478"/>
      <c r="JRV49" s="478"/>
      <c r="JRW49" s="478"/>
      <c r="JRX49" s="478"/>
      <c r="JRY49" s="478"/>
      <c r="JRZ49" s="478"/>
      <c r="JSA49" s="478"/>
      <c r="JSB49" s="478"/>
      <c r="JSC49" s="478"/>
      <c r="JSD49" s="478"/>
      <c r="JSE49" s="478"/>
      <c r="JSF49" s="478"/>
      <c r="JSG49" s="478"/>
      <c r="JSH49" s="478"/>
      <c r="JSI49" s="478"/>
      <c r="JSJ49" s="478"/>
      <c r="JSK49" s="478"/>
      <c r="JSL49" s="478"/>
      <c r="JSM49" s="478"/>
      <c r="JSN49" s="478"/>
      <c r="JSO49" s="478"/>
      <c r="JSP49" s="478"/>
      <c r="JSQ49" s="478"/>
      <c r="JSR49" s="478"/>
      <c r="JSS49" s="478"/>
      <c r="JST49" s="478"/>
      <c r="JSU49" s="478"/>
      <c r="JSV49" s="478"/>
      <c r="JSW49" s="478"/>
      <c r="JSX49" s="478"/>
      <c r="JSY49" s="478"/>
      <c r="JSZ49" s="478"/>
      <c r="JTA49" s="478"/>
      <c r="JTB49" s="478"/>
      <c r="JTC49" s="478"/>
      <c r="JTD49" s="478"/>
      <c r="JTE49" s="478"/>
      <c r="JTF49" s="478"/>
      <c r="JTG49" s="478"/>
      <c r="JTH49" s="478"/>
      <c r="JTI49" s="478"/>
      <c r="JTJ49" s="478"/>
      <c r="JTK49" s="478"/>
      <c r="JTL49" s="478"/>
      <c r="JTM49" s="478"/>
      <c r="JTN49" s="478"/>
      <c r="JTO49" s="478"/>
      <c r="JTP49" s="478"/>
      <c r="JTQ49" s="478"/>
      <c r="JTR49" s="478"/>
      <c r="JTS49" s="478"/>
      <c r="JTT49" s="478"/>
      <c r="JTU49" s="478"/>
      <c r="JTV49" s="478"/>
      <c r="JTW49" s="478"/>
      <c r="JTX49" s="478"/>
      <c r="JTY49" s="478"/>
      <c r="JTZ49" s="478"/>
      <c r="JUA49" s="478"/>
      <c r="JUB49" s="478"/>
      <c r="JUC49" s="478"/>
      <c r="JUD49" s="478"/>
      <c r="JUE49" s="478"/>
      <c r="JUF49" s="478"/>
      <c r="JUG49" s="478"/>
      <c r="JUH49" s="478"/>
      <c r="JUI49" s="478"/>
      <c r="JUJ49" s="478"/>
      <c r="JUK49" s="478"/>
      <c r="JUL49" s="478"/>
      <c r="JUM49" s="478"/>
      <c r="JUN49" s="478"/>
      <c r="JUO49" s="478"/>
      <c r="JUP49" s="478"/>
      <c r="JUQ49" s="478"/>
      <c r="JUR49" s="478"/>
      <c r="JUS49" s="478"/>
      <c r="JUT49" s="478"/>
      <c r="JUU49" s="478"/>
      <c r="JUV49" s="478"/>
      <c r="JUW49" s="478"/>
      <c r="JUX49" s="478"/>
      <c r="JUY49" s="478"/>
      <c r="JUZ49" s="478"/>
      <c r="JVA49" s="478"/>
      <c r="JVB49" s="478"/>
      <c r="JVC49" s="478"/>
      <c r="JVD49" s="478"/>
      <c r="JVE49" s="478"/>
      <c r="JVF49" s="478"/>
      <c r="JVG49" s="478"/>
      <c r="JVH49" s="478"/>
      <c r="JVI49" s="478"/>
      <c r="JVJ49" s="478"/>
      <c r="JVK49" s="478"/>
      <c r="JVL49" s="478"/>
      <c r="JVM49" s="478"/>
      <c r="JVN49" s="478"/>
      <c r="JVO49" s="478"/>
      <c r="JVP49" s="478"/>
      <c r="JVQ49" s="478"/>
      <c r="JVR49" s="478"/>
      <c r="JVS49" s="478"/>
      <c r="JVT49" s="478"/>
      <c r="JVU49" s="478"/>
      <c r="JVV49" s="478"/>
      <c r="JVW49" s="478"/>
      <c r="JVX49" s="478"/>
      <c r="JVY49" s="478"/>
      <c r="JVZ49" s="478"/>
      <c r="JWA49" s="478"/>
      <c r="JWB49" s="478"/>
      <c r="JWC49" s="478"/>
      <c r="JWD49" s="478"/>
      <c r="JWE49" s="478"/>
      <c r="JWF49" s="478"/>
      <c r="JWG49" s="478"/>
      <c r="JWH49" s="478"/>
      <c r="JWI49" s="478"/>
      <c r="JWJ49" s="478"/>
      <c r="JWK49" s="478"/>
      <c r="JWL49" s="478"/>
      <c r="JWM49" s="478"/>
      <c r="JWN49" s="478"/>
      <c r="JWO49" s="478"/>
      <c r="JWP49" s="478"/>
      <c r="JWQ49" s="478"/>
      <c r="JWR49" s="478"/>
      <c r="JWS49" s="478"/>
      <c r="JWT49" s="478"/>
      <c r="JWU49" s="478"/>
      <c r="JWV49" s="478"/>
      <c r="JWW49" s="478"/>
      <c r="JWX49" s="478"/>
      <c r="JWY49" s="478"/>
      <c r="JWZ49" s="478"/>
      <c r="JXA49" s="478"/>
      <c r="JXB49" s="478"/>
      <c r="JXC49" s="478"/>
      <c r="JXD49" s="478"/>
      <c r="JXE49" s="478"/>
      <c r="JXF49" s="478"/>
      <c r="JXG49" s="478"/>
      <c r="JXH49" s="478"/>
      <c r="JXI49" s="478"/>
      <c r="JXJ49" s="478"/>
      <c r="JXK49" s="478"/>
      <c r="JXL49" s="478"/>
      <c r="JXM49" s="478"/>
      <c r="JXN49" s="478"/>
      <c r="JXO49" s="478"/>
      <c r="JXP49" s="478"/>
      <c r="JXQ49" s="478"/>
      <c r="JXR49" s="478"/>
      <c r="JXS49" s="478"/>
      <c r="JXT49" s="478"/>
      <c r="JXU49" s="478"/>
      <c r="JXV49" s="478"/>
      <c r="JXW49" s="478"/>
      <c r="JXX49" s="478"/>
      <c r="JXY49" s="478"/>
      <c r="JXZ49" s="478"/>
      <c r="JYA49" s="478"/>
      <c r="JYB49" s="478"/>
      <c r="JYC49" s="478"/>
      <c r="JYD49" s="478"/>
      <c r="JYE49" s="478"/>
      <c r="JYF49" s="478"/>
      <c r="JYG49" s="478"/>
      <c r="JYH49" s="478"/>
      <c r="JYI49" s="478"/>
      <c r="JYJ49" s="478"/>
      <c r="JYK49" s="478"/>
      <c r="JYL49" s="478"/>
      <c r="JYM49" s="478"/>
      <c r="JYN49" s="478"/>
      <c r="JYO49" s="478"/>
      <c r="JYP49" s="478"/>
      <c r="JYQ49" s="478"/>
      <c r="JYR49" s="478"/>
      <c r="JYS49" s="478"/>
      <c r="JYT49" s="478"/>
      <c r="JYU49" s="478"/>
      <c r="JYV49" s="478"/>
      <c r="JYW49" s="478"/>
      <c r="JYX49" s="478"/>
      <c r="JYY49" s="478"/>
      <c r="JYZ49" s="478"/>
      <c r="JZA49" s="478"/>
      <c r="JZB49" s="478"/>
      <c r="JZC49" s="478"/>
      <c r="JZD49" s="478"/>
      <c r="JZE49" s="478"/>
      <c r="JZF49" s="478"/>
      <c r="JZG49" s="478"/>
      <c r="JZH49" s="478"/>
      <c r="JZI49" s="478"/>
      <c r="JZJ49" s="478"/>
      <c r="JZK49" s="478"/>
      <c r="JZL49" s="478"/>
      <c r="JZM49" s="478"/>
      <c r="JZN49" s="478"/>
      <c r="JZO49" s="478"/>
      <c r="JZP49" s="478"/>
      <c r="JZQ49" s="478"/>
      <c r="JZR49" s="478"/>
      <c r="JZS49" s="478"/>
      <c r="JZT49" s="478"/>
      <c r="JZU49" s="478"/>
      <c r="JZV49" s="478"/>
      <c r="JZW49" s="478"/>
      <c r="JZX49" s="478"/>
      <c r="JZY49" s="478"/>
      <c r="JZZ49" s="478"/>
      <c r="KAA49" s="478"/>
      <c r="KAB49" s="478"/>
      <c r="KAC49" s="478"/>
      <c r="KAD49" s="478"/>
      <c r="KAE49" s="478"/>
      <c r="KAF49" s="478"/>
      <c r="KAG49" s="478"/>
      <c r="KAH49" s="478"/>
      <c r="KAI49" s="478"/>
      <c r="KAJ49" s="478"/>
      <c r="KAK49" s="478"/>
      <c r="KAL49" s="478"/>
      <c r="KAM49" s="478"/>
      <c r="KAN49" s="478"/>
      <c r="KAO49" s="478"/>
      <c r="KAP49" s="478"/>
      <c r="KAQ49" s="478"/>
      <c r="KAR49" s="478"/>
      <c r="KAS49" s="478"/>
      <c r="KAT49" s="478"/>
      <c r="KAU49" s="478"/>
      <c r="KAV49" s="478"/>
      <c r="KAW49" s="478"/>
      <c r="KAX49" s="478"/>
      <c r="KAY49" s="478"/>
      <c r="KAZ49" s="478"/>
      <c r="KBA49" s="478"/>
      <c r="KBB49" s="478"/>
      <c r="KBC49" s="478"/>
      <c r="KBD49" s="478"/>
      <c r="KBE49" s="478"/>
      <c r="KBF49" s="478"/>
      <c r="KBG49" s="478"/>
      <c r="KBH49" s="478"/>
      <c r="KBI49" s="478"/>
      <c r="KBJ49" s="478"/>
      <c r="KBK49" s="478"/>
      <c r="KBL49" s="478"/>
      <c r="KBM49" s="478"/>
      <c r="KBN49" s="478"/>
      <c r="KBO49" s="478"/>
      <c r="KBP49" s="478"/>
      <c r="KBQ49" s="478"/>
      <c r="KBR49" s="478"/>
      <c r="KBS49" s="478"/>
      <c r="KBT49" s="478"/>
      <c r="KBU49" s="478"/>
      <c r="KBV49" s="478"/>
      <c r="KBW49" s="478"/>
      <c r="KBX49" s="478"/>
      <c r="KBY49" s="478"/>
      <c r="KBZ49" s="478"/>
      <c r="KCA49" s="478"/>
      <c r="KCB49" s="478"/>
      <c r="KCC49" s="478"/>
      <c r="KCD49" s="478"/>
      <c r="KCE49" s="478"/>
      <c r="KCF49" s="478"/>
      <c r="KCG49" s="478"/>
      <c r="KCH49" s="478"/>
      <c r="KCI49" s="478"/>
      <c r="KCJ49" s="478"/>
      <c r="KCK49" s="478"/>
      <c r="KCL49" s="478"/>
      <c r="KCM49" s="478"/>
      <c r="KCN49" s="478"/>
      <c r="KCO49" s="478"/>
      <c r="KCP49" s="478"/>
      <c r="KCQ49" s="478"/>
      <c r="KCR49" s="478"/>
      <c r="KCS49" s="478"/>
      <c r="KCT49" s="478"/>
      <c r="KCU49" s="478"/>
      <c r="KCV49" s="478"/>
      <c r="KCW49" s="478"/>
      <c r="KCX49" s="478"/>
      <c r="KCY49" s="478"/>
      <c r="KCZ49" s="478"/>
      <c r="KDA49" s="478"/>
      <c r="KDB49" s="478"/>
      <c r="KDC49" s="478"/>
      <c r="KDD49" s="478"/>
      <c r="KDE49" s="478"/>
      <c r="KDF49" s="478"/>
      <c r="KDG49" s="478"/>
      <c r="KDH49" s="478"/>
      <c r="KDI49" s="478"/>
      <c r="KDJ49" s="478"/>
      <c r="KDK49" s="478"/>
      <c r="KDL49" s="478"/>
      <c r="KDM49" s="478"/>
      <c r="KDN49" s="478"/>
      <c r="KDO49" s="478"/>
      <c r="KDP49" s="478"/>
      <c r="KDQ49" s="478"/>
      <c r="KDR49" s="478"/>
      <c r="KDS49" s="478"/>
      <c r="KDT49" s="478"/>
      <c r="KDU49" s="478"/>
      <c r="KDV49" s="478"/>
      <c r="KDW49" s="478"/>
      <c r="KDX49" s="478"/>
      <c r="KDY49" s="478"/>
      <c r="KDZ49" s="478"/>
      <c r="KEA49" s="478"/>
      <c r="KEB49" s="478"/>
      <c r="KEC49" s="478"/>
      <c r="KED49" s="478"/>
      <c r="KEE49" s="478"/>
      <c r="KEF49" s="478"/>
      <c r="KEG49" s="478"/>
      <c r="KEH49" s="478"/>
      <c r="KEI49" s="478"/>
      <c r="KEJ49" s="478"/>
      <c r="KEK49" s="478"/>
      <c r="KEL49" s="478"/>
      <c r="KEM49" s="478"/>
      <c r="KEN49" s="478"/>
      <c r="KEO49" s="478"/>
      <c r="KEP49" s="478"/>
      <c r="KEQ49" s="478"/>
      <c r="KER49" s="478"/>
      <c r="KES49" s="478"/>
      <c r="KET49" s="478"/>
      <c r="KEU49" s="478"/>
      <c r="KEV49" s="478"/>
      <c r="KEW49" s="478"/>
      <c r="KEX49" s="478"/>
      <c r="KEY49" s="478"/>
      <c r="KEZ49" s="478"/>
      <c r="KFA49" s="478"/>
      <c r="KFB49" s="478"/>
      <c r="KFC49" s="478"/>
      <c r="KFD49" s="478"/>
      <c r="KFE49" s="478"/>
      <c r="KFF49" s="478"/>
      <c r="KFG49" s="478"/>
      <c r="KFH49" s="478"/>
      <c r="KFI49" s="478"/>
      <c r="KFJ49" s="478"/>
      <c r="KFK49" s="478"/>
      <c r="KFL49" s="478"/>
      <c r="KFM49" s="478"/>
      <c r="KFN49" s="478"/>
      <c r="KFO49" s="478"/>
      <c r="KFP49" s="478"/>
      <c r="KFQ49" s="478"/>
      <c r="KFR49" s="478"/>
      <c r="KFS49" s="478"/>
      <c r="KFT49" s="478"/>
      <c r="KFU49" s="478"/>
      <c r="KFV49" s="478"/>
      <c r="KFW49" s="478"/>
      <c r="KFX49" s="478"/>
      <c r="KFY49" s="478"/>
      <c r="KFZ49" s="478"/>
      <c r="KGA49" s="478"/>
      <c r="KGB49" s="478"/>
      <c r="KGC49" s="478"/>
      <c r="KGD49" s="478"/>
      <c r="KGE49" s="478"/>
      <c r="KGF49" s="478"/>
      <c r="KGG49" s="478"/>
      <c r="KGH49" s="478"/>
      <c r="KGI49" s="478"/>
      <c r="KGJ49" s="478"/>
      <c r="KGK49" s="478"/>
      <c r="KGL49" s="478"/>
      <c r="KGM49" s="478"/>
      <c r="KGN49" s="478"/>
      <c r="KGO49" s="478"/>
      <c r="KGP49" s="478"/>
      <c r="KGQ49" s="478"/>
      <c r="KGR49" s="478"/>
      <c r="KGS49" s="478"/>
      <c r="KGT49" s="478"/>
      <c r="KGU49" s="478"/>
      <c r="KGV49" s="478"/>
      <c r="KGW49" s="478"/>
      <c r="KGX49" s="478"/>
      <c r="KGY49" s="478"/>
      <c r="KGZ49" s="478"/>
      <c r="KHA49" s="478"/>
      <c r="KHB49" s="478"/>
      <c r="KHC49" s="478"/>
      <c r="KHD49" s="478"/>
      <c r="KHE49" s="478"/>
      <c r="KHF49" s="478"/>
      <c r="KHG49" s="478"/>
      <c r="KHH49" s="478"/>
      <c r="KHI49" s="478"/>
      <c r="KHJ49" s="478"/>
      <c r="KHK49" s="478"/>
      <c r="KHL49" s="478"/>
      <c r="KHM49" s="478"/>
      <c r="KHN49" s="478"/>
      <c r="KHO49" s="478"/>
      <c r="KHP49" s="478"/>
      <c r="KHQ49" s="478"/>
      <c r="KHR49" s="478"/>
      <c r="KHS49" s="478"/>
      <c r="KHT49" s="478"/>
      <c r="KHU49" s="478"/>
      <c r="KHV49" s="478"/>
      <c r="KHW49" s="478"/>
      <c r="KHX49" s="478"/>
      <c r="KHY49" s="478"/>
      <c r="KHZ49" s="478"/>
      <c r="KIA49" s="478"/>
      <c r="KIB49" s="478"/>
      <c r="KIC49" s="478"/>
      <c r="KID49" s="478"/>
      <c r="KIE49" s="478"/>
      <c r="KIF49" s="478"/>
      <c r="KIG49" s="478"/>
      <c r="KIH49" s="478"/>
      <c r="KII49" s="478"/>
      <c r="KIJ49" s="478"/>
      <c r="KIK49" s="478"/>
      <c r="KIL49" s="478"/>
      <c r="KIM49" s="478"/>
      <c r="KIN49" s="478"/>
      <c r="KIO49" s="478"/>
      <c r="KIP49" s="478"/>
      <c r="KIQ49" s="478"/>
      <c r="KIR49" s="478"/>
      <c r="KIS49" s="478"/>
      <c r="KIT49" s="478"/>
      <c r="KIU49" s="478"/>
      <c r="KIV49" s="478"/>
      <c r="KIW49" s="478"/>
      <c r="KIX49" s="478"/>
      <c r="KIY49" s="478"/>
      <c r="KIZ49" s="478"/>
      <c r="KJA49" s="478"/>
      <c r="KJB49" s="478"/>
      <c r="KJC49" s="478"/>
      <c r="KJD49" s="478"/>
      <c r="KJE49" s="478"/>
      <c r="KJF49" s="478"/>
      <c r="KJG49" s="478"/>
      <c r="KJH49" s="478"/>
      <c r="KJI49" s="478"/>
      <c r="KJJ49" s="478"/>
      <c r="KJK49" s="478"/>
      <c r="KJL49" s="478"/>
      <c r="KJM49" s="478"/>
      <c r="KJN49" s="478"/>
      <c r="KJO49" s="478"/>
      <c r="KJP49" s="478"/>
      <c r="KJQ49" s="478"/>
      <c r="KJR49" s="478"/>
      <c r="KJS49" s="478"/>
      <c r="KJT49" s="478"/>
      <c r="KJU49" s="478"/>
      <c r="KJV49" s="478"/>
      <c r="KJW49" s="478"/>
      <c r="KJX49" s="478"/>
      <c r="KJY49" s="478"/>
      <c r="KJZ49" s="478"/>
      <c r="KKA49" s="478"/>
      <c r="KKB49" s="478"/>
      <c r="KKC49" s="478"/>
      <c r="KKD49" s="478"/>
      <c r="KKE49" s="478"/>
      <c r="KKF49" s="478"/>
      <c r="KKG49" s="478"/>
      <c r="KKH49" s="478"/>
      <c r="KKI49" s="478"/>
      <c r="KKJ49" s="478"/>
      <c r="KKK49" s="478"/>
      <c r="KKL49" s="478"/>
      <c r="KKM49" s="478"/>
      <c r="KKN49" s="478"/>
      <c r="KKO49" s="478"/>
      <c r="KKP49" s="478"/>
      <c r="KKQ49" s="478"/>
      <c r="KKR49" s="478"/>
      <c r="KKS49" s="478"/>
      <c r="KKT49" s="478"/>
      <c r="KKU49" s="478"/>
      <c r="KKV49" s="478"/>
      <c r="KKW49" s="478"/>
      <c r="KKX49" s="478"/>
      <c r="KKY49" s="478"/>
      <c r="KKZ49" s="478"/>
      <c r="KLA49" s="478"/>
      <c r="KLB49" s="478"/>
      <c r="KLC49" s="478"/>
      <c r="KLD49" s="478"/>
      <c r="KLE49" s="478"/>
      <c r="KLF49" s="478"/>
      <c r="KLG49" s="478"/>
      <c r="KLH49" s="478"/>
      <c r="KLI49" s="478"/>
      <c r="KLJ49" s="478"/>
      <c r="KLK49" s="478"/>
      <c r="KLL49" s="478"/>
      <c r="KLM49" s="478"/>
      <c r="KLN49" s="478"/>
      <c r="KLO49" s="478"/>
      <c r="KLP49" s="478"/>
      <c r="KLQ49" s="478"/>
      <c r="KLR49" s="478"/>
      <c r="KLS49" s="478"/>
      <c r="KLT49" s="478"/>
      <c r="KLU49" s="478"/>
      <c r="KLV49" s="478"/>
      <c r="KLW49" s="478"/>
      <c r="KLX49" s="478"/>
      <c r="KLY49" s="478"/>
      <c r="KLZ49" s="478"/>
      <c r="KMA49" s="478"/>
      <c r="KMB49" s="478"/>
      <c r="KMC49" s="478"/>
      <c r="KMD49" s="478"/>
      <c r="KME49" s="478"/>
      <c r="KMF49" s="478"/>
      <c r="KMG49" s="478"/>
      <c r="KMH49" s="478"/>
      <c r="KMI49" s="478"/>
      <c r="KMJ49" s="478"/>
      <c r="KMK49" s="478"/>
      <c r="KML49" s="478"/>
      <c r="KMM49" s="478"/>
      <c r="KMN49" s="478"/>
      <c r="KMO49" s="478"/>
      <c r="KMP49" s="478"/>
      <c r="KMQ49" s="478"/>
      <c r="KMR49" s="478"/>
      <c r="KMS49" s="478"/>
      <c r="KMT49" s="478"/>
      <c r="KMU49" s="478"/>
      <c r="KMV49" s="478"/>
      <c r="KMW49" s="478"/>
      <c r="KMX49" s="478"/>
      <c r="KMY49" s="478"/>
      <c r="KMZ49" s="478"/>
      <c r="KNA49" s="478"/>
      <c r="KNB49" s="478"/>
      <c r="KNC49" s="478"/>
      <c r="KND49" s="478"/>
      <c r="KNE49" s="478"/>
      <c r="KNF49" s="478"/>
      <c r="KNG49" s="478"/>
      <c r="KNH49" s="478"/>
      <c r="KNI49" s="478"/>
      <c r="KNJ49" s="478"/>
      <c r="KNK49" s="478"/>
      <c r="KNL49" s="478"/>
      <c r="KNM49" s="478"/>
      <c r="KNN49" s="478"/>
      <c r="KNO49" s="478"/>
      <c r="KNP49" s="478"/>
      <c r="KNQ49" s="478"/>
      <c r="KNR49" s="478"/>
      <c r="KNS49" s="478"/>
      <c r="KNT49" s="478"/>
      <c r="KNU49" s="478"/>
      <c r="KNV49" s="478"/>
      <c r="KNW49" s="478"/>
      <c r="KNX49" s="478"/>
      <c r="KNY49" s="478"/>
      <c r="KNZ49" s="478"/>
      <c r="KOA49" s="478"/>
      <c r="KOB49" s="478"/>
      <c r="KOC49" s="478"/>
      <c r="KOD49" s="478"/>
      <c r="KOE49" s="478"/>
      <c r="KOF49" s="478"/>
      <c r="KOG49" s="478"/>
      <c r="KOH49" s="478"/>
      <c r="KOI49" s="478"/>
      <c r="KOJ49" s="478"/>
      <c r="KOK49" s="478"/>
      <c r="KOL49" s="478"/>
      <c r="KOM49" s="478"/>
      <c r="KON49" s="478"/>
      <c r="KOO49" s="478"/>
      <c r="KOP49" s="478"/>
      <c r="KOQ49" s="478"/>
      <c r="KOR49" s="478"/>
      <c r="KOS49" s="478"/>
      <c r="KOT49" s="478"/>
      <c r="KOU49" s="478"/>
      <c r="KOV49" s="478"/>
      <c r="KOW49" s="478"/>
      <c r="KOX49" s="478"/>
      <c r="KOY49" s="478"/>
      <c r="KOZ49" s="478"/>
      <c r="KPA49" s="478"/>
      <c r="KPB49" s="478"/>
      <c r="KPC49" s="478"/>
      <c r="KPD49" s="478"/>
      <c r="KPE49" s="478"/>
      <c r="KPF49" s="478"/>
      <c r="KPG49" s="478"/>
      <c r="KPH49" s="478"/>
      <c r="KPI49" s="478"/>
      <c r="KPJ49" s="478"/>
      <c r="KPK49" s="478"/>
      <c r="KPL49" s="478"/>
      <c r="KPM49" s="478"/>
      <c r="KPN49" s="478"/>
      <c r="KPO49" s="478"/>
      <c r="KPP49" s="478"/>
      <c r="KPQ49" s="478"/>
      <c r="KPR49" s="478"/>
      <c r="KPS49" s="478"/>
      <c r="KPT49" s="478"/>
      <c r="KPU49" s="478"/>
      <c r="KPV49" s="478"/>
      <c r="KPW49" s="478"/>
      <c r="KPX49" s="478"/>
      <c r="KPY49" s="478"/>
      <c r="KPZ49" s="478"/>
      <c r="KQA49" s="478"/>
      <c r="KQB49" s="478"/>
      <c r="KQC49" s="478"/>
      <c r="KQD49" s="478"/>
      <c r="KQE49" s="478"/>
      <c r="KQF49" s="478"/>
      <c r="KQG49" s="478"/>
      <c r="KQH49" s="478"/>
      <c r="KQI49" s="478"/>
      <c r="KQJ49" s="478"/>
      <c r="KQK49" s="478"/>
      <c r="KQL49" s="478"/>
      <c r="KQM49" s="478"/>
      <c r="KQN49" s="478"/>
      <c r="KQO49" s="478"/>
      <c r="KQP49" s="478"/>
      <c r="KQQ49" s="478"/>
      <c r="KQR49" s="478"/>
      <c r="KQS49" s="478"/>
      <c r="KQT49" s="478"/>
      <c r="KQU49" s="478"/>
      <c r="KQV49" s="478"/>
      <c r="KQW49" s="478"/>
      <c r="KQX49" s="478"/>
      <c r="KQY49" s="478"/>
      <c r="KQZ49" s="478"/>
      <c r="KRA49" s="478"/>
      <c r="KRB49" s="478"/>
      <c r="KRC49" s="478"/>
      <c r="KRD49" s="478"/>
      <c r="KRE49" s="478"/>
      <c r="KRF49" s="478"/>
      <c r="KRG49" s="478"/>
      <c r="KRH49" s="478"/>
      <c r="KRI49" s="478"/>
      <c r="KRJ49" s="478"/>
      <c r="KRK49" s="478"/>
      <c r="KRL49" s="478"/>
      <c r="KRM49" s="478"/>
      <c r="KRN49" s="478"/>
      <c r="KRO49" s="478"/>
      <c r="KRP49" s="478"/>
      <c r="KRQ49" s="478"/>
      <c r="KRR49" s="478"/>
      <c r="KRS49" s="478"/>
      <c r="KRT49" s="478"/>
      <c r="KRU49" s="478"/>
      <c r="KRV49" s="478"/>
      <c r="KRW49" s="478"/>
      <c r="KRX49" s="478"/>
      <c r="KRY49" s="478"/>
      <c r="KRZ49" s="478"/>
      <c r="KSA49" s="478"/>
      <c r="KSB49" s="478"/>
      <c r="KSC49" s="478"/>
      <c r="KSD49" s="478"/>
      <c r="KSE49" s="478"/>
      <c r="KSF49" s="478"/>
      <c r="KSG49" s="478"/>
      <c r="KSH49" s="478"/>
      <c r="KSI49" s="478"/>
      <c r="KSJ49" s="478"/>
      <c r="KSK49" s="478"/>
      <c r="KSL49" s="478"/>
      <c r="KSM49" s="478"/>
      <c r="KSN49" s="478"/>
      <c r="KSO49" s="478"/>
      <c r="KSP49" s="478"/>
      <c r="KSQ49" s="478"/>
      <c r="KSR49" s="478"/>
      <c r="KSS49" s="478"/>
      <c r="KST49" s="478"/>
      <c r="KSU49" s="478"/>
      <c r="KSV49" s="478"/>
      <c r="KSW49" s="478"/>
      <c r="KSX49" s="478"/>
      <c r="KSY49" s="478"/>
      <c r="KSZ49" s="478"/>
      <c r="KTA49" s="478"/>
      <c r="KTB49" s="478"/>
      <c r="KTC49" s="478"/>
      <c r="KTD49" s="478"/>
      <c r="KTE49" s="478"/>
      <c r="KTF49" s="478"/>
      <c r="KTG49" s="478"/>
      <c r="KTH49" s="478"/>
      <c r="KTI49" s="478"/>
      <c r="KTJ49" s="478"/>
      <c r="KTK49" s="478"/>
      <c r="KTL49" s="478"/>
      <c r="KTM49" s="478"/>
      <c r="KTN49" s="478"/>
      <c r="KTO49" s="478"/>
      <c r="KTP49" s="478"/>
      <c r="KTQ49" s="478"/>
      <c r="KTR49" s="478"/>
      <c r="KTS49" s="478"/>
      <c r="KTT49" s="478"/>
      <c r="KTU49" s="478"/>
      <c r="KTV49" s="478"/>
      <c r="KTW49" s="478"/>
      <c r="KTX49" s="478"/>
      <c r="KTY49" s="478"/>
      <c r="KTZ49" s="478"/>
      <c r="KUA49" s="478"/>
      <c r="KUB49" s="478"/>
      <c r="KUC49" s="478"/>
      <c r="KUD49" s="478"/>
      <c r="KUE49" s="478"/>
      <c r="KUF49" s="478"/>
      <c r="KUG49" s="478"/>
      <c r="KUH49" s="478"/>
      <c r="KUI49" s="478"/>
      <c r="KUJ49" s="478"/>
      <c r="KUK49" s="478"/>
      <c r="KUL49" s="478"/>
      <c r="KUM49" s="478"/>
      <c r="KUN49" s="478"/>
      <c r="KUO49" s="478"/>
      <c r="KUP49" s="478"/>
      <c r="KUQ49" s="478"/>
      <c r="KUR49" s="478"/>
      <c r="KUS49" s="478"/>
      <c r="KUT49" s="478"/>
      <c r="KUU49" s="478"/>
      <c r="KUV49" s="478"/>
      <c r="KUW49" s="478"/>
      <c r="KUX49" s="478"/>
      <c r="KUY49" s="478"/>
      <c r="KUZ49" s="478"/>
      <c r="KVA49" s="478"/>
      <c r="KVB49" s="478"/>
      <c r="KVC49" s="478"/>
      <c r="KVD49" s="478"/>
      <c r="KVE49" s="478"/>
      <c r="KVF49" s="478"/>
      <c r="KVG49" s="478"/>
      <c r="KVH49" s="478"/>
      <c r="KVI49" s="478"/>
      <c r="KVJ49" s="478"/>
      <c r="KVK49" s="478"/>
      <c r="KVL49" s="478"/>
      <c r="KVM49" s="478"/>
      <c r="KVN49" s="478"/>
      <c r="KVO49" s="478"/>
      <c r="KVP49" s="478"/>
      <c r="KVQ49" s="478"/>
      <c r="KVR49" s="478"/>
      <c r="KVS49" s="478"/>
      <c r="KVT49" s="478"/>
      <c r="KVU49" s="478"/>
      <c r="KVV49" s="478"/>
      <c r="KVW49" s="478"/>
      <c r="KVX49" s="478"/>
      <c r="KVY49" s="478"/>
      <c r="KVZ49" s="478"/>
      <c r="KWA49" s="478"/>
      <c r="KWB49" s="478"/>
      <c r="KWC49" s="478"/>
      <c r="KWD49" s="478"/>
      <c r="KWE49" s="478"/>
      <c r="KWF49" s="478"/>
      <c r="KWG49" s="478"/>
      <c r="KWH49" s="478"/>
      <c r="KWI49" s="478"/>
      <c r="KWJ49" s="478"/>
      <c r="KWK49" s="478"/>
      <c r="KWL49" s="478"/>
      <c r="KWM49" s="478"/>
      <c r="KWN49" s="478"/>
      <c r="KWO49" s="478"/>
      <c r="KWP49" s="478"/>
      <c r="KWQ49" s="478"/>
      <c r="KWR49" s="478"/>
      <c r="KWS49" s="478"/>
      <c r="KWT49" s="478"/>
      <c r="KWU49" s="478"/>
      <c r="KWV49" s="478"/>
      <c r="KWW49" s="478"/>
      <c r="KWX49" s="478"/>
      <c r="KWY49" s="478"/>
      <c r="KWZ49" s="478"/>
      <c r="KXA49" s="478"/>
      <c r="KXB49" s="478"/>
      <c r="KXC49" s="478"/>
      <c r="KXD49" s="478"/>
      <c r="KXE49" s="478"/>
      <c r="KXF49" s="478"/>
      <c r="KXG49" s="478"/>
      <c r="KXH49" s="478"/>
      <c r="KXI49" s="478"/>
      <c r="KXJ49" s="478"/>
      <c r="KXK49" s="478"/>
      <c r="KXL49" s="478"/>
      <c r="KXM49" s="478"/>
      <c r="KXN49" s="478"/>
      <c r="KXO49" s="478"/>
      <c r="KXP49" s="478"/>
      <c r="KXQ49" s="478"/>
      <c r="KXR49" s="478"/>
      <c r="KXS49" s="478"/>
      <c r="KXT49" s="478"/>
      <c r="KXU49" s="478"/>
      <c r="KXV49" s="478"/>
      <c r="KXW49" s="478"/>
      <c r="KXX49" s="478"/>
      <c r="KXY49" s="478"/>
      <c r="KXZ49" s="478"/>
      <c r="KYA49" s="478"/>
      <c r="KYB49" s="478"/>
      <c r="KYC49" s="478"/>
      <c r="KYD49" s="478"/>
      <c r="KYE49" s="478"/>
      <c r="KYF49" s="478"/>
      <c r="KYG49" s="478"/>
      <c r="KYH49" s="478"/>
      <c r="KYI49" s="478"/>
      <c r="KYJ49" s="478"/>
      <c r="KYK49" s="478"/>
      <c r="KYL49" s="478"/>
      <c r="KYM49" s="478"/>
      <c r="KYN49" s="478"/>
      <c r="KYO49" s="478"/>
      <c r="KYP49" s="478"/>
      <c r="KYQ49" s="478"/>
      <c r="KYR49" s="478"/>
      <c r="KYS49" s="478"/>
      <c r="KYT49" s="478"/>
      <c r="KYU49" s="478"/>
      <c r="KYV49" s="478"/>
      <c r="KYW49" s="478"/>
      <c r="KYX49" s="478"/>
      <c r="KYY49" s="478"/>
      <c r="KYZ49" s="478"/>
      <c r="KZA49" s="478"/>
      <c r="KZB49" s="478"/>
      <c r="KZC49" s="478"/>
      <c r="KZD49" s="478"/>
      <c r="KZE49" s="478"/>
      <c r="KZF49" s="478"/>
      <c r="KZG49" s="478"/>
      <c r="KZH49" s="478"/>
      <c r="KZI49" s="478"/>
      <c r="KZJ49" s="478"/>
      <c r="KZK49" s="478"/>
      <c r="KZL49" s="478"/>
      <c r="KZM49" s="478"/>
      <c r="KZN49" s="478"/>
      <c r="KZO49" s="478"/>
      <c r="KZP49" s="478"/>
      <c r="KZQ49" s="478"/>
      <c r="KZR49" s="478"/>
      <c r="KZS49" s="478"/>
      <c r="KZT49" s="478"/>
      <c r="KZU49" s="478"/>
      <c r="KZV49" s="478"/>
      <c r="KZW49" s="478"/>
      <c r="KZX49" s="478"/>
      <c r="KZY49" s="478"/>
      <c r="KZZ49" s="478"/>
      <c r="LAA49" s="478"/>
      <c r="LAB49" s="478"/>
      <c r="LAC49" s="478"/>
      <c r="LAD49" s="478"/>
      <c r="LAE49" s="478"/>
      <c r="LAF49" s="478"/>
      <c r="LAG49" s="478"/>
      <c r="LAH49" s="478"/>
      <c r="LAI49" s="478"/>
      <c r="LAJ49" s="478"/>
      <c r="LAK49" s="478"/>
      <c r="LAL49" s="478"/>
      <c r="LAM49" s="478"/>
      <c r="LAN49" s="478"/>
      <c r="LAO49" s="478"/>
      <c r="LAP49" s="478"/>
      <c r="LAQ49" s="478"/>
      <c r="LAR49" s="478"/>
      <c r="LAS49" s="478"/>
      <c r="LAT49" s="478"/>
      <c r="LAU49" s="478"/>
      <c r="LAV49" s="478"/>
      <c r="LAW49" s="478"/>
      <c r="LAX49" s="478"/>
      <c r="LAY49" s="478"/>
      <c r="LAZ49" s="478"/>
      <c r="LBA49" s="478"/>
      <c r="LBB49" s="478"/>
      <c r="LBC49" s="478"/>
      <c r="LBD49" s="478"/>
      <c r="LBE49" s="478"/>
      <c r="LBF49" s="478"/>
      <c r="LBG49" s="478"/>
      <c r="LBH49" s="478"/>
      <c r="LBI49" s="478"/>
      <c r="LBJ49" s="478"/>
      <c r="LBK49" s="478"/>
      <c r="LBL49" s="478"/>
      <c r="LBM49" s="478"/>
      <c r="LBN49" s="478"/>
      <c r="LBO49" s="478"/>
      <c r="LBP49" s="478"/>
      <c r="LBQ49" s="478"/>
      <c r="LBR49" s="478"/>
      <c r="LBS49" s="478"/>
      <c r="LBT49" s="478"/>
      <c r="LBU49" s="478"/>
      <c r="LBV49" s="478"/>
      <c r="LBW49" s="478"/>
      <c r="LBX49" s="478"/>
      <c r="LBY49" s="478"/>
      <c r="LBZ49" s="478"/>
      <c r="LCA49" s="478"/>
      <c r="LCB49" s="478"/>
      <c r="LCC49" s="478"/>
      <c r="LCD49" s="478"/>
      <c r="LCE49" s="478"/>
      <c r="LCF49" s="478"/>
      <c r="LCG49" s="478"/>
      <c r="LCH49" s="478"/>
      <c r="LCI49" s="478"/>
      <c r="LCJ49" s="478"/>
      <c r="LCK49" s="478"/>
      <c r="LCL49" s="478"/>
      <c r="LCM49" s="478"/>
      <c r="LCN49" s="478"/>
      <c r="LCO49" s="478"/>
      <c r="LCP49" s="478"/>
      <c r="LCQ49" s="478"/>
      <c r="LCR49" s="478"/>
      <c r="LCS49" s="478"/>
      <c r="LCT49" s="478"/>
      <c r="LCU49" s="478"/>
      <c r="LCV49" s="478"/>
      <c r="LCW49" s="478"/>
      <c r="LCX49" s="478"/>
      <c r="LCY49" s="478"/>
      <c r="LCZ49" s="478"/>
      <c r="LDA49" s="478"/>
      <c r="LDB49" s="478"/>
      <c r="LDC49" s="478"/>
      <c r="LDD49" s="478"/>
      <c r="LDE49" s="478"/>
      <c r="LDF49" s="478"/>
      <c r="LDG49" s="478"/>
      <c r="LDH49" s="478"/>
      <c r="LDI49" s="478"/>
      <c r="LDJ49" s="478"/>
      <c r="LDK49" s="478"/>
      <c r="LDL49" s="478"/>
      <c r="LDM49" s="478"/>
      <c r="LDN49" s="478"/>
      <c r="LDO49" s="478"/>
      <c r="LDP49" s="478"/>
      <c r="LDQ49" s="478"/>
      <c r="LDR49" s="478"/>
      <c r="LDS49" s="478"/>
      <c r="LDT49" s="478"/>
      <c r="LDU49" s="478"/>
      <c r="LDV49" s="478"/>
      <c r="LDW49" s="478"/>
      <c r="LDX49" s="478"/>
      <c r="LDY49" s="478"/>
      <c r="LDZ49" s="478"/>
      <c r="LEA49" s="478"/>
      <c r="LEB49" s="478"/>
      <c r="LEC49" s="478"/>
      <c r="LED49" s="478"/>
      <c r="LEE49" s="478"/>
      <c r="LEF49" s="478"/>
      <c r="LEG49" s="478"/>
      <c r="LEH49" s="478"/>
      <c r="LEI49" s="478"/>
      <c r="LEJ49" s="478"/>
      <c r="LEK49" s="478"/>
      <c r="LEL49" s="478"/>
      <c r="LEM49" s="478"/>
      <c r="LEN49" s="478"/>
      <c r="LEO49" s="478"/>
      <c r="LEP49" s="478"/>
      <c r="LEQ49" s="478"/>
      <c r="LER49" s="478"/>
      <c r="LES49" s="478"/>
      <c r="LET49" s="478"/>
      <c r="LEU49" s="478"/>
      <c r="LEV49" s="478"/>
      <c r="LEW49" s="478"/>
      <c r="LEX49" s="478"/>
      <c r="LEY49" s="478"/>
      <c r="LEZ49" s="478"/>
      <c r="LFA49" s="478"/>
      <c r="LFB49" s="478"/>
      <c r="LFC49" s="478"/>
      <c r="LFD49" s="478"/>
      <c r="LFE49" s="478"/>
      <c r="LFF49" s="478"/>
      <c r="LFG49" s="478"/>
      <c r="LFH49" s="478"/>
      <c r="LFI49" s="478"/>
      <c r="LFJ49" s="478"/>
      <c r="LFK49" s="478"/>
      <c r="LFL49" s="478"/>
      <c r="LFM49" s="478"/>
      <c r="LFN49" s="478"/>
      <c r="LFO49" s="478"/>
      <c r="LFP49" s="478"/>
      <c r="LFQ49" s="478"/>
      <c r="LFR49" s="478"/>
      <c r="LFS49" s="478"/>
      <c r="LFT49" s="478"/>
      <c r="LFU49" s="478"/>
      <c r="LFV49" s="478"/>
      <c r="LFW49" s="478"/>
      <c r="LFX49" s="478"/>
      <c r="LFY49" s="478"/>
      <c r="LFZ49" s="478"/>
      <c r="LGA49" s="478"/>
      <c r="LGB49" s="478"/>
      <c r="LGC49" s="478"/>
      <c r="LGD49" s="478"/>
      <c r="LGE49" s="478"/>
      <c r="LGF49" s="478"/>
      <c r="LGG49" s="478"/>
      <c r="LGH49" s="478"/>
      <c r="LGI49" s="478"/>
      <c r="LGJ49" s="478"/>
      <c r="LGK49" s="478"/>
      <c r="LGL49" s="478"/>
      <c r="LGM49" s="478"/>
      <c r="LGN49" s="478"/>
      <c r="LGO49" s="478"/>
      <c r="LGP49" s="478"/>
      <c r="LGQ49" s="478"/>
      <c r="LGR49" s="478"/>
      <c r="LGS49" s="478"/>
      <c r="LGT49" s="478"/>
      <c r="LGU49" s="478"/>
      <c r="LGV49" s="478"/>
      <c r="LGW49" s="478"/>
      <c r="LGX49" s="478"/>
      <c r="LGY49" s="478"/>
      <c r="LGZ49" s="478"/>
      <c r="LHA49" s="478"/>
      <c r="LHB49" s="478"/>
      <c r="LHC49" s="478"/>
      <c r="LHD49" s="478"/>
      <c r="LHE49" s="478"/>
      <c r="LHF49" s="478"/>
      <c r="LHG49" s="478"/>
      <c r="LHH49" s="478"/>
      <c r="LHI49" s="478"/>
      <c r="LHJ49" s="478"/>
      <c r="LHK49" s="478"/>
      <c r="LHL49" s="478"/>
      <c r="LHM49" s="478"/>
      <c r="LHN49" s="478"/>
      <c r="LHO49" s="478"/>
      <c r="LHP49" s="478"/>
      <c r="LHQ49" s="478"/>
      <c r="LHR49" s="478"/>
      <c r="LHS49" s="478"/>
      <c r="LHT49" s="478"/>
      <c r="LHU49" s="478"/>
      <c r="LHV49" s="478"/>
      <c r="LHW49" s="478"/>
      <c r="LHX49" s="478"/>
      <c r="LHY49" s="478"/>
      <c r="LHZ49" s="478"/>
      <c r="LIA49" s="478"/>
      <c r="LIB49" s="478"/>
      <c r="LIC49" s="478"/>
      <c r="LID49" s="478"/>
      <c r="LIE49" s="478"/>
      <c r="LIF49" s="478"/>
      <c r="LIG49" s="478"/>
      <c r="LIH49" s="478"/>
      <c r="LII49" s="478"/>
      <c r="LIJ49" s="478"/>
      <c r="LIK49" s="478"/>
      <c r="LIL49" s="478"/>
      <c r="LIM49" s="478"/>
      <c r="LIN49" s="478"/>
      <c r="LIO49" s="478"/>
      <c r="LIP49" s="478"/>
      <c r="LIQ49" s="478"/>
      <c r="LIR49" s="478"/>
      <c r="LIS49" s="478"/>
      <c r="LIT49" s="478"/>
      <c r="LIU49" s="478"/>
      <c r="LIV49" s="478"/>
      <c r="LIW49" s="478"/>
      <c r="LIX49" s="478"/>
      <c r="LIY49" s="478"/>
      <c r="LIZ49" s="478"/>
      <c r="LJA49" s="478"/>
      <c r="LJB49" s="478"/>
      <c r="LJC49" s="478"/>
      <c r="LJD49" s="478"/>
      <c r="LJE49" s="478"/>
      <c r="LJF49" s="478"/>
      <c r="LJG49" s="478"/>
      <c r="LJH49" s="478"/>
      <c r="LJI49" s="478"/>
      <c r="LJJ49" s="478"/>
      <c r="LJK49" s="478"/>
      <c r="LJL49" s="478"/>
      <c r="LJM49" s="478"/>
      <c r="LJN49" s="478"/>
      <c r="LJO49" s="478"/>
      <c r="LJP49" s="478"/>
      <c r="LJQ49" s="478"/>
      <c r="LJR49" s="478"/>
      <c r="LJS49" s="478"/>
      <c r="LJT49" s="478"/>
      <c r="LJU49" s="478"/>
      <c r="LJV49" s="478"/>
      <c r="LJW49" s="478"/>
      <c r="LJX49" s="478"/>
      <c r="LJY49" s="478"/>
      <c r="LJZ49" s="478"/>
      <c r="LKA49" s="478"/>
      <c r="LKB49" s="478"/>
      <c r="LKC49" s="478"/>
      <c r="LKD49" s="478"/>
      <c r="LKE49" s="478"/>
      <c r="LKF49" s="478"/>
      <c r="LKG49" s="478"/>
      <c r="LKH49" s="478"/>
      <c r="LKI49" s="478"/>
      <c r="LKJ49" s="478"/>
      <c r="LKK49" s="478"/>
      <c r="LKL49" s="478"/>
      <c r="LKM49" s="478"/>
      <c r="LKN49" s="478"/>
      <c r="LKO49" s="478"/>
      <c r="LKP49" s="478"/>
      <c r="LKQ49" s="478"/>
      <c r="LKR49" s="478"/>
      <c r="LKS49" s="478"/>
      <c r="LKT49" s="478"/>
      <c r="LKU49" s="478"/>
      <c r="LKV49" s="478"/>
      <c r="LKW49" s="478"/>
      <c r="LKX49" s="478"/>
      <c r="LKY49" s="478"/>
      <c r="LKZ49" s="478"/>
      <c r="LLA49" s="478"/>
      <c r="LLB49" s="478"/>
      <c r="LLC49" s="478"/>
      <c r="LLD49" s="478"/>
      <c r="LLE49" s="478"/>
      <c r="LLF49" s="478"/>
      <c r="LLG49" s="478"/>
      <c r="LLH49" s="478"/>
      <c r="LLI49" s="478"/>
      <c r="LLJ49" s="478"/>
      <c r="LLK49" s="478"/>
      <c r="LLL49" s="478"/>
      <c r="LLM49" s="478"/>
      <c r="LLN49" s="478"/>
      <c r="LLO49" s="478"/>
      <c r="LLP49" s="478"/>
      <c r="LLQ49" s="478"/>
      <c r="LLR49" s="478"/>
      <c r="LLS49" s="478"/>
      <c r="LLT49" s="478"/>
      <c r="LLU49" s="478"/>
      <c r="LLV49" s="478"/>
      <c r="LLW49" s="478"/>
      <c r="LLX49" s="478"/>
      <c r="LLY49" s="478"/>
      <c r="LLZ49" s="478"/>
      <c r="LMA49" s="478"/>
      <c r="LMB49" s="478"/>
      <c r="LMC49" s="478"/>
      <c r="LMD49" s="478"/>
      <c r="LME49" s="478"/>
      <c r="LMF49" s="478"/>
      <c r="LMG49" s="478"/>
      <c r="LMH49" s="478"/>
      <c r="LMI49" s="478"/>
      <c r="LMJ49" s="478"/>
      <c r="LMK49" s="478"/>
      <c r="LML49" s="478"/>
      <c r="LMM49" s="478"/>
      <c r="LMN49" s="478"/>
      <c r="LMO49" s="478"/>
      <c r="LMP49" s="478"/>
      <c r="LMQ49" s="478"/>
      <c r="LMR49" s="478"/>
      <c r="LMS49" s="478"/>
      <c r="LMT49" s="478"/>
      <c r="LMU49" s="478"/>
      <c r="LMV49" s="478"/>
      <c r="LMW49" s="478"/>
      <c r="LMX49" s="478"/>
      <c r="LMY49" s="478"/>
      <c r="LMZ49" s="478"/>
      <c r="LNA49" s="478"/>
      <c r="LNB49" s="478"/>
      <c r="LNC49" s="478"/>
      <c r="LND49" s="478"/>
      <c r="LNE49" s="478"/>
      <c r="LNF49" s="478"/>
      <c r="LNG49" s="478"/>
      <c r="LNH49" s="478"/>
      <c r="LNI49" s="478"/>
      <c r="LNJ49" s="478"/>
      <c r="LNK49" s="478"/>
      <c r="LNL49" s="478"/>
      <c r="LNM49" s="478"/>
      <c r="LNN49" s="478"/>
      <c r="LNO49" s="478"/>
      <c r="LNP49" s="478"/>
      <c r="LNQ49" s="478"/>
      <c r="LNR49" s="478"/>
      <c r="LNS49" s="478"/>
      <c r="LNT49" s="478"/>
      <c r="LNU49" s="478"/>
      <c r="LNV49" s="478"/>
      <c r="LNW49" s="478"/>
      <c r="LNX49" s="478"/>
      <c r="LNY49" s="478"/>
      <c r="LNZ49" s="478"/>
      <c r="LOA49" s="478"/>
      <c r="LOB49" s="478"/>
      <c r="LOC49" s="478"/>
      <c r="LOD49" s="478"/>
      <c r="LOE49" s="478"/>
      <c r="LOF49" s="478"/>
      <c r="LOG49" s="478"/>
      <c r="LOH49" s="478"/>
      <c r="LOI49" s="478"/>
      <c r="LOJ49" s="478"/>
      <c r="LOK49" s="478"/>
      <c r="LOL49" s="478"/>
      <c r="LOM49" s="478"/>
      <c r="LON49" s="478"/>
      <c r="LOO49" s="478"/>
      <c r="LOP49" s="478"/>
      <c r="LOQ49" s="478"/>
      <c r="LOR49" s="478"/>
      <c r="LOS49" s="478"/>
      <c r="LOT49" s="478"/>
      <c r="LOU49" s="478"/>
      <c r="LOV49" s="478"/>
      <c r="LOW49" s="478"/>
      <c r="LOX49" s="478"/>
      <c r="LOY49" s="478"/>
      <c r="LOZ49" s="478"/>
      <c r="LPA49" s="478"/>
      <c r="LPB49" s="478"/>
      <c r="LPC49" s="478"/>
      <c r="LPD49" s="478"/>
      <c r="LPE49" s="478"/>
      <c r="LPF49" s="478"/>
      <c r="LPG49" s="478"/>
      <c r="LPH49" s="478"/>
      <c r="LPI49" s="478"/>
      <c r="LPJ49" s="478"/>
      <c r="LPK49" s="478"/>
      <c r="LPL49" s="478"/>
      <c r="LPM49" s="478"/>
      <c r="LPN49" s="478"/>
      <c r="LPO49" s="478"/>
      <c r="LPP49" s="478"/>
      <c r="LPQ49" s="478"/>
      <c r="LPR49" s="478"/>
      <c r="LPS49" s="478"/>
      <c r="LPT49" s="478"/>
      <c r="LPU49" s="478"/>
      <c r="LPV49" s="478"/>
      <c r="LPW49" s="478"/>
      <c r="LPX49" s="478"/>
      <c r="LPY49" s="478"/>
      <c r="LPZ49" s="478"/>
      <c r="LQA49" s="478"/>
      <c r="LQB49" s="478"/>
      <c r="LQC49" s="478"/>
      <c r="LQD49" s="478"/>
      <c r="LQE49" s="478"/>
      <c r="LQF49" s="478"/>
      <c r="LQG49" s="478"/>
      <c r="LQH49" s="478"/>
      <c r="LQI49" s="478"/>
      <c r="LQJ49" s="478"/>
      <c r="LQK49" s="478"/>
      <c r="LQL49" s="478"/>
      <c r="LQM49" s="478"/>
      <c r="LQN49" s="478"/>
      <c r="LQO49" s="478"/>
      <c r="LQP49" s="478"/>
      <c r="LQQ49" s="478"/>
      <c r="LQR49" s="478"/>
      <c r="LQS49" s="478"/>
      <c r="LQT49" s="478"/>
      <c r="LQU49" s="478"/>
      <c r="LQV49" s="478"/>
      <c r="LQW49" s="478"/>
      <c r="LQX49" s="478"/>
      <c r="LQY49" s="478"/>
      <c r="LQZ49" s="478"/>
      <c r="LRA49" s="478"/>
      <c r="LRB49" s="478"/>
      <c r="LRC49" s="478"/>
      <c r="LRD49" s="478"/>
      <c r="LRE49" s="478"/>
      <c r="LRF49" s="478"/>
      <c r="LRG49" s="478"/>
      <c r="LRH49" s="478"/>
      <c r="LRI49" s="478"/>
      <c r="LRJ49" s="478"/>
      <c r="LRK49" s="478"/>
      <c r="LRL49" s="478"/>
      <c r="LRM49" s="478"/>
      <c r="LRN49" s="478"/>
      <c r="LRO49" s="478"/>
      <c r="LRP49" s="478"/>
      <c r="LRQ49" s="478"/>
      <c r="LRR49" s="478"/>
      <c r="LRS49" s="478"/>
      <c r="LRT49" s="478"/>
      <c r="LRU49" s="478"/>
      <c r="LRV49" s="478"/>
      <c r="LRW49" s="478"/>
      <c r="LRX49" s="478"/>
      <c r="LRY49" s="478"/>
      <c r="LRZ49" s="478"/>
      <c r="LSA49" s="478"/>
      <c r="LSB49" s="478"/>
      <c r="LSC49" s="478"/>
      <c r="LSD49" s="478"/>
      <c r="LSE49" s="478"/>
      <c r="LSF49" s="478"/>
      <c r="LSG49" s="478"/>
      <c r="LSH49" s="478"/>
      <c r="LSI49" s="478"/>
      <c r="LSJ49" s="478"/>
      <c r="LSK49" s="478"/>
      <c r="LSL49" s="478"/>
      <c r="LSM49" s="478"/>
      <c r="LSN49" s="478"/>
      <c r="LSO49" s="478"/>
      <c r="LSP49" s="478"/>
      <c r="LSQ49" s="478"/>
      <c r="LSR49" s="478"/>
      <c r="LSS49" s="478"/>
      <c r="LST49" s="478"/>
      <c r="LSU49" s="478"/>
      <c r="LSV49" s="478"/>
      <c r="LSW49" s="478"/>
      <c r="LSX49" s="478"/>
      <c r="LSY49" s="478"/>
      <c r="LSZ49" s="478"/>
      <c r="LTA49" s="478"/>
      <c r="LTB49" s="478"/>
      <c r="LTC49" s="478"/>
      <c r="LTD49" s="478"/>
      <c r="LTE49" s="478"/>
      <c r="LTF49" s="478"/>
      <c r="LTG49" s="478"/>
      <c r="LTH49" s="478"/>
      <c r="LTI49" s="478"/>
      <c r="LTJ49" s="478"/>
      <c r="LTK49" s="478"/>
      <c r="LTL49" s="478"/>
      <c r="LTM49" s="478"/>
      <c r="LTN49" s="478"/>
      <c r="LTO49" s="478"/>
      <c r="LTP49" s="478"/>
      <c r="LTQ49" s="478"/>
      <c r="LTR49" s="478"/>
      <c r="LTS49" s="478"/>
      <c r="LTT49" s="478"/>
      <c r="LTU49" s="478"/>
      <c r="LTV49" s="478"/>
      <c r="LTW49" s="478"/>
      <c r="LTX49" s="478"/>
      <c r="LTY49" s="478"/>
      <c r="LTZ49" s="478"/>
      <c r="LUA49" s="478"/>
      <c r="LUB49" s="478"/>
      <c r="LUC49" s="478"/>
      <c r="LUD49" s="478"/>
      <c r="LUE49" s="478"/>
      <c r="LUF49" s="478"/>
      <c r="LUG49" s="478"/>
      <c r="LUH49" s="478"/>
      <c r="LUI49" s="478"/>
      <c r="LUJ49" s="478"/>
      <c r="LUK49" s="478"/>
      <c r="LUL49" s="478"/>
      <c r="LUM49" s="478"/>
      <c r="LUN49" s="478"/>
      <c r="LUO49" s="478"/>
      <c r="LUP49" s="478"/>
      <c r="LUQ49" s="478"/>
      <c r="LUR49" s="478"/>
      <c r="LUS49" s="478"/>
      <c r="LUT49" s="478"/>
      <c r="LUU49" s="478"/>
      <c r="LUV49" s="478"/>
      <c r="LUW49" s="478"/>
      <c r="LUX49" s="478"/>
      <c r="LUY49" s="478"/>
      <c r="LUZ49" s="478"/>
      <c r="LVA49" s="478"/>
      <c r="LVB49" s="478"/>
      <c r="LVC49" s="478"/>
      <c r="LVD49" s="478"/>
      <c r="LVE49" s="478"/>
      <c r="LVF49" s="478"/>
      <c r="LVG49" s="478"/>
      <c r="LVH49" s="478"/>
      <c r="LVI49" s="478"/>
      <c r="LVJ49" s="478"/>
      <c r="LVK49" s="478"/>
      <c r="LVL49" s="478"/>
      <c r="LVM49" s="478"/>
      <c r="LVN49" s="478"/>
      <c r="LVO49" s="478"/>
      <c r="LVP49" s="478"/>
      <c r="LVQ49" s="478"/>
      <c r="LVR49" s="478"/>
      <c r="LVS49" s="478"/>
      <c r="LVT49" s="478"/>
      <c r="LVU49" s="478"/>
      <c r="LVV49" s="478"/>
      <c r="LVW49" s="478"/>
      <c r="LVX49" s="478"/>
      <c r="LVY49" s="478"/>
      <c r="LVZ49" s="478"/>
      <c r="LWA49" s="478"/>
      <c r="LWB49" s="478"/>
      <c r="LWC49" s="478"/>
      <c r="LWD49" s="478"/>
      <c r="LWE49" s="478"/>
      <c r="LWF49" s="478"/>
      <c r="LWG49" s="478"/>
      <c r="LWH49" s="478"/>
      <c r="LWI49" s="478"/>
      <c r="LWJ49" s="478"/>
      <c r="LWK49" s="478"/>
      <c r="LWL49" s="478"/>
      <c r="LWM49" s="478"/>
      <c r="LWN49" s="478"/>
      <c r="LWO49" s="478"/>
      <c r="LWP49" s="478"/>
      <c r="LWQ49" s="478"/>
      <c r="LWR49" s="478"/>
      <c r="LWS49" s="478"/>
      <c r="LWT49" s="478"/>
      <c r="LWU49" s="478"/>
      <c r="LWV49" s="478"/>
      <c r="LWW49" s="478"/>
      <c r="LWX49" s="478"/>
      <c r="LWY49" s="478"/>
      <c r="LWZ49" s="478"/>
      <c r="LXA49" s="478"/>
      <c r="LXB49" s="478"/>
      <c r="LXC49" s="478"/>
      <c r="LXD49" s="478"/>
      <c r="LXE49" s="478"/>
      <c r="LXF49" s="478"/>
      <c r="LXG49" s="478"/>
      <c r="LXH49" s="478"/>
      <c r="LXI49" s="478"/>
      <c r="LXJ49" s="478"/>
      <c r="LXK49" s="478"/>
      <c r="LXL49" s="478"/>
      <c r="LXM49" s="478"/>
      <c r="LXN49" s="478"/>
      <c r="LXO49" s="478"/>
      <c r="LXP49" s="478"/>
      <c r="LXQ49" s="478"/>
      <c r="LXR49" s="478"/>
      <c r="LXS49" s="478"/>
      <c r="LXT49" s="478"/>
      <c r="LXU49" s="478"/>
      <c r="LXV49" s="478"/>
      <c r="LXW49" s="478"/>
      <c r="LXX49" s="478"/>
      <c r="LXY49" s="478"/>
      <c r="LXZ49" s="478"/>
      <c r="LYA49" s="478"/>
      <c r="LYB49" s="478"/>
      <c r="LYC49" s="478"/>
      <c r="LYD49" s="478"/>
      <c r="LYE49" s="478"/>
      <c r="LYF49" s="478"/>
      <c r="LYG49" s="478"/>
      <c r="LYH49" s="478"/>
      <c r="LYI49" s="478"/>
      <c r="LYJ49" s="478"/>
      <c r="LYK49" s="478"/>
      <c r="LYL49" s="478"/>
      <c r="LYM49" s="478"/>
      <c r="LYN49" s="478"/>
      <c r="LYO49" s="478"/>
      <c r="LYP49" s="478"/>
      <c r="LYQ49" s="478"/>
      <c r="LYR49" s="478"/>
      <c r="LYS49" s="478"/>
      <c r="LYT49" s="478"/>
      <c r="LYU49" s="478"/>
      <c r="LYV49" s="478"/>
      <c r="LYW49" s="478"/>
      <c r="LYX49" s="478"/>
      <c r="LYY49" s="478"/>
      <c r="LYZ49" s="478"/>
      <c r="LZA49" s="478"/>
      <c r="LZB49" s="478"/>
      <c r="LZC49" s="478"/>
      <c r="LZD49" s="478"/>
      <c r="LZE49" s="478"/>
      <c r="LZF49" s="478"/>
      <c r="LZG49" s="478"/>
      <c r="LZH49" s="478"/>
      <c r="LZI49" s="478"/>
      <c r="LZJ49" s="478"/>
      <c r="LZK49" s="478"/>
      <c r="LZL49" s="478"/>
      <c r="LZM49" s="478"/>
      <c r="LZN49" s="478"/>
      <c r="LZO49" s="478"/>
      <c r="LZP49" s="478"/>
      <c r="LZQ49" s="478"/>
      <c r="LZR49" s="478"/>
      <c r="LZS49" s="478"/>
      <c r="LZT49" s="478"/>
      <c r="LZU49" s="478"/>
      <c r="LZV49" s="478"/>
      <c r="LZW49" s="478"/>
      <c r="LZX49" s="478"/>
      <c r="LZY49" s="478"/>
      <c r="LZZ49" s="478"/>
      <c r="MAA49" s="478"/>
      <c r="MAB49" s="478"/>
      <c r="MAC49" s="478"/>
      <c r="MAD49" s="478"/>
      <c r="MAE49" s="478"/>
      <c r="MAF49" s="478"/>
      <c r="MAG49" s="478"/>
      <c r="MAH49" s="478"/>
      <c r="MAI49" s="478"/>
      <c r="MAJ49" s="478"/>
      <c r="MAK49" s="478"/>
      <c r="MAL49" s="478"/>
      <c r="MAM49" s="478"/>
      <c r="MAN49" s="478"/>
      <c r="MAO49" s="478"/>
      <c r="MAP49" s="478"/>
      <c r="MAQ49" s="478"/>
      <c r="MAR49" s="478"/>
      <c r="MAS49" s="478"/>
      <c r="MAT49" s="478"/>
      <c r="MAU49" s="478"/>
      <c r="MAV49" s="478"/>
      <c r="MAW49" s="478"/>
      <c r="MAX49" s="478"/>
      <c r="MAY49" s="478"/>
      <c r="MAZ49" s="478"/>
      <c r="MBA49" s="478"/>
      <c r="MBB49" s="478"/>
      <c r="MBC49" s="478"/>
      <c r="MBD49" s="478"/>
      <c r="MBE49" s="478"/>
      <c r="MBF49" s="478"/>
      <c r="MBG49" s="478"/>
      <c r="MBH49" s="478"/>
      <c r="MBI49" s="478"/>
      <c r="MBJ49" s="478"/>
      <c r="MBK49" s="478"/>
      <c r="MBL49" s="478"/>
      <c r="MBM49" s="478"/>
      <c r="MBN49" s="478"/>
      <c r="MBO49" s="478"/>
      <c r="MBP49" s="478"/>
      <c r="MBQ49" s="478"/>
      <c r="MBR49" s="478"/>
      <c r="MBS49" s="478"/>
      <c r="MBT49" s="478"/>
      <c r="MBU49" s="478"/>
      <c r="MBV49" s="478"/>
      <c r="MBW49" s="478"/>
      <c r="MBX49" s="478"/>
      <c r="MBY49" s="478"/>
      <c r="MBZ49" s="478"/>
      <c r="MCA49" s="478"/>
      <c r="MCB49" s="478"/>
      <c r="MCC49" s="478"/>
      <c r="MCD49" s="478"/>
      <c r="MCE49" s="478"/>
      <c r="MCF49" s="478"/>
      <c r="MCG49" s="478"/>
      <c r="MCH49" s="478"/>
      <c r="MCI49" s="478"/>
      <c r="MCJ49" s="478"/>
      <c r="MCK49" s="478"/>
      <c r="MCL49" s="478"/>
      <c r="MCM49" s="478"/>
      <c r="MCN49" s="478"/>
      <c r="MCO49" s="478"/>
      <c r="MCP49" s="478"/>
      <c r="MCQ49" s="478"/>
      <c r="MCR49" s="478"/>
      <c r="MCS49" s="478"/>
      <c r="MCT49" s="478"/>
      <c r="MCU49" s="478"/>
      <c r="MCV49" s="478"/>
      <c r="MCW49" s="478"/>
      <c r="MCX49" s="478"/>
      <c r="MCY49" s="478"/>
      <c r="MCZ49" s="478"/>
      <c r="MDA49" s="478"/>
      <c r="MDB49" s="478"/>
      <c r="MDC49" s="478"/>
      <c r="MDD49" s="478"/>
      <c r="MDE49" s="478"/>
      <c r="MDF49" s="478"/>
      <c r="MDG49" s="478"/>
      <c r="MDH49" s="478"/>
      <c r="MDI49" s="478"/>
      <c r="MDJ49" s="478"/>
      <c r="MDK49" s="478"/>
      <c r="MDL49" s="478"/>
      <c r="MDM49" s="478"/>
      <c r="MDN49" s="478"/>
      <c r="MDO49" s="478"/>
      <c r="MDP49" s="478"/>
      <c r="MDQ49" s="478"/>
      <c r="MDR49" s="478"/>
      <c r="MDS49" s="478"/>
      <c r="MDT49" s="478"/>
      <c r="MDU49" s="478"/>
      <c r="MDV49" s="478"/>
      <c r="MDW49" s="478"/>
      <c r="MDX49" s="478"/>
      <c r="MDY49" s="478"/>
      <c r="MDZ49" s="478"/>
      <c r="MEA49" s="478"/>
      <c r="MEB49" s="478"/>
      <c r="MEC49" s="478"/>
      <c r="MED49" s="478"/>
      <c r="MEE49" s="478"/>
      <c r="MEF49" s="478"/>
      <c r="MEG49" s="478"/>
      <c r="MEH49" s="478"/>
      <c r="MEI49" s="478"/>
      <c r="MEJ49" s="478"/>
      <c r="MEK49" s="478"/>
      <c r="MEL49" s="478"/>
      <c r="MEM49" s="478"/>
      <c r="MEN49" s="478"/>
      <c r="MEO49" s="478"/>
      <c r="MEP49" s="478"/>
      <c r="MEQ49" s="478"/>
      <c r="MER49" s="478"/>
      <c r="MES49" s="478"/>
      <c r="MET49" s="478"/>
      <c r="MEU49" s="478"/>
      <c r="MEV49" s="478"/>
      <c r="MEW49" s="478"/>
      <c r="MEX49" s="478"/>
      <c r="MEY49" s="478"/>
      <c r="MEZ49" s="478"/>
      <c r="MFA49" s="478"/>
      <c r="MFB49" s="478"/>
      <c r="MFC49" s="478"/>
      <c r="MFD49" s="478"/>
      <c r="MFE49" s="478"/>
      <c r="MFF49" s="478"/>
      <c r="MFG49" s="478"/>
      <c r="MFH49" s="478"/>
      <c r="MFI49" s="478"/>
      <c r="MFJ49" s="478"/>
      <c r="MFK49" s="478"/>
      <c r="MFL49" s="478"/>
      <c r="MFM49" s="478"/>
      <c r="MFN49" s="478"/>
      <c r="MFO49" s="478"/>
      <c r="MFP49" s="478"/>
      <c r="MFQ49" s="478"/>
      <c r="MFR49" s="478"/>
      <c r="MFS49" s="478"/>
      <c r="MFT49" s="478"/>
      <c r="MFU49" s="478"/>
      <c r="MFV49" s="478"/>
      <c r="MFW49" s="478"/>
      <c r="MFX49" s="478"/>
      <c r="MFY49" s="478"/>
      <c r="MFZ49" s="478"/>
      <c r="MGA49" s="478"/>
      <c r="MGB49" s="478"/>
      <c r="MGC49" s="478"/>
      <c r="MGD49" s="478"/>
      <c r="MGE49" s="478"/>
      <c r="MGF49" s="478"/>
      <c r="MGG49" s="478"/>
      <c r="MGH49" s="478"/>
      <c r="MGI49" s="478"/>
      <c r="MGJ49" s="478"/>
      <c r="MGK49" s="478"/>
      <c r="MGL49" s="478"/>
      <c r="MGM49" s="478"/>
      <c r="MGN49" s="478"/>
      <c r="MGO49" s="478"/>
      <c r="MGP49" s="478"/>
      <c r="MGQ49" s="478"/>
      <c r="MGR49" s="478"/>
      <c r="MGS49" s="478"/>
      <c r="MGT49" s="478"/>
      <c r="MGU49" s="478"/>
      <c r="MGV49" s="478"/>
      <c r="MGW49" s="478"/>
      <c r="MGX49" s="478"/>
      <c r="MGY49" s="478"/>
      <c r="MGZ49" s="478"/>
      <c r="MHA49" s="478"/>
      <c r="MHB49" s="478"/>
      <c r="MHC49" s="478"/>
      <c r="MHD49" s="478"/>
      <c r="MHE49" s="478"/>
      <c r="MHF49" s="478"/>
      <c r="MHG49" s="478"/>
      <c r="MHH49" s="478"/>
      <c r="MHI49" s="478"/>
      <c r="MHJ49" s="478"/>
      <c r="MHK49" s="478"/>
      <c r="MHL49" s="478"/>
      <c r="MHM49" s="478"/>
      <c r="MHN49" s="478"/>
      <c r="MHO49" s="478"/>
      <c r="MHP49" s="478"/>
      <c r="MHQ49" s="478"/>
      <c r="MHR49" s="478"/>
      <c r="MHS49" s="478"/>
      <c r="MHT49" s="478"/>
      <c r="MHU49" s="478"/>
      <c r="MHV49" s="478"/>
      <c r="MHW49" s="478"/>
      <c r="MHX49" s="478"/>
      <c r="MHY49" s="478"/>
      <c r="MHZ49" s="478"/>
      <c r="MIA49" s="478"/>
      <c r="MIB49" s="478"/>
      <c r="MIC49" s="478"/>
      <c r="MID49" s="478"/>
      <c r="MIE49" s="478"/>
      <c r="MIF49" s="478"/>
      <c r="MIG49" s="478"/>
      <c r="MIH49" s="478"/>
      <c r="MII49" s="478"/>
      <c r="MIJ49" s="478"/>
      <c r="MIK49" s="478"/>
      <c r="MIL49" s="478"/>
      <c r="MIM49" s="478"/>
      <c r="MIN49" s="478"/>
      <c r="MIO49" s="478"/>
      <c r="MIP49" s="478"/>
      <c r="MIQ49" s="478"/>
      <c r="MIR49" s="478"/>
      <c r="MIS49" s="478"/>
      <c r="MIT49" s="478"/>
      <c r="MIU49" s="478"/>
      <c r="MIV49" s="478"/>
      <c r="MIW49" s="478"/>
      <c r="MIX49" s="478"/>
      <c r="MIY49" s="478"/>
      <c r="MIZ49" s="478"/>
      <c r="MJA49" s="478"/>
      <c r="MJB49" s="478"/>
      <c r="MJC49" s="478"/>
      <c r="MJD49" s="478"/>
      <c r="MJE49" s="478"/>
      <c r="MJF49" s="478"/>
      <c r="MJG49" s="478"/>
      <c r="MJH49" s="478"/>
      <c r="MJI49" s="478"/>
      <c r="MJJ49" s="478"/>
      <c r="MJK49" s="478"/>
      <c r="MJL49" s="478"/>
      <c r="MJM49" s="478"/>
      <c r="MJN49" s="478"/>
      <c r="MJO49" s="478"/>
      <c r="MJP49" s="478"/>
      <c r="MJQ49" s="478"/>
      <c r="MJR49" s="478"/>
      <c r="MJS49" s="478"/>
      <c r="MJT49" s="478"/>
      <c r="MJU49" s="478"/>
      <c r="MJV49" s="478"/>
      <c r="MJW49" s="478"/>
      <c r="MJX49" s="478"/>
      <c r="MJY49" s="478"/>
      <c r="MJZ49" s="478"/>
      <c r="MKA49" s="478"/>
      <c r="MKB49" s="478"/>
      <c r="MKC49" s="478"/>
      <c r="MKD49" s="478"/>
      <c r="MKE49" s="478"/>
      <c r="MKF49" s="478"/>
      <c r="MKG49" s="478"/>
      <c r="MKH49" s="478"/>
      <c r="MKI49" s="478"/>
      <c r="MKJ49" s="478"/>
      <c r="MKK49" s="478"/>
      <c r="MKL49" s="478"/>
      <c r="MKM49" s="478"/>
      <c r="MKN49" s="478"/>
      <c r="MKO49" s="478"/>
      <c r="MKP49" s="478"/>
      <c r="MKQ49" s="478"/>
      <c r="MKR49" s="478"/>
      <c r="MKS49" s="478"/>
      <c r="MKT49" s="478"/>
      <c r="MKU49" s="478"/>
      <c r="MKV49" s="478"/>
      <c r="MKW49" s="478"/>
      <c r="MKX49" s="478"/>
      <c r="MKY49" s="478"/>
      <c r="MKZ49" s="478"/>
      <c r="MLA49" s="478"/>
      <c r="MLB49" s="478"/>
      <c r="MLC49" s="478"/>
      <c r="MLD49" s="478"/>
      <c r="MLE49" s="478"/>
      <c r="MLF49" s="478"/>
      <c r="MLG49" s="478"/>
      <c r="MLH49" s="478"/>
      <c r="MLI49" s="478"/>
      <c r="MLJ49" s="478"/>
      <c r="MLK49" s="478"/>
      <c r="MLL49" s="478"/>
      <c r="MLM49" s="478"/>
      <c r="MLN49" s="478"/>
      <c r="MLO49" s="478"/>
      <c r="MLP49" s="478"/>
      <c r="MLQ49" s="478"/>
      <c r="MLR49" s="478"/>
      <c r="MLS49" s="478"/>
      <c r="MLT49" s="478"/>
      <c r="MLU49" s="478"/>
      <c r="MLV49" s="478"/>
      <c r="MLW49" s="478"/>
      <c r="MLX49" s="478"/>
      <c r="MLY49" s="478"/>
      <c r="MLZ49" s="478"/>
      <c r="MMA49" s="478"/>
      <c r="MMB49" s="478"/>
      <c r="MMC49" s="478"/>
      <c r="MMD49" s="478"/>
      <c r="MME49" s="478"/>
      <c r="MMF49" s="478"/>
      <c r="MMG49" s="478"/>
      <c r="MMH49" s="478"/>
      <c r="MMI49" s="478"/>
      <c r="MMJ49" s="478"/>
      <c r="MMK49" s="478"/>
      <c r="MML49" s="478"/>
      <c r="MMM49" s="478"/>
      <c r="MMN49" s="478"/>
      <c r="MMO49" s="478"/>
      <c r="MMP49" s="478"/>
      <c r="MMQ49" s="478"/>
      <c r="MMR49" s="478"/>
      <c r="MMS49" s="478"/>
      <c r="MMT49" s="478"/>
      <c r="MMU49" s="478"/>
      <c r="MMV49" s="478"/>
      <c r="MMW49" s="478"/>
      <c r="MMX49" s="478"/>
      <c r="MMY49" s="478"/>
      <c r="MMZ49" s="478"/>
      <c r="MNA49" s="478"/>
      <c r="MNB49" s="478"/>
      <c r="MNC49" s="478"/>
      <c r="MND49" s="478"/>
      <c r="MNE49" s="478"/>
      <c r="MNF49" s="478"/>
      <c r="MNG49" s="478"/>
      <c r="MNH49" s="478"/>
      <c r="MNI49" s="478"/>
      <c r="MNJ49" s="478"/>
      <c r="MNK49" s="478"/>
      <c r="MNL49" s="478"/>
      <c r="MNM49" s="478"/>
      <c r="MNN49" s="478"/>
      <c r="MNO49" s="478"/>
      <c r="MNP49" s="478"/>
      <c r="MNQ49" s="478"/>
      <c r="MNR49" s="478"/>
      <c r="MNS49" s="478"/>
      <c r="MNT49" s="478"/>
      <c r="MNU49" s="478"/>
      <c r="MNV49" s="478"/>
      <c r="MNW49" s="478"/>
      <c r="MNX49" s="478"/>
      <c r="MNY49" s="478"/>
      <c r="MNZ49" s="478"/>
      <c r="MOA49" s="478"/>
      <c r="MOB49" s="478"/>
      <c r="MOC49" s="478"/>
      <c r="MOD49" s="478"/>
      <c r="MOE49" s="478"/>
      <c r="MOF49" s="478"/>
      <c r="MOG49" s="478"/>
      <c r="MOH49" s="478"/>
      <c r="MOI49" s="478"/>
      <c r="MOJ49" s="478"/>
      <c r="MOK49" s="478"/>
      <c r="MOL49" s="478"/>
      <c r="MOM49" s="478"/>
      <c r="MON49" s="478"/>
      <c r="MOO49" s="478"/>
      <c r="MOP49" s="478"/>
      <c r="MOQ49" s="478"/>
      <c r="MOR49" s="478"/>
      <c r="MOS49" s="478"/>
      <c r="MOT49" s="478"/>
      <c r="MOU49" s="478"/>
      <c r="MOV49" s="478"/>
      <c r="MOW49" s="478"/>
      <c r="MOX49" s="478"/>
      <c r="MOY49" s="478"/>
      <c r="MOZ49" s="478"/>
      <c r="MPA49" s="478"/>
      <c r="MPB49" s="478"/>
      <c r="MPC49" s="478"/>
      <c r="MPD49" s="478"/>
      <c r="MPE49" s="478"/>
      <c r="MPF49" s="478"/>
      <c r="MPG49" s="478"/>
      <c r="MPH49" s="478"/>
      <c r="MPI49" s="478"/>
      <c r="MPJ49" s="478"/>
      <c r="MPK49" s="478"/>
      <c r="MPL49" s="478"/>
      <c r="MPM49" s="478"/>
      <c r="MPN49" s="478"/>
      <c r="MPO49" s="478"/>
      <c r="MPP49" s="478"/>
      <c r="MPQ49" s="478"/>
      <c r="MPR49" s="478"/>
      <c r="MPS49" s="478"/>
      <c r="MPT49" s="478"/>
      <c r="MPU49" s="478"/>
      <c r="MPV49" s="478"/>
      <c r="MPW49" s="478"/>
      <c r="MPX49" s="478"/>
      <c r="MPY49" s="478"/>
      <c r="MPZ49" s="478"/>
      <c r="MQA49" s="478"/>
      <c r="MQB49" s="478"/>
      <c r="MQC49" s="478"/>
      <c r="MQD49" s="478"/>
      <c r="MQE49" s="478"/>
      <c r="MQF49" s="478"/>
      <c r="MQG49" s="478"/>
      <c r="MQH49" s="478"/>
      <c r="MQI49" s="478"/>
      <c r="MQJ49" s="478"/>
      <c r="MQK49" s="478"/>
      <c r="MQL49" s="478"/>
      <c r="MQM49" s="478"/>
      <c r="MQN49" s="478"/>
      <c r="MQO49" s="478"/>
      <c r="MQP49" s="478"/>
      <c r="MQQ49" s="478"/>
      <c r="MQR49" s="478"/>
      <c r="MQS49" s="478"/>
      <c r="MQT49" s="478"/>
      <c r="MQU49" s="478"/>
      <c r="MQV49" s="478"/>
      <c r="MQW49" s="478"/>
      <c r="MQX49" s="478"/>
      <c r="MQY49" s="478"/>
      <c r="MQZ49" s="478"/>
      <c r="MRA49" s="478"/>
      <c r="MRB49" s="478"/>
      <c r="MRC49" s="478"/>
      <c r="MRD49" s="478"/>
      <c r="MRE49" s="478"/>
      <c r="MRF49" s="478"/>
      <c r="MRG49" s="478"/>
      <c r="MRH49" s="478"/>
      <c r="MRI49" s="478"/>
      <c r="MRJ49" s="478"/>
      <c r="MRK49" s="478"/>
      <c r="MRL49" s="478"/>
      <c r="MRM49" s="478"/>
      <c r="MRN49" s="478"/>
      <c r="MRO49" s="478"/>
      <c r="MRP49" s="478"/>
      <c r="MRQ49" s="478"/>
      <c r="MRR49" s="478"/>
      <c r="MRS49" s="478"/>
      <c r="MRT49" s="478"/>
      <c r="MRU49" s="478"/>
      <c r="MRV49" s="478"/>
      <c r="MRW49" s="478"/>
      <c r="MRX49" s="478"/>
      <c r="MRY49" s="478"/>
      <c r="MRZ49" s="478"/>
      <c r="MSA49" s="478"/>
      <c r="MSB49" s="478"/>
      <c r="MSC49" s="478"/>
      <c r="MSD49" s="478"/>
      <c r="MSE49" s="478"/>
      <c r="MSF49" s="478"/>
      <c r="MSG49" s="478"/>
      <c r="MSH49" s="478"/>
      <c r="MSI49" s="478"/>
      <c r="MSJ49" s="478"/>
      <c r="MSK49" s="478"/>
      <c r="MSL49" s="478"/>
      <c r="MSM49" s="478"/>
      <c r="MSN49" s="478"/>
      <c r="MSO49" s="478"/>
      <c r="MSP49" s="478"/>
      <c r="MSQ49" s="478"/>
      <c r="MSR49" s="478"/>
      <c r="MSS49" s="478"/>
      <c r="MST49" s="478"/>
      <c r="MSU49" s="478"/>
      <c r="MSV49" s="478"/>
      <c r="MSW49" s="478"/>
      <c r="MSX49" s="478"/>
      <c r="MSY49" s="478"/>
      <c r="MSZ49" s="478"/>
      <c r="MTA49" s="478"/>
      <c r="MTB49" s="478"/>
      <c r="MTC49" s="478"/>
      <c r="MTD49" s="478"/>
      <c r="MTE49" s="478"/>
      <c r="MTF49" s="478"/>
      <c r="MTG49" s="478"/>
      <c r="MTH49" s="478"/>
      <c r="MTI49" s="478"/>
      <c r="MTJ49" s="478"/>
      <c r="MTK49" s="478"/>
      <c r="MTL49" s="478"/>
      <c r="MTM49" s="478"/>
      <c r="MTN49" s="478"/>
      <c r="MTO49" s="478"/>
      <c r="MTP49" s="478"/>
      <c r="MTQ49" s="478"/>
      <c r="MTR49" s="478"/>
      <c r="MTS49" s="478"/>
      <c r="MTT49" s="478"/>
      <c r="MTU49" s="478"/>
      <c r="MTV49" s="478"/>
      <c r="MTW49" s="478"/>
      <c r="MTX49" s="478"/>
      <c r="MTY49" s="478"/>
      <c r="MTZ49" s="478"/>
      <c r="MUA49" s="478"/>
      <c r="MUB49" s="478"/>
      <c r="MUC49" s="478"/>
      <c r="MUD49" s="478"/>
      <c r="MUE49" s="478"/>
      <c r="MUF49" s="478"/>
      <c r="MUG49" s="478"/>
      <c r="MUH49" s="478"/>
      <c r="MUI49" s="478"/>
      <c r="MUJ49" s="478"/>
      <c r="MUK49" s="478"/>
      <c r="MUL49" s="478"/>
      <c r="MUM49" s="478"/>
      <c r="MUN49" s="478"/>
      <c r="MUO49" s="478"/>
      <c r="MUP49" s="478"/>
      <c r="MUQ49" s="478"/>
      <c r="MUR49" s="478"/>
      <c r="MUS49" s="478"/>
      <c r="MUT49" s="478"/>
      <c r="MUU49" s="478"/>
      <c r="MUV49" s="478"/>
      <c r="MUW49" s="478"/>
      <c r="MUX49" s="478"/>
      <c r="MUY49" s="478"/>
      <c r="MUZ49" s="478"/>
      <c r="MVA49" s="478"/>
      <c r="MVB49" s="478"/>
      <c r="MVC49" s="478"/>
      <c r="MVD49" s="478"/>
      <c r="MVE49" s="478"/>
      <c r="MVF49" s="478"/>
      <c r="MVG49" s="478"/>
      <c r="MVH49" s="478"/>
      <c r="MVI49" s="478"/>
      <c r="MVJ49" s="478"/>
      <c r="MVK49" s="478"/>
      <c r="MVL49" s="478"/>
      <c r="MVM49" s="478"/>
      <c r="MVN49" s="478"/>
      <c r="MVO49" s="478"/>
      <c r="MVP49" s="478"/>
      <c r="MVQ49" s="478"/>
      <c r="MVR49" s="478"/>
      <c r="MVS49" s="478"/>
      <c r="MVT49" s="478"/>
      <c r="MVU49" s="478"/>
      <c r="MVV49" s="478"/>
      <c r="MVW49" s="478"/>
      <c r="MVX49" s="478"/>
      <c r="MVY49" s="478"/>
      <c r="MVZ49" s="478"/>
      <c r="MWA49" s="478"/>
      <c r="MWB49" s="478"/>
      <c r="MWC49" s="478"/>
      <c r="MWD49" s="478"/>
      <c r="MWE49" s="478"/>
      <c r="MWF49" s="478"/>
      <c r="MWG49" s="478"/>
      <c r="MWH49" s="478"/>
      <c r="MWI49" s="478"/>
      <c r="MWJ49" s="478"/>
      <c r="MWK49" s="478"/>
      <c r="MWL49" s="478"/>
      <c r="MWM49" s="478"/>
      <c r="MWN49" s="478"/>
      <c r="MWO49" s="478"/>
      <c r="MWP49" s="478"/>
      <c r="MWQ49" s="478"/>
      <c r="MWR49" s="478"/>
      <c r="MWS49" s="478"/>
      <c r="MWT49" s="478"/>
      <c r="MWU49" s="478"/>
      <c r="MWV49" s="478"/>
      <c r="MWW49" s="478"/>
      <c r="MWX49" s="478"/>
      <c r="MWY49" s="478"/>
      <c r="MWZ49" s="478"/>
      <c r="MXA49" s="478"/>
      <c r="MXB49" s="478"/>
      <c r="MXC49" s="478"/>
      <c r="MXD49" s="478"/>
      <c r="MXE49" s="478"/>
      <c r="MXF49" s="478"/>
      <c r="MXG49" s="478"/>
      <c r="MXH49" s="478"/>
      <c r="MXI49" s="478"/>
      <c r="MXJ49" s="478"/>
      <c r="MXK49" s="478"/>
      <c r="MXL49" s="478"/>
      <c r="MXM49" s="478"/>
      <c r="MXN49" s="478"/>
      <c r="MXO49" s="478"/>
      <c r="MXP49" s="478"/>
      <c r="MXQ49" s="478"/>
      <c r="MXR49" s="478"/>
      <c r="MXS49" s="478"/>
      <c r="MXT49" s="478"/>
      <c r="MXU49" s="478"/>
      <c r="MXV49" s="478"/>
      <c r="MXW49" s="478"/>
      <c r="MXX49" s="478"/>
      <c r="MXY49" s="478"/>
      <c r="MXZ49" s="478"/>
      <c r="MYA49" s="478"/>
      <c r="MYB49" s="478"/>
      <c r="MYC49" s="478"/>
      <c r="MYD49" s="478"/>
      <c r="MYE49" s="478"/>
      <c r="MYF49" s="478"/>
      <c r="MYG49" s="478"/>
      <c r="MYH49" s="478"/>
      <c r="MYI49" s="478"/>
      <c r="MYJ49" s="478"/>
      <c r="MYK49" s="478"/>
      <c r="MYL49" s="478"/>
      <c r="MYM49" s="478"/>
      <c r="MYN49" s="478"/>
      <c r="MYO49" s="478"/>
      <c r="MYP49" s="478"/>
      <c r="MYQ49" s="478"/>
      <c r="MYR49" s="478"/>
      <c r="MYS49" s="478"/>
      <c r="MYT49" s="478"/>
      <c r="MYU49" s="478"/>
      <c r="MYV49" s="478"/>
      <c r="MYW49" s="478"/>
      <c r="MYX49" s="478"/>
      <c r="MYY49" s="478"/>
      <c r="MYZ49" s="478"/>
      <c r="MZA49" s="478"/>
      <c r="MZB49" s="478"/>
      <c r="MZC49" s="478"/>
      <c r="MZD49" s="478"/>
      <c r="MZE49" s="478"/>
      <c r="MZF49" s="478"/>
      <c r="MZG49" s="478"/>
      <c r="MZH49" s="478"/>
      <c r="MZI49" s="478"/>
      <c r="MZJ49" s="478"/>
      <c r="MZK49" s="478"/>
      <c r="MZL49" s="478"/>
      <c r="MZM49" s="478"/>
      <c r="MZN49" s="478"/>
      <c r="MZO49" s="478"/>
      <c r="MZP49" s="478"/>
      <c r="MZQ49" s="478"/>
      <c r="MZR49" s="478"/>
      <c r="MZS49" s="478"/>
      <c r="MZT49" s="478"/>
      <c r="MZU49" s="478"/>
      <c r="MZV49" s="478"/>
      <c r="MZW49" s="478"/>
      <c r="MZX49" s="478"/>
      <c r="MZY49" s="478"/>
      <c r="MZZ49" s="478"/>
      <c r="NAA49" s="478"/>
      <c r="NAB49" s="478"/>
      <c r="NAC49" s="478"/>
      <c r="NAD49" s="478"/>
      <c r="NAE49" s="478"/>
      <c r="NAF49" s="478"/>
      <c r="NAG49" s="478"/>
      <c r="NAH49" s="478"/>
      <c r="NAI49" s="478"/>
      <c r="NAJ49" s="478"/>
      <c r="NAK49" s="478"/>
      <c r="NAL49" s="478"/>
      <c r="NAM49" s="478"/>
      <c r="NAN49" s="478"/>
      <c r="NAO49" s="478"/>
      <c r="NAP49" s="478"/>
      <c r="NAQ49" s="478"/>
      <c r="NAR49" s="478"/>
      <c r="NAS49" s="478"/>
      <c r="NAT49" s="478"/>
      <c r="NAU49" s="478"/>
      <c r="NAV49" s="478"/>
      <c r="NAW49" s="478"/>
      <c r="NAX49" s="478"/>
      <c r="NAY49" s="478"/>
      <c r="NAZ49" s="478"/>
      <c r="NBA49" s="478"/>
      <c r="NBB49" s="478"/>
      <c r="NBC49" s="478"/>
      <c r="NBD49" s="478"/>
      <c r="NBE49" s="478"/>
      <c r="NBF49" s="478"/>
      <c r="NBG49" s="478"/>
      <c r="NBH49" s="478"/>
      <c r="NBI49" s="478"/>
      <c r="NBJ49" s="478"/>
      <c r="NBK49" s="478"/>
      <c r="NBL49" s="478"/>
      <c r="NBM49" s="478"/>
      <c r="NBN49" s="478"/>
      <c r="NBO49" s="478"/>
      <c r="NBP49" s="478"/>
      <c r="NBQ49" s="478"/>
      <c r="NBR49" s="478"/>
      <c r="NBS49" s="478"/>
      <c r="NBT49" s="478"/>
      <c r="NBU49" s="478"/>
      <c r="NBV49" s="478"/>
      <c r="NBW49" s="478"/>
      <c r="NBX49" s="478"/>
      <c r="NBY49" s="478"/>
      <c r="NBZ49" s="478"/>
      <c r="NCA49" s="478"/>
      <c r="NCB49" s="478"/>
      <c r="NCC49" s="478"/>
      <c r="NCD49" s="478"/>
      <c r="NCE49" s="478"/>
      <c r="NCF49" s="478"/>
      <c r="NCG49" s="478"/>
      <c r="NCH49" s="478"/>
      <c r="NCI49" s="478"/>
      <c r="NCJ49" s="478"/>
      <c r="NCK49" s="478"/>
      <c r="NCL49" s="478"/>
      <c r="NCM49" s="478"/>
      <c r="NCN49" s="478"/>
      <c r="NCO49" s="478"/>
      <c r="NCP49" s="478"/>
      <c r="NCQ49" s="478"/>
      <c r="NCR49" s="478"/>
      <c r="NCS49" s="478"/>
      <c r="NCT49" s="478"/>
      <c r="NCU49" s="478"/>
      <c r="NCV49" s="478"/>
      <c r="NCW49" s="478"/>
      <c r="NCX49" s="478"/>
      <c r="NCY49" s="478"/>
      <c r="NCZ49" s="478"/>
      <c r="NDA49" s="478"/>
      <c r="NDB49" s="478"/>
      <c r="NDC49" s="478"/>
      <c r="NDD49" s="478"/>
      <c r="NDE49" s="478"/>
      <c r="NDF49" s="478"/>
      <c r="NDG49" s="478"/>
      <c r="NDH49" s="478"/>
      <c r="NDI49" s="478"/>
      <c r="NDJ49" s="478"/>
      <c r="NDK49" s="478"/>
      <c r="NDL49" s="478"/>
      <c r="NDM49" s="478"/>
      <c r="NDN49" s="478"/>
      <c r="NDO49" s="478"/>
      <c r="NDP49" s="478"/>
      <c r="NDQ49" s="478"/>
      <c r="NDR49" s="478"/>
      <c r="NDS49" s="478"/>
      <c r="NDT49" s="478"/>
      <c r="NDU49" s="478"/>
      <c r="NDV49" s="478"/>
      <c r="NDW49" s="478"/>
      <c r="NDX49" s="478"/>
      <c r="NDY49" s="478"/>
      <c r="NDZ49" s="478"/>
      <c r="NEA49" s="478"/>
      <c r="NEB49" s="478"/>
      <c r="NEC49" s="478"/>
      <c r="NED49" s="478"/>
      <c r="NEE49" s="478"/>
      <c r="NEF49" s="478"/>
      <c r="NEG49" s="478"/>
      <c r="NEH49" s="478"/>
      <c r="NEI49" s="478"/>
      <c r="NEJ49" s="478"/>
      <c r="NEK49" s="478"/>
      <c r="NEL49" s="478"/>
      <c r="NEM49" s="478"/>
      <c r="NEN49" s="478"/>
      <c r="NEO49" s="478"/>
      <c r="NEP49" s="478"/>
      <c r="NEQ49" s="478"/>
      <c r="NER49" s="478"/>
      <c r="NES49" s="478"/>
      <c r="NET49" s="478"/>
      <c r="NEU49" s="478"/>
      <c r="NEV49" s="478"/>
      <c r="NEW49" s="478"/>
      <c r="NEX49" s="478"/>
      <c r="NEY49" s="478"/>
      <c r="NEZ49" s="478"/>
      <c r="NFA49" s="478"/>
      <c r="NFB49" s="478"/>
      <c r="NFC49" s="478"/>
      <c r="NFD49" s="478"/>
      <c r="NFE49" s="478"/>
      <c r="NFF49" s="478"/>
      <c r="NFG49" s="478"/>
      <c r="NFH49" s="478"/>
      <c r="NFI49" s="478"/>
      <c r="NFJ49" s="478"/>
      <c r="NFK49" s="478"/>
      <c r="NFL49" s="478"/>
      <c r="NFM49" s="478"/>
      <c r="NFN49" s="478"/>
      <c r="NFO49" s="478"/>
      <c r="NFP49" s="478"/>
      <c r="NFQ49" s="478"/>
      <c r="NFR49" s="478"/>
      <c r="NFS49" s="478"/>
      <c r="NFT49" s="478"/>
      <c r="NFU49" s="478"/>
      <c r="NFV49" s="478"/>
      <c r="NFW49" s="478"/>
      <c r="NFX49" s="478"/>
      <c r="NFY49" s="478"/>
      <c r="NFZ49" s="478"/>
      <c r="NGA49" s="478"/>
      <c r="NGB49" s="478"/>
      <c r="NGC49" s="478"/>
      <c r="NGD49" s="478"/>
      <c r="NGE49" s="478"/>
      <c r="NGF49" s="478"/>
      <c r="NGG49" s="478"/>
      <c r="NGH49" s="478"/>
      <c r="NGI49" s="478"/>
      <c r="NGJ49" s="478"/>
      <c r="NGK49" s="478"/>
      <c r="NGL49" s="478"/>
      <c r="NGM49" s="478"/>
      <c r="NGN49" s="478"/>
      <c r="NGO49" s="478"/>
      <c r="NGP49" s="478"/>
      <c r="NGQ49" s="478"/>
      <c r="NGR49" s="478"/>
      <c r="NGS49" s="478"/>
      <c r="NGT49" s="478"/>
      <c r="NGU49" s="478"/>
      <c r="NGV49" s="478"/>
      <c r="NGW49" s="478"/>
      <c r="NGX49" s="478"/>
      <c r="NGY49" s="478"/>
      <c r="NGZ49" s="478"/>
      <c r="NHA49" s="478"/>
      <c r="NHB49" s="478"/>
      <c r="NHC49" s="478"/>
      <c r="NHD49" s="478"/>
      <c r="NHE49" s="478"/>
      <c r="NHF49" s="478"/>
      <c r="NHG49" s="478"/>
      <c r="NHH49" s="478"/>
      <c r="NHI49" s="478"/>
      <c r="NHJ49" s="478"/>
      <c r="NHK49" s="478"/>
      <c r="NHL49" s="478"/>
      <c r="NHM49" s="478"/>
      <c r="NHN49" s="478"/>
      <c r="NHO49" s="478"/>
      <c r="NHP49" s="478"/>
      <c r="NHQ49" s="478"/>
      <c r="NHR49" s="478"/>
      <c r="NHS49" s="478"/>
      <c r="NHT49" s="478"/>
      <c r="NHU49" s="478"/>
      <c r="NHV49" s="478"/>
      <c r="NHW49" s="478"/>
      <c r="NHX49" s="478"/>
      <c r="NHY49" s="478"/>
      <c r="NHZ49" s="478"/>
      <c r="NIA49" s="478"/>
      <c r="NIB49" s="478"/>
      <c r="NIC49" s="478"/>
      <c r="NID49" s="478"/>
      <c r="NIE49" s="478"/>
      <c r="NIF49" s="478"/>
      <c r="NIG49" s="478"/>
      <c r="NIH49" s="478"/>
      <c r="NII49" s="478"/>
      <c r="NIJ49" s="478"/>
      <c r="NIK49" s="478"/>
      <c r="NIL49" s="478"/>
      <c r="NIM49" s="478"/>
      <c r="NIN49" s="478"/>
      <c r="NIO49" s="478"/>
      <c r="NIP49" s="478"/>
      <c r="NIQ49" s="478"/>
      <c r="NIR49" s="478"/>
      <c r="NIS49" s="478"/>
      <c r="NIT49" s="478"/>
      <c r="NIU49" s="478"/>
      <c r="NIV49" s="478"/>
      <c r="NIW49" s="478"/>
      <c r="NIX49" s="478"/>
      <c r="NIY49" s="478"/>
      <c r="NIZ49" s="478"/>
      <c r="NJA49" s="478"/>
      <c r="NJB49" s="478"/>
      <c r="NJC49" s="478"/>
      <c r="NJD49" s="478"/>
      <c r="NJE49" s="478"/>
      <c r="NJF49" s="478"/>
      <c r="NJG49" s="478"/>
      <c r="NJH49" s="478"/>
      <c r="NJI49" s="478"/>
      <c r="NJJ49" s="478"/>
      <c r="NJK49" s="478"/>
      <c r="NJL49" s="478"/>
      <c r="NJM49" s="478"/>
      <c r="NJN49" s="478"/>
      <c r="NJO49" s="478"/>
      <c r="NJP49" s="478"/>
      <c r="NJQ49" s="478"/>
      <c r="NJR49" s="478"/>
      <c r="NJS49" s="478"/>
      <c r="NJT49" s="478"/>
      <c r="NJU49" s="478"/>
      <c r="NJV49" s="478"/>
      <c r="NJW49" s="478"/>
      <c r="NJX49" s="478"/>
      <c r="NJY49" s="478"/>
      <c r="NJZ49" s="478"/>
      <c r="NKA49" s="478"/>
      <c r="NKB49" s="478"/>
      <c r="NKC49" s="478"/>
      <c r="NKD49" s="478"/>
      <c r="NKE49" s="478"/>
      <c r="NKF49" s="478"/>
      <c r="NKG49" s="478"/>
      <c r="NKH49" s="478"/>
      <c r="NKI49" s="478"/>
      <c r="NKJ49" s="478"/>
      <c r="NKK49" s="478"/>
      <c r="NKL49" s="478"/>
      <c r="NKM49" s="478"/>
      <c r="NKN49" s="478"/>
      <c r="NKO49" s="478"/>
      <c r="NKP49" s="478"/>
      <c r="NKQ49" s="478"/>
      <c r="NKR49" s="478"/>
      <c r="NKS49" s="478"/>
      <c r="NKT49" s="478"/>
      <c r="NKU49" s="478"/>
      <c r="NKV49" s="478"/>
      <c r="NKW49" s="478"/>
      <c r="NKX49" s="478"/>
      <c r="NKY49" s="478"/>
      <c r="NKZ49" s="478"/>
      <c r="NLA49" s="478"/>
      <c r="NLB49" s="478"/>
      <c r="NLC49" s="478"/>
      <c r="NLD49" s="478"/>
      <c r="NLE49" s="478"/>
      <c r="NLF49" s="478"/>
      <c r="NLG49" s="478"/>
      <c r="NLH49" s="478"/>
      <c r="NLI49" s="478"/>
      <c r="NLJ49" s="478"/>
      <c r="NLK49" s="478"/>
      <c r="NLL49" s="478"/>
      <c r="NLM49" s="478"/>
      <c r="NLN49" s="478"/>
      <c r="NLO49" s="478"/>
      <c r="NLP49" s="478"/>
      <c r="NLQ49" s="478"/>
      <c r="NLR49" s="478"/>
      <c r="NLS49" s="478"/>
      <c r="NLT49" s="478"/>
      <c r="NLU49" s="478"/>
      <c r="NLV49" s="478"/>
      <c r="NLW49" s="478"/>
      <c r="NLX49" s="478"/>
      <c r="NLY49" s="478"/>
      <c r="NLZ49" s="478"/>
      <c r="NMA49" s="478"/>
      <c r="NMB49" s="478"/>
      <c r="NMC49" s="478"/>
      <c r="NMD49" s="478"/>
      <c r="NME49" s="478"/>
      <c r="NMF49" s="478"/>
      <c r="NMG49" s="478"/>
      <c r="NMH49" s="478"/>
      <c r="NMI49" s="478"/>
      <c r="NMJ49" s="478"/>
      <c r="NMK49" s="478"/>
      <c r="NML49" s="478"/>
      <c r="NMM49" s="478"/>
      <c r="NMN49" s="478"/>
      <c r="NMO49" s="478"/>
      <c r="NMP49" s="478"/>
      <c r="NMQ49" s="478"/>
      <c r="NMR49" s="478"/>
      <c r="NMS49" s="478"/>
      <c r="NMT49" s="478"/>
      <c r="NMU49" s="478"/>
      <c r="NMV49" s="478"/>
      <c r="NMW49" s="478"/>
      <c r="NMX49" s="478"/>
      <c r="NMY49" s="478"/>
      <c r="NMZ49" s="478"/>
      <c r="NNA49" s="478"/>
      <c r="NNB49" s="478"/>
      <c r="NNC49" s="478"/>
      <c r="NND49" s="478"/>
      <c r="NNE49" s="478"/>
      <c r="NNF49" s="478"/>
      <c r="NNG49" s="478"/>
      <c r="NNH49" s="478"/>
      <c r="NNI49" s="478"/>
      <c r="NNJ49" s="478"/>
      <c r="NNK49" s="478"/>
      <c r="NNL49" s="478"/>
      <c r="NNM49" s="478"/>
      <c r="NNN49" s="478"/>
      <c r="NNO49" s="478"/>
      <c r="NNP49" s="478"/>
      <c r="NNQ49" s="478"/>
      <c r="NNR49" s="478"/>
      <c r="NNS49" s="478"/>
      <c r="NNT49" s="478"/>
      <c r="NNU49" s="478"/>
      <c r="NNV49" s="478"/>
      <c r="NNW49" s="478"/>
      <c r="NNX49" s="478"/>
      <c r="NNY49" s="478"/>
      <c r="NNZ49" s="478"/>
      <c r="NOA49" s="478"/>
      <c r="NOB49" s="478"/>
      <c r="NOC49" s="478"/>
      <c r="NOD49" s="478"/>
      <c r="NOE49" s="478"/>
      <c r="NOF49" s="478"/>
      <c r="NOG49" s="478"/>
      <c r="NOH49" s="478"/>
      <c r="NOI49" s="478"/>
      <c r="NOJ49" s="478"/>
      <c r="NOK49" s="478"/>
      <c r="NOL49" s="478"/>
      <c r="NOM49" s="478"/>
      <c r="NON49" s="478"/>
      <c r="NOO49" s="478"/>
      <c r="NOP49" s="478"/>
      <c r="NOQ49" s="478"/>
      <c r="NOR49" s="478"/>
      <c r="NOS49" s="478"/>
      <c r="NOT49" s="478"/>
      <c r="NOU49" s="478"/>
      <c r="NOV49" s="478"/>
      <c r="NOW49" s="478"/>
      <c r="NOX49" s="478"/>
      <c r="NOY49" s="478"/>
      <c r="NOZ49" s="478"/>
      <c r="NPA49" s="478"/>
      <c r="NPB49" s="478"/>
      <c r="NPC49" s="478"/>
      <c r="NPD49" s="478"/>
      <c r="NPE49" s="478"/>
      <c r="NPF49" s="478"/>
      <c r="NPG49" s="478"/>
      <c r="NPH49" s="478"/>
      <c r="NPI49" s="478"/>
      <c r="NPJ49" s="478"/>
      <c r="NPK49" s="478"/>
      <c r="NPL49" s="478"/>
      <c r="NPM49" s="478"/>
      <c r="NPN49" s="478"/>
      <c r="NPO49" s="478"/>
      <c r="NPP49" s="478"/>
      <c r="NPQ49" s="478"/>
      <c r="NPR49" s="478"/>
      <c r="NPS49" s="478"/>
      <c r="NPT49" s="478"/>
      <c r="NPU49" s="478"/>
      <c r="NPV49" s="478"/>
      <c r="NPW49" s="478"/>
      <c r="NPX49" s="478"/>
      <c r="NPY49" s="478"/>
      <c r="NPZ49" s="478"/>
      <c r="NQA49" s="478"/>
      <c r="NQB49" s="478"/>
      <c r="NQC49" s="478"/>
      <c r="NQD49" s="478"/>
      <c r="NQE49" s="478"/>
      <c r="NQF49" s="478"/>
      <c r="NQG49" s="478"/>
      <c r="NQH49" s="478"/>
      <c r="NQI49" s="478"/>
      <c r="NQJ49" s="478"/>
      <c r="NQK49" s="478"/>
      <c r="NQL49" s="478"/>
      <c r="NQM49" s="478"/>
      <c r="NQN49" s="478"/>
      <c r="NQO49" s="478"/>
      <c r="NQP49" s="478"/>
      <c r="NQQ49" s="478"/>
      <c r="NQR49" s="478"/>
      <c r="NQS49" s="478"/>
      <c r="NQT49" s="478"/>
      <c r="NQU49" s="478"/>
      <c r="NQV49" s="478"/>
      <c r="NQW49" s="478"/>
      <c r="NQX49" s="478"/>
      <c r="NQY49" s="478"/>
      <c r="NQZ49" s="478"/>
      <c r="NRA49" s="478"/>
      <c r="NRB49" s="478"/>
      <c r="NRC49" s="478"/>
      <c r="NRD49" s="478"/>
      <c r="NRE49" s="478"/>
      <c r="NRF49" s="478"/>
      <c r="NRG49" s="478"/>
      <c r="NRH49" s="478"/>
      <c r="NRI49" s="478"/>
      <c r="NRJ49" s="478"/>
      <c r="NRK49" s="478"/>
      <c r="NRL49" s="478"/>
      <c r="NRM49" s="478"/>
      <c r="NRN49" s="478"/>
      <c r="NRO49" s="478"/>
      <c r="NRP49" s="478"/>
      <c r="NRQ49" s="478"/>
      <c r="NRR49" s="478"/>
      <c r="NRS49" s="478"/>
      <c r="NRT49" s="478"/>
      <c r="NRU49" s="478"/>
      <c r="NRV49" s="478"/>
      <c r="NRW49" s="478"/>
      <c r="NRX49" s="478"/>
      <c r="NRY49" s="478"/>
      <c r="NRZ49" s="478"/>
      <c r="NSA49" s="478"/>
      <c r="NSB49" s="478"/>
      <c r="NSC49" s="478"/>
      <c r="NSD49" s="478"/>
      <c r="NSE49" s="478"/>
      <c r="NSF49" s="478"/>
      <c r="NSG49" s="478"/>
      <c r="NSH49" s="478"/>
      <c r="NSI49" s="478"/>
      <c r="NSJ49" s="478"/>
      <c r="NSK49" s="478"/>
      <c r="NSL49" s="478"/>
      <c r="NSM49" s="478"/>
      <c r="NSN49" s="478"/>
      <c r="NSO49" s="478"/>
      <c r="NSP49" s="478"/>
      <c r="NSQ49" s="478"/>
      <c r="NSR49" s="478"/>
      <c r="NSS49" s="478"/>
      <c r="NST49" s="478"/>
      <c r="NSU49" s="478"/>
      <c r="NSV49" s="478"/>
      <c r="NSW49" s="478"/>
      <c r="NSX49" s="478"/>
      <c r="NSY49" s="478"/>
      <c r="NSZ49" s="478"/>
      <c r="NTA49" s="478"/>
      <c r="NTB49" s="478"/>
      <c r="NTC49" s="478"/>
      <c r="NTD49" s="478"/>
      <c r="NTE49" s="478"/>
      <c r="NTF49" s="478"/>
      <c r="NTG49" s="478"/>
      <c r="NTH49" s="478"/>
      <c r="NTI49" s="478"/>
      <c r="NTJ49" s="478"/>
      <c r="NTK49" s="478"/>
      <c r="NTL49" s="478"/>
      <c r="NTM49" s="478"/>
      <c r="NTN49" s="478"/>
      <c r="NTO49" s="478"/>
      <c r="NTP49" s="478"/>
      <c r="NTQ49" s="478"/>
      <c r="NTR49" s="478"/>
      <c r="NTS49" s="478"/>
      <c r="NTT49" s="478"/>
      <c r="NTU49" s="478"/>
      <c r="NTV49" s="478"/>
      <c r="NTW49" s="478"/>
      <c r="NTX49" s="478"/>
      <c r="NTY49" s="478"/>
      <c r="NTZ49" s="478"/>
      <c r="NUA49" s="478"/>
      <c r="NUB49" s="478"/>
      <c r="NUC49" s="478"/>
      <c r="NUD49" s="478"/>
      <c r="NUE49" s="478"/>
      <c r="NUF49" s="478"/>
      <c r="NUG49" s="478"/>
      <c r="NUH49" s="478"/>
      <c r="NUI49" s="478"/>
      <c r="NUJ49" s="478"/>
      <c r="NUK49" s="478"/>
      <c r="NUL49" s="478"/>
      <c r="NUM49" s="478"/>
      <c r="NUN49" s="478"/>
      <c r="NUO49" s="478"/>
      <c r="NUP49" s="478"/>
      <c r="NUQ49" s="478"/>
      <c r="NUR49" s="478"/>
      <c r="NUS49" s="478"/>
      <c r="NUT49" s="478"/>
      <c r="NUU49" s="478"/>
      <c r="NUV49" s="478"/>
      <c r="NUW49" s="478"/>
      <c r="NUX49" s="478"/>
      <c r="NUY49" s="478"/>
      <c r="NUZ49" s="478"/>
      <c r="NVA49" s="478"/>
      <c r="NVB49" s="478"/>
      <c r="NVC49" s="478"/>
      <c r="NVD49" s="478"/>
      <c r="NVE49" s="478"/>
      <c r="NVF49" s="478"/>
      <c r="NVG49" s="478"/>
      <c r="NVH49" s="478"/>
      <c r="NVI49" s="478"/>
      <c r="NVJ49" s="478"/>
      <c r="NVK49" s="478"/>
      <c r="NVL49" s="478"/>
      <c r="NVM49" s="478"/>
      <c r="NVN49" s="478"/>
      <c r="NVO49" s="478"/>
      <c r="NVP49" s="478"/>
      <c r="NVQ49" s="478"/>
      <c r="NVR49" s="478"/>
      <c r="NVS49" s="478"/>
      <c r="NVT49" s="478"/>
      <c r="NVU49" s="478"/>
      <c r="NVV49" s="478"/>
      <c r="NVW49" s="478"/>
      <c r="NVX49" s="478"/>
      <c r="NVY49" s="478"/>
      <c r="NVZ49" s="478"/>
      <c r="NWA49" s="478"/>
      <c r="NWB49" s="478"/>
      <c r="NWC49" s="478"/>
      <c r="NWD49" s="478"/>
      <c r="NWE49" s="478"/>
      <c r="NWF49" s="478"/>
      <c r="NWG49" s="478"/>
      <c r="NWH49" s="478"/>
      <c r="NWI49" s="478"/>
      <c r="NWJ49" s="478"/>
      <c r="NWK49" s="478"/>
      <c r="NWL49" s="478"/>
      <c r="NWM49" s="478"/>
      <c r="NWN49" s="478"/>
      <c r="NWO49" s="478"/>
      <c r="NWP49" s="478"/>
      <c r="NWQ49" s="478"/>
      <c r="NWR49" s="478"/>
      <c r="NWS49" s="478"/>
      <c r="NWT49" s="478"/>
      <c r="NWU49" s="478"/>
      <c r="NWV49" s="478"/>
      <c r="NWW49" s="478"/>
      <c r="NWX49" s="478"/>
      <c r="NWY49" s="478"/>
      <c r="NWZ49" s="478"/>
      <c r="NXA49" s="478"/>
      <c r="NXB49" s="478"/>
      <c r="NXC49" s="478"/>
      <c r="NXD49" s="478"/>
      <c r="NXE49" s="478"/>
      <c r="NXF49" s="478"/>
      <c r="NXG49" s="478"/>
      <c r="NXH49" s="478"/>
      <c r="NXI49" s="478"/>
      <c r="NXJ49" s="478"/>
      <c r="NXK49" s="478"/>
      <c r="NXL49" s="478"/>
      <c r="NXM49" s="478"/>
      <c r="NXN49" s="478"/>
      <c r="NXO49" s="478"/>
      <c r="NXP49" s="478"/>
      <c r="NXQ49" s="478"/>
      <c r="NXR49" s="478"/>
      <c r="NXS49" s="478"/>
      <c r="NXT49" s="478"/>
      <c r="NXU49" s="478"/>
      <c r="NXV49" s="478"/>
      <c r="NXW49" s="478"/>
      <c r="NXX49" s="478"/>
      <c r="NXY49" s="478"/>
      <c r="NXZ49" s="478"/>
      <c r="NYA49" s="478"/>
      <c r="NYB49" s="478"/>
      <c r="NYC49" s="478"/>
      <c r="NYD49" s="478"/>
      <c r="NYE49" s="478"/>
      <c r="NYF49" s="478"/>
      <c r="NYG49" s="478"/>
      <c r="NYH49" s="478"/>
      <c r="NYI49" s="478"/>
      <c r="NYJ49" s="478"/>
      <c r="NYK49" s="478"/>
      <c r="NYL49" s="478"/>
      <c r="NYM49" s="478"/>
      <c r="NYN49" s="478"/>
      <c r="NYO49" s="478"/>
      <c r="NYP49" s="478"/>
      <c r="NYQ49" s="478"/>
      <c r="NYR49" s="478"/>
      <c r="NYS49" s="478"/>
      <c r="NYT49" s="478"/>
      <c r="NYU49" s="478"/>
      <c r="NYV49" s="478"/>
      <c r="NYW49" s="478"/>
      <c r="NYX49" s="478"/>
      <c r="NYY49" s="478"/>
      <c r="NYZ49" s="478"/>
      <c r="NZA49" s="478"/>
      <c r="NZB49" s="478"/>
      <c r="NZC49" s="478"/>
      <c r="NZD49" s="478"/>
      <c r="NZE49" s="478"/>
      <c r="NZF49" s="478"/>
      <c r="NZG49" s="478"/>
      <c r="NZH49" s="478"/>
      <c r="NZI49" s="478"/>
      <c r="NZJ49" s="478"/>
      <c r="NZK49" s="478"/>
      <c r="NZL49" s="478"/>
      <c r="NZM49" s="478"/>
      <c r="NZN49" s="478"/>
      <c r="NZO49" s="478"/>
      <c r="NZP49" s="478"/>
      <c r="NZQ49" s="478"/>
      <c r="NZR49" s="478"/>
      <c r="NZS49" s="478"/>
      <c r="NZT49" s="478"/>
      <c r="NZU49" s="478"/>
      <c r="NZV49" s="478"/>
      <c r="NZW49" s="478"/>
      <c r="NZX49" s="478"/>
      <c r="NZY49" s="478"/>
      <c r="NZZ49" s="478"/>
      <c r="OAA49" s="478"/>
      <c r="OAB49" s="478"/>
      <c r="OAC49" s="478"/>
      <c r="OAD49" s="478"/>
      <c r="OAE49" s="478"/>
      <c r="OAF49" s="478"/>
      <c r="OAG49" s="478"/>
      <c r="OAH49" s="478"/>
      <c r="OAI49" s="478"/>
      <c r="OAJ49" s="478"/>
      <c r="OAK49" s="478"/>
      <c r="OAL49" s="478"/>
      <c r="OAM49" s="478"/>
      <c r="OAN49" s="478"/>
      <c r="OAO49" s="478"/>
      <c r="OAP49" s="478"/>
      <c r="OAQ49" s="478"/>
      <c r="OAR49" s="478"/>
      <c r="OAS49" s="478"/>
      <c r="OAT49" s="478"/>
      <c r="OAU49" s="478"/>
      <c r="OAV49" s="478"/>
      <c r="OAW49" s="478"/>
      <c r="OAX49" s="478"/>
      <c r="OAY49" s="478"/>
      <c r="OAZ49" s="478"/>
      <c r="OBA49" s="478"/>
      <c r="OBB49" s="478"/>
      <c r="OBC49" s="478"/>
      <c r="OBD49" s="478"/>
      <c r="OBE49" s="478"/>
      <c r="OBF49" s="478"/>
      <c r="OBG49" s="478"/>
      <c r="OBH49" s="478"/>
      <c r="OBI49" s="478"/>
      <c r="OBJ49" s="478"/>
      <c r="OBK49" s="478"/>
      <c r="OBL49" s="478"/>
      <c r="OBM49" s="478"/>
      <c r="OBN49" s="478"/>
      <c r="OBO49" s="478"/>
      <c r="OBP49" s="478"/>
      <c r="OBQ49" s="478"/>
      <c r="OBR49" s="478"/>
      <c r="OBS49" s="478"/>
      <c r="OBT49" s="478"/>
      <c r="OBU49" s="478"/>
      <c r="OBV49" s="478"/>
      <c r="OBW49" s="478"/>
      <c r="OBX49" s="478"/>
      <c r="OBY49" s="478"/>
      <c r="OBZ49" s="478"/>
      <c r="OCA49" s="478"/>
      <c r="OCB49" s="478"/>
      <c r="OCC49" s="478"/>
      <c r="OCD49" s="478"/>
      <c r="OCE49" s="478"/>
      <c r="OCF49" s="478"/>
      <c r="OCG49" s="478"/>
      <c r="OCH49" s="478"/>
      <c r="OCI49" s="478"/>
      <c r="OCJ49" s="478"/>
      <c r="OCK49" s="478"/>
      <c r="OCL49" s="478"/>
      <c r="OCM49" s="478"/>
      <c r="OCN49" s="478"/>
      <c r="OCO49" s="478"/>
      <c r="OCP49" s="478"/>
      <c r="OCQ49" s="478"/>
      <c r="OCR49" s="478"/>
      <c r="OCS49" s="478"/>
      <c r="OCT49" s="478"/>
      <c r="OCU49" s="478"/>
      <c r="OCV49" s="478"/>
      <c r="OCW49" s="478"/>
      <c r="OCX49" s="478"/>
      <c r="OCY49" s="478"/>
      <c r="OCZ49" s="478"/>
      <c r="ODA49" s="478"/>
      <c r="ODB49" s="478"/>
      <c r="ODC49" s="478"/>
      <c r="ODD49" s="478"/>
      <c r="ODE49" s="478"/>
      <c r="ODF49" s="478"/>
      <c r="ODG49" s="478"/>
      <c r="ODH49" s="478"/>
      <c r="ODI49" s="478"/>
      <c r="ODJ49" s="478"/>
      <c r="ODK49" s="478"/>
      <c r="ODL49" s="478"/>
      <c r="ODM49" s="478"/>
      <c r="ODN49" s="478"/>
      <c r="ODO49" s="478"/>
      <c r="ODP49" s="478"/>
      <c r="ODQ49" s="478"/>
      <c r="ODR49" s="478"/>
      <c r="ODS49" s="478"/>
      <c r="ODT49" s="478"/>
      <c r="ODU49" s="478"/>
      <c r="ODV49" s="478"/>
      <c r="ODW49" s="478"/>
      <c r="ODX49" s="478"/>
      <c r="ODY49" s="478"/>
      <c r="ODZ49" s="478"/>
      <c r="OEA49" s="478"/>
      <c r="OEB49" s="478"/>
      <c r="OEC49" s="478"/>
      <c r="OED49" s="478"/>
      <c r="OEE49" s="478"/>
      <c r="OEF49" s="478"/>
      <c r="OEG49" s="478"/>
      <c r="OEH49" s="478"/>
      <c r="OEI49" s="478"/>
      <c r="OEJ49" s="478"/>
      <c r="OEK49" s="478"/>
      <c r="OEL49" s="478"/>
      <c r="OEM49" s="478"/>
      <c r="OEN49" s="478"/>
      <c r="OEO49" s="478"/>
      <c r="OEP49" s="478"/>
      <c r="OEQ49" s="478"/>
      <c r="OER49" s="478"/>
      <c r="OES49" s="478"/>
      <c r="OET49" s="478"/>
      <c r="OEU49" s="478"/>
      <c r="OEV49" s="478"/>
      <c r="OEW49" s="478"/>
      <c r="OEX49" s="478"/>
      <c r="OEY49" s="478"/>
      <c r="OEZ49" s="478"/>
      <c r="OFA49" s="478"/>
      <c r="OFB49" s="478"/>
      <c r="OFC49" s="478"/>
      <c r="OFD49" s="478"/>
      <c r="OFE49" s="478"/>
      <c r="OFF49" s="478"/>
      <c r="OFG49" s="478"/>
      <c r="OFH49" s="478"/>
      <c r="OFI49" s="478"/>
      <c r="OFJ49" s="478"/>
      <c r="OFK49" s="478"/>
      <c r="OFL49" s="478"/>
      <c r="OFM49" s="478"/>
      <c r="OFN49" s="478"/>
      <c r="OFO49" s="478"/>
      <c r="OFP49" s="478"/>
      <c r="OFQ49" s="478"/>
      <c r="OFR49" s="478"/>
      <c r="OFS49" s="478"/>
      <c r="OFT49" s="478"/>
      <c r="OFU49" s="478"/>
      <c r="OFV49" s="478"/>
      <c r="OFW49" s="478"/>
      <c r="OFX49" s="478"/>
      <c r="OFY49" s="478"/>
      <c r="OFZ49" s="478"/>
      <c r="OGA49" s="478"/>
      <c r="OGB49" s="478"/>
      <c r="OGC49" s="478"/>
      <c r="OGD49" s="478"/>
      <c r="OGE49" s="478"/>
      <c r="OGF49" s="478"/>
      <c r="OGG49" s="478"/>
      <c r="OGH49" s="478"/>
      <c r="OGI49" s="478"/>
      <c r="OGJ49" s="478"/>
      <c r="OGK49" s="478"/>
      <c r="OGL49" s="478"/>
      <c r="OGM49" s="478"/>
      <c r="OGN49" s="478"/>
      <c r="OGO49" s="478"/>
      <c r="OGP49" s="478"/>
      <c r="OGQ49" s="478"/>
      <c r="OGR49" s="478"/>
      <c r="OGS49" s="478"/>
      <c r="OGT49" s="478"/>
      <c r="OGU49" s="478"/>
      <c r="OGV49" s="478"/>
      <c r="OGW49" s="478"/>
      <c r="OGX49" s="478"/>
      <c r="OGY49" s="478"/>
      <c r="OGZ49" s="478"/>
      <c r="OHA49" s="478"/>
      <c r="OHB49" s="478"/>
      <c r="OHC49" s="478"/>
      <c r="OHD49" s="478"/>
      <c r="OHE49" s="478"/>
      <c r="OHF49" s="478"/>
      <c r="OHG49" s="478"/>
      <c r="OHH49" s="478"/>
      <c r="OHI49" s="478"/>
      <c r="OHJ49" s="478"/>
      <c r="OHK49" s="478"/>
      <c r="OHL49" s="478"/>
      <c r="OHM49" s="478"/>
      <c r="OHN49" s="478"/>
      <c r="OHO49" s="478"/>
      <c r="OHP49" s="478"/>
      <c r="OHQ49" s="478"/>
      <c r="OHR49" s="478"/>
      <c r="OHS49" s="478"/>
      <c r="OHT49" s="478"/>
      <c r="OHU49" s="478"/>
      <c r="OHV49" s="478"/>
      <c r="OHW49" s="478"/>
      <c r="OHX49" s="478"/>
      <c r="OHY49" s="478"/>
      <c r="OHZ49" s="478"/>
      <c r="OIA49" s="478"/>
      <c r="OIB49" s="478"/>
      <c r="OIC49" s="478"/>
      <c r="OID49" s="478"/>
      <c r="OIE49" s="478"/>
      <c r="OIF49" s="478"/>
      <c r="OIG49" s="478"/>
      <c r="OIH49" s="478"/>
      <c r="OII49" s="478"/>
      <c r="OIJ49" s="478"/>
      <c r="OIK49" s="478"/>
      <c r="OIL49" s="478"/>
      <c r="OIM49" s="478"/>
      <c r="OIN49" s="478"/>
      <c r="OIO49" s="478"/>
      <c r="OIP49" s="478"/>
      <c r="OIQ49" s="478"/>
      <c r="OIR49" s="478"/>
      <c r="OIS49" s="478"/>
      <c r="OIT49" s="478"/>
      <c r="OIU49" s="478"/>
      <c r="OIV49" s="478"/>
      <c r="OIW49" s="478"/>
      <c r="OIX49" s="478"/>
      <c r="OIY49" s="478"/>
      <c r="OIZ49" s="478"/>
      <c r="OJA49" s="478"/>
      <c r="OJB49" s="478"/>
      <c r="OJC49" s="478"/>
      <c r="OJD49" s="478"/>
      <c r="OJE49" s="478"/>
      <c r="OJF49" s="478"/>
      <c r="OJG49" s="478"/>
      <c r="OJH49" s="478"/>
      <c r="OJI49" s="478"/>
      <c r="OJJ49" s="478"/>
      <c r="OJK49" s="478"/>
      <c r="OJL49" s="478"/>
      <c r="OJM49" s="478"/>
      <c r="OJN49" s="478"/>
      <c r="OJO49" s="478"/>
      <c r="OJP49" s="478"/>
      <c r="OJQ49" s="478"/>
      <c r="OJR49" s="478"/>
      <c r="OJS49" s="478"/>
      <c r="OJT49" s="478"/>
      <c r="OJU49" s="478"/>
      <c r="OJV49" s="478"/>
      <c r="OJW49" s="478"/>
      <c r="OJX49" s="478"/>
      <c r="OJY49" s="478"/>
      <c r="OJZ49" s="478"/>
      <c r="OKA49" s="478"/>
      <c r="OKB49" s="478"/>
      <c r="OKC49" s="478"/>
      <c r="OKD49" s="478"/>
      <c r="OKE49" s="478"/>
      <c r="OKF49" s="478"/>
      <c r="OKG49" s="478"/>
      <c r="OKH49" s="478"/>
      <c r="OKI49" s="478"/>
      <c r="OKJ49" s="478"/>
      <c r="OKK49" s="478"/>
      <c r="OKL49" s="478"/>
      <c r="OKM49" s="478"/>
      <c r="OKN49" s="478"/>
      <c r="OKO49" s="478"/>
      <c r="OKP49" s="478"/>
      <c r="OKQ49" s="478"/>
      <c r="OKR49" s="478"/>
      <c r="OKS49" s="478"/>
      <c r="OKT49" s="478"/>
      <c r="OKU49" s="478"/>
      <c r="OKV49" s="478"/>
      <c r="OKW49" s="478"/>
      <c r="OKX49" s="478"/>
      <c r="OKY49" s="478"/>
      <c r="OKZ49" s="478"/>
      <c r="OLA49" s="478"/>
      <c r="OLB49" s="478"/>
      <c r="OLC49" s="478"/>
      <c r="OLD49" s="478"/>
      <c r="OLE49" s="478"/>
      <c r="OLF49" s="478"/>
      <c r="OLG49" s="478"/>
      <c r="OLH49" s="478"/>
      <c r="OLI49" s="478"/>
      <c r="OLJ49" s="478"/>
      <c r="OLK49" s="478"/>
      <c r="OLL49" s="478"/>
      <c r="OLM49" s="478"/>
      <c r="OLN49" s="478"/>
      <c r="OLO49" s="478"/>
      <c r="OLP49" s="478"/>
      <c r="OLQ49" s="478"/>
      <c r="OLR49" s="478"/>
      <c r="OLS49" s="478"/>
      <c r="OLT49" s="478"/>
      <c r="OLU49" s="478"/>
      <c r="OLV49" s="478"/>
      <c r="OLW49" s="478"/>
      <c r="OLX49" s="478"/>
      <c r="OLY49" s="478"/>
      <c r="OLZ49" s="478"/>
      <c r="OMA49" s="478"/>
      <c r="OMB49" s="478"/>
      <c r="OMC49" s="478"/>
      <c r="OMD49" s="478"/>
      <c r="OME49" s="478"/>
      <c r="OMF49" s="478"/>
      <c r="OMG49" s="478"/>
      <c r="OMH49" s="478"/>
      <c r="OMI49" s="478"/>
      <c r="OMJ49" s="478"/>
      <c r="OMK49" s="478"/>
      <c r="OML49" s="478"/>
      <c r="OMM49" s="478"/>
      <c r="OMN49" s="478"/>
      <c r="OMO49" s="478"/>
      <c r="OMP49" s="478"/>
      <c r="OMQ49" s="478"/>
      <c r="OMR49" s="478"/>
      <c r="OMS49" s="478"/>
      <c r="OMT49" s="478"/>
      <c r="OMU49" s="478"/>
      <c r="OMV49" s="478"/>
      <c r="OMW49" s="478"/>
      <c r="OMX49" s="478"/>
      <c r="OMY49" s="478"/>
      <c r="OMZ49" s="478"/>
      <c r="ONA49" s="478"/>
      <c r="ONB49" s="478"/>
      <c r="ONC49" s="478"/>
      <c r="OND49" s="478"/>
      <c r="ONE49" s="478"/>
      <c r="ONF49" s="478"/>
      <c r="ONG49" s="478"/>
      <c r="ONH49" s="478"/>
      <c r="ONI49" s="478"/>
      <c r="ONJ49" s="478"/>
      <c r="ONK49" s="478"/>
      <c r="ONL49" s="478"/>
      <c r="ONM49" s="478"/>
      <c r="ONN49" s="478"/>
      <c r="ONO49" s="478"/>
      <c r="ONP49" s="478"/>
      <c r="ONQ49" s="478"/>
      <c r="ONR49" s="478"/>
      <c r="ONS49" s="478"/>
      <c r="ONT49" s="478"/>
      <c r="ONU49" s="478"/>
      <c r="ONV49" s="478"/>
      <c r="ONW49" s="478"/>
      <c r="ONX49" s="478"/>
      <c r="ONY49" s="478"/>
      <c r="ONZ49" s="478"/>
      <c r="OOA49" s="478"/>
      <c r="OOB49" s="478"/>
      <c r="OOC49" s="478"/>
      <c r="OOD49" s="478"/>
      <c r="OOE49" s="478"/>
      <c r="OOF49" s="478"/>
      <c r="OOG49" s="478"/>
      <c r="OOH49" s="478"/>
      <c r="OOI49" s="478"/>
      <c r="OOJ49" s="478"/>
      <c r="OOK49" s="478"/>
      <c r="OOL49" s="478"/>
      <c r="OOM49" s="478"/>
      <c r="OON49" s="478"/>
      <c r="OOO49" s="478"/>
      <c r="OOP49" s="478"/>
      <c r="OOQ49" s="478"/>
      <c r="OOR49" s="478"/>
      <c r="OOS49" s="478"/>
      <c r="OOT49" s="478"/>
      <c r="OOU49" s="478"/>
      <c r="OOV49" s="478"/>
      <c r="OOW49" s="478"/>
      <c r="OOX49" s="478"/>
      <c r="OOY49" s="478"/>
      <c r="OOZ49" s="478"/>
      <c r="OPA49" s="478"/>
      <c r="OPB49" s="478"/>
      <c r="OPC49" s="478"/>
      <c r="OPD49" s="478"/>
      <c r="OPE49" s="478"/>
      <c r="OPF49" s="478"/>
      <c r="OPG49" s="478"/>
      <c r="OPH49" s="478"/>
      <c r="OPI49" s="478"/>
      <c r="OPJ49" s="478"/>
      <c r="OPK49" s="478"/>
      <c r="OPL49" s="478"/>
      <c r="OPM49" s="478"/>
      <c r="OPN49" s="478"/>
      <c r="OPO49" s="478"/>
      <c r="OPP49" s="478"/>
      <c r="OPQ49" s="478"/>
      <c r="OPR49" s="478"/>
      <c r="OPS49" s="478"/>
      <c r="OPT49" s="478"/>
      <c r="OPU49" s="478"/>
      <c r="OPV49" s="478"/>
      <c r="OPW49" s="478"/>
      <c r="OPX49" s="478"/>
      <c r="OPY49" s="478"/>
      <c r="OPZ49" s="478"/>
      <c r="OQA49" s="478"/>
      <c r="OQB49" s="478"/>
      <c r="OQC49" s="478"/>
      <c r="OQD49" s="478"/>
      <c r="OQE49" s="478"/>
      <c r="OQF49" s="478"/>
      <c r="OQG49" s="478"/>
      <c r="OQH49" s="478"/>
      <c r="OQI49" s="478"/>
      <c r="OQJ49" s="478"/>
      <c r="OQK49" s="478"/>
      <c r="OQL49" s="478"/>
      <c r="OQM49" s="478"/>
      <c r="OQN49" s="478"/>
      <c r="OQO49" s="478"/>
      <c r="OQP49" s="478"/>
      <c r="OQQ49" s="478"/>
      <c r="OQR49" s="478"/>
      <c r="OQS49" s="478"/>
      <c r="OQT49" s="478"/>
      <c r="OQU49" s="478"/>
      <c r="OQV49" s="478"/>
      <c r="OQW49" s="478"/>
      <c r="OQX49" s="478"/>
      <c r="OQY49" s="478"/>
      <c r="OQZ49" s="478"/>
      <c r="ORA49" s="478"/>
      <c r="ORB49" s="478"/>
      <c r="ORC49" s="478"/>
      <c r="ORD49" s="478"/>
      <c r="ORE49" s="478"/>
      <c r="ORF49" s="478"/>
      <c r="ORG49" s="478"/>
      <c r="ORH49" s="478"/>
      <c r="ORI49" s="478"/>
      <c r="ORJ49" s="478"/>
      <c r="ORK49" s="478"/>
      <c r="ORL49" s="478"/>
      <c r="ORM49" s="478"/>
      <c r="ORN49" s="478"/>
      <c r="ORO49" s="478"/>
      <c r="ORP49" s="478"/>
      <c r="ORQ49" s="478"/>
      <c r="ORR49" s="478"/>
      <c r="ORS49" s="478"/>
      <c r="ORT49" s="478"/>
      <c r="ORU49" s="478"/>
      <c r="ORV49" s="478"/>
      <c r="ORW49" s="478"/>
      <c r="ORX49" s="478"/>
      <c r="ORY49" s="478"/>
      <c r="ORZ49" s="478"/>
      <c r="OSA49" s="478"/>
      <c r="OSB49" s="478"/>
      <c r="OSC49" s="478"/>
      <c r="OSD49" s="478"/>
      <c r="OSE49" s="478"/>
      <c r="OSF49" s="478"/>
      <c r="OSG49" s="478"/>
      <c r="OSH49" s="478"/>
      <c r="OSI49" s="478"/>
      <c r="OSJ49" s="478"/>
      <c r="OSK49" s="478"/>
      <c r="OSL49" s="478"/>
      <c r="OSM49" s="478"/>
      <c r="OSN49" s="478"/>
      <c r="OSO49" s="478"/>
      <c r="OSP49" s="478"/>
      <c r="OSQ49" s="478"/>
      <c r="OSR49" s="478"/>
      <c r="OSS49" s="478"/>
      <c r="OST49" s="478"/>
      <c r="OSU49" s="478"/>
      <c r="OSV49" s="478"/>
      <c r="OSW49" s="478"/>
      <c r="OSX49" s="478"/>
      <c r="OSY49" s="478"/>
      <c r="OSZ49" s="478"/>
      <c r="OTA49" s="478"/>
      <c r="OTB49" s="478"/>
      <c r="OTC49" s="478"/>
      <c r="OTD49" s="478"/>
      <c r="OTE49" s="478"/>
      <c r="OTF49" s="478"/>
      <c r="OTG49" s="478"/>
      <c r="OTH49" s="478"/>
      <c r="OTI49" s="478"/>
      <c r="OTJ49" s="478"/>
      <c r="OTK49" s="478"/>
      <c r="OTL49" s="478"/>
      <c r="OTM49" s="478"/>
      <c r="OTN49" s="478"/>
      <c r="OTO49" s="478"/>
      <c r="OTP49" s="478"/>
      <c r="OTQ49" s="478"/>
      <c r="OTR49" s="478"/>
      <c r="OTS49" s="478"/>
      <c r="OTT49" s="478"/>
      <c r="OTU49" s="478"/>
      <c r="OTV49" s="478"/>
      <c r="OTW49" s="478"/>
      <c r="OTX49" s="478"/>
      <c r="OTY49" s="478"/>
      <c r="OTZ49" s="478"/>
      <c r="OUA49" s="478"/>
      <c r="OUB49" s="478"/>
      <c r="OUC49" s="478"/>
      <c r="OUD49" s="478"/>
      <c r="OUE49" s="478"/>
      <c r="OUF49" s="478"/>
      <c r="OUG49" s="478"/>
      <c r="OUH49" s="478"/>
      <c r="OUI49" s="478"/>
      <c r="OUJ49" s="478"/>
      <c r="OUK49" s="478"/>
      <c r="OUL49" s="478"/>
      <c r="OUM49" s="478"/>
      <c r="OUN49" s="478"/>
      <c r="OUO49" s="478"/>
      <c r="OUP49" s="478"/>
      <c r="OUQ49" s="478"/>
      <c r="OUR49" s="478"/>
      <c r="OUS49" s="478"/>
      <c r="OUT49" s="478"/>
      <c r="OUU49" s="478"/>
      <c r="OUV49" s="478"/>
      <c r="OUW49" s="478"/>
      <c r="OUX49" s="478"/>
      <c r="OUY49" s="478"/>
      <c r="OUZ49" s="478"/>
      <c r="OVA49" s="478"/>
      <c r="OVB49" s="478"/>
      <c r="OVC49" s="478"/>
      <c r="OVD49" s="478"/>
      <c r="OVE49" s="478"/>
      <c r="OVF49" s="478"/>
      <c r="OVG49" s="478"/>
      <c r="OVH49" s="478"/>
      <c r="OVI49" s="478"/>
      <c r="OVJ49" s="478"/>
      <c r="OVK49" s="478"/>
      <c r="OVL49" s="478"/>
      <c r="OVM49" s="478"/>
      <c r="OVN49" s="478"/>
      <c r="OVO49" s="478"/>
      <c r="OVP49" s="478"/>
      <c r="OVQ49" s="478"/>
      <c r="OVR49" s="478"/>
      <c r="OVS49" s="478"/>
      <c r="OVT49" s="478"/>
      <c r="OVU49" s="478"/>
      <c r="OVV49" s="478"/>
      <c r="OVW49" s="478"/>
      <c r="OVX49" s="478"/>
      <c r="OVY49" s="478"/>
      <c r="OVZ49" s="478"/>
      <c r="OWA49" s="478"/>
      <c r="OWB49" s="478"/>
      <c r="OWC49" s="478"/>
      <c r="OWD49" s="478"/>
      <c r="OWE49" s="478"/>
      <c r="OWF49" s="478"/>
      <c r="OWG49" s="478"/>
      <c r="OWH49" s="478"/>
      <c r="OWI49" s="478"/>
      <c r="OWJ49" s="478"/>
      <c r="OWK49" s="478"/>
      <c r="OWL49" s="478"/>
      <c r="OWM49" s="478"/>
      <c r="OWN49" s="478"/>
      <c r="OWO49" s="478"/>
      <c r="OWP49" s="478"/>
      <c r="OWQ49" s="478"/>
      <c r="OWR49" s="478"/>
      <c r="OWS49" s="478"/>
      <c r="OWT49" s="478"/>
      <c r="OWU49" s="478"/>
      <c r="OWV49" s="478"/>
      <c r="OWW49" s="478"/>
      <c r="OWX49" s="478"/>
      <c r="OWY49" s="478"/>
      <c r="OWZ49" s="478"/>
      <c r="OXA49" s="478"/>
      <c r="OXB49" s="478"/>
      <c r="OXC49" s="478"/>
      <c r="OXD49" s="478"/>
      <c r="OXE49" s="478"/>
      <c r="OXF49" s="478"/>
      <c r="OXG49" s="478"/>
      <c r="OXH49" s="478"/>
      <c r="OXI49" s="478"/>
      <c r="OXJ49" s="478"/>
      <c r="OXK49" s="478"/>
      <c r="OXL49" s="478"/>
      <c r="OXM49" s="478"/>
      <c r="OXN49" s="478"/>
      <c r="OXO49" s="478"/>
      <c r="OXP49" s="478"/>
      <c r="OXQ49" s="478"/>
      <c r="OXR49" s="478"/>
      <c r="OXS49" s="478"/>
      <c r="OXT49" s="478"/>
      <c r="OXU49" s="478"/>
      <c r="OXV49" s="478"/>
      <c r="OXW49" s="478"/>
      <c r="OXX49" s="478"/>
      <c r="OXY49" s="478"/>
      <c r="OXZ49" s="478"/>
      <c r="OYA49" s="478"/>
      <c r="OYB49" s="478"/>
      <c r="OYC49" s="478"/>
      <c r="OYD49" s="478"/>
      <c r="OYE49" s="478"/>
      <c r="OYF49" s="478"/>
      <c r="OYG49" s="478"/>
      <c r="OYH49" s="478"/>
      <c r="OYI49" s="478"/>
      <c r="OYJ49" s="478"/>
      <c r="OYK49" s="478"/>
      <c r="OYL49" s="478"/>
      <c r="OYM49" s="478"/>
      <c r="OYN49" s="478"/>
      <c r="OYO49" s="478"/>
      <c r="OYP49" s="478"/>
      <c r="OYQ49" s="478"/>
      <c r="OYR49" s="478"/>
      <c r="OYS49" s="478"/>
      <c r="OYT49" s="478"/>
      <c r="OYU49" s="478"/>
      <c r="OYV49" s="478"/>
      <c r="OYW49" s="478"/>
      <c r="OYX49" s="478"/>
      <c r="OYY49" s="478"/>
      <c r="OYZ49" s="478"/>
      <c r="OZA49" s="478"/>
      <c r="OZB49" s="478"/>
      <c r="OZC49" s="478"/>
      <c r="OZD49" s="478"/>
      <c r="OZE49" s="478"/>
      <c r="OZF49" s="478"/>
      <c r="OZG49" s="478"/>
      <c r="OZH49" s="478"/>
      <c r="OZI49" s="478"/>
      <c r="OZJ49" s="478"/>
      <c r="OZK49" s="478"/>
      <c r="OZL49" s="478"/>
      <c r="OZM49" s="478"/>
      <c r="OZN49" s="478"/>
      <c r="OZO49" s="478"/>
      <c r="OZP49" s="478"/>
      <c r="OZQ49" s="478"/>
      <c r="OZR49" s="478"/>
      <c r="OZS49" s="478"/>
      <c r="OZT49" s="478"/>
      <c r="OZU49" s="478"/>
      <c r="OZV49" s="478"/>
      <c r="OZW49" s="478"/>
      <c r="OZX49" s="478"/>
      <c r="OZY49" s="478"/>
      <c r="OZZ49" s="478"/>
      <c r="PAA49" s="478"/>
      <c r="PAB49" s="478"/>
      <c r="PAC49" s="478"/>
      <c r="PAD49" s="478"/>
      <c r="PAE49" s="478"/>
      <c r="PAF49" s="478"/>
      <c r="PAG49" s="478"/>
      <c r="PAH49" s="478"/>
      <c r="PAI49" s="478"/>
      <c r="PAJ49" s="478"/>
      <c r="PAK49" s="478"/>
      <c r="PAL49" s="478"/>
      <c r="PAM49" s="478"/>
      <c r="PAN49" s="478"/>
      <c r="PAO49" s="478"/>
      <c r="PAP49" s="478"/>
      <c r="PAQ49" s="478"/>
      <c r="PAR49" s="478"/>
      <c r="PAS49" s="478"/>
      <c r="PAT49" s="478"/>
      <c r="PAU49" s="478"/>
      <c r="PAV49" s="478"/>
      <c r="PAW49" s="478"/>
      <c r="PAX49" s="478"/>
      <c r="PAY49" s="478"/>
      <c r="PAZ49" s="478"/>
      <c r="PBA49" s="478"/>
      <c r="PBB49" s="478"/>
      <c r="PBC49" s="478"/>
      <c r="PBD49" s="478"/>
      <c r="PBE49" s="478"/>
      <c r="PBF49" s="478"/>
      <c r="PBG49" s="478"/>
      <c r="PBH49" s="478"/>
      <c r="PBI49" s="478"/>
      <c r="PBJ49" s="478"/>
      <c r="PBK49" s="478"/>
      <c r="PBL49" s="478"/>
      <c r="PBM49" s="478"/>
      <c r="PBN49" s="478"/>
      <c r="PBO49" s="478"/>
      <c r="PBP49" s="478"/>
      <c r="PBQ49" s="478"/>
      <c r="PBR49" s="478"/>
      <c r="PBS49" s="478"/>
      <c r="PBT49" s="478"/>
      <c r="PBU49" s="478"/>
      <c r="PBV49" s="478"/>
      <c r="PBW49" s="478"/>
      <c r="PBX49" s="478"/>
      <c r="PBY49" s="478"/>
      <c r="PBZ49" s="478"/>
      <c r="PCA49" s="478"/>
      <c r="PCB49" s="478"/>
      <c r="PCC49" s="478"/>
      <c r="PCD49" s="478"/>
      <c r="PCE49" s="478"/>
      <c r="PCF49" s="478"/>
      <c r="PCG49" s="478"/>
      <c r="PCH49" s="478"/>
      <c r="PCI49" s="478"/>
      <c r="PCJ49" s="478"/>
      <c r="PCK49" s="478"/>
      <c r="PCL49" s="478"/>
      <c r="PCM49" s="478"/>
      <c r="PCN49" s="478"/>
      <c r="PCO49" s="478"/>
      <c r="PCP49" s="478"/>
      <c r="PCQ49" s="478"/>
      <c r="PCR49" s="478"/>
      <c r="PCS49" s="478"/>
      <c r="PCT49" s="478"/>
      <c r="PCU49" s="478"/>
      <c r="PCV49" s="478"/>
      <c r="PCW49" s="478"/>
      <c r="PCX49" s="478"/>
      <c r="PCY49" s="478"/>
      <c r="PCZ49" s="478"/>
      <c r="PDA49" s="478"/>
      <c r="PDB49" s="478"/>
      <c r="PDC49" s="478"/>
      <c r="PDD49" s="478"/>
      <c r="PDE49" s="478"/>
      <c r="PDF49" s="478"/>
      <c r="PDG49" s="478"/>
      <c r="PDH49" s="478"/>
      <c r="PDI49" s="478"/>
      <c r="PDJ49" s="478"/>
      <c r="PDK49" s="478"/>
      <c r="PDL49" s="478"/>
      <c r="PDM49" s="478"/>
      <c r="PDN49" s="478"/>
      <c r="PDO49" s="478"/>
      <c r="PDP49" s="478"/>
      <c r="PDQ49" s="478"/>
      <c r="PDR49" s="478"/>
      <c r="PDS49" s="478"/>
      <c r="PDT49" s="478"/>
      <c r="PDU49" s="478"/>
      <c r="PDV49" s="478"/>
      <c r="PDW49" s="478"/>
      <c r="PDX49" s="478"/>
      <c r="PDY49" s="478"/>
      <c r="PDZ49" s="478"/>
      <c r="PEA49" s="478"/>
      <c r="PEB49" s="478"/>
      <c r="PEC49" s="478"/>
      <c r="PED49" s="478"/>
      <c r="PEE49" s="478"/>
      <c r="PEF49" s="478"/>
      <c r="PEG49" s="478"/>
      <c r="PEH49" s="478"/>
      <c r="PEI49" s="478"/>
      <c r="PEJ49" s="478"/>
      <c r="PEK49" s="478"/>
      <c r="PEL49" s="478"/>
      <c r="PEM49" s="478"/>
      <c r="PEN49" s="478"/>
      <c r="PEO49" s="478"/>
      <c r="PEP49" s="478"/>
      <c r="PEQ49" s="478"/>
      <c r="PER49" s="478"/>
      <c r="PES49" s="478"/>
      <c r="PET49" s="478"/>
      <c r="PEU49" s="478"/>
      <c r="PEV49" s="478"/>
      <c r="PEW49" s="478"/>
      <c r="PEX49" s="478"/>
      <c r="PEY49" s="478"/>
      <c r="PEZ49" s="478"/>
      <c r="PFA49" s="478"/>
      <c r="PFB49" s="478"/>
      <c r="PFC49" s="478"/>
      <c r="PFD49" s="478"/>
      <c r="PFE49" s="478"/>
      <c r="PFF49" s="478"/>
      <c r="PFG49" s="478"/>
      <c r="PFH49" s="478"/>
      <c r="PFI49" s="478"/>
      <c r="PFJ49" s="478"/>
      <c r="PFK49" s="478"/>
      <c r="PFL49" s="478"/>
      <c r="PFM49" s="478"/>
      <c r="PFN49" s="478"/>
      <c r="PFO49" s="478"/>
      <c r="PFP49" s="478"/>
      <c r="PFQ49" s="478"/>
      <c r="PFR49" s="478"/>
      <c r="PFS49" s="478"/>
      <c r="PFT49" s="478"/>
      <c r="PFU49" s="478"/>
      <c r="PFV49" s="478"/>
      <c r="PFW49" s="478"/>
      <c r="PFX49" s="478"/>
      <c r="PFY49" s="478"/>
      <c r="PFZ49" s="478"/>
      <c r="PGA49" s="478"/>
      <c r="PGB49" s="478"/>
      <c r="PGC49" s="478"/>
      <c r="PGD49" s="478"/>
      <c r="PGE49" s="478"/>
      <c r="PGF49" s="478"/>
      <c r="PGG49" s="478"/>
      <c r="PGH49" s="478"/>
      <c r="PGI49" s="478"/>
      <c r="PGJ49" s="478"/>
      <c r="PGK49" s="478"/>
      <c r="PGL49" s="478"/>
      <c r="PGM49" s="478"/>
      <c r="PGN49" s="478"/>
      <c r="PGO49" s="478"/>
      <c r="PGP49" s="478"/>
      <c r="PGQ49" s="478"/>
      <c r="PGR49" s="478"/>
      <c r="PGS49" s="478"/>
      <c r="PGT49" s="478"/>
      <c r="PGU49" s="478"/>
      <c r="PGV49" s="478"/>
      <c r="PGW49" s="478"/>
      <c r="PGX49" s="478"/>
      <c r="PGY49" s="478"/>
      <c r="PGZ49" s="478"/>
      <c r="PHA49" s="478"/>
      <c r="PHB49" s="478"/>
      <c r="PHC49" s="478"/>
      <c r="PHD49" s="478"/>
      <c r="PHE49" s="478"/>
      <c r="PHF49" s="478"/>
      <c r="PHG49" s="478"/>
      <c r="PHH49" s="478"/>
      <c r="PHI49" s="478"/>
      <c r="PHJ49" s="478"/>
      <c r="PHK49" s="478"/>
      <c r="PHL49" s="478"/>
      <c r="PHM49" s="478"/>
      <c r="PHN49" s="478"/>
      <c r="PHO49" s="478"/>
      <c r="PHP49" s="478"/>
      <c r="PHQ49" s="478"/>
      <c r="PHR49" s="478"/>
      <c r="PHS49" s="478"/>
      <c r="PHT49" s="478"/>
      <c r="PHU49" s="478"/>
      <c r="PHV49" s="478"/>
      <c r="PHW49" s="478"/>
      <c r="PHX49" s="478"/>
      <c r="PHY49" s="478"/>
      <c r="PHZ49" s="478"/>
      <c r="PIA49" s="478"/>
      <c r="PIB49" s="478"/>
      <c r="PIC49" s="478"/>
      <c r="PID49" s="478"/>
      <c r="PIE49" s="478"/>
      <c r="PIF49" s="478"/>
      <c r="PIG49" s="478"/>
      <c r="PIH49" s="478"/>
      <c r="PII49" s="478"/>
      <c r="PIJ49" s="478"/>
      <c r="PIK49" s="478"/>
      <c r="PIL49" s="478"/>
      <c r="PIM49" s="478"/>
      <c r="PIN49" s="478"/>
      <c r="PIO49" s="478"/>
      <c r="PIP49" s="478"/>
      <c r="PIQ49" s="478"/>
      <c r="PIR49" s="478"/>
      <c r="PIS49" s="478"/>
      <c r="PIT49" s="478"/>
      <c r="PIU49" s="478"/>
      <c r="PIV49" s="478"/>
      <c r="PIW49" s="478"/>
      <c r="PIX49" s="478"/>
      <c r="PIY49" s="478"/>
      <c r="PIZ49" s="478"/>
      <c r="PJA49" s="478"/>
      <c r="PJB49" s="478"/>
      <c r="PJC49" s="478"/>
      <c r="PJD49" s="478"/>
      <c r="PJE49" s="478"/>
      <c r="PJF49" s="478"/>
      <c r="PJG49" s="478"/>
      <c r="PJH49" s="478"/>
      <c r="PJI49" s="478"/>
      <c r="PJJ49" s="478"/>
      <c r="PJK49" s="478"/>
      <c r="PJL49" s="478"/>
      <c r="PJM49" s="478"/>
      <c r="PJN49" s="478"/>
      <c r="PJO49" s="478"/>
      <c r="PJP49" s="478"/>
      <c r="PJQ49" s="478"/>
      <c r="PJR49" s="478"/>
      <c r="PJS49" s="478"/>
      <c r="PJT49" s="478"/>
      <c r="PJU49" s="478"/>
      <c r="PJV49" s="478"/>
      <c r="PJW49" s="478"/>
      <c r="PJX49" s="478"/>
      <c r="PJY49" s="478"/>
      <c r="PJZ49" s="478"/>
      <c r="PKA49" s="478"/>
      <c r="PKB49" s="478"/>
      <c r="PKC49" s="478"/>
      <c r="PKD49" s="478"/>
      <c r="PKE49" s="478"/>
      <c r="PKF49" s="478"/>
      <c r="PKG49" s="478"/>
      <c r="PKH49" s="478"/>
      <c r="PKI49" s="478"/>
      <c r="PKJ49" s="478"/>
      <c r="PKK49" s="478"/>
      <c r="PKL49" s="478"/>
      <c r="PKM49" s="478"/>
      <c r="PKN49" s="478"/>
      <c r="PKO49" s="478"/>
      <c r="PKP49" s="478"/>
      <c r="PKQ49" s="478"/>
      <c r="PKR49" s="478"/>
      <c r="PKS49" s="478"/>
      <c r="PKT49" s="478"/>
      <c r="PKU49" s="478"/>
      <c r="PKV49" s="478"/>
      <c r="PKW49" s="478"/>
      <c r="PKX49" s="478"/>
      <c r="PKY49" s="478"/>
      <c r="PKZ49" s="478"/>
      <c r="PLA49" s="478"/>
      <c r="PLB49" s="478"/>
      <c r="PLC49" s="478"/>
      <c r="PLD49" s="478"/>
      <c r="PLE49" s="478"/>
      <c r="PLF49" s="478"/>
      <c r="PLG49" s="478"/>
      <c r="PLH49" s="478"/>
      <c r="PLI49" s="478"/>
      <c r="PLJ49" s="478"/>
      <c r="PLK49" s="478"/>
      <c r="PLL49" s="478"/>
      <c r="PLM49" s="478"/>
      <c r="PLN49" s="478"/>
      <c r="PLO49" s="478"/>
      <c r="PLP49" s="478"/>
      <c r="PLQ49" s="478"/>
      <c r="PLR49" s="478"/>
      <c r="PLS49" s="478"/>
      <c r="PLT49" s="478"/>
      <c r="PLU49" s="478"/>
      <c r="PLV49" s="478"/>
      <c r="PLW49" s="478"/>
      <c r="PLX49" s="478"/>
      <c r="PLY49" s="478"/>
      <c r="PLZ49" s="478"/>
      <c r="PMA49" s="478"/>
      <c r="PMB49" s="478"/>
      <c r="PMC49" s="478"/>
      <c r="PMD49" s="478"/>
      <c r="PME49" s="478"/>
      <c r="PMF49" s="478"/>
      <c r="PMG49" s="478"/>
      <c r="PMH49" s="478"/>
      <c r="PMI49" s="478"/>
      <c r="PMJ49" s="478"/>
      <c r="PMK49" s="478"/>
      <c r="PML49" s="478"/>
      <c r="PMM49" s="478"/>
      <c r="PMN49" s="478"/>
      <c r="PMO49" s="478"/>
      <c r="PMP49" s="478"/>
      <c r="PMQ49" s="478"/>
      <c r="PMR49" s="478"/>
      <c r="PMS49" s="478"/>
      <c r="PMT49" s="478"/>
      <c r="PMU49" s="478"/>
      <c r="PMV49" s="478"/>
      <c r="PMW49" s="478"/>
      <c r="PMX49" s="478"/>
      <c r="PMY49" s="478"/>
      <c r="PMZ49" s="478"/>
      <c r="PNA49" s="478"/>
      <c r="PNB49" s="478"/>
      <c r="PNC49" s="478"/>
      <c r="PND49" s="478"/>
      <c r="PNE49" s="478"/>
      <c r="PNF49" s="478"/>
      <c r="PNG49" s="478"/>
      <c r="PNH49" s="478"/>
      <c r="PNI49" s="478"/>
      <c r="PNJ49" s="478"/>
      <c r="PNK49" s="478"/>
      <c r="PNL49" s="478"/>
      <c r="PNM49" s="478"/>
      <c r="PNN49" s="478"/>
      <c r="PNO49" s="478"/>
      <c r="PNP49" s="478"/>
      <c r="PNQ49" s="478"/>
      <c r="PNR49" s="478"/>
      <c r="PNS49" s="478"/>
      <c r="PNT49" s="478"/>
      <c r="PNU49" s="478"/>
      <c r="PNV49" s="478"/>
      <c r="PNW49" s="478"/>
      <c r="PNX49" s="478"/>
      <c r="PNY49" s="478"/>
      <c r="PNZ49" s="478"/>
      <c r="POA49" s="478"/>
      <c r="POB49" s="478"/>
      <c r="POC49" s="478"/>
      <c r="POD49" s="478"/>
      <c r="POE49" s="478"/>
      <c r="POF49" s="478"/>
      <c r="POG49" s="478"/>
      <c r="POH49" s="478"/>
      <c r="POI49" s="478"/>
      <c r="POJ49" s="478"/>
      <c r="POK49" s="478"/>
      <c r="POL49" s="478"/>
      <c r="POM49" s="478"/>
      <c r="PON49" s="478"/>
      <c r="POO49" s="478"/>
      <c r="POP49" s="478"/>
      <c r="POQ49" s="478"/>
      <c r="POR49" s="478"/>
      <c r="POS49" s="478"/>
      <c r="POT49" s="478"/>
      <c r="POU49" s="478"/>
      <c r="POV49" s="478"/>
      <c r="POW49" s="478"/>
      <c r="POX49" s="478"/>
      <c r="POY49" s="478"/>
      <c r="POZ49" s="478"/>
      <c r="PPA49" s="478"/>
      <c r="PPB49" s="478"/>
      <c r="PPC49" s="478"/>
      <c r="PPD49" s="478"/>
      <c r="PPE49" s="478"/>
      <c r="PPF49" s="478"/>
      <c r="PPG49" s="478"/>
      <c r="PPH49" s="478"/>
      <c r="PPI49" s="478"/>
      <c r="PPJ49" s="478"/>
      <c r="PPK49" s="478"/>
      <c r="PPL49" s="478"/>
      <c r="PPM49" s="478"/>
      <c r="PPN49" s="478"/>
      <c r="PPO49" s="478"/>
      <c r="PPP49" s="478"/>
      <c r="PPQ49" s="478"/>
      <c r="PPR49" s="478"/>
      <c r="PPS49" s="478"/>
      <c r="PPT49" s="478"/>
      <c r="PPU49" s="478"/>
      <c r="PPV49" s="478"/>
      <c r="PPW49" s="478"/>
      <c r="PPX49" s="478"/>
      <c r="PPY49" s="478"/>
      <c r="PPZ49" s="478"/>
      <c r="PQA49" s="478"/>
      <c r="PQB49" s="478"/>
      <c r="PQC49" s="478"/>
      <c r="PQD49" s="478"/>
      <c r="PQE49" s="478"/>
      <c r="PQF49" s="478"/>
      <c r="PQG49" s="478"/>
      <c r="PQH49" s="478"/>
      <c r="PQI49" s="478"/>
      <c r="PQJ49" s="478"/>
      <c r="PQK49" s="478"/>
      <c r="PQL49" s="478"/>
      <c r="PQM49" s="478"/>
      <c r="PQN49" s="478"/>
      <c r="PQO49" s="478"/>
      <c r="PQP49" s="478"/>
      <c r="PQQ49" s="478"/>
      <c r="PQR49" s="478"/>
      <c r="PQS49" s="478"/>
      <c r="PQT49" s="478"/>
      <c r="PQU49" s="478"/>
      <c r="PQV49" s="478"/>
      <c r="PQW49" s="478"/>
      <c r="PQX49" s="478"/>
      <c r="PQY49" s="478"/>
      <c r="PQZ49" s="478"/>
      <c r="PRA49" s="478"/>
      <c r="PRB49" s="478"/>
      <c r="PRC49" s="478"/>
      <c r="PRD49" s="478"/>
      <c r="PRE49" s="478"/>
      <c r="PRF49" s="478"/>
      <c r="PRG49" s="478"/>
      <c r="PRH49" s="478"/>
      <c r="PRI49" s="478"/>
      <c r="PRJ49" s="478"/>
      <c r="PRK49" s="478"/>
      <c r="PRL49" s="478"/>
      <c r="PRM49" s="478"/>
      <c r="PRN49" s="478"/>
      <c r="PRO49" s="478"/>
      <c r="PRP49" s="478"/>
      <c r="PRQ49" s="478"/>
      <c r="PRR49" s="478"/>
      <c r="PRS49" s="478"/>
      <c r="PRT49" s="478"/>
      <c r="PRU49" s="478"/>
      <c r="PRV49" s="478"/>
      <c r="PRW49" s="478"/>
      <c r="PRX49" s="478"/>
      <c r="PRY49" s="478"/>
      <c r="PRZ49" s="478"/>
      <c r="PSA49" s="478"/>
      <c r="PSB49" s="478"/>
      <c r="PSC49" s="478"/>
      <c r="PSD49" s="478"/>
      <c r="PSE49" s="478"/>
      <c r="PSF49" s="478"/>
      <c r="PSG49" s="478"/>
      <c r="PSH49" s="478"/>
      <c r="PSI49" s="478"/>
      <c r="PSJ49" s="478"/>
      <c r="PSK49" s="478"/>
      <c r="PSL49" s="478"/>
      <c r="PSM49" s="478"/>
      <c r="PSN49" s="478"/>
      <c r="PSO49" s="478"/>
      <c r="PSP49" s="478"/>
      <c r="PSQ49" s="478"/>
      <c r="PSR49" s="478"/>
      <c r="PSS49" s="478"/>
      <c r="PST49" s="478"/>
      <c r="PSU49" s="478"/>
      <c r="PSV49" s="478"/>
      <c r="PSW49" s="478"/>
      <c r="PSX49" s="478"/>
      <c r="PSY49" s="478"/>
      <c r="PSZ49" s="478"/>
      <c r="PTA49" s="478"/>
      <c r="PTB49" s="478"/>
      <c r="PTC49" s="478"/>
      <c r="PTD49" s="478"/>
      <c r="PTE49" s="478"/>
      <c r="PTF49" s="478"/>
      <c r="PTG49" s="478"/>
      <c r="PTH49" s="478"/>
      <c r="PTI49" s="478"/>
      <c r="PTJ49" s="478"/>
      <c r="PTK49" s="478"/>
      <c r="PTL49" s="478"/>
      <c r="PTM49" s="478"/>
      <c r="PTN49" s="478"/>
      <c r="PTO49" s="478"/>
      <c r="PTP49" s="478"/>
      <c r="PTQ49" s="478"/>
      <c r="PTR49" s="478"/>
      <c r="PTS49" s="478"/>
      <c r="PTT49" s="478"/>
      <c r="PTU49" s="478"/>
      <c r="PTV49" s="478"/>
      <c r="PTW49" s="478"/>
      <c r="PTX49" s="478"/>
      <c r="PTY49" s="478"/>
      <c r="PTZ49" s="478"/>
      <c r="PUA49" s="478"/>
      <c r="PUB49" s="478"/>
      <c r="PUC49" s="478"/>
      <c r="PUD49" s="478"/>
      <c r="PUE49" s="478"/>
      <c r="PUF49" s="478"/>
      <c r="PUG49" s="478"/>
      <c r="PUH49" s="478"/>
      <c r="PUI49" s="478"/>
      <c r="PUJ49" s="478"/>
      <c r="PUK49" s="478"/>
      <c r="PUL49" s="478"/>
      <c r="PUM49" s="478"/>
      <c r="PUN49" s="478"/>
      <c r="PUO49" s="478"/>
      <c r="PUP49" s="478"/>
      <c r="PUQ49" s="478"/>
      <c r="PUR49" s="478"/>
      <c r="PUS49" s="478"/>
      <c r="PUT49" s="478"/>
      <c r="PUU49" s="478"/>
      <c r="PUV49" s="478"/>
      <c r="PUW49" s="478"/>
      <c r="PUX49" s="478"/>
      <c r="PUY49" s="478"/>
      <c r="PUZ49" s="478"/>
      <c r="PVA49" s="478"/>
      <c r="PVB49" s="478"/>
      <c r="PVC49" s="478"/>
      <c r="PVD49" s="478"/>
      <c r="PVE49" s="478"/>
      <c r="PVF49" s="478"/>
      <c r="PVG49" s="478"/>
      <c r="PVH49" s="478"/>
      <c r="PVI49" s="478"/>
      <c r="PVJ49" s="478"/>
      <c r="PVK49" s="478"/>
      <c r="PVL49" s="478"/>
      <c r="PVM49" s="478"/>
      <c r="PVN49" s="478"/>
      <c r="PVO49" s="478"/>
      <c r="PVP49" s="478"/>
      <c r="PVQ49" s="478"/>
      <c r="PVR49" s="478"/>
      <c r="PVS49" s="478"/>
      <c r="PVT49" s="478"/>
      <c r="PVU49" s="478"/>
      <c r="PVV49" s="478"/>
      <c r="PVW49" s="478"/>
      <c r="PVX49" s="478"/>
      <c r="PVY49" s="478"/>
      <c r="PVZ49" s="478"/>
      <c r="PWA49" s="478"/>
      <c r="PWB49" s="478"/>
      <c r="PWC49" s="478"/>
      <c r="PWD49" s="478"/>
      <c r="PWE49" s="478"/>
      <c r="PWF49" s="478"/>
      <c r="PWG49" s="478"/>
      <c r="PWH49" s="478"/>
      <c r="PWI49" s="478"/>
      <c r="PWJ49" s="478"/>
      <c r="PWK49" s="478"/>
      <c r="PWL49" s="478"/>
      <c r="PWM49" s="478"/>
      <c r="PWN49" s="478"/>
      <c r="PWO49" s="478"/>
      <c r="PWP49" s="478"/>
      <c r="PWQ49" s="478"/>
      <c r="PWR49" s="478"/>
      <c r="PWS49" s="478"/>
      <c r="PWT49" s="478"/>
      <c r="PWU49" s="478"/>
      <c r="PWV49" s="478"/>
      <c r="PWW49" s="478"/>
      <c r="PWX49" s="478"/>
      <c r="PWY49" s="478"/>
      <c r="PWZ49" s="478"/>
      <c r="PXA49" s="478"/>
      <c r="PXB49" s="478"/>
      <c r="PXC49" s="478"/>
      <c r="PXD49" s="478"/>
      <c r="PXE49" s="478"/>
      <c r="PXF49" s="478"/>
      <c r="PXG49" s="478"/>
      <c r="PXH49" s="478"/>
      <c r="PXI49" s="478"/>
      <c r="PXJ49" s="478"/>
      <c r="PXK49" s="478"/>
      <c r="PXL49" s="478"/>
      <c r="PXM49" s="478"/>
      <c r="PXN49" s="478"/>
      <c r="PXO49" s="478"/>
      <c r="PXP49" s="478"/>
      <c r="PXQ49" s="478"/>
      <c r="PXR49" s="478"/>
      <c r="PXS49" s="478"/>
      <c r="PXT49" s="478"/>
      <c r="PXU49" s="478"/>
      <c r="PXV49" s="478"/>
      <c r="PXW49" s="478"/>
      <c r="PXX49" s="478"/>
      <c r="PXY49" s="478"/>
      <c r="PXZ49" s="478"/>
      <c r="PYA49" s="478"/>
      <c r="PYB49" s="478"/>
      <c r="PYC49" s="478"/>
      <c r="PYD49" s="478"/>
      <c r="PYE49" s="478"/>
      <c r="PYF49" s="478"/>
      <c r="PYG49" s="478"/>
      <c r="PYH49" s="478"/>
      <c r="PYI49" s="478"/>
      <c r="PYJ49" s="478"/>
      <c r="PYK49" s="478"/>
      <c r="PYL49" s="478"/>
      <c r="PYM49" s="478"/>
      <c r="PYN49" s="478"/>
      <c r="PYO49" s="478"/>
      <c r="PYP49" s="478"/>
      <c r="PYQ49" s="478"/>
      <c r="PYR49" s="478"/>
      <c r="PYS49" s="478"/>
      <c r="PYT49" s="478"/>
      <c r="PYU49" s="478"/>
      <c r="PYV49" s="478"/>
      <c r="PYW49" s="478"/>
      <c r="PYX49" s="478"/>
      <c r="PYY49" s="478"/>
      <c r="PYZ49" s="478"/>
      <c r="PZA49" s="478"/>
      <c r="PZB49" s="478"/>
      <c r="PZC49" s="478"/>
      <c r="PZD49" s="478"/>
      <c r="PZE49" s="478"/>
      <c r="PZF49" s="478"/>
      <c r="PZG49" s="478"/>
      <c r="PZH49" s="478"/>
      <c r="PZI49" s="478"/>
      <c r="PZJ49" s="478"/>
      <c r="PZK49" s="478"/>
      <c r="PZL49" s="478"/>
      <c r="PZM49" s="478"/>
      <c r="PZN49" s="478"/>
      <c r="PZO49" s="478"/>
      <c r="PZP49" s="478"/>
      <c r="PZQ49" s="478"/>
      <c r="PZR49" s="478"/>
      <c r="PZS49" s="478"/>
      <c r="PZT49" s="478"/>
      <c r="PZU49" s="478"/>
      <c r="PZV49" s="478"/>
      <c r="PZW49" s="478"/>
      <c r="PZX49" s="478"/>
      <c r="PZY49" s="478"/>
      <c r="PZZ49" s="478"/>
      <c r="QAA49" s="478"/>
      <c r="QAB49" s="478"/>
      <c r="QAC49" s="478"/>
      <c r="QAD49" s="478"/>
      <c r="QAE49" s="478"/>
      <c r="QAF49" s="478"/>
      <c r="QAG49" s="478"/>
      <c r="QAH49" s="478"/>
      <c r="QAI49" s="478"/>
      <c r="QAJ49" s="478"/>
      <c r="QAK49" s="478"/>
      <c r="QAL49" s="478"/>
      <c r="QAM49" s="478"/>
      <c r="QAN49" s="478"/>
      <c r="QAO49" s="478"/>
      <c r="QAP49" s="478"/>
      <c r="QAQ49" s="478"/>
      <c r="QAR49" s="478"/>
      <c r="QAS49" s="478"/>
      <c r="QAT49" s="478"/>
      <c r="QAU49" s="478"/>
      <c r="QAV49" s="478"/>
      <c r="QAW49" s="478"/>
      <c r="QAX49" s="478"/>
      <c r="QAY49" s="478"/>
      <c r="QAZ49" s="478"/>
      <c r="QBA49" s="478"/>
      <c r="QBB49" s="478"/>
      <c r="QBC49" s="478"/>
      <c r="QBD49" s="478"/>
      <c r="QBE49" s="478"/>
      <c r="QBF49" s="478"/>
      <c r="QBG49" s="478"/>
      <c r="QBH49" s="478"/>
      <c r="QBI49" s="478"/>
      <c r="QBJ49" s="478"/>
      <c r="QBK49" s="478"/>
      <c r="QBL49" s="478"/>
      <c r="QBM49" s="478"/>
      <c r="QBN49" s="478"/>
      <c r="QBO49" s="478"/>
      <c r="QBP49" s="478"/>
      <c r="QBQ49" s="478"/>
      <c r="QBR49" s="478"/>
      <c r="QBS49" s="478"/>
      <c r="QBT49" s="478"/>
      <c r="QBU49" s="478"/>
      <c r="QBV49" s="478"/>
      <c r="QBW49" s="478"/>
      <c r="QBX49" s="478"/>
      <c r="QBY49" s="478"/>
      <c r="QBZ49" s="478"/>
      <c r="QCA49" s="478"/>
      <c r="QCB49" s="478"/>
      <c r="QCC49" s="478"/>
      <c r="QCD49" s="478"/>
      <c r="QCE49" s="478"/>
      <c r="QCF49" s="478"/>
      <c r="QCG49" s="478"/>
      <c r="QCH49" s="478"/>
      <c r="QCI49" s="478"/>
      <c r="QCJ49" s="478"/>
      <c r="QCK49" s="478"/>
      <c r="QCL49" s="478"/>
      <c r="QCM49" s="478"/>
      <c r="QCN49" s="478"/>
      <c r="QCO49" s="478"/>
      <c r="QCP49" s="478"/>
      <c r="QCQ49" s="478"/>
      <c r="QCR49" s="478"/>
      <c r="QCS49" s="478"/>
      <c r="QCT49" s="478"/>
      <c r="QCU49" s="478"/>
      <c r="QCV49" s="478"/>
      <c r="QCW49" s="478"/>
      <c r="QCX49" s="478"/>
      <c r="QCY49" s="478"/>
      <c r="QCZ49" s="478"/>
      <c r="QDA49" s="478"/>
      <c r="QDB49" s="478"/>
      <c r="QDC49" s="478"/>
      <c r="QDD49" s="478"/>
      <c r="QDE49" s="478"/>
      <c r="QDF49" s="478"/>
      <c r="QDG49" s="478"/>
      <c r="QDH49" s="478"/>
      <c r="QDI49" s="478"/>
      <c r="QDJ49" s="478"/>
      <c r="QDK49" s="478"/>
      <c r="QDL49" s="478"/>
      <c r="QDM49" s="478"/>
      <c r="QDN49" s="478"/>
      <c r="QDO49" s="478"/>
      <c r="QDP49" s="478"/>
      <c r="QDQ49" s="478"/>
      <c r="QDR49" s="478"/>
      <c r="QDS49" s="478"/>
      <c r="QDT49" s="478"/>
      <c r="QDU49" s="478"/>
      <c r="QDV49" s="478"/>
      <c r="QDW49" s="478"/>
      <c r="QDX49" s="478"/>
      <c r="QDY49" s="478"/>
      <c r="QDZ49" s="478"/>
      <c r="QEA49" s="478"/>
      <c r="QEB49" s="478"/>
      <c r="QEC49" s="478"/>
      <c r="QED49" s="478"/>
      <c r="QEE49" s="478"/>
      <c r="QEF49" s="478"/>
      <c r="QEG49" s="478"/>
      <c r="QEH49" s="478"/>
      <c r="QEI49" s="478"/>
      <c r="QEJ49" s="478"/>
      <c r="QEK49" s="478"/>
      <c r="QEL49" s="478"/>
      <c r="QEM49" s="478"/>
      <c r="QEN49" s="478"/>
      <c r="QEO49" s="478"/>
      <c r="QEP49" s="478"/>
      <c r="QEQ49" s="478"/>
      <c r="QER49" s="478"/>
      <c r="QES49" s="478"/>
      <c r="QET49" s="478"/>
      <c r="QEU49" s="478"/>
      <c r="QEV49" s="478"/>
      <c r="QEW49" s="478"/>
      <c r="QEX49" s="478"/>
      <c r="QEY49" s="478"/>
      <c r="QEZ49" s="478"/>
      <c r="QFA49" s="478"/>
      <c r="QFB49" s="478"/>
      <c r="QFC49" s="478"/>
      <c r="QFD49" s="478"/>
      <c r="QFE49" s="478"/>
      <c r="QFF49" s="478"/>
      <c r="QFG49" s="478"/>
      <c r="QFH49" s="478"/>
      <c r="QFI49" s="478"/>
      <c r="QFJ49" s="478"/>
      <c r="QFK49" s="478"/>
      <c r="QFL49" s="478"/>
      <c r="QFM49" s="478"/>
      <c r="QFN49" s="478"/>
      <c r="QFO49" s="478"/>
      <c r="QFP49" s="478"/>
      <c r="QFQ49" s="478"/>
      <c r="QFR49" s="478"/>
      <c r="QFS49" s="478"/>
      <c r="QFT49" s="478"/>
      <c r="QFU49" s="478"/>
      <c r="QFV49" s="478"/>
      <c r="QFW49" s="478"/>
      <c r="QFX49" s="478"/>
      <c r="QFY49" s="478"/>
      <c r="QFZ49" s="478"/>
      <c r="QGA49" s="478"/>
      <c r="QGB49" s="478"/>
      <c r="QGC49" s="478"/>
      <c r="QGD49" s="478"/>
      <c r="QGE49" s="478"/>
      <c r="QGF49" s="478"/>
      <c r="QGG49" s="478"/>
      <c r="QGH49" s="478"/>
      <c r="QGI49" s="478"/>
      <c r="QGJ49" s="478"/>
      <c r="QGK49" s="478"/>
      <c r="QGL49" s="478"/>
      <c r="QGM49" s="478"/>
      <c r="QGN49" s="478"/>
      <c r="QGO49" s="478"/>
      <c r="QGP49" s="478"/>
      <c r="QGQ49" s="478"/>
      <c r="QGR49" s="478"/>
      <c r="QGS49" s="478"/>
      <c r="QGT49" s="478"/>
      <c r="QGU49" s="478"/>
      <c r="QGV49" s="478"/>
      <c r="QGW49" s="478"/>
      <c r="QGX49" s="478"/>
      <c r="QGY49" s="478"/>
      <c r="QGZ49" s="478"/>
      <c r="QHA49" s="478"/>
      <c r="QHB49" s="478"/>
      <c r="QHC49" s="478"/>
      <c r="QHD49" s="478"/>
      <c r="QHE49" s="478"/>
      <c r="QHF49" s="478"/>
      <c r="QHG49" s="478"/>
      <c r="QHH49" s="478"/>
      <c r="QHI49" s="478"/>
      <c r="QHJ49" s="478"/>
      <c r="QHK49" s="478"/>
      <c r="QHL49" s="478"/>
      <c r="QHM49" s="478"/>
      <c r="QHN49" s="478"/>
      <c r="QHO49" s="478"/>
      <c r="QHP49" s="478"/>
      <c r="QHQ49" s="478"/>
      <c r="QHR49" s="478"/>
      <c r="QHS49" s="478"/>
      <c r="QHT49" s="478"/>
      <c r="QHU49" s="478"/>
      <c r="QHV49" s="478"/>
      <c r="QHW49" s="478"/>
      <c r="QHX49" s="478"/>
      <c r="QHY49" s="478"/>
      <c r="QHZ49" s="478"/>
      <c r="QIA49" s="478"/>
      <c r="QIB49" s="478"/>
      <c r="QIC49" s="478"/>
      <c r="QID49" s="478"/>
      <c r="QIE49" s="478"/>
      <c r="QIF49" s="478"/>
      <c r="QIG49" s="478"/>
      <c r="QIH49" s="478"/>
      <c r="QII49" s="478"/>
      <c r="QIJ49" s="478"/>
      <c r="QIK49" s="478"/>
      <c r="QIL49" s="478"/>
      <c r="QIM49" s="478"/>
      <c r="QIN49" s="478"/>
      <c r="QIO49" s="478"/>
      <c r="QIP49" s="478"/>
      <c r="QIQ49" s="478"/>
      <c r="QIR49" s="478"/>
      <c r="QIS49" s="478"/>
      <c r="QIT49" s="478"/>
      <c r="QIU49" s="478"/>
      <c r="QIV49" s="478"/>
      <c r="QIW49" s="478"/>
      <c r="QIX49" s="478"/>
      <c r="QIY49" s="478"/>
      <c r="QIZ49" s="478"/>
      <c r="QJA49" s="478"/>
      <c r="QJB49" s="478"/>
      <c r="QJC49" s="478"/>
      <c r="QJD49" s="478"/>
      <c r="QJE49" s="478"/>
      <c r="QJF49" s="478"/>
      <c r="QJG49" s="478"/>
      <c r="QJH49" s="478"/>
      <c r="QJI49" s="478"/>
      <c r="QJJ49" s="478"/>
      <c r="QJK49" s="478"/>
      <c r="QJL49" s="478"/>
      <c r="QJM49" s="478"/>
      <c r="QJN49" s="478"/>
      <c r="QJO49" s="478"/>
      <c r="QJP49" s="478"/>
      <c r="QJQ49" s="478"/>
      <c r="QJR49" s="478"/>
      <c r="QJS49" s="478"/>
      <c r="QJT49" s="478"/>
      <c r="QJU49" s="478"/>
      <c r="QJV49" s="478"/>
      <c r="QJW49" s="478"/>
      <c r="QJX49" s="478"/>
      <c r="QJY49" s="478"/>
      <c r="QJZ49" s="478"/>
      <c r="QKA49" s="478"/>
      <c r="QKB49" s="478"/>
      <c r="QKC49" s="478"/>
      <c r="QKD49" s="478"/>
      <c r="QKE49" s="478"/>
      <c r="QKF49" s="478"/>
      <c r="QKG49" s="478"/>
      <c r="QKH49" s="478"/>
      <c r="QKI49" s="478"/>
      <c r="QKJ49" s="478"/>
      <c r="QKK49" s="478"/>
      <c r="QKL49" s="478"/>
      <c r="QKM49" s="478"/>
      <c r="QKN49" s="478"/>
      <c r="QKO49" s="478"/>
      <c r="QKP49" s="478"/>
      <c r="QKQ49" s="478"/>
      <c r="QKR49" s="478"/>
      <c r="QKS49" s="478"/>
      <c r="QKT49" s="478"/>
      <c r="QKU49" s="478"/>
      <c r="QKV49" s="478"/>
      <c r="QKW49" s="478"/>
      <c r="QKX49" s="478"/>
      <c r="QKY49" s="478"/>
      <c r="QKZ49" s="478"/>
      <c r="QLA49" s="478"/>
      <c r="QLB49" s="478"/>
      <c r="QLC49" s="478"/>
      <c r="QLD49" s="478"/>
      <c r="QLE49" s="478"/>
      <c r="QLF49" s="478"/>
      <c r="QLG49" s="478"/>
      <c r="QLH49" s="478"/>
      <c r="QLI49" s="478"/>
      <c r="QLJ49" s="478"/>
      <c r="QLK49" s="478"/>
      <c r="QLL49" s="478"/>
      <c r="QLM49" s="478"/>
      <c r="QLN49" s="478"/>
      <c r="QLO49" s="478"/>
      <c r="QLP49" s="478"/>
      <c r="QLQ49" s="478"/>
      <c r="QLR49" s="478"/>
      <c r="QLS49" s="478"/>
      <c r="QLT49" s="478"/>
      <c r="QLU49" s="478"/>
      <c r="QLV49" s="478"/>
      <c r="QLW49" s="478"/>
      <c r="QLX49" s="478"/>
      <c r="QLY49" s="478"/>
      <c r="QLZ49" s="478"/>
      <c r="QMA49" s="478"/>
      <c r="QMB49" s="478"/>
      <c r="QMC49" s="478"/>
      <c r="QMD49" s="478"/>
      <c r="QME49" s="478"/>
      <c r="QMF49" s="478"/>
      <c r="QMG49" s="478"/>
      <c r="QMH49" s="478"/>
      <c r="QMI49" s="478"/>
      <c r="QMJ49" s="478"/>
      <c r="QMK49" s="478"/>
      <c r="QML49" s="478"/>
      <c r="QMM49" s="478"/>
      <c r="QMN49" s="478"/>
      <c r="QMO49" s="478"/>
      <c r="QMP49" s="478"/>
      <c r="QMQ49" s="478"/>
      <c r="QMR49" s="478"/>
      <c r="QMS49" s="478"/>
      <c r="QMT49" s="478"/>
      <c r="QMU49" s="478"/>
      <c r="QMV49" s="478"/>
      <c r="QMW49" s="478"/>
      <c r="QMX49" s="478"/>
      <c r="QMY49" s="478"/>
      <c r="QMZ49" s="478"/>
      <c r="QNA49" s="478"/>
      <c r="QNB49" s="478"/>
      <c r="QNC49" s="478"/>
      <c r="QND49" s="478"/>
      <c r="QNE49" s="478"/>
      <c r="QNF49" s="478"/>
      <c r="QNG49" s="478"/>
      <c r="QNH49" s="478"/>
      <c r="QNI49" s="478"/>
      <c r="QNJ49" s="478"/>
      <c r="QNK49" s="478"/>
      <c r="QNL49" s="478"/>
      <c r="QNM49" s="478"/>
      <c r="QNN49" s="478"/>
      <c r="QNO49" s="478"/>
      <c r="QNP49" s="478"/>
      <c r="QNQ49" s="478"/>
      <c r="QNR49" s="478"/>
      <c r="QNS49" s="478"/>
      <c r="QNT49" s="478"/>
      <c r="QNU49" s="478"/>
      <c r="QNV49" s="478"/>
      <c r="QNW49" s="478"/>
      <c r="QNX49" s="478"/>
      <c r="QNY49" s="478"/>
      <c r="QNZ49" s="478"/>
      <c r="QOA49" s="478"/>
      <c r="QOB49" s="478"/>
      <c r="QOC49" s="478"/>
      <c r="QOD49" s="478"/>
      <c r="QOE49" s="478"/>
      <c r="QOF49" s="478"/>
      <c r="QOG49" s="478"/>
      <c r="QOH49" s="478"/>
      <c r="QOI49" s="478"/>
      <c r="QOJ49" s="478"/>
      <c r="QOK49" s="478"/>
      <c r="QOL49" s="478"/>
      <c r="QOM49" s="478"/>
      <c r="QON49" s="478"/>
      <c r="QOO49" s="478"/>
      <c r="QOP49" s="478"/>
      <c r="QOQ49" s="478"/>
      <c r="QOR49" s="478"/>
      <c r="QOS49" s="478"/>
      <c r="QOT49" s="478"/>
      <c r="QOU49" s="478"/>
      <c r="QOV49" s="478"/>
      <c r="QOW49" s="478"/>
      <c r="QOX49" s="478"/>
      <c r="QOY49" s="478"/>
      <c r="QOZ49" s="478"/>
      <c r="QPA49" s="478"/>
      <c r="QPB49" s="478"/>
      <c r="QPC49" s="478"/>
      <c r="QPD49" s="478"/>
      <c r="QPE49" s="478"/>
      <c r="QPF49" s="478"/>
      <c r="QPG49" s="478"/>
      <c r="QPH49" s="478"/>
      <c r="QPI49" s="478"/>
      <c r="QPJ49" s="478"/>
      <c r="QPK49" s="478"/>
      <c r="QPL49" s="478"/>
      <c r="QPM49" s="478"/>
      <c r="QPN49" s="478"/>
      <c r="QPO49" s="478"/>
      <c r="QPP49" s="478"/>
      <c r="QPQ49" s="478"/>
      <c r="QPR49" s="478"/>
      <c r="QPS49" s="478"/>
      <c r="QPT49" s="478"/>
      <c r="QPU49" s="478"/>
      <c r="QPV49" s="478"/>
      <c r="QPW49" s="478"/>
      <c r="QPX49" s="478"/>
      <c r="QPY49" s="478"/>
      <c r="QPZ49" s="478"/>
      <c r="QQA49" s="478"/>
      <c r="QQB49" s="478"/>
      <c r="QQC49" s="478"/>
      <c r="QQD49" s="478"/>
      <c r="QQE49" s="478"/>
      <c r="QQF49" s="478"/>
      <c r="QQG49" s="478"/>
      <c r="QQH49" s="478"/>
      <c r="QQI49" s="478"/>
      <c r="QQJ49" s="478"/>
      <c r="QQK49" s="478"/>
      <c r="QQL49" s="478"/>
      <c r="QQM49" s="478"/>
      <c r="QQN49" s="478"/>
      <c r="QQO49" s="478"/>
      <c r="QQP49" s="478"/>
      <c r="QQQ49" s="478"/>
      <c r="QQR49" s="478"/>
      <c r="QQS49" s="478"/>
      <c r="QQT49" s="478"/>
      <c r="QQU49" s="478"/>
      <c r="QQV49" s="478"/>
      <c r="QQW49" s="478"/>
      <c r="QQX49" s="478"/>
      <c r="QQY49" s="478"/>
      <c r="QQZ49" s="478"/>
      <c r="QRA49" s="478"/>
      <c r="QRB49" s="478"/>
      <c r="QRC49" s="478"/>
      <c r="QRD49" s="478"/>
      <c r="QRE49" s="478"/>
      <c r="QRF49" s="478"/>
      <c r="QRG49" s="478"/>
      <c r="QRH49" s="478"/>
      <c r="QRI49" s="478"/>
      <c r="QRJ49" s="478"/>
      <c r="QRK49" s="478"/>
      <c r="QRL49" s="478"/>
      <c r="QRM49" s="478"/>
      <c r="QRN49" s="478"/>
      <c r="QRO49" s="478"/>
      <c r="QRP49" s="478"/>
      <c r="QRQ49" s="478"/>
      <c r="QRR49" s="478"/>
      <c r="QRS49" s="478"/>
      <c r="QRT49" s="478"/>
      <c r="QRU49" s="478"/>
      <c r="QRV49" s="478"/>
      <c r="QRW49" s="478"/>
      <c r="QRX49" s="478"/>
      <c r="QRY49" s="478"/>
      <c r="QRZ49" s="478"/>
      <c r="QSA49" s="478"/>
      <c r="QSB49" s="478"/>
      <c r="QSC49" s="478"/>
      <c r="QSD49" s="478"/>
      <c r="QSE49" s="478"/>
      <c r="QSF49" s="478"/>
      <c r="QSG49" s="478"/>
      <c r="QSH49" s="478"/>
      <c r="QSI49" s="478"/>
      <c r="QSJ49" s="478"/>
      <c r="QSK49" s="478"/>
      <c r="QSL49" s="478"/>
      <c r="QSM49" s="478"/>
      <c r="QSN49" s="478"/>
      <c r="QSO49" s="478"/>
      <c r="QSP49" s="478"/>
      <c r="QSQ49" s="478"/>
      <c r="QSR49" s="478"/>
      <c r="QSS49" s="478"/>
      <c r="QST49" s="478"/>
      <c r="QSU49" s="478"/>
      <c r="QSV49" s="478"/>
      <c r="QSW49" s="478"/>
      <c r="QSX49" s="478"/>
      <c r="QSY49" s="478"/>
      <c r="QSZ49" s="478"/>
      <c r="QTA49" s="478"/>
      <c r="QTB49" s="478"/>
      <c r="QTC49" s="478"/>
      <c r="QTD49" s="478"/>
      <c r="QTE49" s="478"/>
      <c r="QTF49" s="478"/>
      <c r="QTG49" s="478"/>
      <c r="QTH49" s="478"/>
      <c r="QTI49" s="478"/>
      <c r="QTJ49" s="478"/>
      <c r="QTK49" s="478"/>
      <c r="QTL49" s="478"/>
      <c r="QTM49" s="478"/>
      <c r="QTN49" s="478"/>
      <c r="QTO49" s="478"/>
      <c r="QTP49" s="478"/>
      <c r="QTQ49" s="478"/>
      <c r="QTR49" s="478"/>
      <c r="QTS49" s="478"/>
      <c r="QTT49" s="478"/>
      <c r="QTU49" s="478"/>
      <c r="QTV49" s="478"/>
      <c r="QTW49" s="478"/>
      <c r="QTX49" s="478"/>
      <c r="QTY49" s="478"/>
      <c r="QTZ49" s="478"/>
      <c r="QUA49" s="478"/>
      <c r="QUB49" s="478"/>
      <c r="QUC49" s="478"/>
      <c r="QUD49" s="478"/>
      <c r="QUE49" s="478"/>
      <c r="QUF49" s="478"/>
      <c r="QUG49" s="478"/>
      <c r="QUH49" s="478"/>
      <c r="QUI49" s="478"/>
      <c r="QUJ49" s="478"/>
      <c r="QUK49" s="478"/>
      <c r="QUL49" s="478"/>
      <c r="QUM49" s="478"/>
      <c r="QUN49" s="478"/>
      <c r="QUO49" s="478"/>
      <c r="QUP49" s="478"/>
      <c r="QUQ49" s="478"/>
      <c r="QUR49" s="478"/>
      <c r="QUS49" s="478"/>
      <c r="QUT49" s="478"/>
      <c r="QUU49" s="478"/>
      <c r="QUV49" s="478"/>
      <c r="QUW49" s="478"/>
      <c r="QUX49" s="478"/>
      <c r="QUY49" s="478"/>
      <c r="QUZ49" s="478"/>
      <c r="QVA49" s="478"/>
      <c r="QVB49" s="478"/>
      <c r="QVC49" s="478"/>
      <c r="QVD49" s="478"/>
      <c r="QVE49" s="478"/>
      <c r="QVF49" s="478"/>
      <c r="QVG49" s="478"/>
      <c r="QVH49" s="478"/>
      <c r="QVI49" s="478"/>
      <c r="QVJ49" s="478"/>
      <c r="QVK49" s="478"/>
      <c r="QVL49" s="478"/>
      <c r="QVM49" s="478"/>
      <c r="QVN49" s="478"/>
      <c r="QVO49" s="478"/>
      <c r="QVP49" s="478"/>
      <c r="QVQ49" s="478"/>
      <c r="QVR49" s="478"/>
      <c r="QVS49" s="478"/>
      <c r="QVT49" s="478"/>
      <c r="QVU49" s="478"/>
      <c r="QVV49" s="478"/>
      <c r="QVW49" s="478"/>
      <c r="QVX49" s="478"/>
      <c r="QVY49" s="478"/>
      <c r="QVZ49" s="478"/>
      <c r="QWA49" s="478"/>
      <c r="QWB49" s="478"/>
      <c r="QWC49" s="478"/>
      <c r="QWD49" s="478"/>
      <c r="QWE49" s="478"/>
      <c r="QWF49" s="478"/>
      <c r="QWG49" s="478"/>
      <c r="QWH49" s="478"/>
      <c r="QWI49" s="478"/>
      <c r="QWJ49" s="478"/>
      <c r="QWK49" s="478"/>
      <c r="QWL49" s="478"/>
      <c r="QWM49" s="478"/>
      <c r="QWN49" s="478"/>
      <c r="QWO49" s="478"/>
      <c r="QWP49" s="478"/>
      <c r="QWQ49" s="478"/>
      <c r="QWR49" s="478"/>
      <c r="QWS49" s="478"/>
      <c r="QWT49" s="478"/>
      <c r="QWU49" s="478"/>
      <c r="QWV49" s="478"/>
      <c r="QWW49" s="478"/>
      <c r="QWX49" s="478"/>
      <c r="QWY49" s="478"/>
      <c r="QWZ49" s="478"/>
      <c r="QXA49" s="478"/>
      <c r="QXB49" s="478"/>
      <c r="QXC49" s="478"/>
      <c r="QXD49" s="478"/>
      <c r="QXE49" s="478"/>
      <c r="QXF49" s="478"/>
      <c r="QXG49" s="478"/>
      <c r="QXH49" s="478"/>
      <c r="QXI49" s="478"/>
      <c r="QXJ49" s="478"/>
      <c r="QXK49" s="478"/>
      <c r="QXL49" s="478"/>
      <c r="QXM49" s="478"/>
      <c r="QXN49" s="478"/>
      <c r="QXO49" s="478"/>
      <c r="QXP49" s="478"/>
      <c r="QXQ49" s="478"/>
      <c r="QXR49" s="478"/>
      <c r="QXS49" s="478"/>
      <c r="QXT49" s="478"/>
      <c r="QXU49" s="478"/>
      <c r="QXV49" s="478"/>
      <c r="QXW49" s="478"/>
      <c r="QXX49" s="478"/>
      <c r="QXY49" s="478"/>
      <c r="QXZ49" s="478"/>
      <c r="QYA49" s="478"/>
      <c r="QYB49" s="478"/>
      <c r="QYC49" s="478"/>
      <c r="QYD49" s="478"/>
      <c r="QYE49" s="478"/>
      <c r="QYF49" s="478"/>
      <c r="QYG49" s="478"/>
      <c r="QYH49" s="478"/>
      <c r="QYI49" s="478"/>
      <c r="QYJ49" s="478"/>
      <c r="QYK49" s="478"/>
      <c r="QYL49" s="478"/>
      <c r="QYM49" s="478"/>
      <c r="QYN49" s="478"/>
      <c r="QYO49" s="478"/>
      <c r="QYP49" s="478"/>
      <c r="QYQ49" s="478"/>
      <c r="QYR49" s="478"/>
      <c r="QYS49" s="478"/>
      <c r="QYT49" s="478"/>
      <c r="QYU49" s="478"/>
      <c r="QYV49" s="478"/>
      <c r="QYW49" s="478"/>
      <c r="QYX49" s="478"/>
      <c r="QYY49" s="478"/>
      <c r="QYZ49" s="478"/>
      <c r="QZA49" s="478"/>
      <c r="QZB49" s="478"/>
      <c r="QZC49" s="478"/>
      <c r="QZD49" s="478"/>
      <c r="QZE49" s="478"/>
      <c r="QZF49" s="478"/>
      <c r="QZG49" s="478"/>
      <c r="QZH49" s="478"/>
      <c r="QZI49" s="478"/>
      <c r="QZJ49" s="478"/>
      <c r="QZK49" s="478"/>
      <c r="QZL49" s="478"/>
      <c r="QZM49" s="478"/>
      <c r="QZN49" s="478"/>
      <c r="QZO49" s="478"/>
      <c r="QZP49" s="478"/>
      <c r="QZQ49" s="478"/>
      <c r="QZR49" s="478"/>
      <c r="QZS49" s="478"/>
      <c r="QZT49" s="478"/>
      <c r="QZU49" s="478"/>
      <c r="QZV49" s="478"/>
      <c r="QZW49" s="478"/>
      <c r="QZX49" s="478"/>
      <c r="QZY49" s="478"/>
      <c r="QZZ49" s="478"/>
      <c r="RAA49" s="478"/>
      <c r="RAB49" s="478"/>
      <c r="RAC49" s="478"/>
      <c r="RAD49" s="478"/>
      <c r="RAE49" s="478"/>
      <c r="RAF49" s="478"/>
      <c r="RAG49" s="478"/>
      <c r="RAH49" s="478"/>
      <c r="RAI49" s="478"/>
      <c r="RAJ49" s="478"/>
      <c r="RAK49" s="478"/>
      <c r="RAL49" s="478"/>
      <c r="RAM49" s="478"/>
      <c r="RAN49" s="478"/>
      <c r="RAO49" s="478"/>
      <c r="RAP49" s="478"/>
      <c r="RAQ49" s="478"/>
      <c r="RAR49" s="478"/>
      <c r="RAS49" s="478"/>
      <c r="RAT49" s="478"/>
      <c r="RAU49" s="478"/>
      <c r="RAV49" s="478"/>
      <c r="RAW49" s="478"/>
      <c r="RAX49" s="478"/>
      <c r="RAY49" s="478"/>
      <c r="RAZ49" s="478"/>
      <c r="RBA49" s="478"/>
      <c r="RBB49" s="478"/>
      <c r="RBC49" s="478"/>
      <c r="RBD49" s="478"/>
      <c r="RBE49" s="478"/>
      <c r="RBF49" s="478"/>
      <c r="RBG49" s="478"/>
      <c r="RBH49" s="478"/>
      <c r="RBI49" s="478"/>
      <c r="RBJ49" s="478"/>
      <c r="RBK49" s="478"/>
      <c r="RBL49" s="478"/>
      <c r="RBM49" s="478"/>
      <c r="RBN49" s="478"/>
      <c r="RBO49" s="478"/>
      <c r="RBP49" s="478"/>
      <c r="RBQ49" s="478"/>
      <c r="RBR49" s="478"/>
      <c r="RBS49" s="478"/>
      <c r="RBT49" s="478"/>
      <c r="RBU49" s="478"/>
      <c r="RBV49" s="478"/>
      <c r="RBW49" s="478"/>
      <c r="RBX49" s="478"/>
      <c r="RBY49" s="478"/>
      <c r="RBZ49" s="478"/>
      <c r="RCA49" s="478"/>
      <c r="RCB49" s="478"/>
      <c r="RCC49" s="478"/>
      <c r="RCD49" s="478"/>
      <c r="RCE49" s="478"/>
      <c r="RCF49" s="478"/>
      <c r="RCG49" s="478"/>
      <c r="RCH49" s="478"/>
      <c r="RCI49" s="478"/>
      <c r="RCJ49" s="478"/>
      <c r="RCK49" s="478"/>
      <c r="RCL49" s="478"/>
      <c r="RCM49" s="478"/>
      <c r="RCN49" s="478"/>
      <c r="RCO49" s="478"/>
      <c r="RCP49" s="478"/>
      <c r="RCQ49" s="478"/>
      <c r="RCR49" s="478"/>
      <c r="RCS49" s="478"/>
      <c r="RCT49" s="478"/>
      <c r="RCU49" s="478"/>
      <c r="RCV49" s="478"/>
      <c r="RCW49" s="478"/>
      <c r="RCX49" s="478"/>
      <c r="RCY49" s="478"/>
      <c r="RCZ49" s="478"/>
      <c r="RDA49" s="478"/>
      <c r="RDB49" s="478"/>
      <c r="RDC49" s="478"/>
      <c r="RDD49" s="478"/>
      <c r="RDE49" s="478"/>
      <c r="RDF49" s="478"/>
      <c r="RDG49" s="478"/>
      <c r="RDH49" s="478"/>
      <c r="RDI49" s="478"/>
      <c r="RDJ49" s="478"/>
      <c r="RDK49" s="478"/>
      <c r="RDL49" s="478"/>
      <c r="RDM49" s="478"/>
      <c r="RDN49" s="478"/>
      <c r="RDO49" s="478"/>
      <c r="RDP49" s="478"/>
      <c r="RDQ49" s="478"/>
      <c r="RDR49" s="478"/>
      <c r="RDS49" s="478"/>
      <c r="RDT49" s="478"/>
      <c r="RDU49" s="478"/>
      <c r="RDV49" s="478"/>
      <c r="RDW49" s="478"/>
      <c r="RDX49" s="478"/>
      <c r="RDY49" s="478"/>
      <c r="RDZ49" s="478"/>
      <c r="REA49" s="478"/>
      <c r="REB49" s="478"/>
      <c r="REC49" s="478"/>
      <c r="RED49" s="478"/>
      <c r="REE49" s="478"/>
      <c r="REF49" s="478"/>
      <c r="REG49" s="478"/>
      <c r="REH49" s="478"/>
      <c r="REI49" s="478"/>
      <c r="REJ49" s="478"/>
      <c r="REK49" s="478"/>
      <c r="REL49" s="478"/>
      <c r="REM49" s="478"/>
      <c r="REN49" s="478"/>
      <c r="REO49" s="478"/>
      <c r="REP49" s="478"/>
      <c r="REQ49" s="478"/>
      <c r="RER49" s="478"/>
      <c r="RES49" s="478"/>
      <c r="RET49" s="478"/>
      <c r="REU49" s="478"/>
      <c r="REV49" s="478"/>
      <c r="REW49" s="478"/>
      <c r="REX49" s="478"/>
      <c r="REY49" s="478"/>
      <c r="REZ49" s="478"/>
      <c r="RFA49" s="478"/>
      <c r="RFB49" s="478"/>
      <c r="RFC49" s="478"/>
      <c r="RFD49" s="478"/>
      <c r="RFE49" s="478"/>
      <c r="RFF49" s="478"/>
      <c r="RFG49" s="478"/>
      <c r="RFH49" s="478"/>
      <c r="RFI49" s="478"/>
      <c r="RFJ49" s="478"/>
      <c r="RFK49" s="478"/>
      <c r="RFL49" s="478"/>
      <c r="RFM49" s="478"/>
      <c r="RFN49" s="478"/>
      <c r="RFO49" s="478"/>
      <c r="RFP49" s="478"/>
      <c r="RFQ49" s="478"/>
      <c r="RFR49" s="478"/>
      <c r="RFS49" s="478"/>
      <c r="RFT49" s="478"/>
      <c r="RFU49" s="478"/>
      <c r="RFV49" s="478"/>
      <c r="RFW49" s="478"/>
      <c r="RFX49" s="478"/>
      <c r="RFY49" s="478"/>
      <c r="RFZ49" s="478"/>
      <c r="RGA49" s="478"/>
      <c r="RGB49" s="478"/>
      <c r="RGC49" s="478"/>
      <c r="RGD49" s="478"/>
      <c r="RGE49" s="478"/>
      <c r="RGF49" s="478"/>
      <c r="RGG49" s="478"/>
      <c r="RGH49" s="478"/>
      <c r="RGI49" s="478"/>
      <c r="RGJ49" s="478"/>
      <c r="RGK49" s="478"/>
      <c r="RGL49" s="478"/>
      <c r="RGM49" s="478"/>
      <c r="RGN49" s="478"/>
      <c r="RGO49" s="478"/>
      <c r="RGP49" s="478"/>
      <c r="RGQ49" s="478"/>
      <c r="RGR49" s="478"/>
      <c r="RGS49" s="478"/>
      <c r="RGT49" s="478"/>
      <c r="RGU49" s="478"/>
      <c r="RGV49" s="478"/>
      <c r="RGW49" s="478"/>
      <c r="RGX49" s="478"/>
      <c r="RGY49" s="478"/>
      <c r="RGZ49" s="478"/>
      <c r="RHA49" s="478"/>
      <c r="RHB49" s="478"/>
      <c r="RHC49" s="478"/>
      <c r="RHD49" s="478"/>
      <c r="RHE49" s="478"/>
      <c r="RHF49" s="478"/>
      <c r="RHG49" s="478"/>
      <c r="RHH49" s="478"/>
      <c r="RHI49" s="478"/>
      <c r="RHJ49" s="478"/>
      <c r="RHK49" s="478"/>
      <c r="RHL49" s="478"/>
      <c r="RHM49" s="478"/>
      <c r="RHN49" s="478"/>
      <c r="RHO49" s="478"/>
      <c r="RHP49" s="478"/>
      <c r="RHQ49" s="478"/>
      <c r="RHR49" s="478"/>
      <c r="RHS49" s="478"/>
      <c r="RHT49" s="478"/>
      <c r="RHU49" s="478"/>
      <c r="RHV49" s="478"/>
      <c r="RHW49" s="478"/>
      <c r="RHX49" s="478"/>
      <c r="RHY49" s="478"/>
      <c r="RHZ49" s="478"/>
      <c r="RIA49" s="478"/>
      <c r="RIB49" s="478"/>
      <c r="RIC49" s="478"/>
      <c r="RID49" s="478"/>
      <c r="RIE49" s="478"/>
      <c r="RIF49" s="478"/>
      <c r="RIG49" s="478"/>
      <c r="RIH49" s="478"/>
      <c r="RII49" s="478"/>
      <c r="RIJ49" s="478"/>
      <c r="RIK49" s="478"/>
      <c r="RIL49" s="478"/>
      <c r="RIM49" s="478"/>
      <c r="RIN49" s="478"/>
      <c r="RIO49" s="478"/>
      <c r="RIP49" s="478"/>
      <c r="RIQ49" s="478"/>
      <c r="RIR49" s="478"/>
      <c r="RIS49" s="478"/>
      <c r="RIT49" s="478"/>
      <c r="RIU49" s="478"/>
      <c r="RIV49" s="478"/>
      <c r="RIW49" s="478"/>
      <c r="RIX49" s="478"/>
      <c r="RIY49" s="478"/>
      <c r="RIZ49" s="478"/>
      <c r="RJA49" s="478"/>
      <c r="RJB49" s="478"/>
      <c r="RJC49" s="478"/>
      <c r="RJD49" s="478"/>
      <c r="RJE49" s="478"/>
      <c r="RJF49" s="478"/>
      <c r="RJG49" s="478"/>
      <c r="RJH49" s="478"/>
      <c r="RJI49" s="478"/>
      <c r="RJJ49" s="478"/>
      <c r="RJK49" s="478"/>
      <c r="RJL49" s="478"/>
      <c r="RJM49" s="478"/>
      <c r="RJN49" s="478"/>
      <c r="RJO49" s="478"/>
      <c r="RJP49" s="478"/>
      <c r="RJQ49" s="478"/>
      <c r="RJR49" s="478"/>
      <c r="RJS49" s="478"/>
      <c r="RJT49" s="478"/>
      <c r="RJU49" s="478"/>
      <c r="RJV49" s="478"/>
      <c r="RJW49" s="478"/>
      <c r="RJX49" s="478"/>
      <c r="RJY49" s="478"/>
      <c r="RJZ49" s="478"/>
      <c r="RKA49" s="478"/>
      <c r="RKB49" s="478"/>
      <c r="RKC49" s="478"/>
      <c r="RKD49" s="478"/>
      <c r="RKE49" s="478"/>
      <c r="RKF49" s="478"/>
      <c r="RKG49" s="478"/>
      <c r="RKH49" s="478"/>
      <c r="RKI49" s="478"/>
      <c r="RKJ49" s="478"/>
      <c r="RKK49" s="478"/>
      <c r="RKL49" s="478"/>
      <c r="RKM49" s="478"/>
      <c r="RKN49" s="478"/>
      <c r="RKO49" s="478"/>
      <c r="RKP49" s="478"/>
      <c r="RKQ49" s="478"/>
      <c r="RKR49" s="478"/>
      <c r="RKS49" s="478"/>
      <c r="RKT49" s="478"/>
      <c r="RKU49" s="478"/>
      <c r="RKV49" s="478"/>
      <c r="RKW49" s="478"/>
      <c r="RKX49" s="478"/>
      <c r="RKY49" s="478"/>
      <c r="RKZ49" s="478"/>
      <c r="RLA49" s="478"/>
      <c r="RLB49" s="478"/>
      <c r="RLC49" s="478"/>
      <c r="RLD49" s="478"/>
      <c r="RLE49" s="478"/>
      <c r="RLF49" s="478"/>
      <c r="RLG49" s="478"/>
      <c r="RLH49" s="478"/>
      <c r="RLI49" s="478"/>
      <c r="RLJ49" s="478"/>
      <c r="RLK49" s="478"/>
      <c r="RLL49" s="478"/>
      <c r="RLM49" s="478"/>
      <c r="RLN49" s="478"/>
      <c r="RLO49" s="478"/>
      <c r="RLP49" s="478"/>
      <c r="RLQ49" s="478"/>
      <c r="RLR49" s="478"/>
      <c r="RLS49" s="478"/>
      <c r="RLT49" s="478"/>
      <c r="RLU49" s="478"/>
      <c r="RLV49" s="478"/>
      <c r="RLW49" s="478"/>
      <c r="RLX49" s="478"/>
      <c r="RLY49" s="478"/>
      <c r="RLZ49" s="478"/>
      <c r="RMA49" s="478"/>
      <c r="RMB49" s="478"/>
      <c r="RMC49" s="478"/>
      <c r="RMD49" s="478"/>
      <c r="RME49" s="478"/>
      <c r="RMF49" s="478"/>
      <c r="RMG49" s="478"/>
      <c r="RMH49" s="478"/>
      <c r="RMI49" s="478"/>
      <c r="RMJ49" s="478"/>
      <c r="RMK49" s="478"/>
      <c r="RML49" s="478"/>
      <c r="RMM49" s="478"/>
      <c r="RMN49" s="478"/>
      <c r="RMO49" s="478"/>
      <c r="RMP49" s="478"/>
      <c r="RMQ49" s="478"/>
      <c r="RMR49" s="478"/>
      <c r="RMS49" s="478"/>
      <c r="RMT49" s="478"/>
      <c r="RMU49" s="478"/>
      <c r="RMV49" s="478"/>
      <c r="RMW49" s="478"/>
      <c r="RMX49" s="478"/>
      <c r="RMY49" s="478"/>
      <c r="RMZ49" s="478"/>
      <c r="RNA49" s="478"/>
      <c r="RNB49" s="478"/>
      <c r="RNC49" s="478"/>
      <c r="RND49" s="478"/>
      <c r="RNE49" s="478"/>
      <c r="RNF49" s="478"/>
      <c r="RNG49" s="478"/>
      <c r="RNH49" s="478"/>
      <c r="RNI49" s="478"/>
      <c r="RNJ49" s="478"/>
      <c r="RNK49" s="478"/>
      <c r="RNL49" s="478"/>
      <c r="RNM49" s="478"/>
      <c r="RNN49" s="478"/>
      <c r="RNO49" s="478"/>
      <c r="RNP49" s="478"/>
      <c r="RNQ49" s="478"/>
      <c r="RNR49" s="478"/>
      <c r="RNS49" s="478"/>
      <c r="RNT49" s="478"/>
      <c r="RNU49" s="478"/>
      <c r="RNV49" s="478"/>
      <c r="RNW49" s="478"/>
      <c r="RNX49" s="478"/>
      <c r="RNY49" s="478"/>
      <c r="RNZ49" s="478"/>
      <c r="ROA49" s="478"/>
      <c r="ROB49" s="478"/>
      <c r="ROC49" s="478"/>
      <c r="ROD49" s="478"/>
      <c r="ROE49" s="478"/>
      <c r="ROF49" s="478"/>
      <c r="ROG49" s="478"/>
      <c r="ROH49" s="478"/>
      <c r="ROI49" s="478"/>
      <c r="ROJ49" s="478"/>
      <c r="ROK49" s="478"/>
      <c r="ROL49" s="478"/>
      <c r="ROM49" s="478"/>
      <c r="RON49" s="478"/>
      <c r="ROO49" s="478"/>
      <c r="ROP49" s="478"/>
      <c r="ROQ49" s="478"/>
      <c r="ROR49" s="478"/>
      <c r="ROS49" s="478"/>
      <c r="ROT49" s="478"/>
      <c r="ROU49" s="478"/>
      <c r="ROV49" s="478"/>
      <c r="ROW49" s="478"/>
      <c r="ROX49" s="478"/>
      <c r="ROY49" s="478"/>
      <c r="ROZ49" s="478"/>
      <c r="RPA49" s="478"/>
      <c r="RPB49" s="478"/>
      <c r="RPC49" s="478"/>
      <c r="RPD49" s="478"/>
      <c r="RPE49" s="478"/>
      <c r="RPF49" s="478"/>
      <c r="RPG49" s="478"/>
      <c r="RPH49" s="478"/>
      <c r="RPI49" s="478"/>
      <c r="RPJ49" s="478"/>
      <c r="RPK49" s="478"/>
      <c r="RPL49" s="478"/>
      <c r="RPM49" s="478"/>
      <c r="RPN49" s="478"/>
      <c r="RPO49" s="478"/>
      <c r="RPP49" s="478"/>
      <c r="RPQ49" s="478"/>
      <c r="RPR49" s="478"/>
      <c r="RPS49" s="478"/>
      <c r="RPT49" s="478"/>
      <c r="RPU49" s="478"/>
      <c r="RPV49" s="478"/>
      <c r="RPW49" s="478"/>
      <c r="RPX49" s="478"/>
      <c r="RPY49" s="478"/>
      <c r="RPZ49" s="478"/>
      <c r="RQA49" s="478"/>
      <c r="RQB49" s="478"/>
      <c r="RQC49" s="478"/>
      <c r="RQD49" s="478"/>
      <c r="RQE49" s="478"/>
      <c r="RQF49" s="478"/>
      <c r="RQG49" s="478"/>
      <c r="RQH49" s="478"/>
      <c r="RQI49" s="478"/>
      <c r="RQJ49" s="478"/>
      <c r="RQK49" s="478"/>
      <c r="RQL49" s="478"/>
      <c r="RQM49" s="478"/>
      <c r="RQN49" s="478"/>
      <c r="RQO49" s="478"/>
      <c r="RQP49" s="478"/>
      <c r="RQQ49" s="478"/>
      <c r="RQR49" s="478"/>
      <c r="RQS49" s="478"/>
      <c r="RQT49" s="478"/>
      <c r="RQU49" s="478"/>
      <c r="RQV49" s="478"/>
      <c r="RQW49" s="478"/>
      <c r="RQX49" s="478"/>
      <c r="RQY49" s="478"/>
      <c r="RQZ49" s="478"/>
      <c r="RRA49" s="478"/>
      <c r="RRB49" s="478"/>
      <c r="RRC49" s="478"/>
      <c r="RRD49" s="478"/>
      <c r="RRE49" s="478"/>
      <c r="RRF49" s="478"/>
      <c r="RRG49" s="478"/>
      <c r="RRH49" s="478"/>
      <c r="RRI49" s="478"/>
      <c r="RRJ49" s="478"/>
      <c r="RRK49" s="478"/>
      <c r="RRL49" s="478"/>
      <c r="RRM49" s="478"/>
      <c r="RRN49" s="478"/>
      <c r="RRO49" s="478"/>
      <c r="RRP49" s="478"/>
      <c r="RRQ49" s="478"/>
      <c r="RRR49" s="478"/>
      <c r="RRS49" s="478"/>
      <c r="RRT49" s="478"/>
      <c r="RRU49" s="478"/>
      <c r="RRV49" s="478"/>
      <c r="RRW49" s="478"/>
      <c r="RRX49" s="478"/>
      <c r="RRY49" s="478"/>
      <c r="RRZ49" s="478"/>
      <c r="RSA49" s="478"/>
      <c r="RSB49" s="478"/>
      <c r="RSC49" s="478"/>
      <c r="RSD49" s="478"/>
      <c r="RSE49" s="478"/>
      <c r="RSF49" s="478"/>
      <c r="RSG49" s="478"/>
      <c r="RSH49" s="478"/>
      <c r="RSI49" s="478"/>
      <c r="RSJ49" s="478"/>
      <c r="RSK49" s="478"/>
      <c r="RSL49" s="478"/>
      <c r="RSM49" s="478"/>
      <c r="RSN49" s="478"/>
      <c r="RSO49" s="478"/>
      <c r="RSP49" s="478"/>
      <c r="RSQ49" s="478"/>
      <c r="RSR49" s="478"/>
      <c r="RSS49" s="478"/>
      <c r="RST49" s="478"/>
      <c r="RSU49" s="478"/>
      <c r="RSV49" s="478"/>
      <c r="RSW49" s="478"/>
      <c r="RSX49" s="478"/>
      <c r="RSY49" s="478"/>
      <c r="RSZ49" s="478"/>
      <c r="RTA49" s="478"/>
      <c r="RTB49" s="478"/>
      <c r="RTC49" s="478"/>
      <c r="RTD49" s="478"/>
      <c r="RTE49" s="478"/>
      <c r="RTF49" s="478"/>
      <c r="RTG49" s="478"/>
      <c r="RTH49" s="478"/>
      <c r="RTI49" s="478"/>
      <c r="RTJ49" s="478"/>
      <c r="RTK49" s="478"/>
      <c r="RTL49" s="478"/>
      <c r="RTM49" s="478"/>
      <c r="RTN49" s="478"/>
      <c r="RTO49" s="478"/>
      <c r="RTP49" s="478"/>
      <c r="RTQ49" s="478"/>
      <c r="RTR49" s="478"/>
      <c r="RTS49" s="478"/>
      <c r="RTT49" s="478"/>
      <c r="RTU49" s="478"/>
      <c r="RTV49" s="478"/>
      <c r="RTW49" s="478"/>
      <c r="RTX49" s="478"/>
      <c r="RTY49" s="478"/>
      <c r="RTZ49" s="478"/>
      <c r="RUA49" s="478"/>
      <c r="RUB49" s="478"/>
      <c r="RUC49" s="478"/>
      <c r="RUD49" s="478"/>
      <c r="RUE49" s="478"/>
      <c r="RUF49" s="478"/>
      <c r="RUG49" s="478"/>
      <c r="RUH49" s="478"/>
      <c r="RUI49" s="478"/>
      <c r="RUJ49" s="478"/>
      <c r="RUK49" s="478"/>
      <c r="RUL49" s="478"/>
      <c r="RUM49" s="478"/>
      <c r="RUN49" s="478"/>
      <c r="RUO49" s="478"/>
      <c r="RUP49" s="478"/>
      <c r="RUQ49" s="478"/>
      <c r="RUR49" s="478"/>
      <c r="RUS49" s="478"/>
      <c r="RUT49" s="478"/>
      <c r="RUU49" s="478"/>
      <c r="RUV49" s="478"/>
      <c r="RUW49" s="478"/>
      <c r="RUX49" s="478"/>
      <c r="RUY49" s="478"/>
      <c r="RUZ49" s="478"/>
      <c r="RVA49" s="478"/>
      <c r="RVB49" s="478"/>
      <c r="RVC49" s="478"/>
      <c r="RVD49" s="478"/>
      <c r="RVE49" s="478"/>
      <c r="RVF49" s="478"/>
      <c r="RVG49" s="478"/>
      <c r="RVH49" s="478"/>
      <c r="RVI49" s="478"/>
      <c r="RVJ49" s="478"/>
      <c r="RVK49" s="478"/>
      <c r="RVL49" s="478"/>
      <c r="RVM49" s="478"/>
      <c r="RVN49" s="478"/>
      <c r="RVO49" s="478"/>
      <c r="RVP49" s="478"/>
      <c r="RVQ49" s="478"/>
      <c r="RVR49" s="478"/>
      <c r="RVS49" s="478"/>
      <c r="RVT49" s="478"/>
      <c r="RVU49" s="478"/>
      <c r="RVV49" s="478"/>
      <c r="RVW49" s="478"/>
      <c r="RVX49" s="478"/>
      <c r="RVY49" s="478"/>
      <c r="RVZ49" s="478"/>
      <c r="RWA49" s="478"/>
      <c r="RWB49" s="478"/>
      <c r="RWC49" s="478"/>
      <c r="RWD49" s="478"/>
      <c r="RWE49" s="478"/>
      <c r="RWF49" s="478"/>
      <c r="RWG49" s="478"/>
      <c r="RWH49" s="478"/>
      <c r="RWI49" s="478"/>
      <c r="RWJ49" s="478"/>
      <c r="RWK49" s="478"/>
      <c r="RWL49" s="478"/>
      <c r="RWM49" s="478"/>
      <c r="RWN49" s="478"/>
      <c r="RWO49" s="478"/>
      <c r="RWP49" s="478"/>
      <c r="RWQ49" s="478"/>
      <c r="RWR49" s="478"/>
      <c r="RWS49" s="478"/>
      <c r="RWT49" s="478"/>
      <c r="RWU49" s="478"/>
      <c r="RWV49" s="478"/>
      <c r="RWW49" s="478"/>
      <c r="RWX49" s="478"/>
      <c r="RWY49" s="478"/>
      <c r="RWZ49" s="478"/>
      <c r="RXA49" s="478"/>
      <c r="RXB49" s="478"/>
      <c r="RXC49" s="478"/>
      <c r="RXD49" s="478"/>
      <c r="RXE49" s="478"/>
      <c r="RXF49" s="478"/>
      <c r="RXG49" s="478"/>
      <c r="RXH49" s="478"/>
      <c r="RXI49" s="478"/>
      <c r="RXJ49" s="478"/>
      <c r="RXK49" s="478"/>
      <c r="RXL49" s="478"/>
      <c r="RXM49" s="478"/>
      <c r="RXN49" s="478"/>
      <c r="RXO49" s="478"/>
      <c r="RXP49" s="478"/>
      <c r="RXQ49" s="478"/>
      <c r="RXR49" s="478"/>
      <c r="RXS49" s="478"/>
      <c r="RXT49" s="478"/>
      <c r="RXU49" s="478"/>
      <c r="RXV49" s="478"/>
      <c r="RXW49" s="478"/>
      <c r="RXX49" s="478"/>
      <c r="RXY49" s="478"/>
      <c r="RXZ49" s="478"/>
      <c r="RYA49" s="478"/>
      <c r="RYB49" s="478"/>
      <c r="RYC49" s="478"/>
      <c r="RYD49" s="478"/>
      <c r="RYE49" s="478"/>
      <c r="RYF49" s="478"/>
      <c r="RYG49" s="478"/>
      <c r="RYH49" s="478"/>
      <c r="RYI49" s="478"/>
      <c r="RYJ49" s="478"/>
      <c r="RYK49" s="478"/>
      <c r="RYL49" s="478"/>
      <c r="RYM49" s="478"/>
      <c r="RYN49" s="478"/>
      <c r="RYO49" s="478"/>
      <c r="RYP49" s="478"/>
      <c r="RYQ49" s="478"/>
      <c r="RYR49" s="478"/>
      <c r="RYS49" s="478"/>
      <c r="RYT49" s="478"/>
      <c r="RYU49" s="478"/>
      <c r="RYV49" s="478"/>
      <c r="RYW49" s="478"/>
      <c r="RYX49" s="478"/>
      <c r="RYY49" s="478"/>
      <c r="RYZ49" s="478"/>
      <c r="RZA49" s="478"/>
      <c r="RZB49" s="478"/>
      <c r="RZC49" s="478"/>
      <c r="RZD49" s="478"/>
      <c r="RZE49" s="478"/>
      <c r="RZF49" s="478"/>
      <c r="RZG49" s="478"/>
      <c r="RZH49" s="478"/>
      <c r="RZI49" s="478"/>
      <c r="RZJ49" s="478"/>
      <c r="RZK49" s="478"/>
      <c r="RZL49" s="478"/>
      <c r="RZM49" s="478"/>
      <c r="RZN49" s="478"/>
      <c r="RZO49" s="478"/>
      <c r="RZP49" s="478"/>
      <c r="RZQ49" s="478"/>
      <c r="RZR49" s="478"/>
      <c r="RZS49" s="478"/>
      <c r="RZT49" s="478"/>
      <c r="RZU49" s="478"/>
      <c r="RZV49" s="478"/>
      <c r="RZW49" s="478"/>
      <c r="RZX49" s="478"/>
      <c r="RZY49" s="478"/>
      <c r="RZZ49" s="478"/>
      <c r="SAA49" s="478"/>
      <c r="SAB49" s="478"/>
      <c r="SAC49" s="478"/>
      <c r="SAD49" s="478"/>
      <c r="SAE49" s="478"/>
      <c r="SAF49" s="478"/>
      <c r="SAG49" s="478"/>
      <c r="SAH49" s="478"/>
      <c r="SAI49" s="478"/>
      <c r="SAJ49" s="478"/>
      <c r="SAK49" s="478"/>
      <c r="SAL49" s="478"/>
      <c r="SAM49" s="478"/>
      <c r="SAN49" s="478"/>
      <c r="SAO49" s="478"/>
      <c r="SAP49" s="478"/>
      <c r="SAQ49" s="478"/>
      <c r="SAR49" s="478"/>
      <c r="SAS49" s="478"/>
      <c r="SAT49" s="478"/>
      <c r="SAU49" s="478"/>
      <c r="SAV49" s="478"/>
      <c r="SAW49" s="478"/>
      <c r="SAX49" s="478"/>
      <c r="SAY49" s="478"/>
      <c r="SAZ49" s="478"/>
      <c r="SBA49" s="478"/>
      <c r="SBB49" s="478"/>
      <c r="SBC49" s="478"/>
      <c r="SBD49" s="478"/>
      <c r="SBE49" s="478"/>
      <c r="SBF49" s="478"/>
      <c r="SBG49" s="478"/>
      <c r="SBH49" s="478"/>
      <c r="SBI49" s="478"/>
      <c r="SBJ49" s="478"/>
      <c r="SBK49" s="478"/>
      <c r="SBL49" s="478"/>
      <c r="SBM49" s="478"/>
      <c r="SBN49" s="478"/>
      <c r="SBO49" s="478"/>
      <c r="SBP49" s="478"/>
      <c r="SBQ49" s="478"/>
      <c r="SBR49" s="478"/>
      <c r="SBS49" s="478"/>
      <c r="SBT49" s="478"/>
      <c r="SBU49" s="478"/>
      <c r="SBV49" s="478"/>
      <c r="SBW49" s="478"/>
      <c r="SBX49" s="478"/>
      <c r="SBY49" s="478"/>
      <c r="SBZ49" s="478"/>
      <c r="SCA49" s="478"/>
      <c r="SCB49" s="478"/>
      <c r="SCC49" s="478"/>
      <c r="SCD49" s="478"/>
      <c r="SCE49" s="478"/>
      <c r="SCF49" s="478"/>
      <c r="SCG49" s="478"/>
      <c r="SCH49" s="478"/>
      <c r="SCI49" s="478"/>
      <c r="SCJ49" s="478"/>
      <c r="SCK49" s="478"/>
      <c r="SCL49" s="478"/>
      <c r="SCM49" s="478"/>
      <c r="SCN49" s="478"/>
      <c r="SCO49" s="478"/>
      <c r="SCP49" s="478"/>
      <c r="SCQ49" s="478"/>
      <c r="SCR49" s="478"/>
      <c r="SCS49" s="478"/>
      <c r="SCT49" s="478"/>
      <c r="SCU49" s="478"/>
      <c r="SCV49" s="478"/>
      <c r="SCW49" s="478"/>
      <c r="SCX49" s="478"/>
      <c r="SCY49" s="478"/>
      <c r="SCZ49" s="478"/>
      <c r="SDA49" s="478"/>
      <c r="SDB49" s="478"/>
      <c r="SDC49" s="478"/>
      <c r="SDD49" s="478"/>
      <c r="SDE49" s="478"/>
      <c r="SDF49" s="478"/>
      <c r="SDG49" s="478"/>
      <c r="SDH49" s="478"/>
      <c r="SDI49" s="478"/>
      <c r="SDJ49" s="478"/>
      <c r="SDK49" s="478"/>
      <c r="SDL49" s="478"/>
      <c r="SDM49" s="478"/>
      <c r="SDN49" s="478"/>
      <c r="SDO49" s="478"/>
      <c r="SDP49" s="478"/>
      <c r="SDQ49" s="478"/>
      <c r="SDR49" s="478"/>
      <c r="SDS49" s="478"/>
      <c r="SDT49" s="478"/>
      <c r="SDU49" s="478"/>
      <c r="SDV49" s="478"/>
      <c r="SDW49" s="478"/>
      <c r="SDX49" s="478"/>
      <c r="SDY49" s="478"/>
      <c r="SDZ49" s="478"/>
      <c r="SEA49" s="478"/>
      <c r="SEB49" s="478"/>
      <c r="SEC49" s="478"/>
      <c r="SED49" s="478"/>
      <c r="SEE49" s="478"/>
      <c r="SEF49" s="478"/>
      <c r="SEG49" s="478"/>
      <c r="SEH49" s="478"/>
      <c r="SEI49" s="478"/>
      <c r="SEJ49" s="478"/>
      <c r="SEK49" s="478"/>
      <c r="SEL49" s="478"/>
      <c r="SEM49" s="478"/>
      <c r="SEN49" s="478"/>
      <c r="SEO49" s="478"/>
      <c r="SEP49" s="478"/>
      <c r="SEQ49" s="478"/>
      <c r="SER49" s="478"/>
      <c r="SES49" s="478"/>
      <c r="SET49" s="478"/>
      <c r="SEU49" s="478"/>
      <c r="SEV49" s="478"/>
      <c r="SEW49" s="478"/>
      <c r="SEX49" s="478"/>
      <c r="SEY49" s="478"/>
      <c r="SEZ49" s="478"/>
      <c r="SFA49" s="478"/>
      <c r="SFB49" s="478"/>
      <c r="SFC49" s="478"/>
      <c r="SFD49" s="478"/>
      <c r="SFE49" s="478"/>
      <c r="SFF49" s="478"/>
      <c r="SFG49" s="478"/>
      <c r="SFH49" s="478"/>
      <c r="SFI49" s="478"/>
      <c r="SFJ49" s="478"/>
      <c r="SFK49" s="478"/>
      <c r="SFL49" s="478"/>
      <c r="SFM49" s="478"/>
      <c r="SFN49" s="478"/>
      <c r="SFO49" s="478"/>
      <c r="SFP49" s="478"/>
      <c r="SFQ49" s="478"/>
      <c r="SFR49" s="478"/>
      <c r="SFS49" s="478"/>
      <c r="SFT49" s="478"/>
      <c r="SFU49" s="478"/>
      <c r="SFV49" s="478"/>
      <c r="SFW49" s="478"/>
      <c r="SFX49" s="478"/>
      <c r="SFY49" s="478"/>
      <c r="SFZ49" s="478"/>
      <c r="SGA49" s="478"/>
      <c r="SGB49" s="478"/>
      <c r="SGC49" s="478"/>
      <c r="SGD49" s="478"/>
      <c r="SGE49" s="478"/>
      <c r="SGF49" s="478"/>
      <c r="SGG49" s="478"/>
      <c r="SGH49" s="478"/>
      <c r="SGI49" s="478"/>
      <c r="SGJ49" s="478"/>
      <c r="SGK49" s="478"/>
      <c r="SGL49" s="478"/>
      <c r="SGM49" s="478"/>
      <c r="SGN49" s="478"/>
      <c r="SGO49" s="478"/>
      <c r="SGP49" s="478"/>
      <c r="SGQ49" s="478"/>
      <c r="SGR49" s="478"/>
      <c r="SGS49" s="478"/>
      <c r="SGT49" s="478"/>
      <c r="SGU49" s="478"/>
      <c r="SGV49" s="478"/>
      <c r="SGW49" s="478"/>
      <c r="SGX49" s="478"/>
      <c r="SGY49" s="478"/>
      <c r="SGZ49" s="478"/>
      <c r="SHA49" s="478"/>
      <c r="SHB49" s="478"/>
      <c r="SHC49" s="478"/>
      <c r="SHD49" s="478"/>
      <c r="SHE49" s="478"/>
      <c r="SHF49" s="478"/>
      <c r="SHG49" s="478"/>
      <c r="SHH49" s="478"/>
      <c r="SHI49" s="478"/>
      <c r="SHJ49" s="478"/>
      <c r="SHK49" s="478"/>
      <c r="SHL49" s="478"/>
      <c r="SHM49" s="478"/>
      <c r="SHN49" s="478"/>
      <c r="SHO49" s="478"/>
      <c r="SHP49" s="478"/>
      <c r="SHQ49" s="478"/>
      <c r="SHR49" s="478"/>
      <c r="SHS49" s="478"/>
      <c r="SHT49" s="478"/>
      <c r="SHU49" s="478"/>
      <c r="SHV49" s="478"/>
      <c r="SHW49" s="478"/>
      <c r="SHX49" s="478"/>
      <c r="SHY49" s="478"/>
      <c r="SHZ49" s="478"/>
      <c r="SIA49" s="478"/>
      <c r="SIB49" s="478"/>
      <c r="SIC49" s="478"/>
      <c r="SID49" s="478"/>
      <c r="SIE49" s="478"/>
      <c r="SIF49" s="478"/>
      <c r="SIG49" s="478"/>
      <c r="SIH49" s="478"/>
      <c r="SII49" s="478"/>
      <c r="SIJ49" s="478"/>
      <c r="SIK49" s="478"/>
      <c r="SIL49" s="478"/>
      <c r="SIM49" s="478"/>
      <c r="SIN49" s="478"/>
      <c r="SIO49" s="478"/>
      <c r="SIP49" s="478"/>
      <c r="SIQ49" s="478"/>
      <c r="SIR49" s="478"/>
      <c r="SIS49" s="478"/>
      <c r="SIT49" s="478"/>
      <c r="SIU49" s="478"/>
      <c r="SIV49" s="478"/>
      <c r="SIW49" s="478"/>
      <c r="SIX49" s="478"/>
      <c r="SIY49" s="478"/>
      <c r="SIZ49" s="478"/>
      <c r="SJA49" s="478"/>
      <c r="SJB49" s="478"/>
      <c r="SJC49" s="478"/>
      <c r="SJD49" s="478"/>
      <c r="SJE49" s="478"/>
      <c r="SJF49" s="478"/>
      <c r="SJG49" s="478"/>
      <c r="SJH49" s="478"/>
      <c r="SJI49" s="478"/>
      <c r="SJJ49" s="478"/>
      <c r="SJK49" s="478"/>
      <c r="SJL49" s="478"/>
      <c r="SJM49" s="478"/>
      <c r="SJN49" s="478"/>
      <c r="SJO49" s="478"/>
      <c r="SJP49" s="478"/>
      <c r="SJQ49" s="478"/>
      <c r="SJR49" s="478"/>
      <c r="SJS49" s="478"/>
      <c r="SJT49" s="478"/>
      <c r="SJU49" s="478"/>
      <c r="SJV49" s="478"/>
      <c r="SJW49" s="478"/>
      <c r="SJX49" s="478"/>
      <c r="SJY49" s="478"/>
      <c r="SJZ49" s="478"/>
      <c r="SKA49" s="478"/>
      <c r="SKB49" s="478"/>
      <c r="SKC49" s="478"/>
      <c r="SKD49" s="478"/>
      <c r="SKE49" s="478"/>
      <c r="SKF49" s="478"/>
      <c r="SKG49" s="478"/>
      <c r="SKH49" s="478"/>
      <c r="SKI49" s="478"/>
      <c r="SKJ49" s="478"/>
      <c r="SKK49" s="478"/>
      <c r="SKL49" s="478"/>
      <c r="SKM49" s="478"/>
      <c r="SKN49" s="478"/>
      <c r="SKO49" s="478"/>
      <c r="SKP49" s="478"/>
      <c r="SKQ49" s="478"/>
      <c r="SKR49" s="478"/>
      <c r="SKS49" s="478"/>
      <c r="SKT49" s="478"/>
      <c r="SKU49" s="478"/>
      <c r="SKV49" s="478"/>
      <c r="SKW49" s="478"/>
      <c r="SKX49" s="478"/>
      <c r="SKY49" s="478"/>
      <c r="SKZ49" s="478"/>
      <c r="SLA49" s="478"/>
      <c r="SLB49" s="478"/>
      <c r="SLC49" s="478"/>
      <c r="SLD49" s="478"/>
      <c r="SLE49" s="478"/>
      <c r="SLF49" s="478"/>
      <c r="SLG49" s="478"/>
      <c r="SLH49" s="478"/>
      <c r="SLI49" s="478"/>
      <c r="SLJ49" s="478"/>
      <c r="SLK49" s="478"/>
      <c r="SLL49" s="478"/>
      <c r="SLM49" s="478"/>
      <c r="SLN49" s="478"/>
      <c r="SLO49" s="478"/>
      <c r="SLP49" s="478"/>
      <c r="SLQ49" s="478"/>
      <c r="SLR49" s="478"/>
      <c r="SLS49" s="478"/>
      <c r="SLT49" s="478"/>
      <c r="SLU49" s="478"/>
      <c r="SLV49" s="478"/>
      <c r="SLW49" s="478"/>
      <c r="SLX49" s="478"/>
      <c r="SLY49" s="478"/>
      <c r="SLZ49" s="478"/>
      <c r="SMA49" s="478"/>
      <c r="SMB49" s="478"/>
      <c r="SMC49" s="478"/>
      <c r="SMD49" s="478"/>
      <c r="SME49" s="478"/>
      <c r="SMF49" s="478"/>
      <c r="SMG49" s="478"/>
      <c r="SMH49" s="478"/>
      <c r="SMI49" s="478"/>
      <c r="SMJ49" s="478"/>
      <c r="SMK49" s="478"/>
      <c r="SML49" s="478"/>
      <c r="SMM49" s="478"/>
      <c r="SMN49" s="478"/>
      <c r="SMO49" s="478"/>
      <c r="SMP49" s="478"/>
      <c r="SMQ49" s="478"/>
      <c r="SMR49" s="478"/>
      <c r="SMS49" s="478"/>
      <c r="SMT49" s="478"/>
      <c r="SMU49" s="478"/>
      <c r="SMV49" s="478"/>
      <c r="SMW49" s="478"/>
      <c r="SMX49" s="478"/>
      <c r="SMY49" s="478"/>
      <c r="SMZ49" s="478"/>
      <c r="SNA49" s="478"/>
      <c r="SNB49" s="478"/>
      <c r="SNC49" s="478"/>
      <c r="SND49" s="478"/>
      <c r="SNE49" s="478"/>
      <c r="SNF49" s="478"/>
      <c r="SNG49" s="478"/>
      <c r="SNH49" s="478"/>
      <c r="SNI49" s="478"/>
      <c r="SNJ49" s="478"/>
      <c r="SNK49" s="478"/>
      <c r="SNL49" s="478"/>
      <c r="SNM49" s="478"/>
      <c r="SNN49" s="478"/>
      <c r="SNO49" s="478"/>
      <c r="SNP49" s="478"/>
      <c r="SNQ49" s="478"/>
      <c r="SNR49" s="478"/>
      <c r="SNS49" s="478"/>
      <c r="SNT49" s="478"/>
      <c r="SNU49" s="478"/>
      <c r="SNV49" s="478"/>
      <c r="SNW49" s="478"/>
      <c r="SNX49" s="478"/>
      <c r="SNY49" s="478"/>
      <c r="SNZ49" s="478"/>
      <c r="SOA49" s="478"/>
      <c r="SOB49" s="478"/>
      <c r="SOC49" s="478"/>
      <c r="SOD49" s="478"/>
      <c r="SOE49" s="478"/>
      <c r="SOF49" s="478"/>
      <c r="SOG49" s="478"/>
      <c r="SOH49" s="478"/>
      <c r="SOI49" s="478"/>
      <c r="SOJ49" s="478"/>
      <c r="SOK49" s="478"/>
      <c r="SOL49" s="478"/>
      <c r="SOM49" s="478"/>
      <c r="SON49" s="478"/>
      <c r="SOO49" s="478"/>
      <c r="SOP49" s="478"/>
      <c r="SOQ49" s="478"/>
      <c r="SOR49" s="478"/>
      <c r="SOS49" s="478"/>
      <c r="SOT49" s="478"/>
      <c r="SOU49" s="478"/>
      <c r="SOV49" s="478"/>
      <c r="SOW49" s="478"/>
      <c r="SOX49" s="478"/>
      <c r="SOY49" s="478"/>
      <c r="SOZ49" s="478"/>
      <c r="SPA49" s="478"/>
      <c r="SPB49" s="478"/>
      <c r="SPC49" s="478"/>
      <c r="SPD49" s="478"/>
      <c r="SPE49" s="478"/>
      <c r="SPF49" s="478"/>
      <c r="SPG49" s="478"/>
      <c r="SPH49" s="478"/>
      <c r="SPI49" s="478"/>
      <c r="SPJ49" s="478"/>
      <c r="SPK49" s="478"/>
      <c r="SPL49" s="478"/>
      <c r="SPM49" s="478"/>
      <c r="SPN49" s="478"/>
      <c r="SPO49" s="478"/>
      <c r="SPP49" s="478"/>
      <c r="SPQ49" s="478"/>
      <c r="SPR49" s="478"/>
      <c r="SPS49" s="478"/>
      <c r="SPT49" s="478"/>
      <c r="SPU49" s="478"/>
      <c r="SPV49" s="478"/>
      <c r="SPW49" s="478"/>
      <c r="SPX49" s="478"/>
      <c r="SPY49" s="478"/>
      <c r="SPZ49" s="478"/>
      <c r="SQA49" s="478"/>
      <c r="SQB49" s="478"/>
      <c r="SQC49" s="478"/>
      <c r="SQD49" s="478"/>
      <c r="SQE49" s="478"/>
      <c r="SQF49" s="478"/>
      <c r="SQG49" s="478"/>
      <c r="SQH49" s="478"/>
      <c r="SQI49" s="478"/>
      <c r="SQJ49" s="478"/>
      <c r="SQK49" s="478"/>
      <c r="SQL49" s="478"/>
      <c r="SQM49" s="478"/>
      <c r="SQN49" s="478"/>
      <c r="SQO49" s="478"/>
      <c r="SQP49" s="478"/>
      <c r="SQQ49" s="478"/>
      <c r="SQR49" s="478"/>
      <c r="SQS49" s="478"/>
      <c r="SQT49" s="478"/>
      <c r="SQU49" s="478"/>
      <c r="SQV49" s="478"/>
      <c r="SQW49" s="478"/>
      <c r="SQX49" s="478"/>
      <c r="SQY49" s="478"/>
      <c r="SQZ49" s="478"/>
      <c r="SRA49" s="478"/>
      <c r="SRB49" s="478"/>
      <c r="SRC49" s="478"/>
      <c r="SRD49" s="478"/>
      <c r="SRE49" s="478"/>
      <c r="SRF49" s="478"/>
      <c r="SRG49" s="478"/>
      <c r="SRH49" s="478"/>
      <c r="SRI49" s="478"/>
      <c r="SRJ49" s="478"/>
      <c r="SRK49" s="478"/>
      <c r="SRL49" s="478"/>
      <c r="SRM49" s="478"/>
      <c r="SRN49" s="478"/>
      <c r="SRO49" s="478"/>
      <c r="SRP49" s="478"/>
      <c r="SRQ49" s="478"/>
      <c r="SRR49" s="478"/>
      <c r="SRS49" s="478"/>
      <c r="SRT49" s="478"/>
      <c r="SRU49" s="478"/>
      <c r="SRV49" s="478"/>
      <c r="SRW49" s="478"/>
      <c r="SRX49" s="478"/>
      <c r="SRY49" s="478"/>
      <c r="SRZ49" s="478"/>
      <c r="SSA49" s="478"/>
      <c r="SSB49" s="478"/>
      <c r="SSC49" s="478"/>
      <c r="SSD49" s="478"/>
      <c r="SSE49" s="478"/>
      <c r="SSF49" s="478"/>
      <c r="SSG49" s="478"/>
      <c r="SSH49" s="478"/>
      <c r="SSI49" s="478"/>
      <c r="SSJ49" s="478"/>
      <c r="SSK49" s="478"/>
      <c r="SSL49" s="478"/>
      <c r="SSM49" s="478"/>
      <c r="SSN49" s="478"/>
      <c r="SSO49" s="478"/>
      <c r="SSP49" s="478"/>
      <c r="SSQ49" s="478"/>
      <c r="SSR49" s="478"/>
      <c r="SSS49" s="478"/>
      <c r="SST49" s="478"/>
      <c r="SSU49" s="478"/>
      <c r="SSV49" s="478"/>
      <c r="SSW49" s="478"/>
      <c r="SSX49" s="478"/>
      <c r="SSY49" s="478"/>
      <c r="SSZ49" s="478"/>
      <c r="STA49" s="478"/>
      <c r="STB49" s="478"/>
      <c r="STC49" s="478"/>
      <c r="STD49" s="478"/>
      <c r="STE49" s="478"/>
      <c r="STF49" s="478"/>
      <c r="STG49" s="478"/>
      <c r="STH49" s="478"/>
      <c r="STI49" s="478"/>
      <c r="STJ49" s="478"/>
      <c r="STK49" s="478"/>
      <c r="STL49" s="478"/>
      <c r="STM49" s="478"/>
      <c r="STN49" s="478"/>
      <c r="STO49" s="478"/>
      <c r="STP49" s="478"/>
      <c r="STQ49" s="478"/>
      <c r="STR49" s="478"/>
      <c r="STS49" s="478"/>
      <c r="STT49" s="478"/>
      <c r="STU49" s="478"/>
      <c r="STV49" s="478"/>
      <c r="STW49" s="478"/>
      <c r="STX49" s="478"/>
      <c r="STY49" s="478"/>
      <c r="STZ49" s="478"/>
      <c r="SUA49" s="478"/>
      <c r="SUB49" s="478"/>
      <c r="SUC49" s="478"/>
      <c r="SUD49" s="478"/>
      <c r="SUE49" s="478"/>
      <c r="SUF49" s="478"/>
      <c r="SUG49" s="478"/>
      <c r="SUH49" s="478"/>
      <c r="SUI49" s="478"/>
      <c r="SUJ49" s="478"/>
      <c r="SUK49" s="478"/>
      <c r="SUL49" s="478"/>
      <c r="SUM49" s="478"/>
      <c r="SUN49" s="478"/>
      <c r="SUO49" s="478"/>
      <c r="SUP49" s="478"/>
      <c r="SUQ49" s="478"/>
      <c r="SUR49" s="478"/>
      <c r="SUS49" s="478"/>
      <c r="SUT49" s="478"/>
      <c r="SUU49" s="478"/>
      <c r="SUV49" s="478"/>
      <c r="SUW49" s="478"/>
      <c r="SUX49" s="478"/>
      <c r="SUY49" s="478"/>
      <c r="SUZ49" s="478"/>
      <c r="SVA49" s="478"/>
      <c r="SVB49" s="478"/>
      <c r="SVC49" s="478"/>
      <c r="SVD49" s="478"/>
      <c r="SVE49" s="478"/>
      <c r="SVF49" s="478"/>
      <c r="SVG49" s="478"/>
      <c r="SVH49" s="478"/>
      <c r="SVI49" s="478"/>
      <c r="SVJ49" s="478"/>
      <c r="SVK49" s="478"/>
      <c r="SVL49" s="478"/>
      <c r="SVM49" s="478"/>
      <c r="SVN49" s="478"/>
      <c r="SVO49" s="478"/>
      <c r="SVP49" s="478"/>
      <c r="SVQ49" s="478"/>
      <c r="SVR49" s="478"/>
      <c r="SVS49" s="478"/>
      <c r="SVT49" s="478"/>
      <c r="SVU49" s="478"/>
      <c r="SVV49" s="478"/>
      <c r="SVW49" s="478"/>
      <c r="SVX49" s="478"/>
      <c r="SVY49" s="478"/>
      <c r="SVZ49" s="478"/>
      <c r="SWA49" s="478"/>
      <c r="SWB49" s="478"/>
      <c r="SWC49" s="478"/>
      <c r="SWD49" s="478"/>
      <c r="SWE49" s="478"/>
      <c r="SWF49" s="478"/>
      <c r="SWG49" s="478"/>
      <c r="SWH49" s="478"/>
      <c r="SWI49" s="478"/>
      <c r="SWJ49" s="478"/>
      <c r="SWK49" s="478"/>
      <c r="SWL49" s="478"/>
      <c r="SWM49" s="478"/>
      <c r="SWN49" s="478"/>
      <c r="SWO49" s="478"/>
      <c r="SWP49" s="478"/>
      <c r="SWQ49" s="478"/>
      <c r="SWR49" s="478"/>
      <c r="SWS49" s="478"/>
      <c r="SWT49" s="478"/>
      <c r="SWU49" s="478"/>
      <c r="SWV49" s="478"/>
      <c r="SWW49" s="478"/>
      <c r="SWX49" s="478"/>
      <c r="SWY49" s="478"/>
      <c r="SWZ49" s="478"/>
      <c r="SXA49" s="478"/>
      <c r="SXB49" s="478"/>
      <c r="SXC49" s="478"/>
      <c r="SXD49" s="478"/>
      <c r="SXE49" s="478"/>
      <c r="SXF49" s="478"/>
      <c r="SXG49" s="478"/>
      <c r="SXH49" s="478"/>
      <c r="SXI49" s="478"/>
      <c r="SXJ49" s="478"/>
      <c r="SXK49" s="478"/>
      <c r="SXL49" s="478"/>
      <c r="SXM49" s="478"/>
      <c r="SXN49" s="478"/>
      <c r="SXO49" s="478"/>
      <c r="SXP49" s="478"/>
      <c r="SXQ49" s="478"/>
      <c r="SXR49" s="478"/>
      <c r="SXS49" s="478"/>
      <c r="SXT49" s="478"/>
      <c r="SXU49" s="478"/>
      <c r="SXV49" s="478"/>
      <c r="SXW49" s="478"/>
      <c r="SXX49" s="478"/>
      <c r="SXY49" s="478"/>
      <c r="SXZ49" s="478"/>
      <c r="SYA49" s="478"/>
      <c r="SYB49" s="478"/>
      <c r="SYC49" s="478"/>
      <c r="SYD49" s="478"/>
      <c r="SYE49" s="478"/>
      <c r="SYF49" s="478"/>
      <c r="SYG49" s="478"/>
      <c r="SYH49" s="478"/>
      <c r="SYI49" s="478"/>
      <c r="SYJ49" s="478"/>
      <c r="SYK49" s="478"/>
      <c r="SYL49" s="478"/>
      <c r="SYM49" s="478"/>
      <c r="SYN49" s="478"/>
      <c r="SYO49" s="478"/>
      <c r="SYP49" s="478"/>
      <c r="SYQ49" s="478"/>
      <c r="SYR49" s="478"/>
      <c r="SYS49" s="478"/>
      <c r="SYT49" s="478"/>
      <c r="SYU49" s="478"/>
      <c r="SYV49" s="478"/>
      <c r="SYW49" s="478"/>
      <c r="SYX49" s="478"/>
      <c r="SYY49" s="478"/>
      <c r="SYZ49" s="478"/>
      <c r="SZA49" s="478"/>
      <c r="SZB49" s="478"/>
      <c r="SZC49" s="478"/>
      <c r="SZD49" s="478"/>
      <c r="SZE49" s="478"/>
      <c r="SZF49" s="478"/>
      <c r="SZG49" s="478"/>
      <c r="SZH49" s="478"/>
      <c r="SZI49" s="478"/>
      <c r="SZJ49" s="478"/>
      <c r="SZK49" s="478"/>
      <c r="SZL49" s="478"/>
      <c r="SZM49" s="478"/>
      <c r="SZN49" s="478"/>
      <c r="SZO49" s="478"/>
      <c r="SZP49" s="478"/>
      <c r="SZQ49" s="478"/>
      <c r="SZR49" s="478"/>
      <c r="SZS49" s="478"/>
      <c r="SZT49" s="478"/>
      <c r="SZU49" s="478"/>
      <c r="SZV49" s="478"/>
      <c r="SZW49" s="478"/>
      <c r="SZX49" s="478"/>
      <c r="SZY49" s="478"/>
      <c r="SZZ49" s="478"/>
      <c r="TAA49" s="478"/>
      <c r="TAB49" s="478"/>
      <c r="TAC49" s="478"/>
      <c r="TAD49" s="478"/>
      <c r="TAE49" s="478"/>
      <c r="TAF49" s="478"/>
      <c r="TAG49" s="478"/>
      <c r="TAH49" s="478"/>
      <c r="TAI49" s="478"/>
      <c r="TAJ49" s="478"/>
      <c r="TAK49" s="478"/>
      <c r="TAL49" s="478"/>
      <c r="TAM49" s="478"/>
      <c r="TAN49" s="478"/>
      <c r="TAO49" s="478"/>
      <c r="TAP49" s="478"/>
      <c r="TAQ49" s="478"/>
      <c r="TAR49" s="478"/>
      <c r="TAS49" s="478"/>
      <c r="TAT49" s="478"/>
      <c r="TAU49" s="478"/>
      <c r="TAV49" s="478"/>
      <c r="TAW49" s="478"/>
      <c r="TAX49" s="478"/>
      <c r="TAY49" s="478"/>
      <c r="TAZ49" s="478"/>
      <c r="TBA49" s="478"/>
      <c r="TBB49" s="478"/>
      <c r="TBC49" s="478"/>
      <c r="TBD49" s="478"/>
      <c r="TBE49" s="478"/>
      <c r="TBF49" s="478"/>
      <c r="TBG49" s="478"/>
      <c r="TBH49" s="478"/>
      <c r="TBI49" s="478"/>
      <c r="TBJ49" s="478"/>
      <c r="TBK49" s="478"/>
      <c r="TBL49" s="478"/>
      <c r="TBM49" s="478"/>
      <c r="TBN49" s="478"/>
      <c r="TBO49" s="478"/>
      <c r="TBP49" s="478"/>
      <c r="TBQ49" s="478"/>
      <c r="TBR49" s="478"/>
      <c r="TBS49" s="478"/>
      <c r="TBT49" s="478"/>
      <c r="TBU49" s="478"/>
      <c r="TBV49" s="478"/>
      <c r="TBW49" s="478"/>
      <c r="TBX49" s="478"/>
      <c r="TBY49" s="478"/>
      <c r="TBZ49" s="478"/>
      <c r="TCA49" s="478"/>
      <c r="TCB49" s="478"/>
      <c r="TCC49" s="478"/>
      <c r="TCD49" s="478"/>
      <c r="TCE49" s="478"/>
      <c r="TCF49" s="478"/>
      <c r="TCG49" s="478"/>
      <c r="TCH49" s="478"/>
      <c r="TCI49" s="478"/>
      <c r="TCJ49" s="478"/>
      <c r="TCK49" s="478"/>
      <c r="TCL49" s="478"/>
      <c r="TCM49" s="478"/>
      <c r="TCN49" s="478"/>
      <c r="TCO49" s="478"/>
      <c r="TCP49" s="478"/>
      <c r="TCQ49" s="478"/>
      <c r="TCR49" s="478"/>
      <c r="TCS49" s="478"/>
      <c r="TCT49" s="478"/>
      <c r="TCU49" s="478"/>
      <c r="TCV49" s="478"/>
      <c r="TCW49" s="478"/>
      <c r="TCX49" s="478"/>
      <c r="TCY49" s="478"/>
      <c r="TCZ49" s="478"/>
      <c r="TDA49" s="478"/>
      <c r="TDB49" s="478"/>
      <c r="TDC49" s="478"/>
      <c r="TDD49" s="478"/>
      <c r="TDE49" s="478"/>
      <c r="TDF49" s="478"/>
      <c r="TDG49" s="478"/>
      <c r="TDH49" s="478"/>
      <c r="TDI49" s="478"/>
      <c r="TDJ49" s="478"/>
      <c r="TDK49" s="478"/>
      <c r="TDL49" s="478"/>
      <c r="TDM49" s="478"/>
      <c r="TDN49" s="478"/>
      <c r="TDO49" s="478"/>
      <c r="TDP49" s="478"/>
      <c r="TDQ49" s="478"/>
      <c r="TDR49" s="478"/>
      <c r="TDS49" s="478"/>
      <c r="TDT49" s="478"/>
      <c r="TDU49" s="478"/>
      <c r="TDV49" s="478"/>
      <c r="TDW49" s="478"/>
      <c r="TDX49" s="478"/>
      <c r="TDY49" s="478"/>
      <c r="TDZ49" s="478"/>
      <c r="TEA49" s="478"/>
      <c r="TEB49" s="478"/>
      <c r="TEC49" s="478"/>
      <c r="TED49" s="478"/>
      <c r="TEE49" s="478"/>
      <c r="TEF49" s="478"/>
      <c r="TEG49" s="478"/>
      <c r="TEH49" s="478"/>
      <c r="TEI49" s="478"/>
      <c r="TEJ49" s="478"/>
      <c r="TEK49" s="478"/>
      <c r="TEL49" s="478"/>
      <c r="TEM49" s="478"/>
      <c r="TEN49" s="478"/>
      <c r="TEO49" s="478"/>
      <c r="TEP49" s="478"/>
      <c r="TEQ49" s="478"/>
      <c r="TER49" s="478"/>
      <c r="TES49" s="478"/>
      <c r="TET49" s="478"/>
      <c r="TEU49" s="478"/>
      <c r="TEV49" s="478"/>
      <c r="TEW49" s="478"/>
      <c r="TEX49" s="478"/>
      <c r="TEY49" s="478"/>
      <c r="TEZ49" s="478"/>
      <c r="TFA49" s="478"/>
      <c r="TFB49" s="478"/>
      <c r="TFC49" s="478"/>
      <c r="TFD49" s="478"/>
      <c r="TFE49" s="478"/>
      <c r="TFF49" s="478"/>
      <c r="TFG49" s="478"/>
      <c r="TFH49" s="478"/>
      <c r="TFI49" s="478"/>
      <c r="TFJ49" s="478"/>
      <c r="TFK49" s="478"/>
      <c r="TFL49" s="478"/>
      <c r="TFM49" s="478"/>
      <c r="TFN49" s="478"/>
      <c r="TFO49" s="478"/>
      <c r="TFP49" s="478"/>
      <c r="TFQ49" s="478"/>
      <c r="TFR49" s="478"/>
      <c r="TFS49" s="478"/>
      <c r="TFT49" s="478"/>
      <c r="TFU49" s="478"/>
      <c r="TFV49" s="478"/>
      <c r="TFW49" s="478"/>
      <c r="TFX49" s="478"/>
      <c r="TFY49" s="478"/>
      <c r="TFZ49" s="478"/>
      <c r="TGA49" s="478"/>
      <c r="TGB49" s="478"/>
      <c r="TGC49" s="478"/>
      <c r="TGD49" s="478"/>
      <c r="TGE49" s="478"/>
      <c r="TGF49" s="478"/>
      <c r="TGG49" s="478"/>
      <c r="TGH49" s="478"/>
      <c r="TGI49" s="478"/>
      <c r="TGJ49" s="478"/>
      <c r="TGK49" s="478"/>
      <c r="TGL49" s="478"/>
      <c r="TGM49" s="478"/>
      <c r="TGN49" s="478"/>
      <c r="TGO49" s="478"/>
      <c r="TGP49" s="478"/>
      <c r="TGQ49" s="478"/>
      <c r="TGR49" s="478"/>
      <c r="TGS49" s="478"/>
      <c r="TGT49" s="478"/>
      <c r="TGU49" s="478"/>
      <c r="TGV49" s="478"/>
      <c r="TGW49" s="478"/>
      <c r="TGX49" s="478"/>
      <c r="TGY49" s="478"/>
      <c r="TGZ49" s="478"/>
      <c r="THA49" s="478"/>
      <c r="THB49" s="478"/>
      <c r="THC49" s="478"/>
      <c r="THD49" s="478"/>
      <c r="THE49" s="478"/>
      <c r="THF49" s="478"/>
      <c r="THG49" s="478"/>
      <c r="THH49" s="478"/>
      <c r="THI49" s="478"/>
      <c r="THJ49" s="478"/>
      <c r="THK49" s="478"/>
      <c r="THL49" s="478"/>
      <c r="THM49" s="478"/>
      <c r="THN49" s="478"/>
      <c r="THO49" s="478"/>
      <c r="THP49" s="478"/>
      <c r="THQ49" s="478"/>
      <c r="THR49" s="478"/>
      <c r="THS49" s="478"/>
      <c r="THT49" s="478"/>
      <c r="THU49" s="478"/>
      <c r="THV49" s="478"/>
      <c r="THW49" s="478"/>
      <c r="THX49" s="478"/>
      <c r="THY49" s="478"/>
      <c r="THZ49" s="478"/>
      <c r="TIA49" s="478"/>
      <c r="TIB49" s="478"/>
      <c r="TIC49" s="478"/>
      <c r="TID49" s="478"/>
      <c r="TIE49" s="478"/>
      <c r="TIF49" s="478"/>
      <c r="TIG49" s="478"/>
      <c r="TIH49" s="478"/>
      <c r="TII49" s="478"/>
      <c r="TIJ49" s="478"/>
      <c r="TIK49" s="478"/>
      <c r="TIL49" s="478"/>
      <c r="TIM49" s="478"/>
      <c r="TIN49" s="478"/>
      <c r="TIO49" s="478"/>
      <c r="TIP49" s="478"/>
      <c r="TIQ49" s="478"/>
      <c r="TIR49" s="478"/>
      <c r="TIS49" s="478"/>
      <c r="TIT49" s="478"/>
      <c r="TIU49" s="478"/>
      <c r="TIV49" s="478"/>
      <c r="TIW49" s="478"/>
      <c r="TIX49" s="478"/>
      <c r="TIY49" s="478"/>
      <c r="TIZ49" s="478"/>
      <c r="TJA49" s="478"/>
      <c r="TJB49" s="478"/>
      <c r="TJC49" s="478"/>
      <c r="TJD49" s="478"/>
      <c r="TJE49" s="478"/>
      <c r="TJF49" s="478"/>
      <c r="TJG49" s="478"/>
      <c r="TJH49" s="478"/>
      <c r="TJI49" s="478"/>
      <c r="TJJ49" s="478"/>
      <c r="TJK49" s="478"/>
      <c r="TJL49" s="478"/>
      <c r="TJM49" s="478"/>
      <c r="TJN49" s="478"/>
      <c r="TJO49" s="478"/>
      <c r="TJP49" s="478"/>
      <c r="TJQ49" s="478"/>
      <c r="TJR49" s="478"/>
      <c r="TJS49" s="478"/>
      <c r="TJT49" s="478"/>
      <c r="TJU49" s="478"/>
      <c r="TJV49" s="478"/>
      <c r="TJW49" s="478"/>
      <c r="TJX49" s="478"/>
      <c r="TJY49" s="478"/>
      <c r="TJZ49" s="478"/>
      <c r="TKA49" s="478"/>
      <c r="TKB49" s="478"/>
      <c r="TKC49" s="478"/>
      <c r="TKD49" s="478"/>
      <c r="TKE49" s="478"/>
      <c r="TKF49" s="478"/>
      <c r="TKG49" s="478"/>
      <c r="TKH49" s="478"/>
      <c r="TKI49" s="478"/>
      <c r="TKJ49" s="478"/>
      <c r="TKK49" s="478"/>
      <c r="TKL49" s="478"/>
      <c r="TKM49" s="478"/>
      <c r="TKN49" s="478"/>
      <c r="TKO49" s="478"/>
      <c r="TKP49" s="478"/>
      <c r="TKQ49" s="478"/>
      <c r="TKR49" s="478"/>
      <c r="TKS49" s="478"/>
      <c r="TKT49" s="478"/>
      <c r="TKU49" s="478"/>
      <c r="TKV49" s="478"/>
      <c r="TKW49" s="478"/>
      <c r="TKX49" s="478"/>
      <c r="TKY49" s="478"/>
      <c r="TKZ49" s="478"/>
      <c r="TLA49" s="478"/>
      <c r="TLB49" s="478"/>
      <c r="TLC49" s="478"/>
      <c r="TLD49" s="478"/>
      <c r="TLE49" s="478"/>
      <c r="TLF49" s="478"/>
      <c r="TLG49" s="478"/>
      <c r="TLH49" s="478"/>
      <c r="TLI49" s="478"/>
      <c r="TLJ49" s="478"/>
      <c r="TLK49" s="478"/>
      <c r="TLL49" s="478"/>
      <c r="TLM49" s="478"/>
      <c r="TLN49" s="478"/>
      <c r="TLO49" s="478"/>
      <c r="TLP49" s="478"/>
      <c r="TLQ49" s="478"/>
      <c r="TLR49" s="478"/>
      <c r="TLS49" s="478"/>
      <c r="TLT49" s="478"/>
      <c r="TLU49" s="478"/>
      <c r="TLV49" s="478"/>
      <c r="TLW49" s="478"/>
      <c r="TLX49" s="478"/>
      <c r="TLY49" s="478"/>
      <c r="TLZ49" s="478"/>
      <c r="TMA49" s="478"/>
      <c r="TMB49" s="478"/>
      <c r="TMC49" s="478"/>
      <c r="TMD49" s="478"/>
      <c r="TME49" s="478"/>
      <c r="TMF49" s="478"/>
      <c r="TMG49" s="478"/>
      <c r="TMH49" s="478"/>
      <c r="TMI49" s="478"/>
      <c r="TMJ49" s="478"/>
      <c r="TMK49" s="478"/>
      <c r="TML49" s="478"/>
      <c r="TMM49" s="478"/>
      <c r="TMN49" s="478"/>
      <c r="TMO49" s="478"/>
      <c r="TMP49" s="478"/>
      <c r="TMQ49" s="478"/>
      <c r="TMR49" s="478"/>
      <c r="TMS49" s="478"/>
      <c r="TMT49" s="478"/>
      <c r="TMU49" s="478"/>
      <c r="TMV49" s="478"/>
      <c r="TMW49" s="478"/>
      <c r="TMX49" s="478"/>
      <c r="TMY49" s="478"/>
      <c r="TMZ49" s="478"/>
      <c r="TNA49" s="478"/>
      <c r="TNB49" s="478"/>
      <c r="TNC49" s="478"/>
      <c r="TND49" s="478"/>
      <c r="TNE49" s="478"/>
      <c r="TNF49" s="478"/>
      <c r="TNG49" s="478"/>
      <c r="TNH49" s="478"/>
      <c r="TNI49" s="478"/>
      <c r="TNJ49" s="478"/>
      <c r="TNK49" s="478"/>
      <c r="TNL49" s="478"/>
      <c r="TNM49" s="478"/>
      <c r="TNN49" s="478"/>
      <c r="TNO49" s="478"/>
      <c r="TNP49" s="478"/>
      <c r="TNQ49" s="478"/>
      <c r="TNR49" s="478"/>
      <c r="TNS49" s="478"/>
      <c r="TNT49" s="478"/>
      <c r="TNU49" s="478"/>
      <c r="TNV49" s="478"/>
      <c r="TNW49" s="478"/>
      <c r="TNX49" s="478"/>
      <c r="TNY49" s="478"/>
      <c r="TNZ49" s="478"/>
      <c r="TOA49" s="478"/>
      <c r="TOB49" s="478"/>
      <c r="TOC49" s="478"/>
      <c r="TOD49" s="478"/>
      <c r="TOE49" s="478"/>
      <c r="TOF49" s="478"/>
      <c r="TOG49" s="478"/>
      <c r="TOH49" s="478"/>
      <c r="TOI49" s="478"/>
      <c r="TOJ49" s="478"/>
      <c r="TOK49" s="478"/>
      <c r="TOL49" s="478"/>
      <c r="TOM49" s="478"/>
      <c r="TON49" s="478"/>
      <c r="TOO49" s="478"/>
      <c r="TOP49" s="478"/>
      <c r="TOQ49" s="478"/>
      <c r="TOR49" s="478"/>
      <c r="TOS49" s="478"/>
      <c r="TOT49" s="478"/>
      <c r="TOU49" s="478"/>
      <c r="TOV49" s="478"/>
      <c r="TOW49" s="478"/>
      <c r="TOX49" s="478"/>
      <c r="TOY49" s="478"/>
      <c r="TOZ49" s="478"/>
      <c r="TPA49" s="478"/>
      <c r="TPB49" s="478"/>
      <c r="TPC49" s="478"/>
      <c r="TPD49" s="478"/>
      <c r="TPE49" s="478"/>
      <c r="TPF49" s="478"/>
      <c r="TPG49" s="478"/>
      <c r="TPH49" s="478"/>
      <c r="TPI49" s="478"/>
      <c r="TPJ49" s="478"/>
      <c r="TPK49" s="478"/>
      <c r="TPL49" s="478"/>
      <c r="TPM49" s="478"/>
      <c r="TPN49" s="478"/>
      <c r="TPO49" s="478"/>
      <c r="TPP49" s="478"/>
      <c r="TPQ49" s="478"/>
      <c r="TPR49" s="478"/>
      <c r="TPS49" s="478"/>
      <c r="TPT49" s="478"/>
      <c r="TPU49" s="478"/>
      <c r="TPV49" s="478"/>
      <c r="TPW49" s="478"/>
      <c r="TPX49" s="478"/>
      <c r="TPY49" s="478"/>
      <c r="TPZ49" s="478"/>
      <c r="TQA49" s="478"/>
      <c r="TQB49" s="478"/>
      <c r="TQC49" s="478"/>
      <c r="TQD49" s="478"/>
      <c r="TQE49" s="478"/>
      <c r="TQF49" s="478"/>
      <c r="TQG49" s="478"/>
      <c r="TQH49" s="478"/>
      <c r="TQI49" s="478"/>
      <c r="TQJ49" s="478"/>
      <c r="TQK49" s="478"/>
      <c r="TQL49" s="478"/>
      <c r="TQM49" s="478"/>
      <c r="TQN49" s="478"/>
      <c r="TQO49" s="478"/>
      <c r="TQP49" s="478"/>
      <c r="TQQ49" s="478"/>
      <c r="TQR49" s="478"/>
      <c r="TQS49" s="478"/>
      <c r="TQT49" s="478"/>
      <c r="TQU49" s="478"/>
      <c r="TQV49" s="478"/>
      <c r="TQW49" s="478"/>
      <c r="TQX49" s="478"/>
      <c r="TQY49" s="478"/>
      <c r="TQZ49" s="478"/>
      <c r="TRA49" s="478"/>
      <c r="TRB49" s="478"/>
      <c r="TRC49" s="478"/>
      <c r="TRD49" s="478"/>
      <c r="TRE49" s="478"/>
      <c r="TRF49" s="478"/>
      <c r="TRG49" s="478"/>
      <c r="TRH49" s="478"/>
      <c r="TRI49" s="478"/>
      <c r="TRJ49" s="478"/>
      <c r="TRK49" s="478"/>
      <c r="TRL49" s="478"/>
      <c r="TRM49" s="478"/>
      <c r="TRN49" s="478"/>
      <c r="TRO49" s="478"/>
      <c r="TRP49" s="478"/>
      <c r="TRQ49" s="478"/>
      <c r="TRR49" s="478"/>
      <c r="TRS49" s="478"/>
      <c r="TRT49" s="478"/>
      <c r="TRU49" s="478"/>
      <c r="TRV49" s="478"/>
      <c r="TRW49" s="478"/>
      <c r="TRX49" s="478"/>
      <c r="TRY49" s="478"/>
      <c r="TRZ49" s="478"/>
      <c r="TSA49" s="478"/>
      <c r="TSB49" s="478"/>
      <c r="TSC49" s="478"/>
      <c r="TSD49" s="478"/>
      <c r="TSE49" s="478"/>
      <c r="TSF49" s="478"/>
      <c r="TSG49" s="478"/>
      <c r="TSH49" s="478"/>
      <c r="TSI49" s="478"/>
      <c r="TSJ49" s="478"/>
      <c r="TSK49" s="478"/>
      <c r="TSL49" s="478"/>
      <c r="TSM49" s="478"/>
      <c r="TSN49" s="478"/>
      <c r="TSO49" s="478"/>
      <c r="TSP49" s="478"/>
      <c r="TSQ49" s="478"/>
      <c r="TSR49" s="478"/>
      <c r="TSS49" s="478"/>
      <c r="TST49" s="478"/>
      <c r="TSU49" s="478"/>
      <c r="TSV49" s="478"/>
      <c r="TSW49" s="478"/>
      <c r="TSX49" s="478"/>
      <c r="TSY49" s="478"/>
      <c r="TSZ49" s="478"/>
      <c r="TTA49" s="478"/>
      <c r="TTB49" s="478"/>
      <c r="TTC49" s="478"/>
      <c r="TTD49" s="478"/>
      <c r="TTE49" s="478"/>
      <c r="TTF49" s="478"/>
      <c r="TTG49" s="478"/>
      <c r="TTH49" s="478"/>
      <c r="TTI49" s="478"/>
      <c r="TTJ49" s="478"/>
      <c r="TTK49" s="478"/>
      <c r="TTL49" s="478"/>
      <c r="TTM49" s="478"/>
      <c r="TTN49" s="478"/>
      <c r="TTO49" s="478"/>
      <c r="TTP49" s="478"/>
      <c r="TTQ49" s="478"/>
      <c r="TTR49" s="478"/>
      <c r="TTS49" s="478"/>
      <c r="TTT49" s="478"/>
      <c r="TTU49" s="478"/>
      <c r="TTV49" s="478"/>
      <c r="TTW49" s="478"/>
      <c r="TTX49" s="478"/>
      <c r="TTY49" s="478"/>
      <c r="TTZ49" s="478"/>
      <c r="TUA49" s="478"/>
      <c r="TUB49" s="478"/>
      <c r="TUC49" s="478"/>
      <c r="TUD49" s="478"/>
      <c r="TUE49" s="478"/>
      <c r="TUF49" s="478"/>
      <c r="TUG49" s="478"/>
      <c r="TUH49" s="478"/>
      <c r="TUI49" s="478"/>
      <c r="TUJ49" s="478"/>
      <c r="TUK49" s="478"/>
      <c r="TUL49" s="478"/>
      <c r="TUM49" s="478"/>
      <c r="TUN49" s="478"/>
      <c r="TUO49" s="478"/>
      <c r="TUP49" s="478"/>
      <c r="TUQ49" s="478"/>
      <c r="TUR49" s="478"/>
      <c r="TUS49" s="478"/>
      <c r="TUT49" s="478"/>
      <c r="TUU49" s="478"/>
      <c r="TUV49" s="478"/>
      <c r="TUW49" s="478"/>
      <c r="TUX49" s="478"/>
      <c r="TUY49" s="478"/>
      <c r="TUZ49" s="478"/>
      <c r="TVA49" s="478"/>
      <c r="TVB49" s="478"/>
      <c r="TVC49" s="478"/>
      <c r="TVD49" s="478"/>
      <c r="TVE49" s="478"/>
      <c r="TVF49" s="478"/>
      <c r="TVG49" s="478"/>
      <c r="TVH49" s="478"/>
      <c r="TVI49" s="478"/>
      <c r="TVJ49" s="478"/>
      <c r="TVK49" s="478"/>
      <c r="TVL49" s="478"/>
      <c r="TVM49" s="478"/>
      <c r="TVN49" s="478"/>
      <c r="TVO49" s="478"/>
      <c r="TVP49" s="478"/>
      <c r="TVQ49" s="478"/>
      <c r="TVR49" s="478"/>
      <c r="TVS49" s="478"/>
      <c r="TVT49" s="478"/>
      <c r="TVU49" s="478"/>
      <c r="TVV49" s="478"/>
      <c r="TVW49" s="478"/>
      <c r="TVX49" s="478"/>
      <c r="TVY49" s="478"/>
      <c r="TVZ49" s="478"/>
      <c r="TWA49" s="478"/>
      <c r="TWB49" s="478"/>
      <c r="TWC49" s="478"/>
      <c r="TWD49" s="478"/>
      <c r="TWE49" s="478"/>
      <c r="TWF49" s="478"/>
      <c r="TWG49" s="478"/>
      <c r="TWH49" s="478"/>
      <c r="TWI49" s="478"/>
      <c r="TWJ49" s="478"/>
      <c r="TWK49" s="478"/>
      <c r="TWL49" s="478"/>
      <c r="TWM49" s="478"/>
      <c r="TWN49" s="478"/>
      <c r="TWO49" s="478"/>
      <c r="TWP49" s="478"/>
      <c r="TWQ49" s="478"/>
      <c r="TWR49" s="478"/>
      <c r="TWS49" s="478"/>
      <c r="TWT49" s="478"/>
      <c r="TWU49" s="478"/>
      <c r="TWV49" s="478"/>
      <c r="TWW49" s="478"/>
      <c r="TWX49" s="478"/>
      <c r="TWY49" s="478"/>
      <c r="TWZ49" s="478"/>
      <c r="TXA49" s="478"/>
      <c r="TXB49" s="478"/>
      <c r="TXC49" s="478"/>
      <c r="TXD49" s="478"/>
      <c r="TXE49" s="478"/>
      <c r="TXF49" s="478"/>
      <c r="TXG49" s="478"/>
      <c r="TXH49" s="478"/>
      <c r="TXI49" s="478"/>
      <c r="TXJ49" s="478"/>
      <c r="TXK49" s="478"/>
      <c r="TXL49" s="478"/>
      <c r="TXM49" s="478"/>
      <c r="TXN49" s="478"/>
      <c r="TXO49" s="478"/>
      <c r="TXP49" s="478"/>
      <c r="TXQ49" s="478"/>
      <c r="TXR49" s="478"/>
      <c r="TXS49" s="478"/>
      <c r="TXT49" s="478"/>
      <c r="TXU49" s="478"/>
      <c r="TXV49" s="478"/>
      <c r="TXW49" s="478"/>
      <c r="TXX49" s="478"/>
      <c r="TXY49" s="478"/>
      <c r="TXZ49" s="478"/>
      <c r="TYA49" s="478"/>
      <c r="TYB49" s="478"/>
      <c r="TYC49" s="478"/>
      <c r="TYD49" s="478"/>
      <c r="TYE49" s="478"/>
      <c r="TYF49" s="478"/>
      <c r="TYG49" s="478"/>
      <c r="TYH49" s="478"/>
      <c r="TYI49" s="478"/>
      <c r="TYJ49" s="478"/>
      <c r="TYK49" s="478"/>
      <c r="TYL49" s="478"/>
      <c r="TYM49" s="478"/>
      <c r="TYN49" s="478"/>
      <c r="TYO49" s="478"/>
      <c r="TYP49" s="478"/>
      <c r="TYQ49" s="478"/>
      <c r="TYR49" s="478"/>
      <c r="TYS49" s="478"/>
      <c r="TYT49" s="478"/>
      <c r="TYU49" s="478"/>
      <c r="TYV49" s="478"/>
      <c r="TYW49" s="478"/>
      <c r="TYX49" s="478"/>
      <c r="TYY49" s="478"/>
      <c r="TYZ49" s="478"/>
      <c r="TZA49" s="478"/>
      <c r="TZB49" s="478"/>
      <c r="TZC49" s="478"/>
      <c r="TZD49" s="478"/>
      <c r="TZE49" s="478"/>
      <c r="TZF49" s="478"/>
      <c r="TZG49" s="478"/>
      <c r="TZH49" s="478"/>
      <c r="TZI49" s="478"/>
      <c r="TZJ49" s="478"/>
      <c r="TZK49" s="478"/>
      <c r="TZL49" s="478"/>
      <c r="TZM49" s="478"/>
      <c r="TZN49" s="478"/>
      <c r="TZO49" s="478"/>
      <c r="TZP49" s="478"/>
      <c r="TZQ49" s="478"/>
      <c r="TZR49" s="478"/>
      <c r="TZS49" s="478"/>
      <c r="TZT49" s="478"/>
      <c r="TZU49" s="478"/>
      <c r="TZV49" s="478"/>
      <c r="TZW49" s="478"/>
      <c r="TZX49" s="478"/>
      <c r="TZY49" s="478"/>
      <c r="TZZ49" s="478"/>
      <c r="UAA49" s="478"/>
      <c r="UAB49" s="478"/>
      <c r="UAC49" s="478"/>
      <c r="UAD49" s="478"/>
      <c r="UAE49" s="478"/>
      <c r="UAF49" s="478"/>
      <c r="UAG49" s="478"/>
      <c r="UAH49" s="478"/>
      <c r="UAI49" s="478"/>
      <c r="UAJ49" s="478"/>
      <c r="UAK49" s="478"/>
      <c r="UAL49" s="478"/>
      <c r="UAM49" s="478"/>
      <c r="UAN49" s="478"/>
      <c r="UAO49" s="478"/>
      <c r="UAP49" s="478"/>
      <c r="UAQ49" s="478"/>
      <c r="UAR49" s="478"/>
      <c r="UAS49" s="478"/>
      <c r="UAT49" s="478"/>
      <c r="UAU49" s="478"/>
      <c r="UAV49" s="478"/>
      <c r="UAW49" s="478"/>
      <c r="UAX49" s="478"/>
      <c r="UAY49" s="478"/>
      <c r="UAZ49" s="478"/>
      <c r="UBA49" s="478"/>
      <c r="UBB49" s="478"/>
      <c r="UBC49" s="478"/>
      <c r="UBD49" s="478"/>
      <c r="UBE49" s="478"/>
      <c r="UBF49" s="478"/>
      <c r="UBG49" s="478"/>
      <c r="UBH49" s="478"/>
      <c r="UBI49" s="478"/>
      <c r="UBJ49" s="478"/>
      <c r="UBK49" s="478"/>
      <c r="UBL49" s="478"/>
      <c r="UBM49" s="478"/>
      <c r="UBN49" s="478"/>
      <c r="UBO49" s="478"/>
      <c r="UBP49" s="478"/>
      <c r="UBQ49" s="478"/>
      <c r="UBR49" s="478"/>
      <c r="UBS49" s="478"/>
      <c r="UBT49" s="478"/>
      <c r="UBU49" s="478"/>
      <c r="UBV49" s="478"/>
      <c r="UBW49" s="478"/>
      <c r="UBX49" s="478"/>
      <c r="UBY49" s="478"/>
      <c r="UBZ49" s="478"/>
      <c r="UCA49" s="478"/>
      <c r="UCB49" s="478"/>
      <c r="UCC49" s="478"/>
      <c r="UCD49" s="478"/>
      <c r="UCE49" s="478"/>
      <c r="UCF49" s="478"/>
      <c r="UCG49" s="478"/>
      <c r="UCH49" s="478"/>
      <c r="UCI49" s="478"/>
      <c r="UCJ49" s="478"/>
      <c r="UCK49" s="478"/>
      <c r="UCL49" s="478"/>
      <c r="UCM49" s="478"/>
      <c r="UCN49" s="478"/>
      <c r="UCO49" s="478"/>
      <c r="UCP49" s="478"/>
      <c r="UCQ49" s="478"/>
      <c r="UCR49" s="478"/>
      <c r="UCS49" s="478"/>
      <c r="UCT49" s="478"/>
      <c r="UCU49" s="478"/>
      <c r="UCV49" s="478"/>
      <c r="UCW49" s="478"/>
      <c r="UCX49" s="478"/>
      <c r="UCY49" s="478"/>
      <c r="UCZ49" s="478"/>
      <c r="UDA49" s="478"/>
      <c r="UDB49" s="478"/>
      <c r="UDC49" s="478"/>
      <c r="UDD49" s="478"/>
      <c r="UDE49" s="478"/>
      <c r="UDF49" s="478"/>
      <c r="UDG49" s="478"/>
      <c r="UDH49" s="478"/>
      <c r="UDI49" s="478"/>
      <c r="UDJ49" s="478"/>
      <c r="UDK49" s="478"/>
      <c r="UDL49" s="478"/>
      <c r="UDM49" s="478"/>
      <c r="UDN49" s="478"/>
      <c r="UDO49" s="478"/>
      <c r="UDP49" s="478"/>
      <c r="UDQ49" s="478"/>
      <c r="UDR49" s="478"/>
      <c r="UDS49" s="478"/>
      <c r="UDT49" s="478"/>
      <c r="UDU49" s="478"/>
      <c r="UDV49" s="478"/>
      <c r="UDW49" s="478"/>
      <c r="UDX49" s="478"/>
      <c r="UDY49" s="478"/>
      <c r="UDZ49" s="478"/>
      <c r="UEA49" s="478"/>
      <c r="UEB49" s="478"/>
      <c r="UEC49" s="478"/>
      <c r="UED49" s="478"/>
      <c r="UEE49" s="478"/>
      <c r="UEF49" s="478"/>
      <c r="UEG49" s="478"/>
      <c r="UEH49" s="478"/>
      <c r="UEI49" s="478"/>
      <c r="UEJ49" s="478"/>
      <c r="UEK49" s="478"/>
      <c r="UEL49" s="478"/>
      <c r="UEM49" s="478"/>
      <c r="UEN49" s="478"/>
      <c r="UEO49" s="478"/>
      <c r="UEP49" s="478"/>
      <c r="UEQ49" s="478"/>
      <c r="UER49" s="478"/>
      <c r="UES49" s="478"/>
      <c r="UET49" s="478"/>
      <c r="UEU49" s="478"/>
      <c r="UEV49" s="478"/>
      <c r="UEW49" s="478"/>
      <c r="UEX49" s="478"/>
      <c r="UEY49" s="478"/>
      <c r="UEZ49" s="478"/>
      <c r="UFA49" s="478"/>
      <c r="UFB49" s="478"/>
      <c r="UFC49" s="478"/>
      <c r="UFD49" s="478"/>
      <c r="UFE49" s="478"/>
      <c r="UFF49" s="478"/>
      <c r="UFG49" s="478"/>
      <c r="UFH49" s="478"/>
      <c r="UFI49" s="478"/>
      <c r="UFJ49" s="478"/>
      <c r="UFK49" s="478"/>
      <c r="UFL49" s="478"/>
      <c r="UFM49" s="478"/>
      <c r="UFN49" s="478"/>
      <c r="UFO49" s="478"/>
      <c r="UFP49" s="478"/>
      <c r="UFQ49" s="478"/>
      <c r="UFR49" s="478"/>
      <c r="UFS49" s="478"/>
      <c r="UFT49" s="478"/>
      <c r="UFU49" s="478"/>
      <c r="UFV49" s="478"/>
      <c r="UFW49" s="478"/>
      <c r="UFX49" s="478"/>
      <c r="UFY49" s="478"/>
      <c r="UFZ49" s="478"/>
      <c r="UGA49" s="478"/>
      <c r="UGB49" s="478"/>
      <c r="UGC49" s="478"/>
      <c r="UGD49" s="478"/>
      <c r="UGE49" s="478"/>
      <c r="UGF49" s="478"/>
      <c r="UGG49" s="478"/>
      <c r="UGH49" s="478"/>
      <c r="UGI49" s="478"/>
      <c r="UGJ49" s="478"/>
      <c r="UGK49" s="478"/>
      <c r="UGL49" s="478"/>
      <c r="UGM49" s="478"/>
      <c r="UGN49" s="478"/>
      <c r="UGO49" s="478"/>
      <c r="UGP49" s="478"/>
      <c r="UGQ49" s="478"/>
      <c r="UGR49" s="478"/>
      <c r="UGS49" s="478"/>
      <c r="UGT49" s="478"/>
      <c r="UGU49" s="478"/>
      <c r="UGV49" s="478"/>
      <c r="UGW49" s="478"/>
      <c r="UGX49" s="478"/>
      <c r="UGY49" s="478"/>
      <c r="UGZ49" s="478"/>
      <c r="UHA49" s="478"/>
      <c r="UHB49" s="478"/>
      <c r="UHC49" s="478"/>
      <c r="UHD49" s="478"/>
      <c r="UHE49" s="478"/>
      <c r="UHF49" s="478"/>
      <c r="UHG49" s="478"/>
      <c r="UHH49" s="478"/>
      <c r="UHI49" s="478"/>
      <c r="UHJ49" s="478"/>
      <c r="UHK49" s="478"/>
      <c r="UHL49" s="478"/>
      <c r="UHM49" s="478"/>
      <c r="UHN49" s="478"/>
      <c r="UHO49" s="478"/>
      <c r="UHP49" s="478"/>
      <c r="UHQ49" s="478"/>
      <c r="UHR49" s="478"/>
      <c r="UHS49" s="478"/>
      <c r="UHT49" s="478"/>
      <c r="UHU49" s="478"/>
      <c r="UHV49" s="478"/>
      <c r="UHW49" s="478"/>
      <c r="UHX49" s="478"/>
      <c r="UHY49" s="478"/>
      <c r="UHZ49" s="478"/>
      <c r="UIA49" s="478"/>
      <c r="UIB49" s="478"/>
      <c r="UIC49" s="478"/>
      <c r="UID49" s="478"/>
      <c r="UIE49" s="478"/>
      <c r="UIF49" s="478"/>
      <c r="UIG49" s="478"/>
      <c r="UIH49" s="478"/>
      <c r="UII49" s="478"/>
      <c r="UIJ49" s="478"/>
      <c r="UIK49" s="478"/>
      <c r="UIL49" s="478"/>
      <c r="UIM49" s="478"/>
      <c r="UIN49" s="478"/>
      <c r="UIO49" s="478"/>
      <c r="UIP49" s="478"/>
      <c r="UIQ49" s="478"/>
      <c r="UIR49" s="478"/>
      <c r="UIS49" s="478"/>
      <c r="UIT49" s="478"/>
      <c r="UIU49" s="478"/>
      <c r="UIV49" s="478"/>
      <c r="UIW49" s="478"/>
      <c r="UIX49" s="478"/>
      <c r="UIY49" s="478"/>
      <c r="UIZ49" s="478"/>
      <c r="UJA49" s="478"/>
      <c r="UJB49" s="478"/>
      <c r="UJC49" s="478"/>
      <c r="UJD49" s="478"/>
      <c r="UJE49" s="478"/>
      <c r="UJF49" s="478"/>
      <c r="UJG49" s="478"/>
      <c r="UJH49" s="478"/>
      <c r="UJI49" s="478"/>
      <c r="UJJ49" s="478"/>
      <c r="UJK49" s="478"/>
      <c r="UJL49" s="478"/>
      <c r="UJM49" s="478"/>
      <c r="UJN49" s="478"/>
      <c r="UJO49" s="478"/>
      <c r="UJP49" s="478"/>
      <c r="UJQ49" s="478"/>
      <c r="UJR49" s="478"/>
      <c r="UJS49" s="478"/>
      <c r="UJT49" s="478"/>
      <c r="UJU49" s="478"/>
      <c r="UJV49" s="478"/>
      <c r="UJW49" s="478"/>
      <c r="UJX49" s="478"/>
      <c r="UJY49" s="478"/>
      <c r="UJZ49" s="478"/>
      <c r="UKA49" s="478"/>
      <c r="UKB49" s="478"/>
      <c r="UKC49" s="478"/>
      <c r="UKD49" s="478"/>
      <c r="UKE49" s="478"/>
      <c r="UKF49" s="478"/>
      <c r="UKG49" s="478"/>
      <c r="UKH49" s="478"/>
      <c r="UKI49" s="478"/>
      <c r="UKJ49" s="478"/>
      <c r="UKK49" s="478"/>
      <c r="UKL49" s="478"/>
      <c r="UKM49" s="478"/>
      <c r="UKN49" s="478"/>
      <c r="UKO49" s="478"/>
      <c r="UKP49" s="478"/>
      <c r="UKQ49" s="478"/>
      <c r="UKR49" s="478"/>
      <c r="UKS49" s="478"/>
      <c r="UKT49" s="478"/>
      <c r="UKU49" s="478"/>
      <c r="UKV49" s="478"/>
      <c r="UKW49" s="478"/>
      <c r="UKX49" s="478"/>
      <c r="UKY49" s="478"/>
      <c r="UKZ49" s="478"/>
      <c r="ULA49" s="478"/>
      <c r="ULB49" s="478"/>
      <c r="ULC49" s="478"/>
      <c r="ULD49" s="478"/>
      <c r="ULE49" s="478"/>
      <c r="ULF49" s="478"/>
      <c r="ULG49" s="478"/>
      <c r="ULH49" s="478"/>
      <c r="ULI49" s="478"/>
      <c r="ULJ49" s="478"/>
      <c r="ULK49" s="478"/>
      <c r="ULL49" s="478"/>
      <c r="ULM49" s="478"/>
      <c r="ULN49" s="478"/>
      <c r="ULO49" s="478"/>
      <c r="ULP49" s="478"/>
      <c r="ULQ49" s="478"/>
      <c r="ULR49" s="478"/>
      <c r="ULS49" s="478"/>
      <c r="ULT49" s="478"/>
      <c r="ULU49" s="478"/>
      <c r="ULV49" s="478"/>
      <c r="ULW49" s="478"/>
      <c r="ULX49" s="478"/>
      <c r="ULY49" s="478"/>
      <c r="ULZ49" s="478"/>
      <c r="UMA49" s="478"/>
      <c r="UMB49" s="478"/>
      <c r="UMC49" s="478"/>
      <c r="UMD49" s="478"/>
      <c r="UME49" s="478"/>
      <c r="UMF49" s="478"/>
      <c r="UMG49" s="478"/>
      <c r="UMH49" s="478"/>
      <c r="UMI49" s="478"/>
      <c r="UMJ49" s="478"/>
      <c r="UMK49" s="478"/>
      <c r="UML49" s="478"/>
      <c r="UMM49" s="478"/>
      <c r="UMN49" s="478"/>
      <c r="UMO49" s="478"/>
      <c r="UMP49" s="478"/>
      <c r="UMQ49" s="478"/>
      <c r="UMR49" s="478"/>
      <c r="UMS49" s="478"/>
      <c r="UMT49" s="478"/>
      <c r="UMU49" s="478"/>
      <c r="UMV49" s="478"/>
      <c r="UMW49" s="478"/>
      <c r="UMX49" s="478"/>
      <c r="UMY49" s="478"/>
      <c r="UMZ49" s="478"/>
      <c r="UNA49" s="478"/>
      <c r="UNB49" s="478"/>
      <c r="UNC49" s="478"/>
      <c r="UND49" s="478"/>
      <c r="UNE49" s="478"/>
      <c r="UNF49" s="478"/>
      <c r="UNG49" s="478"/>
      <c r="UNH49" s="478"/>
      <c r="UNI49" s="478"/>
      <c r="UNJ49" s="478"/>
      <c r="UNK49" s="478"/>
      <c r="UNL49" s="478"/>
      <c r="UNM49" s="478"/>
      <c r="UNN49" s="478"/>
      <c r="UNO49" s="478"/>
      <c r="UNP49" s="478"/>
      <c r="UNQ49" s="478"/>
      <c r="UNR49" s="478"/>
      <c r="UNS49" s="478"/>
      <c r="UNT49" s="478"/>
      <c r="UNU49" s="478"/>
      <c r="UNV49" s="478"/>
      <c r="UNW49" s="478"/>
      <c r="UNX49" s="478"/>
      <c r="UNY49" s="478"/>
      <c r="UNZ49" s="478"/>
      <c r="UOA49" s="478"/>
      <c r="UOB49" s="478"/>
      <c r="UOC49" s="478"/>
      <c r="UOD49" s="478"/>
      <c r="UOE49" s="478"/>
      <c r="UOF49" s="478"/>
      <c r="UOG49" s="478"/>
      <c r="UOH49" s="478"/>
      <c r="UOI49" s="478"/>
      <c r="UOJ49" s="478"/>
      <c r="UOK49" s="478"/>
      <c r="UOL49" s="478"/>
      <c r="UOM49" s="478"/>
      <c r="UON49" s="478"/>
      <c r="UOO49" s="478"/>
      <c r="UOP49" s="478"/>
      <c r="UOQ49" s="478"/>
      <c r="UOR49" s="478"/>
      <c r="UOS49" s="478"/>
      <c r="UOT49" s="478"/>
      <c r="UOU49" s="478"/>
      <c r="UOV49" s="478"/>
      <c r="UOW49" s="478"/>
      <c r="UOX49" s="478"/>
      <c r="UOY49" s="478"/>
      <c r="UOZ49" s="478"/>
      <c r="UPA49" s="478"/>
      <c r="UPB49" s="478"/>
      <c r="UPC49" s="478"/>
      <c r="UPD49" s="478"/>
      <c r="UPE49" s="478"/>
      <c r="UPF49" s="478"/>
      <c r="UPG49" s="478"/>
      <c r="UPH49" s="478"/>
      <c r="UPI49" s="478"/>
      <c r="UPJ49" s="478"/>
      <c r="UPK49" s="478"/>
      <c r="UPL49" s="478"/>
      <c r="UPM49" s="478"/>
      <c r="UPN49" s="478"/>
      <c r="UPO49" s="478"/>
      <c r="UPP49" s="478"/>
      <c r="UPQ49" s="478"/>
      <c r="UPR49" s="478"/>
      <c r="UPS49" s="478"/>
      <c r="UPT49" s="478"/>
      <c r="UPU49" s="478"/>
      <c r="UPV49" s="478"/>
      <c r="UPW49" s="478"/>
      <c r="UPX49" s="478"/>
      <c r="UPY49" s="478"/>
      <c r="UPZ49" s="478"/>
      <c r="UQA49" s="478"/>
      <c r="UQB49" s="478"/>
      <c r="UQC49" s="478"/>
      <c r="UQD49" s="478"/>
      <c r="UQE49" s="478"/>
      <c r="UQF49" s="478"/>
      <c r="UQG49" s="478"/>
      <c r="UQH49" s="478"/>
      <c r="UQI49" s="478"/>
      <c r="UQJ49" s="478"/>
      <c r="UQK49" s="478"/>
      <c r="UQL49" s="478"/>
      <c r="UQM49" s="478"/>
      <c r="UQN49" s="478"/>
      <c r="UQO49" s="478"/>
      <c r="UQP49" s="478"/>
      <c r="UQQ49" s="478"/>
      <c r="UQR49" s="478"/>
      <c r="UQS49" s="478"/>
      <c r="UQT49" s="478"/>
      <c r="UQU49" s="478"/>
      <c r="UQV49" s="478"/>
      <c r="UQW49" s="478"/>
      <c r="UQX49" s="478"/>
      <c r="UQY49" s="478"/>
      <c r="UQZ49" s="478"/>
      <c r="URA49" s="478"/>
      <c r="URB49" s="478"/>
      <c r="URC49" s="478"/>
      <c r="URD49" s="478"/>
      <c r="URE49" s="478"/>
      <c r="URF49" s="478"/>
      <c r="URG49" s="478"/>
      <c r="URH49" s="478"/>
      <c r="URI49" s="478"/>
      <c r="URJ49" s="478"/>
      <c r="URK49" s="478"/>
      <c r="URL49" s="478"/>
      <c r="URM49" s="478"/>
      <c r="URN49" s="478"/>
      <c r="URO49" s="478"/>
      <c r="URP49" s="478"/>
      <c r="URQ49" s="478"/>
      <c r="URR49" s="478"/>
      <c r="URS49" s="478"/>
      <c r="URT49" s="478"/>
      <c r="URU49" s="478"/>
      <c r="URV49" s="478"/>
      <c r="URW49" s="478"/>
      <c r="URX49" s="478"/>
      <c r="URY49" s="478"/>
      <c r="URZ49" s="478"/>
      <c r="USA49" s="478"/>
      <c r="USB49" s="478"/>
      <c r="USC49" s="478"/>
      <c r="USD49" s="478"/>
      <c r="USE49" s="478"/>
      <c r="USF49" s="478"/>
      <c r="USG49" s="478"/>
      <c r="USH49" s="478"/>
      <c r="USI49" s="478"/>
      <c r="USJ49" s="478"/>
      <c r="USK49" s="478"/>
      <c r="USL49" s="478"/>
      <c r="USM49" s="478"/>
      <c r="USN49" s="478"/>
      <c r="USO49" s="478"/>
      <c r="USP49" s="478"/>
      <c r="USQ49" s="478"/>
      <c r="USR49" s="478"/>
      <c r="USS49" s="478"/>
      <c r="UST49" s="478"/>
      <c r="USU49" s="478"/>
      <c r="USV49" s="478"/>
      <c r="USW49" s="478"/>
      <c r="USX49" s="478"/>
      <c r="USY49" s="478"/>
      <c r="USZ49" s="478"/>
      <c r="UTA49" s="478"/>
      <c r="UTB49" s="478"/>
      <c r="UTC49" s="478"/>
      <c r="UTD49" s="478"/>
      <c r="UTE49" s="478"/>
      <c r="UTF49" s="478"/>
      <c r="UTG49" s="478"/>
      <c r="UTH49" s="478"/>
      <c r="UTI49" s="478"/>
      <c r="UTJ49" s="478"/>
      <c r="UTK49" s="478"/>
      <c r="UTL49" s="478"/>
      <c r="UTM49" s="478"/>
      <c r="UTN49" s="478"/>
      <c r="UTO49" s="478"/>
      <c r="UTP49" s="478"/>
      <c r="UTQ49" s="478"/>
      <c r="UTR49" s="478"/>
      <c r="UTS49" s="478"/>
      <c r="UTT49" s="478"/>
      <c r="UTU49" s="478"/>
      <c r="UTV49" s="478"/>
      <c r="UTW49" s="478"/>
      <c r="UTX49" s="478"/>
      <c r="UTY49" s="478"/>
      <c r="UTZ49" s="478"/>
      <c r="UUA49" s="478"/>
      <c r="UUB49" s="478"/>
      <c r="UUC49" s="478"/>
      <c r="UUD49" s="478"/>
      <c r="UUE49" s="478"/>
      <c r="UUF49" s="478"/>
      <c r="UUG49" s="478"/>
      <c r="UUH49" s="478"/>
      <c r="UUI49" s="478"/>
      <c r="UUJ49" s="478"/>
      <c r="UUK49" s="478"/>
      <c r="UUL49" s="478"/>
      <c r="UUM49" s="478"/>
      <c r="UUN49" s="478"/>
      <c r="UUO49" s="478"/>
      <c r="UUP49" s="478"/>
      <c r="UUQ49" s="478"/>
      <c r="UUR49" s="478"/>
      <c r="UUS49" s="478"/>
      <c r="UUT49" s="478"/>
      <c r="UUU49" s="478"/>
      <c r="UUV49" s="478"/>
      <c r="UUW49" s="478"/>
      <c r="UUX49" s="478"/>
      <c r="UUY49" s="478"/>
      <c r="UUZ49" s="478"/>
      <c r="UVA49" s="478"/>
      <c r="UVB49" s="478"/>
      <c r="UVC49" s="478"/>
      <c r="UVD49" s="478"/>
      <c r="UVE49" s="478"/>
      <c r="UVF49" s="478"/>
      <c r="UVG49" s="478"/>
      <c r="UVH49" s="478"/>
      <c r="UVI49" s="478"/>
      <c r="UVJ49" s="478"/>
      <c r="UVK49" s="478"/>
      <c r="UVL49" s="478"/>
      <c r="UVM49" s="478"/>
      <c r="UVN49" s="478"/>
      <c r="UVO49" s="478"/>
      <c r="UVP49" s="478"/>
      <c r="UVQ49" s="478"/>
      <c r="UVR49" s="478"/>
      <c r="UVS49" s="478"/>
      <c r="UVT49" s="478"/>
      <c r="UVU49" s="478"/>
      <c r="UVV49" s="478"/>
      <c r="UVW49" s="478"/>
      <c r="UVX49" s="478"/>
      <c r="UVY49" s="478"/>
      <c r="UVZ49" s="478"/>
      <c r="UWA49" s="478"/>
      <c r="UWB49" s="478"/>
      <c r="UWC49" s="478"/>
      <c r="UWD49" s="478"/>
      <c r="UWE49" s="478"/>
      <c r="UWF49" s="478"/>
      <c r="UWG49" s="478"/>
      <c r="UWH49" s="478"/>
      <c r="UWI49" s="478"/>
      <c r="UWJ49" s="478"/>
      <c r="UWK49" s="478"/>
      <c r="UWL49" s="478"/>
      <c r="UWM49" s="478"/>
      <c r="UWN49" s="478"/>
      <c r="UWO49" s="478"/>
      <c r="UWP49" s="478"/>
      <c r="UWQ49" s="478"/>
      <c r="UWR49" s="478"/>
      <c r="UWS49" s="478"/>
      <c r="UWT49" s="478"/>
      <c r="UWU49" s="478"/>
      <c r="UWV49" s="478"/>
      <c r="UWW49" s="478"/>
      <c r="UWX49" s="478"/>
      <c r="UWY49" s="478"/>
      <c r="UWZ49" s="478"/>
      <c r="UXA49" s="478"/>
      <c r="UXB49" s="478"/>
      <c r="UXC49" s="478"/>
      <c r="UXD49" s="478"/>
      <c r="UXE49" s="478"/>
      <c r="UXF49" s="478"/>
      <c r="UXG49" s="478"/>
      <c r="UXH49" s="478"/>
      <c r="UXI49" s="478"/>
      <c r="UXJ49" s="478"/>
      <c r="UXK49" s="478"/>
      <c r="UXL49" s="478"/>
      <c r="UXM49" s="478"/>
      <c r="UXN49" s="478"/>
      <c r="UXO49" s="478"/>
      <c r="UXP49" s="478"/>
      <c r="UXQ49" s="478"/>
      <c r="UXR49" s="478"/>
      <c r="UXS49" s="478"/>
      <c r="UXT49" s="478"/>
      <c r="UXU49" s="478"/>
      <c r="UXV49" s="478"/>
      <c r="UXW49" s="478"/>
      <c r="UXX49" s="478"/>
      <c r="UXY49" s="478"/>
      <c r="UXZ49" s="478"/>
      <c r="UYA49" s="478"/>
      <c r="UYB49" s="478"/>
      <c r="UYC49" s="478"/>
      <c r="UYD49" s="478"/>
      <c r="UYE49" s="478"/>
      <c r="UYF49" s="478"/>
      <c r="UYG49" s="478"/>
      <c r="UYH49" s="478"/>
      <c r="UYI49" s="478"/>
      <c r="UYJ49" s="478"/>
      <c r="UYK49" s="478"/>
      <c r="UYL49" s="478"/>
      <c r="UYM49" s="478"/>
      <c r="UYN49" s="478"/>
      <c r="UYO49" s="478"/>
      <c r="UYP49" s="478"/>
      <c r="UYQ49" s="478"/>
      <c r="UYR49" s="478"/>
      <c r="UYS49" s="478"/>
      <c r="UYT49" s="478"/>
      <c r="UYU49" s="478"/>
      <c r="UYV49" s="478"/>
      <c r="UYW49" s="478"/>
      <c r="UYX49" s="478"/>
      <c r="UYY49" s="478"/>
      <c r="UYZ49" s="478"/>
      <c r="UZA49" s="478"/>
      <c r="UZB49" s="478"/>
      <c r="UZC49" s="478"/>
      <c r="UZD49" s="478"/>
      <c r="UZE49" s="478"/>
      <c r="UZF49" s="478"/>
      <c r="UZG49" s="478"/>
      <c r="UZH49" s="478"/>
      <c r="UZI49" s="478"/>
      <c r="UZJ49" s="478"/>
      <c r="UZK49" s="478"/>
      <c r="UZL49" s="478"/>
      <c r="UZM49" s="478"/>
      <c r="UZN49" s="478"/>
      <c r="UZO49" s="478"/>
      <c r="UZP49" s="478"/>
      <c r="UZQ49" s="478"/>
      <c r="UZR49" s="478"/>
      <c r="UZS49" s="478"/>
      <c r="UZT49" s="478"/>
      <c r="UZU49" s="478"/>
      <c r="UZV49" s="478"/>
      <c r="UZW49" s="478"/>
      <c r="UZX49" s="478"/>
      <c r="UZY49" s="478"/>
      <c r="UZZ49" s="478"/>
      <c r="VAA49" s="478"/>
      <c r="VAB49" s="478"/>
      <c r="VAC49" s="478"/>
      <c r="VAD49" s="478"/>
      <c r="VAE49" s="478"/>
      <c r="VAF49" s="478"/>
      <c r="VAG49" s="478"/>
      <c r="VAH49" s="478"/>
      <c r="VAI49" s="478"/>
      <c r="VAJ49" s="478"/>
      <c r="VAK49" s="478"/>
      <c r="VAL49" s="478"/>
      <c r="VAM49" s="478"/>
      <c r="VAN49" s="478"/>
      <c r="VAO49" s="478"/>
      <c r="VAP49" s="478"/>
      <c r="VAQ49" s="478"/>
      <c r="VAR49" s="478"/>
      <c r="VAS49" s="478"/>
      <c r="VAT49" s="478"/>
      <c r="VAU49" s="478"/>
      <c r="VAV49" s="478"/>
      <c r="VAW49" s="478"/>
      <c r="VAX49" s="478"/>
      <c r="VAY49" s="478"/>
      <c r="VAZ49" s="478"/>
      <c r="VBA49" s="478"/>
      <c r="VBB49" s="478"/>
      <c r="VBC49" s="478"/>
      <c r="VBD49" s="478"/>
      <c r="VBE49" s="478"/>
      <c r="VBF49" s="478"/>
      <c r="VBG49" s="478"/>
      <c r="VBH49" s="478"/>
      <c r="VBI49" s="478"/>
      <c r="VBJ49" s="478"/>
      <c r="VBK49" s="478"/>
      <c r="VBL49" s="478"/>
      <c r="VBM49" s="478"/>
      <c r="VBN49" s="478"/>
      <c r="VBO49" s="478"/>
      <c r="VBP49" s="478"/>
      <c r="VBQ49" s="478"/>
      <c r="VBR49" s="478"/>
      <c r="VBS49" s="478"/>
      <c r="VBT49" s="478"/>
      <c r="VBU49" s="478"/>
      <c r="VBV49" s="478"/>
      <c r="VBW49" s="478"/>
      <c r="VBX49" s="478"/>
      <c r="VBY49" s="478"/>
      <c r="VBZ49" s="478"/>
      <c r="VCA49" s="478"/>
      <c r="VCB49" s="478"/>
      <c r="VCC49" s="478"/>
      <c r="VCD49" s="478"/>
      <c r="VCE49" s="478"/>
      <c r="VCF49" s="478"/>
      <c r="VCG49" s="478"/>
      <c r="VCH49" s="478"/>
      <c r="VCI49" s="478"/>
      <c r="VCJ49" s="478"/>
      <c r="VCK49" s="478"/>
      <c r="VCL49" s="478"/>
      <c r="VCM49" s="478"/>
      <c r="VCN49" s="478"/>
      <c r="VCO49" s="478"/>
      <c r="VCP49" s="478"/>
      <c r="VCQ49" s="478"/>
      <c r="VCR49" s="478"/>
      <c r="VCS49" s="478"/>
      <c r="VCT49" s="478"/>
      <c r="VCU49" s="478"/>
      <c r="VCV49" s="478"/>
      <c r="VCW49" s="478"/>
      <c r="VCX49" s="478"/>
      <c r="VCY49" s="478"/>
      <c r="VCZ49" s="478"/>
      <c r="VDA49" s="478"/>
      <c r="VDB49" s="478"/>
      <c r="VDC49" s="478"/>
      <c r="VDD49" s="478"/>
      <c r="VDE49" s="478"/>
      <c r="VDF49" s="478"/>
      <c r="VDG49" s="478"/>
      <c r="VDH49" s="478"/>
      <c r="VDI49" s="478"/>
      <c r="VDJ49" s="478"/>
      <c r="VDK49" s="478"/>
      <c r="VDL49" s="478"/>
      <c r="VDM49" s="478"/>
      <c r="VDN49" s="478"/>
      <c r="VDO49" s="478"/>
      <c r="VDP49" s="478"/>
      <c r="VDQ49" s="478"/>
      <c r="VDR49" s="478"/>
      <c r="VDS49" s="478"/>
      <c r="VDT49" s="478"/>
      <c r="VDU49" s="478"/>
      <c r="VDV49" s="478"/>
      <c r="VDW49" s="478"/>
      <c r="VDX49" s="478"/>
      <c r="VDY49" s="478"/>
      <c r="VDZ49" s="478"/>
      <c r="VEA49" s="478"/>
      <c r="VEB49" s="478"/>
      <c r="VEC49" s="478"/>
      <c r="VED49" s="478"/>
      <c r="VEE49" s="478"/>
      <c r="VEF49" s="478"/>
      <c r="VEG49" s="478"/>
      <c r="VEH49" s="478"/>
      <c r="VEI49" s="478"/>
      <c r="VEJ49" s="478"/>
      <c r="VEK49" s="478"/>
      <c r="VEL49" s="478"/>
      <c r="VEM49" s="478"/>
      <c r="VEN49" s="478"/>
      <c r="VEO49" s="478"/>
      <c r="VEP49" s="478"/>
      <c r="VEQ49" s="478"/>
      <c r="VER49" s="478"/>
      <c r="VES49" s="478"/>
      <c r="VET49" s="478"/>
      <c r="VEU49" s="478"/>
      <c r="VEV49" s="478"/>
      <c r="VEW49" s="478"/>
      <c r="VEX49" s="478"/>
      <c r="VEY49" s="478"/>
      <c r="VEZ49" s="478"/>
      <c r="VFA49" s="478"/>
      <c r="VFB49" s="478"/>
      <c r="VFC49" s="478"/>
      <c r="VFD49" s="478"/>
      <c r="VFE49" s="478"/>
      <c r="VFF49" s="478"/>
      <c r="VFG49" s="478"/>
      <c r="VFH49" s="478"/>
      <c r="VFI49" s="478"/>
      <c r="VFJ49" s="478"/>
      <c r="VFK49" s="478"/>
      <c r="VFL49" s="478"/>
      <c r="VFM49" s="478"/>
      <c r="VFN49" s="478"/>
      <c r="VFO49" s="478"/>
      <c r="VFP49" s="478"/>
      <c r="VFQ49" s="478"/>
      <c r="VFR49" s="478"/>
      <c r="VFS49" s="478"/>
      <c r="VFT49" s="478"/>
      <c r="VFU49" s="478"/>
      <c r="VFV49" s="478"/>
      <c r="VFW49" s="478"/>
      <c r="VFX49" s="478"/>
      <c r="VFY49" s="478"/>
      <c r="VFZ49" s="478"/>
      <c r="VGA49" s="478"/>
      <c r="VGB49" s="478"/>
      <c r="VGC49" s="478"/>
      <c r="VGD49" s="478"/>
      <c r="VGE49" s="478"/>
      <c r="VGF49" s="478"/>
      <c r="VGG49" s="478"/>
      <c r="VGH49" s="478"/>
      <c r="VGI49" s="478"/>
      <c r="VGJ49" s="478"/>
      <c r="VGK49" s="478"/>
      <c r="VGL49" s="478"/>
      <c r="VGM49" s="478"/>
      <c r="VGN49" s="478"/>
      <c r="VGO49" s="478"/>
      <c r="VGP49" s="478"/>
      <c r="VGQ49" s="478"/>
      <c r="VGR49" s="478"/>
      <c r="VGS49" s="478"/>
      <c r="VGT49" s="478"/>
      <c r="VGU49" s="478"/>
      <c r="VGV49" s="478"/>
      <c r="VGW49" s="478"/>
      <c r="VGX49" s="478"/>
      <c r="VGY49" s="478"/>
      <c r="VGZ49" s="478"/>
      <c r="VHA49" s="478"/>
      <c r="VHB49" s="478"/>
      <c r="VHC49" s="478"/>
      <c r="VHD49" s="478"/>
      <c r="VHE49" s="478"/>
      <c r="VHF49" s="478"/>
      <c r="VHG49" s="478"/>
      <c r="VHH49" s="478"/>
      <c r="VHI49" s="478"/>
      <c r="VHJ49" s="478"/>
      <c r="VHK49" s="478"/>
      <c r="VHL49" s="478"/>
      <c r="VHM49" s="478"/>
      <c r="VHN49" s="478"/>
      <c r="VHO49" s="478"/>
      <c r="VHP49" s="478"/>
      <c r="VHQ49" s="478"/>
      <c r="VHR49" s="478"/>
      <c r="VHS49" s="478"/>
      <c r="VHT49" s="478"/>
      <c r="VHU49" s="478"/>
      <c r="VHV49" s="478"/>
      <c r="VHW49" s="478"/>
      <c r="VHX49" s="478"/>
      <c r="VHY49" s="478"/>
      <c r="VHZ49" s="478"/>
      <c r="VIA49" s="478"/>
      <c r="VIB49" s="478"/>
      <c r="VIC49" s="478"/>
      <c r="VID49" s="478"/>
      <c r="VIE49" s="478"/>
      <c r="VIF49" s="478"/>
      <c r="VIG49" s="478"/>
      <c r="VIH49" s="478"/>
      <c r="VII49" s="478"/>
      <c r="VIJ49" s="478"/>
      <c r="VIK49" s="478"/>
      <c r="VIL49" s="478"/>
      <c r="VIM49" s="478"/>
      <c r="VIN49" s="478"/>
      <c r="VIO49" s="478"/>
      <c r="VIP49" s="478"/>
      <c r="VIQ49" s="478"/>
      <c r="VIR49" s="478"/>
      <c r="VIS49" s="478"/>
      <c r="VIT49" s="478"/>
      <c r="VIU49" s="478"/>
      <c r="VIV49" s="478"/>
      <c r="VIW49" s="478"/>
      <c r="VIX49" s="478"/>
      <c r="VIY49" s="478"/>
      <c r="VIZ49" s="478"/>
      <c r="VJA49" s="478"/>
      <c r="VJB49" s="478"/>
      <c r="VJC49" s="478"/>
      <c r="VJD49" s="478"/>
      <c r="VJE49" s="478"/>
      <c r="VJF49" s="478"/>
      <c r="VJG49" s="478"/>
      <c r="VJH49" s="478"/>
      <c r="VJI49" s="478"/>
      <c r="VJJ49" s="478"/>
      <c r="VJK49" s="478"/>
      <c r="VJL49" s="478"/>
      <c r="VJM49" s="478"/>
      <c r="VJN49" s="478"/>
      <c r="VJO49" s="478"/>
      <c r="VJP49" s="478"/>
      <c r="VJQ49" s="478"/>
      <c r="VJR49" s="478"/>
      <c r="VJS49" s="478"/>
      <c r="VJT49" s="478"/>
      <c r="VJU49" s="478"/>
      <c r="VJV49" s="478"/>
      <c r="VJW49" s="478"/>
      <c r="VJX49" s="478"/>
      <c r="VJY49" s="478"/>
      <c r="VJZ49" s="478"/>
      <c r="VKA49" s="478"/>
      <c r="VKB49" s="478"/>
      <c r="VKC49" s="478"/>
      <c r="VKD49" s="478"/>
      <c r="VKE49" s="478"/>
      <c r="VKF49" s="478"/>
      <c r="VKG49" s="478"/>
      <c r="VKH49" s="478"/>
      <c r="VKI49" s="478"/>
      <c r="VKJ49" s="478"/>
      <c r="VKK49" s="478"/>
      <c r="VKL49" s="478"/>
      <c r="VKM49" s="478"/>
      <c r="VKN49" s="478"/>
      <c r="VKO49" s="478"/>
      <c r="VKP49" s="478"/>
      <c r="VKQ49" s="478"/>
      <c r="VKR49" s="478"/>
      <c r="VKS49" s="478"/>
      <c r="VKT49" s="478"/>
      <c r="VKU49" s="478"/>
      <c r="VKV49" s="478"/>
      <c r="VKW49" s="478"/>
      <c r="VKX49" s="478"/>
      <c r="VKY49" s="478"/>
      <c r="VKZ49" s="478"/>
      <c r="VLA49" s="478"/>
      <c r="VLB49" s="478"/>
      <c r="VLC49" s="478"/>
      <c r="VLD49" s="478"/>
      <c r="VLE49" s="478"/>
      <c r="VLF49" s="478"/>
      <c r="VLG49" s="478"/>
      <c r="VLH49" s="478"/>
      <c r="VLI49" s="478"/>
      <c r="VLJ49" s="478"/>
      <c r="VLK49" s="478"/>
      <c r="VLL49" s="478"/>
      <c r="VLM49" s="478"/>
      <c r="VLN49" s="478"/>
      <c r="VLO49" s="478"/>
      <c r="VLP49" s="478"/>
      <c r="VLQ49" s="478"/>
      <c r="VLR49" s="478"/>
      <c r="VLS49" s="478"/>
      <c r="VLT49" s="478"/>
      <c r="VLU49" s="478"/>
      <c r="VLV49" s="478"/>
      <c r="VLW49" s="478"/>
      <c r="VLX49" s="478"/>
      <c r="VLY49" s="478"/>
      <c r="VLZ49" s="478"/>
      <c r="VMA49" s="478"/>
      <c r="VMB49" s="478"/>
      <c r="VMC49" s="478"/>
      <c r="VMD49" s="478"/>
      <c r="VME49" s="478"/>
      <c r="VMF49" s="478"/>
      <c r="VMG49" s="478"/>
      <c r="VMH49" s="478"/>
      <c r="VMI49" s="478"/>
      <c r="VMJ49" s="478"/>
      <c r="VMK49" s="478"/>
      <c r="VML49" s="478"/>
      <c r="VMM49" s="478"/>
      <c r="VMN49" s="478"/>
      <c r="VMO49" s="478"/>
      <c r="VMP49" s="478"/>
      <c r="VMQ49" s="478"/>
      <c r="VMR49" s="478"/>
      <c r="VMS49" s="478"/>
      <c r="VMT49" s="478"/>
      <c r="VMU49" s="478"/>
      <c r="VMV49" s="478"/>
      <c r="VMW49" s="478"/>
      <c r="VMX49" s="478"/>
      <c r="VMY49" s="478"/>
      <c r="VMZ49" s="478"/>
      <c r="VNA49" s="478"/>
      <c r="VNB49" s="478"/>
      <c r="VNC49" s="478"/>
      <c r="VND49" s="478"/>
      <c r="VNE49" s="478"/>
      <c r="VNF49" s="478"/>
      <c r="VNG49" s="478"/>
      <c r="VNH49" s="478"/>
      <c r="VNI49" s="478"/>
      <c r="VNJ49" s="478"/>
      <c r="VNK49" s="478"/>
      <c r="VNL49" s="478"/>
      <c r="VNM49" s="478"/>
      <c r="VNN49" s="478"/>
      <c r="VNO49" s="478"/>
      <c r="VNP49" s="478"/>
      <c r="VNQ49" s="478"/>
      <c r="VNR49" s="478"/>
      <c r="VNS49" s="478"/>
      <c r="VNT49" s="478"/>
      <c r="VNU49" s="478"/>
      <c r="VNV49" s="478"/>
      <c r="VNW49" s="478"/>
      <c r="VNX49" s="478"/>
      <c r="VNY49" s="478"/>
      <c r="VNZ49" s="478"/>
      <c r="VOA49" s="478"/>
      <c r="VOB49" s="478"/>
      <c r="VOC49" s="478"/>
      <c r="VOD49" s="478"/>
      <c r="VOE49" s="478"/>
      <c r="VOF49" s="478"/>
      <c r="VOG49" s="478"/>
      <c r="VOH49" s="478"/>
      <c r="VOI49" s="478"/>
      <c r="VOJ49" s="478"/>
      <c r="VOK49" s="478"/>
      <c r="VOL49" s="478"/>
      <c r="VOM49" s="478"/>
      <c r="VON49" s="478"/>
      <c r="VOO49" s="478"/>
      <c r="VOP49" s="478"/>
      <c r="VOQ49" s="478"/>
      <c r="VOR49" s="478"/>
      <c r="VOS49" s="478"/>
      <c r="VOT49" s="478"/>
      <c r="VOU49" s="478"/>
      <c r="VOV49" s="478"/>
      <c r="VOW49" s="478"/>
      <c r="VOX49" s="478"/>
      <c r="VOY49" s="478"/>
      <c r="VOZ49" s="478"/>
      <c r="VPA49" s="478"/>
      <c r="VPB49" s="478"/>
      <c r="VPC49" s="478"/>
      <c r="VPD49" s="478"/>
      <c r="VPE49" s="478"/>
      <c r="VPF49" s="478"/>
      <c r="VPG49" s="478"/>
      <c r="VPH49" s="478"/>
      <c r="VPI49" s="478"/>
      <c r="VPJ49" s="478"/>
      <c r="VPK49" s="478"/>
      <c r="VPL49" s="478"/>
      <c r="VPM49" s="478"/>
      <c r="VPN49" s="478"/>
      <c r="VPO49" s="478"/>
      <c r="VPP49" s="478"/>
      <c r="VPQ49" s="478"/>
      <c r="VPR49" s="478"/>
      <c r="VPS49" s="478"/>
      <c r="VPT49" s="478"/>
      <c r="VPU49" s="478"/>
      <c r="VPV49" s="478"/>
      <c r="VPW49" s="478"/>
      <c r="VPX49" s="478"/>
      <c r="VPY49" s="478"/>
      <c r="VPZ49" s="478"/>
      <c r="VQA49" s="478"/>
      <c r="VQB49" s="478"/>
      <c r="VQC49" s="478"/>
      <c r="VQD49" s="478"/>
      <c r="VQE49" s="478"/>
      <c r="VQF49" s="478"/>
      <c r="VQG49" s="478"/>
      <c r="VQH49" s="478"/>
      <c r="VQI49" s="478"/>
      <c r="VQJ49" s="478"/>
      <c r="VQK49" s="478"/>
      <c r="VQL49" s="478"/>
      <c r="VQM49" s="478"/>
      <c r="VQN49" s="478"/>
      <c r="VQO49" s="478"/>
      <c r="VQP49" s="478"/>
      <c r="VQQ49" s="478"/>
      <c r="VQR49" s="478"/>
      <c r="VQS49" s="478"/>
      <c r="VQT49" s="478"/>
      <c r="VQU49" s="478"/>
      <c r="VQV49" s="478"/>
      <c r="VQW49" s="478"/>
      <c r="VQX49" s="478"/>
      <c r="VQY49" s="478"/>
      <c r="VQZ49" s="478"/>
      <c r="VRA49" s="478"/>
      <c r="VRB49" s="478"/>
      <c r="VRC49" s="478"/>
      <c r="VRD49" s="478"/>
      <c r="VRE49" s="478"/>
      <c r="VRF49" s="478"/>
      <c r="VRG49" s="478"/>
      <c r="VRH49" s="478"/>
      <c r="VRI49" s="478"/>
      <c r="VRJ49" s="478"/>
      <c r="VRK49" s="478"/>
      <c r="VRL49" s="478"/>
      <c r="VRM49" s="478"/>
      <c r="VRN49" s="478"/>
      <c r="VRO49" s="478"/>
      <c r="VRP49" s="478"/>
      <c r="VRQ49" s="478"/>
      <c r="VRR49" s="478"/>
      <c r="VRS49" s="478"/>
      <c r="VRT49" s="478"/>
      <c r="VRU49" s="478"/>
      <c r="VRV49" s="478"/>
      <c r="VRW49" s="478"/>
      <c r="VRX49" s="478"/>
      <c r="VRY49" s="478"/>
      <c r="VRZ49" s="478"/>
      <c r="VSA49" s="478"/>
      <c r="VSB49" s="478"/>
      <c r="VSC49" s="478"/>
      <c r="VSD49" s="478"/>
      <c r="VSE49" s="478"/>
      <c r="VSF49" s="478"/>
      <c r="VSG49" s="478"/>
      <c r="VSH49" s="478"/>
      <c r="VSI49" s="478"/>
      <c r="VSJ49" s="478"/>
      <c r="VSK49" s="478"/>
      <c r="VSL49" s="478"/>
      <c r="VSM49" s="478"/>
      <c r="VSN49" s="478"/>
      <c r="VSO49" s="478"/>
      <c r="VSP49" s="478"/>
      <c r="VSQ49" s="478"/>
      <c r="VSR49" s="478"/>
      <c r="VSS49" s="478"/>
      <c r="VST49" s="478"/>
      <c r="VSU49" s="478"/>
      <c r="VSV49" s="478"/>
      <c r="VSW49" s="478"/>
      <c r="VSX49" s="478"/>
      <c r="VSY49" s="478"/>
      <c r="VSZ49" s="478"/>
      <c r="VTA49" s="478"/>
      <c r="VTB49" s="478"/>
      <c r="VTC49" s="478"/>
      <c r="VTD49" s="478"/>
      <c r="VTE49" s="478"/>
      <c r="VTF49" s="478"/>
      <c r="VTG49" s="478"/>
      <c r="VTH49" s="478"/>
      <c r="VTI49" s="478"/>
      <c r="VTJ49" s="478"/>
      <c r="VTK49" s="478"/>
      <c r="VTL49" s="478"/>
      <c r="VTM49" s="478"/>
      <c r="VTN49" s="478"/>
      <c r="VTO49" s="478"/>
      <c r="VTP49" s="478"/>
      <c r="VTQ49" s="478"/>
      <c r="VTR49" s="478"/>
      <c r="VTS49" s="478"/>
      <c r="VTT49" s="478"/>
      <c r="VTU49" s="478"/>
      <c r="VTV49" s="478"/>
      <c r="VTW49" s="478"/>
      <c r="VTX49" s="478"/>
      <c r="VTY49" s="478"/>
      <c r="VTZ49" s="478"/>
      <c r="VUA49" s="478"/>
      <c r="VUB49" s="478"/>
      <c r="VUC49" s="478"/>
      <c r="VUD49" s="478"/>
      <c r="VUE49" s="478"/>
      <c r="VUF49" s="478"/>
      <c r="VUG49" s="478"/>
      <c r="VUH49" s="478"/>
      <c r="VUI49" s="478"/>
      <c r="VUJ49" s="478"/>
      <c r="VUK49" s="478"/>
      <c r="VUL49" s="478"/>
      <c r="VUM49" s="478"/>
      <c r="VUN49" s="478"/>
      <c r="VUO49" s="478"/>
      <c r="VUP49" s="478"/>
      <c r="VUQ49" s="478"/>
      <c r="VUR49" s="478"/>
      <c r="VUS49" s="478"/>
      <c r="VUT49" s="478"/>
      <c r="VUU49" s="478"/>
      <c r="VUV49" s="478"/>
      <c r="VUW49" s="478"/>
      <c r="VUX49" s="478"/>
      <c r="VUY49" s="478"/>
      <c r="VUZ49" s="478"/>
      <c r="VVA49" s="478"/>
      <c r="VVB49" s="478"/>
      <c r="VVC49" s="478"/>
      <c r="VVD49" s="478"/>
      <c r="VVE49" s="478"/>
      <c r="VVF49" s="478"/>
      <c r="VVG49" s="478"/>
      <c r="VVH49" s="478"/>
      <c r="VVI49" s="478"/>
      <c r="VVJ49" s="478"/>
      <c r="VVK49" s="478"/>
      <c r="VVL49" s="478"/>
      <c r="VVM49" s="478"/>
      <c r="VVN49" s="478"/>
      <c r="VVO49" s="478"/>
      <c r="VVP49" s="478"/>
      <c r="VVQ49" s="478"/>
      <c r="VVR49" s="478"/>
      <c r="VVS49" s="478"/>
      <c r="VVT49" s="478"/>
      <c r="VVU49" s="478"/>
      <c r="VVV49" s="478"/>
      <c r="VVW49" s="478"/>
      <c r="VVX49" s="478"/>
      <c r="VVY49" s="478"/>
      <c r="VVZ49" s="478"/>
      <c r="VWA49" s="478"/>
      <c r="VWB49" s="478"/>
      <c r="VWC49" s="478"/>
      <c r="VWD49" s="478"/>
      <c r="VWE49" s="478"/>
      <c r="VWF49" s="478"/>
      <c r="VWG49" s="478"/>
      <c r="VWH49" s="478"/>
      <c r="VWI49" s="478"/>
      <c r="VWJ49" s="478"/>
      <c r="VWK49" s="478"/>
      <c r="VWL49" s="478"/>
      <c r="VWM49" s="478"/>
      <c r="VWN49" s="478"/>
      <c r="VWO49" s="478"/>
      <c r="VWP49" s="478"/>
      <c r="VWQ49" s="478"/>
      <c r="VWR49" s="478"/>
      <c r="VWS49" s="478"/>
      <c r="VWT49" s="478"/>
      <c r="VWU49" s="478"/>
      <c r="VWV49" s="478"/>
      <c r="VWW49" s="478"/>
      <c r="VWX49" s="478"/>
      <c r="VWY49" s="478"/>
      <c r="VWZ49" s="478"/>
      <c r="VXA49" s="478"/>
      <c r="VXB49" s="478"/>
      <c r="VXC49" s="478"/>
      <c r="VXD49" s="478"/>
      <c r="VXE49" s="478"/>
      <c r="VXF49" s="478"/>
      <c r="VXG49" s="478"/>
      <c r="VXH49" s="478"/>
      <c r="VXI49" s="478"/>
      <c r="VXJ49" s="478"/>
      <c r="VXK49" s="478"/>
      <c r="VXL49" s="478"/>
      <c r="VXM49" s="478"/>
      <c r="VXN49" s="478"/>
      <c r="VXO49" s="478"/>
      <c r="VXP49" s="478"/>
      <c r="VXQ49" s="478"/>
      <c r="VXR49" s="478"/>
      <c r="VXS49" s="478"/>
      <c r="VXT49" s="478"/>
      <c r="VXU49" s="478"/>
      <c r="VXV49" s="478"/>
      <c r="VXW49" s="478"/>
      <c r="VXX49" s="478"/>
      <c r="VXY49" s="478"/>
      <c r="VXZ49" s="478"/>
      <c r="VYA49" s="478"/>
      <c r="VYB49" s="478"/>
      <c r="VYC49" s="478"/>
      <c r="VYD49" s="478"/>
      <c r="VYE49" s="478"/>
      <c r="VYF49" s="478"/>
      <c r="VYG49" s="478"/>
      <c r="VYH49" s="478"/>
      <c r="VYI49" s="478"/>
      <c r="VYJ49" s="478"/>
      <c r="VYK49" s="478"/>
      <c r="VYL49" s="478"/>
      <c r="VYM49" s="478"/>
      <c r="VYN49" s="478"/>
      <c r="VYO49" s="478"/>
      <c r="VYP49" s="478"/>
      <c r="VYQ49" s="478"/>
      <c r="VYR49" s="478"/>
      <c r="VYS49" s="478"/>
      <c r="VYT49" s="478"/>
      <c r="VYU49" s="478"/>
      <c r="VYV49" s="478"/>
      <c r="VYW49" s="478"/>
      <c r="VYX49" s="478"/>
      <c r="VYY49" s="478"/>
      <c r="VYZ49" s="478"/>
      <c r="VZA49" s="478"/>
      <c r="VZB49" s="478"/>
      <c r="VZC49" s="478"/>
      <c r="VZD49" s="478"/>
      <c r="VZE49" s="478"/>
      <c r="VZF49" s="478"/>
      <c r="VZG49" s="478"/>
      <c r="VZH49" s="478"/>
      <c r="VZI49" s="478"/>
      <c r="VZJ49" s="478"/>
      <c r="VZK49" s="478"/>
      <c r="VZL49" s="478"/>
      <c r="VZM49" s="478"/>
      <c r="VZN49" s="478"/>
      <c r="VZO49" s="478"/>
      <c r="VZP49" s="478"/>
      <c r="VZQ49" s="478"/>
      <c r="VZR49" s="478"/>
      <c r="VZS49" s="478"/>
      <c r="VZT49" s="478"/>
      <c r="VZU49" s="478"/>
      <c r="VZV49" s="478"/>
      <c r="VZW49" s="478"/>
      <c r="VZX49" s="478"/>
      <c r="VZY49" s="478"/>
      <c r="VZZ49" s="478"/>
      <c r="WAA49" s="478"/>
      <c r="WAB49" s="478"/>
      <c r="WAC49" s="478"/>
      <c r="WAD49" s="478"/>
      <c r="WAE49" s="478"/>
      <c r="WAF49" s="478"/>
      <c r="WAG49" s="478"/>
      <c r="WAH49" s="478"/>
      <c r="WAI49" s="478"/>
      <c r="WAJ49" s="478"/>
      <c r="WAK49" s="478"/>
      <c r="WAL49" s="478"/>
      <c r="WAM49" s="478"/>
      <c r="WAN49" s="478"/>
      <c r="WAO49" s="478"/>
      <c r="WAP49" s="478"/>
      <c r="WAQ49" s="478"/>
      <c r="WAR49" s="478"/>
      <c r="WAS49" s="478"/>
      <c r="WAT49" s="478"/>
      <c r="WAU49" s="478"/>
      <c r="WAV49" s="478"/>
      <c r="WAW49" s="478"/>
      <c r="WAX49" s="478"/>
      <c r="WAY49" s="478"/>
      <c r="WAZ49" s="478"/>
      <c r="WBA49" s="478"/>
      <c r="WBB49" s="478"/>
      <c r="WBC49" s="478"/>
      <c r="WBD49" s="478"/>
      <c r="WBE49" s="478"/>
      <c r="WBF49" s="478"/>
      <c r="WBG49" s="478"/>
      <c r="WBH49" s="478"/>
      <c r="WBI49" s="478"/>
      <c r="WBJ49" s="478"/>
      <c r="WBK49" s="478"/>
      <c r="WBL49" s="478"/>
      <c r="WBM49" s="478"/>
      <c r="WBN49" s="478"/>
      <c r="WBO49" s="478"/>
      <c r="WBP49" s="478"/>
      <c r="WBQ49" s="478"/>
      <c r="WBR49" s="478"/>
      <c r="WBS49" s="478"/>
      <c r="WBT49" s="478"/>
      <c r="WBU49" s="478"/>
      <c r="WBV49" s="478"/>
      <c r="WBW49" s="478"/>
      <c r="WBX49" s="478"/>
      <c r="WBY49" s="478"/>
      <c r="WBZ49" s="478"/>
      <c r="WCA49" s="478"/>
      <c r="WCB49" s="478"/>
      <c r="WCC49" s="478"/>
      <c r="WCD49" s="478"/>
      <c r="WCE49" s="478"/>
      <c r="WCF49" s="478"/>
      <c r="WCG49" s="478"/>
      <c r="WCH49" s="478"/>
      <c r="WCI49" s="478"/>
      <c r="WCJ49" s="478"/>
      <c r="WCK49" s="478"/>
      <c r="WCL49" s="478"/>
      <c r="WCM49" s="478"/>
      <c r="WCN49" s="478"/>
      <c r="WCO49" s="478"/>
      <c r="WCP49" s="478"/>
      <c r="WCQ49" s="478"/>
      <c r="WCR49" s="478"/>
      <c r="WCS49" s="478"/>
      <c r="WCT49" s="478"/>
      <c r="WCU49" s="478"/>
      <c r="WCV49" s="478"/>
      <c r="WCW49" s="478"/>
      <c r="WCX49" s="478"/>
      <c r="WCY49" s="478"/>
      <c r="WCZ49" s="478"/>
      <c r="WDA49" s="478"/>
      <c r="WDB49" s="478"/>
      <c r="WDC49" s="478"/>
      <c r="WDD49" s="478"/>
      <c r="WDE49" s="478"/>
      <c r="WDF49" s="478"/>
      <c r="WDG49" s="478"/>
      <c r="WDH49" s="478"/>
      <c r="WDI49" s="478"/>
      <c r="WDJ49" s="478"/>
      <c r="WDK49" s="478"/>
      <c r="WDL49" s="478"/>
      <c r="WDM49" s="478"/>
      <c r="WDN49" s="478"/>
      <c r="WDO49" s="478"/>
      <c r="WDP49" s="478"/>
      <c r="WDQ49" s="478"/>
      <c r="WDR49" s="478"/>
      <c r="WDS49" s="478"/>
      <c r="WDT49" s="478"/>
      <c r="WDU49" s="478"/>
      <c r="WDV49" s="478"/>
      <c r="WDW49" s="478"/>
      <c r="WDX49" s="478"/>
      <c r="WDY49" s="478"/>
      <c r="WDZ49" s="478"/>
      <c r="WEA49" s="478"/>
      <c r="WEB49" s="478"/>
      <c r="WEC49" s="478"/>
      <c r="WED49" s="478"/>
      <c r="WEE49" s="478"/>
      <c r="WEF49" s="478"/>
      <c r="WEG49" s="478"/>
      <c r="WEH49" s="478"/>
      <c r="WEI49" s="478"/>
      <c r="WEJ49" s="478"/>
      <c r="WEK49" s="478"/>
      <c r="WEL49" s="478"/>
      <c r="WEM49" s="478"/>
      <c r="WEN49" s="478"/>
      <c r="WEO49" s="478"/>
      <c r="WEP49" s="478"/>
      <c r="WEQ49" s="478"/>
      <c r="WER49" s="478"/>
      <c r="WES49" s="478"/>
      <c r="WET49" s="478"/>
      <c r="WEU49" s="478"/>
      <c r="WEV49" s="478"/>
      <c r="WEW49" s="478"/>
      <c r="WEX49" s="478"/>
      <c r="WEY49" s="478"/>
      <c r="WEZ49" s="478"/>
      <c r="WFA49" s="478"/>
      <c r="WFB49" s="478"/>
      <c r="WFC49" s="478"/>
      <c r="WFD49" s="478"/>
      <c r="WFE49" s="478"/>
      <c r="WFF49" s="478"/>
      <c r="WFG49" s="478"/>
      <c r="WFH49" s="478"/>
      <c r="WFI49" s="478"/>
      <c r="WFJ49" s="478"/>
      <c r="WFK49" s="478"/>
      <c r="WFL49" s="478"/>
      <c r="WFM49" s="478"/>
      <c r="WFN49" s="478"/>
      <c r="WFO49" s="478"/>
      <c r="WFP49" s="478"/>
      <c r="WFQ49" s="478"/>
      <c r="WFR49" s="478"/>
      <c r="WFS49" s="478"/>
      <c r="WFT49" s="478"/>
      <c r="WFU49" s="478"/>
      <c r="WFV49" s="478"/>
      <c r="WFW49" s="478"/>
      <c r="WFX49" s="478"/>
      <c r="WFY49" s="478"/>
      <c r="WFZ49" s="478"/>
      <c r="WGA49" s="478"/>
      <c r="WGB49" s="478"/>
      <c r="WGC49" s="478"/>
      <c r="WGD49" s="478"/>
      <c r="WGE49" s="478"/>
      <c r="WGF49" s="478"/>
      <c r="WGG49" s="478"/>
      <c r="WGH49" s="478"/>
      <c r="WGI49" s="478"/>
      <c r="WGJ49" s="478"/>
      <c r="WGK49" s="478"/>
      <c r="WGL49" s="478"/>
      <c r="WGM49" s="478"/>
      <c r="WGN49" s="478"/>
      <c r="WGO49" s="478"/>
      <c r="WGP49" s="478"/>
      <c r="WGQ49" s="478"/>
      <c r="WGR49" s="478"/>
      <c r="WGS49" s="478"/>
      <c r="WGT49" s="478"/>
      <c r="WGU49" s="478"/>
      <c r="WGV49" s="478"/>
      <c r="WGW49" s="478"/>
      <c r="WGX49" s="478"/>
      <c r="WGY49" s="478"/>
      <c r="WGZ49" s="478"/>
      <c r="WHA49" s="478"/>
      <c r="WHB49" s="478"/>
      <c r="WHC49" s="478"/>
      <c r="WHD49" s="478"/>
      <c r="WHE49" s="478"/>
      <c r="WHF49" s="478"/>
      <c r="WHG49" s="478"/>
      <c r="WHH49" s="478"/>
      <c r="WHI49" s="478"/>
      <c r="WHJ49" s="478"/>
      <c r="WHK49" s="478"/>
      <c r="WHL49" s="478"/>
      <c r="WHM49" s="478"/>
      <c r="WHN49" s="478"/>
      <c r="WHO49" s="478"/>
      <c r="WHP49" s="478"/>
      <c r="WHQ49" s="478"/>
      <c r="WHR49" s="478"/>
      <c r="WHS49" s="478"/>
      <c r="WHT49" s="478"/>
      <c r="WHU49" s="478"/>
      <c r="WHV49" s="478"/>
      <c r="WHW49" s="478"/>
      <c r="WHX49" s="478"/>
      <c r="WHY49" s="478"/>
      <c r="WHZ49" s="478"/>
      <c r="WIA49" s="478"/>
      <c r="WIB49" s="478"/>
      <c r="WIC49" s="478"/>
      <c r="WID49" s="478"/>
      <c r="WIE49" s="478"/>
      <c r="WIF49" s="478"/>
      <c r="WIG49" s="478"/>
      <c r="WIH49" s="478"/>
      <c r="WII49" s="478"/>
      <c r="WIJ49" s="478"/>
      <c r="WIK49" s="478"/>
      <c r="WIL49" s="478"/>
      <c r="WIM49" s="478"/>
      <c r="WIN49" s="478"/>
      <c r="WIO49" s="478"/>
      <c r="WIP49" s="478"/>
      <c r="WIQ49" s="478"/>
      <c r="WIR49" s="478"/>
      <c r="WIS49" s="478"/>
      <c r="WIT49" s="478"/>
      <c r="WIU49" s="478"/>
      <c r="WIV49" s="478"/>
      <c r="WIW49" s="478"/>
      <c r="WIX49" s="478"/>
      <c r="WIY49" s="478"/>
      <c r="WIZ49" s="478"/>
      <c r="WJA49" s="478"/>
      <c r="WJB49" s="478"/>
      <c r="WJC49" s="478"/>
      <c r="WJD49" s="478"/>
      <c r="WJE49" s="478"/>
      <c r="WJF49" s="478"/>
      <c r="WJG49" s="478"/>
      <c r="WJH49" s="478"/>
      <c r="WJI49" s="478"/>
      <c r="WJJ49" s="478"/>
      <c r="WJK49" s="478"/>
      <c r="WJL49" s="478"/>
      <c r="WJM49" s="478"/>
      <c r="WJN49" s="478"/>
      <c r="WJO49" s="478"/>
      <c r="WJP49" s="478"/>
      <c r="WJQ49" s="478"/>
      <c r="WJR49" s="478"/>
      <c r="WJS49" s="478"/>
      <c r="WJT49" s="478"/>
      <c r="WJU49" s="478"/>
      <c r="WJV49" s="478"/>
      <c r="WJW49" s="478"/>
      <c r="WJX49" s="478"/>
      <c r="WJY49" s="478"/>
      <c r="WJZ49" s="478"/>
      <c r="WKA49" s="478"/>
      <c r="WKB49" s="478"/>
      <c r="WKC49" s="478"/>
      <c r="WKD49" s="478"/>
      <c r="WKE49" s="478"/>
      <c r="WKF49" s="478"/>
      <c r="WKG49" s="478"/>
      <c r="WKH49" s="478"/>
      <c r="WKI49" s="478"/>
      <c r="WKJ49" s="478"/>
      <c r="WKK49" s="478"/>
      <c r="WKL49" s="478"/>
      <c r="WKM49" s="478"/>
      <c r="WKN49" s="478"/>
      <c r="WKO49" s="478"/>
      <c r="WKP49" s="478"/>
      <c r="WKQ49" s="478"/>
      <c r="WKR49" s="478"/>
      <c r="WKS49" s="478"/>
      <c r="WKT49" s="478"/>
      <c r="WKU49" s="478"/>
      <c r="WKV49" s="478"/>
      <c r="WKW49" s="478"/>
      <c r="WKX49" s="478"/>
      <c r="WKY49" s="478"/>
      <c r="WKZ49" s="478"/>
      <c r="WLA49" s="478"/>
      <c r="WLB49" s="478"/>
      <c r="WLC49" s="478"/>
      <c r="WLD49" s="478"/>
      <c r="WLE49" s="478"/>
      <c r="WLF49" s="478"/>
      <c r="WLG49" s="478"/>
      <c r="WLH49" s="478"/>
      <c r="WLI49" s="478"/>
      <c r="WLJ49" s="478"/>
      <c r="WLK49" s="478"/>
      <c r="WLL49" s="478"/>
      <c r="WLM49" s="478"/>
      <c r="WLN49" s="478"/>
      <c r="WLO49" s="478"/>
      <c r="WLP49" s="478"/>
      <c r="WLQ49" s="478"/>
      <c r="WLR49" s="478"/>
      <c r="WLS49" s="478"/>
      <c r="WLT49" s="478"/>
      <c r="WLU49" s="478"/>
      <c r="WLV49" s="478"/>
      <c r="WLW49" s="478"/>
      <c r="WLX49" s="478"/>
      <c r="WLY49" s="478"/>
      <c r="WLZ49" s="478"/>
      <c r="WMA49" s="478"/>
      <c r="WMB49" s="478"/>
      <c r="WMC49" s="478"/>
      <c r="WMD49" s="478"/>
      <c r="WME49" s="478"/>
      <c r="WMF49" s="478"/>
      <c r="WMG49" s="478"/>
      <c r="WMH49" s="478"/>
      <c r="WMI49" s="478"/>
      <c r="WMJ49" s="478"/>
      <c r="WMK49" s="478"/>
      <c r="WML49" s="478"/>
      <c r="WMM49" s="478"/>
      <c r="WMN49" s="478"/>
      <c r="WMO49" s="478"/>
      <c r="WMP49" s="478"/>
      <c r="WMQ49" s="478"/>
      <c r="WMR49" s="478"/>
      <c r="WMS49" s="478"/>
      <c r="WMT49" s="478"/>
      <c r="WMU49" s="478"/>
      <c r="WMV49" s="478"/>
      <c r="WMW49" s="478"/>
      <c r="WMX49" s="478"/>
      <c r="WMY49" s="478"/>
      <c r="WMZ49" s="478"/>
      <c r="WNA49" s="478"/>
      <c r="WNB49" s="478"/>
      <c r="WNC49" s="478"/>
      <c r="WND49" s="478"/>
      <c r="WNE49" s="478"/>
      <c r="WNF49" s="478"/>
      <c r="WNG49" s="478"/>
      <c r="WNH49" s="478"/>
      <c r="WNI49" s="478"/>
      <c r="WNJ49" s="478"/>
      <c r="WNK49" s="478"/>
      <c r="WNL49" s="478"/>
      <c r="WNM49" s="478"/>
      <c r="WNN49" s="478"/>
      <c r="WNO49" s="478"/>
      <c r="WNP49" s="478"/>
      <c r="WNQ49" s="478"/>
      <c r="WNR49" s="478"/>
      <c r="WNS49" s="478"/>
      <c r="WNT49" s="478"/>
      <c r="WNU49" s="478"/>
      <c r="WNV49" s="478"/>
      <c r="WNW49" s="478"/>
      <c r="WNX49" s="478"/>
      <c r="WNY49" s="478"/>
      <c r="WNZ49" s="478"/>
      <c r="WOA49" s="478"/>
      <c r="WOB49" s="478"/>
      <c r="WOC49" s="478"/>
      <c r="WOD49" s="478"/>
      <c r="WOE49" s="478"/>
      <c r="WOF49" s="478"/>
      <c r="WOG49" s="478"/>
      <c r="WOH49" s="478"/>
      <c r="WOI49" s="478"/>
      <c r="WOJ49" s="478"/>
      <c r="WOK49" s="478"/>
      <c r="WOL49" s="478"/>
      <c r="WOM49" s="478"/>
      <c r="WON49" s="478"/>
      <c r="WOO49" s="478"/>
      <c r="WOP49" s="478"/>
      <c r="WOQ49" s="478"/>
      <c r="WOR49" s="478"/>
      <c r="WOS49" s="478"/>
      <c r="WOT49" s="478"/>
      <c r="WOU49" s="478"/>
      <c r="WOV49" s="478"/>
      <c r="WOW49" s="478"/>
      <c r="WOX49" s="478"/>
      <c r="WOY49" s="478"/>
      <c r="WOZ49" s="478"/>
      <c r="WPA49" s="478"/>
      <c r="WPB49" s="478"/>
      <c r="WPC49" s="478"/>
      <c r="WPD49" s="478"/>
      <c r="WPE49" s="478"/>
      <c r="WPF49" s="478"/>
      <c r="WPG49" s="478"/>
      <c r="WPH49" s="478"/>
      <c r="WPI49" s="478"/>
      <c r="WPJ49" s="478"/>
      <c r="WPK49" s="478"/>
      <c r="WPL49" s="478"/>
      <c r="WPM49" s="478"/>
      <c r="WPN49" s="478"/>
      <c r="WPO49" s="478"/>
      <c r="WPP49" s="478"/>
      <c r="WPQ49" s="478"/>
      <c r="WPR49" s="478"/>
      <c r="WPS49" s="478"/>
      <c r="WPT49" s="478"/>
      <c r="WPU49" s="478"/>
      <c r="WPV49" s="478"/>
      <c r="WPW49" s="478"/>
      <c r="WPX49" s="478"/>
      <c r="WPY49" s="478"/>
      <c r="WPZ49" s="478"/>
      <c r="WQA49" s="478"/>
      <c r="WQB49" s="478"/>
      <c r="WQC49" s="478"/>
      <c r="WQD49" s="478"/>
      <c r="WQE49" s="478"/>
      <c r="WQF49" s="478"/>
      <c r="WQG49" s="478"/>
      <c r="WQH49" s="478"/>
      <c r="WQI49" s="478"/>
      <c r="WQJ49" s="478"/>
      <c r="WQK49" s="478"/>
      <c r="WQL49" s="478"/>
      <c r="WQM49" s="478"/>
      <c r="WQN49" s="478"/>
      <c r="WQO49" s="478"/>
      <c r="WQP49" s="478"/>
      <c r="WQQ49" s="478"/>
      <c r="WQR49" s="478"/>
      <c r="WQS49" s="478"/>
      <c r="WQT49" s="478"/>
      <c r="WQU49" s="478"/>
      <c r="WQV49" s="478"/>
      <c r="WQW49" s="478"/>
      <c r="WQX49" s="478"/>
      <c r="WQY49" s="478"/>
      <c r="WQZ49" s="478"/>
      <c r="WRA49" s="478"/>
      <c r="WRB49" s="478"/>
      <c r="WRC49" s="478"/>
      <c r="WRD49" s="478"/>
      <c r="WRE49" s="478"/>
      <c r="WRF49" s="478"/>
      <c r="WRG49" s="478"/>
      <c r="WRH49" s="478"/>
      <c r="WRI49" s="478"/>
      <c r="WRJ49" s="478"/>
      <c r="WRK49" s="478"/>
      <c r="WRL49" s="478"/>
      <c r="WRM49" s="478"/>
      <c r="WRN49" s="478"/>
      <c r="WRO49" s="478"/>
      <c r="WRP49" s="478"/>
      <c r="WRQ49" s="478"/>
      <c r="WRR49" s="478"/>
      <c r="WRS49" s="478"/>
      <c r="WRT49" s="478"/>
      <c r="WRU49" s="478"/>
      <c r="WRV49" s="478"/>
      <c r="WRW49" s="478"/>
      <c r="WRX49" s="478"/>
      <c r="WRY49" s="478"/>
      <c r="WRZ49" s="478"/>
      <c r="WSA49" s="478"/>
      <c r="WSB49" s="478"/>
      <c r="WSC49" s="478"/>
      <c r="WSD49" s="478"/>
      <c r="WSE49" s="478"/>
      <c r="WSF49" s="478"/>
      <c r="WSG49" s="478"/>
      <c r="WSH49" s="478"/>
      <c r="WSI49" s="478"/>
      <c r="WSJ49" s="478"/>
      <c r="WSK49" s="478"/>
      <c r="WSL49" s="478"/>
      <c r="WSM49" s="478"/>
      <c r="WSN49" s="478"/>
      <c r="WSO49" s="478"/>
      <c r="WSP49" s="478"/>
      <c r="WSQ49" s="478"/>
      <c r="WSR49" s="478"/>
      <c r="WSS49" s="478"/>
      <c r="WST49" s="478"/>
      <c r="WSU49" s="478"/>
      <c r="WSV49" s="478"/>
      <c r="WSW49" s="478"/>
      <c r="WSX49" s="478"/>
      <c r="WSY49" s="478"/>
      <c r="WSZ49" s="478"/>
      <c r="WTA49" s="478"/>
      <c r="WTB49" s="478"/>
      <c r="WTC49" s="478"/>
      <c r="WTD49" s="478"/>
      <c r="WTE49" s="478"/>
      <c r="WTF49" s="478"/>
      <c r="WTG49" s="478"/>
      <c r="WTH49" s="478"/>
      <c r="WTI49" s="478"/>
      <c r="WTJ49" s="478"/>
      <c r="WTK49" s="478"/>
      <c r="WTL49" s="478"/>
      <c r="WTM49" s="478"/>
      <c r="WTN49" s="478"/>
      <c r="WTO49" s="478"/>
      <c r="WTP49" s="478"/>
      <c r="WTQ49" s="478"/>
      <c r="WTR49" s="478"/>
      <c r="WTS49" s="478"/>
      <c r="WTT49" s="478"/>
      <c r="WTU49" s="478"/>
      <c r="WTV49" s="478"/>
      <c r="WTW49" s="478"/>
      <c r="WTX49" s="478"/>
      <c r="WTY49" s="478"/>
      <c r="WTZ49" s="478"/>
      <c r="WUA49" s="478"/>
      <c r="WUB49" s="478"/>
      <c r="WUC49" s="478"/>
      <c r="WUD49" s="478"/>
      <c r="WUE49" s="478"/>
      <c r="WUF49" s="478"/>
      <c r="WUG49" s="478"/>
      <c r="WUH49" s="478"/>
      <c r="WUI49" s="478"/>
      <c r="WUJ49" s="478"/>
      <c r="WUK49" s="478"/>
      <c r="WUL49" s="478"/>
      <c r="WUM49" s="478"/>
      <c r="WUN49" s="478"/>
      <c r="WUO49" s="478"/>
      <c r="WUP49" s="478"/>
      <c r="WUQ49" s="478"/>
      <c r="WUR49" s="478"/>
      <c r="WUS49" s="478"/>
      <c r="WUT49" s="478"/>
      <c r="WUU49" s="478"/>
      <c r="WUV49" s="478"/>
      <c r="WUW49" s="478"/>
      <c r="WUX49" s="478"/>
      <c r="WUY49" s="478"/>
      <c r="WUZ49" s="478"/>
      <c r="WVA49" s="478"/>
      <c r="WVB49" s="478"/>
      <c r="WVC49" s="478"/>
      <c r="WVD49" s="478"/>
      <c r="WVE49" s="478"/>
      <c r="WVF49" s="478"/>
      <c r="WVG49" s="478"/>
      <c r="WVH49" s="478"/>
      <c r="WVI49" s="478"/>
      <c r="WVJ49" s="478"/>
      <c r="WVK49" s="478"/>
      <c r="WVL49" s="478"/>
      <c r="WVM49" s="478"/>
      <c r="WVN49" s="478"/>
      <c r="WVO49" s="478"/>
      <c r="WVP49" s="478"/>
      <c r="WVQ49" s="478"/>
      <c r="WVR49" s="478"/>
      <c r="WVS49" s="478"/>
      <c r="WVT49" s="478"/>
      <c r="WVU49" s="478"/>
      <c r="WVV49" s="478"/>
      <c r="WVW49" s="478"/>
      <c r="WVX49" s="478"/>
      <c r="WVY49" s="478"/>
      <c r="WVZ49" s="478"/>
      <c r="WWA49" s="478"/>
      <c r="WWB49" s="478"/>
      <c r="WWC49" s="478"/>
      <c r="WWD49" s="478"/>
      <c r="WWE49" s="478"/>
      <c r="WWF49" s="478"/>
      <c r="WWG49" s="478"/>
      <c r="WWH49" s="478"/>
      <c r="WWI49" s="478"/>
      <c r="WWJ49" s="478"/>
      <c r="WWK49" s="478"/>
      <c r="WWL49" s="478"/>
      <c r="WWM49" s="478"/>
      <c r="WWN49" s="478"/>
      <c r="WWO49" s="478"/>
      <c r="WWP49" s="478"/>
      <c r="WWQ49" s="478"/>
      <c r="WWR49" s="478"/>
      <c r="WWS49" s="478"/>
      <c r="WWT49" s="478"/>
      <c r="WWU49" s="478"/>
      <c r="WWV49" s="478"/>
      <c r="WWW49" s="478"/>
      <c r="WWX49" s="478"/>
      <c r="WWY49" s="478"/>
      <c r="WWZ49" s="478"/>
      <c r="WXA49" s="478"/>
      <c r="WXB49" s="478"/>
      <c r="WXC49" s="478"/>
      <c r="WXD49" s="478"/>
      <c r="WXE49" s="478"/>
      <c r="WXF49" s="478"/>
      <c r="WXG49" s="478"/>
      <c r="WXH49" s="478"/>
      <c r="WXI49" s="478"/>
      <c r="WXJ49" s="478"/>
      <c r="WXK49" s="478"/>
      <c r="WXL49" s="478"/>
      <c r="WXM49" s="478"/>
      <c r="WXN49" s="478"/>
      <c r="WXO49" s="478"/>
      <c r="WXP49" s="478"/>
      <c r="WXQ49" s="478"/>
      <c r="WXR49" s="478"/>
      <c r="WXS49" s="478"/>
      <c r="WXT49" s="478"/>
      <c r="WXU49" s="478"/>
      <c r="WXV49" s="478"/>
      <c r="WXW49" s="478"/>
      <c r="WXX49" s="478"/>
      <c r="WXY49" s="478"/>
      <c r="WXZ49" s="478"/>
      <c r="WYA49" s="478"/>
      <c r="WYB49" s="478"/>
      <c r="WYC49" s="478"/>
      <c r="WYD49" s="478"/>
      <c r="WYE49" s="478"/>
      <c r="WYF49" s="478"/>
      <c r="WYG49" s="478"/>
      <c r="WYH49" s="478"/>
      <c r="WYI49" s="478"/>
      <c r="WYJ49" s="478"/>
      <c r="WYK49" s="478"/>
      <c r="WYL49" s="478"/>
      <c r="WYM49" s="478"/>
      <c r="WYN49" s="478"/>
      <c r="WYO49" s="478"/>
      <c r="WYP49" s="478"/>
      <c r="WYQ49" s="478"/>
      <c r="WYR49" s="478"/>
      <c r="WYS49" s="478"/>
      <c r="WYT49" s="478"/>
      <c r="WYU49" s="478"/>
      <c r="WYV49" s="478"/>
      <c r="WYW49" s="478"/>
      <c r="WYX49" s="478"/>
      <c r="WYY49" s="478"/>
      <c r="WYZ49" s="478"/>
      <c r="WZA49" s="478"/>
      <c r="WZB49" s="478"/>
      <c r="WZC49" s="478"/>
      <c r="WZD49" s="478"/>
      <c r="WZE49" s="478"/>
      <c r="WZF49" s="478"/>
      <c r="WZG49" s="478"/>
      <c r="WZH49" s="478"/>
      <c r="WZI49" s="478"/>
      <c r="WZJ49" s="478"/>
      <c r="WZK49" s="478"/>
      <c r="WZL49" s="478"/>
      <c r="WZM49" s="478"/>
      <c r="WZN49" s="478"/>
      <c r="WZO49" s="478"/>
      <c r="WZP49" s="478"/>
      <c r="WZQ49" s="478"/>
      <c r="WZR49" s="478"/>
      <c r="WZS49" s="478"/>
      <c r="WZT49" s="478"/>
      <c r="WZU49" s="478"/>
      <c r="WZV49" s="478"/>
      <c r="WZW49" s="478"/>
      <c r="WZX49" s="478"/>
      <c r="WZY49" s="478"/>
      <c r="WZZ49" s="478"/>
      <c r="XAA49" s="478"/>
      <c r="XAB49" s="478"/>
      <c r="XAC49" s="478"/>
      <c r="XAD49" s="478"/>
      <c r="XAE49" s="478"/>
      <c r="XAF49" s="478"/>
      <c r="XAG49" s="478"/>
      <c r="XAH49" s="478"/>
      <c r="XAI49" s="478"/>
      <c r="XAJ49" s="478"/>
      <c r="XAK49" s="478"/>
      <c r="XAL49" s="478"/>
      <c r="XAM49" s="478"/>
      <c r="XAN49" s="478"/>
      <c r="XAO49" s="478"/>
      <c r="XAP49" s="478"/>
      <c r="XAQ49" s="478"/>
      <c r="XAR49" s="478"/>
      <c r="XAS49" s="478"/>
      <c r="XAT49" s="478"/>
      <c r="XAU49" s="478"/>
      <c r="XAV49" s="478"/>
      <c r="XAW49" s="478"/>
      <c r="XAX49" s="478"/>
      <c r="XAY49" s="478"/>
      <c r="XAZ49" s="478"/>
      <c r="XBA49" s="478"/>
      <c r="XBB49" s="478"/>
      <c r="XBC49" s="478"/>
      <c r="XBD49" s="478"/>
      <c r="XBE49" s="478"/>
      <c r="XBF49" s="478"/>
      <c r="XBG49" s="478"/>
      <c r="XBH49" s="478"/>
      <c r="XBI49" s="478"/>
      <c r="XBJ49" s="478"/>
      <c r="XBK49" s="478"/>
      <c r="XBL49" s="478"/>
      <c r="XBM49" s="478"/>
      <c r="XBN49" s="478"/>
      <c r="XBO49" s="478"/>
      <c r="XBP49" s="478"/>
      <c r="XBQ49" s="478"/>
      <c r="XBR49" s="478"/>
      <c r="XBS49" s="478"/>
      <c r="XBT49" s="478"/>
      <c r="XBU49" s="478"/>
      <c r="XBV49" s="478"/>
      <c r="XBW49" s="478"/>
      <c r="XBX49" s="478"/>
      <c r="XBY49" s="478"/>
      <c r="XBZ49" s="478"/>
      <c r="XCA49" s="478"/>
      <c r="XCB49" s="478"/>
      <c r="XCC49" s="478"/>
      <c r="XCD49" s="478"/>
      <c r="XCE49" s="478"/>
      <c r="XCF49" s="478"/>
      <c r="XCG49" s="478"/>
      <c r="XCH49" s="478"/>
      <c r="XCI49" s="478"/>
      <c r="XCJ49" s="478"/>
      <c r="XCK49" s="478"/>
      <c r="XCL49" s="478"/>
      <c r="XCM49" s="478"/>
      <c r="XCN49" s="478"/>
      <c r="XCO49" s="478"/>
      <c r="XCP49" s="478"/>
      <c r="XCQ49" s="478"/>
      <c r="XCR49" s="478"/>
      <c r="XCS49" s="478"/>
      <c r="XCT49" s="478"/>
      <c r="XCU49" s="478"/>
      <c r="XCV49" s="478"/>
      <c r="XCW49" s="478"/>
      <c r="XCX49" s="478"/>
      <c r="XCY49" s="478"/>
      <c r="XCZ49" s="478"/>
      <c r="XDA49" s="478"/>
      <c r="XDB49" s="478"/>
      <c r="XDC49" s="478"/>
      <c r="XDD49" s="478"/>
      <c r="XDE49" s="478"/>
      <c r="XDF49" s="478"/>
      <c r="XDG49" s="478"/>
      <c r="XDH49" s="478"/>
      <c r="XDI49" s="478"/>
      <c r="XDJ49" s="478"/>
      <c r="XDK49" s="478"/>
      <c r="XDL49" s="478"/>
      <c r="XDM49" s="478"/>
      <c r="XDN49" s="478"/>
      <c r="XDO49" s="478"/>
      <c r="XDP49" s="478"/>
      <c r="XDQ49" s="478"/>
      <c r="XDR49" s="478"/>
      <c r="XDS49" s="478"/>
      <c r="XDT49" s="478"/>
      <c r="XDU49" s="478"/>
      <c r="XDV49" s="478"/>
      <c r="XDW49" s="478"/>
      <c r="XDX49" s="478"/>
      <c r="XDY49" s="478"/>
      <c r="XDZ49" s="478"/>
      <c r="XEA49" s="478"/>
      <c r="XEB49" s="478"/>
      <c r="XEC49" s="478"/>
      <c r="XED49" s="478"/>
      <c r="XEE49" s="478"/>
      <c r="XEF49" s="478"/>
      <c r="XEG49" s="478"/>
      <c r="XEH49" s="478"/>
      <c r="XEI49" s="478"/>
      <c r="XEJ49" s="478"/>
      <c r="XEK49" s="478"/>
      <c r="XEL49" s="478"/>
      <c r="XEM49" s="478"/>
      <c r="XEN49" s="478"/>
      <c r="XEO49" s="478"/>
      <c r="XEP49" s="478"/>
      <c r="XEQ49" s="478"/>
      <c r="XER49" s="478"/>
      <c r="XES49" s="478"/>
      <c r="XET49" s="478"/>
      <c r="XEU49" s="478"/>
      <c r="XEV49" s="478"/>
      <c r="XEW49" s="478"/>
      <c r="XEX49" s="478"/>
      <c r="XEY49" s="478"/>
      <c r="XEZ49" s="478"/>
      <c r="XFA49" s="478"/>
      <c r="XFB49" s="478"/>
      <c r="XFC49" s="478"/>
      <c r="XFD49" s="478"/>
    </row>
    <row r="50" s="344" customFormat="1" customHeight="1" spans="1:16384">
      <c r="A50" s="380" t="str">
        <f t="shared" si="28"/>
        <v>ZU10-1</v>
      </c>
      <c r="B50" s="381">
        <f t="shared" si="4"/>
        <v>290.21</v>
      </c>
      <c r="C50" s="381">
        <f t="shared" si="5"/>
        <v>310.21</v>
      </c>
      <c r="D50" s="382">
        <f t="shared" si="6"/>
        <v>20</v>
      </c>
      <c r="E50" s="383">
        <f t="shared" si="7"/>
        <v>3.348</v>
      </c>
      <c r="F50" s="383">
        <f t="shared" si="8"/>
        <v>3.348</v>
      </c>
      <c r="G50" s="383">
        <f t="shared" si="9"/>
        <v>-3.90902</v>
      </c>
      <c r="H50" s="383">
        <f t="shared" si="10"/>
        <v>-3.90902</v>
      </c>
      <c r="I50" s="383">
        <f t="shared" si="11"/>
        <v>7.25702</v>
      </c>
      <c r="J50" s="383">
        <f t="shared" si="12"/>
        <v>7.25702</v>
      </c>
      <c r="K50" s="415">
        <f t="shared" si="13"/>
        <v>0.8</v>
      </c>
      <c r="L50" s="415">
        <f>LOOKUP(MAX(J50,I50),{0,3,4,5,6.5,7.5,9,10},{0.3,0.4,0.5,0.6,0.7,0.8,0.9})</f>
        <v>0.7</v>
      </c>
      <c r="M50" s="415">
        <f t="shared" si="14"/>
        <v>13.9</v>
      </c>
      <c r="N50" s="415">
        <f t="shared" si="15"/>
        <v>13.9</v>
      </c>
      <c r="O50" s="416">
        <f t="shared" si="16"/>
        <v>3.18984</v>
      </c>
      <c r="P50" s="417">
        <f t="shared" si="17"/>
        <v>2.98969</v>
      </c>
      <c r="Q50" s="417">
        <f t="shared" si="18"/>
        <v>1.75</v>
      </c>
      <c r="R50" s="382">
        <f t="shared" si="19"/>
        <v>1.75</v>
      </c>
      <c r="S50" s="456">
        <f t="shared" si="20"/>
        <v>0</v>
      </c>
      <c r="T50" s="457">
        <f t="shared" si="21"/>
        <v>2.4195</v>
      </c>
      <c r="U50" s="416">
        <f t="shared" si="22"/>
        <v>2.30127</v>
      </c>
      <c r="V50" s="416">
        <f t="shared" si="23"/>
        <v>0.45</v>
      </c>
      <c r="W50" s="457">
        <f t="shared" si="24"/>
        <v>0.45</v>
      </c>
      <c r="X50" s="458">
        <f t="shared" si="25"/>
        <v>0</v>
      </c>
      <c r="Y50" s="447">
        <f t="shared" si="26"/>
        <v>0</v>
      </c>
      <c r="Z50" s="447">
        <f t="shared" si="27"/>
        <v>0</v>
      </c>
      <c r="AA50" s="478"/>
      <c r="AB50" s="479"/>
      <c r="AC50" s="479"/>
      <c r="AD50" s="478"/>
      <c r="AE50" s="478"/>
      <c r="AF50" s="478"/>
      <c r="AG50" s="478"/>
      <c r="AH50" s="478"/>
      <c r="AI50" s="478"/>
      <c r="AJ50" s="478"/>
      <c r="AK50" s="478"/>
      <c r="AL50" s="478"/>
      <c r="AM50" s="478"/>
      <c r="AN50" s="478"/>
      <c r="AO50" s="478"/>
      <c r="AP50" s="478"/>
      <c r="AQ50" s="478"/>
      <c r="AR50" s="478"/>
      <c r="AS50" s="478"/>
      <c r="AT50" s="478"/>
      <c r="AU50" s="478"/>
      <c r="AV50" s="478"/>
      <c r="AW50" s="478"/>
      <c r="AX50" s="478"/>
      <c r="AY50" s="478"/>
      <c r="AZ50" s="478"/>
      <c r="BA50" s="478"/>
      <c r="BB50" s="478"/>
      <c r="BC50" s="478"/>
      <c r="BD50" s="478"/>
      <c r="BE50" s="478"/>
      <c r="BF50" s="478"/>
      <c r="BG50" s="478"/>
      <c r="BH50" s="478"/>
      <c r="BI50" s="478"/>
      <c r="BJ50" s="478"/>
      <c r="BK50" s="478"/>
      <c r="BL50" s="478"/>
      <c r="BM50" s="478"/>
      <c r="BN50" s="478"/>
      <c r="BO50" s="478"/>
      <c r="BP50" s="478"/>
      <c r="BQ50" s="478"/>
      <c r="BR50" s="478"/>
      <c r="BS50" s="478"/>
      <c r="BT50" s="478"/>
      <c r="BU50" s="478"/>
      <c r="BV50" s="478"/>
      <c r="BW50" s="478"/>
      <c r="BX50" s="478"/>
      <c r="BY50" s="478"/>
      <c r="BZ50" s="478"/>
      <c r="CA50" s="478"/>
      <c r="CB50" s="478"/>
      <c r="CC50" s="478"/>
      <c r="CD50" s="478"/>
      <c r="CE50" s="478"/>
      <c r="CF50" s="478"/>
      <c r="CG50" s="478"/>
      <c r="CH50" s="478"/>
      <c r="CI50" s="478"/>
      <c r="CJ50" s="478"/>
      <c r="CK50" s="478"/>
      <c r="CL50" s="478"/>
      <c r="CM50" s="478"/>
      <c r="CN50" s="478"/>
      <c r="CO50" s="478"/>
      <c r="CP50" s="478"/>
      <c r="CQ50" s="478"/>
      <c r="CR50" s="478"/>
      <c r="CS50" s="478"/>
      <c r="CT50" s="478"/>
      <c r="CU50" s="478"/>
      <c r="CV50" s="478"/>
      <c r="CW50" s="478"/>
      <c r="CX50" s="478"/>
      <c r="CY50" s="478"/>
      <c r="CZ50" s="478"/>
      <c r="DA50" s="478"/>
      <c r="DB50" s="478"/>
      <c r="DC50" s="478"/>
      <c r="DD50" s="478"/>
      <c r="DE50" s="478"/>
      <c r="DF50" s="478"/>
      <c r="DG50" s="478"/>
      <c r="DH50" s="478"/>
      <c r="DI50" s="478"/>
      <c r="DJ50" s="478"/>
      <c r="DK50" s="478"/>
      <c r="DL50" s="478"/>
      <c r="DM50" s="478"/>
      <c r="DN50" s="478"/>
      <c r="DO50" s="478"/>
      <c r="DP50" s="478"/>
      <c r="DQ50" s="478"/>
      <c r="DR50" s="478"/>
      <c r="DS50" s="478"/>
      <c r="DT50" s="478"/>
      <c r="DU50" s="478"/>
      <c r="DV50" s="478"/>
      <c r="DW50" s="478"/>
      <c r="DX50" s="478"/>
      <c r="DY50" s="478"/>
      <c r="DZ50" s="478"/>
      <c r="EA50" s="478"/>
      <c r="EB50" s="478"/>
      <c r="EC50" s="478"/>
      <c r="ED50" s="478"/>
      <c r="EE50" s="478"/>
      <c r="EF50" s="478"/>
      <c r="EG50" s="478"/>
      <c r="EH50" s="478"/>
      <c r="EI50" s="478"/>
      <c r="EJ50" s="478"/>
      <c r="EK50" s="478"/>
      <c r="EL50" s="478"/>
      <c r="EM50" s="478"/>
      <c r="EN50" s="478"/>
      <c r="EO50" s="478"/>
      <c r="EP50" s="478"/>
      <c r="EQ50" s="478"/>
      <c r="ER50" s="478"/>
      <c r="ES50" s="478"/>
      <c r="ET50" s="478"/>
      <c r="EU50" s="478"/>
      <c r="EV50" s="478"/>
      <c r="EW50" s="478"/>
      <c r="EX50" s="478"/>
      <c r="EY50" s="478"/>
      <c r="EZ50" s="478"/>
      <c r="FA50" s="478"/>
      <c r="FB50" s="478"/>
      <c r="FC50" s="478"/>
      <c r="FD50" s="478"/>
      <c r="FE50" s="478"/>
      <c r="FF50" s="478"/>
      <c r="FG50" s="478"/>
      <c r="FH50" s="478"/>
      <c r="FI50" s="478"/>
      <c r="FJ50" s="478"/>
      <c r="FK50" s="478"/>
      <c r="FL50" s="478"/>
      <c r="FM50" s="478"/>
      <c r="FN50" s="478"/>
      <c r="FO50" s="478"/>
      <c r="FP50" s="478"/>
      <c r="FQ50" s="478"/>
      <c r="FR50" s="478"/>
      <c r="FS50" s="478"/>
      <c r="FT50" s="478"/>
      <c r="FU50" s="478"/>
      <c r="FV50" s="478"/>
      <c r="FW50" s="478"/>
      <c r="FX50" s="478"/>
      <c r="FY50" s="478"/>
      <c r="FZ50" s="478"/>
      <c r="GA50" s="478"/>
      <c r="GB50" s="478"/>
      <c r="GC50" s="478"/>
      <c r="GD50" s="478"/>
      <c r="GE50" s="478"/>
      <c r="GF50" s="478"/>
      <c r="GG50" s="478"/>
      <c r="GH50" s="478"/>
      <c r="GI50" s="478"/>
      <c r="GJ50" s="478"/>
      <c r="GK50" s="478"/>
      <c r="GL50" s="478"/>
      <c r="GM50" s="478"/>
      <c r="GN50" s="478"/>
      <c r="GO50" s="478"/>
      <c r="GP50" s="478"/>
      <c r="GQ50" s="478"/>
      <c r="GR50" s="478"/>
      <c r="GS50" s="478"/>
      <c r="GT50" s="478"/>
      <c r="GU50" s="478"/>
      <c r="GV50" s="478"/>
      <c r="GW50" s="478"/>
      <c r="GX50" s="478"/>
      <c r="GY50" s="478"/>
      <c r="GZ50" s="478"/>
      <c r="HA50" s="478"/>
      <c r="HB50" s="478"/>
      <c r="HC50" s="478"/>
      <c r="HD50" s="478"/>
      <c r="HE50" s="478"/>
      <c r="HF50" s="478"/>
      <c r="HG50" s="478"/>
      <c r="HH50" s="478"/>
      <c r="HI50" s="478"/>
      <c r="HJ50" s="478"/>
      <c r="HK50" s="478"/>
      <c r="HL50" s="478"/>
      <c r="HM50" s="478"/>
      <c r="HN50" s="478"/>
      <c r="HO50" s="478"/>
      <c r="HP50" s="478"/>
      <c r="HQ50" s="478"/>
      <c r="HR50" s="478"/>
      <c r="HS50" s="478"/>
      <c r="HT50" s="478"/>
      <c r="HU50" s="478"/>
      <c r="HV50" s="478"/>
      <c r="HW50" s="478"/>
      <c r="HX50" s="478"/>
      <c r="HY50" s="478"/>
      <c r="HZ50" s="478"/>
      <c r="IA50" s="478"/>
      <c r="IB50" s="478"/>
      <c r="IC50" s="478"/>
      <c r="ID50" s="478"/>
      <c r="IE50" s="478"/>
      <c r="IF50" s="478"/>
      <c r="IG50" s="478"/>
      <c r="IH50" s="478"/>
      <c r="II50" s="478"/>
      <c r="IJ50" s="478"/>
      <c r="IK50" s="478"/>
      <c r="IL50" s="478"/>
      <c r="IM50" s="478"/>
      <c r="IN50" s="478"/>
      <c r="IO50" s="478"/>
      <c r="IP50" s="478"/>
      <c r="IQ50" s="478"/>
      <c r="IR50" s="478"/>
      <c r="IS50" s="478"/>
      <c r="IT50" s="478"/>
      <c r="IU50" s="478"/>
      <c r="IV50" s="478"/>
      <c r="IW50" s="478"/>
      <c r="IX50" s="478"/>
      <c r="IY50" s="478"/>
      <c r="IZ50" s="478"/>
      <c r="JA50" s="478"/>
      <c r="JB50" s="478"/>
      <c r="JC50" s="478"/>
      <c r="JD50" s="478"/>
      <c r="JE50" s="478"/>
      <c r="JF50" s="478"/>
      <c r="JG50" s="478"/>
      <c r="JH50" s="478"/>
      <c r="JI50" s="478"/>
      <c r="JJ50" s="478"/>
      <c r="JK50" s="478"/>
      <c r="JL50" s="478"/>
      <c r="JM50" s="478"/>
      <c r="JN50" s="478"/>
      <c r="JO50" s="478"/>
      <c r="JP50" s="478"/>
      <c r="JQ50" s="478"/>
      <c r="JR50" s="478"/>
      <c r="JS50" s="478"/>
      <c r="JT50" s="478"/>
      <c r="JU50" s="478"/>
      <c r="JV50" s="478"/>
      <c r="JW50" s="478"/>
      <c r="JX50" s="478"/>
      <c r="JY50" s="478"/>
      <c r="JZ50" s="478"/>
      <c r="KA50" s="478"/>
      <c r="KB50" s="478"/>
      <c r="KC50" s="478"/>
      <c r="KD50" s="478"/>
      <c r="KE50" s="478"/>
      <c r="KF50" s="478"/>
      <c r="KG50" s="478"/>
      <c r="KH50" s="478"/>
      <c r="KI50" s="478"/>
      <c r="KJ50" s="478"/>
      <c r="KK50" s="478"/>
      <c r="KL50" s="478"/>
      <c r="KM50" s="478"/>
      <c r="KN50" s="478"/>
      <c r="KO50" s="478"/>
      <c r="KP50" s="478"/>
      <c r="KQ50" s="478"/>
      <c r="KR50" s="478"/>
      <c r="KS50" s="478"/>
      <c r="KT50" s="478"/>
      <c r="KU50" s="478"/>
      <c r="KV50" s="478"/>
      <c r="KW50" s="478"/>
      <c r="KX50" s="478"/>
      <c r="KY50" s="478"/>
      <c r="KZ50" s="478"/>
      <c r="LA50" s="478"/>
      <c r="LB50" s="478"/>
      <c r="LC50" s="478"/>
      <c r="LD50" s="478"/>
      <c r="LE50" s="478"/>
      <c r="LF50" s="478"/>
      <c r="LG50" s="478"/>
      <c r="LH50" s="478"/>
      <c r="LI50" s="478"/>
      <c r="LJ50" s="478"/>
      <c r="LK50" s="478"/>
      <c r="LL50" s="478"/>
      <c r="LM50" s="478"/>
      <c r="LN50" s="478"/>
      <c r="LO50" s="478"/>
      <c r="LP50" s="478"/>
      <c r="LQ50" s="478"/>
      <c r="LR50" s="478"/>
      <c r="LS50" s="478"/>
      <c r="LT50" s="478"/>
      <c r="LU50" s="478"/>
      <c r="LV50" s="478"/>
      <c r="LW50" s="478"/>
      <c r="LX50" s="478"/>
      <c r="LY50" s="478"/>
      <c r="LZ50" s="478"/>
      <c r="MA50" s="478"/>
      <c r="MB50" s="478"/>
      <c r="MC50" s="478"/>
      <c r="MD50" s="478"/>
      <c r="ME50" s="478"/>
      <c r="MF50" s="478"/>
      <c r="MG50" s="478"/>
      <c r="MH50" s="478"/>
      <c r="MI50" s="478"/>
      <c r="MJ50" s="478"/>
      <c r="MK50" s="478"/>
      <c r="ML50" s="478"/>
      <c r="MM50" s="478"/>
      <c r="MN50" s="478"/>
      <c r="MO50" s="478"/>
      <c r="MP50" s="478"/>
      <c r="MQ50" s="478"/>
      <c r="MR50" s="478"/>
      <c r="MS50" s="478"/>
      <c r="MT50" s="478"/>
      <c r="MU50" s="478"/>
      <c r="MV50" s="478"/>
      <c r="MW50" s="478"/>
      <c r="MX50" s="478"/>
      <c r="MY50" s="478"/>
      <c r="MZ50" s="478"/>
      <c r="NA50" s="478"/>
      <c r="NB50" s="478"/>
      <c r="NC50" s="478"/>
      <c r="ND50" s="478"/>
      <c r="NE50" s="478"/>
      <c r="NF50" s="478"/>
      <c r="NG50" s="478"/>
      <c r="NH50" s="478"/>
      <c r="NI50" s="478"/>
      <c r="NJ50" s="478"/>
      <c r="NK50" s="478"/>
      <c r="NL50" s="478"/>
      <c r="NM50" s="478"/>
      <c r="NN50" s="478"/>
      <c r="NO50" s="478"/>
      <c r="NP50" s="478"/>
      <c r="NQ50" s="478"/>
      <c r="NR50" s="478"/>
      <c r="NS50" s="478"/>
      <c r="NT50" s="478"/>
      <c r="NU50" s="478"/>
      <c r="NV50" s="478"/>
      <c r="NW50" s="478"/>
      <c r="NX50" s="478"/>
      <c r="NY50" s="478"/>
      <c r="NZ50" s="478"/>
      <c r="OA50" s="478"/>
      <c r="OB50" s="478"/>
      <c r="OC50" s="478"/>
      <c r="OD50" s="478"/>
      <c r="OE50" s="478"/>
      <c r="OF50" s="478"/>
      <c r="OG50" s="478"/>
      <c r="OH50" s="478"/>
      <c r="OI50" s="478"/>
      <c r="OJ50" s="478"/>
      <c r="OK50" s="478"/>
      <c r="OL50" s="478"/>
      <c r="OM50" s="478"/>
      <c r="ON50" s="478"/>
      <c r="OO50" s="478"/>
      <c r="OP50" s="478"/>
      <c r="OQ50" s="478"/>
      <c r="OR50" s="478"/>
      <c r="OS50" s="478"/>
      <c r="OT50" s="478"/>
      <c r="OU50" s="478"/>
      <c r="OV50" s="478"/>
      <c r="OW50" s="478"/>
      <c r="OX50" s="478"/>
      <c r="OY50" s="478"/>
      <c r="OZ50" s="478"/>
      <c r="PA50" s="478"/>
      <c r="PB50" s="478"/>
      <c r="PC50" s="478"/>
      <c r="PD50" s="478"/>
      <c r="PE50" s="478"/>
      <c r="PF50" s="478"/>
      <c r="PG50" s="478"/>
      <c r="PH50" s="478"/>
      <c r="PI50" s="478"/>
      <c r="PJ50" s="478"/>
      <c r="PK50" s="478"/>
      <c r="PL50" s="478"/>
      <c r="PM50" s="478"/>
      <c r="PN50" s="478"/>
      <c r="PO50" s="478"/>
      <c r="PP50" s="478"/>
      <c r="PQ50" s="478"/>
      <c r="PR50" s="478"/>
      <c r="PS50" s="478"/>
      <c r="PT50" s="478"/>
      <c r="PU50" s="478"/>
      <c r="PV50" s="478"/>
      <c r="PW50" s="478"/>
      <c r="PX50" s="478"/>
      <c r="PY50" s="478"/>
      <c r="PZ50" s="478"/>
      <c r="QA50" s="478"/>
      <c r="QB50" s="478"/>
      <c r="QC50" s="478"/>
      <c r="QD50" s="478"/>
      <c r="QE50" s="478"/>
      <c r="QF50" s="478"/>
      <c r="QG50" s="478"/>
      <c r="QH50" s="478"/>
      <c r="QI50" s="478"/>
      <c r="QJ50" s="478"/>
      <c r="QK50" s="478"/>
      <c r="QL50" s="478"/>
      <c r="QM50" s="478"/>
      <c r="QN50" s="478"/>
      <c r="QO50" s="478"/>
      <c r="QP50" s="478"/>
      <c r="QQ50" s="478"/>
      <c r="QR50" s="478"/>
      <c r="QS50" s="478"/>
      <c r="QT50" s="478"/>
      <c r="QU50" s="478"/>
      <c r="QV50" s="478"/>
      <c r="QW50" s="478"/>
      <c r="QX50" s="478"/>
      <c r="QY50" s="478"/>
      <c r="QZ50" s="478"/>
      <c r="RA50" s="478"/>
      <c r="RB50" s="478"/>
      <c r="RC50" s="478"/>
      <c r="RD50" s="478"/>
      <c r="RE50" s="478"/>
      <c r="RF50" s="478"/>
      <c r="RG50" s="478"/>
      <c r="RH50" s="478"/>
      <c r="RI50" s="478"/>
      <c r="RJ50" s="478"/>
      <c r="RK50" s="478"/>
      <c r="RL50" s="478"/>
      <c r="RM50" s="478"/>
      <c r="RN50" s="478"/>
      <c r="RO50" s="478"/>
      <c r="RP50" s="478"/>
      <c r="RQ50" s="478"/>
      <c r="RR50" s="478"/>
      <c r="RS50" s="478"/>
      <c r="RT50" s="478"/>
      <c r="RU50" s="478"/>
      <c r="RV50" s="478"/>
      <c r="RW50" s="478"/>
      <c r="RX50" s="478"/>
      <c r="RY50" s="478"/>
      <c r="RZ50" s="478"/>
      <c r="SA50" s="478"/>
      <c r="SB50" s="478"/>
      <c r="SC50" s="478"/>
      <c r="SD50" s="478"/>
      <c r="SE50" s="478"/>
      <c r="SF50" s="478"/>
      <c r="SG50" s="478"/>
      <c r="SH50" s="478"/>
      <c r="SI50" s="478"/>
      <c r="SJ50" s="478"/>
      <c r="SK50" s="478"/>
      <c r="SL50" s="478"/>
      <c r="SM50" s="478"/>
      <c r="SN50" s="478"/>
      <c r="SO50" s="478"/>
      <c r="SP50" s="478"/>
      <c r="SQ50" s="478"/>
      <c r="SR50" s="478"/>
      <c r="SS50" s="478"/>
      <c r="ST50" s="478"/>
      <c r="SU50" s="478"/>
      <c r="SV50" s="478"/>
      <c r="SW50" s="478"/>
      <c r="SX50" s="478"/>
      <c r="SY50" s="478"/>
      <c r="SZ50" s="478"/>
      <c r="TA50" s="478"/>
      <c r="TB50" s="478"/>
      <c r="TC50" s="478"/>
      <c r="TD50" s="478"/>
      <c r="TE50" s="478"/>
      <c r="TF50" s="478"/>
      <c r="TG50" s="478"/>
      <c r="TH50" s="478"/>
      <c r="TI50" s="478"/>
      <c r="TJ50" s="478"/>
      <c r="TK50" s="478"/>
      <c r="TL50" s="478"/>
      <c r="TM50" s="478"/>
      <c r="TN50" s="478"/>
      <c r="TO50" s="478"/>
      <c r="TP50" s="478"/>
      <c r="TQ50" s="478"/>
      <c r="TR50" s="478"/>
      <c r="TS50" s="478"/>
      <c r="TT50" s="478"/>
      <c r="TU50" s="478"/>
      <c r="TV50" s="478"/>
      <c r="TW50" s="478"/>
      <c r="TX50" s="478"/>
      <c r="TY50" s="478"/>
      <c r="TZ50" s="478"/>
      <c r="UA50" s="478"/>
      <c r="UB50" s="478"/>
      <c r="UC50" s="478"/>
      <c r="UD50" s="478"/>
      <c r="UE50" s="478"/>
      <c r="UF50" s="478"/>
      <c r="UG50" s="478"/>
      <c r="UH50" s="478"/>
      <c r="UI50" s="478"/>
      <c r="UJ50" s="478"/>
      <c r="UK50" s="478"/>
      <c r="UL50" s="478"/>
      <c r="UM50" s="478"/>
      <c r="UN50" s="478"/>
      <c r="UO50" s="478"/>
      <c r="UP50" s="478"/>
      <c r="UQ50" s="478"/>
      <c r="UR50" s="478"/>
      <c r="US50" s="478"/>
      <c r="UT50" s="478"/>
      <c r="UU50" s="478"/>
      <c r="UV50" s="478"/>
      <c r="UW50" s="478"/>
      <c r="UX50" s="478"/>
      <c r="UY50" s="478"/>
      <c r="UZ50" s="478"/>
      <c r="VA50" s="478"/>
      <c r="VB50" s="478"/>
      <c r="VC50" s="478"/>
      <c r="VD50" s="478"/>
      <c r="VE50" s="478"/>
      <c r="VF50" s="478"/>
      <c r="VG50" s="478"/>
      <c r="VH50" s="478"/>
      <c r="VI50" s="478"/>
      <c r="VJ50" s="478"/>
      <c r="VK50" s="478"/>
      <c r="VL50" s="478"/>
      <c r="VM50" s="478"/>
      <c r="VN50" s="478"/>
      <c r="VO50" s="478"/>
      <c r="VP50" s="478"/>
      <c r="VQ50" s="478"/>
      <c r="VR50" s="478"/>
      <c r="VS50" s="478"/>
      <c r="VT50" s="478"/>
      <c r="VU50" s="478"/>
      <c r="VV50" s="478"/>
      <c r="VW50" s="478"/>
      <c r="VX50" s="478"/>
      <c r="VY50" s="478"/>
      <c r="VZ50" s="478"/>
      <c r="WA50" s="478"/>
      <c r="WB50" s="478"/>
      <c r="WC50" s="478"/>
      <c r="WD50" s="478"/>
      <c r="WE50" s="478"/>
      <c r="WF50" s="478"/>
      <c r="WG50" s="478"/>
      <c r="WH50" s="478"/>
      <c r="WI50" s="478"/>
      <c r="WJ50" s="478"/>
      <c r="WK50" s="478"/>
      <c r="WL50" s="478"/>
      <c r="WM50" s="478"/>
      <c r="WN50" s="478"/>
      <c r="WO50" s="478"/>
      <c r="WP50" s="478"/>
      <c r="WQ50" s="478"/>
      <c r="WR50" s="478"/>
      <c r="WS50" s="478"/>
      <c r="WT50" s="478"/>
      <c r="WU50" s="478"/>
      <c r="WV50" s="478"/>
      <c r="WW50" s="478"/>
      <c r="WX50" s="478"/>
      <c r="WY50" s="478"/>
      <c r="WZ50" s="478"/>
      <c r="XA50" s="478"/>
      <c r="XB50" s="478"/>
      <c r="XC50" s="478"/>
      <c r="XD50" s="478"/>
      <c r="XE50" s="478"/>
      <c r="XF50" s="478"/>
      <c r="XG50" s="478"/>
      <c r="XH50" s="478"/>
      <c r="XI50" s="478"/>
      <c r="XJ50" s="478"/>
      <c r="XK50" s="478"/>
      <c r="XL50" s="478"/>
      <c r="XM50" s="478"/>
      <c r="XN50" s="478"/>
      <c r="XO50" s="478"/>
      <c r="XP50" s="478"/>
      <c r="XQ50" s="478"/>
      <c r="XR50" s="478"/>
      <c r="XS50" s="478"/>
      <c r="XT50" s="478"/>
      <c r="XU50" s="478"/>
      <c r="XV50" s="478"/>
      <c r="XW50" s="478"/>
      <c r="XX50" s="478"/>
      <c r="XY50" s="478"/>
      <c r="XZ50" s="478"/>
      <c r="YA50" s="478"/>
      <c r="YB50" s="478"/>
      <c r="YC50" s="478"/>
      <c r="YD50" s="478"/>
      <c r="YE50" s="478"/>
      <c r="YF50" s="478"/>
      <c r="YG50" s="478"/>
      <c r="YH50" s="478"/>
      <c r="YI50" s="478"/>
      <c r="YJ50" s="478"/>
      <c r="YK50" s="478"/>
      <c r="YL50" s="478"/>
      <c r="YM50" s="478"/>
      <c r="YN50" s="478"/>
      <c r="YO50" s="478"/>
      <c r="YP50" s="478"/>
      <c r="YQ50" s="478"/>
      <c r="YR50" s="478"/>
      <c r="YS50" s="478"/>
      <c r="YT50" s="478"/>
      <c r="YU50" s="478"/>
      <c r="YV50" s="478"/>
      <c r="YW50" s="478"/>
      <c r="YX50" s="478"/>
      <c r="YY50" s="478"/>
      <c r="YZ50" s="478"/>
      <c r="ZA50" s="478"/>
      <c r="ZB50" s="478"/>
      <c r="ZC50" s="478"/>
      <c r="ZD50" s="478"/>
      <c r="ZE50" s="478"/>
      <c r="ZF50" s="478"/>
      <c r="ZG50" s="478"/>
      <c r="ZH50" s="478"/>
      <c r="ZI50" s="478"/>
      <c r="ZJ50" s="478"/>
      <c r="ZK50" s="478"/>
      <c r="ZL50" s="478"/>
      <c r="ZM50" s="478"/>
      <c r="ZN50" s="478"/>
      <c r="ZO50" s="478"/>
      <c r="ZP50" s="478"/>
      <c r="ZQ50" s="478"/>
      <c r="ZR50" s="478"/>
      <c r="ZS50" s="478"/>
      <c r="ZT50" s="478"/>
      <c r="ZU50" s="478"/>
      <c r="ZV50" s="478"/>
      <c r="ZW50" s="478"/>
      <c r="ZX50" s="478"/>
      <c r="ZY50" s="478"/>
      <c r="ZZ50" s="478"/>
      <c r="AAA50" s="478"/>
      <c r="AAB50" s="478"/>
      <c r="AAC50" s="478"/>
      <c r="AAD50" s="478"/>
      <c r="AAE50" s="478"/>
      <c r="AAF50" s="478"/>
      <c r="AAG50" s="478"/>
      <c r="AAH50" s="478"/>
      <c r="AAI50" s="478"/>
      <c r="AAJ50" s="478"/>
      <c r="AAK50" s="478"/>
      <c r="AAL50" s="478"/>
      <c r="AAM50" s="478"/>
      <c r="AAN50" s="478"/>
      <c r="AAO50" s="478"/>
      <c r="AAP50" s="478"/>
      <c r="AAQ50" s="478"/>
      <c r="AAR50" s="478"/>
      <c r="AAS50" s="478"/>
      <c r="AAT50" s="478"/>
      <c r="AAU50" s="478"/>
      <c r="AAV50" s="478"/>
      <c r="AAW50" s="478"/>
      <c r="AAX50" s="478"/>
      <c r="AAY50" s="478"/>
      <c r="AAZ50" s="478"/>
      <c r="ABA50" s="478"/>
      <c r="ABB50" s="478"/>
      <c r="ABC50" s="478"/>
      <c r="ABD50" s="478"/>
      <c r="ABE50" s="478"/>
      <c r="ABF50" s="478"/>
      <c r="ABG50" s="478"/>
      <c r="ABH50" s="478"/>
      <c r="ABI50" s="478"/>
      <c r="ABJ50" s="478"/>
      <c r="ABK50" s="478"/>
      <c r="ABL50" s="478"/>
      <c r="ABM50" s="478"/>
      <c r="ABN50" s="478"/>
      <c r="ABO50" s="478"/>
      <c r="ABP50" s="478"/>
      <c r="ABQ50" s="478"/>
      <c r="ABR50" s="478"/>
      <c r="ABS50" s="478"/>
      <c r="ABT50" s="478"/>
      <c r="ABU50" s="478"/>
      <c r="ABV50" s="478"/>
      <c r="ABW50" s="478"/>
      <c r="ABX50" s="478"/>
      <c r="ABY50" s="478"/>
      <c r="ABZ50" s="478"/>
      <c r="ACA50" s="478"/>
      <c r="ACB50" s="478"/>
      <c r="ACC50" s="478"/>
      <c r="ACD50" s="478"/>
      <c r="ACE50" s="478"/>
      <c r="ACF50" s="478"/>
      <c r="ACG50" s="478"/>
      <c r="ACH50" s="478"/>
      <c r="ACI50" s="478"/>
      <c r="ACJ50" s="478"/>
      <c r="ACK50" s="478"/>
      <c r="ACL50" s="478"/>
      <c r="ACM50" s="478"/>
      <c r="ACN50" s="478"/>
      <c r="ACO50" s="478"/>
      <c r="ACP50" s="478"/>
      <c r="ACQ50" s="478"/>
      <c r="ACR50" s="478"/>
      <c r="ACS50" s="478"/>
      <c r="ACT50" s="478"/>
      <c r="ACU50" s="478"/>
      <c r="ACV50" s="478"/>
      <c r="ACW50" s="478"/>
      <c r="ACX50" s="478"/>
      <c r="ACY50" s="478"/>
      <c r="ACZ50" s="478"/>
      <c r="ADA50" s="478"/>
      <c r="ADB50" s="478"/>
      <c r="ADC50" s="478"/>
      <c r="ADD50" s="478"/>
      <c r="ADE50" s="478"/>
      <c r="ADF50" s="478"/>
      <c r="ADG50" s="478"/>
      <c r="ADH50" s="478"/>
      <c r="ADI50" s="478"/>
      <c r="ADJ50" s="478"/>
      <c r="ADK50" s="478"/>
      <c r="ADL50" s="478"/>
      <c r="ADM50" s="478"/>
      <c r="ADN50" s="478"/>
      <c r="ADO50" s="478"/>
      <c r="ADP50" s="478"/>
      <c r="ADQ50" s="478"/>
      <c r="ADR50" s="478"/>
      <c r="ADS50" s="478"/>
      <c r="ADT50" s="478"/>
      <c r="ADU50" s="478"/>
      <c r="ADV50" s="478"/>
      <c r="ADW50" s="478"/>
      <c r="ADX50" s="478"/>
      <c r="ADY50" s="478"/>
      <c r="ADZ50" s="478"/>
      <c r="AEA50" s="478"/>
      <c r="AEB50" s="478"/>
      <c r="AEC50" s="478"/>
      <c r="AED50" s="478"/>
      <c r="AEE50" s="478"/>
      <c r="AEF50" s="478"/>
      <c r="AEG50" s="478"/>
      <c r="AEH50" s="478"/>
      <c r="AEI50" s="478"/>
      <c r="AEJ50" s="478"/>
      <c r="AEK50" s="478"/>
      <c r="AEL50" s="478"/>
      <c r="AEM50" s="478"/>
      <c r="AEN50" s="478"/>
      <c r="AEO50" s="478"/>
      <c r="AEP50" s="478"/>
      <c r="AEQ50" s="478"/>
      <c r="AER50" s="478"/>
      <c r="AES50" s="478"/>
      <c r="AET50" s="478"/>
      <c r="AEU50" s="478"/>
      <c r="AEV50" s="478"/>
      <c r="AEW50" s="478"/>
      <c r="AEX50" s="478"/>
      <c r="AEY50" s="478"/>
      <c r="AEZ50" s="478"/>
      <c r="AFA50" s="478"/>
      <c r="AFB50" s="478"/>
      <c r="AFC50" s="478"/>
      <c r="AFD50" s="478"/>
      <c r="AFE50" s="478"/>
      <c r="AFF50" s="478"/>
      <c r="AFG50" s="478"/>
      <c r="AFH50" s="478"/>
      <c r="AFI50" s="478"/>
      <c r="AFJ50" s="478"/>
      <c r="AFK50" s="478"/>
      <c r="AFL50" s="478"/>
      <c r="AFM50" s="478"/>
      <c r="AFN50" s="478"/>
      <c r="AFO50" s="478"/>
      <c r="AFP50" s="478"/>
      <c r="AFQ50" s="478"/>
      <c r="AFR50" s="478"/>
      <c r="AFS50" s="478"/>
      <c r="AFT50" s="478"/>
      <c r="AFU50" s="478"/>
      <c r="AFV50" s="478"/>
      <c r="AFW50" s="478"/>
      <c r="AFX50" s="478"/>
      <c r="AFY50" s="478"/>
      <c r="AFZ50" s="478"/>
      <c r="AGA50" s="478"/>
      <c r="AGB50" s="478"/>
      <c r="AGC50" s="478"/>
      <c r="AGD50" s="478"/>
      <c r="AGE50" s="478"/>
      <c r="AGF50" s="478"/>
      <c r="AGG50" s="478"/>
      <c r="AGH50" s="478"/>
      <c r="AGI50" s="478"/>
      <c r="AGJ50" s="478"/>
      <c r="AGK50" s="478"/>
      <c r="AGL50" s="478"/>
      <c r="AGM50" s="478"/>
      <c r="AGN50" s="478"/>
      <c r="AGO50" s="478"/>
      <c r="AGP50" s="478"/>
      <c r="AGQ50" s="478"/>
      <c r="AGR50" s="478"/>
      <c r="AGS50" s="478"/>
      <c r="AGT50" s="478"/>
      <c r="AGU50" s="478"/>
      <c r="AGV50" s="478"/>
      <c r="AGW50" s="478"/>
      <c r="AGX50" s="478"/>
      <c r="AGY50" s="478"/>
      <c r="AGZ50" s="478"/>
      <c r="AHA50" s="478"/>
      <c r="AHB50" s="478"/>
      <c r="AHC50" s="478"/>
      <c r="AHD50" s="478"/>
      <c r="AHE50" s="478"/>
      <c r="AHF50" s="478"/>
      <c r="AHG50" s="478"/>
      <c r="AHH50" s="478"/>
      <c r="AHI50" s="478"/>
      <c r="AHJ50" s="478"/>
      <c r="AHK50" s="478"/>
      <c r="AHL50" s="478"/>
      <c r="AHM50" s="478"/>
      <c r="AHN50" s="478"/>
      <c r="AHO50" s="478"/>
      <c r="AHP50" s="478"/>
      <c r="AHQ50" s="478"/>
      <c r="AHR50" s="478"/>
      <c r="AHS50" s="478"/>
      <c r="AHT50" s="478"/>
      <c r="AHU50" s="478"/>
      <c r="AHV50" s="478"/>
      <c r="AHW50" s="478"/>
      <c r="AHX50" s="478"/>
      <c r="AHY50" s="478"/>
      <c r="AHZ50" s="478"/>
      <c r="AIA50" s="478"/>
      <c r="AIB50" s="478"/>
      <c r="AIC50" s="478"/>
      <c r="AID50" s="478"/>
      <c r="AIE50" s="478"/>
      <c r="AIF50" s="478"/>
      <c r="AIG50" s="478"/>
      <c r="AIH50" s="478"/>
      <c r="AII50" s="478"/>
      <c r="AIJ50" s="478"/>
      <c r="AIK50" s="478"/>
      <c r="AIL50" s="478"/>
      <c r="AIM50" s="478"/>
      <c r="AIN50" s="478"/>
      <c r="AIO50" s="478"/>
      <c r="AIP50" s="478"/>
      <c r="AIQ50" s="478"/>
      <c r="AIR50" s="478"/>
      <c r="AIS50" s="478"/>
      <c r="AIT50" s="478"/>
      <c r="AIU50" s="478"/>
      <c r="AIV50" s="478"/>
      <c r="AIW50" s="478"/>
      <c r="AIX50" s="478"/>
      <c r="AIY50" s="478"/>
      <c r="AIZ50" s="478"/>
      <c r="AJA50" s="478"/>
      <c r="AJB50" s="478"/>
      <c r="AJC50" s="478"/>
      <c r="AJD50" s="478"/>
      <c r="AJE50" s="478"/>
      <c r="AJF50" s="478"/>
      <c r="AJG50" s="478"/>
      <c r="AJH50" s="478"/>
      <c r="AJI50" s="478"/>
      <c r="AJJ50" s="478"/>
      <c r="AJK50" s="478"/>
      <c r="AJL50" s="478"/>
      <c r="AJM50" s="478"/>
      <c r="AJN50" s="478"/>
      <c r="AJO50" s="478"/>
      <c r="AJP50" s="478"/>
      <c r="AJQ50" s="478"/>
      <c r="AJR50" s="478"/>
      <c r="AJS50" s="478"/>
      <c r="AJT50" s="478"/>
      <c r="AJU50" s="478"/>
      <c r="AJV50" s="478"/>
      <c r="AJW50" s="478"/>
      <c r="AJX50" s="478"/>
      <c r="AJY50" s="478"/>
      <c r="AJZ50" s="478"/>
      <c r="AKA50" s="478"/>
      <c r="AKB50" s="478"/>
      <c r="AKC50" s="478"/>
      <c r="AKD50" s="478"/>
      <c r="AKE50" s="478"/>
      <c r="AKF50" s="478"/>
      <c r="AKG50" s="478"/>
      <c r="AKH50" s="478"/>
      <c r="AKI50" s="478"/>
      <c r="AKJ50" s="478"/>
      <c r="AKK50" s="478"/>
      <c r="AKL50" s="478"/>
      <c r="AKM50" s="478"/>
      <c r="AKN50" s="478"/>
      <c r="AKO50" s="478"/>
      <c r="AKP50" s="478"/>
      <c r="AKQ50" s="478"/>
      <c r="AKR50" s="478"/>
      <c r="AKS50" s="478"/>
      <c r="AKT50" s="478"/>
      <c r="AKU50" s="478"/>
      <c r="AKV50" s="478"/>
      <c r="AKW50" s="478"/>
      <c r="AKX50" s="478"/>
      <c r="AKY50" s="478"/>
      <c r="AKZ50" s="478"/>
      <c r="ALA50" s="478"/>
      <c r="ALB50" s="478"/>
      <c r="ALC50" s="478"/>
      <c r="ALD50" s="478"/>
      <c r="ALE50" s="478"/>
      <c r="ALF50" s="478"/>
      <c r="ALG50" s="478"/>
      <c r="ALH50" s="478"/>
      <c r="ALI50" s="478"/>
      <c r="ALJ50" s="478"/>
      <c r="ALK50" s="478"/>
      <c r="ALL50" s="478"/>
      <c r="ALM50" s="478"/>
      <c r="ALN50" s="478"/>
      <c r="ALO50" s="478"/>
      <c r="ALP50" s="478"/>
      <c r="ALQ50" s="478"/>
      <c r="ALR50" s="478"/>
      <c r="ALS50" s="478"/>
      <c r="ALT50" s="478"/>
      <c r="ALU50" s="478"/>
      <c r="ALV50" s="478"/>
      <c r="ALW50" s="478"/>
      <c r="ALX50" s="478"/>
      <c r="ALY50" s="478"/>
      <c r="ALZ50" s="478"/>
      <c r="AMA50" s="478"/>
      <c r="AMB50" s="478"/>
      <c r="AMC50" s="478"/>
      <c r="AMD50" s="478"/>
      <c r="AME50" s="478"/>
      <c r="AMF50" s="478"/>
      <c r="AMG50" s="478"/>
      <c r="AMH50" s="478"/>
      <c r="AMI50" s="478"/>
      <c r="AMJ50" s="478"/>
      <c r="AMK50" s="478"/>
      <c r="AML50" s="478"/>
      <c r="AMM50" s="478"/>
      <c r="AMN50" s="478"/>
      <c r="AMO50" s="478"/>
      <c r="AMP50" s="478"/>
      <c r="AMQ50" s="478"/>
      <c r="AMR50" s="478"/>
      <c r="AMS50" s="478"/>
      <c r="AMT50" s="478"/>
      <c r="AMU50" s="478"/>
      <c r="AMV50" s="478"/>
      <c r="AMW50" s="478"/>
      <c r="AMX50" s="478"/>
      <c r="AMY50" s="478"/>
      <c r="AMZ50" s="478"/>
      <c r="ANA50" s="478"/>
      <c r="ANB50" s="478"/>
      <c r="ANC50" s="478"/>
      <c r="AND50" s="478"/>
      <c r="ANE50" s="478"/>
      <c r="ANF50" s="478"/>
      <c r="ANG50" s="478"/>
      <c r="ANH50" s="478"/>
      <c r="ANI50" s="478"/>
      <c r="ANJ50" s="478"/>
      <c r="ANK50" s="478"/>
      <c r="ANL50" s="478"/>
      <c r="ANM50" s="478"/>
      <c r="ANN50" s="478"/>
      <c r="ANO50" s="478"/>
      <c r="ANP50" s="478"/>
      <c r="ANQ50" s="478"/>
      <c r="ANR50" s="478"/>
      <c r="ANS50" s="478"/>
      <c r="ANT50" s="478"/>
      <c r="ANU50" s="478"/>
      <c r="ANV50" s="478"/>
      <c r="ANW50" s="478"/>
      <c r="ANX50" s="478"/>
      <c r="ANY50" s="478"/>
      <c r="ANZ50" s="478"/>
      <c r="AOA50" s="478"/>
      <c r="AOB50" s="478"/>
      <c r="AOC50" s="478"/>
      <c r="AOD50" s="478"/>
      <c r="AOE50" s="478"/>
      <c r="AOF50" s="478"/>
      <c r="AOG50" s="478"/>
      <c r="AOH50" s="478"/>
      <c r="AOI50" s="478"/>
      <c r="AOJ50" s="478"/>
      <c r="AOK50" s="478"/>
      <c r="AOL50" s="478"/>
      <c r="AOM50" s="478"/>
      <c r="AON50" s="478"/>
      <c r="AOO50" s="478"/>
      <c r="AOP50" s="478"/>
      <c r="AOQ50" s="478"/>
      <c r="AOR50" s="478"/>
      <c r="AOS50" s="478"/>
      <c r="AOT50" s="478"/>
      <c r="AOU50" s="478"/>
      <c r="AOV50" s="478"/>
      <c r="AOW50" s="478"/>
      <c r="AOX50" s="478"/>
      <c r="AOY50" s="478"/>
      <c r="AOZ50" s="478"/>
      <c r="APA50" s="478"/>
      <c r="APB50" s="478"/>
      <c r="APC50" s="478"/>
      <c r="APD50" s="478"/>
      <c r="APE50" s="478"/>
      <c r="APF50" s="478"/>
      <c r="APG50" s="478"/>
      <c r="APH50" s="478"/>
      <c r="API50" s="478"/>
      <c r="APJ50" s="478"/>
      <c r="APK50" s="478"/>
      <c r="APL50" s="478"/>
      <c r="APM50" s="478"/>
      <c r="APN50" s="478"/>
      <c r="APO50" s="478"/>
      <c r="APP50" s="478"/>
      <c r="APQ50" s="478"/>
      <c r="APR50" s="478"/>
      <c r="APS50" s="478"/>
      <c r="APT50" s="478"/>
      <c r="APU50" s="478"/>
      <c r="APV50" s="478"/>
      <c r="APW50" s="478"/>
      <c r="APX50" s="478"/>
      <c r="APY50" s="478"/>
      <c r="APZ50" s="478"/>
      <c r="AQA50" s="478"/>
      <c r="AQB50" s="478"/>
      <c r="AQC50" s="478"/>
      <c r="AQD50" s="478"/>
      <c r="AQE50" s="478"/>
      <c r="AQF50" s="478"/>
      <c r="AQG50" s="478"/>
      <c r="AQH50" s="478"/>
      <c r="AQI50" s="478"/>
      <c r="AQJ50" s="478"/>
      <c r="AQK50" s="478"/>
      <c r="AQL50" s="478"/>
      <c r="AQM50" s="478"/>
      <c r="AQN50" s="478"/>
      <c r="AQO50" s="478"/>
      <c r="AQP50" s="478"/>
      <c r="AQQ50" s="478"/>
      <c r="AQR50" s="478"/>
      <c r="AQS50" s="478"/>
      <c r="AQT50" s="478"/>
      <c r="AQU50" s="478"/>
      <c r="AQV50" s="478"/>
      <c r="AQW50" s="478"/>
      <c r="AQX50" s="478"/>
      <c r="AQY50" s="478"/>
      <c r="AQZ50" s="478"/>
      <c r="ARA50" s="478"/>
      <c r="ARB50" s="478"/>
      <c r="ARC50" s="478"/>
      <c r="ARD50" s="478"/>
      <c r="ARE50" s="478"/>
      <c r="ARF50" s="478"/>
      <c r="ARG50" s="478"/>
      <c r="ARH50" s="478"/>
      <c r="ARI50" s="478"/>
      <c r="ARJ50" s="478"/>
      <c r="ARK50" s="478"/>
      <c r="ARL50" s="478"/>
      <c r="ARM50" s="478"/>
      <c r="ARN50" s="478"/>
      <c r="ARO50" s="478"/>
      <c r="ARP50" s="478"/>
      <c r="ARQ50" s="478"/>
      <c r="ARR50" s="478"/>
      <c r="ARS50" s="478"/>
      <c r="ART50" s="478"/>
      <c r="ARU50" s="478"/>
      <c r="ARV50" s="478"/>
      <c r="ARW50" s="478"/>
      <c r="ARX50" s="478"/>
      <c r="ARY50" s="478"/>
      <c r="ARZ50" s="478"/>
      <c r="ASA50" s="478"/>
      <c r="ASB50" s="478"/>
      <c r="ASC50" s="478"/>
      <c r="ASD50" s="478"/>
      <c r="ASE50" s="478"/>
      <c r="ASF50" s="478"/>
      <c r="ASG50" s="478"/>
      <c r="ASH50" s="478"/>
      <c r="ASI50" s="478"/>
      <c r="ASJ50" s="478"/>
      <c r="ASK50" s="478"/>
      <c r="ASL50" s="478"/>
      <c r="ASM50" s="478"/>
      <c r="ASN50" s="478"/>
      <c r="ASO50" s="478"/>
      <c r="ASP50" s="478"/>
      <c r="ASQ50" s="478"/>
      <c r="ASR50" s="478"/>
      <c r="ASS50" s="478"/>
      <c r="AST50" s="478"/>
      <c r="ASU50" s="478"/>
      <c r="ASV50" s="478"/>
      <c r="ASW50" s="478"/>
      <c r="ASX50" s="478"/>
      <c r="ASY50" s="478"/>
      <c r="ASZ50" s="478"/>
      <c r="ATA50" s="478"/>
      <c r="ATB50" s="478"/>
      <c r="ATC50" s="478"/>
      <c r="ATD50" s="478"/>
      <c r="ATE50" s="478"/>
      <c r="ATF50" s="478"/>
      <c r="ATG50" s="478"/>
      <c r="ATH50" s="478"/>
      <c r="ATI50" s="478"/>
      <c r="ATJ50" s="478"/>
      <c r="ATK50" s="478"/>
      <c r="ATL50" s="478"/>
      <c r="ATM50" s="478"/>
      <c r="ATN50" s="478"/>
      <c r="ATO50" s="478"/>
      <c r="ATP50" s="478"/>
      <c r="ATQ50" s="478"/>
      <c r="ATR50" s="478"/>
      <c r="ATS50" s="478"/>
      <c r="ATT50" s="478"/>
      <c r="ATU50" s="478"/>
      <c r="ATV50" s="478"/>
      <c r="ATW50" s="478"/>
      <c r="ATX50" s="478"/>
      <c r="ATY50" s="478"/>
      <c r="ATZ50" s="478"/>
      <c r="AUA50" s="478"/>
      <c r="AUB50" s="478"/>
      <c r="AUC50" s="478"/>
      <c r="AUD50" s="478"/>
      <c r="AUE50" s="478"/>
      <c r="AUF50" s="478"/>
      <c r="AUG50" s="478"/>
      <c r="AUH50" s="478"/>
      <c r="AUI50" s="478"/>
      <c r="AUJ50" s="478"/>
      <c r="AUK50" s="478"/>
      <c r="AUL50" s="478"/>
      <c r="AUM50" s="478"/>
      <c r="AUN50" s="478"/>
      <c r="AUO50" s="478"/>
      <c r="AUP50" s="478"/>
      <c r="AUQ50" s="478"/>
      <c r="AUR50" s="478"/>
      <c r="AUS50" s="478"/>
      <c r="AUT50" s="478"/>
      <c r="AUU50" s="478"/>
      <c r="AUV50" s="478"/>
      <c r="AUW50" s="478"/>
      <c r="AUX50" s="478"/>
      <c r="AUY50" s="478"/>
      <c r="AUZ50" s="478"/>
      <c r="AVA50" s="478"/>
      <c r="AVB50" s="478"/>
      <c r="AVC50" s="478"/>
      <c r="AVD50" s="478"/>
      <c r="AVE50" s="478"/>
      <c r="AVF50" s="478"/>
      <c r="AVG50" s="478"/>
      <c r="AVH50" s="478"/>
      <c r="AVI50" s="478"/>
      <c r="AVJ50" s="478"/>
      <c r="AVK50" s="478"/>
      <c r="AVL50" s="478"/>
      <c r="AVM50" s="478"/>
      <c r="AVN50" s="478"/>
      <c r="AVO50" s="478"/>
      <c r="AVP50" s="478"/>
      <c r="AVQ50" s="478"/>
      <c r="AVR50" s="478"/>
      <c r="AVS50" s="478"/>
      <c r="AVT50" s="478"/>
      <c r="AVU50" s="478"/>
      <c r="AVV50" s="478"/>
      <c r="AVW50" s="478"/>
      <c r="AVX50" s="478"/>
      <c r="AVY50" s="478"/>
      <c r="AVZ50" s="478"/>
      <c r="AWA50" s="478"/>
      <c r="AWB50" s="478"/>
      <c r="AWC50" s="478"/>
      <c r="AWD50" s="478"/>
      <c r="AWE50" s="478"/>
      <c r="AWF50" s="478"/>
      <c r="AWG50" s="478"/>
      <c r="AWH50" s="478"/>
      <c r="AWI50" s="478"/>
      <c r="AWJ50" s="478"/>
      <c r="AWK50" s="478"/>
      <c r="AWL50" s="478"/>
      <c r="AWM50" s="478"/>
      <c r="AWN50" s="478"/>
      <c r="AWO50" s="478"/>
      <c r="AWP50" s="478"/>
      <c r="AWQ50" s="478"/>
      <c r="AWR50" s="478"/>
      <c r="AWS50" s="478"/>
      <c r="AWT50" s="478"/>
      <c r="AWU50" s="478"/>
      <c r="AWV50" s="478"/>
      <c r="AWW50" s="478"/>
      <c r="AWX50" s="478"/>
      <c r="AWY50" s="478"/>
      <c r="AWZ50" s="478"/>
      <c r="AXA50" s="478"/>
      <c r="AXB50" s="478"/>
      <c r="AXC50" s="478"/>
      <c r="AXD50" s="478"/>
      <c r="AXE50" s="478"/>
      <c r="AXF50" s="478"/>
      <c r="AXG50" s="478"/>
      <c r="AXH50" s="478"/>
      <c r="AXI50" s="478"/>
      <c r="AXJ50" s="478"/>
      <c r="AXK50" s="478"/>
      <c r="AXL50" s="478"/>
      <c r="AXM50" s="478"/>
      <c r="AXN50" s="478"/>
      <c r="AXO50" s="478"/>
      <c r="AXP50" s="478"/>
      <c r="AXQ50" s="478"/>
      <c r="AXR50" s="478"/>
      <c r="AXS50" s="478"/>
      <c r="AXT50" s="478"/>
      <c r="AXU50" s="478"/>
      <c r="AXV50" s="478"/>
      <c r="AXW50" s="478"/>
      <c r="AXX50" s="478"/>
      <c r="AXY50" s="478"/>
      <c r="AXZ50" s="478"/>
      <c r="AYA50" s="478"/>
      <c r="AYB50" s="478"/>
      <c r="AYC50" s="478"/>
      <c r="AYD50" s="478"/>
      <c r="AYE50" s="478"/>
      <c r="AYF50" s="478"/>
      <c r="AYG50" s="478"/>
      <c r="AYH50" s="478"/>
      <c r="AYI50" s="478"/>
      <c r="AYJ50" s="478"/>
      <c r="AYK50" s="478"/>
      <c r="AYL50" s="478"/>
      <c r="AYM50" s="478"/>
      <c r="AYN50" s="478"/>
      <c r="AYO50" s="478"/>
      <c r="AYP50" s="478"/>
      <c r="AYQ50" s="478"/>
      <c r="AYR50" s="478"/>
      <c r="AYS50" s="478"/>
      <c r="AYT50" s="478"/>
      <c r="AYU50" s="478"/>
      <c r="AYV50" s="478"/>
      <c r="AYW50" s="478"/>
      <c r="AYX50" s="478"/>
      <c r="AYY50" s="478"/>
      <c r="AYZ50" s="478"/>
      <c r="AZA50" s="478"/>
      <c r="AZB50" s="478"/>
      <c r="AZC50" s="478"/>
      <c r="AZD50" s="478"/>
      <c r="AZE50" s="478"/>
      <c r="AZF50" s="478"/>
      <c r="AZG50" s="478"/>
      <c r="AZH50" s="478"/>
      <c r="AZI50" s="478"/>
      <c r="AZJ50" s="478"/>
      <c r="AZK50" s="478"/>
      <c r="AZL50" s="478"/>
      <c r="AZM50" s="478"/>
      <c r="AZN50" s="478"/>
      <c r="AZO50" s="478"/>
      <c r="AZP50" s="478"/>
      <c r="AZQ50" s="478"/>
      <c r="AZR50" s="478"/>
      <c r="AZS50" s="478"/>
      <c r="AZT50" s="478"/>
      <c r="AZU50" s="478"/>
      <c r="AZV50" s="478"/>
      <c r="AZW50" s="478"/>
      <c r="AZX50" s="478"/>
      <c r="AZY50" s="478"/>
      <c r="AZZ50" s="478"/>
      <c r="BAA50" s="478"/>
      <c r="BAB50" s="478"/>
      <c r="BAC50" s="478"/>
      <c r="BAD50" s="478"/>
      <c r="BAE50" s="478"/>
      <c r="BAF50" s="478"/>
      <c r="BAG50" s="478"/>
      <c r="BAH50" s="478"/>
      <c r="BAI50" s="478"/>
      <c r="BAJ50" s="478"/>
      <c r="BAK50" s="478"/>
      <c r="BAL50" s="478"/>
      <c r="BAM50" s="478"/>
      <c r="BAN50" s="478"/>
      <c r="BAO50" s="478"/>
      <c r="BAP50" s="478"/>
      <c r="BAQ50" s="478"/>
      <c r="BAR50" s="478"/>
      <c r="BAS50" s="478"/>
      <c r="BAT50" s="478"/>
      <c r="BAU50" s="478"/>
      <c r="BAV50" s="478"/>
      <c r="BAW50" s="478"/>
      <c r="BAX50" s="478"/>
      <c r="BAY50" s="478"/>
      <c r="BAZ50" s="478"/>
      <c r="BBA50" s="478"/>
      <c r="BBB50" s="478"/>
      <c r="BBC50" s="478"/>
      <c r="BBD50" s="478"/>
      <c r="BBE50" s="478"/>
      <c r="BBF50" s="478"/>
      <c r="BBG50" s="478"/>
      <c r="BBH50" s="478"/>
      <c r="BBI50" s="478"/>
      <c r="BBJ50" s="478"/>
      <c r="BBK50" s="478"/>
      <c r="BBL50" s="478"/>
      <c r="BBM50" s="478"/>
      <c r="BBN50" s="478"/>
      <c r="BBO50" s="478"/>
      <c r="BBP50" s="478"/>
      <c r="BBQ50" s="478"/>
      <c r="BBR50" s="478"/>
      <c r="BBS50" s="478"/>
      <c r="BBT50" s="478"/>
      <c r="BBU50" s="478"/>
      <c r="BBV50" s="478"/>
      <c r="BBW50" s="478"/>
      <c r="BBX50" s="478"/>
      <c r="BBY50" s="478"/>
      <c r="BBZ50" s="478"/>
      <c r="BCA50" s="478"/>
      <c r="BCB50" s="478"/>
      <c r="BCC50" s="478"/>
      <c r="BCD50" s="478"/>
      <c r="BCE50" s="478"/>
      <c r="BCF50" s="478"/>
      <c r="BCG50" s="478"/>
      <c r="BCH50" s="478"/>
      <c r="BCI50" s="478"/>
      <c r="BCJ50" s="478"/>
      <c r="BCK50" s="478"/>
      <c r="BCL50" s="478"/>
      <c r="BCM50" s="478"/>
      <c r="BCN50" s="478"/>
      <c r="BCO50" s="478"/>
      <c r="BCP50" s="478"/>
      <c r="BCQ50" s="478"/>
      <c r="BCR50" s="478"/>
      <c r="BCS50" s="478"/>
      <c r="BCT50" s="478"/>
      <c r="BCU50" s="478"/>
      <c r="BCV50" s="478"/>
      <c r="BCW50" s="478"/>
      <c r="BCX50" s="478"/>
      <c r="BCY50" s="478"/>
      <c r="BCZ50" s="478"/>
      <c r="BDA50" s="478"/>
      <c r="BDB50" s="478"/>
      <c r="BDC50" s="478"/>
      <c r="BDD50" s="478"/>
      <c r="BDE50" s="478"/>
      <c r="BDF50" s="478"/>
      <c r="BDG50" s="478"/>
      <c r="BDH50" s="478"/>
      <c r="BDI50" s="478"/>
      <c r="BDJ50" s="478"/>
      <c r="BDK50" s="478"/>
      <c r="BDL50" s="478"/>
      <c r="BDM50" s="478"/>
      <c r="BDN50" s="478"/>
      <c r="BDO50" s="478"/>
      <c r="BDP50" s="478"/>
      <c r="BDQ50" s="478"/>
      <c r="BDR50" s="478"/>
      <c r="BDS50" s="478"/>
      <c r="BDT50" s="478"/>
      <c r="BDU50" s="478"/>
      <c r="BDV50" s="478"/>
      <c r="BDW50" s="478"/>
      <c r="BDX50" s="478"/>
      <c r="BDY50" s="478"/>
      <c r="BDZ50" s="478"/>
      <c r="BEA50" s="478"/>
      <c r="BEB50" s="478"/>
      <c r="BEC50" s="478"/>
      <c r="BED50" s="478"/>
      <c r="BEE50" s="478"/>
      <c r="BEF50" s="478"/>
      <c r="BEG50" s="478"/>
      <c r="BEH50" s="478"/>
      <c r="BEI50" s="478"/>
      <c r="BEJ50" s="478"/>
      <c r="BEK50" s="478"/>
      <c r="BEL50" s="478"/>
      <c r="BEM50" s="478"/>
      <c r="BEN50" s="478"/>
      <c r="BEO50" s="478"/>
      <c r="BEP50" s="478"/>
      <c r="BEQ50" s="478"/>
      <c r="BER50" s="478"/>
      <c r="BES50" s="478"/>
      <c r="BET50" s="478"/>
      <c r="BEU50" s="478"/>
      <c r="BEV50" s="478"/>
      <c r="BEW50" s="478"/>
      <c r="BEX50" s="478"/>
      <c r="BEY50" s="478"/>
      <c r="BEZ50" s="478"/>
      <c r="BFA50" s="478"/>
      <c r="BFB50" s="478"/>
      <c r="BFC50" s="478"/>
      <c r="BFD50" s="478"/>
      <c r="BFE50" s="478"/>
      <c r="BFF50" s="478"/>
      <c r="BFG50" s="478"/>
      <c r="BFH50" s="478"/>
      <c r="BFI50" s="478"/>
      <c r="BFJ50" s="478"/>
      <c r="BFK50" s="478"/>
      <c r="BFL50" s="478"/>
      <c r="BFM50" s="478"/>
      <c r="BFN50" s="478"/>
      <c r="BFO50" s="478"/>
      <c r="BFP50" s="478"/>
      <c r="BFQ50" s="478"/>
      <c r="BFR50" s="478"/>
      <c r="BFS50" s="478"/>
      <c r="BFT50" s="478"/>
      <c r="BFU50" s="478"/>
      <c r="BFV50" s="478"/>
      <c r="BFW50" s="478"/>
      <c r="BFX50" s="478"/>
      <c r="BFY50" s="478"/>
      <c r="BFZ50" s="478"/>
      <c r="BGA50" s="478"/>
      <c r="BGB50" s="478"/>
      <c r="BGC50" s="478"/>
      <c r="BGD50" s="478"/>
      <c r="BGE50" s="478"/>
      <c r="BGF50" s="478"/>
      <c r="BGG50" s="478"/>
      <c r="BGH50" s="478"/>
      <c r="BGI50" s="478"/>
      <c r="BGJ50" s="478"/>
      <c r="BGK50" s="478"/>
      <c r="BGL50" s="478"/>
      <c r="BGM50" s="478"/>
      <c r="BGN50" s="478"/>
      <c r="BGO50" s="478"/>
      <c r="BGP50" s="478"/>
      <c r="BGQ50" s="478"/>
      <c r="BGR50" s="478"/>
      <c r="BGS50" s="478"/>
      <c r="BGT50" s="478"/>
      <c r="BGU50" s="478"/>
      <c r="BGV50" s="478"/>
      <c r="BGW50" s="478"/>
      <c r="BGX50" s="478"/>
      <c r="BGY50" s="478"/>
      <c r="BGZ50" s="478"/>
      <c r="BHA50" s="478"/>
      <c r="BHB50" s="478"/>
      <c r="BHC50" s="478"/>
      <c r="BHD50" s="478"/>
      <c r="BHE50" s="478"/>
      <c r="BHF50" s="478"/>
      <c r="BHG50" s="478"/>
      <c r="BHH50" s="478"/>
      <c r="BHI50" s="478"/>
      <c r="BHJ50" s="478"/>
      <c r="BHK50" s="478"/>
      <c r="BHL50" s="478"/>
      <c r="BHM50" s="478"/>
      <c r="BHN50" s="478"/>
      <c r="BHO50" s="478"/>
      <c r="BHP50" s="478"/>
      <c r="BHQ50" s="478"/>
      <c r="BHR50" s="478"/>
      <c r="BHS50" s="478"/>
      <c r="BHT50" s="478"/>
      <c r="BHU50" s="478"/>
      <c r="BHV50" s="478"/>
      <c r="BHW50" s="478"/>
      <c r="BHX50" s="478"/>
      <c r="BHY50" s="478"/>
      <c r="BHZ50" s="478"/>
      <c r="BIA50" s="478"/>
      <c r="BIB50" s="478"/>
      <c r="BIC50" s="478"/>
      <c r="BID50" s="478"/>
      <c r="BIE50" s="478"/>
      <c r="BIF50" s="478"/>
      <c r="BIG50" s="478"/>
      <c r="BIH50" s="478"/>
      <c r="BII50" s="478"/>
      <c r="BIJ50" s="478"/>
      <c r="BIK50" s="478"/>
      <c r="BIL50" s="478"/>
      <c r="BIM50" s="478"/>
      <c r="BIN50" s="478"/>
      <c r="BIO50" s="478"/>
      <c r="BIP50" s="478"/>
      <c r="BIQ50" s="478"/>
      <c r="BIR50" s="478"/>
      <c r="BIS50" s="478"/>
      <c r="BIT50" s="478"/>
      <c r="BIU50" s="478"/>
      <c r="BIV50" s="478"/>
      <c r="BIW50" s="478"/>
      <c r="BIX50" s="478"/>
      <c r="BIY50" s="478"/>
      <c r="BIZ50" s="478"/>
      <c r="BJA50" s="478"/>
      <c r="BJB50" s="478"/>
      <c r="BJC50" s="478"/>
      <c r="BJD50" s="478"/>
      <c r="BJE50" s="478"/>
      <c r="BJF50" s="478"/>
      <c r="BJG50" s="478"/>
      <c r="BJH50" s="478"/>
      <c r="BJI50" s="478"/>
      <c r="BJJ50" s="478"/>
      <c r="BJK50" s="478"/>
      <c r="BJL50" s="478"/>
      <c r="BJM50" s="478"/>
      <c r="BJN50" s="478"/>
      <c r="BJO50" s="478"/>
      <c r="BJP50" s="478"/>
      <c r="BJQ50" s="478"/>
      <c r="BJR50" s="478"/>
      <c r="BJS50" s="478"/>
      <c r="BJT50" s="478"/>
      <c r="BJU50" s="478"/>
      <c r="BJV50" s="478"/>
      <c r="BJW50" s="478"/>
      <c r="BJX50" s="478"/>
      <c r="BJY50" s="478"/>
      <c r="BJZ50" s="478"/>
      <c r="BKA50" s="478"/>
      <c r="BKB50" s="478"/>
      <c r="BKC50" s="478"/>
      <c r="BKD50" s="478"/>
      <c r="BKE50" s="478"/>
      <c r="BKF50" s="478"/>
      <c r="BKG50" s="478"/>
      <c r="BKH50" s="478"/>
      <c r="BKI50" s="478"/>
      <c r="BKJ50" s="478"/>
      <c r="BKK50" s="478"/>
      <c r="BKL50" s="478"/>
      <c r="BKM50" s="478"/>
      <c r="BKN50" s="478"/>
      <c r="BKO50" s="478"/>
      <c r="BKP50" s="478"/>
      <c r="BKQ50" s="478"/>
      <c r="BKR50" s="478"/>
      <c r="BKS50" s="478"/>
      <c r="BKT50" s="478"/>
      <c r="BKU50" s="478"/>
      <c r="BKV50" s="478"/>
      <c r="BKW50" s="478"/>
      <c r="BKX50" s="478"/>
      <c r="BKY50" s="478"/>
      <c r="BKZ50" s="478"/>
      <c r="BLA50" s="478"/>
      <c r="BLB50" s="478"/>
      <c r="BLC50" s="478"/>
      <c r="BLD50" s="478"/>
      <c r="BLE50" s="478"/>
      <c r="BLF50" s="478"/>
      <c r="BLG50" s="478"/>
      <c r="BLH50" s="478"/>
      <c r="BLI50" s="478"/>
      <c r="BLJ50" s="478"/>
      <c r="BLK50" s="478"/>
      <c r="BLL50" s="478"/>
      <c r="BLM50" s="478"/>
      <c r="BLN50" s="478"/>
      <c r="BLO50" s="478"/>
      <c r="BLP50" s="478"/>
      <c r="BLQ50" s="478"/>
      <c r="BLR50" s="478"/>
      <c r="BLS50" s="478"/>
      <c r="BLT50" s="478"/>
      <c r="BLU50" s="478"/>
      <c r="BLV50" s="478"/>
      <c r="BLW50" s="478"/>
      <c r="BLX50" s="478"/>
      <c r="BLY50" s="478"/>
      <c r="BLZ50" s="478"/>
      <c r="BMA50" s="478"/>
      <c r="BMB50" s="478"/>
      <c r="BMC50" s="478"/>
      <c r="BMD50" s="478"/>
      <c r="BME50" s="478"/>
      <c r="BMF50" s="478"/>
      <c r="BMG50" s="478"/>
      <c r="BMH50" s="478"/>
      <c r="BMI50" s="478"/>
      <c r="BMJ50" s="478"/>
      <c r="BMK50" s="478"/>
      <c r="BML50" s="478"/>
      <c r="BMM50" s="478"/>
      <c r="BMN50" s="478"/>
      <c r="BMO50" s="478"/>
      <c r="BMP50" s="478"/>
      <c r="BMQ50" s="478"/>
      <c r="BMR50" s="478"/>
      <c r="BMS50" s="478"/>
      <c r="BMT50" s="478"/>
      <c r="BMU50" s="478"/>
      <c r="BMV50" s="478"/>
      <c r="BMW50" s="478"/>
      <c r="BMX50" s="478"/>
      <c r="BMY50" s="478"/>
      <c r="BMZ50" s="478"/>
      <c r="BNA50" s="478"/>
      <c r="BNB50" s="478"/>
      <c r="BNC50" s="478"/>
      <c r="BND50" s="478"/>
      <c r="BNE50" s="478"/>
      <c r="BNF50" s="478"/>
      <c r="BNG50" s="478"/>
      <c r="BNH50" s="478"/>
      <c r="BNI50" s="478"/>
      <c r="BNJ50" s="478"/>
      <c r="BNK50" s="478"/>
      <c r="BNL50" s="478"/>
      <c r="BNM50" s="478"/>
      <c r="BNN50" s="478"/>
      <c r="BNO50" s="478"/>
      <c r="BNP50" s="478"/>
      <c r="BNQ50" s="478"/>
      <c r="BNR50" s="478"/>
      <c r="BNS50" s="478"/>
      <c r="BNT50" s="478"/>
      <c r="BNU50" s="478"/>
      <c r="BNV50" s="478"/>
      <c r="BNW50" s="478"/>
      <c r="BNX50" s="478"/>
      <c r="BNY50" s="478"/>
      <c r="BNZ50" s="478"/>
      <c r="BOA50" s="478"/>
      <c r="BOB50" s="478"/>
      <c r="BOC50" s="478"/>
      <c r="BOD50" s="478"/>
      <c r="BOE50" s="478"/>
      <c r="BOF50" s="478"/>
      <c r="BOG50" s="478"/>
      <c r="BOH50" s="478"/>
      <c r="BOI50" s="478"/>
      <c r="BOJ50" s="478"/>
      <c r="BOK50" s="478"/>
      <c r="BOL50" s="478"/>
      <c r="BOM50" s="478"/>
      <c r="BON50" s="478"/>
      <c r="BOO50" s="478"/>
      <c r="BOP50" s="478"/>
      <c r="BOQ50" s="478"/>
      <c r="BOR50" s="478"/>
      <c r="BOS50" s="478"/>
      <c r="BOT50" s="478"/>
      <c r="BOU50" s="478"/>
      <c r="BOV50" s="478"/>
      <c r="BOW50" s="478"/>
      <c r="BOX50" s="478"/>
      <c r="BOY50" s="478"/>
      <c r="BOZ50" s="478"/>
      <c r="BPA50" s="478"/>
      <c r="BPB50" s="478"/>
      <c r="BPC50" s="478"/>
      <c r="BPD50" s="478"/>
      <c r="BPE50" s="478"/>
      <c r="BPF50" s="478"/>
      <c r="BPG50" s="478"/>
      <c r="BPH50" s="478"/>
      <c r="BPI50" s="478"/>
      <c r="BPJ50" s="478"/>
      <c r="BPK50" s="478"/>
      <c r="BPL50" s="478"/>
      <c r="BPM50" s="478"/>
      <c r="BPN50" s="478"/>
      <c r="BPO50" s="478"/>
      <c r="BPP50" s="478"/>
      <c r="BPQ50" s="478"/>
      <c r="BPR50" s="478"/>
      <c r="BPS50" s="478"/>
      <c r="BPT50" s="478"/>
      <c r="BPU50" s="478"/>
      <c r="BPV50" s="478"/>
      <c r="BPW50" s="478"/>
      <c r="BPX50" s="478"/>
      <c r="BPY50" s="478"/>
      <c r="BPZ50" s="478"/>
      <c r="BQA50" s="478"/>
      <c r="BQB50" s="478"/>
      <c r="BQC50" s="478"/>
      <c r="BQD50" s="478"/>
      <c r="BQE50" s="478"/>
      <c r="BQF50" s="478"/>
      <c r="BQG50" s="478"/>
      <c r="BQH50" s="478"/>
      <c r="BQI50" s="478"/>
      <c r="BQJ50" s="478"/>
      <c r="BQK50" s="478"/>
      <c r="BQL50" s="478"/>
      <c r="BQM50" s="478"/>
      <c r="BQN50" s="478"/>
      <c r="BQO50" s="478"/>
      <c r="BQP50" s="478"/>
      <c r="BQQ50" s="478"/>
      <c r="BQR50" s="478"/>
      <c r="BQS50" s="478"/>
      <c r="BQT50" s="478"/>
      <c r="BQU50" s="478"/>
      <c r="BQV50" s="478"/>
      <c r="BQW50" s="478"/>
      <c r="BQX50" s="478"/>
      <c r="BQY50" s="478"/>
      <c r="BQZ50" s="478"/>
      <c r="BRA50" s="478"/>
      <c r="BRB50" s="478"/>
      <c r="BRC50" s="478"/>
      <c r="BRD50" s="478"/>
      <c r="BRE50" s="478"/>
      <c r="BRF50" s="478"/>
      <c r="BRG50" s="478"/>
      <c r="BRH50" s="478"/>
      <c r="BRI50" s="478"/>
      <c r="BRJ50" s="478"/>
      <c r="BRK50" s="478"/>
      <c r="BRL50" s="478"/>
      <c r="BRM50" s="478"/>
      <c r="BRN50" s="478"/>
      <c r="BRO50" s="478"/>
      <c r="BRP50" s="478"/>
      <c r="BRQ50" s="478"/>
      <c r="BRR50" s="478"/>
      <c r="BRS50" s="478"/>
      <c r="BRT50" s="478"/>
      <c r="BRU50" s="478"/>
      <c r="BRV50" s="478"/>
      <c r="BRW50" s="478"/>
      <c r="BRX50" s="478"/>
      <c r="BRY50" s="478"/>
      <c r="BRZ50" s="478"/>
      <c r="BSA50" s="478"/>
      <c r="BSB50" s="478"/>
      <c r="BSC50" s="478"/>
      <c r="BSD50" s="478"/>
      <c r="BSE50" s="478"/>
      <c r="BSF50" s="478"/>
      <c r="BSG50" s="478"/>
      <c r="BSH50" s="478"/>
      <c r="BSI50" s="478"/>
      <c r="BSJ50" s="478"/>
      <c r="BSK50" s="478"/>
      <c r="BSL50" s="478"/>
      <c r="BSM50" s="478"/>
      <c r="BSN50" s="478"/>
      <c r="BSO50" s="478"/>
      <c r="BSP50" s="478"/>
      <c r="BSQ50" s="478"/>
      <c r="BSR50" s="478"/>
      <c r="BSS50" s="478"/>
      <c r="BST50" s="478"/>
      <c r="BSU50" s="478"/>
      <c r="BSV50" s="478"/>
      <c r="BSW50" s="478"/>
      <c r="BSX50" s="478"/>
      <c r="BSY50" s="478"/>
      <c r="BSZ50" s="478"/>
      <c r="BTA50" s="478"/>
      <c r="BTB50" s="478"/>
      <c r="BTC50" s="478"/>
      <c r="BTD50" s="478"/>
      <c r="BTE50" s="478"/>
      <c r="BTF50" s="478"/>
      <c r="BTG50" s="478"/>
      <c r="BTH50" s="478"/>
      <c r="BTI50" s="478"/>
      <c r="BTJ50" s="478"/>
      <c r="BTK50" s="478"/>
      <c r="BTL50" s="478"/>
      <c r="BTM50" s="478"/>
      <c r="BTN50" s="478"/>
      <c r="BTO50" s="478"/>
      <c r="BTP50" s="478"/>
      <c r="BTQ50" s="478"/>
      <c r="BTR50" s="478"/>
      <c r="BTS50" s="478"/>
      <c r="BTT50" s="478"/>
      <c r="BTU50" s="478"/>
      <c r="BTV50" s="478"/>
      <c r="BTW50" s="478"/>
      <c r="BTX50" s="478"/>
      <c r="BTY50" s="478"/>
      <c r="BTZ50" s="478"/>
      <c r="BUA50" s="478"/>
      <c r="BUB50" s="478"/>
      <c r="BUC50" s="478"/>
      <c r="BUD50" s="478"/>
      <c r="BUE50" s="478"/>
      <c r="BUF50" s="478"/>
      <c r="BUG50" s="478"/>
      <c r="BUH50" s="478"/>
      <c r="BUI50" s="478"/>
      <c r="BUJ50" s="478"/>
      <c r="BUK50" s="478"/>
      <c r="BUL50" s="478"/>
      <c r="BUM50" s="478"/>
      <c r="BUN50" s="478"/>
      <c r="BUO50" s="478"/>
      <c r="BUP50" s="478"/>
      <c r="BUQ50" s="478"/>
      <c r="BUR50" s="478"/>
      <c r="BUS50" s="478"/>
      <c r="BUT50" s="478"/>
      <c r="BUU50" s="478"/>
      <c r="BUV50" s="478"/>
      <c r="BUW50" s="478"/>
      <c r="BUX50" s="478"/>
      <c r="BUY50" s="478"/>
      <c r="BUZ50" s="478"/>
      <c r="BVA50" s="478"/>
      <c r="BVB50" s="478"/>
      <c r="BVC50" s="478"/>
      <c r="BVD50" s="478"/>
      <c r="BVE50" s="478"/>
      <c r="BVF50" s="478"/>
      <c r="BVG50" s="478"/>
      <c r="BVH50" s="478"/>
      <c r="BVI50" s="478"/>
      <c r="BVJ50" s="478"/>
      <c r="BVK50" s="478"/>
      <c r="BVL50" s="478"/>
      <c r="BVM50" s="478"/>
      <c r="BVN50" s="478"/>
      <c r="BVO50" s="478"/>
      <c r="BVP50" s="478"/>
      <c r="BVQ50" s="478"/>
      <c r="BVR50" s="478"/>
      <c r="BVS50" s="478"/>
      <c r="BVT50" s="478"/>
      <c r="BVU50" s="478"/>
      <c r="BVV50" s="478"/>
      <c r="BVW50" s="478"/>
      <c r="BVX50" s="478"/>
      <c r="BVY50" s="478"/>
      <c r="BVZ50" s="478"/>
      <c r="BWA50" s="478"/>
      <c r="BWB50" s="478"/>
      <c r="BWC50" s="478"/>
      <c r="BWD50" s="478"/>
      <c r="BWE50" s="478"/>
      <c r="BWF50" s="478"/>
      <c r="BWG50" s="478"/>
      <c r="BWH50" s="478"/>
      <c r="BWI50" s="478"/>
      <c r="BWJ50" s="478"/>
      <c r="BWK50" s="478"/>
      <c r="BWL50" s="478"/>
      <c r="BWM50" s="478"/>
      <c r="BWN50" s="478"/>
      <c r="BWO50" s="478"/>
      <c r="BWP50" s="478"/>
      <c r="BWQ50" s="478"/>
      <c r="BWR50" s="478"/>
      <c r="BWS50" s="478"/>
      <c r="BWT50" s="478"/>
      <c r="BWU50" s="478"/>
      <c r="BWV50" s="478"/>
      <c r="BWW50" s="478"/>
      <c r="BWX50" s="478"/>
      <c r="BWY50" s="478"/>
      <c r="BWZ50" s="478"/>
      <c r="BXA50" s="478"/>
      <c r="BXB50" s="478"/>
      <c r="BXC50" s="478"/>
      <c r="BXD50" s="478"/>
      <c r="BXE50" s="478"/>
      <c r="BXF50" s="478"/>
      <c r="BXG50" s="478"/>
      <c r="BXH50" s="478"/>
      <c r="BXI50" s="478"/>
      <c r="BXJ50" s="478"/>
      <c r="BXK50" s="478"/>
      <c r="BXL50" s="478"/>
      <c r="BXM50" s="478"/>
      <c r="BXN50" s="478"/>
      <c r="BXO50" s="478"/>
      <c r="BXP50" s="478"/>
      <c r="BXQ50" s="478"/>
      <c r="BXR50" s="478"/>
      <c r="BXS50" s="478"/>
      <c r="BXT50" s="478"/>
      <c r="BXU50" s="478"/>
      <c r="BXV50" s="478"/>
      <c r="BXW50" s="478"/>
      <c r="BXX50" s="478"/>
      <c r="BXY50" s="478"/>
      <c r="BXZ50" s="478"/>
      <c r="BYA50" s="478"/>
      <c r="BYB50" s="478"/>
      <c r="BYC50" s="478"/>
      <c r="BYD50" s="478"/>
      <c r="BYE50" s="478"/>
      <c r="BYF50" s="478"/>
      <c r="BYG50" s="478"/>
      <c r="BYH50" s="478"/>
      <c r="BYI50" s="478"/>
      <c r="BYJ50" s="478"/>
      <c r="BYK50" s="478"/>
      <c r="BYL50" s="478"/>
      <c r="BYM50" s="478"/>
      <c r="BYN50" s="478"/>
      <c r="BYO50" s="478"/>
      <c r="BYP50" s="478"/>
      <c r="BYQ50" s="478"/>
      <c r="BYR50" s="478"/>
      <c r="BYS50" s="478"/>
      <c r="BYT50" s="478"/>
      <c r="BYU50" s="478"/>
      <c r="BYV50" s="478"/>
      <c r="BYW50" s="478"/>
      <c r="BYX50" s="478"/>
      <c r="BYY50" s="478"/>
      <c r="BYZ50" s="478"/>
      <c r="BZA50" s="478"/>
      <c r="BZB50" s="478"/>
      <c r="BZC50" s="478"/>
      <c r="BZD50" s="478"/>
      <c r="BZE50" s="478"/>
      <c r="BZF50" s="478"/>
      <c r="BZG50" s="478"/>
      <c r="BZH50" s="478"/>
      <c r="BZI50" s="478"/>
      <c r="BZJ50" s="478"/>
      <c r="BZK50" s="478"/>
      <c r="BZL50" s="478"/>
      <c r="BZM50" s="478"/>
      <c r="BZN50" s="478"/>
      <c r="BZO50" s="478"/>
      <c r="BZP50" s="478"/>
      <c r="BZQ50" s="478"/>
      <c r="BZR50" s="478"/>
      <c r="BZS50" s="478"/>
      <c r="BZT50" s="478"/>
      <c r="BZU50" s="478"/>
      <c r="BZV50" s="478"/>
      <c r="BZW50" s="478"/>
      <c r="BZX50" s="478"/>
      <c r="BZY50" s="478"/>
      <c r="BZZ50" s="478"/>
      <c r="CAA50" s="478"/>
      <c r="CAB50" s="478"/>
      <c r="CAC50" s="478"/>
      <c r="CAD50" s="478"/>
      <c r="CAE50" s="478"/>
      <c r="CAF50" s="478"/>
      <c r="CAG50" s="478"/>
      <c r="CAH50" s="478"/>
      <c r="CAI50" s="478"/>
      <c r="CAJ50" s="478"/>
      <c r="CAK50" s="478"/>
      <c r="CAL50" s="478"/>
      <c r="CAM50" s="478"/>
      <c r="CAN50" s="478"/>
      <c r="CAO50" s="478"/>
      <c r="CAP50" s="478"/>
      <c r="CAQ50" s="478"/>
      <c r="CAR50" s="478"/>
      <c r="CAS50" s="478"/>
      <c r="CAT50" s="478"/>
      <c r="CAU50" s="478"/>
      <c r="CAV50" s="478"/>
      <c r="CAW50" s="478"/>
      <c r="CAX50" s="478"/>
      <c r="CAY50" s="478"/>
      <c r="CAZ50" s="478"/>
      <c r="CBA50" s="478"/>
      <c r="CBB50" s="478"/>
      <c r="CBC50" s="478"/>
      <c r="CBD50" s="478"/>
      <c r="CBE50" s="478"/>
      <c r="CBF50" s="478"/>
      <c r="CBG50" s="478"/>
      <c r="CBH50" s="478"/>
      <c r="CBI50" s="478"/>
      <c r="CBJ50" s="478"/>
      <c r="CBK50" s="478"/>
      <c r="CBL50" s="478"/>
      <c r="CBM50" s="478"/>
      <c r="CBN50" s="478"/>
      <c r="CBO50" s="478"/>
      <c r="CBP50" s="478"/>
      <c r="CBQ50" s="478"/>
      <c r="CBR50" s="478"/>
      <c r="CBS50" s="478"/>
      <c r="CBT50" s="478"/>
      <c r="CBU50" s="478"/>
      <c r="CBV50" s="478"/>
      <c r="CBW50" s="478"/>
      <c r="CBX50" s="478"/>
      <c r="CBY50" s="478"/>
      <c r="CBZ50" s="478"/>
      <c r="CCA50" s="478"/>
      <c r="CCB50" s="478"/>
      <c r="CCC50" s="478"/>
      <c r="CCD50" s="478"/>
      <c r="CCE50" s="478"/>
      <c r="CCF50" s="478"/>
      <c r="CCG50" s="478"/>
      <c r="CCH50" s="478"/>
      <c r="CCI50" s="478"/>
      <c r="CCJ50" s="478"/>
      <c r="CCK50" s="478"/>
      <c r="CCL50" s="478"/>
      <c r="CCM50" s="478"/>
      <c r="CCN50" s="478"/>
      <c r="CCO50" s="478"/>
      <c r="CCP50" s="478"/>
      <c r="CCQ50" s="478"/>
      <c r="CCR50" s="478"/>
      <c r="CCS50" s="478"/>
      <c r="CCT50" s="478"/>
      <c r="CCU50" s="478"/>
      <c r="CCV50" s="478"/>
      <c r="CCW50" s="478"/>
      <c r="CCX50" s="478"/>
      <c r="CCY50" s="478"/>
      <c r="CCZ50" s="478"/>
      <c r="CDA50" s="478"/>
      <c r="CDB50" s="478"/>
      <c r="CDC50" s="478"/>
      <c r="CDD50" s="478"/>
      <c r="CDE50" s="478"/>
      <c r="CDF50" s="478"/>
      <c r="CDG50" s="478"/>
      <c r="CDH50" s="478"/>
      <c r="CDI50" s="478"/>
      <c r="CDJ50" s="478"/>
      <c r="CDK50" s="478"/>
      <c r="CDL50" s="478"/>
      <c r="CDM50" s="478"/>
      <c r="CDN50" s="478"/>
      <c r="CDO50" s="478"/>
      <c r="CDP50" s="478"/>
      <c r="CDQ50" s="478"/>
      <c r="CDR50" s="478"/>
      <c r="CDS50" s="478"/>
      <c r="CDT50" s="478"/>
      <c r="CDU50" s="478"/>
      <c r="CDV50" s="478"/>
      <c r="CDW50" s="478"/>
      <c r="CDX50" s="478"/>
      <c r="CDY50" s="478"/>
      <c r="CDZ50" s="478"/>
      <c r="CEA50" s="478"/>
      <c r="CEB50" s="478"/>
      <c r="CEC50" s="478"/>
      <c r="CED50" s="478"/>
      <c r="CEE50" s="478"/>
      <c r="CEF50" s="478"/>
      <c r="CEG50" s="478"/>
      <c r="CEH50" s="478"/>
      <c r="CEI50" s="478"/>
      <c r="CEJ50" s="478"/>
      <c r="CEK50" s="478"/>
      <c r="CEL50" s="478"/>
      <c r="CEM50" s="478"/>
      <c r="CEN50" s="478"/>
      <c r="CEO50" s="478"/>
      <c r="CEP50" s="478"/>
      <c r="CEQ50" s="478"/>
      <c r="CER50" s="478"/>
      <c r="CES50" s="478"/>
      <c r="CET50" s="478"/>
      <c r="CEU50" s="478"/>
      <c r="CEV50" s="478"/>
      <c r="CEW50" s="478"/>
      <c r="CEX50" s="478"/>
      <c r="CEY50" s="478"/>
      <c r="CEZ50" s="478"/>
      <c r="CFA50" s="478"/>
      <c r="CFB50" s="478"/>
      <c r="CFC50" s="478"/>
      <c r="CFD50" s="478"/>
      <c r="CFE50" s="478"/>
      <c r="CFF50" s="478"/>
      <c r="CFG50" s="478"/>
      <c r="CFH50" s="478"/>
      <c r="CFI50" s="478"/>
      <c r="CFJ50" s="478"/>
      <c r="CFK50" s="478"/>
      <c r="CFL50" s="478"/>
      <c r="CFM50" s="478"/>
      <c r="CFN50" s="478"/>
      <c r="CFO50" s="478"/>
      <c r="CFP50" s="478"/>
      <c r="CFQ50" s="478"/>
      <c r="CFR50" s="478"/>
      <c r="CFS50" s="478"/>
      <c r="CFT50" s="478"/>
      <c r="CFU50" s="478"/>
      <c r="CFV50" s="478"/>
      <c r="CFW50" s="478"/>
      <c r="CFX50" s="478"/>
      <c r="CFY50" s="478"/>
      <c r="CFZ50" s="478"/>
      <c r="CGA50" s="478"/>
      <c r="CGB50" s="478"/>
      <c r="CGC50" s="478"/>
      <c r="CGD50" s="478"/>
      <c r="CGE50" s="478"/>
      <c r="CGF50" s="478"/>
      <c r="CGG50" s="478"/>
      <c r="CGH50" s="478"/>
      <c r="CGI50" s="478"/>
      <c r="CGJ50" s="478"/>
      <c r="CGK50" s="478"/>
      <c r="CGL50" s="478"/>
      <c r="CGM50" s="478"/>
      <c r="CGN50" s="478"/>
      <c r="CGO50" s="478"/>
      <c r="CGP50" s="478"/>
      <c r="CGQ50" s="478"/>
      <c r="CGR50" s="478"/>
      <c r="CGS50" s="478"/>
      <c r="CGT50" s="478"/>
      <c r="CGU50" s="478"/>
      <c r="CGV50" s="478"/>
      <c r="CGW50" s="478"/>
      <c r="CGX50" s="478"/>
      <c r="CGY50" s="478"/>
      <c r="CGZ50" s="478"/>
      <c r="CHA50" s="478"/>
      <c r="CHB50" s="478"/>
      <c r="CHC50" s="478"/>
      <c r="CHD50" s="478"/>
      <c r="CHE50" s="478"/>
      <c r="CHF50" s="478"/>
      <c r="CHG50" s="478"/>
      <c r="CHH50" s="478"/>
      <c r="CHI50" s="478"/>
      <c r="CHJ50" s="478"/>
      <c r="CHK50" s="478"/>
      <c r="CHL50" s="478"/>
      <c r="CHM50" s="478"/>
      <c r="CHN50" s="478"/>
      <c r="CHO50" s="478"/>
      <c r="CHP50" s="478"/>
      <c r="CHQ50" s="478"/>
      <c r="CHR50" s="478"/>
      <c r="CHS50" s="478"/>
      <c r="CHT50" s="478"/>
      <c r="CHU50" s="478"/>
      <c r="CHV50" s="478"/>
      <c r="CHW50" s="478"/>
      <c r="CHX50" s="478"/>
      <c r="CHY50" s="478"/>
      <c r="CHZ50" s="478"/>
      <c r="CIA50" s="478"/>
      <c r="CIB50" s="478"/>
      <c r="CIC50" s="478"/>
      <c r="CID50" s="478"/>
      <c r="CIE50" s="478"/>
      <c r="CIF50" s="478"/>
      <c r="CIG50" s="478"/>
      <c r="CIH50" s="478"/>
      <c r="CII50" s="478"/>
      <c r="CIJ50" s="478"/>
      <c r="CIK50" s="478"/>
      <c r="CIL50" s="478"/>
      <c r="CIM50" s="478"/>
      <c r="CIN50" s="478"/>
      <c r="CIO50" s="478"/>
      <c r="CIP50" s="478"/>
      <c r="CIQ50" s="478"/>
      <c r="CIR50" s="478"/>
      <c r="CIS50" s="478"/>
      <c r="CIT50" s="478"/>
      <c r="CIU50" s="478"/>
      <c r="CIV50" s="478"/>
      <c r="CIW50" s="478"/>
      <c r="CIX50" s="478"/>
      <c r="CIY50" s="478"/>
      <c r="CIZ50" s="478"/>
      <c r="CJA50" s="478"/>
      <c r="CJB50" s="478"/>
      <c r="CJC50" s="478"/>
      <c r="CJD50" s="478"/>
      <c r="CJE50" s="478"/>
      <c r="CJF50" s="478"/>
      <c r="CJG50" s="478"/>
      <c r="CJH50" s="478"/>
      <c r="CJI50" s="478"/>
      <c r="CJJ50" s="478"/>
      <c r="CJK50" s="478"/>
      <c r="CJL50" s="478"/>
      <c r="CJM50" s="478"/>
      <c r="CJN50" s="478"/>
      <c r="CJO50" s="478"/>
      <c r="CJP50" s="478"/>
      <c r="CJQ50" s="478"/>
      <c r="CJR50" s="478"/>
      <c r="CJS50" s="478"/>
      <c r="CJT50" s="478"/>
      <c r="CJU50" s="478"/>
      <c r="CJV50" s="478"/>
      <c r="CJW50" s="478"/>
      <c r="CJX50" s="478"/>
      <c r="CJY50" s="478"/>
      <c r="CJZ50" s="478"/>
      <c r="CKA50" s="478"/>
      <c r="CKB50" s="478"/>
      <c r="CKC50" s="478"/>
      <c r="CKD50" s="478"/>
      <c r="CKE50" s="478"/>
      <c r="CKF50" s="478"/>
      <c r="CKG50" s="478"/>
      <c r="CKH50" s="478"/>
      <c r="CKI50" s="478"/>
      <c r="CKJ50" s="478"/>
      <c r="CKK50" s="478"/>
      <c r="CKL50" s="478"/>
      <c r="CKM50" s="478"/>
      <c r="CKN50" s="478"/>
      <c r="CKO50" s="478"/>
      <c r="CKP50" s="478"/>
      <c r="CKQ50" s="478"/>
      <c r="CKR50" s="478"/>
      <c r="CKS50" s="478"/>
      <c r="CKT50" s="478"/>
      <c r="CKU50" s="478"/>
      <c r="CKV50" s="478"/>
      <c r="CKW50" s="478"/>
      <c r="CKX50" s="478"/>
      <c r="CKY50" s="478"/>
      <c r="CKZ50" s="478"/>
      <c r="CLA50" s="478"/>
      <c r="CLB50" s="478"/>
      <c r="CLC50" s="478"/>
      <c r="CLD50" s="478"/>
      <c r="CLE50" s="478"/>
      <c r="CLF50" s="478"/>
      <c r="CLG50" s="478"/>
      <c r="CLH50" s="478"/>
      <c r="CLI50" s="478"/>
      <c r="CLJ50" s="478"/>
      <c r="CLK50" s="478"/>
      <c r="CLL50" s="478"/>
      <c r="CLM50" s="478"/>
      <c r="CLN50" s="478"/>
      <c r="CLO50" s="478"/>
      <c r="CLP50" s="478"/>
      <c r="CLQ50" s="478"/>
      <c r="CLR50" s="478"/>
      <c r="CLS50" s="478"/>
      <c r="CLT50" s="478"/>
      <c r="CLU50" s="478"/>
      <c r="CLV50" s="478"/>
      <c r="CLW50" s="478"/>
      <c r="CLX50" s="478"/>
      <c r="CLY50" s="478"/>
      <c r="CLZ50" s="478"/>
      <c r="CMA50" s="478"/>
      <c r="CMB50" s="478"/>
      <c r="CMC50" s="478"/>
      <c r="CMD50" s="478"/>
      <c r="CME50" s="478"/>
      <c r="CMF50" s="478"/>
      <c r="CMG50" s="478"/>
      <c r="CMH50" s="478"/>
      <c r="CMI50" s="478"/>
      <c r="CMJ50" s="478"/>
      <c r="CMK50" s="478"/>
      <c r="CML50" s="478"/>
      <c r="CMM50" s="478"/>
      <c r="CMN50" s="478"/>
      <c r="CMO50" s="478"/>
      <c r="CMP50" s="478"/>
      <c r="CMQ50" s="478"/>
      <c r="CMR50" s="478"/>
      <c r="CMS50" s="478"/>
      <c r="CMT50" s="478"/>
      <c r="CMU50" s="478"/>
      <c r="CMV50" s="478"/>
      <c r="CMW50" s="478"/>
      <c r="CMX50" s="478"/>
      <c r="CMY50" s="478"/>
      <c r="CMZ50" s="478"/>
      <c r="CNA50" s="478"/>
      <c r="CNB50" s="478"/>
      <c r="CNC50" s="478"/>
      <c r="CND50" s="478"/>
      <c r="CNE50" s="478"/>
      <c r="CNF50" s="478"/>
      <c r="CNG50" s="478"/>
      <c r="CNH50" s="478"/>
      <c r="CNI50" s="478"/>
      <c r="CNJ50" s="478"/>
      <c r="CNK50" s="478"/>
      <c r="CNL50" s="478"/>
      <c r="CNM50" s="478"/>
      <c r="CNN50" s="478"/>
      <c r="CNO50" s="478"/>
      <c r="CNP50" s="478"/>
      <c r="CNQ50" s="478"/>
      <c r="CNR50" s="478"/>
      <c r="CNS50" s="478"/>
      <c r="CNT50" s="478"/>
      <c r="CNU50" s="478"/>
      <c r="CNV50" s="478"/>
      <c r="CNW50" s="478"/>
      <c r="CNX50" s="478"/>
      <c r="CNY50" s="478"/>
      <c r="CNZ50" s="478"/>
      <c r="COA50" s="478"/>
      <c r="COB50" s="478"/>
      <c r="COC50" s="478"/>
      <c r="COD50" s="478"/>
      <c r="COE50" s="478"/>
      <c r="COF50" s="478"/>
      <c r="COG50" s="478"/>
      <c r="COH50" s="478"/>
      <c r="COI50" s="478"/>
      <c r="COJ50" s="478"/>
      <c r="COK50" s="478"/>
      <c r="COL50" s="478"/>
      <c r="COM50" s="478"/>
      <c r="CON50" s="478"/>
      <c r="COO50" s="478"/>
      <c r="COP50" s="478"/>
      <c r="COQ50" s="478"/>
      <c r="COR50" s="478"/>
      <c r="COS50" s="478"/>
      <c r="COT50" s="478"/>
      <c r="COU50" s="478"/>
      <c r="COV50" s="478"/>
      <c r="COW50" s="478"/>
      <c r="COX50" s="478"/>
      <c r="COY50" s="478"/>
      <c r="COZ50" s="478"/>
      <c r="CPA50" s="478"/>
      <c r="CPB50" s="478"/>
      <c r="CPC50" s="478"/>
      <c r="CPD50" s="478"/>
      <c r="CPE50" s="478"/>
      <c r="CPF50" s="478"/>
      <c r="CPG50" s="478"/>
      <c r="CPH50" s="478"/>
      <c r="CPI50" s="478"/>
      <c r="CPJ50" s="478"/>
      <c r="CPK50" s="478"/>
      <c r="CPL50" s="478"/>
      <c r="CPM50" s="478"/>
      <c r="CPN50" s="478"/>
      <c r="CPO50" s="478"/>
      <c r="CPP50" s="478"/>
      <c r="CPQ50" s="478"/>
      <c r="CPR50" s="478"/>
      <c r="CPS50" s="478"/>
      <c r="CPT50" s="478"/>
      <c r="CPU50" s="478"/>
      <c r="CPV50" s="478"/>
      <c r="CPW50" s="478"/>
      <c r="CPX50" s="478"/>
      <c r="CPY50" s="478"/>
      <c r="CPZ50" s="478"/>
      <c r="CQA50" s="478"/>
      <c r="CQB50" s="478"/>
      <c r="CQC50" s="478"/>
      <c r="CQD50" s="478"/>
      <c r="CQE50" s="478"/>
      <c r="CQF50" s="478"/>
      <c r="CQG50" s="478"/>
      <c r="CQH50" s="478"/>
      <c r="CQI50" s="478"/>
      <c r="CQJ50" s="478"/>
      <c r="CQK50" s="478"/>
      <c r="CQL50" s="478"/>
      <c r="CQM50" s="478"/>
      <c r="CQN50" s="478"/>
      <c r="CQO50" s="478"/>
      <c r="CQP50" s="478"/>
      <c r="CQQ50" s="478"/>
      <c r="CQR50" s="478"/>
      <c r="CQS50" s="478"/>
      <c r="CQT50" s="478"/>
      <c r="CQU50" s="478"/>
      <c r="CQV50" s="478"/>
      <c r="CQW50" s="478"/>
      <c r="CQX50" s="478"/>
      <c r="CQY50" s="478"/>
      <c r="CQZ50" s="478"/>
      <c r="CRA50" s="478"/>
      <c r="CRB50" s="478"/>
      <c r="CRC50" s="478"/>
      <c r="CRD50" s="478"/>
      <c r="CRE50" s="478"/>
      <c r="CRF50" s="478"/>
      <c r="CRG50" s="478"/>
      <c r="CRH50" s="478"/>
      <c r="CRI50" s="478"/>
      <c r="CRJ50" s="478"/>
      <c r="CRK50" s="478"/>
      <c r="CRL50" s="478"/>
      <c r="CRM50" s="478"/>
      <c r="CRN50" s="478"/>
      <c r="CRO50" s="478"/>
      <c r="CRP50" s="478"/>
      <c r="CRQ50" s="478"/>
      <c r="CRR50" s="478"/>
      <c r="CRS50" s="478"/>
      <c r="CRT50" s="478"/>
      <c r="CRU50" s="478"/>
      <c r="CRV50" s="478"/>
      <c r="CRW50" s="478"/>
      <c r="CRX50" s="478"/>
      <c r="CRY50" s="478"/>
      <c r="CRZ50" s="478"/>
      <c r="CSA50" s="478"/>
      <c r="CSB50" s="478"/>
      <c r="CSC50" s="478"/>
      <c r="CSD50" s="478"/>
      <c r="CSE50" s="478"/>
      <c r="CSF50" s="478"/>
      <c r="CSG50" s="478"/>
      <c r="CSH50" s="478"/>
      <c r="CSI50" s="478"/>
      <c r="CSJ50" s="478"/>
      <c r="CSK50" s="478"/>
      <c r="CSL50" s="478"/>
      <c r="CSM50" s="478"/>
      <c r="CSN50" s="478"/>
      <c r="CSO50" s="478"/>
      <c r="CSP50" s="478"/>
      <c r="CSQ50" s="478"/>
      <c r="CSR50" s="478"/>
      <c r="CSS50" s="478"/>
      <c r="CST50" s="478"/>
      <c r="CSU50" s="478"/>
      <c r="CSV50" s="478"/>
      <c r="CSW50" s="478"/>
      <c r="CSX50" s="478"/>
      <c r="CSY50" s="478"/>
      <c r="CSZ50" s="478"/>
      <c r="CTA50" s="478"/>
      <c r="CTB50" s="478"/>
      <c r="CTC50" s="478"/>
      <c r="CTD50" s="478"/>
      <c r="CTE50" s="478"/>
      <c r="CTF50" s="478"/>
      <c r="CTG50" s="478"/>
      <c r="CTH50" s="478"/>
      <c r="CTI50" s="478"/>
      <c r="CTJ50" s="478"/>
      <c r="CTK50" s="478"/>
      <c r="CTL50" s="478"/>
      <c r="CTM50" s="478"/>
      <c r="CTN50" s="478"/>
      <c r="CTO50" s="478"/>
      <c r="CTP50" s="478"/>
      <c r="CTQ50" s="478"/>
      <c r="CTR50" s="478"/>
      <c r="CTS50" s="478"/>
      <c r="CTT50" s="478"/>
      <c r="CTU50" s="478"/>
      <c r="CTV50" s="478"/>
      <c r="CTW50" s="478"/>
      <c r="CTX50" s="478"/>
      <c r="CTY50" s="478"/>
      <c r="CTZ50" s="478"/>
      <c r="CUA50" s="478"/>
      <c r="CUB50" s="478"/>
      <c r="CUC50" s="478"/>
      <c r="CUD50" s="478"/>
      <c r="CUE50" s="478"/>
      <c r="CUF50" s="478"/>
      <c r="CUG50" s="478"/>
      <c r="CUH50" s="478"/>
      <c r="CUI50" s="478"/>
      <c r="CUJ50" s="478"/>
      <c r="CUK50" s="478"/>
      <c r="CUL50" s="478"/>
      <c r="CUM50" s="478"/>
      <c r="CUN50" s="478"/>
      <c r="CUO50" s="478"/>
      <c r="CUP50" s="478"/>
      <c r="CUQ50" s="478"/>
      <c r="CUR50" s="478"/>
      <c r="CUS50" s="478"/>
      <c r="CUT50" s="478"/>
      <c r="CUU50" s="478"/>
      <c r="CUV50" s="478"/>
      <c r="CUW50" s="478"/>
      <c r="CUX50" s="478"/>
      <c r="CUY50" s="478"/>
      <c r="CUZ50" s="478"/>
      <c r="CVA50" s="478"/>
      <c r="CVB50" s="478"/>
      <c r="CVC50" s="478"/>
      <c r="CVD50" s="478"/>
      <c r="CVE50" s="478"/>
      <c r="CVF50" s="478"/>
      <c r="CVG50" s="478"/>
      <c r="CVH50" s="478"/>
      <c r="CVI50" s="478"/>
      <c r="CVJ50" s="478"/>
      <c r="CVK50" s="478"/>
      <c r="CVL50" s="478"/>
      <c r="CVM50" s="478"/>
      <c r="CVN50" s="478"/>
      <c r="CVO50" s="478"/>
      <c r="CVP50" s="478"/>
      <c r="CVQ50" s="478"/>
      <c r="CVR50" s="478"/>
      <c r="CVS50" s="478"/>
      <c r="CVT50" s="478"/>
      <c r="CVU50" s="478"/>
      <c r="CVV50" s="478"/>
      <c r="CVW50" s="478"/>
      <c r="CVX50" s="478"/>
      <c r="CVY50" s="478"/>
      <c r="CVZ50" s="478"/>
      <c r="CWA50" s="478"/>
      <c r="CWB50" s="478"/>
      <c r="CWC50" s="478"/>
      <c r="CWD50" s="478"/>
      <c r="CWE50" s="478"/>
      <c r="CWF50" s="478"/>
      <c r="CWG50" s="478"/>
      <c r="CWH50" s="478"/>
      <c r="CWI50" s="478"/>
      <c r="CWJ50" s="478"/>
      <c r="CWK50" s="478"/>
      <c r="CWL50" s="478"/>
      <c r="CWM50" s="478"/>
      <c r="CWN50" s="478"/>
      <c r="CWO50" s="478"/>
      <c r="CWP50" s="478"/>
      <c r="CWQ50" s="478"/>
      <c r="CWR50" s="478"/>
      <c r="CWS50" s="478"/>
      <c r="CWT50" s="478"/>
      <c r="CWU50" s="478"/>
      <c r="CWV50" s="478"/>
      <c r="CWW50" s="478"/>
      <c r="CWX50" s="478"/>
      <c r="CWY50" s="478"/>
      <c r="CWZ50" s="478"/>
      <c r="CXA50" s="478"/>
      <c r="CXB50" s="478"/>
      <c r="CXC50" s="478"/>
      <c r="CXD50" s="478"/>
      <c r="CXE50" s="478"/>
      <c r="CXF50" s="478"/>
      <c r="CXG50" s="478"/>
      <c r="CXH50" s="478"/>
      <c r="CXI50" s="478"/>
      <c r="CXJ50" s="478"/>
      <c r="CXK50" s="478"/>
      <c r="CXL50" s="478"/>
      <c r="CXM50" s="478"/>
      <c r="CXN50" s="478"/>
      <c r="CXO50" s="478"/>
      <c r="CXP50" s="478"/>
      <c r="CXQ50" s="478"/>
      <c r="CXR50" s="478"/>
      <c r="CXS50" s="478"/>
      <c r="CXT50" s="478"/>
      <c r="CXU50" s="478"/>
      <c r="CXV50" s="478"/>
      <c r="CXW50" s="478"/>
      <c r="CXX50" s="478"/>
      <c r="CXY50" s="478"/>
      <c r="CXZ50" s="478"/>
      <c r="CYA50" s="478"/>
      <c r="CYB50" s="478"/>
      <c r="CYC50" s="478"/>
      <c r="CYD50" s="478"/>
      <c r="CYE50" s="478"/>
      <c r="CYF50" s="478"/>
      <c r="CYG50" s="478"/>
      <c r="CYH50" s="478"/>
      <c r="CYI50" s="478"/>
      <c r="CYJ50" s="478"/>
      <c r="CYK50" s="478"/>
      <c r="CYL50" s="478"/>
      <c r="CYM50" s="478"/>
      <c r="CYN50" s="478"/>
      <c r="CYO50" s="478"/>
      <c r="CYP50" s="478"/>
      <c r="CYQ50" s="478"/>
      <c r="CYR50" s="478"/>
      <c r="CYS50" s="478"/>
      <c r="CYT50" s="478"/>
      <c r="CYU50" s="478"/>
      <c r="CYV50" s="478"/>
      <c r="CYW50" s="478"/>
      <c r="CYX50" s="478"/>
      <c r="CYY50" s="478"/>
      <c r="CYZ50" s="478"/>
      <c r="CZA50" s="478"/>
      <c r="CZB50" s="478"/>
      <c r="CZC50" s="478"/>
      <c r="CZD50" s="478"/>
      <c r="CZE50" s="478"/>
      <c r="CZF50" s="478"/>
      <c r="CZG50" s="478"/>
      <c r="CZH50" s="478"/>
      <c r="CZI50" s="478"/>
      <c r="CZJ50" s="478"/>
      <c r="CZK50" s="478"/>
      <c r="CZL50" s="478"/>
      <c r="CZM50" s="478"/>
      <c r="CZN50" s="478"/>
      <c r="CZO50" s="478"/>
      <c r="CZP50" s="478"/>
      <c r="CZQ50" s="478"/>
      <c r="CZR50" s="478"/>
      <c r="CZS50" s="478"/>
      <c r="CZT50" s="478"/>
      <c r="CZU50" s="478"/>
      <c r="CZV50" s="478"/>
      <c r="CZW50" s="478"/>
      <c r="CZX50" s="478"/>
      <c r="CZY50" s="478"/>
      <c r="CZZ50" s="478"/>
      <c r="DAA50" s="478"/>
      <c r="DAB50" s="478"/>
      <c r="DAC50" s="478"/>
      <c r="DAD50" s="478"/>
      <c r="DAE50" s="478"/>
      <c r="DAF50" s="478"/>
      <c r="DAG50" s="478"/>
      <c r="DAH50" s="478"/>
      <c r="DAI50" s="478"/>
      <c r="DAJ50" s="478"/>
      <c r="DAK50" s="478"/>
      <c r="DAL50" s="478"/>
      <c r="DAM50" s="478"/>
      <c r="DAN50" s="478"/>
      <c r="DAO50" s="478"/>
      <c r="DAP50" s="478"/>
      <c r="DAQ50" s="478"/>
      <c r="DAR50" s="478"/>
      <c r="DAS50" s="478"/>
      <c r="DAT50" s="478"/>
      <c r="DAU50" s="478"/>
      <c r="DAV50" s="478"/>
      <c r="DAW50" s="478"/>
      <c r="DAX50" s="478"/>
      <c r="DAY50" s="478"/>
      <c r="DAZ50" s="478"/>
      <c r="DBA50" s="478"/>
      <c r="DBB50" s="478"/>
      <c r="DBC50" s="478"/>
      <c r="DBD50" s="478"/>
      <c r="DBE50" s="478"/>
      <c r="DBF50" s="478"/>
      <c r="DBG50" s="478"/>
      <c r="DBH50" s="478"/>
      <c r="DBI50" s="478"/>
      <c r="DBJ50" s="478"/>
      <c r="DBK50" s="478"/>
      <c r="DBL50" s="478"/>
      <c r="DBM50" s="478"/>
      <c r="DBN50" s="478"/>
      <c r="DBO50" s="478"/>
      <c r="DBP50" s="478"/>
      <c r="DBQ50" s="478"/>
      <c r="DBR50" s="478"/>
      <c r="DBS50" s="478"/>
      <c r="DBT50" s="478"/>
      <c r="DBU50" s="478"/>
      <c r="DBV50" s="478"/>
      <c r="DBW50" s="478"/>
      <c r="DBX50" s="478"/>
      <c r="DBY50" s="478"/>
      <c r="DBZ50" s="478"/>
      <c r="DCA50" s="478"/>
      <c r="DCB50" s="478"/>
      <c r="DCC50" s="478"/>
      <c r="DCD50" s="478"/>
      <c r="DCE50" s="478"/>
      <c r="DCF50" s="478"/>
      <c r="DCG50" s="478"/>
      <c r="DCH50" s="478"/>
      <c r="DCI50" s="478"/>
      <c r="DCJ50" s="478"/>
      <c r="DCK50" s="478"/>
      <c r="DCL50" s="478"/>
      <c r="DCM50" s="478"/>
      <c r="DCN50" s="478"/>
      <c r="DCO50" s="478"/>
      <c r="DCP50" s="478"/>
      <c r="DCQ50" s="478"/>
      <c r="DCR50" s="478"/>
      <c r="DCS50" s="478"/>
      <c r="DCT50" s="478"/>
      <c r="DCU50" s="478"/>
      <c r="DCV50" s="478"/>
      <c r="DCW50" s="478"/>
      <c r="DCX50" s="478"/>
      <c r="DCY50" s="478"/>
      <c r="DCZ50" s="478"/>
      <c r="DDA50" s="478"/>
      <c r="DDB50" s="478"/>
      <c r="DDC50" s="478"/>
      <c r="DDD50" s="478"/>
      <c r="DDE50" s="478"/>
      <c r="DDF50" s="478"/>
      <c r="DDG50" s="478"/>
      <c r="DDH50" s="478"/>
      <c r="DDI50" s="478"/>
      <c r="DDJ50" s="478"/>
      <c r="DDK50" s="478"/>
      <c r="DDL50" s="478"/>
      <c r="DDM50" s="478"/>
      <c r="DDN50" s="478"/>
      <c r="DDO50" s="478"/>
      <c r="DDP50" s="478"/>
      <c r="DDQ50" s="478"/>
      <c r="DDR50" s="478"/>
      <c r="DDS50" s="478"/>
      <c r="DDT50" s="478"/>
      <c r="DDU50" s="478"/>
      <c r="DDV50" s="478"/>
      <c r="DDW50" s="478"/>
      <c r="DDX50" s="478"/>
      <c r="DDY50" s="478"/>
      <c r="DDZ50" s="478"/>
      <c r="DEA50" s="478"/>
      <c r="DEB50" s="478"/>
      <c r="DEC50" s="478"/>
      <c r="DED50" s="478"/>
      <c r="DEE50" s="478"/>
      <c r="DEF50" s="478"/>
      <c r="DEG50" s="478"/>
      <c r="DEH50" s="478"/>
      <c r="DEI50" s="478"/>
      <c r="DEJ50" s="478"/>
      <c r="DEK50" s="478"/>
      <c r="DEL50" s="478"/>
      <c r="DEM50" s="478"/>
      <c r="DEN50" s="478"/>
      <c r="DEO50" s="478"/>
      <c r="DEP50" s="478"/>
      <c r="DEQ50" s="478"/>
      <c r="DER50" s="478"/>
      <c r="DES50" s="478"/>
      <c r="DET50" s="478"/>
      <c r="DEU50" s="478"/>
      <c r="DEV50" s="478"/>
      <c r="DEW50" s="478"/>
      <c r="DEX50" s="478"/>
      <c r="DEY50" s="478"/>
      <c r="DEZ50" s="478"/>
      <c r="DFA50" s="478"/>
      <c r="DFB50" s="478"/>
      <c r="DFC50" s="478"/>
      <c r="DFD50" s="478"/>
      <c r="DFE50" s="478"/>
      <c r="DFF50" s="478"/>
      <c r="DFG50" s="478"/>
      <c r="DFH50" s="478"/>
      <c r="DFI50" s="478"/>
      <c r="DFJ50" s="478"/>
      <c r="DFK50" s="478"/>
      <c r="DFL50" s="478"/>
      <c r="DFM50" s="478"/>
      <c r="DFN50" s="478"/>
      <c r="DFO50" s="478"/>
      <c r="DFP50" s="478"/>
      <c r="DFQ50" s="478"/>
      <c r="DFR50" s="478"/>
      <c r="DFS50" s="478"/>
      <c r="DFT50" s="478"/>
      <c r="DFU50" s="478"/>
      <c r="DFV50" s="478"/>
      <c r="DFW50" s="478"/>
      <c r="DFX50" s="478"/>
      <c r="DFY50" s="478"/>
      <c r="DFZ50" s="478"/>
      <c r="DGA50" s="478"/>
      <c r="DGB50" s="478"/>
      <c r="DGC50" s="478"/>
      <c r="DGD50" s="478"/>
      <c r="DGE50" s="478"/>
      <c r="DGF50" s="478"/>
      <c r="DGG50" s="478"/>
      <c r="DGH50" s="478"/>
      <c r="DGI50" s="478"/>
      <c r="DGJ50" s="478"/>
      <c r="DGK50" s="478"/>
      <c r="DGL50" s="478"/>
      <c r="DGM50" s="478"/>
      <c r="DGN50" s="478"/>
      <c r="DGO50" s="478"/>
      <c r="DGP50" s="478"/>
      <c r="DGQ50" s="478"/>
      <c r="DGR50" s="478"/>
      <c r="DGS50" s="478"/>
      <c r="DGT50" s="478"/>
      <c r="DGU50" s="478"/>
      <c r="DGV50" s="478"/>
      <c r="DGW50" s="478"/>
      <c r="DGX50" s="478"/>
      <c r="DGY50" s="478"/>
      <c r="DGZ50" s="478"/>
      <c r="DHA50" s="478"/>
      <c r="DHB50" s="478"/>
      <c r="DHC50" s="478"/>
      <c r="DHD50" s="478"/>
      <c r="DHE50" s="478"/>
      <c r="DHF50" s="478"/>
      <c r="DHG50" s="478"/>
      <c r="DHH50" s="478"/>
      <c r="DHI50" s="478"/>
      <c r="DHJ50" s="478"/>
      <c r="DHK50" s="478"/>
      <c r="DHL50" s="478"/>
      <c r="DHM50" s="478"/>
      <c r="DHN50" s="478"/>
      <c r="DHO50" s="478"/>
      <c r="DHP50" s="478"/>
      <c r="DHQ50" s="478"/>
      <c r="DHR50" s="478"/>
      <c r="DHS50" s="478"/>
      <c r="DHT50" s="478"/>
      <c r="DHU50" s="478"/>
      <c r="DHV50" s="478"/>
      <c r="DHW50" s="478"/>
      <c r="DHX50" s="478"/>
      <c r="DHY50" s="478"/>
      <c r="DHZ50" s="478"/>
      <c r="DIA50" s="478"/>
      <c r="DIB50" s="478"/>
      <c r="DIC50" s="478"/>
      <c r="DID50" s="478"/>
      <c r="DIE50" s="478"/>
      <c r="DIF50" s="478"/>
      <c r="DIG50" s="478"/>
      <c r="DIH50" s="478"/>
      <c r="DII50" s="478"/>
      <c r="DIJ50" s="478"/>
      <c r="DIK50" s="478"/>
      <c r="DIL50" s="478"/>
      <c r="DIM50" s="478"/>
      <c r="DIN50" s="478"/>
      <c r="DIO50" s="478"/>
      <c r="DIP50" s="478"/>
      <c r="DIQ50" s="478"/>
      <c r="DIR50" s="478"/>
      <c r="DIS50" s="478"/>
      <c r="DIT50" s="478"/>
      <c r="DIU50" s="478"/>
      <c r="DIV50" s="478"/>
      <c r="DIW50" s="478"/>
      <c r="DIX50" s="478"/>
      <c r="DIY50" s="478"/>
      <c r="DIZ50" s="478"/>
      <c r="DJA50" s="478"/>
      <c r="DJB50" s="478"/>
      <c r="DJC50" s="478"/>
      <c r="DJD50" s="478"/>
      <c r="DJE50" s="478"/>
      <c r="DJF50" s="478"/>
      <c r="DJG50" s="478"/>
      <c r="DJH50" s="478"/>
      <c r="DJI50" s="478"/>
      <c r="DJJ50" s="478"/>
      <c r="DJK50" s="478"/>
      <c r="DJL50" s="478"/>
      <c r="DJM50" s="478"/>
      <c r="DJN50" s="478"/>
      <c r="DJO50" s="478"/>
      <c r="DJP50" s="478"/>
      <c r="DJQ50" s="478"/>
      <c r="DJR50" s="478"/>
      <c r="DJS50" s="478"/>
      <c r="DJT50" s="478"/>
      <c r="DJU50" s="478"/>
      <c r="DJV50" s="478"/>
      <c r="DJW50" s="478"/>
      <c r="DJX50" s="478"/>
      <c r="DJY50" s="478"/>
      <c r="DJZ50" s="478"/>
      <c r="DKA50" s="478"/>
      <c r="DKB50" s="478"/>
      <c r="DKC50" s="478"/>
      <c r="DKD50" s="478"/>
      <c r="DKE50" s="478"/>
      <c r="DKF50" s="478"/>
      <c r="DKG50" s="478"/>
      <c r="DKH50" s="478"/>
      <c r="DKI50" s="478"/>
      <c r="DKJ50" s="478"/>
      <c r="DKK50" s="478"/>
      <c r="DKL50" s="478"/>
      <c r="DKM50" s="478"/>
      <c r="DKN50" s="478"/>
      <c r="DKO50" s="478"/>
      <c r="DKP50" s="478"/>
      <c r="DKQ50" s="478"/>
      <c r="DKR50" s="478"/>
      <c r="DKS50" s="478"/>
      <c r="DKT50" s="478"/>
      <c r="DKU50" s="478"/>
      <c r="DKV50" s="478"/>
      <c r="DKW50" s="478"/>
      <c r="DKX50" s="478"/>
      <c r="DKY50" s="478"/>
      <c r="DKZ50" s="478"/>
      <c r="DLA50" s="478"/>
      <c r="DLB50" s="478"/>
      <c r="DLC50" s="478"/>
      <c r="DLD50" s="478"/>
      <c r="DLE50" s="478"/>
      <c r="DLF50" s="478"/>
      <c r="DLG50" s="478"/>
      <c r="DLH50" s="478"/>
      <c r="DLI50" s="478"/>
      <c r="DLJ50" s="478"/>
      <c r="DLK50" s="478"/>
      <c r="DLL50" s="478"/>
      <c r="DLM50" s="478"/>
      <c r="DLN50" s="478"/>
      <c r="DLO50" s="478"/>
      <c r="DLP50" s="478"/>
      <c r="DLQ50" s="478"/>
      <c r="DLR50" s="478"/>
      <c r="DLS50" s="478"/>
      <c r="DLT50" s="478"/>
      <c r="DLU50" s="478"/>
      <c r="DLV50" s="478"/>
      <c r="DLW50" s="478"/>
      <c r="DLX50" s="478"/>
      <c r="DLY50" s="478"/>
      <c r="DLZ50" s="478"/>
      <c r="DMA50" s="478"/>
      <c r="DMB50" s="478"/>
      <c r="DMC50" s="478"/>
      <c r="DMD50" s="478"/>
      <c r="DME50" s="478"/>
      <c r="DMF50" s="478"/>
      <c r="DMG50" s="478"/>
      <c r="DMH50" s="478"/>
      <c r="DMI50" s="478"/>
      <c r="DMJ50" s="478"/>
      <c r="DMK50" s="478"/>
      <c r="DML50" s="478"/>
      <c r="DMM50" s="478"/>
      <c r="DMN50" s="478"/>
      <c r="DMO50" s="478"/>
      <c r="DMP50" s="478"/>
      <c r="DMQ50" s="478"/>
      <c r="DMR50" s="478"/>
      <c r="DMS50" s="478"/>
      <c r="DMT50" s="478"/>
      <c r="DMU50" s="478"/>
      <c r="DMV50" s="478"/>
      <c r="DMW50" s="478"/>
      <c r="DMX50" s="478"/>
      <c r="DMY50" s="478"/>
      <c r="DMZ50" s="478"/>
      <c r="DNA50" s="478"/>
      <c r="DNB50" s="478"/>
      <c r="DNC50" s="478"/>
      <c r="DND50" s="478"/>
      <c r="DNE50" s="478"/>
      <c r="DNF50" s="478"/>
      <c r="DNG50" s="478"/>
      <c r="DNH50" s="478"/>
      <c r="DNI50" s="478"/>
      <c r="DNJ50" s="478"/>
      <c r="DNK50" s="478"/>
      <c r="DNL50" s="478"/>
      <c r="DNM50" s="478"/>
      <c r="DNN50" s="478"/>
      <c r="DNO50" s="478"/>
      <c r="DNP50" s="478"/>
      <c r="DNQ50" s="478"/>
      <c r="DNR50" s="478"/>
      <c r="DNS50" s="478"/>
      <c r="DNT50" s="478"/>
      <c r="DNU50" s="478"/>
      <c r="DNV50" s="478"/>
      <c r="DNW50" s="478"/>
      <c r="DNX50" s="478"/>
      <c r="DNY50" s="478"/>
      <c r="DNZ50" s="478"/>
      <c r="DOA50" s="478"/>
      <c r="DOB50" s="478"/>
      <c r="DOC50" s="478"/>
      <c r="DOD50" s="478"/>
      <c r="DOE50" s="478"/>
      <c r="DOF50" s="478"/>
      <c r="DOG50" s="478"/>
      <c r="DOH50" s="478"/>
      <c r="DOI50" s="478"/>
      <c r="DOJ50" s="478"/>
      <c r="DOK50" s="478"/>
      <c r="DOL50" s="478"/>
      <c r="DOM50" s="478"/>
      <c r="DON50" s="478"/>
      <c r="DOO50" s="478"/>
      <c r="DOP50" s="478"/>
      <c r="DOQ50" s="478"/>
      <c r="DOR50" s="478"/>
      <c r="DOS50" s="478"/>
      <c r="DOT50" s="478"/>
      <c r="DOU50" s="478"/>
      <c r="DOV50" s="478"/>
      <c r="DOW50" s="478"/>
      <c r="DOX50" s="478"/>
      <c r="DOY50" s="478"/>
      <c r="DOZ50" s="478"/>
      <c r="DPA50" s="478"/>
      <c r="DPB50" s="478"/>
      <c r="DPC50" s="478"/>
      <c r="DPD50" s="478"/>
      <c r="DPE50" s="478"/>
      <c r="DPF50" s="478"/>
      <c r="DPG50" s="478"/>
      <c r="DPH50" s="478"/>
      <c r="DPI50" s="478"/>
      <c r="DPJ50" s="478"/>
      <c r="DPK50" s="478"/>
      <c r="DPL50" s="478"/>
      <c r="DPM50" s="478"/>
      <c r="DPN50" s="478"/>
      <c r="DPO50" s="478"/>
      <c r="DPP50" s="478"/>
      <c r="DPQ50" s="478"/>
      <c r="DPR50" s="478"/>
      <c r="DPS50" s="478"/>
      <c r="DPT50" s="478"/>
      <c r="DPU50" s="478"/>
      <c r="DPV50" s="478"/>
      <c r="DPW50" s="478"/>
      <c r="DPX50" s="478"/>
      <c r="DPY50" s="478"/>
      <c r="DPZ50" s="478"/>
      <c r="DQA50" s="478"/>
      <c r="DQB50" s="478"/>
      <c r="DQC50" s="478"/>
      <c r="DQD50" s="478"/>
      <c r="DQE50" s="478"/>
      <c r="DQF50" s="478"/>
      <c r="DQG50" s="478"/>
      <c r="DQH50" s="478"/>
      <c r="DQI50" s="478"/>
      <c r="DQJ50" s="478"/>
      <c r="DQK50" s="478"/>
      <c r="DQL50" s="478"/>
      <c r="DQM50" s="478"/>
      <c r="DQN50" s="478"/>
      <c r="DQO50" s="478"/>
      <c r="DQP50" s="478"/>
      <c r="DQQ50" s="478"/>
      <c r="DQR50" s="478"/>
      <c r="DQS50" s="478"/>
      <c r="DQT50" s="478"/>
      <c r="DQU50" s="478"/>
      <c r="DQV50" s="478"/>
      <c r="DQW50" s="478"/>
      <c r="DQX50" s="478"/>
      <c r="DQY50" s="478"/>
      <c r="DQZ50" s="478"/>
      <c r="DRA50" s="478"/>
      <c r="DRB50" s="478"/>
      <c r="DRC50" s="478"/>
      <c r="DRD50" s="478"/>
      <c r="DRE50" s="478"/>
      <c r="DRF50" s="478"/>
      <c r="DRG50" s="478"/>
      <c r="DRH50" s="478"/>
      <c r="DRI50" s="478"/>
      <c r="DRJ50" s="478"/>
      <c r="DRK50" s="478"/>
      <c r="DRL50" s="478"/>
      <c r="DRM50" s="478"/>
      <c r="DRN50" s="478"/>
      <c r="DRO50" s="478"/>
      <c r="DRP50" s="478"/>
      <c r="DRQ50" s="478"/>
      <c r="DRR50" s="478"/>
      <c r="DRS50" s="478"/>
      <c r="DRT50" s="478"/>
      <c r="DRU50" s="478"/>
      <c r="DRV50" s="478"/>
      <c r="DRW50" s="478"/>
      <c r="DRX50" s="478"/>
      <c r="DRY50" s="478"/>
      <c r="DRZ50" s="478"/>
      <c r="DSA50" s="478"/>
      <c r="DSB50" s="478"/>
      <c r="DSC50" s="478"/>
      <c r="DSD50" s="478"/>
      <c r="DSE50" s="478"/>
      <c r="DSF50" s="478"/>
      <c r="DSG50" s="478"/>
      <c r="DSH50" s="478"/>
      <c r="DSI50" s="478"/>
      <c r="DSJ50" s="478"/>
      <c r="DSK50" s="478"/>
      <c r="DSL50" s="478"/>
      <c r="DSM50" s="478"/>
      <c r="DSN50" s="478"/>
      <c r="DSO50" s="478"/>
      <c r="DSP50" s="478"/>
      <c r="DSQ50" s="478"/>
      <c r="DSR50" s="478"/>
      <c r="DSS50" s="478"/>
      <c r="DST50" s="478"/>
      <c r="DSU50" s="478"/>
      <c r="DSV50" s="478"/>
      <c r="DSW50" s="478"/>
      <c r="DSX50" s="478"/>
      <c r="DSY50" s="478"/>
      <c r="DSZ50" s="478"/>
      <c r="DTA50" s="478"/>
      <c r="DTB50" s="478"/>
      <c r="DTC50" s="478"/>
      <c r="DTD50" s="478"/>
      <c r="DTE50" s="478"/>
      <c r="DTF50" s="478"/>
      <c r="DTG50" s="478"/>
      <c r="DTH50" s="478"/>
      <c r="DTI50" s="478"/>
      <c r="DTJ50" s="478"/>
      <c r="DTK50" s="478"/>
      <c r="DTL50" s="478"/>
      <c r="DTM50" s="478"/>
      <c r="DTN50" s="478"/>
      <c r="DTO50" s="478"/>
      <c r="DTP50" s="478"/>
      <c r="DTQ50" s="478"/>
      <c r="DTR50" s="478"/>
      <c r="DTS50" s="478"/>
      <c r="DTT50" s="478"/>
      <c r="DTU50" s="478"/>
      <c r="DTV50" s="478"/>
      <c r="DTW50" s="478"/>
      <c r="DTX50" s="478"/>
      <c r="DTY50" s="478"/>
      <c r="DTZ50" s="478"/>
      <c r="DUA50" s="478"/>
      <c r="DUB50" s="478"/>
      <c r="DUC50" s="478"/>
      <c r="DUD50" s="478"/>
      <c r="DUE50" s="478"/>
      <c r="DUF50" s="478"/>
      <c r="DUG50" s="478"/>
      <c r="DUH50" s="478"/>
      <c r="DUI50" s="478"/>
      <c r="DUJ50" s="478"/>
      <c r="DUK50" s="478"/>
      <c r="DUL50" s="478"/>
      <c r="DUM50" s="478"/>
      <c r="DUN50" s="478"/>
      <c r="DUO50" s="478"/>
      <c r="DUP50" s="478"/>
      <c r="DUQ50" s="478"/>
      <c r="DUR50" s="478"/>
      <c r="DUS50" s="478"/>
      <c r="DUT50" s="478"/>
      <c r="DUU50" s="478"/>
      <c r="DUV50" s="478"/>
      <c r="DUW50" s="478"/>
      <c r="DUX50" s="478"/>
      <c r="DUY50" s="478"/>
      <c r="DUZ50" s="478"/>
      <c r="DVA50" s="478"/>
      <c r="DVB50" s="478"/>
      <c r="DVC50" s="478"/>
      <c r="DVD50" s="478"/>
      <c r="DVE50" s="478"/>
      <c r="DVF50" s="478"/>
      <c r="DVG50" s="478"/>
      <c r="DVH50" s="478"/>
      <c r="DVI50" s="478"/>
      <c r="DVJ50" s="478"/>
      <c r="DVK50" s="478"/>
      <c r="DVL50" s="478"/>
      <c r="DVM50" s="478"/>
      <c r="DVN50" s="478"/>
      <c r="DVO50" s="478"/>
      <c r="DVP50" s="478"/>
      <c r="DVQ50" s="478"/>
      <c r="DVR50" s="478"/>
      <c r="DVS50" s="478"/>
      <c r="DVT50" s="478"/>
      <c r="DVU50" s="478"/>
      <c r="DVV50" s="478"/>
      <c r="DVW50" s="478"/>
      <c r="DVX50" s="478"/>
      <c r="DVY50" s="478"/>
      <c r="DVZ50" s="478"/>
      <c r="DWA50" s="478"/>
      <c r="DWB50" s="478"/>
      <c r="DWC50" s="478"/>
      <c r="DWD50" s="478"/>
      <c r="DWE50" s="478"/>
      <c r="DWF50" s="478"/>
      <c r="DWG50" s="478"/>
      <c r="DWH50" s="478"/>
      <c r="DWI50" s="478"/>
      <c r="DWJ50" s="478"/>
      <c r="DWK50" s="478"/>
      <c r="DWL50" s="478"/>
      <c r="DWM50" s="478"/>
      <c r="DWN50" s="478"/>
      <c r="DWO50" s="478"/>
      <c r="DWP50" s="478"/>
      <c r="DWQ50" s="478"/>
      <c r="DWR50" s="478"/>
      <c r="DWS50" s="478"/>
      <c r="DWT50" s="478"/>
      <c r="DWU50" s="478"/>
      <c r="DWV50" s="478"/>
      <c r="DWW50" s="478"/>
      <c r="DWX50" s="478"/>
      <c r="DWY50" s="478"/>
      <c r="DWZ50" s="478"/>
      <c r="DXA50" s="478"/>
      <c r="DXB50" s="478"/>
      <c r="DXC50" s="478"/>
      <c r="DXD50" s="478"/>
      <c r="DXE50" s="478"/>
      <c r="DXF50" s="478"/>
      <c r="DXG50" s="478"/>
      <c r="DXH50" s="478"/>
      <c r="DXI50" s="478"/>
      <c r="DXJ50" s="478"/>
      <c r="DXK50" s="478"/>
      <c r="DXL50" s="478"/>
      <c r="DXM50" s="478"/>
      <c r="DXN50" s="478"/>
      <c r="DXO50" s="478"/>
      <c r="DXP50" s="478"/>
      <c r="DXQ50" s="478"/>
      <c r="DXR50" s="478"/>
      <c r="DXS50" s="478"/>
      <c r="DXT50" s="478"/>
      <c r="DXU50" s="478"/>
      <c r="DXV50" s="478"/>
      <c r="DXW50" s="478"/>
      <c r="DXX50" s="478"/>
      <c r="DXY50" s="478"/>
      <c r="DXZ50" s="478"/>
      <c r="DYA50" s="478"/>
      <c r="DYB50" s="478"/>
      <c r="DYC50" s="478"/>
      <c r="DYD50" s="478"/>
      <c r="DYE50" s="478"/>
      <c r="DYF50" s="478"/>
      <c r="DYG50" s="478"/>
      <c r="DYH50" s="478"/>
      <c r="DYI50" s="478"/>
      <c r="DYJ50" s="478"/>
      <c r="DYK50" s="478"/>
      <c r="DYL50" s="478"/>
      <c r="DYM50" s="478"/>
      <c r="DYN50" s="478"/>
      <c r="DYO50" s="478"/>
      <c r="DYP50" s="478"/>
      <c r="DYQ50" s="478"/>
      <c r="DYR50" s="478"/>
      <c r="DYS50" s="478"/>
      <c r="DYT50" s="478"/>
      <c r="DYU50" s="478"/>
      <c r="DYV50" s="478"/>
      <c r="DYW50" s="478"/>
      <c r="DYX50" s="478"/>
      <c r="DYY50" s="478"/>
      <c r="DYZ50" s="478"/>
      <c r="DZA50" s="478"/>
      <c r="DZB50" s="478"/>
      <c r="DZC50" s="478"/>
      <c r="DZD50" s="478"/>
      <c r="DZE50" s="478"/>
      <c r="DZF50" s="478"/>
      <c r="DZG50" s="478"/>
      <c r="DZH50" s="478"/>
      <c r="DZI50" s="478"/>
      <c r="DZJ50" s="478"/>
      <c r="DZK50" s="478"/>
      <c r="DZL50" s="478"/>
      <c r="DZM50" s="478"/>
      <c r="DZN50" s="478"/>
      <c r="DZO50" s="478"/>
      <c r="DZP50" s="478"/>
      <c r="DZQ50" s="478"/>
      <c r="DZR50" s="478"/>
      <c r="DZS50" s="478"/>
      <c r="DZT50" s="478"/>
      <c r="DZU50" s="478"/>
      <c r="DZV50" s="478"/>
      <c r="DZW50" s="478"/>
      <c r="DZX50" s="478"/>
      <c r="DZY50" s="478"/>
      <c r="DZZ50" s="478"/>
      <c r="EAA50" s="478"/>
      <c r="EAB50" s="478"/>
      <c r="EAC50" s="478"/>
      <c r="EAD50" s="478"/>
      <c r="EAE50" s="478"/>
      <c r="EAF50" s="478"/>
      <c r="EAG50" s="478"/>
      <c r="EAH50" s="478"/>
      <c r="EAI50" s="478"/>
      <c r="EAJ50" s="478"/>
      <c r="EAK50" s="478"/>
      <c r="EAL50" s="478"/>
      <c r="EAM50" s="478"/>
      <c r="EAN50" s="478"/>
      <c r="EAO50" s="478"/>
      <c r="EAP50" s="478"/>
      <c r="EAQ50" s="478"/>
      <c r="EAR50" s="478"/>
      <c r="EAS50" s="478"/>
      <c r="EAT50" s="478"/>
      <c r="EAU50" s="478"/>
      <c r="EAV50" s="478"/>
      <c r="EAW50" s="478"/>
      <c r="EAX50" s="478"/>
      <c r="EAY50" s="478"/>
      <c r="EAZ50" s="478"/>
      <c r="EBA50" s="478"/>
      <c r="EBB50" s="478"/>
      <c r="EBC50" s="478"/>
      <c r="EBD50" s="478"/>
      <c r="EBE50" s="478"/>
      <c r="EBF50" s="478"/>
      <c r="EBG50" s="478"/>
      <c r="EBH50" s="478"/>
      <c r="EBI50" s="478"/>
      <c r="EBJ50" s="478"/>
      <c r="EBK50" s="478"/>
      <c r="EBL50" s="478"/>
      <c r="EBM50" s="478"/>
      <c r="EBN50" s="478"/>
      <c r="EBO50" s="478"/>
      <c r="EBP50" s="478"/>
      <c r="EBQ50" s="478"/>
      <c r="EBR50" s="478"/>
      <c r="EBS50" s="478"/>
      <c r="EBT50" s="478"/>
      <c r="EBU50" s="478"/>
      <c r="EBV50" s="478"/>
      <c r="EBW50" s="478"/>
      <c r="EBX50" s="478"/>
      <c r="EBY50" s="478"/>
      <c r="EBZ50" s="478"/>
      <c r="ECA50" s="478"/>
      <c r="ECB50" s="478"/>
      <c r="ECC50" s="478"/>
      <c r="ECD50" s="478"/>
      <c r="ECE50" s="478"/>
      <c r="ECF50" s="478"/>
      <c r="ECG50" s="478"/>
      <c r="ECH50" s="478"/>
      <c r="ECI50" s="478"/>
      <c r="ECJ50" s="478"/>
      <c r="ECK50" s="478"/>
      <c r="ECL50" s="478"/>
      <c r="ECM50" s="478"/>
      <c r="ECN50" s="478"/>
      <c r="ECO50" s="478"/>
      <c r="ECP50" s="478"/>
      <c r="ECQ50" s="478"/>
      <c r="ECR50" s="478"/>
      <c r="ECS50" s="478"/>
      <c r="ECT50" s="478"/>
      <c r="ECU50" s="478"/>
      <c r="ECV50" s="478"/>
      <c r="ECW50" s="478"/>
      <c r="ECX50" s="478"/>
      <c r="ECY50" s="478"/>
      <c r="ECZ50" s="478"/>
      <c r="EDA50" s="478"/>
      <c r="EDB50" s="478"/>
      <c r="EDC50" s="478"/>
      <c r="EDD50" s="478"/>
      <c r="EDE50" s="478"/>
      <c r="EDF50" s="478"/>
      <c r="EDG50" s="478"/>
      <c r="EDH50" s="478"/>
      <c r="EDI50" s="478"/>
      <c r="EDJ50" s="478"/>
      <c r="EDK50" s="478"/>
      <c r="EDL50" s="478"/>
      <c r="EDM50" s="478"/>
      <c r="EDN50" s="478"/>
      <c r="EDO50" s="478"/>
      <c r="EDP50" s="478"/>
      <c r="EDQ50" s="478"/>
      <c r="EDR50" s="478"/>
      <c r="EDS50" s="478"/>
      <c r="EDT50" s="478"/>
      <c r="EDU50" s="478"/>
      <c r="EDV50" s="478"/>
      <c r="EDW50" s="478"/>
      <c r="EDX50" s="478"/>
      <c r="EDY50" s="478"/>
      <c r="EDZ50" s="478"/>
      <c r="EEA50" s="478"/>
      <c r="EEB50" s="478"/>
      <c r="EEC50" s="478"/>
      <c r="EED50" s="478"/>
      <c r="EEE50" s="478"/>
      <c r="EEF50" s="478"/>
      <c r="EEG50" s="478"/>
      <c r="EEH50" s="478"/>
      <c r="EEI50" s="478"/>
      <c r="EEJ50" s="478"/>
      <c r="EEK50" s="478"/>
      <c r="EEL50" s="478"/>
      <c r="EEM50" s="478"/>
      <c r="EEN50" s="478"/>
      <c r="EEO50" s="478"/>
      <c r="EEP50" s="478"/>
      <c r="EEQ50" s="478"/>
      <c r="EER50" s="478"/>
      <c r="EES50" s="478"/>
      <c r="EET50" s="478"/>
      <c r="EEU50" s="478"/>
      <c r="EEV50" s="478"/>
      <c r="EEW50" s="478"/>
      <c r="EEX50" s="478"/>
      <c r="EEY50" s="478"/>
      <c r="EEZ50" s="478"/>
      <c r="EFA50" s="478"/>
      <c r="EFB50" s="478"/>
      <c r="EFC50" s="478"/>
      <c r="EFD50" s="478"/>
      <c r="EFE50" s="478"/>
      <c r="EFF50" s="478"/>
      <c r="EFG50" s="478"/>
      <c r="EFH50" s="478"/>
      <c r="EFI50" s="478"/>
      <c r="EFJ50" s="478"/>
      <c r="EFK50" s="478"/>
      <c r="EFL50" s="478"/>
      <c r="EFM50" s="478"/>
      <c r="EFN50" s="478"/>
      <c r="EFO50" s="478"/>
      <c r="EFP50" s="478"/>
      <c r="EFQ50" s="478"/>
      <c r="EFR50" s="478"/>
      <c r="EFS50" s="478"/>
      <c r="EFT50" s="478"/>
      <c r="EFU50" s="478"/>
      <c r="EFV50" s="478"/>
      <c r="EFW50" s="478"/>
      <c r="EFX50" s="478"/>
      <c r="EFY50" s="478"/>
      <c r="EFZ50" s="478"/>
      <c r="EGA50" s="478"/>
      <c r="EGB50" s="478"/>
      <c r="EGC50" s="478"/>
      <c r="EGD50" s="478"/>
      <c r="EGE50" s="478"/>
      <c r="EGF50" s="478"/>
      <c r="EGG50" s="478"/>
      <c r="EGH50" s="478"/>
      <c r="EGI50" s="478"/>
      <c r="EGJ50" s="478"/>
      <c r="EGK50" s="478"/>
      <c r="EGL50" s="478"/>
      <c r="EGM50" s="478"/>
      <c r="EGN50" s="478"/>
      <c r="EGO50" s="478"/>
      <c r="EGP50" s="478"/>
      <c r="EGQ50" s="478"/>
      <c r="EGR50" s="478"/>
      <c r="EGS50" s="478"/>
      <c r="EGT50" s="478"/>
      <c r="EGU50" s="478"/>
      <c r="EGV50" s="478"/>
      <c r="EGW50" s="478"/>
      <c r="EGX50" s="478"/>
      <c r="EGY50" s="478"/>
      <c r="EGZ50" s="478"/>
      <c r="EHA50" s="478"/>
      <c r="EHB50" s="478"/>
      <c r="EHC50" s="478"/>
      <c r="EHD50" s="478"/>
      <c r="EHE50" s="478"/>
      <c r="EHF50" s="478"/>
      <c r="EHG50" s="478"/>
      <c r="EHH50" s="478"/>
      <c r="EHI50" s="478"/>
      <c r="EHJ50" s="478"/>
      <c r="EHK50" s="478"/>
      <c r="EHL50" s="478"/>
      <c r="EHM50" s="478"/>
      <c r="EHN50" s="478"/>
      <c r="EHO50" s="478"/>
      <c r="EHP50" s="478"/>
      <c r="EHQ50" s="478"/>
      <c r="EHR50" s="478"/>
      <c r="EHS50" s="478"/>
      <c r="EHT50" s="478"/>
      <c r="EHU50" s="478"/>
      <c r="EHV50" s="478"/>
      <c r="EHW50" s="478"/>
      <c r="EHX50" s="478"/>
      <c r="EHY50" s="478"/>
      <c r="EHZ50" s="478"/>
      <c r="EIA50" s="478"/>
      <c r="EIB50" s="478"/>
      <c r="EIC50" s="478"/>
      <c r="EID50" s="478"/>
      <c r="EIE50" s="478"/>
      <c r="EIF50" s="478"/>
      <c r="EIG50" s="478"/>
      <c r="EIH50" s="478"/>
      <c r="EII50" s="478"/>
      <c r="EIJ50" s="478"/>
      <c r="EIK50" s="478"/>
      <c r="EIL50" s="478"/>
      <c r="EIM50" s="478"/>
      <c r="EIN50" s="478"/>
      <c r="EIO50" s="478"/>
      <c r="EIP50" s="478"/>
      <c r="EIQ50" s="478"/>
      <c r="EIR50" s="478"/>
      <c r="EIS50" s="478"/>
      <c r="EIT50" s="478"/>
      <c r="EIU50" s="478"/>
      <c r="EIV50" s="478"/>
      <c r="EIW50" s="478"/>
      <c r="EIX50" s="478"/>
      <c r="EIY50" s="478"/>
      <c r="EIZ50" s="478"/>
      <c r="EJA50" s="478"/>
      <c r="EJB50" s="478"/>
      <c r="EJC50" s="478"/>
      <c r="EJD50" s="478"/>
      <c r="EJE50" s="478"/>
      <c r="EJF50" s="478"/>
      <c r="EJG50" s="478"/>
      <c r="EJH50" s="478"/>
      <c r="EJI50" s="478"/>
      <c r="EJJ50" s="478"/>
      <c r="EJK50" s="478"/>
      <c r="EJL50" s="478"/>
      <c r="EJM50" s="478"/>
      <c r="EJN50" s="478"/>
      <c r="EJO50" s="478"/>
      <c r="EJP50" s="478"/>
      <c r="EJQ50" s="478"/>
      <c r="EJR50" s="478"/>
      <c r="EJS50" s="478"/>
      <c r="EJT50" s="478"/>
      <c r="EJU50" s="478"/>
      <c r="EJV50" s="478"/>
      <c r="EJW50" s="478"/>
      <c r="EJX50" s="478"/>
      <c r="EJY50" s="478"/>
      <c r="EJZ50" s="478"/>
      <c r="EKA50" s="478"/>
      <c r="EKB50" s="478"/>
      <c r="EKC50" s="478"/>
      <c r="EKD50" s="478"/>
      <c r="EKE50" s="478"/>
      <c r="EKF50" s="478"/>
      <c r="EKG50" s="478"/>
      <c r="EKH50" s="478"/>
      <c r="EKI50" s="478"/>
      <c r="EKJ50" s="478"/>
      <c r="EKK50" s="478"/>
      <c r="EKL50" s="478"/>
      <c r="EKM50" s="478"/>
      <c r="EKN50" s="478"/>
      <c r="EKO50" s="478"/>
      <c r="EKP50" s="478"/>
      <c r="EKQ50" s="478"/>
      <c r="EKR50" s="478"/>
      <c r="EKS50" s="478"/>
      <c r="EKT50" s="478"/>
      <c r="EKU50" s="478"/>
      <c r="EKV50" s="478"/>
      <c r="EKW50" s="478"/>
      <c r="EKX50" s="478"/>
      <c r="EKY50" s="478"/>
      <c r="EKZ50" s="478"/>
      <c r="ELA50" s="478"/>
      <c r="ELB50" s="478"/>
      <c r="ELC50" s="478"/>
      <c r="ELD50" s="478"/>
      <c r="ELE50" s="478"/>
      <c r="ELF50" s="478"/>
      <c r="ELG50" s="478"/>
      <c r="ELH50" s="478"/>
      <c r="ELI50" s="478"/>
      <c r="ELJ50" s="478"/>
      <c r="ELK50" s="478"/>
      <c r="ELL50" s="478"/>
      <c r="ELM50" s="478"/>
      <c r="ELN50" s="478"/>
      <c r="ELO50" s="478"/>
      <c r="ELP50" s="478"/>
      <c r="ELQ50" s="478"/>
      <c r="ELR50" s="478"/>
      <c r="ELS50" s="478"/>
      <c r="ELT50" s="478"/>
      <c r="ELU50" s="478"/>
      <c r="ELV50" s="478"/>
      <c r="ELW50" s="478"/>
      <c r="ELX50" s="478"/>
      <c r="ELY50" s="478"/>
      <c r="ELZ50" s="478"/>
      <c r="EMA50" s="478"/>
      <c r="EMB50" s="478"/>
      <c r="EMC50" s="478"/>
      <c r="EMD50" s="478"/>
      <c r="EME50" s="478"/>
      <c r="EMF50" s="478"/>
      <c r="EMG50" s="478"/>
      <c r="EMH50" s="478"/>
      <c r="EMI50" s="478"/>
      <c r="EMJ50" s="478"/>
      <c r="EMK50" s="478"/>
      <c r="EML50" s="478"/>
      <c r="EMM50" s="478"/>
      <c r="EMN50" s="478"/>
      <c r="EMO50" s="478"/>
      <c r="EMP50" s="478"/>
      <c r="EMQ50" s="478"/>
      <c r="EMR50" s="478"/>
      <c r="EMS50" s="478"/>
      <c r="EMT50" s="478"/>
      <c r="EMU50" s="478"/>
      <c r="EMV50" s="478"/>
      <c r="EMW50" s="478"/>
      <c r="EMX50" s="478"/>
      <c r="EMY50" s="478"/>
      <c r="EMZ50" s="478"/>
      <c r="ENA50" s="478"/>
      <c r="ENB50" s="478"/>
      <c r="ENC50" s="478"/>
      <c r="END50" s="478"/>
      <c r="ENE50" s="478"/>
      <c r="ENF50" s="478"/>
      <c r="ENG50" s="478"/>
      <c r="ENH50" s="478"/>
      <c r="ENI50" s="478"/>
      <c r="ENJ50" s="478"/>
      <c r="ENK50" s="478"/>
      <c r="ENL50" s="478"/>
      <c r="ENM50" s="478"/>
      <c r="ENN50" s="478"/>
      <c r="ENO50" s="478"/>
      <c r="ENP50" s="478"/>
      <c r="ENQ50" s="478"/>
      <c r="ENR50" s="478"/>
      <c r="ENS50" s="478"/>
      <c r="ENT50" s="478"/>
      <c r="ENU50" s="478"/>
      <c r="ENV50" s="478"/>
      <c r="ENW50" s="478"/>
      <c r="ENX50" s="478"/>
      <c r="ENY50" s="478"/>
      <c r="ENZ50" s="478"/>
      <c r="EOA50" s="478"/>
      <c r="EOB50" s="478"/>
      <c r="EOC50" s="478"/>
      <c r="EOD50" s="478"/>
      <c r="EOE50" s="478"/>
      <c r="EOF50" s="478"/>
      <c r="EOG50" s="478"/>
      <c r="EOH50" s="478"/>
      <c r="EOI50" s="478"/>
      <c r="EOJ50" s="478"/>
      <c r="EOK50" s="478"/>
      <c r="EOL50" s="478"/>
      <c r="EOM50" s="478"/>
      <c r="EON50" s="478"/>
      <c r="EOO50" s="478"/>
      <c r="EOP50" s="478"/>
      <c r="EOQ50" s="478"/>
      <c r="EOR50" s="478"/>
      <c r="EOS50" s="478"/>
      <c r="EOT50" s="478"/>
      <c r="EOU50" s="478"/>
      <c r="EOV50" s="478"/>
      <c r="EOW50" s="478"/>
      <c r="EOX50" s="478"/>
      <c r="EOY50" s="478"/>
      <c r="EOZ50" s="478"/>
      <c r="EPA50" s="478"/>
      <c r="EPB50" s="478"/>
      <c r="EPC50" s="478"/>
      <c r="EPD50" s="478"/>
      <c r="EPE50" s="478"/>
      <c r="EPF50" s="478"/>
      <c r="EPG50" s="478"/>
      <c r="EPH50" s="478"/>
      <c r="EPI50" s="478"/>
      <c r="EPJ50" s="478"/>
      <c r="EPK50" s="478"/>
      <c r="EPL50" s="478"/>
      <c r="EPM50" s="478"/>
      <c r="EPN50" s="478"/>
      <c r="EPO50" s="478"/>
      <c r="EPP50" s="478"/>
      <c r="EPQ50" s="478"/>
      <c r="EPR50" s="478"/>
      <c r="EPS50" s="478"/>
      <c r="EPT50" s="478"/>
      <c r="EPU50" s="478"/>
      <c r="EPV50" s="478"/>
      <c r="EPW50" s="478"/>
      <c r="EPX50" s="478"/>
      <c r="EPY50" s="478"/>
      <c r="EPZ50" s="478"/>
      <c r="EQA50" s="478"/>
      <c r="EQB50" s="478"/>
      <c r="EQC50" s="478"/>
      <c r="EQD50" s="478"/>
      <c r="EQE50" s="478"/>
      <c r="EQF50" s="478"/>
      <c r="EQG50" s="478"/>
      <c r="EQH50" s="478"/>
      <c r="EQI50" s="478"/>
      <c r="EQJ50" s="478"/>
      <c r="EQK50" s="478"/>
      <c r="EQL50" s="478"/>
      <c r="EQM50" s="478"/>
      <c r="EQN50" s="478"/>
      <c r="EQO50" s="478"/>
      <c r="EQP50" s="478"/>
      <c r="EQQ50" s="478"/>
      <c r="EQR50" s="478"/>
      <c r="EQS50" s="478"/>
      <c r="EQT50" s="478"/>
      <c r="EQU50" s="478"/>
      <c r="EQV50" s="478"/>
      <c r="EQW50" s="478"/>
      <c r="EQX50" s="478"/>
      <c r="EQY50" s="478"/>
      <c r="EQZ50" s="478"/>
      <c r="ERA50" s="478"/>
      <c r="ERB50" s="478"/>
      <c r="ERC50" s="478"/>
      <c r="ERD50" s="478"/>
      <c r="ERE50" s="478"/>
      <c r="ERF50" s="478"/>
      <c r="ERG50" s="478"/>
      <c r="ERH50" s="478"/>
      <c r="ERI50" s="478"/>
      <c r="ERJ50" s="478"/>
      <c r="ERK50" s="478"/>
      <c r="ERL50" s="478"/>
      <c r="ERM50" s="478"/>
      <c r="ERN50" s="478"/>
      <c r="ERO50" s="478"/>
      <c r="ERP50" s="478"/>
      <c r="ERQ50" s="478"/>
      <c r="ERR50" s="478"/>
      <c r="ERS50" s="478"/>
      <c r="ERT50" s="478"/>
      <c r="ERU50" s="478"/>
      <c r="ERV50" s="478"/>
      <c r="ERW50" s="478"/>
      <c r="ERX50" s="478"/>
      <c r="ERY50" s="478"/>
      <c r="ERZ50" s="478"/>
      <c r="ESA50" s="478"/>
      <c r="ESB50" s="478"/>
      <c r="ESC50" s="478"/>
      <c r="ESD50" s="478"/>
      <c r="ESE50" s="478"/>
      <c r="ESF50" s="478"/>
      <c r="ESG50" s="478"/>
      <c r="ESH50" s="478"/>
      <c r="ESI50" s="478"/>
      <c r="ESJ50" s="478"/>
      <c r="ESK50" s="478"/>
      <c r="ESL50" s="478"/>
      <c r="ESM50" s="478"/>
      <c r="ESN50" s="478"/>
      <c r="ESO50" s="478"/>
      <c r="ESP50" s="478"/>
      <c r="ESQ50" s="478"/>
      <c r="ESR50" s="478"/>
      <c r="ESS50" s="478"/>
      <c r="EST50" s="478"/>
      <c r="ESU50" s="478"/>
      <c r="ESV50" s="478"/>
      <c r="ESW50" s="478"/>
      <c r="ESX50" s="478"/>
      <c r="ESY50" s="478"/>
      <c r="ESZ50" s="478"/>
      <c r="ETA50" s="478"/>
      <c r="ETB50" s="478"/>
      <c r="ETC50" s="478"/>
      <c r="ETD50" s="478"/>
      <c r="ETE50" s="478"/>
      <c r="ETF50" s="478"/>
      <c r="ETG50" s="478"/>
      <c r="ETH50" s="478"/>
      <c r="ETI50" s="478"/>
      <c r="ETJ50" s="478"/>
      <c r="ETK50" s="478"/>
      <c r="ETL50" s="478"/>
      <c r="ETM50" s="478"/>
      <c r="ETN50" s="478"/>
      <c r="ETO50" s="478"/>
      <c r="ETP50" s="478"/>
      <c r="ETQ50" s="478"/>
      <c r="ETR50" s="478"/>
      <c r="ETS50" s="478"/>
      <c r="ETT50" s="478"/>
      <c r="ETU50" s="478"/>
      <c r="ETV50" s="478"/>
      <c r="ETW50" s="478"/>
      <c r="ETX50" s="478"/>
      <c r="ETY50" s="478"/>
      <c r="ETZ50" s="478"/>
      <c r="EUA50" s="478"/>
      <c r="EUB50" s="478"/>
      <c r="EUC50" s="478"/>
      <c r="EUD50" s="478"/>
      <c r="EUE50" s="478"/>
      <c r="EUF50" s="478"/>
      <c r="EUG50" s="478"/>
      <c r="EUH50" s="478"/>
      <c r="EUI50" s="478"/>
      <c r="EUJ50" s="478"/>
      <c r="EUK50" s="478"/>
      <c r="EUL50" s="478"/>
      <c r="EUM50" s="478"/>
      <c r="EUN50" s="478"/>
      <c r="EUO50" s="478"/>
      <c r="EUP50" s="478"/>
      <c r="EUQ50" s="478"/>
      <c r="EUR50" s="478"/>
      <c r="EUS50" s="478"/>
      <c r="EUT50" s="478"/>
      <c r="EUU50" s="478"/>
      <c r="EUV50" s="478"/>
      <c r="EUW50" s="478"/>
      <c r="EUX50" s="478"/>
      <c r="EUY50" s="478"/>
      <c r="EUZ50" s="478"/>
      <c r="EVA50" s="478"/>
      <c r="EVB50" s="478"/>
      <c r="EVC50" s="478"/>
      <c r="EVD50" s="478"/>
      <c r="EVE50" s="478"/>
      <c r="EVF50" s="478"/>
      <c r="EVG50" s="478"/>
      <c r="EVH50" s="478"/>
      <c r="EVI50" s="478"/>
      <c r="EVJ50" s="478"/>
      <c r="EVK50" s="478"/>
      <c r="EVL50" s="478"/>
      <c r="EVM50" s="478"/>
      <c r="EVN50" s="478"/>
      <c r="EVO50" s="478"/>
      <c r="EVP50" s="478"/>
      <c r="EVQ50" s="478"/>
      <c r="EVR50" s="478"/>
      <c r="EVS50" s="478"/>
      <c r="EVT50" s="478"/>
      <c r="EVU50" s="478"/>
      <c r="EVV50" s="478"/>
      <c r="EVW50" s="478"/>
      <c r="EVX50" s="478"/>
      <c r="EVY50" s="478"/>
      <c r="EVZ50" s="478"/>
      <c r="EWA50" s="478"/>
      <c r="EWB50" s="478"/>
      <c r="EWC50" s="478"/>
      <c r="EWD50" s="478"/>
      <c r="EWE50" s="478"/>
      <c r="EWF50" s="478"/>
      <c r="EWG50" s="478"/>
      <c r="EWH50" s="478"/>
      <c r="EWI50" s="478"/>
      <c r="EWJ50" s="478"/>
      <c r="EWK50" s="478"/>
      <c r="EWL50" s="478"/>
      <c r="EWM50" s="478"/>
      <c r="EWN50" s="478"/>
      <c r="EWO50" s="478"/>
      <c r="EWP50" s="478"/>
      <c r="EWQ50" s="478"/>
      <c r="EWR50" s="478"/>
      <c r="EWS50" s="478"/>
      <c r="EWT50" s="478"/>
      <c r="EWU50" s="478"/>
      <c r="EWV50" s="478"/>
      <c r="EWW50" s="478"/>
      <c r="EWX50" s="478"/>
      <c r="EWY50" s="478"/>
      <c r="EWZ50" s="478"/>
      <c r="EXA50" s="478"/>
      <c r="EXB50" s="478"/>
      <c r="EXC50" s="478"/>
      <c r="EXD50" s="478"/>
      <c r="EXE50" s="478"/>
      <c r="EXF50" s="478"/>
      <c r="EXG50" s="478"/>
      <c r="EXH50" s="478"/>
      <c r="EXI50" s="478"/>
      <c r="EXJ50" s="478"/>
      <c r="EXK50" s="478"/>
      <c r="EXL50" s="478"/>
      <c r="EXM50" s="478"/>
      <c r="EXN50" s="478"/>
      <c r="EXO50" s="478"/>
      <c r="EXP50" s="478"/>
      <c r="EXQ50" s="478"/>
      <c r="EXR50" s="478"/>
      <c r="EXS50" s="478"/>
      <c r="EXT50" s="478"/>
      <c r="EXU50" s="478"/>
      <c r="EXV50" s="478"/>
      <c r="EXW50" s="478"/>
      <c r="EXX50" s="478"/>
      <c r="EXY50" s="478"/>
      <c r="EXZ50" s="478"/>
      <c r="EYA50" s="478"/>
      <c r="EYB50" s="478"/>
      <c r="EYC50" s="478"/>
      <c r="EYD50" s="478"/>
      <c r="EYE50" s="478"/>
      <c r="EYF50" s="478"/>
      <c r="EYG50" s="478"/>
      <c r="EYH50" s="478"/>
      <c r="EYI50" s="478"/>
      <c r="EYJ50" s="478"/>
      <c r="EYK50" s="478"/>
      <c r="EYL50" s="478"/>
      <c r="EYM50" s="478"/>
      <c r="EYN50" s="478"/>
      <c r="EYO50" s="478"/>
      <c r="EYP50" s="478"/>
      <c r="EYQ50" s="478"/>
      <c r="EYR50" s="478"/>
      <c r="EYS50" s="478"/>
      <c r="EYT50" s="478"/>
      <c r="EYU50" s="478"/>
      <c r="EYV50" s="478"/>
      <c r="EYW50" s="478"/>
      <c r="EYX50" s="478"/>
      <c r="EYY50" s="478"/>
      <c r="EYZ50" s="478"/>
      <c r="EZA50" s="478"/>
      <c r="EZB50" s="478"/>
      <c r="EZC50" s="478"/>
      <c r="EZD50" s="478"/>
      <c r="EZE50" s="478"/>
      <c r="EZF50" s="478"/>
      <c r="EZG50" s="478"/>
      <c r="EZH50" s="478"/>
      <c r="EZI50" s="478"/>
      <c r="EZJ50" s="478"/>
      <c r="EZK50" s="478"/>
      <c r="EZL50" s="478"/>
      <c r="EZM50" s="478"/>
      <c r="EZN50" s="478"/>
      <c r="EZO50" s="478"/>
      <c r="EZP50" s="478"/>
      <c r="EZQ50" s="478"/>
      <c r="EZR50" s="478"/>
      <c r="EZS50" s="478"/>
      <c r="EZT50" s="478"/>
      <c r="EZU50" s="478"/>
      <c r="EZV50" s="478"/>
      <c r="EZW50" s="478"/>
      <c r="EZX50" s="478"/>
      <c r="EZY50" s="478"/>
      <c r="EZZ50" s="478"/>
      <c r="FAA50" s="478"/>
      <c r="FAB50" s="478"/>
      <c r="FAC50" s="478"/>
      <c r="FAD50" s="478"/>
      <c r="FAE50" s="478"/>
      <c r="FAF50" s="478"/>
      <c r="FAG50" s="478"/>
      <c r="FAH50" s="478"/>
      <c r="FAI50" s="478"/>
      <c r="FAJ50" s="478"/>
      <c r="FAK50" s="478"/>
      <c r="FAL50" s="478"/>
      <c r="FAM50" s="478"/>
      <c r="FAN50" s="478"/>
      <c r="FAO50" s="478"/>
      <c r="FAP50" s="478"/>
      <c r="FAQ50" s="478"/>
      <c r="FAR50" s="478"/>
      <c r="FAS50" s="478"/>
      <c r="FAT50" s="478"/>
      <c r="FAU50" s="478"/>
      <c r="FAV50" s="478"/>
      <c r="FAW50" s="478"/>
      <c r="FAX50" s="478"/>
      <c r="FAY50" s="478"/>
      <c r="FAZ50" s="478"/>
      <c r="FBA50" s="478"/>
      <c r="FBB50" s="478"/>
      <c r="FBC50" s="478"/>
      <c r="FBD50" s="478"/>
      <c r="FBE50" s="478"/>
      <c r="FBF50" s="478"/>
      <c r="FBG50" s="478"/>
      <c r="FBH50" s="478"/>
      <c r="FBI50" s="478"/>
      <c r="FBJ50" s="478"/>
      <c r="FBK50" s="478"/>
      <c r="FBL50" s="478"/>
      <c r="FBM50" s="478"/>
      <c r="FBN50" s="478"/>
      <c r="FBO50" s="478"/>
      <c r="FBP50" s="478"/>
      <c r="FBQ50" s="478"/>
      <c r="FBR50" s="478"/>
      <c r="FBS50" s="478"/>
      <c r="FBT50" s="478"/>
      <c r="FBU50" s="478"/>
      <c r="FBV50" s="478"/>
      <c r="FBW50" s="478"/>
      <c r="FBX50" s="478"/>
      <c r="FBY50" s="478"/>
      <c r="FBZ50" s="478"/>
      <c r="FCA50" s="478"/>
      <c r="FCB50" s="478"/>
      <c r="FCC50" s="478"/>
      <c r="FCD50" s="478"/>
      <c r="FCE50" s="478"/>
      <c r="FCF50" s="478"/>
      <c r="FCG50" s="478"/>
      <c r="FCH50" s="478"/>
      <c r="FCI50" s="478"/>
      <c r="FCJ50" s="478"/>
      <c r="FCK50" s="478"/>
      <c r="FCL50" s="478"/>
      <c r="FCM50" s="478"/>
      <c r="FCN50" s="478"/>
      <c r="FCO50" s="478"/>
      <c r="FCP50" s="478"/>
      <c r="FCQ50" s="478"/>
      <c r="FCR50" s="478"/>
      <c r="FCS50" s="478"/>
      <c r="FCT50" s="478"/>
      <c r="FCU50" s="478"/>
      <c r="FCV50" s="478"/>
      <c r="FCW50" s="478"/>
      <c r="FCX50" s="478"/>
      <c r="FCY50" s="478"/>
      <c r="FCZ50" s="478"/>
      <c r="FDA50" s="478"/>
      <c r="FDB50" s="478"/>
      <c r="FDC50" s="478"/>
      <c r="FDD50" s="478"/>
      <c r="FDE50" s="478"/>
      <c r="FDF50" s="478"/>
      <c r="FDG50" s="478"/>
      <c r="FDH50" s="478"/>
      <c r="FDI50" s="478"/>
      <c r="FDJ50" s="478"/>
      <c r="FDK50" s="478"/>
      <c r="FDL50" s="478"/>
      <c r="FDM50" s="478"/>
      <c r="FDN50" s="478"/>
      <c r="FDO50" s="478"/>
      <c r="FDP50" s="478"/>
      <c r="FDQ50" s="478"/>
      <c r="FDR50" s="478"/>
      <c r="FDS50" s="478"/>
      <c r="FDT50" s="478"/>
      <c r="FDU50" s="478"/>
      <c r="FDV50" s="478"/>
      <c r="FDW50" s="478"/>
      <c r="FDX50" s="478"/>
      <c r="FDY50" s="478"/>
      <c r="FDZ50" s="478"/>
      <c r="FEA50" s="478"/>
      <c r="FEB50" s="478"/>
      <c r="FEC50" s="478"/>
      <c r="FED50" s="478"/>
      <c r="FEE50" s="478"/>
      <c r="FEF50" s="478"/>
      <c r="FEG50" s="478"/>
      <c r="FEH50" s="478"/>
      <c r="FEI50" s="478"/>
      <c r="FEJ50" s="478"/>
      <c r="FEK50" s="478"/>
      <c r="FEL50" s="478"/>
      <c r="FEM50" s="478"/>
      <c r="FEN50" s="478"/>
      <c r="FEO50" s="478"/>
      <c r="FEP50" s="478"/>
      <c r="FEQ50" s="478"/>
      <c r="FER50" s="478"/>
      <c r="FES50" s="478"/>
      <c r="FET50" s="478"/>
      <c r="FEU50" s="478"/>
      <c r="FEV50" s="478"/>
      <c r="FEW50" s="478"/>
      <c r="FEX50" s="478"/>
      <c r="FEY50" s="478"/>
      <c r="FEZ50" s="478"/>
      <c r="FFA50" s="478"/>
      <c r="FFB50" s="478"/>
      <c r="FFC50" s="478"/>
      <c r="FFD50" s="478"/>
      <c r="FFE50" s="478"/>
      <c r="FFF50" s="478"/>
      <c r="FFG50" s="478"/>
      <c r="FFH50" s="478"/>
      <c r="FFI50" s="478"/>
      <c r="FFJ50" s="478"/>
      <c r="FFK50" s="478"/>
      <c r="FFL50" s="478"/>
      <c r="FFM50" s="478"/>
      <c r="FFN50" s="478"/>
      <c r="FFO50" s="478"/>
      <c r="FFP50" s="478"/>
      <c r="FFQ50" s="478"/>
      <c r="FFR50" s="478"/>
      <c r="FFS50" s="478"/>
      <c r="FFT50" s="478"/>
      <c r="FFU50" s="478"/>
      <c r="FFV50" s="478"/>
      <c r="FFW50" s="478"/>
      <c r="FFX50" s="478"/>
      <c r="FFY50" s="478"/>
      <c r="FFZ50" s="478"/>
      <c r="FGA50" s="478"/>
      <c r="FGB50" s="478"/>
      <c r="FGC50" s="478"/>
      <c r="FGD50" s="478"/>
      <c r="FGE50" s="478"/>
      <c r="FGF50" s="478"/>
      <c r="FGG50" s="478"/>
      <c r="FGH50" s="478"/>
      <c r="FGI50" s="478"/>
      <c r="FGJ50" s="478"/>
      <c r="FGK50" s="478"/>
      <c r="FGL50" s="478"/>
      <c r="FGM50" s="478"/>
      <c r="FGN50" s="478"/>
      <c r="FGO50" s="478"/>
      <c r="FGP50" s="478"/>
      <c r="FGQ50" s="478"/>
      <c r="FGR50" s="478"/>
      <c r="FGS50" s="478"/>
      <c r="FGT50" s="478"/>
      <c r="FGU50" s="478"/>
      <c r="FGV50" s="478"/>
      <c r="FGW50" s="478"/>
      <c r="FGX50" s="478"/>
      <c r="FGY50" s="478"/>
      <c r="FGZ50" s="478"/>
      <c r="FHA50" s="478"/>
      <c r="FHB50" s="478"/>
      <c r="FHC50" s="478"/>
      <c r="FHD50" s="478"/>
      <c r="FHE50" s="478"/>
      <c r="FHF50" s="478"/>
      <c r="FHG50" s="478"/>
      <c r="FHH50" s="478"/>
      <c r="FHI50" s="478"/>
      <c r="FHJ50" s="478"/>
      <c r="FHK50" s="478"/>
      <c r="FHL50" s="478"/>
      <c r="FHM50" s="478"/>
      <c r="FHN50" s="478"/>
      <c r="FHO50" s="478"/>
      <c r="FHP50" s="478"/>
      <c r="FHQ50" s="478"/>
      <c r="FHR50" s="478"/>
      <c r="FHS50" s="478"/>
      <c r="FHT50" s="478"/>
      <c r="FHU50" s="478"/>
      <c r="FHV50" s="478"/>
      <c r="FHW50" s="478"/>
      <c r="FHX50" s="478"/>
      <c r="FHY50" s="478"/>
      <c r="FHZ50" s="478"/>
      <c r="FIA50" s="478"/>
      <c r="FIB50" s="478"/>
      <c r="FIC50" s="478"/>
      <c r="FID50" s="478"/>
      <c r="FIE50" s="478"/>
      <c r="FIF50" s="478"/>
      <c r="FIG50" s="478"/>
      <c r="FIH50" s="478"/>
      <c r="FII50" s="478"/>
      <c r="FIJ50" s="478"/>
      <c r="FIK50" s="478"/>
      <c r="FIL50" s="478"/>
      <c r="FIM50" s="478"/>
      <c r="FIN50" s="478"/>
      <c r="FIO50" s="478"/>
      <c r="FIP50" s="478"/>
      <c r="FIQ50" s="478"/>
      <c r="FIR50" s="478"/>
      <c r="FIS50" s="478"/>
      <c r="FIT50" s="478"/>
      <c r="FIU50" s="478"/>
      <c r="FIV50" s="478"/>
      <c r="FIW50" s="478"/>
      <c r="FIX50" s="478"/>
      <c r="FIY50" s="478"/>
      <c r="FIZ50" s="478"/>
      <c r="FJA50" s="478"/>
      <c r="FJB50" s="478"/>
      <c r="FJC50" s="478"/>
      <c r="FJD50" s="478"/>
      <c r="FJE50" s="478"/>
      <c r="FJF50" s="478"/>
      <c r="FJG50" s="478"/>
      <c r="FJH50" s="478"/>
      <c r="FJI50" s="478"/>
      <c r="FJJ50" s="478"/>
      <c r="FJK50" s="478"/>
      <c r="FJL50" s="478"/>
      <c r="FJM50" s="478"/>
      <c r="FJN50" s="478"/>
      <c r="FJO50" s="478"/>
      <c r="FJP50" s="478"/>
      <c r="FJQ50" s="478"/>
      <c r="FJR50" s="478"/>
      <c r="FJS50" s="478"/>
      <c r="FJT50" s="478"/>
      <c r="FJU50" s="478"/>
      <c r="FJV50" s="478"/>
      <c r="FJW50" s="478"/>
      <c r="FJX50" s="478"/>
      <c r="FJY50" s="478"/>
      <c r="FJZ50" s="478"/>
      <c r="FKA50" s="478"/>
      <c r="FKB50" s="478"/>
      <c r="FKC50" s="478"/>
      <c r="FKD50" s="478"/>
      <c r="FKE50" s="478"/>
      <c r="FKF50" s="478"/>
      <c r="FKG50" s="478"/>
      <c r="FKH50" s="478"/>
      <c r="FKI50" s="478"/>
      <c r="FKJ50" s="478"/>
      <c r="FKK50" s="478"/>
      <c r="FKL50" s="478"/>
      <c r="FKM50" s="478"/>
      <c r="FKN50" s="478"/>
      <c r="FKO50" s="478"/>
      <c r="FKP50" s="478"/>
      <c r="FKQ50" s="478"/>
      <c r="FKR50" s="478"/>
      <c r="FKS50" s="478"/>
      <c r="FKT50" s="478"/>
      <c r="FKU50" s="478"/>
      <c r="FKV50" s="478"/>
      <c r="FKW50" s="478"/>
      <c r="FKX50" s="478"/>
      <c r="FKY50" s="478"/>
      <c r="FKZ50" s="478"/>
      <c r="FLA50" s="478"/>
      <c r="FLB50" s="478"/>
      <c r="FLC50" s="478"/>
      <c r="FLD50" s="478"/>
      <c r="FLE50" s="478"/>
      <c r="FLF50" s="478"/>
      <c r="FLG50" s="478"/>
      <c r="FLH50" s="478"/>
      <c r="FLI50" s="478"/>
      <c r="FLJ50" s="478"/>
      <c r="FLK50" s="478"/>
      <c r="FLL50" s="478"/>
      <c r="FLM50" s="478"/>
      <c r="FLN50" s="478"/>
      <c r="FLO50" s="478"/>
      <c r="FLP50" s="478"/>
      <c r="FLQ50" s="478"/>
      <c r="FLR50" s="478"/>
      <c r="FLS50" s="478"/>
      <c r="FLT50" s="478"/>
      <c r="FLU50" s="478"/>
      <c r="FLV50" s="478"/>
      <c r="FLW50" s="478"/>
      <c r="FLX50" s="478"/>
      <c r="FLY50" s="478"/>
      <c r="FLZ50" s="478"/>
      <c r="FMA50" s="478"/>
      <c r="FMB50" s="478"/>
      <c r="FMC50" s="478"/>
      <c r="FMD50" s="478"/>
      <c r="FME50" s="478"/>
      <c r="FMF50" s="478"/>
      <c r="FMG50" s="478"/>
      <c r="FMH50" s="478"/>
      <c r="FMI50" s="478"/>
      <c r="FMJ50" s="478"/>
      <c r="FMK50" s="478"/>
      <c r="FML50" s="478"/>
      <c r="FMM50" s="478"/>
      <c r="FMN50" s="478"/>
      <c r="FMO50" s="478"/>
      <c r="FMP50" s="478"/>
      <c r="FMQ50" s="478"/>
      <c r="FMR50" s="478"/>
      <c r="FMS50" s="478"/>
      <c r="FMT50" s="478"/>
      <c r="FMU50" s="478"/>
      <c r="FMV50" s="478"/>
      <c r="FMW50" s="478"/>
      <c r="FMX50" s="478"/>
      <c r="FMY50" s="478"/>
      <c r="FMZ50" s="478"/>
      <c r="FNA50" s="478"/>
      <c r="FNB50" s="478"/>
      <c r="FNC50" s="478"/>
      <c r="FND50" s="478"/>
      <c r="FNE50" s="478"/>
      <c r="FNF50" s="478"/>
      <c r="FNG50" s="478"/>
      <c r="FNH50" s="478"/>
      <c r="FNI50" s="478"/>
      <c r="FNJ50" s="478"/>
      <c r="FNK50" s="478"/>
      <c r="FNL50" s="478"/>
      <c r="FNM50" s="478"/>
      <c r="FNN50" s="478"/>
      <c r="FNO50" s="478"/>
      <c r="FNP50" s="478"/>
      <c r="FNQ50" s="478"/>
      <c r="FNR50" s="478"/>
      <c r="FNS50" s="478"/>
      <c r="FNT50" s="478"/>
      <c r="FNU50" s="478"/>
      <c r="FNV50" s="478"/>
      <c r="FNW50" s="478"/>
      <c r="FNX50" s="478"/>
      <c r="FNY50" s="478"/>
      <c r="FNZ50" s="478"/>
      <c r="FOA50" s="478"/>
      <c r="FOB50" s="478"/>
      <c r="FOC50" s="478"/>
      <c r="FOD50" s="478"/>
      <c r="FOE50" s="478"/>
      <c r="FOF50" s="478"/>
      <c r="FOG50" s="478"/>
      <c r="FOH50" s="478"/>
      <c r="FOI50" s="478"/>
      <c r="FOJ50" s="478"/>
      <c r="FOK50" s="478"/>
      <c r="FOL50" s="478"/>
      <c r="FOM50" s="478"/>
      <c r="FON50" s="478"/>
      <c r="FOO50" s="478"/>
      <c r="FOP50" s="478"/>
      <c r="FOQ50" s="478"/>
      <c r="FOR50" s="478"/>
      <c r="FOS50" s="478"/>
      <c r="FOT50" s="478"/>
      <c r="FOU50" s="478"/>
      <c r="FOV50" s="478"/>
      <c r="FOW50" s="478"/>
      <c r="FOX50" s="478"/>
      <c r="FOY50" s="478"/>
      <c r="FOZ50" s="478"/>
      <c r="FPA50" s="478"/>
      <c r="FPB50" s="478"/>
      <c r="FPC50" s="478"/>
      <c r="FPD50" s="478"/>
      <c r="FPE50" s="478"/>
      <c r="FPF50" s="478"/>
      <c r="FPG50" s="478"/>
      <c r="FPH50" s="478"/>
      <c r="FPI50" s="478"/>
      <c r="FPJ50" s="478"/>
      <c r="FPK50" s="478"/>
      <c r="FPL50" s="478"/>
      <c r="FPM50" s="478"/>
      <c r="FPN50" s="478"/>
      <c r="FPO50" s="478"/>
      <c r="FPP50" s="478"/>
      <c r="FPQ50" s="478"/>
      <c r="FPR50" s="478"/>
      <c r="FPS50" s="478"/>
      <c r="FPT50" s="478"/>
      <c r="FPU50" s="478"/>
      <c r="FPV50" s="478"/>
      <c r="FPW50" s="478"/>
      <c r="FPX50" s="478"/>
      <c r="FPY50" s="478"/>
      <c r="FPZ50" s="478"/>
      <c r="FQA50" s="478"/>
      <c r="FQB50" s="478"/>
      <c r="FQC50" s="478"/>
      <c r="FQD50" s="478"/>
      <c r="FQE50" s="478"/>
      <c r="FQF50" s="478"/>
      <c r="FQG50" s="478"/>
      <c r="FQH50" s="478"/>
      <c r="FQI50" s="478"/>
      <c r="FQJ50" s="478"/>
      <c r="FQK50" s="478"/>
      <c r="FQL50" s="478"/>
      <c r="FQM50" s="478"/>
      <c r="FQN50" s="478"/>
      <c r="FQO50" s="478"/>
      <c r="FQP50" s="478"/>
      <c r="FQQ50" s="478"/>
      <c r="FQR50" s="478"/>
      <c r="FQS50" s="478"/>
      <c r="FQT50" s="478"/>
      <c r="FQU50" s="478"/>
      <c r="FQV50" s="478"/>
      <c r="FQW50" s="478"/>
      <c r="FQX50" s="478"/>
      <c r="FQY50" s="478"/>
      <c r="FQZ50" s="478"/>
      <c r="FRA50" s="478"/>
      <c r="FRB50" s="478"/>
      <c r="FRC50" s="478"/>
      <c r="FRD50" s="478"/>
      <c r="FRE50" s="478"/>
      <c r="FRF50" s="478"/>
      <c r="FRG50" s="478"/>
      <c r="FRH50" s="478"/>
      <c r="FRI50" s="478"/>
      <c r="FRJ50" s="478"/>
      <c r="FRK50" s="478"/>
      <c r="FRL50" s="478"/>
      <c r="FRM50" s="478"/>
      <c r="FRN50" s="478"/>
      <c r="FRO50" s="478"/>
      <c r="FRP50" s="478"/>
      <c r="FRQ50" s="478"/>
      <c r="FRR50" s="478"/>
      <c r="FRS50" s="478"/>
      <c r="FRT50" s="478"/>
      <c r="FRU50" s="478"/>
      <c r="FRV50" s="478"/>
      <c r="FRW50" s="478"/>
      <c r="FRX50" s="478"/>
      <c r="FRY50" s="478"/>
      <c r="FRZ50" s="478"/>
      <c r="FSA50" s="478"/>
      <c r="FSB50" s="478"/>
      <c r="FSC50" s="478"/>
      <c r="FSD50" s="478"/>
      <c r="FSE50" s="478"/>
      <c r="FSF50" s="478"/>
      <c r="FSG50" s="478"/>
      <c r="FSH50" s="478"/>
      <c r="FSI50" s="478"/>
      <c r="FSJ50" s="478"/>
      <c r="FSK50" s="478"/>
      <c r="FSL50" s="478"/>
      <c r="FSM50" s="478"/>
      <c r="FSN50" s="478"/>
      <c r="FSO50" s="478"/>
      <c r="FSP50" s="478"/>
      <c r="FSQ50" s="478"/>
      <c r="FSR50" s="478"/>
      <c r="FSS50" s="478"/>
      <c r="FST50" s="478"/>
      <c r="FSU50" s="478"/>
      <c r="FSV50" s="478"/>
      <c r="FSW50" s="478"/>
      <c r="FSX50" s="478"/>
      <c r="FSY50" s="478"/>
      <c r="FSZ50" s="478"/>
      <c r="FTA50" s="478"/>
      <c r="FTB50" s="478"/>
      <c r="FTC50" s="478"/>
      <c r="FTD50" s="478"/>
      <c r="FTE50" s="478"/>
      <c r="FTF50" s="478"/>
      <c r="FTG50" s="478"/>
      <c r="FTH50" s="478"/>
      <c r="FTI50" s="478"/>
      <c r="FTJ50" s="478"/>
      <c r="FTK50" s="478"/>
      <c r="FTL50" s="478"/>
      <c r="FTM50" s="478"/>
      <c r="FTN50" s="478"/>
      <c r="FTO50" s="478"/>
      <c r="FTP50" s="478"/>
      <c r="FTQ50" s="478"/>
      <c r="FTR50" s="478"/>
      <c r="FTS50" s="478"/>
      <c r="FTT50" s="478"/>
      <c r="FTU50" s="478"/>
      <c r="FTV50" s="478"/>
      <c r="FTW50" s="478"/>
      <c r="FTX50" s="478"/>
      <c r="FTY50" s="478"/>
      <c r="FTZ50" s="478"/>
      <c r="FUA50" s="478"/>
      <c r="FUB50" s="478"/>
      <c r="FUC50" s="478"/>
      <c r="FUD50" s="478"/>
      <c r="FUE50" s="478"/>
      <c r="FUF50" s="478"/>
      <c r="FUG50" s="478"/>
      <c r="FUH50" s="478"/>
      <c r="FUI50" s="478"/>
      <c r="FUJ50" s="478"/>
      <c r="FUK50" s="478"/>
      <c r="FUL50" s="478"/>
      <c r="FUM50" s="478"/>
      <c r="FUN50" s="478"/>
      <c r="FUO50" s="478"/>
      <c r="FUP50" s="478"/>
      <c r="FUQ50" s="478"/>
      <c r="FUR50" s="478"/>
      <c r="FUS50" s="478"/>
      <c r="FUT50" s="478"/>
      <c r="FUU50" s="478"/>
      <c r="FUV50" s="478"/>
      <c r="FUW50" s="478"/>
      <c r="FUX50" s="478"/>
      <c r="FUY50" s="478"/>
      <c r="FUZ50" s="478"/>
      <c r="FVA50" s="478"/>
      <c r="FVB50" s="478"/>
      <c r="FVC50" s="478"/>
      <c r="FVD50" s="478"/>
      <c r="FVE50" s="478"/>
      <c r="FVF50" s="478"/>
      <c r="FVG50" s="478"/>
      <c r="FVH50" s="478"/>
      <c r="FVI50" s="478"/>
      <c r="FVJ50" s="478"/>
      <c r="FVK50" s="478"/>
      <c r="FVL50" s="478"/>
      <c r="FVM50" s="478"/>
      <c r="FVN50" s="478"/>
      <c r="FVO50" s="478"/>
      <c r="FVP50" s="478"/>
      <c r="FVQ50" s="478"/>
      <c r="FVR50" s="478"/>
      <c r="FVS50" s="478"/>
      <c r="FVT50" s="478"/>
      <c r="FVU50" s="478"/>
      <c r="FVV50" s="478"/>
      <c r="FVW50" s="478"/>
      <c r="FVX50" s="478"/>
      <c r="FVY50" s="478"/>
      <c r="FVZ50" s="478"/>
      <c r="FWA50" s="478"/>
      <c r="FWB50" s="478"/>
      <c r="FWC50" s="478"/>
      <c r="FWD50" s="478"/>
      <c r="FWE50" s="478"/>
      <c r="FWF50" s="478"/>
      <c r="FWG50" s="478"/>
      <c r="FWH50" s="478"/>
      <c r="FWI50" s="478"/>
      <c r="FWJ50" s="478"/>
      <c r="FWK50" s="478"/>
      <c r="FWL50" s="478"/>
      <c r="FWM50" s="478"/>
      <c r="FWN50" s="478"/>
      <c r="FWO50" s="478"/>
      <c r="FWP50" s="478"/>
      <c r="FWQ50" s="478"/>
      <c r="FWR50" s="478"/>
      <c r="FWS50" s="478"/>
      <c r="FWT50" s="478"/>
      <c r="FWU50" s="478"/>
      <c r="FWV50" s="478"/>
      <c r="FWW50" s="478"/>
      <c r="FWX50" s="478"/>
      <c r="FWY50" s="478"/>
      <c r="FWZ50" s="478"/>
      <c r="FXA50" s="478"/>
      <c r="FXB50" s="478"/>
      <c r="FXC50" s="478"/>
      <c r="FXD50" s="478"/>
      <c r="FXE50" s="478"/>
      <c r="FXF50" s="478"/>
      <c r="FXG50" s="478"/>
      <c r="FXH50" s="478"/>
      <c r="FXI50" s="478"/>
      <c r="FXJ50" s="478"/>
      <c r="FXK50" s="478"/>
      <c r="FXL50" s="478"/>
      <c r="FXM50" s="478"/>
      <c r="FXN50" s="478"/>
      <c r="FXO50" s="478"/>
      <c r="FXP50" s="478"/>
      <c r="FXQ50" s="478"/>
      <c r="FXR50" s="478"/>
      <c r="FXS50" s="478"/>
      <c r="FXT50" s="478"/>
      <c r="FXU50" s="478"/>
      <c r="FXV50" s="478"/>
      <c r="FXW50" s="478"/>
      <c r="FXX50" s="478"/>
      <c r="FXY50" s="478"/>
      <c r="FXZ50" s="478"/>
      <c r="FYA50" s="478"/>
      <c r="FYB50" s="478"/>
      <c r="FYC50" s="478"/>
      <c r="FYD50" s="478"/>
      <c r="FYE50" s="478"/>
      <c r="FYF50" s="478"/>
      <c r="FYG50" s="478"/>
      <c r="FYH50" s="478"/>
      <c r="FYI50" s="478"/>
      <c r="FYJ50" s="478"/>
      <c r="FYK50" s="478"/>
      <c r="FYL50" s="478"/>
      <c r="FYM50" s="478"/>
      <c r="FYN50" s="478"/>
      <c r="FYO50" s="478"/>
      <c r="FYP50" s="478"/>
      <c r="FYQ50" s="478"/>
      <c r="FYR50" s="478"/>
      <c r="FYS50" s="478"/>
      <c r="FYT50" s="478"/>
      <c r="FYU50" s="478"/>
      <c r="FYV50" s="478"/>
      <c r="FYW50" s="478"/>
      <c r="FYX50" s="478"/>
      <c r="FYY50" s="478"/>
      <c r="FYZ50" s="478"/>
      <c r="FZA50" s="478"/>
      <c r="FZB50" s="478"/>
      <c r="FZC50" s="478"/>
      <c r="FZD50" s="478"/>
      <c r="FZE50" s="478"/>
      <c r="FZF50" s="478"/>
      <c r="FZG50" s="478"/>
      <c r="FZH50" s="478"/>
      <c r="FZI50" s="478"/>
      <c r="FZJ50" s="478"/>
      <c r="FZK50" s="478"/>
      <c r="FZL50" s="478"/>
      <c r="FZM50" s="478"/>
      <c r="FZN50" s="478"/>
      <c r="FZO50" s="478"/>
      <c r="FZP50" s="478"/>
      <c r="FZQ50" s="478"/>
      <c r="FZR50" s="478"/>
      <c r="FZS50" s="478"/>
      <c r="FZT50" s="478"/>
      <c r="FZU50" s="478"/>
      <c r="FZV50" s="478"/>
      <c r="FZW50" s="478"/>
      <c r="FZX50" s="478"/>
      <c r="FZY50" s="478"/>
      <c r="FZZ50" s="478"/>
      <c r="GAA50" s="478"/>
      <c r="GAB50" s="478"/>
      <c r="GAC50" s="478"/>
      <c r="GAD50" s="478"/>
      <c r="GAE50" s="478"/>
      <c r="GAF50" s="478"/>
      <c r="GAG50" s="478"/>
      <c r="GAH50" s="478"/>
      <c r="GAI50" s="478"/>
      <c r="GAJ50" s="478"/>
      <c r="GAK50" s="478"/>
      <c r="GAL50" s="478"/>
      <c r="GAM50" s="478"/>
      <c r="GAN50" s="478"/>
      <c r="GAO50" s="478"/>
      <c r="GAP50" s="478"/>
      <c r="GAQ50" s="478"/>
      <c r="GAR50" s="478"/>
      <c r="GAS50" s="478"/>
      <c r="GAT50" s="478"/>
      <c r="GAU50" s="478"/>
      <c r="GAV50" s="478"/>
      <c r="GAW50" s="478"/>
      <c r="GAX50" s="478"/>
      <c r="GAY50" s="478"/>
      <c r="GAZ50" s="478"/>
      <c r="GBA50" s="478"/>
      <c r="GBB50" s="478"/>
      <c r="GBC50" s="478"/>
      <c r="GBD50" s="478"/>
      <c r="GBE50" s="478"/>
      <c r="GBF50" s="478"/>
      <c r="GBG50" s="478"/>
      <c r="GBH50" s="478"/>
      <c r="GBI50" s="478"/>
      <c r="GBJ50" s="478"/>
      <c r="GBK50" s="478"/>
      <c r="GBL50" s="478"/>
      <c r="GBM50" s="478"/>
      <c r="GBN50" s="478"/>
      <c r="GBO50" s="478"/>
      <c r="GBP50" s="478"/>
      <c r="GBQ50" s="478"/>
      <c r="GBR50" s="478"/>
      <c r="GBS50" s="478"/>
      <c r="GBT50" s="478"/>
      <c r="GBU50" s="478"/>
      <c r="GBV50" s="478"/>
      <c r="GBW50" s="478"/>
      <c r="GBX50" s="478"/>
      <c r="GBY50" s="478"/>
      <c r="GBZ50" s="478"/>
      <c r="GCA50" s="478"/>
      <c r="GCB50" s="478"/>
      <c r="GCC50" s="478"/>
      <c r="GCD50" s="478"/>
      <c r="GCE50" s="478"/>
      <c r="GCF50" s="478"/>
      <c r="GCG50" s="478"/>
      <c r="GCH50" s="478"/>
      <c r="GCI50" s="478"/>
      <c r="GCJ50" s="478"/>
      <c r="GCK50" s="478"/>
      <c r="GCL50" s="478"/>
      <c r="GCM50" s="478"/>
      <c r="GCN50" s="478"/>
      <c r="GCO50" s="478"/>
      <c r="GCP50" s="478"/>
      <c r="GCQ50" s="478"/>
      <c r="GCR50" s="478"/>
      <c r="GCS50" s="478"/>
      <c r="GCT50" s="478"/>
      <c r="GCU50" s="478"/>
      <c r="GCV50" s="478"/>
      <c r="GCW50" s="478"/>
      <c r="GCX50" s="478"/>
      <c r="GCY50" s="478"/>
      <c r="GCZ50" s="478"/>
      <c r="GDA50" s="478"/>
      <c r="GDB50" s="478"/>
      <c r="GDC50" s="478"/>
      <c r="GDD50" s="478"/>
      <c r="GDE50" s="478"/>
      <c r="GDF50" s="478"/>
      <c r="GDG50" s="478"/>
      <c r="GDH50" s="478"/>
      <c r="GDI50" s="478"/>
      <c r="GDJ50" s="478"/>
      <c r="GDK50" s="478"/>
      <c r="GDL50" s="478"/>
      <c r="GDM50" s="478"/>
      <c r="GDN50" s="478"/>
      <c r="GDO50" s="478"/>
      <c r="GDP50" s="478"/>
      <c r="GDQ50" s="478"/>
      <c r="GDR50" s="478"/>
      <c r="GDS50" s="478"/>
      <c r="GDT50" s="478"/>
      <c r="GDU50" s="478"/>
      <c r="GDV50" s="478"/>
      <c r="GDW50" s="478"/>
      <c r="GDX50" s="478"/>
      <c r="GDY50" s="478"/>
      <c r="GDZ50" s="478"/>
      <c r="GEA50" s="478"/>
      <c r="GEB50" s="478"/>
      <c r="GEC50" s="478"/>
      <c r="GED50" s="478"/>
      <c r="GEE50" s="478"/>
      <c r="GEF50" s="478"/>
      <c r="GEG50" s="478"/>
      <c r="GEH50" s="478"/>
      <c r="GEI50" s="478"/>
      <c r="GEJ50" s="478"/>
      <c r="GEK50" s="478"/>
      <c r="GEL50" s="478"/>
      <c r="GEM50" s="478"/>
      <c r="GEN50" s="478"/>
      <c r="GEO50" s="478"/>
      <c r="GEP50" s="478"/>
      <c r="GEQ50" s="478"/>
      <c r="GER50" s="478"/>
      <c r="GES50" s="478"/>
      <c r="GET50" s="478"/>
      <c r="GEU50" s="478"/>
      <c r="GEV50" s="478"/>
      <c r="GEW50" s="478"/>
      <c r="GEX50" s="478"/>
      <c r="GEY50" s="478"/>
      <c r="GEZ50" s="478"/>
      <c r="GFA50" s="478"/>
      <c r="GFB50" s="478"/>
      <c r="GFC50" s="478"/>
      <c r="GFD50" s="478"/>
      <c r="GFE50" s="478"/>
      <c r="GFF50" s="478"/>
      <c r="GFG50" s="478"/>
      <c r="GFH50" s="478"/>
      <c r="GFI50" s="478"/>
      <c r="GFJ50" s="478"/>
      <c r="GFK50" s="478"/>
      <c r="GFL50" s="478"/>
      <c r="GFM50" s="478"/>
      <c r="GFN50" s="478"/>
      <c r="GFO50" s="478"/>
      <c r="GFP50" s="478"/>
      <c r="GFQ50" s="478"/>
      <c r="GFR50" s="478"/>
      <c r="GFS50" s="478"/>
      <c r="GFT50" s="478"/>
      <c r="GFU50" s="478"/>
      <c r="GFV50" s="478"/>
      <c r="GFW50" s="478"/>
      <c r="GFX50" s="478"/>
      <c r="GFY50" s="478"/>
      <c r="GFZ50" s="478"/>
      <c r="GGA50" s="478"/>
      <c r="GGB50" s="478"/>
      <c r="GGC50" s="478"/>
      <c r="GGD50" s="478"/>
      <c r="GGE50" s="478"/>
      <c r="GGF50" s="478"/>
      <c r="GGG50" s="478"/>
      <c r="GGH50" s="478"/>
      <c r="GGI50" s="478"/>
      <c r="GGJ50" s="478"/>
      <c r="GGK50" s="478"/>
      <c r="GGL50" s="478"/>
      <c r="GGM50" s="478"/>
      <c r="GGN50" s="478"/>
      <c r="GGO50" s="478"/>
      <c r="GGP50" s="478"/>
      <c r="GGQ50" s="478"/>
      <c r="GGR50" s="478"/>
      <c r="GGS50" s="478"/>
      <c r="GGT50" s="478"/>
      <c r="GGU50" s="478"/>
      <c r="GGV50" s="478"/>
      <c r="GGW50" s="478"/>
      <c r="GGX50" s="478"/>
      <c r="GGY50" s="478"/>
      <c r="GGZ50" s="478"/>
      <c r="GHA50" s="478"/>
      <c r="GHB50" s="478"/>
      <c r="GHC50" s="478"/>
      <c r="GHD50" s="478"/>
      <c r="GHE50" s="478"/>
      <c r="GHF50" s="478"/>
      <c r="GHG50" s="478"/>
      <c r="GHH50" s="478"/>
      <c r="GHI50" s="478"/>
      <c r="GHJ50" s="478"/>
      <c r="GHK50" s="478"/>
      <c r="GHL50" s="478"/>
      <c r="GHM50" s="478"/>
      <c r="GHN50" s="478"/>
      <c r="GHO50" s="478"/>
      <c r="GHP50" s="478"/>
      <c r="GHQ50" s="478"/>
      <c r="GHR50" s="478"/>
      <c r="GHS50" s="478"/>
      <c r="GHT50" s="478"/>
      <c r="GHU50" s="478"/>
      <c r="GHV50" s="478"/>
      <c r="GHW50" s="478"/>
      <c r="GHX50" s="478"/>
      <c r="GHY50" s="478"/>
      <c r="GHZ50" s="478"/>
      <c r="GIA50" s="478"/>
      <c r="GIB50" s="478"/>
      <c r="GIC50" s="478"/>
      <c r="GID50" s="478"/>
      <c r="GIE50" s="478"/>
      <c r="GIF50" s="478"/>
      <c r="GIG50" s="478"/>
      <c r="GIH50" s="478"/>
      <c r="GII50" s="478"/>
      <c r="GIJ50" s="478"/>
      <c r="GIK50" s="478"/>
      <c r="GIL50" s="478"/>
      <c r="GIM50" s="478"/>
      <c r="GIN50" s="478"/>
      <c r="GIO50" s="478"/>
      <c r="GIP50" s="478"/>
      <c r="GIQ50" s="478"/>
      <c r="GIR50" s="478"/>
      <c r="GIS50" s="478"/>
      <c r="GIT50" s="478"/>
      <c r="GIU50" s="478"/>
      <c r="GIV50" s="478"/>
      <c r="GIW50" s="478"/>
      <c r="GIX50" s="478"/>
      <c r="GIY50" s="478"/>
      <c r="GIZ50" s="478"/>
      <c r="GJA50" s="478"/>
      <c r="GJB50" s="478"/>
      <c r="GJC50" s="478"/>
      <c r="GJD50" s="478"/>
      <c r="GJE50" s="478"/>
      <c r="GJF50" s="478"/>
      <c r="GJG50" s="478"/>
      <c r="GJH50" s="478"/>
      <c r="GJI50" s="478"/>
      <c r="GJJ50" s="478"/>
      <c r="GJK50" s="478"/>
      <c r="GJL50" s="478"/>
      <c r="GJM50" s="478"/>
      <c r="GJN50" s="478"/>
      <c r="GJO50" s="478"/>
      <c r="GJP50" s="478"/>
      <c r="GJQ50" s="478"/>
      <c r="GJR50" s="478"/>
      <c r="GJS50" s="478"/>
      <c r="GJT50" s="478"/>
      <c r="GJU50" s="478"/>
      <c r="GJV50" s="478"/>
      <c r="GJW50" s="478"/>
      <c r="GJX50" s="478"/>
      <c r="GJY50" s="478"/>
      <c r="GJZ50" s="478"/>
      <c r="GKA50" s="478"/>
      <c r="GKB50" s="478"/>
      <c r="GKC50" s="478"/>
      <c r="GKD50" s="478"/>
      <c r="GKE50" s="478"/>
      <c r="GKF50" s="478"/>
      <c r="GKG50" s="478"/>
      <c r="GKH50" s="478"/>
      <c r="GKI50" s="478"/>
      <c r="GKJ50" s="478"/>
      <c r="GKK50" s="478"/>
      <c r="GKL50" s="478"/>
      <c r="GKM50" s="478"/>
      <c r="GKN50" s="478"/>
      <c r="GKO50" s="478"/>
      <c r="GKP50" s="478"/>
      <c r="GKQ50" s="478"/>
      <c r="GKR50" s="478"/>
      <c r="GKS50" s="478"/>
      <c r="GKT50" s="478"/>
      <c r="GKU50" s="478"/>
      <c r="GKV50" s="478"/>
      <c r="GKW50" s="478"/>
      <c r="GKX50" s="478"/>
      <c r="GKY50" s="478"/>
      <c r="GKZ50" s="478"/>
      <c r="GLA50" s="478"/>
      <c r="GLB50" s="478"/>
      <c r="GLC50" s="478"/>
      <c r="GLD50" s="478"/>
      <c r="GLE50" s="478"/>
      <c r="GLF50" s="478"/>
      <c r="GLG50" s="478"/>
      <c r="GLH50" s="478"/>
      <c r="GLI50" s="478"/>
      <c r="GLJ50" s="478"/>
      <c r="GLK50" s="478"/>
      <c r="GLL50" s="478"/>
      <c r="GLM50" s="478"/>
      <c r="GLN50" s="478"/>
      <c r="GLO50" s="478"/>
      <c r="GLP50" s="478"/>
      <c r="GLQ50" s="478"/>
      <c r="GLR50" s="478"/>
      <c r="GLS50" s="478"/>
      <c r="GLT50" s="478"/>
      <c r="GLU50" s="478"/>
      <c r="GLV50" s="478"/>
      <c r="GLW50" s="478"/>
      <c r="GLX50" s="478"/>
      <c r="GLY50" s="478"/>
      <c r="GLZ50" s="478"/>
      <c r="GMA50" s="478"/>
      <c r="GMB50" s="478"/>
      <c r="GMC50" s="478"/>
      <c r="GMD50" s="478"/>
      <c r="GME50" s="478"/>
      <c r="GMF50" s="478"/>
      <c r="GMG50" s="478"/>
      <c r="GMH50" s="478"/>
      <c r="GMI50" s="478"/>
      <c r="GMJ50" s="478"/>
      <c r="GMK50" s="478"/>
      <c r="GML50" s="478"/>
      <c r="GMM50" s="478"/>
      <c r="GMN50" s="478"/>
      <c r="GMO50" s="478"/>
      <c r="GMP50" s="478"/>
      <c r="GMQ50" s="478"/>
      <c r="GMR50" s="478"/>
      <c r="GMS50" s="478"/>
      <c r="GMT50" s="478"/>
      <c r="GMU50" s="478"/>
      <c r="GMV50" s="478"/>
      <c r="GMW50" s="478"/>
      <c r="GMX50" s="478"/>
      <c r="GMY50" s="478"/>
      <c r="GMZ50" s="478"/>
      <c r="GNA50" s="478"/>
      <c r="GNB50" s="478"/>
      <c r="GNC50" s="478"/>
      <c r="GND50" s="478"/>
      <c r="GNE50" s="478"/>
      <c r="GNF50" s="478"/>
      <c r="GNG50" s="478"/>
      <c r="GNH50" s="478"/>
      <c r="GNI50" s="478"/>
      <c r="GNJ50" s="478"/>
      <c r="GNK50" s="478"/>
      <c r="GNL50" s="478"/>
      <c r="GNM50" s="478"/>
      <c r="GNN50" s="478"/>
      <c r="GNO50" s="478"/>
      <c r="GNP50" s="478"/>
      <c r="GNQ50" s="478"/>
      <c r="GNR50" s="478"/>
      <c r="GNS50" s="478"/>
      <c r="GNT50" s="478"/>
      <c r="GNU50" s="478"/>
      <c r="GNV50" s="478"/>
      <c r="GNW50" s="478"/>
      <c r="GNX50" s="478"/>
      <c r="GNY50" s="478"/>
      <c r="GNZ50" s="478"/>
      <c r="GOA50" s="478"/>
      <c r="GOB50" s="478"/>
      <c r="GOC50" s="478"/>
      <c r="GOD50" s="478"/>
      <c r="GOE50" s="478"/>
      <c r="GOF50" s="478"/>
      <c r="GOG50" s="478"/>
      <c r="GOH50" s="478"/>
      <c r="GOI50" s="478"/>
      <c r="GOJ50" s="478"/>
      <c r="GOK50" s="478"/>
      <c r="GOL50" s="478"/>
      <c r="GOM50" s="478"/>
      <c r="GON50" s="478"/>
      <c r="GOO50" s="478"/>
      <c r="GOP50" s="478"/>
      <c r="GOQ50" s="478"/>
      <c r="GOR50" s="478"/>
      <c r="GOS50" s="478"/>
      <c r="GOT50" s="478"/>
      <c r="GOU50" s="478"/>
      <c r="GOV50" s="478"/>
      <c r="GOW50" s="478"/>
      <c r="GOX50" s="478"/>
      <c r="GOY50" s="478"/>
      <c r="GOZ50" s="478"/>
      <c r="GPA50" s="478"/>
      <c r="GPB50" s="478"/>
      <c r="GPC50" s="478"/>
      <c r="GPD50" s="478"/>
      <c r="GPE50" s="478"/>
      <c r="GPF50" s="478"/>
      <c r="GPG50" s="478"/>
      <c r="GPH50" s="478"/>
      <c r="GPI50" s="478"/>
      <c r="GPJ50" s="478"/>
      <c r="GPK50" s="478"/>
      <c r="GPL50" s="478"/>
      <c r="GPM50" s="478"/>
      <c r="GPN50" s="478"/>
      <c r="GPO50" s="478"/>
      <c r="GPP50" s="478"/>
      <c r="GPQ50" s="478"/>
      <c r="GPR50" s="478"/>
      <c r="GPS50" s="478"/>
      <c r="GPT50" s="478"/>
      <c r="GPU50" s="478"/>
      <c r="GPV50" s="478"/>
      <c r="GPW50" s="478"/>
      <c r="GPX50" s="478"/>
      <c r="GPY50" s="478"/>
      <c r="GPZ50" s="478"/>
      <c r="GQA50" s="478"/>
      <c r="GQB50" s="478"/>
      <c r="GQC50" s="478"/>
      <c r="GQD50" s="478"/>
      <c r="GQE50" s="478"/>
      <c r="GQF50" s="478"/>
      <c r="GQG50" s="478"/>
      <c r="GQH50" s="478"/>
      <c r="GQI50" s="478"/>
      <c r="GQJ50" s="478"/>
      <c r="GQK50" s="478"/>
      <c r="GQL50" s="478"/>
      <c r="GQM50" s="478"/>
      <c r="GQN50" s="478"/>
      <c r="GQO50" s="478"/>
      <c r="GQP50" s="478"/>
      <c r="GQQ50" s="478"/>
      <c r="GQR50" s="478"/>
      <c r="GQS50" s="478"/>
      <c r="GQT50" s="478"/>
      <c r="GQU50" s="478"/>
      <c r="GQV50" s="478"/>
      <c r="GQW50" s="478"/>
      <c r="GQX50" s="478"/>
      <c r="GQY50" s="478"/>
      <c r="GQZ50" s="478"/>
      <c r="GRA50" s="478"/>
      <c r="GRB50" s="478"/>
      <c r="GRC50" s="478"/>
      <c r="GRD50" s="478"/>
      <c r="GRE50" s="478"/>
      <c r="GRF50" s="478"/>
      <c r="GRG50" s="478"/>
      <c r="GRH50" s="478"/>
      <c r="GRI50" s="478"/>
      <c r="GRJ50" s="478"/>
      <c r="GRK50" s="478"/>
      <c r="GRL50" s="478"/>
      <c r="GRM50" s="478"/>
      <c r="GRN50" s="478"/>
      <c r="GRO50" s="478"/>
      <c r="GRP50" s="478"/>
      <c r="GRQ50" s="478"/>
      <c r="GRR50" s="478"/>
      <c r="GRS50" s="478"/>
      <c r="GRT50" s="478"/>
      <c r="GRU50" s="478"/>
      <c r="GRV50" s="478"/>
      <c r="GRW50" s="478"/>
      <c r="GRX50" s="478"/>
      <c r="GRY50" s="478"/>
      <c r="GRZ50" s="478"/>
      <c r="GSA50" s="478"/>
      <c r="GSB50" s="478"/>
      <c r="GSC50" s="478"/>
      <c r="GSD50" s="478"/>
      <c r="GSE50" s="478"/>
      <c r="GSF50" s="478"/>
      <c r="GSG50" s="478"/>
      <c r="GSH50" s="478"/>
      <c r="GSI50" s="478"/>
      <c r="GSJ50" s="478"/>
      <c r="GSK50" s="478"/>
      <c r="GSL50" s="478"/>
      <c r="GSM50" s="478"/>
      <c r="GSN50" s="478"/>
      <c r="GSO50" s="478"/>
      <c r="GSP50" s="478"/>
      <c r="GSQ50" s="478"/>
      <c r="GSR50" s="478"/>
      <c r="GSS50" s="478"/>
      <c r="GST50" s="478"/>
      <c r="GSU50" s="478"/>
      <c r="GSV50" s="478"/>
      <c r="GSW50" s="478"/>
      <c r="GSX50" s="478"/>
      <c r="GSY50" s="478"/>
      <c r="GSZ50" s="478"/>
      <c r="GTA50" s="478"/>
      <c r="GTB50" s="478"/>
      <c r="GTC50" s="478"/>
      <c r="GTD50" s="478"/>
      <c r="GTE50" s="478"/>
      <c r="GTF50" s="478"/>
      <c r="GTG50" s="478"/>
      <c r="GTH50" s="478"/>
      <c r="GTI50" s="478"/>
      <c r="GTJ50" s="478"/>
      <c r="GTK50" s="478"/>
      <c r="GTL50" s="478"/>
      <c r="GTM50" s="478"/>
      <c r="GTN50" s="478"/>
      <c r="GTO50" s="478"/>
      <c r="GTP50" s="478"/>
      <c r="GTQ50" s="478"/>
      <c r="GTR50" s="478"/>
      <c r="GTS50" s="478"/>
      <c r="GTT50" s="478"/>
      <c r="GTU50" s="478"/>
      <c r="GTV50" s="478"/>
      <c r="GTW50" s="478"/>
      <c r="GTX50" s="478"/>
      <c r="GTY50" s="478"/>
      <c r="GTZ50" s="478"/>
      <c r="GUA50" s="478"/>
      <c r="GUB50" s="478"/>
      <c r="GUC50" s="478"/>
      <c r="GUD50" s="478"/>
      <c r="GUE50" s="478"/>
      <c r="GUF50" s="478"/>
      <c r="GUG50" s="478"/>
      <c r="GUH50" s="478"/>
      <c r="GUI50" s="478"/>
      <c r="GUJ50" s="478"/>
      <c r="GUK50" s="478"/>
      <c r="GUL50" s="478"/>
      <c r="GUM50" s="478"/>
      <c r="GUN50" s="478"/>
      <c r="GUO50" s="478"/>
      <c r="GUP50" s="478"/>
      <c r="GUQ50" s="478"/>
      <c r="GUR50" s="478"/>
      <c r="GUS50" s="478"/>
      <c r="GUT50" s="478"/>
      <c r="GUU50" s="478"/>
      <c r="GUV50" s="478"/>
      <c r="GUW50" s="478"/>
      <c r="GUX50" s="478"/>
      <c r="GUY50" s="478"/>
      <c r="GUZ50" s="478"/>
      <c r="GVA50" s="478"/>
      <c r="GVB50" s="478"/>
      <c r="GVC50" s="478"/>
      <c r="GVD50" s="478"/>
      <c r="GVE50" s="478"/>
      <c r="GVF50" s="478"/>
      <c r="GVG50" s="478"/>
      <c r="GVH50" s="478"/>
      <c r="GVI50" s="478"/>
      <c r="GVJ50" s="478"/>
      <c r="GVK50" s="478"/>
      <c r="GVL50" s="478"/>
      <c r="GVM50" s="478"/>
      <c r="GVN50" s="478"/>
      <c r="GVO50" s="478"/>
      <c r="GVP50" s="478"/>
      <c r="GVQ50" s="478"/>
      <c r="GVR50" s="478"/>
      <c r="GVS50" s="478"/>
      <c r="GVT50" s="478"/>
      <c r="GVU50" s="478"/>
      <c r="GVV50" s="478"/>
      <c r="GVW50" s="478"/>
      <c r="GVX50" s="478"/>
      <c r="GVY50" s="478"/>
      <c r="GVZ50" s="478"/>
      <c r="GWA50" s="478"/>
      <c r="GWB50" s="478"/>
      <c r="GWC50" s="478"/>
      <c r="GWD50" s="478"/>
      <c r="GWE50" s="478"/>
      <c r="GWF50" s="478"/>
      <c r="GWG50" s="478"/>
      <c r="GWH50" s="478"/>
      <c r="GWI50" s="478"/>
      <c r="GWJ50" s="478"/>
      <c r="GWK50" s="478"/>
      <c r="GWL50" s="478"/>
      <c r="GWM50" s="478"/>
      <c r="GWN50" s="478"/>
      <c r="GWO50" s="478"/>
      <c r="GWP50" s="478"/>
      <c r="GWQ50" s="478"/>
      <c r="GWR50" s="478"/>
      <c r="GWS50" s="478"/>
      <c r="GWT50" s="478"/>
      <c r="GWU50" s="478"/>
      <c r="GWV50" s="478"/>
      <c r="GWW50" s="478"/>
      <c r="GWX50" s="478"/>
      <c r="GWY50" s="478"/>
      <c r="GWZ50" s="478"/>
      <c r="GXA50" s="478"/>
      <c r="GXB50" s="478"/>
      <c r="GXC50" s="478"/>
      <c r="GXD50" s="478"/>
      <c r="GXE50" s="478"/>
      <c r="GXF50" s="478"/>
      <c r="GXG50" s="478"/>
      <c r="GXH50" s="478"/>
      <c r="GXI50" s="478"/>
      <c r="GXJ50" s="478"/>
      <c r="GXK50" s="478"/>
      <c r="GXL50" s="478"/>
      <c r="GXM50" s="478"/>
      <c r="GXN50" s="478"/>
      <c r="GXO50" s="478"/>
      <c r="GXP50" s="478"/>
      <c r="GXQ50" s="478"/>
      <c r="GXR50" s="478"/>
      <c r="GXS50" s="478"/>
      <c r="GXT50" s="478"/>
      <c r="GXU50" s="478"/>
      <c r="GXV50" s="478"/>
      <c r="GXW50" s="478"/>
      <c r="GXX50" s="478"/>
      <c r="GXY50" s="478"/>
      <c r="GXZ50" s="478"/>
      <c r="GYA50" s="478"/>
      <c r="GYB50" s="478"/>
      <c r="GYC50" s="478"/>
      <c r="GYD50" s="478"/>
      <c r="GYE50" s="478"/>
      <c r="GYF50" s="478"/>
      <c r="GYG50" s="478"/>
      <c r="GYH50" s="478"/>
      <c r="GYI50" s="478"/>
      <c r="GYJ50" s="478"/>
      <c r="GYK50" s="478"/>
      <c r="GYL50" s="478"/>
      <c r="GYM50" s="478"/>
      <c r="GYN50" s="478"/>
      <c r="GYO50" s="478"/>
      <c r="GYP50" s="478"/>
      <c r="GYQ50" s="478"/>
      <c r="GYR50" s="478"/>
      <c r="GYS50" s="478"/>
      <c r="GYT50" s="478"/>
      <c r="GYU50" s="478"/>
      <c r="GYV50" s="478"/>
      <c r="GYW50" s="478"/>
      <c r="GYX50" s="478"/>
      <c r="GYY50" s="478"/>
      <c r="GYZ50" s="478"/>
      <c r="GZA50" s="478"/>
      <c r="GZB50" s="478"/>
      <c r="GZC50" s="478"/>
      <c r="GZD50" s="478"/>
      <c r="GZE50" s="478"/>
      <c r="GZF50" s="478"/>
      <c r="GZG50" s="478"/>
      <c r="GZH50" s="478"/>
      <c r="GZI50" s="478"/>
      <c r="GZJ50" s="478"/>
      <c r="GZK50" s="478"/>
      <c r="GZL50" s="478"/>
      <c r="GZM50" s="478"/>
      <c r="GZN50" s="478"/>
      <c r="GZO50" s="478"/>
      <c r="GZP50" s="478"/>
      <c r="GZQ50" s="478"/>
      <c r="GZR50" s="478"/>
      <c r="GZS50" s="478"/>
      <c r="GZT50" s="478"/>
      <c r="GZU50" s="478"/>
      <c r="GZV50" s="478"/>
      <c r="GZW50" s="478"/>
      <c r="GZX50" s="478"/>
      <c r="GZY50" s="478"/>
      <c r="GZZ50" s="478"/>
      <c r="HAA50" s="478"/>
      <c r="HAB50" s="478"/>
      <c r="HAC50" s="478"/>
      <c r="HAD50" s="478"/>
      <c r="HAE50" s="478"/>
      <c r="HAF50" s="478"/>
      <c r="HAG50" s="478"/>
      <c r="HAH50" s="478"/>
      <c r="HAI50" s="478"/>
      <c r="HAJ50" s="478"/>
      <c r="HAK50" s="478"/>
      <c r="HAL50" s="478"/>
      <c r="HAM50" s="478"/>
      <c r="HAN50" s="478"/>
      <c r="HAO50" s="478"/>
      <c r="HAP50" s="478"/>
      <c r="HAQ50" s="478"/>
      <c r="HAR50" s="478"/>
      <c r="HAS50" s="478"/>
      <c r="HAT50" s="478"/>
      <c r="HAU50" s="478"/>
      <c r="HAV50" s="478"/>
      <c r="HAW50" s="478"/>
      <c r="HAX50" s="478"/>
      <c r="HAY50" s="478"/>
      <c r="HAZ50" s="478"/>
      <c r="HBA50" s="478"/>
      <c r="HBB50" s="478"/>
      <c r="HBC50" s="478"/>
      <c r="HBD50" s="478"/>
      <c r="HBE50" s="478"/>
      <c r="HBF50" s="478"/>
      <c r="HBG50" s="478"/>
      <c r="HBH50" s="478"/>
      <c r="HBI50" s="478"/>
      <c r="HBJ50" s="478"/>
      <c r="HBK50" s="478"/>
      <c r="HBL50" s="478"/>
      <c r="HBM50" s="478"/>
      <c r="HBN50" s="478"/>
      <c r="HBO50" s="478"/>
      <c r="HBP50" s="478"/>
      <c r="HBQ50" s="478"/>
      <c r="HBR50" s="478"/>
      <c r="HBS50" s="478"/>
      <c r="HBT50" s="478"/>
      <c r="HBU50" s="478"/>
      <c r="HBV50" s="478"/>
      <c r="HBW50" s="478"/>
      <c r="HBX50" s="478"/>
      <c r="HBY50" s="478"/>
      <c r="HBZ50" s="478"/>
      <c r="HCA50" s="478"/>
      <c r="HCB50" s="478"/>
      <c r="HCC50" s="478"/>
      <c r="HCD50" s="478"/>
      <c r="HCE50" s="478"/>
      <c r="HCF50" s="478"/>
      <c r="HCG50" s="478"/>
      <c r="HCH50" s="478"/>
      <c r="HCI50" s="478"/>
      <c r="HCJ50" s="478"/>
      <c r="HCK50" s="478"/>
      <c r="HCL50" s="478"/>
      <c r="HCM50" s="478"/>
      <c r="HCN50" s="478"/>
      <c r="HCO50" s="478"/>
      <c r="HCP50" s="478"/>
      <c r="HCQ50" s="478"/>
      <c r="HCR50" s="478"/>
      <c r="HCS50" s="478"/>
      <c r="HCT50" s="478"/>
      <c r="HCU50" s="478"/>
      <c r="HCV50" s="478"/>
      <c r="HCW50" s="478"/>
      <c r="HCX50" s="478"/>
      <c r="HCY50" s="478"/>
      <c r="HCZ50" s="478"/>
      <c r="HDA50" s="478"/>
      <c r="HDB50" s="478"/>
      <c r="HDC50" s="478"/>
      <c r="HDD50" s="478"/>
      <c r="HDE50" s="478"/>
      <c r="HDF50" s="478"/>
      <c r="HDG50" s="478"/>
      <c r="HDH50" s="478"/>
      <c r="HDI50" s="478"/>
      <c r="HDJ50" s="478"/>
      <c r="HDK50" s="478"/>
      <c r="HDL50" s="478"/>
      <c r="HDM50" s="478"/>
      <c r="HDN50" s="478"/>
      <c r="HDO50" s="478"/>
      <c r="HDP50" s="478"/>
      <c r="HDQ50" s="478"/>
      <c r="HDR50" s="478"/>
      <c r="HDS50" s="478"/>
      <c r="HDT50" s="478"/>
      <c r="HDU50" s="478"/>
      <c r="HDV50" s="478"/>
      <c r="HDW50" s="478"/>
      <c r="HDX50" s="478"/>
      <c r="HDY50" s="478"/>
      <c r="HDZ50" s="478"/>
      <c r="HEA50" s="478"/>
      <c r="HEB50" s="478"/>
      <c r="HEC50" s="478"/>
      <c r="HED50" s="478"/>
      <c r="HEE50" s="478"/>
      <c r="HEF50" s="478"/>
      <c r="HEG50" s="478"/>
      <c r="HEH50" s="478"/>
      <c r="HEI50" s="478"/>
      <c r="HEJ50" s="478"/>
      <c r="HEK50" s="478"/>
      <c r="HEL50" s="478"/>
      <c r="HEM50" s="478"/>
      <c r="HEN50" s="478"/>
      <c r="HEO50" s="478"/>
      <c r="HEP50" s="478"/>
      <c r="HEQ50" s="478"/>
      <c r="HER50" s="478"/>
      <c r="HES50" s="478"/>
      <c r="HET50" s="478"/>
      <c r="HEU50" s="478"/>
      <c r="HEV50" s="478"/>
      <c r="HEW50" s="478"/>
      <c r="HEX50" s="478"/>
      <c r="HEY50" s="478"/>
      <c r="HEZ50" s="478"/>
      <c r="HFA50" s="478"/>
      <c r="HFB50" s="478"/>
      <c r="HFC50" s="478"/>
      <c r="HFD50" s="478"/>
      <c r="HFE50" s="478"/>
      <c r="HFF50" s="478"/>
      <c r="HFG50" s="478"/>
      <c r="HFH50" s="478"/>
      <c r="HFI50" s="478"/>
      <c r="HFJ50" s="478"/>
      <c r="HFK50" s="478"/>
      <c r="HFL50" s="478"/>
      <c r="HFM50" s="478"/>
      <c r="HFN50" s="478"/>
      <c r="HFO50" s="478"/>
      <c r="HFP50" s="478"/>
      <c r="HFQ50" s="478"/>
      <c r="HFR50" s="478"/>
      <c r="HFS50" s="478"/>
      <c r="HFT50" s="478"/>
      <c r="HFU50" s="478"/>
      <c r="HFV50" s="478"/>
      <c r="HFW50" s="478"/>
      <c r="HFX50" s="478"/>
      <c r="HFY50" s="478"/>
      <c r="HFZ50" s="478"/>
      <c r="HGA50" s="478"/>
      <c r="HGB50" s="478"/>
      <c r="HGC50" s="478"/>
      <c r="HGD50" s="478"/>
      <c r="HGE50" s="478"/>
      <c r="HGF50" s="478"/>
      <c r="HGG50" s="478"/>
      <c r="HGH50" s="478"/>
      <c r="HGI50" s="478"/>
      <c r="HGJ50" s="478"/>
      <c r="HGK50" s="478"/>
      <c r="HGL50" s="478"/>
      <c r="HGM50" s="478"/>
      <c r="HGN50" s="478"/>
      <c r="HGO50" s="478"/>
      <c r="HGP50" s="478"/>
      <c r="HGQ50" s="478"/>
      <c r="HGR50" s="478"/>
      <c r="HGS50" s="478"/>
      <c r="HGT50" s="478"/>
      <c r="HGU50" s="478"/>
      <c r="HGV50" s="478"/>
      <c r="HGW50" s="478"/>
      <c r="HGX50" s="478"/>
      <c r="HGY50" s="478"/>
      <c r="HGZ50" s="478"/>
      <c r="HHA50" s="478"/>
      <c r="HHB50" s="478"/>
      <c r="HHC50" s="478"/>
      <c r="HHD50" s="478"/>
      <c r="HHE50" s="478"/>
      <c r="HHF50" s="478"/>
      <c r="HHG50" s="478"/>
      <c r="HHH50" s="478"/>
      <c r="HHI50" s="478"/>
      <c r="HHJ50" s="478"/>
      <c r="HHK50" s="478"/>
      <c r="HHL50" s="478"/>
      <c r="HHM50" s="478"/>
      <c r="HHN50" s="478"/>
      <c r="HHO50" s="478"/>
      <c r="HHP50" s="478"/>
      <c r="HHQ50" s="478"/>
      <c r="HHR50" s="478"/>
      <c r="HHS50" s="478"/>
      <c r="HHT50" s="478"/>
      <c r="HHU50" s="478"/>
      <c r="HHV50" s="478"/>
      <c r="HHW50" s="478"/>
      <c r="HHX50" s="478"/>
      <c r="HHY50" s="478"/>
      <c r="HHZ50" s="478"/>
      <c r="HIA50" s="478"/>
      <c r="HIB50" s="478"/>
      <c r="HIC50" s="478"/>
      <c r="HID50" s="478"/>
      <c r="HIE50" s="478"/>
      <c r="HIF50" s="478"/>
      <c r="HIG50" s="478"/>
      <c r="HIH50" s="478"/>
      <c r="HII50" s="478"/>
      <c r="HIJ50" s="478"/>
      <c r="HIK50" s="478"/>
      <c r="HIL50" s="478"/>
      <c r="HIM50" s="478"/>
      <c r="HIN50" s="478"/>
      <c r="HIO50" s="478"/>
      <c r="HIP50" s="478"/>
      <c r="HIQ50" s="478"/>
      <c r="HIR50" s="478"/>
      <c r="HIS50" s="478"/>
      <c r="HIT50" s="478"/>
      <c r="HIU50" s="478"/>
      <c r="HIV50" s="478"/>
      <c r="HIW50" s="478"/>
      <c r="HIX50" s="478"/>
      <c r="HIY50" s="478"/>
      <c r="HIZ50" s="478"/>
      <c r="HJA50" s="478"/>
      <c r="HJB50" s="478"/>
      <c r="HJC50" s="478"/>
      <c r="HJD50" s="478"/>
      <c r="HJE50" s="478"/>
      <c r="HJF50" s="478"/>
      <c r="HJG50" s="478"/>
      <c r="HJH50" s="478"/>
      <c r="HJI50" s="478"/>
      <c r="HJJ50" s="478"/>
      <c r="HJK50" s="478"/>
      <c r="HJL50" s="478"/>
      <c r="HJM50" s="478"/>
      <c r="HJN50" s="478"/>
      <c r="HJO50" s="478"/>
      <c r="HJP50" s="478"/>
      <c r="HJQ50" s="478"/>
      <c r="HJR50" s="478"/>
      <c r="HJS50" s="478"/>
      <c r="HJT50" s="478"/>
      <c r="HJU50" s="478"/>
      <c r="HJV50" s="478"/>
      <c r="HJW50" s="478"/>
      <c r="HJX50" s="478"/>
      <c r="HJY50" s="478"/>
      <c r="HJZ50" s="478"/>
      <c r="HKA50" s="478"/>
      <c r="HKB50" s="478"/>
      <c r="HKC50" s="478"/>
      <c r="HKD50" s="478"/>
      <c r="HKE50" s="478"/>
      <c r="HKF50" s="478"/>
      <c r="HKG50" s="478"/>
      <c r="HKH50" s="478"/>
      <c r="HKI50" s="478"/>
      <c r="HKJ50" s="478"/>
      <c r="HKK50" s="478"/>
      <c r="HKL50" s="478"/>
      <c r="HKM50" s="478"/>
      <c r="HKN50" s="478"/>
      <c r="HKO50" s="478"/>
      <c r="HKP50" s="478"/>
      <c r="HKQ50" s="478"/>
      <c r="HKR50" s="478"/>
      <c r="HKS50" s="478"/>
      <c r="HKT50" s="478"/>
      <c r="HKU50" s="478"/>
      <c r="HKV50" s="478"/>
      <c r="HKW50" s="478"/>
      <c r="HKX50" s="478"/>
      <c r="HKY50" s="478"/>
      <c r="HKZ50" s="478"/>
      <c r="HLA50" s="478"/>
      <c r="HLB50" s="478"/>
      <c r="HLC50" s="478"/>
      <c r="HLD50" s="478"/>
      <c r="HLE50" s="478"/>
      <c r="HLF50" s="478"/>
      <c r="HLG50" s="478"/>
      <c r="HLH50" s="478"/>
      <c r="HLI50" s="478"/>
      <c r="HLJ50" s="478"/>
      <c r="HLK50" s="478"/>
      <c r="HLL50" s="478"/>
      <c r="HLM50" s="478"/>
      <c r="HLN50" s="478"/>
      <c r="HLO50" s="478"/>
      <c r="HLP50" s="478"/>
      <c r="HLQ50" s="478"/>
      <c r="HLR50" s="478"/>
      <c r="HLS50" s="478"/>
      <c r="HLT50" s="478"/>
      <c r="HLU50" s="478"/>
      <c r="HLV50" s="478"/>
      <c r="HLW50" s="478"/>
      <c r="HLX50" s="478"/>
      <c r="HLY50" s="478"/>
      <c r="HLZ50" s="478"/>
      <c r="HMA50" s="478"/>
      <c r="HMB50" s="478"/>
      <c r="HMC50" s="478"/>
      <c r="HMD50" s="478"/>
      <c r="HME50" s="478"/>
      <c r="HMF50" s="478"/>
      <c r="HMG50" s="478"/>
      <c r="HMH50" s="478"/>
      <c r="HMI50" s="478"/>
      <c r="HMJ50" s="478"/>
      <c r="HMK50" s="478"/>
      <c r="HML50" s="478"/>
      <c r="HMM50" s="478"/>
      <c r="HMN50" s="478"/>
      <c r="HMO50" s="478"/>
      <c r="HMP50" s="478"/>
      <c r="HMQ50" s="478"/>
      <c r="HMR50" s="478"/>
      <c r="HMS50" s="478"/>
      <c r="HMT50" s="478"/>
      <c r="HMU50" s="478"/>
      <c r="HMV50" s="478"/>
      <c r="HMW50" s="478"/>
      <c r="HMX50" s="478"/>
      <c r="HMY50" s="478"/>
      <c r="HMZ50" s="478"/>
      <c r="HNA50" s="478"/>
      <c r="HNB50" s="478"/>
      <c r="HNC50" s="478"/>
      <c r="HND50" s="478"/>
      <c r="HNE50" s="478"/>
      <c r="HNF50" s="478"/>
      <c r="HNG50" s="478"/>
      <c r="HNH50" s="478"/>
      <c r="HNI50" s="478"/>
      <c r="HNJ50" s="478"/>
      <c r="HNK50" s="478"/>
      <c r="HNL50" s="478"/>
      <c r="HNM50" s="478"/>
      <c r="HNN50" s="478"/>
      <c r="HNO50" s="478"/>
      <c r="HNP50" s="478"/>
      <c r="HNQ50" s="478"/>
      <c r="HNR50" s="478"/>
      <c r="HNS50" s="478"/>
      <c r="HNT50" s="478"/>
      <c r="HNU50" s="478"/>
      <c r="HNV50" s="478"/>
      <c r="HNW50" s="478"/>
      <c r="HNX50" s="478"/>
      <c r="HNY50" s="478"/>
      <c r="HNZ50" s="478"/>
      <c r="HOA50" s="478"/>
      <c r="HOB50" s="478"/>
      <c r="HOC50" s="478"/>
      <c r="HOD50" s="478"/>
      <c r="HOE50" s="478"/>
      <c r="HOF50" s="478"/>
      <c r="HOG50" s="478"/>
      <c r="HOH50" s="478"/>
      <c r="HOI50" s="478"/>
      <c r="HOJ50" s="478"/>
      <c r="HOK50" s="478"/>
      <c r="HOL50" s="478"/>
      <c r="HOM50" s="478"/>
      <c r="HON50" s="478"/>
      <c r="HOO50" s="478"/>
      <c r="HOP50" s="478"/>
      <c r="HOQ50" s="478"/>
      <c r="HOR50" s="478"/>
      <c r="HOS50" s="478"/>
      <c r="HOT50" s="478"/>
      <c r="HOU50" s="478"/>
      <c r="HOV50" s="478"/>
      <c r="HOW50" s="478"/>
      <c r="HOX50" s="478"/>
      <c r="HOY50" s="478"/>
      <c r="HOZ50" s="478"/>
      <c r="HPA50" s="478"/>
      <c r="HPB50" s="478"/>
      <c r="HPC50" s="478"/>
      <c r="HPD50" s="478"/>
      <c r="HPE50" s="478"/>
      <c r="HPF50" s="478"/>
      <c r="HPG50" s="478"/>
      <c r="HPH50" s="478"/>
      <c r="HPI50" s="478"/>
      <c r="HPJ50" s="478"/>
      <c r="HPK50" s="478"/>
      <c r="HPL50" s="478"/>
      <c r="HPM50" s="478"/>
      <c r="HPN50" s="478"/>
      <c r="HPO50" s="478"/>
      <c r="HPP50" s="478"/>
      <c r="HPQ50" s="478"/>
      <c r="HPR50" s="478"/>
      <c r="HPS50" s="478"/>
      <c r="HPT50" s="478"/>
      <c r="HPU50" s="478"/>
      <c r="HPV50" s="478"/>
      <c r="HPW50" s="478"/>
      <c r="HPX50" s="478"/>
      <c r="HPY50" s="478"/>
      <c r="HPZ50" s="478"/>
      <c r="HQA50" s="478"/>
      <c r="HQB50" s="478"/>
      <c r="HQC50" s="478"/>
      <c r="HQD50" s="478"/>
      <c r="HQE50" s="478"/>
      <c r="HQF50" s="478"/>
      <c r="HQG50" s="478"/>
      <c r="HQH50" s="478"/>
      <c r="HQI50" s="478"/>
      <c r="HQJ50" s="478"/>
      <c r="HQK50" s="478"/>
      <c r="HQL50" s="478"/>
      <c r="HQM50" s="478"/>
      <c r="HQN50" s="478"/>
      <c r="HQO50" s="478"/>
      <c r="HQP50" s="478"/>
      <c r="HQQ50" s="478"/>
      <c r="HQR50" s="478"/>
      <c r="HQS50" s="478"/>
      <c r="HQT50" s="478"/>
      <c r="HQU50" s="478"/>
      <c r="HQV50" s="478"/>
      <c r="HQW50" s="478"/>
      <c r="HQX50" s="478"/>
      <c r="HQY50" s="478"/>
      <c r="HQZ50" s="478"/>
      <c r="HRA50" s="478"/>
      <c r="HRB50" s="478"/>
      <c r="HRC50" s="478"/>
      <c r="HRD50" s="478"/>
      <c r="HRE50" s="478"/>
      <c r="HRF50" s="478"/>
      <c r="HRG50" s="478"/>
      <c r="HRH50" s="478"/>
      <c r="HRI50" s="478"/>
      <c r="HRJ50" s="478"/>
      <c r="HRK50" s="478"/>
      <c r="HRL50" s="478"/>
      <c r="HRM50" s="478"/>
      <c r="HRN50" s="478"/>
      <c r="HRO50" s="478"/>
      <c r="HRP50" s="478"/>
      <c r="HRQ50" s="478"/>
      <c r="HRR50" s="478"/>
      <c r="HRS50" s="478"/>
      <c r="HRT50" s="478"/>
      <c r="HRU50" s="478"/>
      <c r="HRV50" s="478"/>
      <c r="HRW50" s="478"/>
      <c r="HRX50" s="478"/>
      <c r="HRY50" s="478"/>
      <c r="HRZ50" s="478"/>
      <c r="HSA50" s="478"/>
      <c r="HSB50" s="478"/>
      <c r="HSC50" s="478"/>
      <c r="HSD50" s="478"/>
      <c r="HSE50" s="478"/>
      <c r="HSF50" s="478"/>
      <c r="HSG50" s="478"/>
      <c r="HSH50" s="478"/>
      <c r="HSI50" s="478"/>
      <c r="HSJ50" s="478"/>
      <c r="HSK50" s="478"/>
      <c r="HSL50" s="478"/>
      <c r="HSM50" s="478"/>
      <c r="HSN50" s="478"/>
      <c r="HSO50" s="478"/>
      <c r="HSP50" s="478"/>
      <c r="HSQ50" s="478"/>
      <c r="HSR50" s="478"/>
      <c r="HSS50" s="478"/>
      <c r="HST50" s="478"/>
      <c r="HSU50" s="478"/>
      <c r="HSV50" s="478"/>
      <c r="HSW50" s="478"/>
      <c r="HSX50" s="478"/>
      <c r="HSY50" s="478"/>
      <c r="HSZ50" s="478"/>
      <c r="HTA50" s="478"/>
      <c r="HTB50" s="478"/>
      <c r="HTC50" s="478"/>
      <c r="HTD50" s="478"/>
      <c r="HTE50" s="478"/>
      <c r="HTF50" s="478"/>
      <c r="HTG50" s="478"/>
      <c r="HTH50" s="478"/>
      <c r="HTI50" s="478"/>
      <c r="HTJ50" s="478"/>
      <c r="HTK50" s="478"/>
      <c r="HTL50" s="478"/>
      <c r="HTM50" s="478"/>
      <c r="HTN50" s="478"/>
      <c r="HTO50" s="478"/>
      <c r="HTP50" s="478"/>
      <c r="HTQ50" s="478"/>
      <c r="HTR50" s="478"/>
      <c r="HTS50" s="478"/>
      <c r="HTT50" s="478"/>
      <c r="HTU50" s="478"/>
      <c r="HTV50" s="478"/>
      <c r="HTW50" s="478"/>
      <c r="HTX50" s="478"/>
      <c r="HTY50" s="478"/>
      <c r="HTZ50" s="478"/>
      <c r="HUA50" s="478"/>
      <c r="HUB50" s="478"/>
      <c r="HUC50" s="478"/>
      <c r="HUD50" s="478"/>
      <c r="HUE50" s="478"/>
      <c r="HUF50" s="478"/>
      <c r="HUG50" s="478"/>
      <c r="HUH50" s="478"/>
      <c r="HUI50" s="478"/>
      <c r="HUJ50" s="478"/>
      <c r="HUK50" s="478"/>
      <c r="HUL50" s="478"/>
      <c r="HUM50" s="478"/>
      <c r="HUN50" s="478"/>
      <c r="HUO50" s="478"/>
      <c r="HUP50" s="478"/>
      <c r="HUQ50" s="478"/>
      <c r="HUR50" s="478"/>
      <c r="HUS50" s="478"/>
      <c r="HUT50" s="478"/>
      <c r="HUU50" s="478"/>
      <c r="HUV50" s="478"/>
      <c r="HUW50" s="478"/>
      <c r="HUX50" s="478"/>
      <c r="HUY50" s="478"/>
      <c r="HUZ50" s="478"/>
      <c r="HVA50" s="478"/>
      <c r="HVB50" s="478"/>
      <c r="HVC50" s="478"/>
      <c r="HVD50" s="478"/>
      <c r="HVE50" s="478"/>
      <c r="HVF50" s="478"/>
      <c r="HVG50" s="478"/>
      <c r="HVH50" s="478"/>
      <c r="HVI50" s="478"/>
      <c r="HVJ50" s="478"/>
      <c r="HVK50" s="478"/>
      <c r="HVL50" s="478"/>
      <c r="HVM50" s="478"/>
      <c r="HVN50" s="478"/>
      <c r="HVO50" s="478"/>
      <c r="HVP50" s="478"/>
      <c r="HVQ50" s="478"/>
      <c r="HVR50" s="478"/>
      <c r="HVS50" s="478"/>
      <c r="HVT50" s="478"/>
      <c r="HVU50" s="478"/>
      <c r="HVV50" s="478"/>
      <c r="HVW50" s="478"/>
      <c r="HVX50" s="478"/>
      <c r="HVY50" s="478"/>
      <c r="HVZ50" s="478"/>
      <c r="HWA50" s="478"/>
      <c r="HWB50" s="478"/>
      <c r="HWC50" s="478"/>
      <c r="HWD50" s="478"/>
      <c r="HWE50" s="478"/>
      <c r="HWF50" s="478"/>
      <c r="HWG50" s="478"/>
      <c r="HWH50" s="478"/>
      <c r="HWI50" s="478"/>
      <c r="HWJ50" s="478"/>
      <c r="HWK50" s="478"/>
      <c r="HWL50" s="478"/>
      <c r="HWM50" s="478"/>
      <c r="HWN50" s="478"/>
      <c r="HWO50" s="478"/>
      <c r="HWP50" s="478"/>
      <c r="HWQ50" s="478"/>
      <c r="HWR50" s="478"/>
      <c r="HWS50" s="478"/>
      <c r="HWT50" s="478"/>
      <c r="HWU50" s="478"/>
      <c r="HWV50" s="478"/>
      <c r="HWW50" s="478"/>
      <c r="HWX50" s="478"/>
      <c r="HWY50" s="478"/>
      <c r="HWZ50" s="478"/>
      <c r="HXA50" s="478"/>
      <c r="HXB50" s="478"/>
      <c r="HXC50" s="478"/>
      <c r="HXD50" s="478"/>
      <c r="HXE50" s="478"/>
      <c r="HXF50" s="478"/>
      <c r="HXG50" s="478"/>
      <c r="HXH50" s="478"/>
      <c r="HXI50" s="478"/>
      <c r="HXJ50" s="478"/>
      <c r="HXK50" s="478"/>
      <c r="HXL50" s="478"/>
      <c r="HXM50" s="478"/>
      <c r="HXN50" s="478"/>
      <c r="HXO50" s="478"/>
      <c r="HXP50" s="478"/>
      <c r="HXQ50" s="478"/>
      <c r="HXR50" s="478"/>
      <c r="HXS50" s="478"/>
      <c r="HXT50" s="478"/>
      <c r="HXU50" s="478"/>
      <c r="HXV50" s="478"/>
      <c r="HXW50" s="478"/>
      <c r="HXX50" s="478"/>
      <c r="HXY50" s="478"/>
      <c r="HXZ50" s="478"/>
      <c r="HYA50" s="478"/>
      <c r="HYB50" s="478"/>
      <c r="HYC50" s="478"/>
      <c r="HYD50" s="478"/>
      <c r="HYE50" s="478"/>
      <c r="HYF50" s="478"/>
      <c r="HYG50" s="478"/>
      <c r="HYH50" s="478"/>
      <c r="HYI50" s="478"/>
      <c r="HYJ50" s="478"/>
      <c r="HYK50" s="478"/>
      <c r="HYL50" s="478"/>
      <c r="HYM50" s="478"/>
      <c r="HYN50" s="478"/>
      <c r="HYO50" s="478"/>
      <c r="HYP50" s="478"/>
      <c r="HYQ50" s="478"/>
      <c r="HYR50" s="478"/>
      <c r="HYS50" s="478"/>
      <c r="HYT50" s="478"/>
      <c r="HYU50" s="478"/>
      <c r="HYV50" s="478"/>
      <c r="HYW50" s="478"/>
      <c r="HYX50" s="478"/>
      <c r="HYY50" s="478"/>
      <c r="HYZ50" s="478"/>
      <c r="HZA50" s="478"/>
      <c r="HZB50" s="478"/>
      <c r="HZC50" s="478"/>
      <c r="HZD50" s="478"/>
      <c r="HZE50" s="478"/>
      <c r="HZF50" s="478"/>
      <c r="HZG50" s="478"/>
      <c r="HZH50" s="478"/>
      <c r="HZI50" s="478"/>
      <c r="HZJ50" s="478"/>
      <c r="HZK50" s="478"/>
      <c r="HZL50" s="478"/>
      <c r="HZM50" s="478"/>
      <c r="HZN50" s="478"/>
      <c r="HZO50" s="478"/>
      <c r="HZP50" s="478"/>
      <c r="HZQ50" s="478"/>
      <c r="HZR50" s="478"/>
      <c r="HZS50" s="478"/>
      <c r="HZT50" s="478"/>
      <c r="HZU50" s="478"/>
      <c r="HZV50" s="478"/>
      <c r="HZW50" s="478"/>
      <c r="HZX50" s="478"/>
      <c r="HZY50" s="478"/>
      <c r="HZZ50" s="478"/>
      <c r="IAA50" s="478"/>
      <c r="IAB50" s="478"/>
      <c r="IAC50" s="478"/>
      <c r="IAD50" s="478"/>
      <c r="IAE50" s="478"/>
      <c r="IAF50" s="478"/>
      <c r="IAG50" s="478"/>
      <c r="IAH50" s="478"/>
      <c r="IAI50" s="478"/>
      <c r="IAJ50" s="478"/>
      <c r="IAK50" s="478"/>
      <c r="IAL50" s="478"/>
      <c r="IAM50" s="478"/>
      <c r="IAN50" s="478"/>
      <c r="IAO50" s="478"/>
      <c r="IAP50" s="478"/>
      <c r="IAQ50" s="478"/>
      <c r="IAR50" s="478"/>
      <c r="IAS50" s="478"/>
      <c r="IAT50" s="478"/>
      <c r="IAU50" s="478"/>
      <c r="IAV50" s="478"/>
      <c r="IAW50" s="478"/>
      <c r="IAX50" s="478"/>
      <c r="IAY50" s="478"/>
      <c r="IAZ50" s="478"/>
      <c r="IBA50" s="478"/>
      <c r="IBB50" s="478"/>
      <c r="IBC50" s="478"/>
      <c r="IBD50" s="478"/>
      <c r="IBE50" s="478"/>
      <c r="IBF50" s="478"/>
      <c r="IBG50" s="478"/>
      <c r="IBH50" s="478"/>
      <c r="IBI50" s="478"/>
      <c r="IBJ50" s="478"/>
      <c r="IBK50" s="478"/>
      <c r="IBL50" s="478"/>
      <c r="IBM50" s="478"/>
      <c r="IBN50" s="478"/>
      <c r="IBO50" s="478"/>
      <c r="IBP50" s="478"/>
      <c r="IBQ50" s="478"/>
      <c r="IBR50" s="478"/>
      <c r="IBS50" s="478"/>
      <c r="IBT50" s="478"/>
      <c r="IBU50" s="478"/>
      <c r="IBV50" s="478"/>
      <c r="IBW50" s="478"/>
      <c r="IBX50" s="478"/>
      <c r="IBY50" s="478"/>
      <c r="IBZ50" s="478"/>
      <c r="ICA50" s="478"/>
      <c r="ICB50" s="478"/>
      <c r="ICC50" s="478"/>
      <c r="ICD50" s="478"/>
      <c r="ICE50" s="478"/>
      <c r="ICF50" s="478"/>
      <c r="ICG50" s="478"/>
      <c r="ICH50" s="478"/>
      <c r="ICI50" s="478"/>
      <c r="ICJ50" s="478"/>
      <c r="ICK50" s="478"/>
      <c r="ICL50" s="478"/>
      <c r="ICM50" s="478"/>
      <c r="ICN50" s="478"/>
      <c r="ICO50" s="478"/>
      <c r="ICP50" s="478"/>
      <c r="ICQ50" s="478"/>
      <c r="ICR50" s="478"/>
      <c r="ICS50" s="478"/>
      <c r="ICT50" s="478"/>
      <c r="ICU50" s="478"/>
      <c r="ICV50" s="478"/>
      <c r="ICW50" s="478"/>
      <c r="ICX50" s="478"/>
      <c r="ICY50" s="478"/>
      <c r="ICZ50" s="478"/>
      <c r="IDA50" s="478"/>
      <c r="IDB50" s="478"/>
      <c r="IDC50" s="478"/>
      <c r="IDD50" s="478"/>
      <c r="IDE50" s="478"/>
      <c r="IDF50" s="478"/>
      <c r="IDG50" s="478"/>
      <c r="IDH50" s="478"/>
      <c r="IDI50" s="478"/>
      <c r="IDJ50" s="478"/>
      <c r="IDK50" s="478"/>
      <c r="IDL50" s="478"/>
      <c r="IDM50" s="478"/>
      <c r="IDN50" s="478"/>
      <c r="IDO50" s="478"/>
      <c r="IDP50" s="478"/>
      <c r="IDQ50" s="478"/>
      <c r="IDR50" s="478"/>
      <c r="IDS50" s="478"/>
      <c r="IDT50" s="478"/>
      <c r="IDU50" s="478"/>
      <c r="IDV50" s="478"/>
      <c r="IDW50" s="478"/>
      <c r="IDX50" s="478"/>
      <c r="IDY50" s="478"/>
      <c r="IDZ50" s="478"/>
      <c r="IEA50" s="478"/>
      <c r="IEB50" s="478"/>
      <c r="IEC50" s="478"/>
      <c r="IED50" s="478"/>
      <c r="IEE50" s="478"/>
      <c r="IEF50" s="478"/>
      <c r="IEG50" s="478"/>
      <c r="IEH50" s="478"/>
      <c r="IEI50" s="478"/>
      <c r="IEJ50" s="478"/>
      <c r="IEK50" s="478"/>
      <c r="IEL50" s="478"/>
      <c r="IEM50" s="478"/>
      <c r="IEN50" s="478"/>
      <c r="IEO50" s="478"/>
      <c r="IEP50" s="478"/>
      <c r="IEQ50" s="478"/>
      <c r="IER50" s="478"/>
      <c r="IES50" s="478"/>
      <c r="IET50" s="478"/>
      <c r="IEU50" s="478"/>
      <c r="IEV50" s="478"/>
      <c r="IEW50" s="478"/>
      <c r="IEX50" s="478"/>
      <c r="IEY50" s="478"/>
      <c r="IEZ50" s="478"/>
      <c r="IFA50" s="478"/>
      <c r="IFB50" s="478"/>
      <c r="IFC50" s="478"/>
      <c r="IFD50" s="478"/>
      <c r="IFE50" s="478"/>
      <c r="IFF50" s="478"/>
      <c r="IFG50" s="478"/>
      <c r="IFH50" s="478"/>
      <c r="IFI50" s="478"/>
      <c r="IFJ50" s="478"/>
      <c r="IFK50" s="478"/>
      <c r="IFL50" s="478"/>
      <c r="IFM50" s="478"/>
      <c r="IFN50" s="478"/>
      <c r="IFO50" s="478"/>
      <c r="IFP50" s="478"/>
      <c r="IFQ50" s="478"/>
      <c r="IFR50" s="478"/>
      <c r="IFS50" s="478"/>
      <c r="IFT50" s="478"/>
      <c r="IFU50" s="478"/>
      <c r="IFV50" s="478"/>
      <c r="IFW50" s="478"/>
      <c r="IFX50" s="478"/>
      <c r="IFY50" s="478"/>
      <c r="IFZ50" s="478"/>
      <c r="IGA50" s="478"/>
      <c r="IGB50" s="478"/>
      <c r="IGC50" s="478"/>
      <c r="IGD50" s="478"/>
      <c r="IGE50" s="478"/>
      <c r="IGF50" s="478"/>
      <c r="IGG50" s="478"/>
      <c r="IGH50" s="478"/>
      <c r="IGI50" s="478"/>
      <c r="IGJ50" s="478"/>
      <c r="IGK50" s="478"/>
      <c r="IGL50" s="478"/>
      <c r="IGM50" s="478"/>
      <c r="IGN50" s="478"/>
      <c r="IGO50" s="478"/>
      <c r="IGP50" s="478"/>
      <c r="IGQ50" s="478"/>
      <c r="IGR50" s="478"/>
      <c r="IGS50" s="478"/>
      <c r="IGT50" s="478"/>
      <c r="IGU50" s="478"/>
      <c r="IGV50" s="478"/>
      <c r="IGW50" s="478"/>
      <c r="IGX50" s="478"/>
      <c r="IGY50" s="478"/>
      <c r="IGZ50" s="478"/>
      <c r="IHA50" s="478"/>
      <c r="IHB50" s="478"/>
      <c r="IHC50" s="478"/>
      <c r="IHD50" s="478"/>
      <c r="IHE50" s="478"/>
      <c r="IHF50" s="478"/>
      <c r="IHG50" s="478"/>
      <c r="IHH50" s="478"/>
      <c r="IHI50" s="478"/>
      <c r="IHJ50" s="478"/>
      <c r="IHK50" s="478"/>
      <c r="IHL50" s="478"/>
      <c r="IHM50" s="478"/>
      <c r="IHN50" s="478"/>
      <c r="IHO50" s="478"/>
      <c r="IHP50" s="478"/>
      <c r="IHQ50" s="478"/>
      <c r="IHR50" s="478"/>
      <c r="IHS50" s="478"/>
      <c r="IHT50" s="478"/>
      <c r="IHU50" s="478"/>
      <c r="IHV50" s="478"/>
      <c r="IHW50" s="478"/>
      <c r="IHX50" s="478"/>
      <c r="IHY50" s="478"/>
      <c r="IHZ50" s="478"/>
      <c r="IIA50" s="478"/>
      <c r="IIB50" s="478"/>
      <c r="IIC50" s="478"/>
      <c r="IID50" s="478"/>
      <c r="IIE50" s="478"/>
      <c r="IIF50" s="478"/>
      <c r="IIG50" s="478"/>
      <c r="IIH50" s="478"/>
      <c r="III50" s="478"/>
      <c r="IIJ50" s="478"/>
      <c r="IIK50" s="478"/>
      <c r="IIL50" s="478"/>
      <c r="IIM50" s="478"/>
      <c r="IIN50" s="478"/>
      <c r="IIO50" s="478"/>
      <c r="IIP50" s="478"/>
      <c r="IIQ50" s="478"/>
      <c r="IIR50" s="478"/>
      <c r="IIS50" s="478"/>
      <c r="IIT50" s="478"/>
      <c r="IIU50" s="478"/>
      <c r="IIV50" s="478"/>
      <c r="IIW50" s="478"/>
      <c r="IIX50" s="478"/>
      <c r="IIY50" s="478"/>
      <c r="IIZ50" s="478"/>
      <c r="IJA50" s="478"/>
      <c r="IJB50" s="478"/>
      <c r="IJC50" s="478"/>
      <c r="IJD50" s="478"/>
      <c r="IJE50" s="478"/>
      <c r="IJF50" s="478"/>
      <c r="IJG50" s="478"/>
      <c r="IJH50" s="478"/>
      <c r="IJI50" s="478"/>
      <c r="IJJ50" s="478"/>
      <c r="IJK50" s="478"/>
      <c r="IJL50" s="478"/>
      <c r="IJM50" s="478"/>
      <c r="IJN50" s="478"/>
      <c r="IJO50" s="478"/>
      <c r="IJP50" s="478"/>
      <c r="IJQ50" s="478"/>
      <c r="IJR50" s="478"/>
      <c r="IJS50" s="478"/>
      <c r="IJT50" s="478"/>
      <c r="IJU50" s="478"/>
      <c r="IJV50" s="478"/>
      <c r="IJW50" s="478"/>
      <c r="IJX50" s="478"/>
      <c r="IJY50" s="478"/>
      <c r="IJZ50" s="478"/>
      <c r="IKA50" s="478"/>
      <c r="IKB50" s="478"/>
      <c r="IKC50" s="478"/>
      <c r="IKD50" s="478"/>
      <c r="IKE50" s="478"/>
      <c r="IKF50" s="478"/>
      <c r="IKG50" s="478"/>
      <c r="IKH50" s="478"/>
      <c r="IKI50" s="478"/>
      <c r="IKJ50" s="478"/>
      <c r="IKK50" s="478"/>
      <c r="IKL50" s="478"/>
      <c r="IKM50" s="478"/>
      <c r="IKN50" s="478"/>
      <c r="IKO50" s="478"/>
      <c r="IKP50" s="478"/>
      <c r="IKQ50" s="478"/>
      <c r="IKR50" s="478"/>
      <c r="IKS50" s="478"/>
      <c r="IKT50" s="478"/>
      <c r="IKU50" s="478"/>
      <c r="IKV50" s="478"/>
      <c r="IKW50" s="478"/>
      <c r="IKX50" s="478"/>
      <c r="IKY50" s="478"/>
      <c r="IKZ50" s="478"/>
      <c r="ILA50" s="478"/>
      <c r="ILB50" s="478"/>
      <c r="ILC50" s="478"/>
      <c r="ILD50" s="478"/>
      <c r="ILE50" s="478"/>
      <c r="ILF50" s="478"/>
      <c r="ILG50" s="478"/>
      <c r="ILH50" s="478"/>
      <c r="ILI50" s="478"/>
      <c r="ILJ50" s="478"/>
      <c r="ILK50" s="478"/>
      <c r="ILL50" s="478"/>
      <c r="ILM50" s="478"/>
      <c r="ILN50" s="478"/>
      <c r="ILO50" s="478"/>
      <c r="ILP50" s="478"/>
      <c r="ILQ50" s="478"/>
      <c r="ILR50" s="478"/>
      <c r="ILS50" s="478"/>
      <c r="ILT50" s="478"/>
      <c r="ILU50" s="478"/>
      <c r="ILV50" s="478"/>
      <c r="ILW50" s="478"/>
      <c r="ILX50" s="478"/>
      <c r="ILY50" s="478"/>
      <c r="ILZ50" s="478"/>
      <c r="IMA50" s="478"/>
      <c r="IMB50" s="478"/>
      <c r="IMC50" s="478"/>
      <c r="IMD50" s="478"/>
      <c r="IME50" s="478"/>
      <c r="IMF50" s="478"/>
      <c r="IMG50" s="478"/>
      <c r="IMH50" s="478"/>
      <c r="IMI50" s="478"/>
      <c r="IMJ50" s="478"/>
      <c r="IMK50" s="478"/>
      <c r="IML50" s="478"/>
      <c r="IMM50" s="478"/>
      <c r="IMN50" s="478"/>
      <c r="IMO50" s="478"/>
      <c r="IMP50" s="478"/>
      <c r="IMQ50" s="478"/>
      <c r="IMR50" s="478"/>
      <c r="IMS50" s="478"/>
      <c r="IMT50" s="478"/>
      <c r="IMU50" s="478"/>
      <c r="IMV50" s="478"/>
      <c r="IMW50" s="478"/>
      <c r="IMX50" s="478"/>
      <c r="IMY50" s="478"/>
      <c r="IMZ50" s="478"/>
      <c r="INA50" s="478"/>
      <c r="INB50" s="478"/>
      <c r="INC50" s="478"/>
      <c r="IND50" s="478"/>
      <c r="INE50" s="478"/>
      <c r="INF50" s="478"/>
      <c r="ING50" s="478"/>
      <c r="INH50" s="478"/>
      <c r="INI50" s="478"/>
      <c r="INJ50" s="478"/>
      <c r="INK50" s="478"/>
      <c r="INL50" s="478"/>
      <c r="INM50" s="478"/>
      <c r="INN50" s="478"/>
      <c r="INO50" s="478"/>
      <c r="INP50" s="478"/>
      <c r="INQ50" s="478"/>
      <c r="INR50" s="478"/>
      <c r="INS50" s="478"/>
      <c r="INT50" s="478"/>
      <c r="INU50" s="478"/>
      <c r="INV50" s="478"/>
      <c r="INW50" s="478"/>
      <c r="INX50" s="478"/>
      <c r="INY50" s="478"/>
      <c r="INZ50" s="478"/>
      <c r="IOA50" s="478"/>
      <c r="IOB50" s="478"/>
      <c r="IOC50" s="478"/>
      <c r="IOD50" s="478"/>
      <c r="IOE50" s="478"/>
      <c r="IOF50" s="478"/>
      <c r="IOG50" s="478"/>
      <c r="IOH50" s="478"/>
      <c r="IOI50" s="478"/>
      <c r="IOJ50" s="478"/>
      <c r="IOK50" s="478"/>
      <c r="IOL50" s="478"/>
      <c r="IOM50" s="478"/>
      <c r="ION50" s="478"/>
      <c r="IOO50" s="478"/>
      <c r="IOP50" s="478"/>
      <c r="IOQ50" s="478"/>
      <c r="IOR50" s="478"/>
      <c r="IOS50" s="478"/>
      <c r="IOT50" s="478"/>
      <c r="IOU50" s="478"/>
      <c r="IOV50" s="478"/>
      <c r="IOW50" s="478"/>
      <c r="IOX50" s="478"/>
      <c r="IOY50" s="478"/>
      <c r="IOZ50" s="478"/>
      <c r="IPA50" s="478"/>
      <c r="IPB50" s="478"/>
      <c r="IPC50" s="478"/>
      <c r="IPD50" s="478"/>
      <c r="IPE50" s="478"/>
      <c r="IPF50" s="478"/>
      <c r="IPG50" s="478"/>
      <c r="IPH50" s="478"/>
      <c r="IPI50" s="478"/>
      <c r="IPJ50" s="478"/>
      <c r="IPK50" s="478"/>
      <c r="IPL50" s="478"/>
      <c r="IPM50" s="478"/>
      <c r="IPN50" s="478"/>
      <c r="IPO50" s="478"/>
      <c r="IPP50" s="478"/>
      <c r="IPQ50" s="478"/>
      <c r="IPR50" s="478"/>
      <c r="IPS50" s="478"/>
      <c r="IPT50" s="478"/>
      <c r="IPU50" s="478"/>
      <c r="IPV50" s="478"/>
      <c r="IPW50" s="478"/>
      <c r="IPX50" s="478"/>
      <c r="IPY50" s="478"/>
      <c r="IPZ50" s="478"/>
      <c r="IQA50" s="478"/>
      <c r="IQB50" s="478"/>
      <c r="IQC50" s="478"/>
      <c r="IQD50" s="478"/>
      <c r="IQE50" s="478"/>
      <c r="IQF50" s="478"/>
      <c r="IQG50" s="478"/>
      <c r="IQH50" s="478"/>
      <c r="IQI50" s="478"/>
      <c r="IQJ50" s="478"/>
      <c r="IQK50" s="478"/>
      <c r="IQL50" s="478"/>
      <c r="IQM50" s="478"/>
      <c r="IQN50" s="478"/>
      <c r="IQO50" s="478"/>
      <c r="IQP50" s="478"/>
      <c r="IQQ50" s="478"/>
      <c r="IQR50" s="478"/>
      <c r="IQS50" s="478"/>
      <c r="IQT50" s="478"/>
      <c r="IQU50" s="478"/>
      <c r="IQV50" s="478"/>
      <c r="IQW50" s="478"/>
      <c r="IQX50" s="478"/>
      <c r="IQY50" s="478"/>
      <c r="IQZ50" s="478"/>
      <c r="IRA50" s="478"/>
      <c r="IRB50" s="478"/>
      <c r="IRC50" s="478"/>
      <c r="IRD50" s="478"/>
      <c r="IRE50" s="478"/>
      <c r="IRF50" s="478"/>
      <c r="IRG50" s="478"/>
      <c r="IRH50" s="478"/>
      <c r="IRI50" s="478"/>
      <c r="IRJ50" s="478"/>
      <c r="IRK50" s="478"/>
      <c r="IRL50" s="478"/>
      <c r="IRM50" s="478"/>
      <c r="IRN50" s="478"/>
      <c r="IRO50" s="478"/>
      <c r="IRP50" s="478"/>
      <c r="IRQ50" s="478"/>
      <c r="IRR50" s="478"/>
      <c r="IRS50" s="478"/>
      <c r="IRT50" s="478"/>
      <c r="IRU50" s="478"/>
      <c r="IRV50" s="478"/>
      <c r="IRW50" s="478"/>
      <c r="IRX50" s="478"/>
      <c r="IRY50" s="478"/>
      <c r="IRZ50" s="478"/>
      <c r="ISA50" s="478"/>
      <c r="ISB50" s="478"/>
      <c r="ISC50" s="478"/>
      <c r="ISD50" s="478"/>
      <c r="ISE50" s="478"/>
      <c r="ISF50" s="478"/>
      <c r="ISG50" s="478"/>
      <c r="ISH50" s="478"/>
      <c r="ISI50" s="478"/>
      <c r="ISJ50" s="478"/>
      <c r="ISK50" s="478"/>
      <c r="ISL50" s="478"/>
      <c r="ISM50" s="478"/>
      <c r="ISN50" s="478"/>
      <c r="ISO50" s="478"/>
      <c r="ISP50" s="478"/>
      <c r="ISQ50" s="478"/>
      <c r="ISR50" s="478"/>
      <c r="ISS50" s="478"/>
      <c r="IST50" s="478"/>
      <c r="ISU50" s="478"/>
      <c r="ISV50" s="478"/>
      <c r="ISW50" s="478"/>
      <c r="ISX50" s="478"/>
      <c r="ISY50" s="478"/>
      <c r="ISZ50" s="478"/>
      <c r="ITA50" s="478"/>
      <c r="ITB50" s="478"/>
      <c r="ITC50" s="478"/>
      <c r="ITD50" s="478"/>
      <c r="ITE50" s="478"/>
      <c r="ITF50" s="478"/>
      <c r="ITG50" s="478"/>
      <c r="ITH50" s="478"/>
      <c r="ITI50" s="478"/>
      <c r="ITJ50" s="478"/>
      <c r="ITK50" s="478"/>
      <c r="ITL50" s="478"/>
      <c r="ITM50" s="478"/>
      <c r="ITN50" s="478"/>
      <c r="ITO50" s="478"/>
      <c r="ITP50" s="478"/>
      <c r="ITQ50" s="478"/>
      <c r="ITR50" s="478"/>
      <c r="ITS50" s="478"/>
      <c r="ITT50" s="478"/>
      <c r="ITU50" s="478"/>
      <c r="ITV50" s="478"/>
      <c r="ITW50" s="478"/>
      <c r="ITX50" s="478"/>
      <c r="ITY50" s="478"/>
      <c r="ITZ50" s="478"/>
      <c r="IUA50" s="478"/>
      <c r="IUB50" s="478"/>
      <c r="IUC50" s="478"/>
      <c r="IUD50" s="478"/>
      <c r="IUE50" s="478"/>
      <c r="IUF50" s="478"/>
      <c r="IUG50" s="478"/>
      <c r="IUH50" s="478"/>
      <c r="IUI50" s="478"/>
      <c r="IUJ50" s="478"/>
      <c r="IUK50" s="478"/>
      <c r="IUL50" s="478"/>
      <c r="IUM50" s="478"/>
      <c r="IUN50" s="478"/>
      <c r="IUO50" s="478"/>
      <c r="IUP50" s="478"/>
      <c r="IUQ50" s="478"/>
      <c r="IUR50" s="478"/>
      <c r="IUS50" s="478"/>
      <c r="IUT50" s="478"/>
      <c r="IUU50" s="478"/>
      <c r="IUV50" s="478"/>
      <c r="IUW50" s="478"/>
      <c r="IUX50" s="478"/>
      <c r="IUY50" s="478"/>
      <c r="IUZ50" s="478"/>
      <c r="IVA50" s="478"/>
      <c r="IVB50" s="478"/>
      <c r="IVC50" s="478"/>
      <c r="IVD50" s="478"/>
      <c r="IVE50" s="478"/>
      <c r="IVF50" s="478"/>
      <c r="IVG50" s="478"/>
      <c r="IVH50" s="478"/>
      <c r="IVI50" s="478"/>
      <c r="IVJ50" s="478"/>
      <c r="IVK50" s="478"/>
      <c r="IVL50" s="478"/>
      <c r="IVM50" s="478"/>
      <c r="IVN50" s="478"/>
      <c r="IVO50" s="478"/>
      <c r="IVP50" s="478"/>
      <c r="IVQ50" s="478"/>
      <c r="IVR50" s="478"/>
      <c r="IVS50" s="478"/>
      <c r="IVT50" s="478"/>
      <c r="IVU50" s="478"/>
      <c r="IVV50" s="478"/>
      <c r="IVW50" s="478"/>
      <c r="IVX50" s="478"/>
      <c r="IVY50" s="478"/>
      <c r="IVZ50" s="478"/>
      <c r="IWA50" s="478"/>
      <c r="IWB50" s="478"/>
      <c r="IWC50" s="478"/>
      <c r="IWD50" s="478"/>
      <c r="IWE50" s="478"/>
      <c r="IWF50" s="478"/>
      <c r="IWG50" s="478"/>
      <c r="IWH50" s="478"/>
      <c r="IWI50" s="478"/>
      <c r="IWJ50" s="478"/>
      <c r="IWK50" s="478"/>
      <c r="IWL50" s="478"/>
      <c r="IWM50" s="478"/>
      <c r="IWN50" s="478"/>
      <c r="IWO50" s="478"/>
      <c r="IWP50" s="478"/>
      <c r="IWQ50" s="478"/>
      <c r="IWR50" s="478"/>
      <c r="IWS50" s="478"/>
      <c r="IWT50" s="478"/>
      <c r="IWU50" s="478"/>
      <c r="IWV50" s="478"/>
      <c r="IWW50" s="478"/>
      <c r="IWX50" s="478"/>
      <c r="IWY50" s="478"/>
      <c r="IWZ50" s="478"/>
      <c r="IXA50" s="478"/>
      <c r="IXB50" s="478"/>
      <c r="IXC50" s="478"/>
      <c r="IXD50" s="478"/>
      <c r="IXE50" s="478"/>
      <c r="IXF50" s="478"/>
      <c r="IXG50" s="478"/>
      <c r="IXH50" s="478"/>
      <c r="IXI50" s="478"/>
      <c r="IXJ50" s="478"/>
      <c r="IXK50" s="478"/>
      <c r="IXL50" s="478"/>
      <c r="IXM50" s="478"/>
      <c r="IXN50" s="478"/>
      <c r="IXO50" s="478"/>
      <c r="IXP50" s="478"/>
      <c r="IXQ50" s="478"/>
      <c r="IXR50" s="478"/>
      <c r="IXS50" s="478"/>
      <c r="IXT50" s="478"/>
      <c r="IXU50" s="478"/>
      <c r="IXV50" s="478"/>
      <c r="IXW50" s="478"/>
      <c r="IXX50" s="478"/>
      <c r="IXY50" s="478"/>
      <c r="IXZ50" s="478"/>
      <c r="IYA50" s="478"/>
      <c r="IYB50" s="478"/>
      <c r="IYC50" s="478"/>
      <c r="IYD50" s="478"/>
      <c r="IYE50" s="478"/>
      <c r="IYF50" s="478"/>
      <c r="IYG50" s="478"/>
      <c r="IYH50" s="478"/>
      <c r="IYI50" s="478"/>
      <c r="IYJ50" s="478"/>
      <c r="IYK50" s="478"/>
      <c r="IYL50" s="478"/>
      <c r="IYM50" s="478"/>
      <c r="IYN50" s="478"/>
      <c r="IYO50" s="478"/>
      <c r="IYP50" s="478"/>
      <c r="IYQ50" s="478"/>
      <c r="IYR50" s="478"/>
      <c r="IYS50" s="478"/>
      <c r="IYT50" s="478"/>
      <c r="IYU50" s="478"/>
      <c r="IYV50" s="478"/>
      <c r="IYW50" s="478"/>
      <c r="IYX50" s="478"/>
      <c r="IYY50" s="478"/>
      <c r="IYZ50" s="478"/>
      <c r="IZA50" s="478"/>
      <c r="IZB50" s="478"/>
      <c r="IZC50" s="478"/>
      <c r="IZD50" s="478"/>
      <c r="IZE50" s="478"/>
      <c r="IZF50" s="478"/>
      <c r="IZG50" s="478"/>
      <c r="IZH50" s="478"/>
      <c r="IZI50" s="478"/>
      <c r="IZJ50" s="478"/>
      <c r="IZK50" s="478"/>
      <c r="IZL50" s="478"/>
      <c r="IZM50" s="478"/>
      <c r="IZN50" s="478"/>
      <c r="IZO50" s="478"/>
      <c r="IZP50" s="478"/>
      <c r="IZQ50" s="478"/>
      <c r="IZR50" s="478"/>
      <c r="IZS50" s="478"/>
      <c r="IZT50" s="478"/>
      <c r="IZU50" s="478"/>
      <c r="IZV50" s="478"/>
      <c r="IZW50" s="478"/>
      <c r="IZX50" s="478"/>
      <c r="IZY50" s="478"/>
      <c r="IZZ50" s="478"/>
      <c r="JAA50" s="478"/>
      <c r="JAB50" s="478"/>
      <c r="JAC50" s="478"/>
      <c r="JAD50" s="478"/>
      <c r="JAE50" s="478"/>
      <c r="JAF50" s="478"/>
      <c r="JAG50" s="478"/>
      <c r="JAH50" s="478"/>
      <c r="JAI50" s="478"/>
      <c r="JAJ50" s="478"/>
      <c r="JAK50" s="478"/>
      <c r="JAL50" s="478"/>
      <c r="JAM50" s="478"/>
      <c r="JAN50" s="478"/>
      <c r="JAO50" s="478"/>
      <c r="JAP50" s="478"/>
      <c r="JAQ50" s="478"/>
      <c r="JAR50" s="478"/>
      <c r="JAS50" s="478"/>
      <c r="JAT50" s="478"/>
      <c r="JAU50" s="478"/>
      <c r="JAV50" s="478"/>
      <c r="JAW50" s="478"/>
      <c r="JAX50" s="478"/>
      <c r="JAY50" s="478"/>
      <c r="JAZ50" s="478"/>
      <c r="JBA50" s="478"/>
      <c r="JBB50" s="478"/>
      <c r="JBC50" s="478"/>
      <c r="JBD50" s="478"/>
      <c r="JBE50" s="478"/>
      <c r="JBF50" s="478"/>
      <c r="JBG50" s="478"/>
      <c r="JBH50" s="478"/>
      <c r="JBI50" s="478"/>
      <c r="JBJ50" s="478"/>
      <c r="JBK50" s="478"/>
      <c r="JBL50" s="478"/>
      <c r="JBM50" s="478"/>
      <c r="JBN50" s="478"/>
      <c r="JBO50" s="478"/>
      <c r="JBP50" s="478"/>
      <c r="JBQ50" s="478"/>
      <c r="JBR50" s="478"/>
      <c r="JBS50" s="478"/>
      <c r="JBT50" s="478"/>
      <c r="JBU50" s="478"/>
      <c r="JBV50" s="478"/>
      <c r="JBW50" s="478"/>
      <c r="JBX50" s="478"/>
      <c r="JBY50" s="478"/>
      <c r="JBZ50" s="478"/>
      <c r="JCA50" s="478"/>
      <c r="JCB50" s="478"/>
      <c r="JCC50" s="478"/>
      <c r="JCD50" s="478"/>
      <c r="JCE50" s="478"/>
      <c r="JCF50" s="478"/>
      <c r="JCG50" s="478"/>
      <c r="JCH50" s="478"/>
      <c r="JCI50" s="478"/>
      <c r="JCJ50" s="478"/>
      <c r="JCK50" s="478"/>
      <c r="JCL50" s="478"/>
      <c r="JCM50" s="478"/>
      <c r="JCN50" s="478"/>
      <c r="JCO50" s="478"/>
      <c r="JCP50" s="478"/>
      <c r="JCQ50" s="478"/>
      <c r="JCR50" s="478"/>
      <c r="JCS50" s="478"/>
      <c r="JCT50" s="478"/>
      <c r="JCU50" s="478"/>
      <c r="JCV50" s="478"/>
      <c r="JCW50" s="478"/>
      <c r="JCX50" s="478"/>
      <c r="JCY50" s="478"/>
      <c r="JCZ50" s="478"/>
      <c r="JDA50" s="478"/>
      <c r="JDB50" s="478"/>
      <c r="JDC50" s="478"/>
      <c r="JDD50" s="478"/>
      <c r="JDE50" s="478"/>
      <c r="JDF50" s="478"/>
      <c r="JDG50" s="478"/>
      <c r="JDH50" s="478"/>
      <c r="JDI50" s="478"/>
      <c r="JDJ50" s="478"/>
      <c r="JDK50" s="478"/>
      <c r="JDL50" s="478"/>
      <c r="JDM50" s="478"/>
      <c r="JDN50" s="478"/>
      <c r="JDO50" s="478"/>
      <c r="JDP50" s="478"/>
      <c r="JDQ50" s="478"/>
      <c r="JDR50" s="478"/>
      <c r="JDS50" s="478"/>
      <c r="JDT50" s="478"/>
      <c r="JDU50" s="478"/>
      <c r="JDV50" s="478"/>
      <c r="JDW50" s="478"/>
      <c r="JDX50" s="478"/>
      <c r="JDY50" s="478"/>
      <c r="JDZ50" s="478"/>
      <c r="JEA50" s="478"/>
      <c r="JEB50" s="478"/>
      <c r="JEC50" s="478"/>
      <c r="JED50" s="478"/>
      <c r="JEE50" s="478"/>
      <c r="JEF50" s="478"/>
      <c r="JEG50" s="478"/>
      <c r="JEH50" s="478"/>
      <c r="JEI50" s="478"/>
      <c r="JEJ50" s="478"/>
      <c r="JEK50" s="478"/>
      <c r="JEL50" s="478"/>
      <c r="JEM50" s="478"/>
      <c r="JEN50" s="478"/>
      <c r="JEO50" s="478"/>
      <c r="JEP50" s="478"/>
      <c r="JEQ50" s="478"/>
      <c r="JER50" s="478"/>
      <c r="JES50" s="478"/>
      <c r="JET50" s="478"/>
      <c r="JEU50" s="478"/>
      <c r="JEV50" s="478"/>
      <c r="JEW50" s="478"/>
      <c r="JEX50" s="478"/>
      <c r="JEY50" s="478"/>
      <c r="JEZ50" s="478"/>
      <c r="JFA50" s="478"/>
      <c r="JFB50" s="478"/>
      <c r="JFC50" s="478"/>
      <c r="JFD50" s="478"/>
      <c r="JFE50" s="478"/>
      <c r="JFF50" s="478"/>
      <c r="JFG50" s="478"/>
      <c r="JFH50" s="478"/>
      <c r="JFI50" s="478"/>
      <c r="JFJ50" s="478"/>
      <c r="JFK50" s="478"/>
      <c r="JFL50" s="478"/>
      <c r="JFM50" s="478"/>
      <c r="JFN50" s="478"/>
      <c r="JFO50" s="478"/>
      <c r="JFP50" s="478"/>
      <c r="JFQ50" s="478"/>
      <c r="JFR50" s="478"/>
      <c r="JFS50" s="478"/>
      <c r="JFT50" s="478"/>
      <c r="JFU50" s="478"/>
      <c r="JFV50" s="478"/>
      <c r="JFW50" s="478"/>
      <c r="JFX50" s="478"/>
      <c r="JFY50" s="478"/>
      <c r="JFZ50" s="478"/>
      <c r="JGA50" s="478"/>
      <c r="JGB50" s="478"/>
      <c r="JGC50" s="478"/>
      <c r="JGD50" s="478"/>
      <c r="JGE50" s="478"/>
      <c r="JGF50" s="478"/>
      <c r="JGG50" s="478"/>
      <c r="JGH50" s="478"/>
      <c r="JGI50" s="478"/>
      <c r="JGJ50" s="478"/>
      <c r="JGK50" s="478"/>
      <c r="JGL50" s="478"/>
      <c r="JGM50" s="478"/>
      <c r="JGN50" s="478"/>
      <c r="JGO50" s="478"/>
      <c r="JGP50" s="478"/>
      <c r="JGQ50" s="478"/>
      <c r="JGR50" s="478"/>
      <c r="JGS50" s="478"/>
      <c r="JGT50" s="478"/>
      <c r="JGU50" s="478"/>
      <c r="JGV50" s="478"/>
      <c r="JGW50" s="478"/>
      <c r="JGX50" s="478"/>
      <c r="JGY50" s="478"/>
      <c r="JGZ50" s="478"/>
      <c r="JHA50" s="478"/>
      <c r="JHB50" s="478"/>
      <c r="JHC50" s="478"/>
      <c r="JHD50" s="478"/>
      <c r="JHE50" s="478"/>
      <c r="JHF50" s="478"/>
      <c r="JHG50" s="478"/>
      <c r="JHH50" s="478"/>
      <c r="JHI50" s="478"/>
      <c r="JHJ50" s="478"/>
      <c r="JHK50" s="478"/>
      <c r="JHL50" s="478"/>
      <c r="JHM50" s="478"/>
      <c r="JHN50" s="478"/>
      <c r="JHO50" s="478"/>
      <c r="JHP50" s="478"/>
      <c r="JHQ50" s="478"/>
      <c r="JHR50" s="478"/>
      <c r="JHS50" s="478"/>
      <c r="JHT50" s="478"/>
      <c r="JHU50" s="478"/>
      <c r="JHV50" s="478"/>
      <c r="JHW50" s="478"/>
      <c r="JHX50" s="478"/>
      <c r="JHY50" s="478"/>
      <c r="JHZ50" s="478"/>
      <c r="JIA50" s="478"/>
      <c r="JIB50" s="478"/>
      <c r="JIC50" s="478"/>
      <c r="JID50" s="478"/>
      <c r="JIE50" s="478"/>
      <c r="JIF50" s="478"/>
      <c r="JIG50" s="478"/>
      <c r="JIH50" s="478"/>
      <c r="JII50" s="478"/>
      <c r="JIJ50" s="478"/>
      <c r="JIK50" s="478"/>
      <c r="JIL50" s="478"/>
      <c r="JIM50" s="478"/>
      <c r="JIN50" s="478"/>
      <c r="JIO50" s="478"/>
      <c r="JIP50" s="478"/>
      <c r="JIQ50" s="478"/>
      <c r="JIR50" s="478"/>
      <c r="JIS50" s="478"/>
      <c r="JIT50" s="478"/>
      <c r="JIU50" s="478"/>
      <c r="JIV50" s="478"/>
      <c r="JIW50" s="478"/>
      <c r="JIX50" s="478"/>
      <c r="JIY50" s="478"/>
      <c r="JIZ50" s="478"/>
      <c r="JJA50" s="478"/>
      <c r="JJB50" s="478"/>
      <c r="JJC50" s="478"/>
      <c r="JJD50" s="478"/>
      <c r="JJE50" s="478"/>
      <c r="JJF50" s="478"/>
      <c r="JJG50" s="478"/>
      <c r="JJH50" s="478"/>
      <c r="JJI50" s="478"/>
      <c r="JJJ50" s="478"/>
      <c r="JJK50" s="478"/>
      <c r="JJL50" s="478"/>
      <c r="JJM50" s="478"/>
      <c r="JJN50" s="478"/>
      <c r="JJO50" s="478"/>
      <c r="JJP50" s="478"/>
      <c r="JJQ50" s="478"/>
      <c r="JJR50" s="478"/>
      <c r="JJS50" s="478"/>
      <c r="JJT50" s="478"/>
      <c r="JJU50" s="478"/>
      <c r="JJV50" s="478"/>
      <c r="JJW50" s="478"/>
      <c r="JJX50" s="478"/>
      <c r="JJY50" s="478"/>
      <c r="JJZ50" s="478"/>
      <c r="JKA50" s="478"/>
      <c r="JKB50" s="478"/>
      <c r="JKC50" s="478"/>
      <c r="JKD50" s="478"/>
      <c r="JKE50" s="478"/>
      <c r="JKF50" s="478"/>
      <c r="JKG50" s="478"/>
      <c r="JKH50" s="478"/>
      <c r="JKI50" s="478"/>
      <c r="JKJ50" s="478"/>
      <c r="JKK50" s="478"/>
      <c r="JKL50" s="478"/>
      <c r="JKM50" s="478"/>
      <c r="JKN50" s="478"/>
      <c r="JKO50" s="478"/>
      <c r="JKP50" s="478"/>
      <c r="JKQ50" s="478"/>
      <c r="JKR50" s="478"/>
      <c r="JKS50" s="478"/>
      <c r="JKT50" s="478"/>
      <c r="JKU50" s="478"/>
      <c r="JKV50" s="478"/>
      <c r="JKW50" s="478"/>
      <c r="JKX50" s="478"/>
      <c r="JKY50" s="478"/>
      <c r="JKZ50" s="478"/>
      <c r="JLA50" s="478"/>
      <c r="JLB50" s="478"/>
      <c r="JLC50" s="478"/>
      <c r="JLD50" s="478"/>
      <c r="JLE50" s="478"/>
      <c r="JLF50" s="478"/>
      <c r="JLG50" s="478"/>
      <c r="JLH50" s="478"/>
      <c r="JLI50" s="478"/>
      <c r="JLJ50" s="478"/>
      <c r="JLK50" s="478"/>
      <c r="JLL50" s="478"/>
      <c r="JLM50" s="478"/>
      <c r="JLN50" s="478"/>
      <c r="JLO50" s="478"/>
      <c r="JLP50" s="478"/>
      <c r="JLQ50" s="478"/>
      <c r="JLR50" s="478"/>
      <c r="JLS50" s="478"/>
      <c r="JLT50" s="478"/>
      <c r="JLU50" s="478"/>
      <c r="JLV50" s="478"/>
      <c r="JLW50" s="478"/>
      <c r="JLX50" s="478"/>
      <c r="JLY50" s="478"/>
      <c r="JLZ50" s="478"/>
      <c r="JMA50" s="478"/>
      <c r="JMB50" s="478"/>
      <c r="JMC50" s="478"/>
      <c r="JMD50" s="478"/>
      <c r="JME50" s="478"/>
      <c r="JMF50" s="478"/>
      <c r="JMG50" s="478"/>
      <c r="JMH50" s="478"/>
      <c r="JMI50" s="478"/>
      <c r="JMJ50" s="478"/>
      <c r="JMK50" s="478"/>
      <c r="JML50" s="478"/>
      <c r="JMM50" s="478"/>
      <c r="JMN50" s="478"/>
      <c r="JMO50" s="478"/>
      <c r="JMP50" s="478"/>
      <c r="JMQ50" s="478"/>
      <c r="JMR50" s="478"/>
      <c r="JMS50" s="478"/>
      <c r="JMT50" s="478"/>
      <c r="JMU50" s="478"/>
      <c r="JMV50" s="478"/>
      <c r="JMW50" s="478"/>
      <c r="JMX50" s="478"/>
      <c r="JMY50" s="478"/>
      <c r="JMZ50" s="478"/>
      <c r="JNA50" s="478"/>
      <c r="JNB50" s="478"/>
      <c r="JNC50" s="478"/>
      <c r="JND50" s="478"/>
      <c r="JNE50" s="478"/>
      <c r="JNF50" s="478"/>
      <c r="JNG50" s="478"/>
      <c r="JNH50" s="478"/>
      <c r="JNI50" s="478"/>
      <c r="JNJ50" s="478"/>
      <c r="JNK50" s="478"/>
      <c r="JNL50" s="478"/>
      <c r="JNM50" s="478"/>
      <c r="JNN50" s="478"/>
      <c r="JNO50" s="478"/>
      <c r="JNP50" s="478"/>
      <c r="JNQ50" s="478"/>
      <c r="JNR50" s="478"/>
      <c r="JNS50" s="478"/>
      <c r="JNT50" s="478"/>
      <c r="JNU50" s="478"/>
      <c r="JNV50" s="478"/>
      <c r="JNW50" s="478"/>
      <c r="JNX50" s="478"/>
      <c r="JNY50" s="478"/>
      <c r="JNZ50" s="478"/>
      <c r="JOA50" s="478"/>
      <c r="JOB50" s="478"/>
      <c r="JOC50" s="478"/>
      <c r="JOD50" s="478"/>
      <c r="JOE50" s="478"/>
      <c r="JOF50" s="478"/>
      <c r="JOG50" s="478"/>
      <c r="JOH50" s="478"/>
      <c r="JOI50" s="478"/>
      <c r="JOJ50" s="478"/>
      <c r="JOK50" s="478"/>
      <c r="JOL50" s="478"/>
      <c r="JOM50" s="478"/>
      <c r="JON50" s="478"/>
      <c r="JOO50" s="478"/>
      <c r="JOP50" s="478"/>
      <c r="JOQ50" s="478"/>
      <c r="JOR50" s="478"/>
      <c r="JOS50" s="478"/>
      <c r="JOT50" s="478"/>
      <c r="JOU50" s="478"/>
      <c r="JOV50" s="478"/>
      <c r="JOW50" s="478"/>
      <c r="JOX50" s="478"/>
      <c r="JOY50" s="478"/>
      <c r="JOZ50" s="478"/>
      <c r="JPA50" s="478"/>
      <c r="JPB50" s="478"/>
      <c r="JPC50" s="478"/>
      <c r="JPD50" s="478"/>
      <c r="JPE50" s="478"/>
      <c r="JPF50" s="478"/>
      <c r="JPG50" s="478"/>
      <c r="JPH50" s="478"/>
      <c r="JPI50" s="478"/>
      <c r="JPJ50" s="478"/>
      <c r="JPK50" s="478"/>
      <c r="JPL50" s="478"/>
      <c r="JPM50" s="478"/>
      <c r="JPN50" s="478"/>
      <c r="JPO50" s="478"/>
      <c r="JPP50" s="478"/>
      <c r="JPQ50" s="478"/>
      <c r="JPR50" s="478"/>
      <c r="JPS50" s="478"/>
      <c r="JPT50" s="478"/>
      <c r="JPU50" s="478"/>
      <c r="JPV50" s="478"/>
      <c r="JPW50" s="478"/>
      <c r="JPX50" s="478"/>
      <c r="JPY50" s="478"/>
      <c r="JPZ50" s="478"/>
      <c r="JQA50" s="478"/>
      <c r="JQB50" s="478"/>
      <c r="JQC50" s="478"/>
      <c r="JQD50" s="478"/>
      <c r="JQE50" s="478"/>
      <c r="JQF50" s="478"/>
      <c r="JQG50" s="478"/>
      <c r="JQH50" s="478"/>
      <c r="JQI50" s="478"/>
      <c r="JQJ50" s="478"/>
      <c r="JQK50" s="478"/>
      <c r="JQL50" s="478"/>
      <c r="JQM50" s="478"/>
      <c r="JQN50" s="478"/>
      <c r="JQO50" s="478"/>
      <c r="JQP50" s="478"/>
      <c r="JQQ50" s="478"/>
      <c r="JQR50" s="478"/>
      <c r="JQS50" s="478"/>
      <c r="JQT50" s="478"/>
      <c r="JQU50" s="478"/>
      <c r="JQV50" s="478"/>
      <c r="JQW50" s="478"/>
      <c r="JQX50" s="478"/>
      <c r="JQY50" s="478"/>
      <c r="JQZ50" s="478"/>
      <c r="JRA50" s="478"/>
      <c r="JRB50" s="478"/>
      <c r="JRC50" s="478"/>
      <c r="JRD50" s="478"/>
      <c r="JRE50" s="478"/>
      <c r="JRF50" s="478"/>
      <c r="JRG50" s="478"/>
      <c r="JRH50" s="478"/>
      <c r="JRI50" s="478"/>
      <c r="JRJ50" s="478"/>
      <c r="JRK50" s="478"/>
      <c r="JRL50" s="478"/>
      <c r="JRM50" s="478"/>
      <c r="JRN50" s="478"/>
      <c r="JRO50" s="478"/>
      <c r="JRP50" s="478"/>
      <c r="JRQ50" s="478"/>
      <c r="JRR50" s="478"/>
      <c r="JRS50" s="478"/>
      <c r="JRT50" s="478"/>
      <c r="JRU50" s="478"/>
      <c r="JRV50" s="478"/>
      <c r="JRW50" s="478"/>
      <c r="JRX50" s="478"/>
      <c r="JRY50" s="478"/>
      <c r="JRZ50" s="478"/>
      <c r="JSA50" s="478"/>
      <c r="JSB50" s="478"/>
      <c r="JSC50" s="478"/>
      <c r="JSD50" s="478"/>
      <c r="JSE50" s="478"/>
      <c r="JSF50" s="478"/>
      <c r="JSG50" s="478"/>
      <c r="JSH50" s="478"/>
      <c r="JSI50" s="478"/>
      <c r="JSJ50" s="478"/>
      <c r="JSK50" s="478"/>
      <c r="JSL50" s="478"/>
      <c r="JSM50" s="478"/>
      <c r="JSN50" s="478"/>
      <c r="JSO50" s="478"/>
      <c r="JSP50" s="478"/>
      <c r="JSQ50" s="478"/>
      <c r="JSR50" s="478"/>
      <c r="JSS50" s="478"/>
      <c r="JST50" s="478"/>
      <c r="JSU50" s="478"/>
      <c r="JSV50" s="478"/>
      <c r="JSW50" s="478"/>
      <c r="JSX50" s="478"/>
      <c r="JSY50" s="478"/>
      <c r="JSZ50" s="478"/>
      <c r="JTA50" s="478"/>
      <c r="JTB50" s="478"/>
      <c r="JTC50" s="478"/>
      <c r="JTD50" s="478"/>
      <c r="JTE50" s="478"/>
      <c r="JTF50" s="478"/>
      <c r="JTG50" s="478"/>
      <c r="JTH50" s="478"/>
      <c r="JTI50" s="478"/>
      <c r="JTJ50" s="478"/>
      <c r="JTK50" s="478"/>
      <c r="JTL50" s="478"/>
      <c r="JTM50" s="478"/>
      <c r="JTN50" s="478"/>
      <c r="JTO50" s="478"/>
      <c r="JTP50" s="478"/>
      <c r="JTQ50" s="478"/>
      <c r="JTR50" s="478"/>
      <c r="JTS50" s="478"/>
      <c r="JTT50" s="478"/>
      <c r="JTU50" s="478"/>
      <c r="JTV50" s="478"/>
      <c r="JTW50" s="478"/>
      <c r="JTX50" s="478"/>
      <c r="JTY50" s="478"/>
      <c r="JTZ50" s="478"/>
      <c r="JUA50" s="478"/>
      <c r="JUB50" s="478"/>
      <c r="JUC50" s="478"/>
      <c r="JUD50" s="478"/>
      <c r="JUE50" s="478"/>
      <c r="JUF50" s="478"/>
      <c r="JUG50" s="478"/>
      <c r="JUH50" s="478"/>
      <c r="JUI50" s="478"/>
      <c r="JUJ50" s="478"/>
      <c r="JUK50" s="478"/>
      <c r="JUL50" s="478"/>
      <c r="JUM50" s="478"/>
      <c r="JUN50" s="478"/>
      <c r="JUO50" s="478"/>
      <c r="JUP50" s="478"/>
      <c r="JUQ50" s="478"/>
      <c r="JUR50" s="478"/>
      <c r="JUS50" s="478"/>
      <c r="JUT50" s="478"/>
      <c r="JUU50" s="478"/>
      <c r="JUV50" s="478"/>
      <c r="JUW50" s="478"/>
      <c r="JUX50" s="478"/>
      <c r="JUY50" s="478"/>
      <c r="JUZ50" s="478"/>
      <c r="JVA50" s="478"/>
      <c r="JVB50" s="478"/>
      <c r="JVC50" s="478"/>
      <c r="JVD50" s="478"/>
      <c r="JVE50" s="478"/>
      <c r="JVF50" s="478"/>
      <c r="JVG50" s="478"/>
      <c r="JVH50" s="478"/>
      <c r="JVI50" s="478"/>
      <c r="JVJ50" s="478"/>
      <c r="JVK50" s="478"/>
      <c r="JVL50" s="478"/>
      <c r="JVM50" s="478"/>
      <c r="JVN50" s="478"/>
      <c r="JVO50" s="478"/>
      <c r="JVP50" s="478"/>
      <c r="JVQ50" s="478"/>
      <c r="JVR50" s="478"/>
      <c r="JVS50" s="478"/>
      <c r="JVT50" s="478"/>
      <c r="JVU50" s="478"/>
      <c r="JVV50" s="478"/>
      <c r="JVW50" s="478"/>
      <c r="JVX50" s="478"/>
      <c r="JVY50" s="478"/>
      <c r="JVZ50" s="478"/>
      <c r="JWA50" s="478"/>
      <c r="JWB50" s="478"/>
      <c r="JWC50" s="478"/>
      <c r="JWD50" s="478"/>
      <c r="JWE50" s="478"/>
      <c r="JWF50" s="478"/>
      <c r="JWG50" s="478"/>
      <c r="JWH50" s="478"/>
      <c r="JWI50" s="478"/>
      <c r="JWJ50" s="478"/>
      <c r="JWK50" s="478"/>
      <c r="JWL50" s="478"/>
      <c r="JWM50" s="478"/>
      <c r="JWN50" s="478"/>
      <c r="JWO50" s="478"/>
      <c r="JWP50" s="478"/>
      <c r="JWQ50" s="478"/>
      <c r="JWR50" s="478"/>
      <c r="JWS50" s="478"/>
      <c r="JWT50" s="478"/>
      <c r="JWU50" s="478"/>
      <c r="JWV50" s="478"/>
      <c r="JWW50" s="478"/>
      <c r="JWX50" s="478"/>
      <c r="JWY50" s="478"/>
      <c r="JWZ50" s="478"/>
      <c r="JXA50" s="478"/>
      <c r="JXB50" s="478"/>
      <c r="JXC50" s="478"/>
      <c r="JXD50" s="478"/>
      <c r="JXE50" s="478"/>
      <c r="JXF50" s="478"/>
      <c r="JXG50" s="478"/>
      <c r="JXH50" s="478"/>
      <c r="JXI50" s="478"/>
      <c r="JXJ50" s="478"/>
      <c r="JXK50" s="478"/>
      <c r="JXL50" s="478"/>
      <c r="JXM50" s="478"/>
      <c r="JXN50" s="478"/>
      <c r="JXO50" s="478"/>
      <c r="JXP50" s="478"/>
      <c r="JXQ50" s="478"/>
      <c r="JXR50" s="478"/>
      <c r="JXS50" s="478"/>
      <c r="JXT50" s="478"/>
      <c r="JXU50" s="478"/>
      <c r="JXV50" s="478"/>
      <c r="JXW50" s="478"/>
      <c r="JXX50" s="478"/>
      <c r="JXY50" s="478"/>
      <c r="JXZ50" s="478"/>
      <c r="JYA50" s="478"/>
      <c r="JYB50" s="478"/>
      <c r="JYC50" s="478"/>
      <c r="JYD50" s="478"/>
      <c r="JYE50" s="478"/>
      <c r="JYF50" s="478"/>
      <c r="JYG50" s="478"/>
      <c r="JYH50" s="478"/>
      <c r="JYI50" s="478"/>
      <c r="JYJ50" s="478"/>
      <c r="JYK50" s="478"/>
      <c r="JYL50" s="478"/>
      <c r="JYM50" s="478"/>
      <c r="JYN50" s="478"/>
      <c r="JYO50" s="478"/>
      <c r="JYP50" s="478"/>
      <c r="JYQ50" s="478"/>
      <c r="JYR50" s="478"/>
      <c r="JYS50" s="478"/>
      <c r="JYT50" s="478"/>
      <c r="JYU50" s="478"/>
      <c r="JYV50" s="478"/>
      <c r="JYW50" s="478"/>
      <c r="JYX50" s="478"/>
      <c r="JYY50" s="478"/>
      <c r="JYZ50" s="478"/>
      <c r="JZA50" s="478"/>
      <c r="JZB50" s="478"/>
      <c r="JZC50" s="478"/>
      <c r="JZD50" s="478"/>
      <c r="JZE50" s="478"/>
      <c r="JZF50" s="478"/>
      <c r="JZG50" s="478"/>
      <c r="JZH50" s="478"/>
      <c r="JZI50" s="478"/>
      <c r="JZJ50" s="478"/>
      <c r="JZK50" s="478"/>
      <c r="JZL50" s="478"/>
      <c r="JZM50" s="478"/>
      <c r="JZN50" s="478"/>
      <c r="JZO50" s="478"/>
      <c r="JZP50" s="478"/>
      <c r="JZQ50" s="478"/>
      <c r="JZR50" s="478"/>
      <c r="JZS50" s="478"/>
      <c r="JZT50" s="478"/>
      <c r="JZU50" s="478"/>
      <c r="JZV50" s="478"/>
      <c r="JZW50" s="478"/>
      <c r="JZX50" s="478"/>
      <c r="JZY50" s="478"/>
      <c r="JZZ50" s="478"/>
      <c r="KAA50" s="478"/>
      <c r="KAB50" s="478"/>
      <c r="KAC50" s="478"/>
      <c r="KAD50" s="478"/>
      <c r="KAE50" s="478"/>
      <c r="KAF50" s="478"/>
      <c r="KAG50" s="478"/>
      <c r="KAH50" s="478"/>
      <c r="KAI50" s="478"/>
      <c r="KAJ50" s="478"/>
      <c r="KAK50" s="478"/>
      <c r="KAL50" s="478"/>
      <c r="KAM50" s="478"/>
      <c r="KAN50" s="478"/>
      <c r="KAO50" s="478"/>
      <c r="KAP50" s="478"/>
      <c r="KAQ50" s="478"/>
      <c r="KAR50" s="478"/>
      <c r="KAS50" s="478"/>
      <c r="KAT50" s="478"/>
      <c r="KAU50" s="478"/>
      <c r="KAV50" s="478"/>
      <c r="KAW50" s="478"/>
      <c r="KAX50" s="478"/>
      <c r="KAY50" s="478"/>
      <c r="KAZ50" s="478"/>
      <c r="KBA50" s="478"/>
      <c r="KBB50" s="478"/>
      <c r="KBC50" s="478"/>
      <c r="KBD50" s="478"/>
      <c r="KBE50" s="478"/>
      <c r="KBF50" s="478"/>
      <c r="KBG50" s="478"/>
      <c r="KBH50" s="478"/>
      <c r="KBI50" s="478"/>
      <c r="KBJ50" s="478"/>
      <c r="KBK50" s="478"/>
      <c r="KBL50" s="478"/>
      <c r="KBM50" s="478"/>
      <c r="KBN50" s="478"/>
      <c r="KBO50" s="478"/>
      <c r="KBP50" s="478"/>
      <c r="KBQ50" s="478"/>
      <c r="KBR50" s="478"/>
      <c r="KBS50" s="478"/>
      <c r="KBT50" s="478"/>
      <c r="KBU50" s="478"/>
      <c r="KBV50" s="478"/>
      <c r="KBW50" s="478"/>
      <c r="KBX50" s="478"/>
      <c r="KBY50" s="478"/>
      <c r="KBZ50" s="478"/>
      <c r="KCA50" s="478"/>
      <c r="KCB50" s="478"/>
      <c r="KCC50" s="478"/>
      <c r="KCD50" s="478"/>
      <c r="KCE50" s="478"/>
      <c r="KCF50" s="478"/>
      <c r="KCG50" s="478"/>
      <c r="KCH50" s="478"/>
      <c r="KCI50" s="478"/>
      <c r="KCJ50" s="478"/>
      <c r="KCK50" s="478"/>
      <c r="KCL50" s="478"/>
      <c r="KCM50" s="478"/>
      <c r="KCN50" s="478"/>
      <c r="KCO50" s="478"/>
      <c r="KCP50" s="478"/>
      <c r="KCQ50" s="478"/>
      <c r="KCR50" s="478"/>
      <c r="KCS50" s="478"/>
      <c r="KCT50" s="478"/>
      <c r="KCU50" s="478"/>
      <c r="KCV50" s="478"/>
      <c r="KCW50" s="478"/>
      <c r="KCX50" s="478"/>
      <c r="KCY50" s="478"/>
      <c r="KCZ50" s="478"/>
      <c r="KDA50" s="478"/>
      <c r="KDB50" s="478"/>
      <c r="KDC50" s="478"/>
      <c r="KDD50" s="478"/>
      <c r="KDE50" s="478"/>
      <c r="KDF50" s="478"/>
      <c r="KDG50" s="478"/>
      <c r="KDH50" s="478"/>
      <c r="KDI50" s="478"/>
      <c r="KDJ50" s="478"/>
      <c r="KDK50" s="478"/>
      <c r="KDL50" s="478"/>
      <c r="KDM50" s="478"/>
      <c r="KDN50" s="478"/>
      <c r="KDO50" s="478"/>
      <c r="KDP50" s="478"/>
      <c r="KDQ50" s="478"/>
      <c r="KDR50" s="478"/>
      <c r="KDS50" s="478"/>
      <c r="KDT50" s="478"/>
      <c r="KDU50" s="478"/>
      <c r="KDV50" s="478"/>
      <c r="KDW50" s="478"/>
      <c r="KDX50" s="478"/>
      <c r="KDY50" s="478"/>
      <c r="KDZ50" s="478"/>
      <c r="KEA50" s="478"/>
      <c r="KEB50" s="478"/>
      <c r="KEC50" s="478"/>
      <c r="KED50" s="478"/>
      <c r="KEE50" s="478"/>
      <c r="KEF50" s="478"/>
      <c r="KEG50" s="478"/>
      <c r="KEH50" s="478"/>
      <c r="KEI50" s="478"/>
      <c r="KEJ50" s="478"/>
      <c r="KEK50" s="478"/>
      <c r="KEL50" s="478"/>
      <c r="KEM50" s="478"/>
      <c r="KEN50" s="478"/>
      <c r="KEO50" s="478"/>
      <c r="KEP50" s="478"/>
      <c r="KEQ50" s="478"/>
      <c r="KER50" s="478"/>
      <c r="KES50" s="478"/>
      <c r="KET50" s="478"/>
      <c r="KEU50" s="478"/>
      <c r="KEV50" s="478"/>
      <c r="KEW50" s="478"/>
      <c r="KEX50" s="478"/>
      <c r="KEY50" s="478"/>
      <c r="KEZ50" s="478"/>
      <c r="KFA50" s="478"/>
      <c r="KFB50" s="478"/>
      <c r="KFC50" s="478"/>
      <c r="KFD50" s="478"/>
      <c r="KFE50" s="478"/>
      <c r="KFF50" s="478"/>
      <c r="KFG50" s="478"/>
      <c r="KFH50" s="478"/>
      <c r="KFI50" s="478"/>
      <c r="KFJ50" s="478"/>
      <c r="KFK50" s="478"/>
      <c r="KFL50" s="478"/>
      <c r="KFM50" s="478"/>
      <c r="KFN50" s="478"/>
      <c r="KFO50" s="478"/>
      <c r="KFP50" s="478"/>
      <c r="KFQ50" s="478"/>
      <c r="KFR50" s="478"/>
      <c r="KFS50" s="478"/>
      <c r="KFT50" s="478"/>
      <c r="KFU50" s="478"/>
      <c r="KFV50" s="478"/>
      <c r="KFW50" s="478"/>
      <c r="KFX50" s="478"/>
      <c r="KFY50" s="478"/>
      <c r="KFZ50" s="478"/>
      <c r="KGA50" s="478"/>
      <c r="KGB50" s="478"/>
      <c r="KGC50" s="478"/>
      <c r="KGD50" s="478"/>
      <c r="KGE50" s="478"/>
      <c r="KGF50" s="478"/>
      <c r="KGG50" s="478"/>
      <c r="KGH50" s="478"/>
      <c r="KGI50" s="478"/>
      <c r="KGJ50" s="478"/>
      <c r="KGK50" s="478"/>
      <c r="KGL50" s="478"/>
      <c r="KGM50" s="478"/>
      <c r="KGN50" s="478"/>
      <c r="KGO50" s="478"/>
      <c r="KGP50" s="478"/>
      <c r="KGQ50" s="478"/>
      <c r="KGR50" s="478"/>
      <c r="KGS50" s="478"/>
      <c r="KGT50" s="478"/>
      <c r="KGU50" s="478"/>
      <c r="KGV50" s="478"/>
      <c r="KGW50" s="478"/>
      <c r="KGX50" s="478"/>
      <c r="KGY50" s="478"/>
      <c r="KGZ50" s="478"/>
      <c r="KHA50" s="478"/>
      <c r="KHB50" s="478"/>
      <c r="KHC50" s="478"/>
      <c r="KHD50" s="478"/>
      <c r="KHE50" s="478"/>
      <c r="KHF50" s="478"/>
      <c r="KHG50" s="478"/>
      <c r="KHH50" s="478"/>
      <c r="KHI50" s="478"/>
      <c r="KHJ50" s="478"/>
      <c r="KHK50" s="478"/>
      <c r="KHL50" s="478"/>
      <c r="KHM50" s="478"/>
      <c r="KHN50" s="478"/>
      <c r="KHO50" s="478"/>
      <c r="KHP50" s="478"/>
      <c r="KHQ50" s="478"/>
      <c r="KHR50" s="478"/>
      <c r="KHS50" s="478"/>
      <c r="KHT50" s="478"/>
      <c r="KHU50" s="478"/>
      <c r="KHV50" s="478"/>
      <c r="KHW50" s="478"/>
      <c r="KHX50" s="478"/>
      <c r="KHY50" s="478"/>
      <c r="KHZ50" s="478"/>
      <c r="KIA50" s="478"/>
      <c r="KIB50" s="478"/>
      <c r="KIC50" s="478"/>
      <c r="KID50" s="478"/>
      <c r="KIE50" s="478"/>
      <c r="KIF50" s="478"/>
      <c r="KIG50" s="478"/>
      <c r="KIH50" s="478"/>
      <c r="KII50" s="478"/>
      <c r="KIJ50" s="478"/>
      <c r="KIK50" s="478"/>
      <c r="KIL50" s="478"/>
      <c r="KIM50" s="478"/>
      <c r="KIN50" s="478"/>
      <c r="KIO50" s="478"/>
      <c r="KIP50" s="478"/>
      <c r="KIQ50" s="478"/>
      <c r="KIR50" s="478"/>
      <c r="KIS50" s="478"/>
      <c r="KIT50" s="478"/>
      <c r="KIU50" s="478"/>
      <c r="KIV50" s="478"/>
      <c r="KIW50" s="478"/>
      <c r="KIX50" s="478"/>
      <c r="KIY50" s="478"/>
      <c r="KIZ50" s="478"/>
      <c r="KJA50" s="478"/>
      <c r="KJB50" s="478"/>
      <c r="KJC50" s="478"/>
      <c r="KJD50" s="478"/>
      <c r="KJE50" s="478"/>
      <c r="KJF50" s="478"/>
      <c r="KJG50" s="478"/>
      <c r="KJH50" s="478"/>
      <c r="KJI50" s="478"/>
      <c r="KJJ50" s="478"/>
      <c r="KJK50" s="478"/>
      <c r="KJL50" s="478"/>
      <c r="KJM50" s="478"/>
      <c r="KJN50" s="478"/>
      <c r="KJO50" s="478"/>
      <c r="KJP50" s="478"/>
      <c r="KJQ50" s="478"/>
      <c r="KJR50" s="478"/>
      <c r="KJS50" s="478"/>
      <c r="KJT50" s="478"/>
      <c r="KJU50" s="478"/>
      <c r="KJV50" s="478"/>
      <c r="KJW50" s="478"/>
      <c r="KJX50" s="478"/>
      <c r="KJY50" s="478"/>
      <c r="KJZ50" s="478"/>
      <c r="KKA50" s="478"/>
      <c r="KKB50" s="478"/>
      <c r="KKC50" s="478"/>
      <c r="KKD50" s="478"/>
      <c r="KKE50" s="478"/>
      <c r="KKF50" s="478"/>
      <c r="KKG50" s="478"/>
      <c r="KKH50" s="478"/>
      <c r="KKI50" s="478"/>
      <c r="KKJ50" s="478"/>
      <c r="KKK50" s="478"/>
      <c r="KKL50" s="478"/>
      <c r="KKM50" s="478"/>
      <c r="KKN50" s="478"/>
      <c r="KKO50" s="478"/>
      <c r="KKP50" s="478"/>
      <c r="KKQ50" s="478"/>
      <c r="KKR50" s="478"/>
      <c r="KKS50" s="478"/>
      <c r="KKT50" s="478"/>
      <c r="KKU50" s="478"/>
      <c r="KKV50" s="478"/>
      <c r="KKW50" s="478"/>
      <c r="KKX50" s="478"/>
      <c r="KKY50" s="478"/>
      <c r="KKZ50" s="478"/>
      <c r="KLA50" s="478"/>
      <c r="KLB50" s="478"/>
      <c r="KLC50" s="478"/>
      <c r="KLD50" s="478"/>
      <c r="KLE50" s="478"/>
      <c r="KLF50" s="478"/>
      <c r="KLG50" s="478"/>
      <c r="KLH50" s="478"/>
      <c r="KLI50" s="478"/>
      <c r="KLJ50" s="478"/>
      <c r="KLK50" s="478"/>
      <c r="KLL50" s="478"/>
      <c r="KLM50" s="478"/>
      <c r="KLN50" s="478"/>
      <c r="KLO50" s="478"/>
      <c r="KLP50" s="478"/>
      <c r="KLQ50" s="478"/>
      <c r="KLR50" s="478"/>
      <c r="KLS50" s="478"/>
      <c r="KLT50" s="478"/>
      <c r="KLU50" s="478"/>
      <c r="KLV50" s="478"/>
      <c r="KLW50" s="478"/>
      <c r="KLX50" s="478"/>
      <c r="KLY50" s="478"/>
      <c r="KLZ50" s="478"/>
      <c r="KMA50" s="478"/>
      <c r="KMB50" s="478"/>
      <c r="KMC50" s="478"/>
      <c r="KMD50" s="478"/>
      <c r="KME50" s="478"/>
      <c r="KMF50" s="478"/>
      <c r="KMG50" s="478"/>
      <c r="KMH50" s="478"/>
      <c r="KMI50" s="478"/>
      <c r="KMJ50" s="478"/>
      <c r="KMK50" s="478"/>
      <c r="KML50" s="478"/>
      <c r="KMM50" s="478"/>
      <c r="KMN50" s="478"/>
      <c r="KMO50" s="478"/>
      <c r="KMP50" s="478"/>
      <c r="KMQ50" s="478"/>
      <c r="KMR50" s="478"/>
      <c r="KMS50" s="478"/>
      <c r="KMT50" s="478"/>
      <c r="KMU50" s="478"/>
      <c r="KMV50" s="478"/>
      <c r="KMW50" s="478"/>
      <c r="KMX50" s="478"/>
      <c r="KMY50" s="478"/>
      <c r="KMZ50" s="478"/>
      <c r="KNA50" s="478"/>
      <c r="KNB50" s="478"/>
      <c r="KNC50" s="478"/>
      <c r="KND50" s="478"/>
      <c r="KNE50" s="478"/>
      <c r="KNF50" s="478"/>
      <c r="KNG50" s="478"/>
      <c r="KNH50" s="478"/>
      <c r="KNI50" s="478"/>
      <c r="KNJ50" s="478"/>
      <c r="KNK50" s="478"/>
      <c r="KNL50" s="478"/>
      <c r="KNM50" s="478"/>
      <c r="KNN50" s="478"/>
      <c r="KNO50" s="478"/>
      <c r="KNP50" s="478"/>
      <c r="KNQ50" s="478"/>
      <c r="KNR50" s="478"/>
      <c r="KNS50" s="478"/>
      <c r="KNT50" s="478"/>
      <c r="KNU50" s="478"/>
      <c r="KNV50" s="478"/>
      <c r="KNW50" s="478"/>
      <c r="KNX50" s="478"/>
      <c r="KNY50" s="478"/>
      <c r="KNZ50" s="478"/>
      <c r="KOA50" s="478"/>
      <c r="KOB50" s="478"/>
      <c r="KOC50" s="478"/>
      <c r="KOD50" s="478"/>
      <c r="KOE50" s="478"/>
      <c r="KOF50" s="478"/>
      <c r="KOG50" s="478"/>
      <c r="KOH50" s="478"/>
      <c r="KOI50" s="478"/>
      <c r="KOJ50" s="478"/>
      <c r="KOK50" s="478"/>
      <c r="KOL50" s="478"/>
      <c r="KOM50" s="478"/>
      <c r="KON50" s="478"/>
      <c r="KOO50" s="478"/>
      <c r="KOP50" s="478"/>
      <c r="KOQ50" s="478"/>
      <c r="KOR50" s="478"/>
      <c r="KOS50" s="478"/>
      <c r="KOT50" s="478"/>
      <c r="KOU50" s="478"/>
      <c r="KOV50" s="478"/>
      <c r="KOW50" s="478"/>
      <c r="KOX50" s="478"/>
      <c r="KOY50" s="478"/>
      <c r="KOZ50" s="478"/>
      <c r="KPA50" s="478"/>
      <c r="KPB50" s="478"/>
      <c r="KPC50" s="478"/>
      <c r="KPD50" s="478"/>
      <c r="KPE50" s="478"/>
      <c r="KPF50" s="478"/>
      <c r="KPG50" s="478"/>
      <c r="KPH50" s="478"/>
      <c r="KPI50" s="478"/>
      <c r="KPJ50" s="478"/>
      <c r="KPK50" s="478"/>
      <c r="KPL50" s="478"/>
      <c r="KPM50" s="478"/>
      <c r="KPN50" s="478"/>
      <c r="KPO50" s="478"/>
      <c r="KPP50" s="478"/>
      <c r="KPQ50" s="478"/>
      <c r="KPR50" s="478"/>
      <c r="KPS50" s="478"/>
      <c r="KPT50" s="478"/>
      <c r="KPU50" s="478"/>
      <c r="KPV50" s="478"/>
      <c r="KPW50" s="478"/>
      <c r="KPX50" s="478"/>
      <c r="KPY50" s="478"/>
      <c r="KPZ50" s="478"/>
      <c r="KQA50" s="478"/>
      <c r="KQB50" s="478"/>
      <c r="KQC50" s="478"/>
      <c r="KQD50" s="478"/>
      <c r="KQE50" s="478"/>
      <c r="KQF50" s="478"/>
      <c r="KQG50" s="478"/>
      <c r="KQH50" s="478"/>
      <c r="KQI50" s="478"/>
      <c r="KQJ50" s="478"/>
      <c r="KQK50" s="478"/>
      <c r="KQL50" s="478"/>
      <c r="KQM50" s="478"/>
      <c r="KQN50" s="478"/>
      <c r="KQO50" s="478"/>
      <c r="KQP50" s="478"/>
      <c r="KQQ50" s="478"/>
      <c r="KQR50" s="478"/>
      <c r="KQS50" s="478"/>
      <c r="KQT50" s="478"/>
      <c r="KQU50" s="478"/>
      <c r="KQV50" s="478"/>
      <c r="KQW50" s="478"/>
      <c r="KQX50" s="478"/>
      <c r="KQY50" s="478"/>
      <c r="KQZ50" s="478"/>
      <c r="KRA50" s="478"/>
      <c r="KRB50" s="478"/>
      <c r="KRC50" s="478"/>
      <c r="KRD50" s="478"/>
      <c r="KRE50" s="478"/>
      <c r="KRF50" s="478"/>
      <c r="KRG50" s="478"/>
      <c r="KRH50" s="478"/>
      <c r="KRI50" s="478"/>
      <c r="KRJ50" s="478"/>
      <c r="KRK50" s="478"/>
      <c r="KRL50" s="478"/>
      <c r="KRM50" s="478"/>
      <c r="KRN50" s="478"/>
      <c r="KRO50" s="478"/>
      <c r="KRP50" s="478"/>
      <c r="KRQ50" s="478"/>
      <c r="KRR50" s="478"/>
      <c r="KRS50" s="478"/>
      <c r="KRT50" s="478"/>
      <c r="KRU50" s="478"/>
      <c r="KRV50" s="478"/>
      <c r="KRW50" s="478"/>
      <c r="KRX50" s="478"/>
      <c r="KRY50" s="478"/>
      <c r="KRZ50" s="478"/>
      <c r="KSA50" s="478"/>
      <c r="KSB50" s="478"/>
      <c r="KSC50" s="478"/>
      <c r="KSD50" s="478"/>
      <c r="KSE50" s="478"/>
      <c r="KSF50" s="478"/>
      <c r="KSG50" s="478"/>
      <c r="KSH50" s="478"/>
      <c r="KSI50" s="478"/>
      <c r="KSJ50" s="478"/>
      <c r="KSK50" s="478"/>
      <c r="KSL50" s="478"/>
      <c r="KSM50" s="478"/>
      <c r="KSN50" s="478"/>
      <c r="KSO50" s="478"/>
      <c r="KSP50" s="478"/>
      <c r="KSQ50" s="478"/>
      <c r="KSR50" s="478"/>
      <c r="KSS50" s="478"/>
      <c r="KST50" s="478"/>
      <c r="KSU50" s="478"/>
      <c r="KSV50" s="478"/>
      <c r="KSW50" s="478"/>
      <c r="KSX50" s="478"/>
      <c r="KSY50" s="478"/>
      <c r="KSZ50" s="478"/>
      <c r="KTA50" s="478"/>
      <c r="KTB50" s="478"/>
      <c r="KTC50" s="478"/>
      <c r="KTD50" s="478"/>
      <c r="KTE50" s="478"/>
      <c r="KTF50" s="478"/>
      <c r="KTG50" s="478"/>
      <c r="KTH50" s="478"/>
      <c r="KTI50" s="478"/>
      <c r="KTJ50" s="478"/>
      <c r="KTK50" s="478"/>
      <c r="KTL50" s="478"/>
      <c r="KTM50" s="478"/>
      <c r="KTN50" s="478"/>
      <c r="KTO50" s="478"/>
      <c r="KTP50" s="478"/>
      <c r="KTQ50" s="478"/>
      <c r="KTR50" s="478"/>
      <c r="KTS50" s="478"/>
      <c r="KTT50" s="478"/>
      <c r="KTU50" s="478"/>
      <c r="KTV50" s="478"/>
      <c r="KTW50" s="478"/>
      <c r="KTX50" s="478"/>
      <c r="KTY50" s="478"/>
      <c r="KTZ50" s="478"/>
      <c r="KUA50" s="478"/>
      <c r="KUB50" s="478"/>
      <c r="KUC50" s="478"/>
      <c r="KUD50" s="478"/>
      <c r="KUE50" s="478"/>
      <c r="KUF50" s="478"/>
      <c r="KUG50" s="478"/>
      <c r="KUH50" s="478"/>
      <c r="KUI50" s="478"/>
      <c r="KUJ50" s="478"/>
      <c r="KUK50" s="478"/>
      <c r="KUL50" s="478"/>
      <c r="KUM50" s="478"/>
      <c r="KUN50" s="478"/>
      <c r="KUO50" s="478"/>
      <c r="KUP50" s="478"/>
      <c r="KUQ50" s="478"/>
      <c r="KUR50" s="478"/>
      <c r="KUS50" s="478"/>
      <c r="KUT50" s="478"/>
      <c r="KUU50" s="478"/>
      <c r="KUV50" s="478"/>
      <c r="KUW50" s="478"/>
      <c r="KUX50" s="478"/>
      <c r="KUY50" s="478"/>
      <c r="KUZ50" s="478"/>
      <c r="KVA50" s="478"/>
      <c r="KVB50" s="478"/>
      <c r="KVC50" s="478"/>
      <c r="KVD50" s="478"/>
      <c r="KVE50" s="478"/>
      <c r="KVF50" s="478"/>
      <c r="KVG50" s="478"/>
      <c r="KVH50" s="478"/>
      <c r="KVI50" s="478"/>
      <c r="KVJ50" s="478"/>
      <c r="KVK50" s="478"/>
      <c r="KVL50" s="478"/>
      <c r="KVM50" s="478"/>
      <c r="KVN50" s="478"/>
      <c r="KVO50" s="478"/>
      <c r="KVP50" s="478"/>
      <c r="KVQ50" s="478"/>
      <c r="KVR50" s="478"/>
      <c r="KVS50" s="478"/>
      <c r="KVT50" s="478"/>
      <c r="KVU50" s="478"/>
      <c r="KVV50" s="478"/>
      <c r="KVW50" s="478"/>
      <c r="KVX50" s="478"/>
      <c r="KVY50" s="478"/>
      <c r="KVZ50" s="478"/>
      <c r="KWA50" s="478"/>
      <c r="KWB50" s="478"/>
      <c r="KWC50" s="478"/>
      <c r="KWD50" s="478"/>
      <c r="KWE50" s="478"/>
      <c r="KWF50" s="478"/>
      <c r="KWG50" s="478"/>
      <c r="KWH50" s="478"/>
      <c r="KWI50" s="478"/>
      <c r="KWJ50" s="478"/>
      <c r="KWK50" s="478"/>
      <c r="KWL50" s="478"/>
      <c r="KWM50" s="478"/>
      <c r="KWN50" s="478"/>
      <c r="KWO50" s="478"/>
      <c r="KWP50" s="478"/>
      <c r="KWQ50" s="478"/>
      <c r="KWR50" s="478"/>
      <c r="KWS50" s="478"/>
      <c r="KWT50" s="478"/>
      <c r="KWU50" s="478"/>
      <c r="KWV50" s="478"/>
      <c r="KWW50" s="478"/>
      <c r="KWX50" s="478"/>
      <c r="KWY50" s="478"/>
      <c r="KWZ50" s="478"/>
      <c r="KXA50" s="478"/>
      <c r="KXB50" s="478"/>
      <c r="KXC50" s="478"/>
      <c r="KXD50" s="478"/>
      <c r="KXE50" s="478"/>
      <c r="KXF50" s="478"/>
      <c r="KXG50" s="478"/>
      <c r="KXH50" s="478"/>
      <c r="KXI50" s="478"/>
      <c r="KXJ50" s="478"/>
      <c r="KXK50" s="478"/>
      <c r="KXL50" s="478"/>
      <c r="KXM50" s="478"/>
      <c r="KXN50" s="478"/>
      <c r="KXO50" s="478"/>
      <c r="KXP50" s="478"/>
      <c r="KXQ50" s="478"/>
      <c r="KXR50" s="478"/>
      <c r="KXS50" s="478"/>
      <c r="KXT50" s="478"/>
      <c r="KXU50" s="478"/>
      <c r="KXV50" s="478"/>
      <c r="KXW50" s="478"/>
      <c r="KXX50" s="478"/>
      <c r="KXY50" s="478"/>
      <c r="KXZ50" s="478"/>
      <c r="KYA50" s="478"/>
      <c r="KYB50" s="478"/>
      <c r="KYC50" s="478"/>
      <c r="KYD50" s="478"/>
      <c r="KYE50" s="478"/>
      <c r="KYF50" s="478"/>
      <c r="KYG50" s="478"/>
      <c r="KYH50" s="478"/>
      <c r="KYI50" s="478"/>
      <c r="KYJ50" s="478"/>
      <c r="KYK50" s="478"/>
      <c r="KYL50" s="478"/>
      <c r="KYM50" s="478"/>
      <c r="KYN50" s="478"/>
      <c r="KYO50" s="478"/>
      <c r="KYP50" s="478"/>
      <c r="KYQ50" s="478"/>
      <c r="KYR50" s="478"/>
      <c r="KYS50" s="478"/>
      <c r="KYT50" s="478"/>
      <c r="KYU50" s="478"/>
      <c r="KYV50" s="478"/>
      <c r="KYW50" s="478"/>
      <c r="KYX50" s="478"/>
      <c r="KYY50" s="478"/>
      <c r="KYZ50" s="478"/>
      <c r="KZA50" s="478"/>
      <c r="KZB50" s="478"/>
      <c r="KZC50" s="478"/>
      <c r="KZD50" s="478"/>
      <c r="KZE50" s="478"/>
      <c r="KZF50" s="478"/>
      <c r="KZG50" s="478"/>
      <c r="KZH50" s="478"/>
      <c r="KZI50" s="478"/>
      <c r="KZJ50" s="478"/>
      <c r="KZK50" s="478"/>
      <c r="KZL50" s="478"/>
      <c r="KZM50" s="478"/>
      <c r="KZN50" s="478"/>
      <c r="KZO50" s="478"/>
      <c r="KZP50" s="478"/>
      <c r="KZQ50" s="478"/>
      <c r="KZR50" s="478"/>
      <c r="KZS50" s="478"/>
      <c r="KZT50" s="478"/>
      <c r="KZU50" s="478"/>
      <c r="KZV50" s="478"/>
      <c r="KZW50" s="478"/>
      <c r="KZX50" s="478"/>
      <c r="KZY50" s="478"/>
      <c r="KZZ50" s="478"/>
      <c r="LAA50" s="478"/>
      <c r="LAB50" s="478"/>
      <c r="LAC50" s="478"/>
      <c r="LAD50" s="478"/>
      <c r="LAE50" s="478"/>
      <c r="LAF50" s="478"/>
      <c r="LAG50" s="478"/>
      <c r="LAH50" s="478"/>
      <c r="LAI50" s="478"/>
      <c r="LAJ50" s="478"/>
      <c r="LAK50" s="478"/>
      <c r="LAL50" s="478"/>
      <c r="LAM50" s="478"/>
      <c r="LAN50" s="478"/>
      <c r="LAO50" s="478"/>
      <c r="LAP50" s="478"/>
      <c r="LAQ50" s="478"/>
      <c r="LAR50" s="478"/>
      <c r="LAS50" s="478"/>
      <c r="LAT50" s="478"/>
      <c r="LAU50" s="478"/>
      <c r="LAV50" s="478"/>
      <c r="LAW50" s="478"/>
      <c r="LAX50" s="478"/>
      <c r="LAY50" s="478"/>
      <c r="LAZ50" s="478"/>
      <c r="LBA50" s="478"/>
      <c r="LBB50" s="478"/>
      <c r="LBC50" s="478"/>
      <c r="LBD50" s="478"/>
      <c r="LBE50" s="478"/>
      <c r="LBF50" s="478"/>
      <c r="LBG50" s="478"/>
      <c r="LBH50" s="478"/>
      <c r="LBI50" s="478"/>
      <c r="LBJ50" s="478"/>
      <c r="LBK50" s="478"/>
      <c r="LBL50" s="478"/>
      <c r="LBM50" s="478"/>
      <c r="LBN50" s="478"/>
      <c r="LBO50" s="478"/>
      <c r="LBP50" s="478"/>
      <c r="LBQ50" s="478"/>
      <c r="LBR50" s="478"/>
      <c r="LBS50" s="478"/>
      <c r="LBT50" s="478"/>
      <c r="LBU50" s="478"/>
      <c r="LBV50" s="478"/>
      <c r="LBW50" s="478"/>
      <c r="LBX50" s="478"/>
      <c r="LBY50" s="478"/>
      <c r="LBZ50" s="478"/>
      <c r="LCA50" s="478"/>
      <c r="LCB50" s="478"/>
      <c r="LCC50" s="478"/>
      <c r="LCD50" s="478"/>
      <c r="LCE50" s="478"/>
      <c r="LCF50" s="478"/>
      <c r="LCG50" s="478"/>
      <c r="LCH50" s="478"/>
      <c r="LCI50" s="478"/>
      <c r="LCJ50" s="478"/>
      <c r="LCK50" s="478"/>
      <c r="LCL50" s="478"/>
      <c r="LCM50" s="478"/>
      <c r="LCN50" s="478"/>
      <c r="LCO50" s="478"/>
      <c r="LCP50" s="478"/>
      <c r="LCQ50" s="478"/>
      <c r="LCR50" s="478"/>
      <c r="LCS50" s="478"/>
      <c r="LCT50" s="478"/>
      <c r="LCU50" s="478"/>
      <c r="LCV50" s="478"/>
      <c r="LCW50" s="478"/>
      <c r="LCX50" s="478"/>
      <c r="LCY50" s="478"/>
      <c r="LCZ50" s="478"/>
      <c r="LDA50" s="478"/>
      <c r="LDB50" s="478"/>
      <c r="LDC50" s="478"/>
      <c r="LDD50" s="478"/>
      <c r="LDE50" s="478"/>
      <c r="LDF50" s="478"/>
      <c r="LDG50" s="478"/>
      <c r="LDH50" s="478"/>
      <c r="LDI50" s="478"/>
      <c r="LDJ50" s="478"/>
      <c r="LDK50" s="478"/>
      <c r="LDL50" s="478"/>
      <c r="LDM50" s="478"/>
      <c r="LDN50" s="478"/>
      <c r="LDO50" s="478"/>
      <c r="LDP50" s="478"/>
      <c r="LDQ50" s="478"/>
      <c r="LDR50" s="478"/>
      <c r="LDS50" s="478"/>
      <c r="LDT50" s="478"/>
      <c r="LDU50" s="478"/>
      <c r="LDV50" s="478"/>
      <c r="LDW50" s="478"/>
      <c r="LDX50" s="478"/>
      <c r="LDY50" s="478"/>
      <c r="LDZ50" s="478"/>
      <c r="LEA50" s="478"/>
      <c r="LEB50" s="478"/>
      <c r="LEC50" s="478"/>
      <c r="LED50" s="478"/>
      <c r="LEE50" s="478"/>
      <c r="LEF50" s="478"/>
      <c r="LEG50" s="478"/>
      <c r="LEH50" s="478"/>
      <c r="LEI50" s="478"/>
      <c r="LEJ50" s="478"/>
      <c r="LEK50" s="478"/>
      <c r="LEL50" s="478"/>
      <c r="LEM50" s="478"/>
      <c r="LEN50" s="478"/>
      <c r="LEO50" s="478"/>
      <c r="LEP50" s="478"/>
      <c r="LEQ50" s="478"/>
      <c r="LER50" s="478"/>
      <c r="LES50" s="478"/>
      <c r="LET50" s="478"/>
      <c r="LEU50" s="478"/>
      <c r="LEV50" s="478"/>
      <c r="LEW50" s="478"/>
      <c r="LEX50" s="478"/>
      <c r="LEY50" s="478"/>
      <c r="LEZ50" s="478"/>
      <c r="LFA50" s="478"/>
      <c r="LFB50" s="478"/>
      <c r="LFC50" s="478"/>
      <c r="LFD50" s="478"/>
      <c r="LFE50" s="478"/>
      <c r="LFF50" s="478"/>
      <c r="LFG50" s="478"/>
      <c r="LFH50" s="478"/>
      <c r="LFI50" s="478"/>
      <c r="LFJ50" s="478"/>
      <c r="LFK50" s="478"/>
      <c r="LFL50" s="478"/>
      <c r="LFM50" s="478"/>
      <c r="LFN50" s="478"/>
      <c r="LFO50" s="478"/>
      <c r="LFP50" s="478"/>
      <c r="LFQ50" s="478"/>
      <c r="LFR50" s="478"/>
      <c r="LFS50" s="478"/>
      <c r="LFT50" s="478"/>
      <c r="LFU50" s="478"/>
      <c r="LFV50" s="478"/>
      <c r="LFW50" s="478"/>
      <c r="LFX50" s="478"/>
      <c r="LFY50" s="478"/>
      <c r="LFZ50" s="478"/>
      <c r="LGA50" s="478"/>
      <c r="LGB50" s="478"/>
      <c r="LGC50" s="478"/>
      <c r="LGD50" s="478"/>
      <c r="LGE50" s="478"/>
      <c r="LGF50" s="478"/>
      <c r="LGG50" s="478"/>
      <c r="LGH50" s="478"/>
      <c r="LGI50" s="478"/>
      <c r="LGJ50" s="478"/>
      <c r="LGK50" s="478"/>
      <c r="LGL50" s="478"/>
      <c r="LGM50" s="478"/>
      <c r="LGN50" s="478"/>
      <c r="LGO50" s="478"/>
      <c r="LGP50" s="478"/>
      <c r="LGQ50" s="478"/>
      <c r="LGR50" s="478"/>
      <c r="LGS50" s="478"/>
      <c r="LGT50" s="478"/>
      <c r="LGU50" s="478"/>
      <c r="LGV50" s="478"/>
      <c r="LGW50" s="478"/>
      <c r="LGX50" s="478"/>
      <c r="LGY50" s="478"/>
      <c r="LGZ50" s="478"/>
      <c r="LHA50" s="478"/>
      <c r="LHB50" s="478"/>
      <c r="LHC50" s="478"/>
      <c r="LHD50" s="478"/>
      <c r="LHE50" s="478"/>
      <c r="LHF50" s="478"/>
      <c r="LHG50" s="478"/>
      <c r="LHH50" s="478"/>
      <c r="LHI50" s="478"/>
      <c r="LHJ50" s="478"/>
      <c r="LHK50" s="478"/>
      <c r="LHL50" s="478"/>
      <c r="LHM50" s="478"/>
      <c r="LHN50" s="478"/>
      <c r="LHO50" s="478"/>
      <c r="LHP50" s="478"/>
      <c r="LHQ50" s="478"/>
      <c r="LHR50" s="478"/>
      <c r="LHS50" s="478"/>
      <c r="LHT50" s="478"/>
      <c r="LHU50" s="478"/>
      <c r="LHV50" s="478"/>
      <c r="LHW50" s="478"/>
      <c r="LHX50" s="478"/>
      <c r="LHY50" s="478"/>
      <c r="LHZ50" s="478"/>
      <c r="LIA50" s="478"/>
      <c r="LIB50" s="478"/>
      <c r="LIC50" s="478"/>
      <c r="LID50" s="478"/>
      <c r="LIE50" s="478"/>
      <c r="LIF50" s="478"/>
      <c r="LIG50" s="478"/>
      <c r="LIH50" s="478"/>
      <c r="LII50" s="478"/>
      <c r="LIJ50" s="478"/>
      <c r="LIK50" s="478"/>
      <c r="LIL50" s="478"/>
      <c r="LIM50" s="478"/>
      <c r="LIN50" s="478"/>
      <c r="LIO50" s="478"/>
      <c r="LIP50" s="478"/>
      <c r="LIQ50" s="478"/>
      <c r="LIR50" s="478"/>
      <c r="LIS50" s="478"/>
      <c r="LIT50" s="478"/>
      <c r="LIU50" s="478"/>
      <c r="LIV50" s="478"/>
      <c r="LIW50" s="478"/>
      <c r="LIX50" s="478"/>
      <c r="LIY50" s="478"/>
      <c r="LIZ50" s="478"/>
      <c r="LJA50" s="478"/>
      <c r="LJB50" s="478"/>
      <c r="LJC50" s="478"/>
      <c r="LJD50" s="478"/>
      <c r="LJE50" s="478"/>
      <c r="LJF50" s="478"/>
      <c r="LJG50" s="478"/>
      <c r="LJH50" s="478"/>
      <c r="LJI50" s="478"/>
      <c r="LJJ50" s="478"/>
      <c r="LJK50" s="478"/>
      <c r="LJL50" s="478"/>
      <c r="LJM50" s="478"/>
      <c r="LJN50" s="478"/>
      <c r="LJO50" s="478"/>
      <c r="LJP50" s="478"/>
      <c r="LJQ50" s="478"/>
      <c r="LJR50" s="478"/>
      <c r="LJS50" s="478"/>
      <c r="LJT50" s="478"/>
      <c r="LJU50" s="478"/>
      <c r="LJV50" s="478"/>
      <c r="LJW50" s="478"/>
      <c r="LJX50" s="478"/>
      <c r="LJY50" s="478"/>
      <c r="LJZ50" s="478"/>
      <c r="LKA50" s="478"/>
      <c r="LKB50" s="478"/>
      <c r="LKC50" s="478"/>
      <c r="LKD50" s="478"/>
      <c r="LKE50" s="478"/>
      <c r="LKF50" s="478"/>
      <c r="LKG50" s="478"/>
      <c r="LKH50" s="478"/>
      <c r="LKI50" s="478"/>
      <c r="LKJ50" s="478"/>
      <c r="LKK50" s="478"/>
      <c r="LKL50" s="478"/>
      <c r="LKM50" s="478"/>
      <c r="LKN50" s="478"/>
      <c r="LKO50" s="478"/>
      <c r="LKP50" s="478"/>
      <c r="LKQ50" s="478"/>
      <c r="LKR50" s="478"/>
      <c r="LKS50" s="478"/>
      <c r="LKT50" s="478"/>
      <c r="LKU50" s="478"/>
      <c r="LKV50" s="478"/>
      <c r="LKW50" s="478"/>
      <c r="LKX50" s="478"/>
      <c r="LKY50" s="478"/>
      <c r="LKZ50" s="478"/>
      <c r="LLA50" s="478"/>
      <c r="LLB50" s="478"/>
      <c r="LLC50" s="478"/>
      <c r="LLD50" s="478"/>
      <c r="LLE50" s="478"/>
      <c r="LLF50" s="478"/>
      <c r="LLG50" s="478"/>
      <c r="LLH50" s="478"/>
      <c r="LLI50" s="478"/>
      <c r="LLJ50" s="478"/>
      <c r="LLK50" s="478"/>
      <c r="LLL50" s="478"/>
      <c r="LLM50" s="478"/>
      <c r="LLN50" s="478"/>
      <c r="LLO50" s="478"/>
      <c r="LLP50" s="478"/>
      <c r="LLQ50" s="478"/>
      <c r="LLR50" s="478"/>
      <c r="LLS50" s="478"/>
      <c r="LLT50" s="478"/>
      <c r="LLU50" s="478"/>
      <c r="LLV50" s="478"/>
      <c r="LLW50" s="478"/>
      <c r="LLX50" s="478"/>
      <c r="LLY50" s="478"/>
      <c r="LLZ50" s="478"/>
      <c r="LMA50" s="478"/>
      <c r="LMB50" s="478"/>
      <c r="LMC50" s="478"/>
      <c r="LMD50" s="478"/>
      <c r="LME50" s="478"/>
      <c r="LMF50" s="478"/>
      <c r="LMG50" s="478"/>
      <c r="LMH50" s="478"/>
      <c r="LMI50" s="478"/>
      <c r="LMJ50" s="478"/>
      <c r="LMK50" s="478"/>
      <c r="LML50" s="478"/>
      <c r="LMM50" s="478"/>
      <c r="LMN50" s="478"/>
      <c r="LMO50" s="478"/>
      <c r="LMP50" s="478"/>
      <c r="LMQ50" s="478"/>
      <c r="LMR50" s="478"/>
      <c r="LMS50" s="478"/>
      <c r="LMT50" s="478"/>
      <c r="LMU50" s="478"/>
      <c r="LMV50" s="478"/>
      <c r="LMW50" s="478"/>
      <c r="LMX50" s="478"/>
      <c r="LMY50" s="478"/>
      <c r="LMZ50" s="478"/>
      <c r="LNA50" s="478"/>
      <c r="LNB50" s="478"/>
      <c r="LNC50" s="478"/>
      <c r="LND50" s="478"/>
      <c r="LNE50" s="478"/>
      <c r="LNF50" s="478"/>
      <c r="LNG50" s="478"/>
      <c r="LNH50" s="478"/>
      <c r="LNI50" s="478"/>
      <c r="LNJ50" s="478"/>
      <c r="LNK50" s="478"/>
      <c r="LNL50" s="478"/>
      <c r="LNM50" s="478"/>
      <c r="LNN50" s="478"/>
      <c r="LNO50" s="478"/>
      <c r="LNP50" s="478"/>
      <c r="LNQ50" s="478"/>
      <c r="LNR50" s="478"/>
      <c r="LNS50" s="478"/>
      <c r="LNT50" s="478"/>
      <c r="LNU50" s="478"/>
      <c r="LNV50" s="478"/>
      <c r="LNW50" s="478"/>
      <c r="LNX50" s="478"/>
      <c r="LNY50" s="478"/>
      <c r="LNZ50" s="478"/>
      <c r="LOA50" s="478"/>
      <c r="LOB50" s="478"/>
      <c r="LOC50" s="478"/>
      <c r="LOD50" s="478"/>
      <c r="LOE50" s="478"/>
      <c r="LOF50" s="478"/>
      <c r="LOG50" s="478"/>
      <c r="LOH50" s="478"/>
      <c r="LOI50" s="478"/>
      <c r="LOJ50" s="478"/>
      <c r="LOK50" s="478"/>
      <c r="LOL50" s="478"/>
      <c r="LOM50" s="478"/>
      <c r="LON50" s="478"/>
      <c r="LOO50" s="478"/>
      <c r="LOP50" s="478"/>
      <c r="LOQ50" s="478"/>
      <c r="LOR50" s="478"/>
      <c r="LOS50" s="478"/>
      <c r="LOT50" s="478"/>
      <c r="LOU50" s="478"/>
      <c r="LOV50" s="478"/>
      <c r="LOW50" s="478"/>
      <c r="LOX50" s="478"/>
      <c r="LOY50" s="478"/>
      <c r="LOZ50" s="478"/>
      <c r="LPA50" s="478"/>
      <c r="LPB50" s="478"/>
      <c r="LPC50" s="478"/>
      <c r="LPD50" s="478"/>
      <c r="LPE50" s="478"/>
      <c r="LPF50" s="478"/>
      <c r="LPG50" s="478"/>
      <c r="LPH50" s="478"/>
      <c r="LPI50" s="478"/>
      <c r="LPJ50" s="478"/>
      <c r="LPK50" s="478"/>
      <c r="LPL50" s="478"/>
      <c r="LPM50" s="478"/>
      <c r="LPN50" s="478"/>
      <c r="LPO50" s="478"/>
      <c r="LPP50" s="478"/>
      <c r="LPQ50" s="478"/>
      <c r="LPR50" s="478"/>
      <c r="LPS50" s="478"/>
      <c r="LPT50" s="478"/>
      <c r="LPU50" s="478"/>
      <c r="LPV50" s="478"/>
      <c r="LPW50" s="478"/>
      <c r="LPX50" s="478"/>
      <c r="LPY50" s="478"/>
      <c r="LPZ50" s="478"/>
      <c r="LQA50" s="478"/>
      <c r="LQB50" s="478"/>
      <c r="LQC50" s="478"/>
      <c r="LQD50" s="478"/>
      <c r="LQE50" s="478"/>
      <c r="LQF50" s="478"/>
      <c r="LQG50" s="478"/>
      <c r="LQH50" s="478"/>
      <c r="LQI50" s="478"/>
      <c r="LQJ50" s="478"/>
      <c r="LQK50" s="478"/>
      <c r="LQL50" s="478"/>
      <c r="LQM50" s="478"/>
      <c r="LQN50" s="478"/>
      <c r="LQO50" s="478"/>
      <c r="LQP50" s="478"/>
      <c r="LQQ50" s="478"/>
      <c r="LQR50" s="478"/>
      <c r="LQS50" s="478"/>
      <c r="LQT50" s="478"/>
      <c r="LQU50" s="478"/>
      <c r="LQV50" s="478"/>
      <c r="LQW50" s="478"/>
      <c r="LQX50" s="478"/>
      <c r="LQY50" s="478"/>
      <c r="LQZ50" s="478"/>
      <c r="LRA50" s="478"/>
      <c r="LRB50" s="478"/>
      <c r="LRC50" s="478"/>
      <c r="LRD50" s="478"/>
      <c r="LRE50" s="478"/>
      <c r="LRF50" s="478"/>
      <c r="LRG50" s="478"/>
      <c r="LRH50" s="478"/>
      <c r="LRI50" s="478"/>
      <c r="LRJ50" s="478"/>
      <c r="LRK50" s="478"/>
      <c r="LRL50" s="478"/>
      <c r="LRM50" s="478"/>
      <c r="LRN50" s="478"/>
      <c r="LRO50" s="478"/>
      <c r="LRP50" s="478"/>
      <c r="LRQ50" s="478"/>
      <c r="LRR50" s="478"/>
      <c r="LRS50" s="478"/>
      <c r="LRT50" s="478"/>
      <c r="LRU50" s="478"/>
      <c r="LRV50" s="478"/>
      <c r="LRW50" s="478"/>
      <c r="LRX50" s="478"/>
      <c r="LRY50" s="478"/>
      <c r="LRZ50" s="478"/>
      <c r="LSA50" s="478"/>
      <c r="LSB50" s="478"/>
      <c r="LSC50" s="478"/>
      <c r="LSD50" s="478"/>
      <c r="LSE50" s="478"/>
      <c r="LSF50" s="478"/>
      <c r="LSG50" s="478"/>
      <c r="LSH50" s="478"/>
      <c r="LSI50" s="478"/>
      <c r="LSJ50" s="478"/>
      <c r="LSK50" s="478"/>
      <c r="LSL50" s="478"/>
      <c r="LSM50" s="478"/>
      <c r="LSN50" s="478"/>
      <c r="LSO50" s="478"/>
      <c r="LSP50" s="478"/>
      <c r="LSQ50" s="478"/>
      <c r="LSR50" s="478"/>
      <c r="LSS50" s="478"/>
      <c r="LST50" s="478"/>
      <c r="LSU50" s="478"/>
      <c r="LSV50" s="478"/>
      <c r="LSW50" s="478"/>
      <c r="LSX50" s="478"/>
      <c r="LSY50" s="478"/>
      <c r="LSZ50" s="478"/>
      <c r="LTA50" s="478"/>
      <c r="LTB50" s="478"/>
      <c r="LTC50" s="478"/>
      <c r="LTD50" s="478"/>
      <c r="LTE50" s="478"/>
      <c r="LTF50" s="478"/>
      <c r="LTG50" s="478"/>
      <c r="LTH50" s="478"/>
      <c r="LTI50" s="478"/>
      <c r="LTJ50" s="478"/>
      <c r="LTK50" s="478"/>
      <c r="LTL50" s="478"/>
      <c r="LTM50" s="478"/>
      <c r="LTN50" s="478"/>
      <c r="LTO50" s="478"/>
      <c r="LTP50" s="478"/>
      <c r="LTQ50" s="478"/>
      <c r="LTR50" s="478"/>
      <c r="LTS50" s="478"/>
      <c r="LTT50" s="478"/>
      <c r="LTU50" s="478"/>
      <c r="LTV50" s="478"/>
      <c r="LTW50" s="478"/>
      <c r="LTX50" s="478"/>
      <c r="LTY50" s="478"/>
      <c r="LTZ50" s="478"/>
      <c r="LUA50" s="478"/>
      <c r="LUB50" s="478"/>
      <c r="LUC50" s="478"/>
      <c r="LUD50" s="478"/>
      <c r="LUE50" s="478"/>
      <c r="LUF50" s="478"/>
      <c r="LUG50" s="478"/>
      <c r="LUH50" s="478"/>
      <c r="LUI50" s="478"/>
      <c r="LUJ50" s="478"/>
      <c r="LUK50" s="478"/>
      <c r="LUL50" s="478"/>
      <c r="LUM50" s="478"/>
      <c r="LUN50" s="478"/>
      <c r="LUO50" s="478"/>
      <c r="LUP50" s="478"/>
      <c r="LUQ50" s="478"/>
      <c r="LUR50" s="478"/>
      <c r="LUS50" s="478"/>
      <c r="LUT50" s="478"/>
      <c r="LUU50" s="478"/>
      <c r="LUV50" s="478"/>
      <c r="LUW50" s="478"/>
      <c r="LUX50" s="478"/>
      <c r="LUY50" s="478"/>
      <c r="LUZ50" s="478"/>
      <c r="LVA50" s="478"/>
      <c r="LVB50" s="478"/>
      <c r="LVC50" s="478"/>
      <c r="LVD50" s="478"/>
      <c r="LVE50" s="478"/>
      <c r="LVF50" s="478"/>
      <c r="LVG50" s="478"/>
      <c r="LVH50" s="478"/>
      <c r="LVI50" s="478"/>
      <c r="LVJ50" s="478"/>
      <c r="LVK50" s="478"/>
      <c r="LVL50" s="478"/>
      <c r="LVM50" s="478"/>
      <c r="LVN50" s="478"/>
      <c r="LVO50" s="478"/>
      <c r="LVP50" s="478"/>
      <c r="LVQ50" s="478"/>
      <c r="LVR50" s="478"/>
      <c r="LVS50" s="478"/>
      <c r="LVT50" s="478"/>
      <c r="LVU50" s="478"/>
      <c r="LVV50" s="478"/>
      <c r="LVW50" s="478"/>
      <c r="LVX50" s="478"/>
      <c r="LVY50" s="478"/>
      <c r="LVZ50" s="478"/>
      <c r="LWA50" s="478"/>
      <c r="LWB50" s="478"/>
      <c r="LWC50" s="478"/>
      <c r="LWD50" s="478"/>
      <c r="LWE50" s="478"/>
      <c r="LWF50" s="478"/>
      <c r="LWG50" s="478"/>
      <c r="LWH50" s="478"/>
      <c r="LWI50" s="478"/>
      <c r="LWJ50" s="478"/>
      <c r="LWK50" s="478"/>
      <c r="LWL50" s="478"/>
      <c r="LWM50" s="478"/>
      <c r="LWN50" s="478"/>
      <c r="LWO50" s="478"/>
      <c r="LWP50" s="478"/>
      <c r="LWQ50" s="478"/>
      <c r="LWR50" s="478"/>
      <c r="LWS50" s="478"/>
      <c r="LWT50" s="478"/>
      <c r="LWU50" s="478"/>
      <c r="LWV50" s="478"/>
      <c r="LWW50" s="478"/>
      <c r="LWX50" s="478"/>
      <c r="LWY50" s="478"/>
      <c r="LWZ50" s="478"/>
      <c r="LXA50" s="478"/>
      <c r="LXB50" s="478"/>
      <c r="LXC50" s="478"/>
      <c r="LXD50" s="478"/>
      <c r="LXE50" s="478"/>
      <c r="LXF50" s="478"/>
      <c r="LXG50" s="478"/>
      <c r="LXH50" s="478"/>
      <c r="LXI50" s="478"/>
      <c r="LXJ50" s="478"/>
      <c r="LXK50" s="478"/>
      <c r="LXL50" s="478"/>
      <c r="LXM50" s="478"/>
      <c r="LXN50" s="478"/>
      <c r="LXO50" s="478"/>
      <c r="LXP50" s="478"/>
      <c r="LXQ50" s="478"/>
      <c r="LXR50" s="478"/>
      <c r="LXS50" s="478"/>
      <c r="LXT50" s="478"/>
      <c r="LXU50" s="478"/>
      <c r="LXV50" s="478"/>
      <c r="LXW50" s="478"/>
      <c r="LXX50" s="478"/>
      <c r="LXY50" s="478"/>
      <c r="LXZ50" s="478"/>
      <c r="LYA50" s="478"/>
      <c r="LYB50" s="478"/>
      <c r="LYC50" s="478"/>
      <c r="LYD50" s="478"/>
      <c r="LYE50" s="478"/>
      <c r="LYF50" s="478"/>
      <c r="LYG50" s="478"/>
      <c r="LYH50" s="478"/>
      <c r="LYI50" s="478"/>
      <c r="LYJ50" s="478"/>
      <c r="LYK50" s="478"/>
      <c r="LYL50" s="478"/>
      <c r="LYM50" s="478"/>
      <c r="LYN50" s="478"/>
      <c r="LYO50" s="478"/>
      <c r="LYP50" s="478"/>
      <c r="LYQ50" s="478"/>
      <c r="LYR50" s="478"/>
      <c r="LYS50" s="478"/>
      <c r="LYT50" s="478"/>
      <c r="LYU50" s="478"/>
      <c r="LYV50" s="478"/>
      <c r="LYW50" s="478"/>
      <c r="LYX50" s="478"/>
      <c r="LYY50" s="478"/>
      <c r="LYZ50" s="478"/>
      <c r="LZA50" s="478"/>
      <c r="LZB50" s="478"/>
      <c r="LZC50" s="478"/>
      <c r="LZD50" s="478"/>
      <c r="LZE50" s="478"/>
      <c r="LZF50" s="478"/>
      <c r="LZG50" s="478"/>
      <c r="LZH50" s="478"/>
      <c r="LZI50" s="478"/>
      <c r="LZJ50" s="478"/>
      <c r="LZK50" s="478"/>
      <c r="LZL50" s="478"/>
      <c r="LZM50" s="478"/>
      <c r="LZN50" s="478"/>
      <c r="LZO50" s="478"/>
      <c r="LZP50" s="478"/>
      <c r="LZQ50" s="478"/>
      <c r="LZR50" s="478"/>
      <c r="LZS50" s="478"/>
      <c r="LZT50" s="478"/>
      <c r="LZU50" s="478"/>
      <c r="LZV50" s="478"/>
      <c r="LZW50" s="478"/>
      <c r="LZX50" s="478"/>
      <c r="LZY50" s="478"/>
      <c r="LZZ50" s="478"/>
      <c r="MAA50" s="478"/>
      <c r="MAB50" s="478"/>
      <c r="MAC50" s="478"/>
      <c r="MAD50" s="478"/>
      <c r="MAE50" s="478"/>
      <c r="MAF50" s="478"/>
      <c r="MAG50" s="478"/>
      <c r="MAH50" s="478"/>
      <c r="MAI50" s="478"/>
      <c r="MAJ50" s="478"/>
      <c r="MAK50" s="478"/>
      <c r="MAL50" s="478"/>
      <c r="MAM50" s="478"/>
      <c r="MAN50" s="478"/>
      <c r="MAO50" s="478"/>
      <c r="MAP50" s="478"/>
      <c r="MAQ50" s="478"/>
      <c r="MAR50" s="478"/>
      <c r="MAS50" s="478"/>
      <c r="MAT50" s="478"/>
      <c r="MAU50" s="478"/>
      <c r="MAV50" s="478"/>
      <c r="MAW50" s="478"/>
      <c r="MAX50" s="478"/>
      <c r="MAY50" s="478"/>
      <c r="MAZ50" s="478"/>
      <c r="MBA50" s="478"/>
      <c r="MBB50" s="478"/>
      <c r="MBC50" s="478"/>
      <c r="MBD50" s="478"/>
      <c r="MBE50" s="478"/>
      <c r="MBF50" s="478"/>
      <c r="MBG50" s="478"/>
      <c r="MBH50" s="478"/>
      <c r="MBI50" s="478"/>
      <c r="MBJ50" s="478"/>
      <c r="MBK50" s="478"/>
      <c r="MBL50" s="478"/>
      <c r="MBM50" s="478"/>
      <c r="MBN50" s="478"/>
      <c r="MBO50" s="478"/>
      <c r="MBP50" s="478"/>
      <c r="MBQ50" s="478"/>
      <c r="MBR50" s="478"/>
      <c r="MBS50" s="478"/>
      <c r="MBT50" s="478"/>
      <c r="MBU50" s="478"/>
      <c r="MBV50" s="478"/>
      <c r="MBW50" s="478"/>
      <c r="MBX50" s="478"/>
      <c r="MBY50" s="478"/>
      <c r="MBZ50" s="478"/>
      <c r="MCA50" s="478"/>
      <c r="MCB50" s="478"/>
      <c r="MCC50" s="478"/>
      <c r="MCD50" s="478"/>
      <c r="MCE50" s="478"/>
      <c r="MCF50" s="478"/>
      <c r="MCG50" s="478"/>
      <c r="MCH50" s="478"/>
      <c r="MCI50" s="478"/>
      <c r="MCJ50" s="478"/>
      <c r="MCK50" s="478"/>
      <c r="MCL50" s="478"/>
      <c r="MCM50" s="478"/>
      <c r="MCN50" s="478"/>
      <c r="MCO50" s="478"/>
      <c r="MCP50" s="478"/>
      <c r="MCQ50" s="478"/>
      <c r="MCR50" s="478"/>
      <c r="MCS50" s="478"/>
      <c r="MCT50" s="478"/>
      <c r="MCU50" s="478"/>
      <c r="MCV50" s="478"/>
      <c r="MCW50" s="478"/>
      <c r="MCX50" s="478"/>
      <c r="MCY50" s="478"/>
      <c r="MCZ50" s="478"/>
      <c r="MDA50" s="478"/>
      <c r="MDB50" s="478"/>
      <c r="MDC50" s="478"/>
      <c r="MDD50" s="478"/>
      <c r="MDE50" s="478"/>
      <c r="MDF50" s="478"/>
      <c r="MDG50" s="478"/>
      <c r="MDH50" s="478"/>
      <c r="MDI50" s="478"/>
      <c r="MDJ50" s="478"/>
      <c r="MDK50" s="478"/>
      <c r="MDL50" s="478"/>
      <c r="MDM50" s="478"/>
      <c r="MDN50" s="478"/>
      <c r="MDO50" s="478"/>
      <c r="MDP50" s="478"/>
      <c r="MDQ50" s="478"/>
      <c r="MDR50" s="478"/>
      <c r="MDS50" s="478"/>
      <c r="MDT50" s="478"/>
      <c r="MDU50" s="478"/>
      <c r="MDV50" s="478"/>
      <c r="MDW50" s="478"/>
      <c r="MDX50" s="478"/>
      <c r="MDY50" s="478"/>
      <c r="MDZ50" s="478"/>
      <c r="MEA50" s="478"/>
      <c r="MEB50" s="478"/>
      <c r="MEC50" s="478"/>
      <c r="MED50" s="478"/>
      <c r="MEE50" s="478"/>
      <c r="MEF50" s="478"/>
      <c r="MEG50" s="478"/>
      <c r="MEH50" s="478"/>
      <c r="MEI50" s="478"/>
      <c r="MEJ50" s="478"/>
      <c r="MEK50" s="478"/>
      <c r="MEL50" s="478"/>
      <c r="MEM50" s="478"/>
      <c r="MEN50" s="478"/>
      <c r="MEO50" s="478"/>
      <c r="MEP50" s="478"/>
      <c r="MEQ50" s="478"/>
      <c r="MER50" s="478"/>
      <c r="MES50" s="478"/>
      <c r="MET50" s="478"/>
      <c r="MEU50" s="478"/>
      <c r="MEV50" s="478"/>
      <c r="MEW50" s="478"/>
      <c r="MEX50" s="478"/>
      <c r="MEY50" s="478"/>
      <c r="MEZ50" s="478"/>
      <c r="MFA50" s="478"/>
      <c r="MFB50" s="478"/>
      <c r="MFC50" s="478"/>
      <c r="MFD50" s="478"/>
      <c r="MFE50" s="478"/>
      <c r="MFF50" s="478"/>
      <c r="MFG50" s="478"/>
      <c r="MFH50" s="478"/>
      <c r="MFI50" s="478"/>
      <c r="MFJ50" s="478"/>
      <c r="MFK50" s="478"/>
      <c r="MFL50" s="478"/>
      <c r="MFM50" s="478"/>
      <c r="MFN50" s="478"/>
      <c r="MFO50" s="478"/>
      <c r="MFP50" s="478"/>
      <c r="MFQ50" s="478"/>
      <c r="MFR50" s="478"/>
      <c r="MFS50" s="478"/>
      <c r="MFT50" s="478"/>
      <c r="MFU50" s="478"/>
      <c r="MFV50" s="478"/>
      <c r="MFW50" s="478"/>
      <c r="MFX50" s="478"/>
      <c r="MFY50" s="478"/>
      <c r="MFZ50" s="478"/>
      <c r="MGA50" s="478"/>
      <c r="MGB50" s="478"/>
      <c r="MGC50" s="478"/>
      <c r="MGD50" s="478"/>
      <c r="MGE50" s="478"/>
      <c r="MGF50" s="478"/>
      <c r="MGG50" s="478"/>
      <c r="MGH50" s="478"/>
      <c r="MGI50" s="478"/>
      <c r="MGJ50" s="478"/>
      <c r="MGK50" s="478"/>
      <c r="MGL50" s="478"/>
      <c r="MGM50" s="478"/>
      <c r="MGN50" s="478"/>
      <c r="MGO50" s="478"/>
      <c r="MGP50" s="478"/>
      <c r="MGQ50" s="478"/>
      <c r="MGR50" s="478"/>
      <c r="MGS50" s="478"/>
      <c r="MGT50" s="478"/>
      <c r="MGU50" s="478"/>
      <c r="MGV50" s="478"/>
      <c r="MGW50" s="478"/>
      <c r="MGX50" s="478"/>
      <c r="MGY50" s="478"/>
      <c r="MGZ50" s="478"/>
      <c r="MHA50" s="478"/>
      <c r="MHB50" s="478"/>
      <c r="MHC50" s="478"/>
      <c r="MHD50" s="478"/>
      <c r="MHE50" s="478"/>
      <c r="MHF50" s="478"/>
      <c r="MHG50" s="478"/>
      <c r="MHH50" s="478"/>
      <c r="MHI50" s="478"/>
      <c r="MHJ50" s="478"/>
      <c r="MHK50" s="478"/>
      <c r="MHL50" s="478"/>
      <c r="MHM50" s="478"/>
      <c r="MHN50" s="478"/>
      <c r="MHO50" s="478"/>
      <c r="MHP50" s="478"/>
      <c r="MHQ50" s="478"/>
      <c r="MHR50" s="478"/>
      <c r="MHS50" s="478"/>
      <c r="MHT50" s="478"/>
      <c r="MHU50" s="478"/>
      <c r="MHV50" s="478"/>
      <c r="MHW50" s="478"/>
      <c r="MHX50" s="478"/>
      <c r="MHY50" s="478"/>
      <c r="MHZ50" s="478"/>
      <c r="MIA50" s="478"/>
      <c r="MIB50" s="478"/>
      <c r="MIC50" s="478"/>
      <c r="MID50" s="478"/>
      <c r="MIE50" s="478"/>
      <c r="MIF50" s="478"/>
      <c r="MIG50" s="478"/>
      <c r="MIH50" s="478"/>
      <c r="MII50" s="478"/>
      <c r="MIJ50" s="478"/>
      <c r="MIK50" s="478"/>
      <c r="MIL50" s="478"/>
      <c r="MIM50" s="478"/>
      <c r="MIN50" s="478"/>
      <c r="MIO50" s="478"/>
      <c r="MIP50" s="478"/>
      <c r="MIQ50" s="478"/>
      <c r="MIR50" s="478"/>
      <c r="MIS50" s="478"/>
      <c r="MIT50" s="478"/>
      <c r="MIU50" s="478"/>
      <c r="MIV50" s="478"/>
      <c r="MIW50" s="478"/>
      <c r="MIX50" s="478"/>
      <c r="MIY50" s="478"/>
      <c r="MIZ50" s="478"/>
      <c r="MJA50" s="478"/>
      <c r="MJB50" s="478"/>
      <c r="MJC50" s="478"/>
      <c r="MJD50" s="478"/>
      <c r="MJE50" s="478"/>
      <c r="MJF50" s="478"/>
      <c r="MJG50" s="478"/>
      <c r="MJH50" s="478"/>
      <c r="MJI50" s="478"/>
      <c r="MJJ50" s="478"/>
      <c r="MJK50" s="478"/>
      <c r="MJL50" s="478"/>
      <c r="MJM50" s="478"/>
      <c r="MJN50" s="478"/>
      <c r="MJO50" s="478"/>
      <c r="MJP50" s="478"/>
      <c r="MJQ50" s="478"/>
      <c r="MJR50" s="478"/>
      <c r="MJS50" s="478"/>
      <c r="MJT50" s="478"/>
      <c r="MJU50" s="478"/>
      <c r="MJV50" s="478"/>
      <c r="MJW50" s="478"/>
      <c r="MJX50" s="478"/>
      <c r="MJY50" s="478"/>
      <c r="MJZ50" s="478"/>
      <c r="MKA50" s="478"/>
      <c r="MKB50" s="478"/>
      <c r="MKC50" s="478"/>
      <c r="MKD50" s="478"/>
      <c r="MKE50" s="478"/>
      <c r="MKF50" s="478"/>
      <c r="MKG50" s="478"/>
      <c r="MKH50" s="478"/>
      <c r="MKI50" s="478"/>
      <c r="MKJ50" s="478"/>
      <c r="MKK50" s="478"/>
      <c r="MKL50" s="478"/>
      <c r="MKM50" s="478"/>
      <c r="MKN50" s="478"/>
      <c r="MKO50" s="478"/>
      <c r="MKP50" s="478"/>
      <c r="MKQ50" s="478"/>
      <c r="MKR50" s="478"/>
      <c r="MKS50" s="478"/>
      <c r="MKT50" s="478"/>
      <c r="MKU50" s="478"/>
      <c r="MKV50" s="478"/>
      <c r="MKW50" s="478"/>
      <c r="MKX50" s="478"/>
      <c r="MKY50" s="478"/>
      <c r="MKZ50" s="478"/>
      <c r="MLA50" s="478"/>
      <c r="MLB50" s="478"/>
      <c r="MLC50" s="478"/>
      <c r="MLD50" s="478"/>
      <c r="MLE50" s="478"/>
      <c r="MLF50" s="478"/>
      <c r="MLG50" s="478"/>
      <c r="MLH50" s="478"/>
      <c r="MLI50" s="478"/>
      <c r="MLJ50" s="478"/>
      <c r="MLK50" s="478"/>
      <c r="MLL50" s="478"/>
      <c r="MLM50" s="478"/>
      <c r="MLN50" s="478"/>
      <c r="MLO50" s="478"/>
      <c r="MLP50" s="478"/>
      <c r="MLQ50" s="478"/>
      <c r="MLR50" s="478"/>
      <c r="MLS50" s="478"/>
      <c r="MLT50" s="478"/>
      <c r="MLU50" s="478"/>
      <c r="MLV50" s="478"/>
      <c r="MLW50" s="478"/>
      <c r="MLX50" s="478"/>
      <c r="MLY50" s="478"/>
      <c r="MLZ50" s="478"/>
      <c r="MMA50" s="478"/>
      <c r="MMB50" s="478"/>
      <c r="MMC50" s="478"/>
      <c r="MMD50" s="478"/>
      <c r="MME50" s="478"/>
      <c r="MMF50" s="478"/>
      <c r="MMG50" s="478"/>
      <c r="MMH50" s="478"/>
      <c r="MMI50" s="478"/>
      <c r="MMJ50" s="478"/>
      <c r="MMK50" s="478"/>
      <c r="MML50" s="478"/>
      <c r="MMM50" s="478"/>
      <c r="MMN50" s="478"/>
      <c r="MMO50" s="478"/>
      <c r="MMP50" s="478"/>
      <c r="MMQ50" s="478"/>
      <c r="MMR50" s="478"/>
      <c r="MMS50" s="478"/>
      <c r="MMT50" s="478"/>
      <c r="MMU50" s="478"/>
      <c r="MMV50" s="478"/>
      <c r="MMW50" s="478"/>
      <c r="MMX50" s="478"/>
      <c r="MMY50" s="478"/>
      <c r="MMZ50" s="478"/>
      <c r="MNA50" s="478"/>
      <c r="MNB50" s="478"/>
      <c r="MNC50" s="478"/>
      <c r="MND50" s="478"/>
      <c r="MNE50" s="478"/>
      <c r="MNF50" s="478"/>
      <c r="MNG50" s="478"/>
      <c r="MNH50" s="478"/>
      <c r="MNI50" s="478"/>
      <c r="MNJ50" s="478"/>
      <c r="MNK50" s="478"/>
      <c r="MNL50" s="478"/>
      <c r="MNM50" s="478"/>
      <c r="MNN50" s="478"/>
      <c r="MNO50" s="478"/>
      <c r="MNP50" s="478"/>
      <c r="MNQ50" s="478"/>
      <c r="MNR50" s="478"/>
      <c r="MNS50" s="478"/>
      <c r="MNT50" s="478"/>
      <c r="MNU50" s="478"/>
      <c r="MNV50" s="478"/>
      <c r="MNW50" s="478"/>
      <c r="MNX50" s="478"/>
      <c r="MNY50" s="478"/>
      <c r="MNZ50" s="478"/>
      <c r="MOA50" s="478"/>
      <c r="MOB50" s="478"/>
      <c r="MOC50" s="478"/>
      <c r="MOD50" s="478"/>
      <c r="MOE50" s="478"/>
      <c r="MOF50" s="478"/>
      <c r="MOG50" s="478"/>
      <c r="MOH50" s="478"/>
      <c r="MOI50" s="478"/>
      <c r="MOJ50" s="478"/>
      <c r="MOK50" s="478"/>
      <c r="MOL50" s="478"/>
      <c r="MOM50" s="478"/>
      <c r="MON50" s="478"/>
      <c r="MOO50" s="478"/>
      <c r="MOP50" s="478"/>
      <c r="MOQ50" s="478"/>
      <c r="MOR50" s="478"/>
      <c r="MOS50" s="478"/>
      <c r="MOT50" s="478"/>
      <c r="MOU50" s="478"/>
      <c r="MOV50" s="478"/>
      <c r="MOW50" s="478"/>
      <c r="MOX50" s="478"/>
      <c r="MOY50" s="478"/>
      <c r="MOZ50" s="478"/>
      <c r="MPA50" s="478"/>
      <c r="MPB50" s="478"/>
      <c r="MPC50" s="478"/>
      <c r="MPD50" s="478"/>
      <c r="MPE50" s="478"/>
      <c r="MPF50" s="478"/>
      <c r="MPG50" s="478"/>
      <c r="MPH50" s="478"/>
      <c r="MPI50" s="478"/>
      <c r="MPJ50" s="478"/>
      <c r="MPK50" s="478"/>
      <c r="MPL50" s="478"/>
      <c r="MPM50" s="478"/>
      <c r="MPN50" s="478"/>
      <c r="MPO50" s="478"/>
      <c r="MPP50" s="478"/>
      <c r="MPQ50" s="478"/>
      <c r="MPR50" s="478"/>
      <c r="MPS50" s="478"/>
      <c r="MPT50" s="478"/>
      <c r="MPU50" s="478"/>
      <c r="MPV50" s="478"/>
      <c r="MPW50" s="478"/>
      <c r="MPX50" s="478"/>
      <c r="MPY50" s="478"/>
      <c r="MPZ50" s="478"/>
      <c r="MQA50" s="478"/>
      <c r="MQB50" s="478"/>
      <c r="MQC50" s="478"/>
      <c r="MQD50" s="478"/>
      <c r="MQE50" s="478"/>
      <c r="MQF50" s="478"/>
      <c r="MQG50" s="478"/>
      <c r="MQH50" s="478"/>
      <c r="MQI50" s="478"/>
      <c r="MQJ50" s="478"/>
      <c r="MQK50" s="478"/>
      <c r="MQL50" s="478"/>
      <c r="MQM50" s="478"/>
      <c r="MQN50" s="478"/>
      <c r="MQO50" s="478"/>
      <c r="MQP50" s="478"/>
      <c r="MQQ50" s="478"/>
      <c r="MQR50" s="478"/>
      <c r="MQS50" s="478"/>
      <c r="MQT50" s="478"/>
      <c r="MQU50" s="478"/>
      <c r="MQV50" s="478"/>
      <c r="MQW50" s="478"/>
      <c r="MQX50" s="478"/>
      <c r="MQY50" s="478"/>
      <c r="MQZ50" s="478"/>
      <c r="MRA50" s="478"/>
      <c r="MRB50" s="478"/>
      <c r="MRC50" s="478"/>
      <c r="MRD50" s="478"/>
      <c r="MRE50" s="478"/>
      <c r="MRF50" s="478"/>
      <c r="MRG50" s="478"/>
      <c r="MRH50" s="478"/>
      <c r="MRI50" s="478"/>
      <c r="MRJ50" s="478"/>
      <c r="MRK50" s="478"/>
      <c r="MRL50" s="478"/>
      <c r="MRM50" s="478"/>
      <c r="MRN50" s="478"/>
      <c r="MRO50" s="478"/>
      <c r="MRP50" s="478"/>
      <c r="MRQ50" s="478"/>
      <c r="MRR50" s="478"/>
      <c r="MRS50" s="478"/>
      <c r="MRT50" s="478"/>
      <c r="MRU50" s="478"/>
      <c r="MRV50" s="478"/>
      <c r="MRW50" s="478"/>
      <c r="MRX50" s="478"/>
      <c r="MRY50" s="478"/>
      <c r="MRZ50" s="478"/>
      <c r="MSA50" s="478"/>
      <c r="MSB50" s="478"/>
      <c r="MSC50" s="478"/>
      <c r="MSD50" s="478"/>
      <c r="MSE50" s="478"/>
      <c r="MSF50" s="478"/>
      <c r="MSG50" s="478"/>
      <c r="MSH50" s="478"/>
      <c r="MSI50" s="478"/>
      <c r="MSJ50" s="478"/>
      <c r="MSK50" s="478"/>
      <c r="MSL50" s="478"/>
      <c r="MSM50" s="478"/>
      <c r="MSN50" s="478"/>
      <c r="MSO50" s="478"/>
      <c r="MSP50" s="478"/>
      <c r="MSQ50" s="478"/>
      <c r="MSR50" s="478"/>
      <c r="MSS50" s="478"/>
      <c r="MST50" s="478"/>
      <c r="MSU50" s="478"/>
      <c r="MSV50" s="478"/>
      <c r="MSW50" s="478"/>
      <c r="MSX50" s="478"/>
      <c r="MSY50" s="478"/>
      <c r="MSZ50" s="478"/>
      <c r="MTA50" s="478"/>
      <c r="MTB50" s="478"/>
      <c r="MTC50" s="478"/>
      <c r="MTD50" s="478"/>
      <c r="MTE50" s="478"/>
      <c r="MTF50" s="478"/>
      <c r="MTG50" s="478"/>
      <c r="MTH50" s="478"/>
      <c r="MTI50" s="478"/>
      <c r="MTJ50" s="478"/>
      <c r="MTK50" s="478"/>
      <c r="MTL50" s="478"/>
      <c r="MTM50" s="478"/>
      <c r="MTN50" s="478"/>
      <c r="MTO50" s="478"/>
      <c r="MTP50" s="478"/>
      <c r="MTQ50" s="478"/>
      <c r="MTR50" s="478"/>
      <c r="MTS50" s="478"/>
      <c r="MTT50" s="478"/>
      <c r="MTU50" s="478"/>
      <c r="MTV50" s="478"/>
      <c r="MTW50" s="478"/>
      <c r="MTX50" s="478"/>
      <c r="MTY50" s="478"/>
      <c r="MTZ50" s="478"/>
      <c r="MUA50" s="478"/>
      <c r="MUB50" s="478"/>
      <c r="MUC50" s="478"/>
      <c r="MUD50" s="478"/>
      <c r="MUE50" s="478"/>
      <c r="MUF50" s="478"/>
      <c r="MUG50" s="478"/>
      <c r="MUH50" s="478"/>
      <c r="MUI50" s="478"/>
      <c r="MUJ50" s="478"/>
      <c r="MUK50" s="478"/>
      <c r="MUL50" s="478"/>
      <c r="MUM50" s="478"/>
      <c r="MUN50" s="478"/>
      <c r="MUO50" s="478"/>
      <c r="MUP50" s="478"/>
      <c r="MUQ50" s="478"/>
      <c r="MUR50" s="478"/>
      <c r="MUS50" s="478"/>
      <c r="MUT50" s="478"/>
      <c r="MUU50" s="478"/>
      <c r="MUV50" s="478"/>
      <c r="MUW50" s="478"/>
      <c r="MUX50" s="478"/>
      <c r="MUY50" s="478"/>
      <c r="MUZ50" s="478"/>
      <c r="MVA50" s="478"/>
      <c r="MVB50" s="478"/>
      <c r="MVC50" s="478"/>
      <c r="MVD50" s="478"/>
      <c r="MVE50" s="478"/>
      <c r="MVF50" s="478"/>
      <c r="MVG50" s="478"/>
      <c r="MVH50" s="478"/>
      <c r="MVI50" s="478"/>
      <c r="MVJ50" s="478"/>
      <c r="MVK50" s="478"/>
      <c r="MVL50" s="478"/>
      <c r="MVM50" s="478"/>
      <c r="MVN50" s="478"/>
      <c r="MVO50" s="478"/>
      <c r="MVP50" s="478"/>
      <c r="MVQ50" s="478"/>
      <c r="MVR50" s="478"/>
      <c r="MVS50" s="478"/>
      <c r="MVT50" s="478"/>
      <c r="MVU50" s="478"/>
      <c r="MVV50" s="478"/>
      <c r="MVW50" s="478"/>
      <c r="MVX50" s="478"/>
      <c r="MVY50" s="478"/>
      <c r="MVZ50" s="478"/>
      <c r="MWA50" s="478"/>
      <c r="MWB50" s="478"/>
      <c r="MWC50" s="478"/>
      <c r="MWD50" s="478"/>
      <c r="MWE50" s="478"/>
      <c r="MWF50" s="478"/>
      <c r="MWG50" s="478"/>
      <c r="MWH50" s="478"/>
      <c r="MWI50" s="478"/>
      <c r="MWJ50" s="478"/>
      <c r="MWK50" s="478"/>
      <c r="MWL50" s="478"/>
      <c r="MWM50" s="478"/>
      <c r="MWN50" s="478"/>
      <c r="MWO50" s="478"/>
      <c r="MWP50" s="478"/>
      <c r="MWQ50" s="478"/>
      <c r="MWR50" s="478"/>
      <c r="MWS50" s="478"/>
      <c r="MWT50" s="478"/>
      <c r="MWU50" s="478"/>
      <c r="MWV50" s="478"/>
      <c r="MWW50" s="478"/>
      <c r="MWX50" s="478"/>
      <c r="MWY50" s="478"/>
      <c r="MWZ50" s="478"/>
      <c r="MXA50" s="478"/>
      <c r="MXB50" s="478"/>
      <c r="MXC50" s="478"/>
      <c r="MXD50" s="478"/>
      <c r="MXE50" s="478"/>
      <c r="MXF50" s="478"/>
      <c r="MXG50" s="478"/>
      <c r="MXH50" s="478"/>
      <c r="MXI50" s="478"/>
      <c r="MXJ50" s="478"/>
      <c r="MXK50" s="478"/>
      <c r="MXL50" s="478"/>
      <c r="MXM50" s="478"/>
      <c r="MXN50" s="478"/>
      <c r="MXO50" s="478"/>
      <c r="MXP50" s="478"/>
      <c r="MXQ50" s="478"/>
      <c r="MXR50" s="478"/>
      <c r="MXS50" s="478"/>
      <c r="MXT50" s="478"/>
      <c r="MXU50" s="478"/>
      <c r="MXV50" s="478"/>
      <c r="MXW50" s="478"/>
      <c r="MXX50" s="478"/>
      <c r="MXY50" s="478"/>
      <c r="MXZ50" s="478"/>
      <c r="MYA50" s="478"/>
      <c r="MYB50" s="478"/>
      <c r="MYC50" s="478"/>
      <c r="MYD50" s="478"/>
      <c r="MYE50" s="478"/>
      <c r="MYF50" s="478"/>
      <c r="MYG50" s="478"/>
      <c r="MYH50" s="478"/>
      <c r="MYI50" s="478"/>
      <c r="MYJ50" s="478"/>
      <c r="MYK50" s="478"/>
      <c r="MYL50" s="478"/>
      <c r="MYM50" s="478"/>
      <c r="MYN50" s="478"/>
      <c r="MYO50" s="478"/>
      <c r="MYP50" s="478"/>
      <c r="MYQ50" s="478"/>
      <c r="MYR50" s="478"/>
      <c r="MYS50" s="478"/>
      <c r="MYT50" s="478"/>
      <c r="MYU50" s="478"/>
      <c r="MYV50" s="478"/>
      <c r="MYW50" s="478"/>
      <c r="MYX50" s="478"/>
      <c r="MYY50" s="478"/>
      <c r="MYZ50" s="478"/>
      <c r="MZA50" s="478"/>
      <c r="MZB50" s="478"/>
      <c r="MZC50" s="478"/>
      <c r="MZD50" s="478"/>
      <c r="MZE50" s="478"/>
      <c r="MZF50" s="478"/>
      <c r="MZG50" s="478"/>
      <c r="MZH50" s="478"/>
      <c r="MZI50" s="478"/>
      <c r="MZJ50" s="478"/>
      <c r="MZK50" s="478"/>
      <c r="MZL50" s="478"/>
      <c r="MZM50" s="478"/>
      <c r="MZN50" s="478"/>
      <c r="MZO50" s="478"/>
      <c r="MZP50" s="478"/>
      <c r="MZQ50" s="478"/>
      <c r="MZR50" s="478"/>
      <c r="MZS50" s="478"/>
      <c r="MZT50" s="478"/>
      <c r="MZU50" s="478"/>
      <c r="MZV50" s="478"/>
      <c r="MZW50" s="478"/>
      <c r="MZX50" s="478"/>
      <c r="MZY50" s="478"/>
      <c r="MZZ50" s="478"/>
      <c r="NAA50" s="478"/>
      <c r="NAB50" s="478"/>
      <c r="NAC50" s="478"/>
      <c r="NAD50" s="478"/>
      <c r="NAE50" s="478"/>
      <c r="NAF50" s="478"/>
      <c r="NAG50" s="478"/>
      <c r="NAH50" s="478"/>
      <c r="NAI50" s="478"/>
      <c r="NAJ50" s="478"/>
      <c r="NAK50" s="478"/>
      <c r="NAL50" s="478"/>
      <c r="NAM50" s="478"/>
      <c r="NAN50" s="478"/>
      <c r="NAO50" s="478"/>
      <c r="NAP50" s="478"/>
      <c r="NAQ50" s="478"/>
      <c r="NAR50" s="478"/>
      <c r="NAS50" s="478"/>
      <c r="NAT50" s="478"/>
      <c r="NAU50" s="478"/>
      <c r="NAV50" s="478"/>
      <c r="NAW50" s="478"/>
      <c r="NAX50" s="478"/>
      <c r="NAY50" s="478"/>
      <c r="NAZ50" s="478"/>
      <c r="NBA50" s="478"/>
      <c r="NBB50" s="478"/>
      <c r="NBC50" s="478"/>
      <c r="NBD50" s="478"/>
      <c r="NBE50" s="478"/>
      <c r="NBF50" s="478"/>
      <c r="NBG50" s="478"/>
      <c r="NBH50" s="478"/>
      <c r="NBI50" s="478"/>
      <c r="NBJ50" s="478"/>
      <c r="NBK50" s="478"/>
      <c r="NBL50" s="478"/>
      <c r="NBM50" s="478"/>
      <c r="NBN50" s="478"/>
      <c r="NBO50" s="478"/>
      <c r="NBP50" s="478"/>
      <c r="NBQ50" s="478"/>
      <c r="NBR50" s="478"/>
      <c r="NBS50" s="478"/>
      <c r="NBT50" s="478"/>
      <c r="NBU50" s="478"/>
      <c r="NBV50" s="478"/>
      <c r="NBW50" s="478"/>
      <c r="NBX50" s="478"/>
      <c r="NBY50" s="478"/>
      <c r="NBZ50" s="478"/>
      <c r="NCA50" s="478"/>
      <c r="NCB50" s="478"/>
      <c r="NCC50" s="478"/>
      <c r="NCD50" s="478"/>
      <c r="NCE50" s="478"/>
      <c r="NCF50" s="478"/>
      <c r="NCG50" s="478"/>
      <c r="NCH50" s="478"/>
      <c r="NCI50" s="478"/>
      <c r="NCJ50" s="478"/>
      <c r="NCK50" s="478"/>
      <c r="NCL50" s="478"/>
      <c r="NCM50" s="478"/>
      <c r="NCN50" s="478"/>
      <c r="NCO50" s="478"/>
      <c r="NCP50" s="478"/>
      <c r="NCQ50" s="478"/>
      <c r="NCR50" s="478"/>
      <c r="NCS50" s="478"/>
      <c r="NCT50" s="478"/>
      <c r="NCU50" s="478"/>
      <c r="NCV50" s="478"/>
      <c r="NCW50" s="478"/>
      <c r="NCX50" s="478"/>
      <c r="NCY50" s="478"/>
      <c r="NCZ50" s="478"/>
      <c r="NDA50" s="478"/>
      <c r="NDB50" s="478"/>
      <c r="NDC50" s="478"/>
      <c r="NDD50" s="478"/>
      <c r="NDE50" s="478"/>
      <c r="NDF50" s="478"/>
      <c r="NDG50" s="478"/>
      <c r="NDH50" s="478"/>
      <c r="NDI50" s="478"/>
      <c r="NDJ50" s="478"/>
      <c r="NDK50" s="478"/>
      <c r="NDL50" s="478"/>
      <c r="NDM50" s="478"/>
      <c r="NDN50" s="478"/>
      <c r="NDO50" s="478"/>
      <c r="NDP50" s="478"/>
      <c r="NDQ50" s="478"/>
      <c r="NDR50" s="478"/>
      <c r="NDS50" s="478"/>
      <c r="NDT50" s="478"/>
      <c r="NDU50" s="478"/>
      <c r="NDV50" s="478"/>
      <c r="NDW50" s="478"/>
      <c r="NDX50" s="478"/>
      <c r="NDY50" s="478"/>
      <c r="NDZ50" s="478"/>
      <c r="NEA50" s="478"/>
      <c r="NEB50" s="478"/>
      <c r="NEC50" s="478"/>
      <c r="NED50" s="478"/>
      <c r="NEE50" s="478"/>
      <c r="NEF50" s="478"/>
      <c r="NEG50" s="478"/>
      <c r="NEH50" s="478"/>
      <c r="NEI50" s="478"/>
      <c r="NEJ50" s="478"/>
      <c r="NEK50" s="478"/>
      <c r="NEL50" s="478"/>
      <c r="NEM50" s="478"/>
      <c r="NEN50" s="478"/>
      <c r="NEO50" s="478"/>
      <c r="NEP50" s="478"/>
      <c r="NEQ50" s="478"/>
      <c r="NER50" s="478"/>
      <c r="NES50" s="478"/>
      <c r="NET50" s="478"/>
      <c r="NEU50" s="478"/>
      <c r="NEV50" s="478"/>
      <c r="NEW50" s="478"/>
      <c r="NEX50" s="478"/>
      <c r="NEY50" s="478"/>
      <c r="NEZ50" s="478"/>
      <c r="NFA50" s="478"/>
      <c r="NFB50" s="478"/>
      <c r="NFC50" s="478"/>
      <c r="NFD50" s="478"/>
      <c r="NFE50" s="478"/>
      <c r="NFF50" s="478"/>
      <c r="NFG50" s="478"/>
      <c r="NFH50" s="478"/>
      <c r="NFI50" s="478"/>
      <c r="NFJ50" s="478"/>
      <c r="NFK50" s="478"/>
      <c r="NFL50" s="478"/>
      <c r="NFM50" s="478"/>
      <c r="NFN50" s="478"/>
      <c r="NFO50" s="478"/>
      <c r="NFP50" s="478"/>
      <c r="NFQ50" s="478"/>
      <c r="NFR50" s="478"/>
      <c r="NFS50" s="478"/>
      <c r="NFT50" s="478"/>
      <c r="NFU50" s="478"/>
      <c r="NFV50" s="478"/>
      <c r="NFW50" s="478"/>
      <c r="NFX50" s="478"/>
      <c r="NFY50" s="478"/>
      <c r="NFZ50" s="478"/>
      <c r="NGA50" s="478"/>
      <c r="NGB50" s="478"/>
      <c r="NGC50" s="478"/>
      <c r="NGD50" s="478"/>
      <c r="NGE50" s="478"/>
      <c r="NGF50" s="478"/>
      <c r="NGG50" s="478"/>
      <c r="NGH50" s="478"/>
      <c r="NGI50" s="478"/>
      <c r="NGJ50" s="478"/>
      <c r="NGK50" s="478"/>
      <c r="NGL50" s="478"/>
      <c r="NGM50" s="478"/>
      <c r="NGN50" s="478"/>
      <c r="NGO50" s="478"/>
      <c r="NGP50" s="478"/>
      <c r="NGQ50" s="478"/>
      <c r="NGR50" s="478"/>
      <c r="NGS50" s="478"/>
      <c r="NGT50" s="478"/>
      <c r="NGU50" s="478"/>
      <c r="NGV50" s="478"/>
      <c r="NGW50" s="478"/>
      <c r="NGX50" s="478"/>
      <c r="NGY50" s="478"/>
      <c r="NGZ50" s="478"/>
      <c r="NHA50" s="478"/>
      <c r="NHB50" s="478"/>
      <c r="NHC50" s="478"/>
      <c r="NHD50" s="478"/>
      <c r="NHE50" s="478"/>
      <c r="NHF50" s="478"/>
      <c r="NHG50" s="478"/>
      <c r="NHH50" s="478"/>
      <c r="NHI50" s="478"/>
      <c r="NHJ50" s="478"/>
      <c r="NHK50" s="478"/>
      <c r="NHL50" s="478"/>
      <c r="NHM50" s="478"/>
      <c r="NHN50" s="478"/>
      <c r="NHO50" s="478"/>
      <c r="NHP50" s="478"/>
      <c r="NHQ50" s="478"/>
      <c r="NHR50" s="478"/>
      <c r="NHS50" s="478"/>
      <c r="NHT50" s="478"/>
      <c r="NHU50" s="478"/>
      <c r="NHV50" s="478"/>
      <c r="NHW50" s="478"/>
      <c r="NHX50" s="478"/>
      <c r="NHY50" s="478"/>
      <c r="NHZ50" s="478"/>
      <c r="NIA50" s="478"/>
      <c r="NIB50" s="478"/>
      <c r="NIC50" s="478"/>
      <c r="NID50" s="478"/>
      <c r="NIE50" s="478"/>
      <c r="NIF50" s="478"/>
      <c r="NIG50" s="478"/>
      <c r="NIH50" s="478"/>
      <c r="NII50" s="478"/>
      <c r="NIJ50" s="478"/>
      <c r="NIK50" s="478"/>
      <c r="NIL50" s="478"/>
      <c r="NIM50" s="478"/>
      <c r="NIN50" s="478"/>
      <c r="NIO50" s="478"/>
      <c r="NIP50" s="478"/>
      <c r="NIQ50" s="478"/>
      <c r="NIR50" s="478"/>
      <c r="NIS50" s="478"/>
      <c r="NIT50" s="478"/>
      <c r="NIU50" s="478"/>
      <c r="NIV50" s="478"/>
      <c r="NIW50" s="478"/>
      <c r="NIX50" s="478"/>
      <c r="NIY50" s="478"/>
      <c r="NIZ50" s="478"/>
      <c r="NJA50" s="478"/>
      <c r="NJB50" s="478"/>
      <c r="NJC50" s="478"/>
      <c r="NJD50" s="478"/>
      <c r="NJE50" s="478"/>
      <c r="NJF50" s="478"/>
      <c r="NJG50" s="478"/>
      <c r="NJH50" s="478"/>
      <c r="NJI50" s="478"/>
      <c r="NJJ50" s="478"/>
      <c r="NJK50" s="478"/>
      <c r="NJL50" s="478"/>
      <c r="NJM50" s="478"/>
      <c r="NJN50" s="478"/>
      <c r="NJO50" s="478"/>
      <c r="NJP50" s="478"/>
      <c r="NJQ50" s="478"/>
      <c r="NJR50" s="478"/>
      <c r="NJS50" s="478"/>
      <c r="NJT50" s="478"/>
      <c r="NJU50" s="478"/>
      <c r="NJV50" s="478"/>
      <c r="NJW50" s="478"/>
      <c r="NJX50" s="478"/>
      <c r="NJY50" s="478"/>
      <c r="NJZ50" s="478"/>
      <c r="NKA50" s="478"/>
      <c r="NKB50" s="478"/>
      <c r="NKC50" s="478"/>
      <c r="NKD50" s="478"/>
      <c r="NKE50" s="478"/>
      <c r="NKF50" s="478"/>
      <c r="NKG50" s="478"/>
      <c r="NKH50" s="478"/>
      <c r="NKI50" s="478"/>
      <c r="NKJ50" s="478"/>
      <c r="NKK50" s="478"/>
      <c r="NKL50" s="478"/>
      <c r="NKM50" s="478"/>
      <c r="NKN50" s="478"/>
      <c r="NKO50" s="478"/>
      <c r="NKP50" s="478"/>
      <c r="NKQ50" s="478"/>
      <c r="NKR50" s="478"/>
      <c r="NKS50" s="478"/>
      <c r="NKT50" s="478"/>
      <c r="NKU50" s="478"/>
      <c r="NKV50" s="478"/>
      <c r="NKW50" s="478"/>
      <c r="NKX50" s="478"/>
      <c r="NKY50" s="478"/>
      <c r="NKZ50" s="478"/>
      <c r="NLA50" s="478"/>
      <c r="NLB50" s="478"/>
      <c r="NLC50" s="478"/>
      <c r="NLD50" s="478"/>
      <c r="NLE50" s="478"/>
      <c r="NLF50" s="478"/>
      <c r="NLG50" s="478"/>
      <c r="NLH50" s="478"/>
      <c r="NLI50" s="478"/>
      <c r="NLJ50" s="478"/>
      <c r="NLK50" s="478"/>
      <c r="NLL50" s="478"/>
      <c r="NLM50" s="478"/>
      <c r="NLN50" s="478"/>
      <c r="NLO50" s="478"/>
      <c r="NLP50" s="478"/>
      <c r="NLQ50" s="478"/>
      <c r="NLR50" s="478"/>
      <c r="NLS50" s="478"/>
      <c r="NLT50" s="478"/>
      <c r="NLU50" s="478"/>
      <c r="NLV50" s="478"/>
      <c r="NLW50" s="478"/>
      <c r="NLX50" s="478"/>
      <c r="NLY50" s="478"/>
      <c r="NLZ50" s="478"/>
      <c r="NMA50" s="478"/>
      <c r="NMB50" s="478"/>
      <c r="NMC50" s="478"/>
      <c r="NMD50" s="478"/>
      <c r="NME50" s="478"/>
      <c r="NMF50" s="478"/>
      <c r="NMG50" s="478"/>
      <c r="NMH50" s="478"/>
      <c r="NMI50" s="478"/>
      <c r="NMJ50" s="478"/>
      <c r="NMK50" s="478"/>
      <c r="NML50" s="478"/>
      <c r="NMM50" s="478"/>
      <c r="NMN50" s="478"/>
      <c r="NMO50" s="478"/>
      <c r="NMP50" s="478"/>
      <c r="NMQ50" s="478"/>
      <c r="NMR50" s="478"/>
      <c r="NMS50" s="478"/>
      <c r="NMT50" s="478"/>
      <c r="NMU50" s="478"/>
      <c r="NMV50" s="478"/>
      <c r="NMW50" s="478"/>
      <c r="NMX50" s="478"/>
      <c r="NMY50" s="478"/>
      <c r="NMZ50" s="478"/>
      <c r="NNA50" s="478"/>
      <c r="NNB50" s="478"/>
      <c r="NNC50" s="478"/>
      <c r="NND50" s="478"/>
      <c r="NNE50" s="478"/>
      <c r="NNF50" s="478"/>
      <c r="NNG50" s="478"/>
      <c r="NNH50" s="478"/>
      <c r="NNI50" s="478"/>
      <c r="NNJ50" s="478"/>
      <c r="NNK50" s="478"/>
      <c r="NNL50" s="478"/>
      <c r="NNM50" s="478"/>
      <c r="NNN50" s="478"/>
      <c r="NNO50" s="478"/>
      <c r="NNP50" s="478"/>
      <c r="NNQ50" s="478"/>
      <c r="NNR50" s="478"/>
      <c r="NNS50" s="478"/>
      <c r="NNT50" s="478"/>
      <c r="NNU50" s="478"/>
      <c r="NNV50" s="478"/>
      <c r="NNW50" s="478"/>
      <c r="NNX50" s="478"/>
      <c r="NNY50" s="478"/>
      <c r="NNZ50" s="478"/>
      <c r="NOA50" s="478"/>
      <c r="NOB50" s="478"/>
      <c r="NOC50" s="478"/>
      <c r="NOD50" s="478"/>
      <c r="NOE50" s="478"/>
      <c r="NOF50" s="478"/>
      <c r="NOG50" s="478"/>
      <c r="NOH50" s="478"/>
      <c r="NOI50" s="478"/>
      <c r="NOJ50" s="478"/>
      <c r="NOK50" s="478"/>
      <c r="NOL50" s="478"/>
      <c r="NOM50" s="478"/>
      <c r="NON50" s="478"/>
      <c r="NOO50" s="478"/>
      <c r="NOP50" s="478"/>
      <c r="NOQ50" s="478"/>
      <c r="NOR50" s="478"/>
      <c r="NOS50" s="478"/>
      <c r="NOT50" s="478"/>
      <c r="NOU50" s="478"/>
      <c r="NOV50" s="478"/>
      <c r="NOW50" s="478"/>
      <c r="NOX50" s="478"/>
      <c r="NOY50" s="478"/>
      <c r="NOZ50" s="478"/>
      <c r="NPA50" s="478"/>
      <c r="NPB50" s="478"/>
      <c r="NPC50" s="478"/>
      <c r="NPD50" s="478"/>
      <c r="NPE50" s="478"/>
      <c r="NPF50" s="478"/>
      <c r="NPG50" s="478"/>
      <c r="NPH50" s="478"/>
      <c r="NPI50" s="478"/>
      <c r="NPJ50" s="478"/>
      <c r="NPK50" s="478"/>
      <c r="NPL50" s="478"/>
      <c r="NPM50" s="478"/>
      <c r="NPN50" s="478"/>
      <c r="NPO50" s="478"/>
      <c r="NPP50" s="478"/>
      <c r="NPQ50" s="478"/>
      <c r="NPR50" s="478"/>
      <c r="NPS50" s="478"/>
      <c r="NPT50" s="478"/>
      <c r="NPU50" s="478"/>
      <c r="NPV50" s="478"/>
      <c r="NPW50" s="478"/>
      <c r="NPX50" s="478"/>
      <c r="NPY50" s="478"/>
      <c r="NPZ50" s="478"/>
      <c r="NQA50" s="478"/>
      <c r="NQB50" s="478"/>
      <c r="NQC50" s="478"/>
      <c r="NQD50" s="478"/>
      <c r="NQE50" s="478"/>
      <c r="NQF50" s="478"/>
      <c r="NQG50" s="478"/>
      <c r="NQH50" s="478"/>
      <c r="NQI50" s="478"/>
      <c r="NQJ50" s="478"/>
      <c r="NQK50" s="478"/>
      <c r="NQL50" s="478"/>
      <c r="NQM50" s="478"/>
      <c r="NQN50" s="478"/>
      <c r="NQO50" s="478"/>
      <c r="NQP50" s="478"/>
      <c r="NQQ50" s="478"/>
      <c r="NQR50" s="478"/>
      <c r="NQS50" s="478"/>
      <c r="NQT50" s="478"/>
      <c r="NQU50" s="478"/>
      <c r="NQV50" s="478"/>
      <c r="NQW50" s="478"/>
      <c r="NQX50" s="478"/>
      <c r="NQY50" s="478"/>
      <c r="NQZ50" s="478"/>
      <c r="NRA50" s="478"/>
      <c r="NRB50" s="478"/>
      <c r="NRC50" s="478"/>
      <c r="NRD50" s="478"/>
      <c r="NRE50" s="478"/>
      <c r="NRF50" s="478"/>
      <c r="NRG50" s="478"/>
      <c r="NRH50" s="478"/>
      <c r="NRI50" s="478"/>
      <c r="NRJ50" s="478"/>
      <c r="NRK50" s="478"/>
      <c r="NRL50" s="478"/>
      <c r="NRM50" s="478"/>
      <c r="NRN50" s="478"/>
      <c r="NRO50" s="478"/>
      <c r="NRP50" s="478"/>
      <c r="NRQ50" s="478"/>
      <c r="NRR50" s="478"/>
      <c r="NRS50" s="478"/>
      <c r="NRT50" s="478"/>
      <c r="NRU50" s="478"/>
      <c r="NRV50" s="478"/>
      <c r="NRW50" s="478"/>
      <c r="NRX50" s="478"/>
      <c r="NRY50" s="478"/>
      <c r="NRZ50" s="478"/>
      <c r="NSA50" s="478"/>
      <c r="NSB50" s="478"/>
      <c r="NSC50" s="478"/>
      <c r="NSD50" s="478"/>
      <c r="NSE50" s="478"/>
      <c r="NSF50" s="478"/>
      <c r="NSG50" s="478"/>
      <c r="NSH50" s="478"/>
      <c r="NSI50" s="478"/>
      <c r="NSJ50" s="478"/>
      <c r="NSK50" s="478"/>
      <c r="NSL50" s="478"/>
      <c r="NSM50" s="478"/>
      <c r="NSN50" s="478"/>
      <c r="NSO50" s="478"/>
      <c r="NSP50" s="478"/>
      <c r="NSQ50" s="478"/>
      <c r="NSR50" s="478"/>
      <c r="NSS50" s="478"/>
      <c r="NST50" s="478"/>
      <c r="NSU50" s="478"/>
      <c r="NSV50" s="478"/>
      <c r="NSW50" s="478"/>
      <c r="NSX50" s="478"/>
      <c r="NSY50" s="478"/>
      <c r="NSZ50" s="478"/>
      <c r="NTA50" s="478"/>
      <c r="NTB50" s="478"/>
      <c r="NTC50" s="478"/>
      <c r="NTD50" s="478"/>
      <c r="NTE50" s="478"/>
      <c r="NTF50" s="478"/>
      <c r="NTG50" s="478"/>
      <c r="NTH50" s="478"/>
      <c r="NTI50" s="478"/>
      <c r="NTJ50" s="478"/>
      <c r="NTK50" s="478"/>
      <c r="NTL50" s="478"/>
      <c r="NTM50" s="478"/>
      <c r="NTN50" s="478"/>
      <c r="NTO50" s="478"/>
      <c r="NTP50" s="478"/>
      <c r="NTQ50" s="478"/>
      <c r="NTR50" s="478"/>
      <c r="NTS50" s="478"/>
      <c r="NTT50" s="478"/>
      <c r="NTU50" s="478"/>
      <c r="NTV50" s="478"/>
      <c r="NTW50" s="478"/>
      <c r="NTX50" s="478"/>
      <c r="NTY50" s="478"/>
      <c r="NTZ50" s="478"/>
      <c r="NUA50" s="478"/>
      <c r="NUB50" s="478"/>
      <c r="NUC50" s="478"/>
      <c r="NUD50" s="478"/>
      <c r="NUE50" s="478"/>
      <c r="NUF50" s="478"/>
      <c r="NUG50" s="478"/>
      <c r="NUH50" s="478"/>
      <c r="NUI50" s="478"/>
      <c r="NUJ50" s="478"/>
      <c r="NUK50" s="478"/>
      <c r="NUL50" s="478"/>
      <c r="NUM50" s="478"/>
      <c r="NUN50" s="478"/>
      <c r="NUO50" s="478"/>
      <c r="NUP50" s="478"/>
      <c r="NUQ50" s="478"/>
      <c r="NUR50" s="478"/>
      <c r="NUS50" s="478"/>
      <c r="NUT50" s="478"/>
      <c r="NUU50" s="478"/>
      <c r="NUV50" s="478"/>
      <c r="NUW50" s="478"/>
      <c r="NUX50" s="478"/>
      <c r="NUY50" s="478"/>
      <c r="NUZ50" s="478"/>
      <c r="NVA50" s="478"/>
      <c r="NVB50" s="478"/>
      <c r="NVC50" s="478"/>
      <c r="NVD50" s="478"/>
      <c r="NVE50" s="478"/>
      <c r="NVF50" s="478"/>
      <c r="NVG50" s="478"/>
      <c r="NVH50" s="478"/>
      <c r="NVI50" s="478"/>
      <c r="NVJ50" s="478"/>
      <c r="NVK50" s="478"/>
      <c r="NVL50" s="478"/>
      <c r="NVM50" s="478"/>
      <c r="NVN50" s="478"/>
      <c r="NVO50" s="478"/>
      <c r="NVP50" s="478"/>
      <c r="NVQ50" s="478"/>
      <c r="NVR50" s="478"/>
      <c r="NVS50" s="478"/>
      <c r="NVT50" s="478"/>
      <c r="NVU50" s="478"/>
      <c r="NVV50" s="478"/>
      <c r="NVW50" s="478"/>
      <c r="NVX50" s="478"/>
      <c r="NVY50" s="478"/>
      <c r="NVZ50" s="478"/>
      <c r="NWA50" s="478"/>
      <c r="NWB50" s="478"/>
      <c r="NWC50" s="478"/>
      <c r="NWD50" s="478"/>
      <c r="NWE50" s="478"/>
      <c r="NWF50" s="478"/>
      <c r="NWG50" s="478"/>
      <c r="NWH50" s="478"/>
      <c r="NWI50" s="478"/>
      <c r="NWJ50" s="478"/>
      <c r="NWK50" s="478"/>
      <c r="NWL50" s="478"/>
      <c r="NWM50" s="478"/>
      <c r="NWN50" s="478"/>
      <c r="NWO50" s="478"/>
      <c r="NWP50" s="478"/>
      <c r="NWQ50" s="478"/>
      <c r="NWR50" s="478"/>
      <c r="NWS50" s="478"/>
      <c r="NWT50" s="478"/>
      <c r="NWU50" s="478"/>
      <c r="NWV50" s="478"/>
      <c r="NWW50" s="478"/>
      <c r="NWX50" s="478"/>
      <c r="NWY50" s="478"/>
      <c r="NWZ50" s="478"/>
      <c r="NXA50" s="478"/>
      <c r="NXB50" s="478"/>
      <c r="NXC50" s="478"/>
      <c r="NXD50" s="478"/>
      <c r="NXE50" s="478"/>
      <c r="NXF50" s="478"/>
      <c r="NXG50" s="478"/>
      <c r="NXH50" s="478"/>
      <c r="NXI50" s="478"/>
      <c r="NXJ50" s="478"/>
      <c r="NXK50" s="478"/>
      <c r="NXL50" s="478"/>
      <c r="NXM50" s="478"/>
      <c r="NXN50" s="478"/>
      <c r="NXO50" s="478"/>
      <c r="NXP50" s="478"/>
      <c r="NXQ50" s="478"/>
      <c r="NXR50" s="478"/>
      <c r="NXS50" s="478"/>
      <c r="NXT50" s="478"/>
      <c r="NXU50" s="478"/>
      <c r="NXV50" s="478"/>
      <c r="NXW50" s="478"/>
      <c r="NXX50" s="478"/>
      <c r="NXY50" s="478"/>
      <c r="NXZ50" s="478"/>
      <c r="NYA50" s="478"/>
      <c r="NYB50" s="478"/>
      <c r="NYC50" s="478"/>
      <c r="NYD50" s="478"/>
      <c r="NYE50" s="478"/>
      <c r="NYF50" s="478"/>
      <c r="NYG50" s="478"/>
      <c r="NYH50" s="478"/>
      <c r="NYI50" s="478"/>
      <c r="NYJ50" s="478"/>
      <c r="NYK50" s="478"/>
      <c r="NYL50" s="478"/>
      <c r="NYM50" s="478"/>
      <c r="NYN50" s="478"/>
      <c r="NYO50" s="478"/>
      <c r="NYP50" s="478"/>
      <c r="NYQ50" s="478"/>
      <c r="NYR50" s="478"/>
      <c r="NYS50" s="478"/>
      <c r="NYT50" s="478"/>
      <c r="NYU50" s="478"/>
      <c r="NYV50" s="478"/>
      <c r="NYW50" s="478"/>
      <c r="NYX50" s="478"/>
      <c r="NYY50" s="478"/>
      <c r="NYZ50" s="478"/>
      <c r="NZA50" s="478"/>
      <c r="NZB50" s="478"/>
      <c r="NZC50" s="478"/>
      <c r="NZD50" s="478"/>
      <c r="NZE50" s="478"/>
      <c r="NZF50" s="478"/>
      <c r="NZG50" s="478"/>
      <c r="NZH50" s="478"/>
      <c r="NZI50" s="478"/>
      <c r="NZJ50" s="478"/>
      <c r="NZK50" s="478"/>
      <c r="NZL50" s="478"/>
      <c r="NZM50" s="478"/>
      <c r="NZN50" s="478"/>
      <c r="NZO50" s="478"/>
      <c r="NZP50" s="478"/>
      <c r="NZQ50" s="478"/>
      <c r="NZR50" s="478"/>
      <c r="NZS50" s="478"/>
      <c r="NZT50" s="478"/>
      <c r="NZU50" s="478"/>
      <c r="NZV50" s="478"/>
      <c r="NZW50" s="478"/>
      <c r="NZX50" s="478"/>
      <c r="NZY50" s="478"/>
      <c r="NZZ50" s="478"/>
      <c r="OAA50" s="478"/>
      <c r="OAB50" s="478"/>
      <c r="OAC50" s="478"/>
      <c r="OAD50" s="478"/>
      <c r="OAE50" s="478"/>
      <c r="OAF50" s="478"/>
      <c r="OAG50" s="478"/>
      <c r="OAH50" s="478"/>
      <c r="OAI50" s="478"/>
      <c r="OAJ50" s="478"/>
      <c r="OAK50" s="478"/>
      <c r="OAL50" s="478"/>
      <c r="OAM50" s="478"/>
      <c r="OAN50" s="478"/>
      <c r="OAO50" s="478"/>
      <c r="OAP50" s="478"/>
      <c r="OAQ50" s="478"/>
      <c r="OAR50" s="478"/>
      <c r="OAS50" s="478"/>
      <c r="OAT50" s="478"/>
      <c r="OAU50" s="478"/>
      <c r="OAV50" s="478"/>
      <c r="OAW50" s="478"/>
      <c r="OAX50" s="478"/>
      <c r="OAY50" s="478"/>
      <c r="OAZ50" s="478"/>
      <c r="OBA50" s="478"/>
      <c r="OBB50" s="478"/>
      <c r="OBC50" s="478"/>
      <c r="OBD50" s="478"/>
      <c r="OBE50" s="478"/>
      <c r="OBF50" s="478"/>
      <c r="OBG50" s="478"/>
      <c r="OBH50" s="478"/>
      <c r="OBI50" s="478"/>
      <c r="OBJ50" s="478"/>
      <c r="OBK50" s="478"/>
      <c r="OBL50" s="478"/>
      <c r="OBM50" s="478"/>
      <c r="OBN50" s="478"/>
      <c r="OBO50" s="478"/>
      <c r="OBP50" s="478"/>
      <c r="OBQ50" s="478"/>
      <c r="OBR50" s="478"/>
      <c r="OBS50" s="478"/>
      <c r="OBT50" s="478"/>
      <c r="OBU50" s="478"/>
      <c r="OBV50" s="478"/>
      <c r="OBW50" s="478"/>
      <c r="OBX50" s="478"/>
      <c r="OBY50" s="478"/>
      <c r="OBZ50" s="478"/>
      <c r="OCA50" s="478"/>
      <c r="OCB50" s="478"/>
      <c r="OCC50" s="478"/>
      <c r="OCD50" s="478"/>
      <c r="OCE50" s="478"/>
      <c r="OCF50" s="478"/>
      <c r="OCG50" s="478"/>
      <c r="OCH50" s="478"/>
      <c r="OCI50" s="478"/>
      <c r="OCJ50" s="478"/>
      <c r="OCK50" s="478"/>
      <c r="OCL50" s="478"/>
      <c r="OCM50" s="478"/>
      <c r="OCN50" s="478"/>
      <c r="OCO50" s="478"/>
      <c r="OCP50" s="478"/>
      <c r="OCQ50" s="478"/>
      <c r="OCR50" s="478"/>
      <c r="OCS50" s="478"/>
      <c r="OCT50" s="478"/>
      <c r="OCU50" s="478"/>
      <c r="OCV50" s="478"/>
      <c r="OCW50" s="478"/>
      <c r="OCX50" s="478"/>
      <c r="OCY50" s="478"/>
      <c r="OCZ50" s="478"/>
      <c r="ODA50" s="478"/>
      <c r="ODB50" s="478"/>
      <c r="ODC50" s="478"/>
      <c r="ODD50" s="478"/>
      <c r="ODE50" s="478"/>
      <c r="ODF50" s="478"/>
      <c r="ODG50" s="478"/>
      <c r="ODH50" s="478"/>
      <c r="ODI50" s="478"/>
      <c r="ODJ50" s="478"/>
      <c r="ODK50" s="478"/>
      <c r="ODL50" s="478"/>
      <c r="ODM50" s="478"/>
      <c r="ODN50" s="478"/>
      <c r="ODO50" s="478"/>
      <c r="ODP50" s="478"/>
      <c r="ODQ50" s="478"/>
      <c r="ODR50" s="478"/>
      <c r="ODS50" s="478"/>
      <c r="ODT50" s="478"/>
      <c r="ODU50" s="478"/>
      <c r="ODV50" s="478"/>
      <c r="ODW50" s="478"/>
      <c r="ODX50" s="478"/>
      <c r="ODY50" s="478"/>
      <c r="ODZ50" s="478"/>
      <c r="OEA50" s="478"/>
      <c r="OEB50" s="478"/>
      <c r="OEC50" s="478"/>
      <c r="OED50" s="478"/>
      <c r="OEE50" s="478"/>
      <c r="OEF50" s="478"/>
      <c r="OEG50" s="478"/>
      <c r="OEH50" s="478"/>
      <c r="OEI50" s="478"/>
      <c r="OEJ50" s="478"/>
      <c r="OEK50" s="478"/>
      <c r="OEL50" s="478"/>
      <c r="OEM50" s="478"/>
      <c r="OEN50" s="478"/>
      <c r="OEO50" s="478"/>
      <c r="OEP50" s="478"/>
      <c r="OEQ50" s="478"/>
      <c r="OER50" s="478"/>
      <c r="OES50" s="478"/>
      <c r="OET50" s="478"/>
      <c r="OEU50" s="478"/>
      <c r="OEV50" s="478"/>
      <c r="OEW50" s="478"/>
      <c r="OEX50" s="478"/>
      <c r="OEY50" s="478"/>
      <c r="OEZ50" s="478"/>
      <c r="OFA50" s="478"/>
      <c r="OFB50" s="478"/>
      <c r="OFC50" s="478"/>
      <c r="OFD50" s="478"/>
      <c r="OFE50" s="478"/>
      <c r="OFF50" s="478"/>
      <c r="OFG50" s="478"/>
      <c r="OFH50" s="478"/>
      <c r="OFI50" s="478"/>
      <c r="OFJ50" s="478"/>
      <c r="OFK50" s="478"/>
      <c r="OFL50" s="478"/>
      <c r="OFM50" s="478"/>
      <c r="OFN50" s="478"/>
      <c r="OFO50" s="478"/>
      <c r="OFP50" s="478"/>
      <c r="OFQ50" s="478"/>
      <c r="OFR50" s="478"/>
      <c r="OFS50" s="478"/>
      <c r="OFT50" s="478"/>
      <c r="OFU50" s="478"/>
      <c r="OFV50" s="478"/>
      <c r="OFW50" s="478"/>
      <c r="OFX50" s="478"/>
      <c r="OFY50" s="478"/>
      <c r="OFZ50" s="478"/>
      <c r="OGA50" s="478"/>
      <c r="OGB50" s="478"/>
      <c r="OGC50" s="478"/>
      <c r="OGD50" s="478"/>
      <c r="OGE50" s="478"/>
      <c r="OGF50" s="478"/>
      <c r="OGG50" s="478"/>
      <c r="OGH50" s="478"/>
      <c r="OGI50" s="478"/>
      <c r="OGJ50" s="478"/>
      <c r="OGK50" s="478"/>
      <c r="OGL50" s="478"/>
      <c r="OGM50" s="478"/>
      <c r="OGN50" s="478"/>
      <c r="OGO50" s="478"/>
      <c r="OGP50" s="478"/>
      <c r="OGQ50" s="478"/>
      <c r="OGR50" s="478"/>
      <c r="OGS50" s="478"/>
      <c r="OGT50" s="478"/>
      <c r="OGU50" s="478"/>
      <c r="OGV50" s="478"/>
      <c r="OGW50" s="478"/>
      <c r="OGX50" s="478"/>
      <c r="OGY50" s="478"/>
      <c r="OGZ50" s="478"/>
      <c r="OHA50" s="478"/>
      <c r="OHB50" s="478"/>
      <c r="OHC50" s="478"/>
      <c r="OHD50" s="478"/>
      <c r="OHE50" s="478"/>
      <c r="OHF50" s="478"/>
      <c r="OHG50" s="478"/>
      <c r="OHH50" s="478"/>
      <c r="OHI50" s="478"/>
      <c r="OHJ50" s="478"/>
      <c r="OHK50" s="478"/>
      <c r="OHL50" s="478"/>
      <c r="OHM50" s="478"/>
      <c r="OHN50" s="478"/>
      <c r="OHO50" s="478"/>
      <c r="OHP50" s="478"/>
      <c r="OHQ50" s="478"/>
      <c r="OHR50" s="478"/>
      <c r="OHS50" s="478"/>
      <c r="OHT50" s="478"/>
      <c r="OHU50" s="478"/>
      <c r="OHV50" s="478"/>
      <c r="OHW50" s="478"/>
      <c r="OHX50" s="478"/>
      <c r="OHY50" s="478"/>
      <c r="OHZ50" s="478"/>
      <c r="OIA50" s="478"/>
      <c r="OIB50" s="478"/>
      <c r="OIC50" s="478"/>
      <c r="OID50" s="478"/>
      <c r="OIE50" s="478"/>
      <c r="OIF50" s="478"/>
      <c r="OIG50" s="478"/>
      <c r="OIH50" s="478"/>
      <c r="OII50" s="478"/>
      <c r="OIJ50" s="478"/>
      <c r="OIK50" s="478"/>
      <c r="OIL50" s="478"/>
      <c r="OIM50" s="478"/>
      <c r="OIN50" s="478"/>
      <c r="OIO50" s="478"/>
      <c r="OIP50" s="478"/>
      <c r="OIQ50" s="478"/>
      <c r="OIR50" s="478"/>
      <c r="OIS50" s="478"/>
      <c r="OIT50" s="478"/>
      <c r="OIU50" s="478"/>
      <c r="OIV50" s="478"/>
      <c r="OIW50" s="478"/>
      <c r="OIX50" s="478"/>
      <c r="OIY50" s="478"/>
      <c r="OIZ50" s="478"/>
      <c r="OJA50" s="478"/>
      <c r="OJB50" s="478"/>
      <c r="OJC50" s="478"/>
      <c r="OJD50" s="478"/>
      <c r="OJE50" s="478"/>
      <c r="OJF50" s="478"/>
      <c r="OJG50" s="478"/>
      <c r="OJH50" s="478"/>
      <c r="OJI50" s="478"/>
      <c r="OJJ50" s="478"/>
      <c r="OJK50" s="478"/>
      <c r="OJL50" s="478"/>
      <c r="OJM50" s="478"/>
      <c r="OJN50" s="478"/>
      <c r="OJO50" s="478"/>
      <c r="OJP50" s="478"/>
      <c r="OJQ50" s="478"/>
      <c r="OJR50" s="478"/>
      <c r="OJS50" s="478"/>
      <c r="OJT50" s="478"/>
      <c r="OJU50" s="478"/>
      <c r="OJV50" s="478"/>
      <c r="OJW50" s="478"/>
      <c r="OJX50" s="478"/>
      <c r="OJY50" s="478"/>
      <c r="OJZ50" s="478"/>
      <c r="OKA50" s="478"/>
      <c r="OKB50" s="478"/>
      <c r="OKC50" s="478"/>
      <c r="OKD50" s="478"/>
      <c r="OKE50" s="478"/>
      <c r="OKF50" s="478"/>
      <c r="OKG50" s="478"/>
      <c r="OKH50" s="478"/>
      <c r="OKI50" s="478"/>
      <c r="OKJ50" s="478"/>
      <c r="OKK50" s="478"/>
      <c r="OKL50" s="478"/>
      <c r="OKM50" s="478"/>
      <c r="OKN50" s="478"/>
      <c r="OKO50" s="478"/>
      <c r="OKP50" s="478"/>
      <c r="OKQ50" s="478"/>
      <c r="OKR50" s="478"/>
      <c r="OKS50" s="478"/>
      <c r="OKT50" s="478"/>
      <c r="OKU50" s="478"/>
      <c r="OKV50" s="478"/>
      <c r="OKW50" s="478"/>
      <c r="OKX50" s="478"/>
      <c r="OKY50" s="478"/>
      <c r="OKZ50" s="478"/>
      <c r="OLA50" s="478"/>
      <c r="OLB50" s="478"/>
      <c r="OLC50" s="478"/>
      <c r="OLD50" s="478"/>
      <c r="OLE50" s="478"/>
      <c r="OLF50" s="478"/>
      <c r="OLG50" s="478"/>
      <c r="OLH50" s="478"/>
      <c r="OLI50" s="478"/>
      <c r="OLJ50" s="478"/>
      <c r="OLK50" s="478"/>
      <c r="OLL50" s="478"/>
      <c r="OLM50" s="478"/>
      <c r="OLN50" s="478"/>
      <c r="OLO50" s="478"/>
      <c r="OLP50" s="478"/>
      <c r="OLQ50" s="478"/>
      <c r="OLR50" s="478"/>
      <c r="OLS50" s="478"/>
      <c r="OLT50" s="478"/>
      <c r="OLU50" s="478"/>
      <c r="OLV50" s="478"/>
      <c r="OLW50" s="478"/>
      <c r="OLX50" s="478"/>
      <c r="OLY50" s="478"/>
      <c r="OLZ50" s="478"/>
      <c r="OMA50" s="478"/>
      <c r="OMB50" s="478"/>
      <c r="OMC50" s="478"/>
      <c r="OMD50" s="478"/>
      <c r="OME50" s="478"/>
      <c r="OMF50" s="478"/>
      <c r="OMG50" s="478"/>
      <c r="OMH50" s="478"/>
      <c r="OMI50" s="478"/>
      <c r="OMJ50" s="478"/>
      <c r="OMK50" s="478"/>
      <c r="OML50" s="478"/>
      <c r="OMM50" s="478"/>
      <c r="OMN50" s="478"/>
      <c r="OMO50" s="478"/>
      <c r="OMP50" s="478"/>
      <c r="OMQ50" s="478"/>
      <c r="OMR50" s="478"/>
      <c r="OMS50" s="478"/>
      <c r="OMT50" s="478"/>
      <c r="OMU50" s="478"/>
      <c r="OMV50" s="478"/>
      <c r="OMW50" s="478"/>
      <c r="OMX50" s="478"/>
      <c r="OMY50" s="478"/>
      <c r="OMZ50" s="478"/>
      <c r="ONA50" s="478"/>
      <c r="ONB50" s="478"/>
      <c r="ONC50" s="478"/>
      <c r="OND50" s="478"/>
      <c r="ONE50" s="478"/>
      <c r="ONF50" s="478"/>
      <c r="ONG50" s="478"/>
      <c r="ONH50" s="478"/>
      <c r="ONI50" s="478"/>
      <c r="ONJ50" s="478"/>
      <c r="ONK50" s="478"/>
      <c r="ONL50" s="478"/>
      <c r="ONM50" s="478"/>
      <c r="ONN50" s="478"/>
      <c r="ONO50" s="478"/>
      <c r="ONP50" s="478"/>
      <c r="ONQ50" s="478"/>
      <c r="ONR50" s="478"/>
      <c r="ONS50" s="478"/>
      <c r="ONT50" s="478"/>
      <c r="ONU50" s="478"/>
      <c r="ONV50" s="478"/>
      <c r="ONW50" s="478"/>
      <c r="ONX50" s="478"/>
      <c r="ONY50" s="478"/>
      <c r="ONZ50" s="478"/>
      <c r="OOA50" s="478"/>
      <c r="OOB50" s="478"/>
      <c r="OOC50" s="478"/>
      <c r="OOD50" s="478"/>
      <c r="OOE50" s="478"/>
      <c r="OOF50" s="478"/>
      <c r="OOG50" s="478"/>
      <c r="OOH50" s="478"/>
      <c r="OOI50" s="478"/>
      <c r="OOJ50" s="478"/>
      <c r="OOK50" s="478"/>
      <c r="OOL50" s="478"/>
      <c r="OOM50" s="478"/>
      <c r="OON50" s="478"/>
      <c r="OOO50" s="478"/>
      <c r="OOP50" s="478"/>
      <c r="OOQ50" s="478"/>
      <c r="OOR50" s="478"/>
      <c r="OOS50" s="478"/>
      <c r="OOT50" s="478"/>
      <c r="OOU50" s="478"/>
      <c r="OOV50" s="478"/>
      <c r="OOW50" s="478"/>
      <c r="OOX50" s="478"/>
      <c r="OOY50" s="478"/>
      <c r="OOZ50" s="478"/>
      <c r="OPA50" s="478"/>
      <c r="OPB50" s="478"/>
      <c r="OPC50" s="478"/>
      <c r="OPD50" s="478"/>
      <c r="OPE50" s="478"/>
      <c r="OPF50" s="478"/>
      <c r="OPG50" s="478"/>
      <c r="OPH50" s="478"/>
      <c r="OPI50" s="478"/>
      <c r="OPJ50" s="478"/>
      <c r="OPK50" s="478"/>
      <c r="OPL50" s="478"/>
      <c r="OPM50" s="478"/>
      <c r="OPN50" s="478"/>
      <c r="OPO50" s="478"/>
      <c r="OPP50" s="478"/>
      <c r="OPQ50" s="478"/>
      <c r="OPR50" s="478"/>
      <c r="OPS50" s="478"/>
      <c r="OPT50" s="478"/>
      <c r="OPU50" s="478"/>
      <c r="OPV50" s="478"/>
      <c r="OPW50" s="478"/>
      <c r="OPX50" s="478"/>
      <c r="OPY50" s="478"/>
      <c r="OPZ50" s="478"/>
      <c r="OQA50" s="478"/>
      <c r="OQB50" s="478"/>
      <c r="OQC50" s="478"/>
      <c r="OQD50" s="478"/>
      <c r="OQE50" s="478"/>
      <c r="OQF50" s="478"/>
      <c r="OQG50" s="478"/>
      <c r="OQH50" s="478"/>
      <c r="OQI50" s="478"/>
      <c r="OQJ50" s="478"/>
      <c r="OQK50" s="478"/>
      <c r="OQL50" s="478"/>
      <c r="OQM50" s="478"/>
      <c r="OQN50" s="478"/>
      <c r="OQO50" s="478"/>
      <c r="OQP50" s="478"/>
      <c r="OQQ50" s="478"/>
      <c r="OQR50" s="478"/>
      <c r="OQS50" s="478"/>
      <c r="OQT50" s="478"/>
      <c r="OQU50" s="478"/>
      <c r="OQV50" s="478"/>
      <c r="OQW50" s="478"/>
      <c r="OQX50" s="478"/>
      <c r="OQY50" s="478"/>
      <c r="OQZ50" s="478"/>
      <c r="ORA50" s="478"/>
      <c r="ORB50" s="478"/>
      <c r="ORC50" s="478"/>
      <c r="ORD50" s="478"/>
      <c r="ORE50" s="478"/>
      <c r="ORF50" s="478"/>
      <c r="ORG50" s="478"/>
      <c r="ORH50" s="478"/>
      <c r="ORI50" s="478"/>
      <c r="ORJ50" s="478"/>
      <c r="ORK50" s="478"/>
      <c r="ORL50" s="478"/>
      <c r="ORM50" s="478"/>
      <c r="ORN50" s="478"/>
      <c r="ORO50" s="478"/>
      <c r="ORP50" s="478"/>
      <c r="ORQ50" s="478"/>
      <c r="ORR50" s="478"/>
      <c r="ORS50" s="478"/>
      <c r="ORT50" s="478"/>
      <c r="ORU50" s="478"/>
      <c r="ORV50" s="478"/>
      <c r="ORW50" s="478"/>
      <c r="ORX50" s="478"/>
      <c r="ORY50" s="478"/>
      <c r="ORZ50" s="478"/>
      <c r="OSA50" s="478"/>
      <c r="OSB50" s="478"/>
      <c r="OSC50" s="478"/>
      <c r="OSD50" s="478"/>
      <c r="OSE50" s="478"/>
      <c r="OSF50" s="478"/>
      <c r="OSG50" s="478"/>
      <c r="OSH50" s="478"/>
      <c r="OSI50" s="478"/>
      <c r="OSJ50" s="478"/>
      <c r="OSK50" s="478"/>
      <c r="OSL50" s="478"/>
      <c r="OSM50" s="478"/>
      <c r="OSN50" s="478"/>
      <c r="OSO50" s="478"/>
      <c r="OSP50" s="478"/>
      <c r="OSQ50" s="478"/>
      <c r="OSR50" s="478"/>
      <c r="OSS50" s="478"/>
      <c r="OST50" s="478"/>
      <c r="OSU50" s="478"/>
      <c r="OSV50" s="478"/>
      <c r="OSW50" s="478"/>
      <c r="OSX50" s="478"/>
      <c r="OSY50" s="478"/>
      <c r="OSZ50" s="478"/>
      <c r="OTA50" s="478"/>
      <c r="OTB50" s="478"/>
      <c r="OTC50" s="478"/>
      <c r="OTD50" s="478"/>
      <c r="OTE50" s="478"/>
      <c r="OTF50" s="478"/>
      <c r="OTG50" s="478"/>
      <c r="OTH50" s="478"/>
      <c r="OTI50" s="478"/>
      <c r="OTJ50" s="478"/>
      <c r="OTK50" s="478"/>
      <c r="OTL50" s="478"/>
      <c r="OTM50" s="478"/>
      <c r="OTN50" s="478"/>
      <c r="OTO50" s="478"/>
      <c r="OTP50" s="478"/>
      <c r="OTQ50" s="478"/>
      <c r="OTR50" s="478"/>
      <c r="OTS50" s="478"/>
      <c r="OTT50" s="478"/>
      <c r="OTU50" s="478"/>
      <c r="OTV50" s="478"/>
      <c r="OTW50" s="478"/>
      <c r="OTX50" s="478"/>
      <c r="OTY50" s="478"/>
      <c r="OTZ50" s="478"/>
      <c r="OUA50" s="478"/>
      <c r="OUB50" s="478"/>
      <c r="OUC50" s="478"/>
      <c r="OUD50" s="478"/>
      <c r="OUE50" s="478"/>
      <c r="OUF50" s="478"/>
      <c r="OUG50" s="478"/>
      <c r="OUH50" s="478"/>
      <c r="OUI50" s="478"/>
      <c r="OUJ50" s="478"/>
      <c r="OUK50" s="478"/>
      <c r="OUL50" s="478"/>
      <c r="OUM50" s="478"/>
      <c r="OUN50" s="478"/>
      <c r="OUO50" s="478"/>
      <c r="OUP50" s="478"/>
      <c r="OUQ50" s="478"/>
      <c r="OUR50" s="478"/>
      <c r="OUS50" s="478"/>
      <c r="OUT50" s="478"/>
      <c r="OUU50" s="478"/>
      <c r="OUV50" s="478"/>
      <c r="OUW50" s="478"/>
      <c r="OUX50" s="478"/>
      <c r="OUY50" s="478"/>
      <c r="OUZ50" s="478"/>
      <c r="OVA50" s="478"/>
      <c r="OVB50" s="478"/>
      <c r="OVC50" s="478"/>
      <c r="OVD50" s="478"/>
      <c r="OVE50" s="478"/>
      <c r="OVF50" s="478"/>
      <c r="OVG50" s="478"/>
      <c r="OVH50" s="478"/>
      <c r="OVI50" s="478"/>
      <c r="OVJ50" s="478"/>
      <c r="OVK50" s="478"/>
      <c r="OVL50" s="478"/>
      <c r="OVM50" s="478"/>
      <c r="OVN50" s="478"/>
      <c r="OVO50" s="478"/>
      <c r="OVP50" s="478"/>
      <c r="OVQ50" s="478"/>
      <c r="OVR50" s="478"/>
      <c r="OVS50" s="478"/>
      <c r="OVT50" s="478"/>
      <c r="OVU50" s="478"/>
      <c r="OVV50" s="478"/>
      <c r="OVW50" s="478"/>
      <c r="OVX50" s="478"/>
      <c r="OVY50" s="478"/>
      <c r="OVZ50" s="478"/>
      <c r="OWA50" s="478"/>
      <c r="OWB50" s="478"/>
      <c r="OWC50" s="478"/>
      <c r="OWD50" s="478"/>
      <c r="OWE50" s="478"/>
      <c r="OWF50" s="478"/>
      <c r="OWG50" s="478"/>
      <c r="OWH50" s="478"/>
      <c r="OWI50" s="478"/>
      <c r="OWJ50" s="478"/>
      <c r="OWK50" s="478"/>
      <c r="OWL50" s="478"/>
      <c r="OWM50" s="478"/>
      <c r="OWN50" s="478"/>
      <c r="OWO50" s="478"/>
      <c r="OWP50" s="478"/>
      <c r="OWQ50" s="478"/>
      <c r="OWR50" s="478"/>
      <c r="OWS50" s="478"/>
      <c r="OWT50" s="478"/>
      <c r="OWU50" s="478"/>
      <c r="OWV50" s="478"/>
      <c r="OWW50" s="478"/>
      <c r="OWX50" s="478"/>
      <c r="OWY50" s="478"/>
      <c r="OWZ50" s="478"/>
      <c r="OXA50" s="478"/>
      <c r="OXB50" s="478"/>
      <c r="OXC50" s="478"/>
      <c r="OXD50" s="478"/>
      <c r="OXE50" s="478"/>
      <c r="OXF50" s="478"/>
      <c r="OXG50" s="478"/>
      <c r="OXH50" s="478"/>
      <c r="OXI50" s="478"/>
      <c r="OXJ50" s="478"/>
      <c r="OXK50" s="478"/>
      <c r="OXL50" s="478"/>
      <c r="OXM50" s="478"/>
      <c r="OXN50" s="478"/>
      <c r="OXO50" s="478"/>
      <c r="OXP50" s="478"/>
      <c r="OXQ50" s="478"/>
      <c r="OXR50" s="478"/>
      <c r="OXS50" s="478"/>
      <c r="OXT50" s="478"/>
      <c r="OXU50" s="478"/>
      <c r="OXV50" s="478"/>
      <c r="OXW50" s="478"/>
      <c r="OXX50" s="478"/>
      <c r="OXY50" s="478"/>
      <c r="OXZ50" s="478"/>
      <c r="OYA50" s="478"/>
      <c r="OYB50" s="478"/>
      <c r="OYC50" s="478"/>
      <c r="OYD50" s="478"/>
      <c r="OYE50" s="478"/>
      <c r="OYF50" s="478"/>
      <c r="OYG50" s="478"/>
      <c r="OYH50" s="478"/>
      <c r="OYI50" s="478"/>
      <c r="OYJ50" s="478"/>
      <c r="OYK50" s="478"/>
      <c r="OYL50" s="478"/>
      <c r="OYM50" s="478"/>
      <c r="OYN50" s="478"/>
      <c r="OYO50" s="478"/>
      <c r="OYP50" s="478"/>
      <c r="OYQ50" s="478"/>
      <c r="OYR50" s="478"/>
      <c r="OYS50" s="478"/>
      <c r="OYT50" s="478"/>
      <c r="OYU50" s="478"/>
      <c r="OYV50" s="478"/>
      <c r="OYW50" s="478"/>
      <c r="OYX50" s="478"/>
      <c r="OYY50" s="478"/>
      <c r="OYZ50" s="478"/>
      <c r="OZA50" s="478"/>
      <c r="OZB50" s="478"/>
      <c r="OZC50" s="478"/>
      <c r="OZD50" s="478"/>
      <c r="OZE50" s="478"/>
      <c r="OZF50" s="478"/>
      <c r="OZG50" s="478"/>
      <c r="OZH50" s="478"/>
      <c r="OZI50" s="478"/>
      <c r="OZJ50" s="478"/>
      <c r="OZK50" s="478"/>
      <c r="OZL50" s="478"/>
      <c r="OZM50" s="478"/>
      <c r="OZN50" s="478"/>
      <c r="OZO50" s="478"/>
      <c r="OZP50" s="478"/>
      <c r="OZQ50" s="478"/>
      <c r="OZR50" s="478"/>
      <c r="OZS50" s="478"/>
      <c r="OZT50" s="478"/>
      <c r="OZU50" s="478"/>
      <c r="OZV50" s="478"/>
      <c r="OZW50" s="478"/>
      <c r="OZX50" s="478"/>
      <c r="OZY50" s="478"/>
      <c r="OZZ50" s="478"/>
      <c r="PAA50" s="478"/>
      <c r="PAB50" s="478"/>
      <c r="PAC50" s="478"/>
      <c r="PAD50" s="478"/>
      <c r="PAE50" s="478"/>
      <c r="PAF50" s="478"/>
      <c r="PAG50" s="478"/>
      <c r="PAH50" s="478"/>
      <c r="PAI50" s="478"/>
      <c r="PAJ50" s="478"/>
      <c r="PAK50" s="478"/>
      <c r="PAL50" s="478"/>
      <c r="PAM50" s="478"/>
      <c r="PAN50" s="478"/>
      <c r="PAO50" s="478"/>
      <c r="PAP50" s="478"/>
      <c r="PAQ50" s="478"/>
      <c r="PAR50" s="478"/>
      <c r="PAS50" s="478"/>
      <c r="PAT50" s="478"/>
      <c r="PAU50" s="478"/>
      <c r="PAV50" s="478"/>
      <c r="PAW50" s="478"/>
      <c r="PAX50" s="478"/>
      <c r="PAY50" s="478"/>
      <c r="PAZ50" s="478"/>
      <c r="PBA50" s="478"/>
      <c r="PBB50" s="478"/>
      <c r="PBC50" s="478"/>
      <c r="PBD50" s="478"/>
      <c r="PBE50" s="478"/>
      <c r="PBF50" s="478"/>
      <c r="PBG50" s="478"/>
      <c r="PBH50" s="478"/>
      <c r="PBI50" s="478"/>
      <c r="PBJ50" s="478"/>
      <c r="PBK50" s="478"/>
      <c r="PBL50" s="478"/>
      <c r="PBM50" s="478"/>
      <c r="PBN50" s="478"/>
      <c r="PBO50" s="478"/>
      <c r="PBP50" s="478"/>
      <c r="PBQ50" s="478"/>
      <c r="PBR50" s="478"/>
      <c r="PBS50" s="478"/>
      <c r="PBT50" s="478"/>
      <c r="PBU50" s="478"/>
      <c r="PBV50" s="478"/>
      <c r="PBW50" s="478"/>
      <c r="PBX50" s="478"/>
      <c r="PBY50" s="478"/>
      <c r="PBZ50" s="478"/>
      <c r="PCA50" s="478"/>
      <c r="PCB50" s="478"/>
      <c r="PCC50" s="478"/>
      <c r="PCD50" s="478"/>
      <c r="PCE50" s="478"/>
      <c r="PCF50" s="478"/>
      <c r="PCG50" s="478"/>
      <c r="PCH50" s="478"/>
      <c r="PCI50" s="478"/>
      <c r="PCJ50" s="478"/>
      <c r="PCK50" s="478"/>
      <c r="PCL50" s="478"/>
      <c r="PCM50" s="478"/>
      <c r="PCN50" s="478"/>
      <c r="PCO50" s="478"/>
      <c r="PCP50" s="478"/>
      <c r="PCQ50" s="478"/>
      <c r="PCR50" s="478"/>
      <c r="PCS50" s="478"/>
      <c r="PCT50" s="478"/>
      <c r="PCU50" s="478"/>
      <c r="PCV50" s="478"/>
      <c r="PCW50" s="478"/>
      <c r="PCX50" s="478"/>
      <c r="PCY50" s="478"/>
      <c r="PCZ50" s="478"/>
      <c r="PDA50" s="478"/>
      <c r="PDB50" s="478"/>
      <c r="PDC50" s="478"/>
      <c r="PDD50" s="478"/>
      <c r="PDE50" s="478"/>
      <c r="PDF50" s="478"/>
      <c r="PDG50" s="478"/>
      <c r="PDH50" s="478"/>
      <c r="PDI50" s="478"/>
      <c r="PDJ50" s="478"/>
      <c r="PDK50" s="478"/>
      <c r="PDL50" s="478"/>
      <c r="PDM50" s="478"/>
      <c r="PDN50" s="478"/>
      <c r="PDO50" s="478"/>
      <c r="PDP50" s="478"/>
      <c r="PDQ50" s="478"/>
      <c r="PDR50" s="478"/>
      <c r="PDS50" s="478"/>
      <c r="PDT50" s="478"/>
      <c r="PDU50" s="478"/>
      <c r="PDV50" s="478"/>
      <c r="PDW50" s="478"/>
      <c r="PDX50" s="478"/>
      <c r="PDY50" s="478"/>
      <c r="PDZ50" s="478"/>
      <c r="PEA50" s="478"/>
      <c r="PEB50" s="478"/>
      <c r="PEC50" s="478"/>
      <c r="PED50" s="478"/>
      <c r="PEE50" s="478"/>
      <c r="PEF50" s="478"/>
      <c r="PEG50" s="478"/>
      <c r="PEH50" s="478"/>
      <c r="PEI50" s="478"/>
      <c r="PEJ50" s="478"/>
      <c r="PEK50" s="478"/>
      <c r="PEL50" s="478"/>
      <c r="PEM50" s="478"/>
      <c r="PEN50" s="478"/>
      <c r="PEO50" s="478"/>
      <c r="PEP50" s="478"/>
      <c r="PEQ50" s="478"/>
      <c r="PER50" s="478"/>
      <c r="PES50" s="478"/>
      <c r="PET50" s="478"/>
      <c r="PEU50" s="478"/>
      <c r="PEV50" s="478"/>
      <c r="PEW50" s="478"/>
      <c r="PEX50" s="478"/>
      <c r="PEY50" s="478"/>
      <c r="PEZ50" s="478"/>
      <c r="PFA50" s="478"/>
      <c r="PFB50" s="478"/>
      <c r="PFC50" s="478"/>
      <c r="PFD50" s="478"/>
      <c r="PFE50" s="478"/>
      <c r="PFF50" s="478"/>
      <c r="PFG50" s="478"/>
      <c r="PFH50" s="478"/>
      <c r="PFI50" s="478"/>
      <c r="PFJ50" s="478"/>
      <c r="PFK50" s="478"/>
      <c r="PFL50" s="478"/>
      <c r="PFM50" s="478"/>
      <c r="PFN50" s="478"/>
      <c r="PFO50" s="478"/>
      <c r="PFP50" s="478"/>
      <c r="PFQ50" s="478"/>
      <c r="PFR50" s="478"/>
      <c r="PFS50" s="478"/>
      <c r="PFT50" s="478"/>
      <c r="PFU50" s="478"/>
      <c r="PFV50" s="478"/>
      <c r="PFW50" s="478"/>
      <c r="PFX50" s="478"/>
      <c r="PFY50" s="478"/>
      <c r="PFZ50" s="478"/>
      <c r="PGA50" s="478"/>
      <c r="PGB50" s="478"/>
      <c r="PGC50" s="478"/>
      <c r="PGD50" s="478"/>
      <c r="PGE50" s="478"/>
      <c r="PGF50" s="478"/>
      <c r="PGG50" s="478"/>
      <c r="PGH50" s="478"/>
      <c r="PGI50" s="478"/>
      <c r="PGJ50" s="478"/>
      <c r="PGK50" s="478"/>
      <c r="PGL50" s="478"/>
      <c r="PGM50" s="478"/>
      <c r="PGN50" s="478"/>
      <c r="PGO50" s="478"/>
      <c r="PGP50" s="478"/>
      <c r="PGQ50" s="478"/>
      <c r="PGR50" s="478"/>
      <c r="PGS50" s="478"/>
      <c r="PGT50" s="478"/>
      <c r="PGU50" s="478"/>
      <c r="PGV50" s="478"/>
      <c r="PGW50" s="478"/>
      <c r="PGX50" s="478"/>
      <c r="PGY50" s="478"/>
      <c r="PGZ50" s="478"/>
      <c r="PHA50" s="478"/>
      <c r="PHB50" s="478"/>
      <c r="PHC50" s="478"/>
      <c r="PHD50" s="478"/>
      <c r="PHE50" s="478"/>
      <c r="PHF50" s="478"/>
      <c r="PHG50" s="478"/>
      <c r="PHH50" s="478"/>
      <c r="PHI50" s="478"/>
      <c r="PHJ50" s="478"/>
      <c r="PHK50" s="478"/>
      <c r="PHL50" s="478"/>
      <c r="PHM50" s="478"/>
      <c r="PHN50" s="478"/>
      <c r="PHO50" s="478"/>
      <c r="PHP50" s="478"/>
      <c r="PHQ50" s="478"/>
      <c r="PHR50" s="478"/>
      <c r="PHS50" s="478"/>
      <c r="PHT50" s="478"/>
      <c r="PHU50" s="478"/>
      <c r="PHV50" s="478"/>
      <c r="PHW50" s="478"/>
      <c r="PHX50" s="478"/>
      <c r="PHY50" s="478"/>
      <c r="PHZ50" s="478"/>
      <c r="PIA50" s="478"/>
      <c r="PIB50" s="478"/>
      <c r="PIC50" s="478"/>
      <c r="PID50" s="478"/>
      <c r="PIE50" s="478"/>
      <c r="PIF50" s="478"/>
      <c r="PIG50" s="478"/>
      <c r="PIH50" s="478"/>
      <c r="PII50" s="478"/>
      <c r="PIJ50" s="478"/>
      <c r="PIK50" s="478"/>
      <c r="PIL50" s="478"/>
      <c r="PIM50" s="478"/>
      <c r="PIN50" s="478"/>
      <c r="PIO50" s="478"/>
      <c r="PIP50" s="478"/>
      <c r="PIQ50" s="478"/>
      <c r="PIR50" s="478"/>
      <c r="PIS50" s="478"/>
      <c r="PIT50" s="478"/>
      <c r="PIU50" s="478"/>
      <c r="PIV50" s="478"/>
      <c r="PIW50" s="478"/>
      <c r="PIX50" s="478"/>
      <c r="PIY50" s="478"/>
      <c r="PIZ50" s="478"/>
      <c r="PJA50" s="478"/>
      <c r="PJB50" s="478"/>
      <c r="PJC50" s="478"/>
      <c r="PJD50" s="478"/>
      <c r="PJE50" s="478"/>
      <c r="PJF50" s="478"/>
      <c r="PJG50" s="478"/>
      <c r="PJH50" s="478"/>
      <c r="PJI50" s="478"/>
      <c r="PJJ50" s="478"/>
      <c r="PJK50" s="478"/>
      <c r="PJL50" s="478"/>
      <c r="PJM50" s="478"/>
      <c r="PJN50" s="478"/>
      <c r="PJO50" s="478"/>
      <c r="PJP50" s="478"/>
      <c r="PJQ50" s="478"/>
      <c r="PJR50" s="478"/>
      <c r="PJS50" s="478"/>
      <c r="PJT50" s="478"/>
      <c r="PJU50" s="478"/>
      <c r="PJV50" s="478"/>
      <c r="PJW50" s="478"/>
      <c r="PJX50" s="478"/>
      <c r="PJY50" s="478"/>
      <c r="PJZ50" s="478"/>
      <c r="PKA50" s="478"/>
      <c r="PKB50" s="478"/>
      <c r="PKC50" s="478"/>
      <c r="PKD50" s="478"/>
      <c r="PKE50" s="478"/>
      <c r="PKF50" s="478"/>
      <c r="PKG50" s="478"/>
      <c r="PKH50" s="478"/>
      <c r="PKI50" s="478"/>
      <c r="PKJ50" s="478"/>
      <c r="PKK50" s="478"/>
      <c r="PKL50" s="478"/>
      <c r="PKM50" s="478"/>
      <c r="PKN50" s="478"/>
      <c r="PKO50" s="478"/>
      <c r="PKP50" s="478"/>
      <c r="PKQ50" s="478"/>
      <c r="PKR50" s="478"/>
      <c r="PKS50" s="478"/>
      <c r="PKT50" s="478"/>
      <c r="PKU50" s="478"/>
      <c r="PKV50" s="478"/>
      <c r="PKW50" s="478"/>
      <c r="PKX50" s="478"/>
      <c r="PKY50" s="478"/>
      <c r="PKZ50" s="478"/>
      <c r="PLA50" s="478"/>
      <c r="PLB50" s="478"/>
      <c r="PLC50" s="478"/>
      <c r="PLD50" s="478"/>
      <c r="PLE50" s="478"/>
      <c r="PLF50" s="478"/>
      <c r="PLG50" s="478"/>
      <c r="PLH50" s="478"/>
      <c r="PLI50" s="478"/>
      <c r="PLJ50" s="478"/>
      <c r="PLK50" s="478"/>
      <c r="PLL50" s="478"/>
      <c r="PLM50" s="478"/>
      <c r="PLN50" s="478"/>
      <c r="PLO50" s="478"/>
      <c r="PLP50" s="478"/>
      <c r="PLQ50" s="478"/>
      <c r="PLR50" s="478"/>
      <c r="PLS50" s="478"/>
      <c r="PLT50" s="478"/>
      <c r="PLU50" s="478"/>
      <c r="PLV50" s="478"/>
      <c r="PLW50" s="478"/>
      <c r="PLX50" s="478"/>
      <c r="PLY50" s="478"/>
      <c r="PLZ50" s="478"/>
      <c r="PMA50" s="478"/>
      <c r="PMB50" s="478"/>
      <c r="PMC50" s="478"/>
      <c r="PMD50" s="478"/>
      <c r="PME50" s="478"/>
      <c r="PMF50" s="478"/>
      <c r="PMG50" s="478"/>
      <c r="PMH50" s="478"/>
      <c r="PMI50" s="478"/>
      <c r="PMJ50" s="478"/>
      <c r="PMK50" s="478"/>
      <c r="PML50" s="478"/>
      <c r="PMM50" s="478"/>
      <c r="PMN50" s="478"/>
      <c r="PMO50" s="478"/>
      <c r="PMP50" s="478"/>
      <c r="PMQ50" s="478"/>
      <c r="PMR50" s="478"/>
      <c r="PMS50" s="478"/>
      <c r="PMT50" s="478"/>
      <c r="PMU50" s="478"/>
      <c r="PMV50" s="478"/>
      <c r="PMW50" s="478"/>
      <c r="PMX50" s="478"/>
      <c r="PMY50" s="478"/>
      <c r="PMZ50" s="478"/>
      <c r="PNA50" s="478"/>
      <c r="PNB50" s="478"/>
      <c r="PNC50" s="478"/>
      <c r="PND50" s="478"/>
      <c r="PNE50" s="478"/>
      <c r="PNF50" s="478"/>
      <c r="PNG50" s="478"/>
      <c r="PNH50" s="478"/>
      <c r="PNI50" s="478"/>
      <c r="PNJ50" s="478"/>
      <c r="PNK50" s="478"/>
      <c r="PNL50" s="478"/>
      <c r="PNM50" s="478"/>
      <c r="PNN50" s="478"/>
      <c r="PNO50" s="478"/>
      <c r="PNP50" s="478"/>
      <c r="PNQ50" s="478"/>
      <c r="PNR50" s="478"/>
      <c r="PNS50" s="478"/>
      <c r="PNT50" s="478"/>
      <c r="PNU50" s="478"/>
      <c r="PNV50" s="478"/>
      <c r="PNW50" s="478"/>
      <c r="PNX50" s="478"/>
      <c r="PNY50" s="478"/>
      <c r="PNZ50" s="478"/>
      <c r="POA50" s="478"/>
      <c r="POB50" s="478"/>
      <c r="POC50" s="478"/>
      <c r="POD50" s="478"/>
      <c r="POE50" s="478"/>
      <c r="POF50" s="478"/>
      <c r="POG50" s="478"/>
      <c r="POH50" s="478"/>
      <c r="POI50" s="478"/>
      <c r="POJ50" s="478"/>
      <c r="POK50" s="478"/>
      <c r="POL50" s="478"/>
      <c r="POM50" s="478"/>
      <c r="PON50" s="478"/>
      <c r="POO50" s="478"/>
      <c r="POP50" s="478"/>
      <c r="POQ50" s="478"/>
      <c r="POR50" s="478"/>
      <c r="POS50" s="478"/>
      <c r="POT50" s="478"/>
      <c r="POU50" s="478"/>
      <c r="POV50" s="478"/>
      <c r="POW50" s="478"/>
      <c r="POX50" s="478"/>
      <c r="POY50" s="478"/>
      <c r="POZ50" s="478"/>
      <c r="PPA50" s="478"/>
      <c r="PPB50" s="478"/>
      <c r="PPC50" s="478"/>
      <c r="PPD50" s="478"/>
      <c r="PPE50" s="478"/>
      <c r="PPF50" s="478"/>
      <c r="PPG50" s="478"/>
      <c r="PPH50" s="478"/>
      <c r="PPI50" s="478"/>
      <c r="PPJ50" s="478"/>
      <c r="PPK50" s="478"/>
      <c r="PPL50" s="478"/>
      <c r="PPM50" s="478"/>
      <c r="PPN50" s="478"/>
      <c r="PPO50" s="478"/>
      <c r="PPP50" s="478"/>
      <c r="PPQ50" s="478"/>
      <c r="PPR50" s="478"/>
      <c r="PPS50" s="478"/>
      <c r="PPT50" s="478"/>
      <c r="PPU50" s="478"/>
      <c r="PPV50" s="478"/>
      <c r="PPW50" s="478"/>
      <c r="PPX50" s="478"/>
      <c r="PPY50" s="478"/>
      <c r="PPZ50" s="478"/>
      <c r="PQA50" s="478"/>
      <c r="PQB50" s="478"/>
      <c r="PQC50" s="478"/>
      <c r="PQD50" s="478"/>
      <c r="PQE50" s="478"/>
      <c r="PQF50" s="478"/>
      <c r="PQG50" s="478"/>
      <c r="PQH50" s="478"/>
      <c r="PQI50" s="478"/>
      <c r="PQJ50" s="478"/>
      <c r="PQK50" s="478"/>
      <c r="PQL50" s="478"/>
      <c r="PQM50" s="478"/>
      <c r="PQN50" s="478"/>
      <c r="PQO50" s="478"/>
      <c r="PQP50" s="478"/>
      <c r="PQQ50" s="478"/>
      <c r="PQR50" s="478"/>
      <c r="PQS50" s="478"/>
      <c r="PQT50" s="478"/>
      <c r="PQU50" s="478"/>
      <c r="PQV50" s="478"/>
      <c r="PQW50" s="478"/>
      <c r="PQX50" s="478"/>
      <c r="PQY50" s="478"/>
      <c r="PQZ50" s="478"/>
      <c r="PRA50" s="478"/>
      <c r="PRB50" s="478"/>
      <c r="PRC50" s="478"/>
      <c r="PRD50" s="478"/>
      <c r="PRE50" s="478"/>
      <c r="PRF50" s="478"/>
      <c r="PRG50" s="478"/>
      <c r="PRH50" s="478"/>
      <c r="PRI50" s="478"/>
      <c r="PRJ50" s="478"/>
      <c r="PRK50" s="478"/>
      <c r="PRL50" s="478"/>
      <c r="PRM50" s="478"/>
      <c r="PRN50" s="478"/>
      <c r="PRO50" s="478"/>
      <c r="PRP50" s="478"/>
      <c r="PRQ50" s="478"/>
      <c r="PRR50" s="478"/>
      <c r="PRS50" s="478"/>
      <c r="PRT50" s="478"/>
      <c r="PRU50" s="478"/>
      <c r="PRV50" s="478"/>
      <c r="PRW50" s="478"/>
      <c r="PRX50" s="478"/>
      <c r="PRY50" s="478"/>
      <c r="PRZ50" s="478"/>
      <c r="PSA50" s="478"/>
      <c r="PSB50" s="478"/>
      <c r="PSC50" s="478"/>
      <c r="PSD50" s="478"/>
      <c r="PSE50" s="478"/>
      <c r="PSF50" s="478"/>
      <c r="PSG50" s="478"/>
      <c r="PSH50" s="478"/>
      <c r="PSI50" s="478"/>
      <c r="PSJ50" s="478"/>
      <c r="PSK50" s="478"/>
      <c r="PSL50" s="478"/>
      <c r="PSM50" s="478"/>
      <c r="PSN50" s="478"/>
      <c r="PSO50" s="478"/>
      <c r="PSP50" s="478"/>
      <c r="PSQ50" s="478"/>
      <c r="PSR50" s="478"/>
      <c r="PSS50" s="478"/>
      <c r="PST50" s="478"/>
      <c r="PSU50" s="478"/>
      <c r="PSV50" s="478"/>
      <c r="PSW50" s="478"/>
      <c r="PSX50" s="478"/>
      <c r="PSY50" s="478"/>
      <c r="PSZ50" s="478"/>
      <c r="PTA50" s="478"/>
      <c r="PTB50" s="478"/>
      <c r="PTC50" s="478"/>
      <c r="PTD50" s="478"/>
      <c r="PTE50" s="478"/>
      <c r="PTF50" s="478"/>
      <c r="PTG50" s="478"/>
      <c r="PTH50" s="478"/>
      <c r="PTI50" s="478"/>
      <c r="PTJ50" s="478"/>
      <c r="PTK50" s="478"/>
      <c r="PTL50" s="478"/>
      <c r="PTM50" s="478"/>
      <c r="PTN50" s="478"/>
      <c r="PTO50" s="478"/>
      <c r="PTP50" s="478"/>
      <c r="PTQ50" s="478"/>
      <c r="PTR50" s="478"/>
      <c r="PTS50" s="478"/>
      <c r="PTT50" s="478"/>
      <c r="PTU50" s="478"/>
      <c r="PTV50" s="478"/>
      <c r="PTW50" s="478"/>
      <c r="PTX50" s="478"/>
      <c r="PTY50" s="478"/>
      <c r="PTZ50" s="478"/>
      <c r="PUA50" s="478"/>
      <c r="PUB50" s="478"/>
      <c r="PUC50" s="478"/>
      <c r="PUD50" s="478"/>
      <c r="PUE50" s="478"/>
      <c r="PUF50" s="478"/>
      <c r="PUG50" s="478"/>
      <c r="PUH50" s="478"/>
      <c r="PUI50" s="478"/>
      <c r="PUJ50" s="478"/>
      <c r="PUK50" s="478"/>
      <c r="PUL50" s="478"/>
      <c r="PUM50" s="478"/>
      <c r="PUN50" s="478"/>
      <c r="PUO50" s="478"/>
      <c r="PUP50" s="478"/>
      <c r="PUQ50" s="478"/>
      <c r="PUR50" s="478"/>
      <c r="PUS50" s="478"/>
      <c r="PUT50" s="478"/>
      <c r="PUU50" s="478"/>
      <c r="PUV50" s="478"/>
      <c r="PUW50" s="478"/>
      <c r="PUX50" s="478"/>
      <c r="PUY50" s="478"/>
      <c r="PUZ50" s="478"/>
      <c r="PVA50" s="478"/>
      <c r="PVB50" s="478"/>
      <c r="PVC50" s="478"/>
      <c r="PVD50" s="478"/>
      <c r="PVE50" s="478"/>
      <c r="PVF50" s="478"/>
      <c r="PVG50" s="478"/>
      <c r="PVH50" s="478"/>
      <c r="PVI50" s="478"/>
      <c r="PVJ50" s="478"/>
      <c r="PVK50" s="478"/>
      <c r="PVL50" s="478"/>
      <c r="PVM50" s="478"/>
      <c r="PVN50" s="478"/>
      <c r="PVO50" s="478"/>
      <c r="PVP50" s="478"/>
      <c r="PVQ50" s="478"/>
      <c r="PVR50" s="478"/>
      <c r="PVS50" s="478"/>
      <c r="PVT50" s="478"/>
      <c r="PVU50" s="478"/>
      <c r="PVV50" s="478"/>
      <c r="PVW50" s="478"/>
      <c r="PVX50" s="478"/>
      <c r="PVY50" s="478"/>
      <c r="PVZ50" s="478"/>
      <c r="PWA50" s="478"/>
      <c r="PWB50" s="478"/>
      <c r="PWC50" s="478"/>
      <c r="PWD50" s="478"/>
      <c r="PWE50" s="478"/>
      <c r="PWF50" s="478"/>
      <c r="PWG50" s="478"/>
      <c r="PWH50" s="478"/>
      <c r="PWI50" s="478"/>
      <c r="PWJ50" s="478"/>
      <c r="PWK50" s="478"/>
      <c r="PWL50" s="478"/>
      <c r="PWM50" s="478"/>
      <c r="PWN50" s="478"/>
      <c r="PWO50" s="478"/>
      <c r="PWP50" s="478"/>
      <c r="PWQ50" s="478"/>
      <c r="PWR50" s="478"/>
      <c r="PWS50" s="478"/>
      <c r="PWT50" s="478"/>
      <c r="PWU50" s="478"/>
      <c r="PWV50" s="478"/>
      <c r="PWW50" s="478"/>
      <c r="PWX50" s="478"/>
      <c r="PWY50" s="478"/>
      <c r="PWZ50" s="478"/>
      <c r="PXA50" s="478"/>
      <c r="PXB50" s="478"/>
      <c r="PXC50" s="478"/>
      <c r="PXD50" s="478"/>
      <c r="PXE50" s="478"/>
      <c r="PXF50" s="478"/>
      <c r="PXG50" s="478"/>
      <c r="PXH50" s="478"/>
      <c r="PXI50" s="478"/>
      <c r="PXJ50" s="478"/>
      <c r="PXK50" s="478"/>
      <c r="PXL50" s="478"/>
      <c r="PXM50" s="478"/>
      <c r="PXN50" s="478"/>
      <c r="PXO50" s="478"/>
      <c r="PXP50" s="478"/>
      <c r="PXQ50" s="478"/>
      <c r="PXR50" s="478"/>
      <c r="PXS50" s="478"/>
      <c r="PXT50" s="478"/>
      <c r="PXU50" s="478"/>
      <c r="PXV50" s="478"/>
      <c r="PXW50" s="478"/>
      <c r="PXX50" s="478"/>
      <c r="PXY50" s="478"/>
      <c r="PXZ50" s="478"/>
      <c r="PYA50" s="478"/>
      <c r="PYB50" s="478"/>
      <c r="PYC50" s="478"/>
      <c r="PYD50" s="478"/>
      <c r="PYE50" s="478"/>
      <c r="PYF50" s="478"/>
      <c r="PYG50" s="478"/>
      <c r="PYH50" s="478"/>
      <c r="PYI50" s="478"/>
      <c r="PYJ50" s="478"/>
      <c r="PYK50" s="478"/>
      <c r="PYL50" s="478"/>
      <c r="PYM50" s="478"/>
      <c r="PYN50" s="478"/>
      <c r="PYO50" s="478"/>
      <c r="PYP50" s="478"/>
      <c r="PYQ50" s="478"/>
      <c r="PYR50" s="478"/>
      <c r="PYS50" s="478"/>
      <c r="PYT50" s="478"/>
      <c r="PYU50" s="478"/>
      <c r="PYV50" s="478"/>
      <c r="PYW50" s="478"/>
      <c r="PYX50" s="478"/>
      <c r="PYY50" s="478"/>
      <c r="PYZ50" s="478"/>
      <c r="PZA50" s="478"/>
      <c r="PZB50" s="478"/>
      <c r="PZC50" s="478"/>
      <c r="PZD50" s="478"/>
      <c r="PZE50" s="478"/>
      <c r="PZF50" s="478"/>
      <c r="PZG50" s="478"/>
      <c r="PZH50" s="478"/>
      <c r="PZI50" s="478"/>
      <c r="PZJ50" s="478"/>
      <c r="PZK50" s="478"/>
      <c r="PZL50" s="478"/>
      <c r="PZM50" s="478"/>
      <c r="PZN50" s="478"/>
      <c r="PZO50" s="478"/>
      <c r="PZP50" s="478"/>
      <c r="PZQ50" s="478"/>
      <c r="PZR50" s="478"/>
      <c r="PZS50" s="478"/>
      <c r="PZT50" s="478"/>
      <c r="PZU50" s="478"/>
      <c r="PZV50" s="478"/>
      <c r="PZW50" s="478"/>
      <c r="PZX50" s="478"/>
      <c r="PZY50" s="478"/>
      <c r="PZZ50" s="478"/>
      <c r="QAA50" s="478"/>
      <c r="QAB50" s="478"/>
      <c r="QAC50" s="478"/>
      <c r="QAD50" s="478"/>
      <c r="QAE50" s="478"/>
      <c r="QAF50" s="478"/>
      <c r="QAG50" s="478"/>
      <c r="QAH50" s="478"/>
      <c r="QAI50" s="478"/>
      <c r="QAJ50" s="478"/>
      <c r="QAK50" s="478"/>
      <c r="QAL50" s="478"/>
      <c r="QAM50" s="478"/>
      <c r="QAN50" s="478"/>
      <c r="QAO50" s="478"/>
      <c r="QAP50" s="478"/>
      <c r="QAQ50" s="478"/>
      <c r="QAR50" s="478"/>
      <c r="QAS50" s="478"/>
      <c r="QAT50" s="478"/>
      <c r="QAU50" s="478"/>
      <c r="QAV50" s="478"/>
      <c r="QAW50" s="478"/>
      <c r="QAX50" s="478"/>
      <c r="QAY50" s="478"/>
      <c r="QAZ50" s="478"/>
      <c r="QBA50" s="478"/>
      <c r="QBB50" s="478"/>
      <c r="QBC50" s="478"/>
      <c r="QBD50" s="478"/>
      <c r="QBE50" s="478"/>
      <c r="QBF50" s="478"/>
      <c r="QBG50" s="478"/>
      <c r="QBH50" s="478"/>
      <c r="QBI50" s="478"/>
      <c r="QBJ50" s="478"/>
      <c r="QBK50" s="478"/>
      <c r="QBL50" s="478"/>
      <c r="QBM50" s="478"/>
      <c r="QBN50" s="478"/>
      <c r="QBO50" s="478"/>
      <c r="QBP50" s="478"/>
      <c r="QBQ50" s="478"/>
      <c r="QBR50" s="478"/>
      <c r="QBS50" s="478"/>
      <c r="QBT50" s="478"/>
      <c r="QBU50" s="478"/>
      <c r="QBV50" s="478"/>
      <c r="QBW50" s="478"/>
      <c r="QBX50" s="478"/>
      <c r="QBY50" s="478"/>
      <c r="QBZ50" s="478"/>
      <c r="QCA50" s="478"/>
      <c r="QCB50" s="478"/>
      <c r="QCC50" s="478"/>
      <c r="QCD50" s="478"/>
      <c r="QCE50" s="478"/>
      <c r="QCF50" s="478"/>
      <c r="QCG50" s="478"/>
      <c r="QCH50" s="478"/>
      <c r="QCI50" s="478"/>
      <c r="QCJ50" s="478"/>
      <c r="QCK50" s="478"/>
      <c r="QCL50" s="478"/>
      <c r="QCM50" s="478"/>
      <c r="QCN50" s="478"/>
      <c r="QCO50" s="478"/>
      <c r="QCP50" s="478"/>
      <c r="QCQ50" s="478"/>
      <c r="QCR50" s="478"/>
      <c r="QCS50" s="478"/>
      <c r="QCT50" s="478"/>
      <c r="QCU50" s="478"/>
      <c r="QCV50" s="478"/>
      <c r="QCW50" s="478"/>
      <c r="QCX50" s="478"/>
      <c r="QCY50" s="478"/>
      <c r="QCZ50" s="478"/>
      <c r="QDA50" s="478"/>
      <c r="QDB50" s="478"/>
      <c r="QDC50" s="478"/>
      <c r="QDD50" s="478"/>
      <c r="QDE50" s="478"/>
      <c r="QDF50" s="478"/>
      <c r="QDG50" s="478"/>
      <c r="QDH50" s="478"/>
      <c r="QDI50" s="478"/>
      <c r="QDJ50" s="478"/>
      <c r="QDK50" s="478"/>
      <c r="QDL50" s="478"/>
      <c r="QDM50" s="478"/>
      <c r="QDN50" s="478"/>
      <c r="QDO50" s="478"/>
      <c r="QDP50" s="478"/>
      <c r="QDQ50" s="478"/>
      <c r="QDR50" s="478"/>
      <c r="QDS50" s="478"/>
      <c r="QDT50" s="478"/>
      <c r="QDU50" s="478"/>
      <c r="QDV50" s="478"/>
      <c r="QDW50" s="478"/>
      <c r="QDX50" s="478"/>
      <c r="QDY50" s="478"/>
      <c r="QDZ50" s="478"/>
      <c r="QEA50" s="478"/>
      <c r="QEB50" s="478"/>
      <c r="QEC50" s="478"/>
      <c r="QED50" s="478"/>
      <c r="QEE50" s="478"/>
      <c r="QEF50" s="478"/>
      <c r="QEG50" s="478"/>
      <c r="QEH50" s="478"/>
      <c r="QEI50" s="478"/>
      <c r="QEJ50" s="478"/>
      <c r="QEK50" s="478"/>
      <c r="QEL50" s="478"/>
      <c r="QEM50" s="478"/>
      <c r="QEN50" s="478"/>
      <c r="QEO50" s="478"/>
      <c r="QEP50" s="478"/>
      <c r="QEQ50" s="478"/>
      <c r="QER50" s="478"/>
      <c r="QES50" s="478"/>
      <c r="QET50" s="478"/>
      <c r="QEU50" s="478"/>
      <c r="QEV50" s="478"/>
      <c r="QEW50" s="478"/>
      <c r="QEX50" s="478"/>
      <c r="QEY50" s="478"/>
      <c r="QEZ50" s="478"/>
      <c r="QFA50" s="478"/>
      <c r="QFB50" s="478"/>
      <c r="QFC50" s="478"/>
      <c r="QFD50" s="478"/>
      <c r="QFE50" s="478"/>
      <c r="QFF50" s="478"/>
      <c r="QFG50" s="478"/>
      <c r="QFH50" s="478"/>
      <c r="QFI50" s="478"/>
      <c r="QFJ50" s="478"/>
      <c r="QFK50" s="478"/>
      <c r="QFL50" s="478"/>
      <c r="QFM50" s="478"/>
      <c r="QFN50" s="478"/>
      <c r="QFO50" s="478"/>
      <c r="QFP50" s="478"/>
      <c r="QFQ50" s="478"/>
      <c r="QFR50" s="478"/>
      <c r="QFS50" s="478"/>
      <c r="QFT50" s="478"/>
      <c r="QFU50" s="478"/>
      <c r="QFV50" s="478"/>
      <c r="QFW50" s="478"/>
      <c r="QFX50" s="478"/>
      <c r="QFY50" s="478"/>
      <c r="QFZ50" s="478"/>
      <c r="QGA50" s="478"/>
      <c r="QGB50" s="478"/>
      <c r="QGC50" s="478"/>
      <c r="QGD50" s="478"/>
      <c r="QGE50" s="478"/>
      <c r="QGF50" s="478"/>
      <c r="QGG50" s="478"/>
      <c r="QGH50" s="478"/>
      <c r="QGI50" s="478"/>
      <c r="QGJ50" s="478"/>
      <c r="QGK50" s="478"/>
      <c r="QGL50" s="478"/>
      <c r="QGM50" s="478"/>
      <c r="QGN50" s="478"/>
      <c r="QGO50" s="478"/>
      <c r="QGP50" s="478"/>
      <c r="QGQ50" s="478"/>
      <c r="QGR50" s="478"/>
      <c r="QGS50" s="478"/>
      <c r="QGT50" s="478"/>
      <c r="QGU50" s="478"/>
      <c r="QGV50" s="478"/>
      <c r="QGW50" s="478"/>
      <c r="QGX50" s="478"/>
      <c r="QGY50" s="478"/>
      <c r="QGZ50" s="478"/>
      <c r="QHA50" s="478"/>
      <c r="QHB50" s="478"/>
      <c r="QHC50" s="478"/>
      <c r="QHD50" s="478"/>
      <c r="QHE50" s="478"/>
      <c r="QHF50" s="478"/>
      <c r="QHG50" s="478"/>
      <c r="QHH50" s="478"/>
      <c r="QHI50" s="478"/>
      <c r="QHJ50" s="478"/>
      <c r="QHK50" s="478"/>
      <c r="QHL50" s="478"/>
      <c r="QHM50" s="478"/>
      <c r="QHN50" s="478"/>
      <c r="QHO50" s="478"/>
      <c r="QHP50" s="478"/>
      <c r="QHQ50" s="478"/>
      <c r="QHR50" s="478"/>
      <c r="QHS50" s="478"/>
      <c r="QHT50" s="478"/>
      <c r="QHU50" s="478"/>
      <c r="QHV50" s="478"/>
      <c r="QHW50" s="478"/>
      <c r="QHX50" s="478"/>
      <c r="QHY50" s="478"/>
      <c r="QHZ50" s="478"/>
      <c r="QIA50" s="478"/>
      <c r="QIB50" s="478"/>
      <c r="QIC50" s="478"/>
      <c r="QID50" s="478"/>
      <c r="QIE50" s="478"/>
      <c r="QIF50" s="478"/>
      <c r="QIG50" s="478"/>
      <c r="QIH50" s="478"/>
      <c r="QII50" s="478"/>
      <c r="QIJ50" s="478"/>
      <c r="QIK50" s="478"/>
      <c r="QIL50" s="478"/>
      <c r="QIM50" s="478"/>
      <c r="QIN50" s="478"/>
      <c r="QIO50" s="478"/>
      <c r="QIP50" s="478"/>
      <c r="QIQ50" s="478"/>
      <c r="QIR50" s="478"/>
      <c r="QIS50" s="478"/>
      <c r="QIT50" s="478"/>
      <c r="QIU50" s="478"/>
      <c r="QIV50" s="478"/>
      <c r="QIW50" s="478"/>
      <c r="QIX50" s="478"/>
      <c r="QIY50" s="478"/>
      <c r="QIZ50" s="478"/>
      <c r="QJA50" s="478"/>
      <c r="QJB50" s="478"/>
      <c r="QJC50" s="478"/>
      <c r="QJD50" s="478"/>
      <c r="QJE50" s="478"/>
      <c r="QJF50" s="478"/>
      <c r="QJG50" s="478"/>
      <c r="QJH50" s="478"/>
      <c r="QJI50" s="478"/>
      <c r="QJJ50" s="478"/>
      <c r="QJK50" s="478"/>
      <c r="QJL50" s="478"/>
      <c r="QJM50" s="478"/>
      <c r="QJN50" s="478"/>
      <c r="QJO50" s="478"/>
      <c r="QJP50" s="478"/>
      <c r="QJQ50" s="478"/>
      <c r="QJR50" s="478"/>
      <c r="QJS50" s="478"/>
      <c r="QJT50" s="478"/>
      <c r="QJU50" s="478"/>
      <c r="QJV50" s="478"/>
      <c r="QJW50" s="478"/>
      <c r="QJX50" s="478"/>
      <c r="QJY50" s="478"/>
      <c r="QJZ50" s="478"/>
      <c r="QKA50" s="478"/>
      <c r="QKB50" s="478"/>
      <c r="QKC50" s="478"/>
      <c r="QKD50" s="478"/>
      <c r="QKE50" s="478"/>
      <c r="QKF50" s="478"/>
      <c r="QKG50" s="478"/>
      <c r="QKH50" s="478"/>
      <c r="QKI50" s="478"/>
      <c r="QKJ50" s="478"/>
      <c r="QKK50" s="478"/>
      <c r="QKL50" s="478"/>
      <c r="QKM50" s="478"/>
      <c r="QKN50" s="478"/>
      <c r="QKO50" s="478"/>
      <c r="QKP50" s="478"/>
      <c r="QKQ50" s="478"/>
      <c r="QKR50" s="478"/>
      <c r="QKS50" s="478"/>
      <c r="QKT50" s="478"/>
      <c r="QKU50" s="478"/>
      <c r="QKV50" s="478"/>
      <c r="QKW50" s="478"/>
      <c r="QKX50" s="478"/>
      <c r="QKY50" s="478"/>
      <c r="QKZ50" s="478"/>
      <c r="QLA50" s="478"/>
      <c r="QLB50" s="478"/>
      <c r="QLC50" s="478"/>
      <c r="QLD50" s="478"/>
      <c r="QLE50" s="478"/>
      <c r="QLF50" s="478"/>
      <c r="QLG50" s="478"/>
      <c r="QLH50" s="478"/>
      <c r="QLI50" s="478"/>
      <c r="QLJ50" s="478"/>
      <c r="QLK50" s="478"/>
      <c r="QLL50" s="478"/>
      <c r="QLM50" s="478"/>
      <c r="QLN50" s="478"/>
      <c r="QLO50" s="478"/>
      <c r="QLP50" s="478"/>
      <c r="QLQ50" s="478"/>
      <c r="QLR50" s="478"/>
      <c r="QLS50" s="478"/>
      <c r="QLT50" s="478"/>
      <c r="QLU50" s="478"/>
      <c r="QLV50" s="478"/>
      <c r="QLW50" s="478"/>
      <c r="QLX50" s="478"/>
      <c r="QLY50" s="478"/>
      <c r="QLZ50" s="478"/>
      <c r="QMA50" s="478"/>
      <c r="QMB50" s="478"/>
      <c r="QMC50" s="478"/>
      <c r="QMD50" s="478"/>
      <c r="QME50" s="478"/>
      <c r="QMF50" s="478"/>
      <c r="QMG50" s="478"/>
      <c r="QMH50" s="478"/>
      <c r="QMI50" s="478"/>
      <c r="QMJ50" s="478"/>
      <c r="QMK50" s="478"/>
      <c r="QML50" s="478"/>
      <c r="QMM50" s="478"/>
      <c r="QMN50" s="478"/>
      <c r="QMO50" s="478"/>
      <c r="QMP50" s="478"/>
      <c r="QMQ50" s="478"/>
      <c r="QMR50" s="478"/>
      <c r="QMS50" s="478"/>
      <c r="QMT50" s="478"/>
      <c r="QMU50" s="478"/>
      <c r="QMV50" s="478"/>
      <c r="QMW50" s="478"/>
      <c r="QMX50" s="478"/>
      <c r="QMY50" s="478"/>
      <c r="QMZ50" s="478"/>
      <c r="QNA50" s="478"/>
      <c r="QNB50" s="478"/>
      <c r="QNC50" s="478"/>
      <c r="QND50" s="478"/>
      <c r="QNE50" s="478"/>
      <c r="QNF50" s="478"/>
      <c r="QNG50" s="478"/>
      <c r="QNH50" s="478"/>
      <c r="QNI50" s="478"/>
      <c r="QNJ50" s="478"/>
      <c r="QNK50" s="478"/>
      <c r="QNL50" s="478"/>
      <c r="QNM50" s="478"/>
      <c r="QNN50" s="478"/>
      <c r="QNO50" s="478"/>
      <c r="QNP50" s="478"/>
      <c r="QNQ50" s="478"/>
      <c r="QNR50" s="478"/>
      <c r="QNS50" s="478"/>
      <c r="QNT50" s="478"/>
      <c r="QNU50" s="478"/>
      <c r="QNV50" s="478"/>
      <c r="QNW50" s="478"/>
      <c r="QNX50" s="478"/>
      <c r="QNY50" s="478"/>
      <c r="QNZ50" s="478"/>
      <c r="QOA50" s="478"/>
      <c r="QOB50" s="478"/>
      <c r="QOC50" s="478"/>
      <c r="QOD50" s="478"/>
      <c r="QOE50" s="478"/>
      <c r="QOF50" s="478"/>
      <c r="QOG50" s="478"/>
      <c r="QOH50" s="478"/>
      <c r="QOI50" s="478"/>
      <c r="QOJ50" s="478"/>
      <c r="QOK50" s="478"/>
      <c r="QOL50" s="478"/>
      <c r="QOM50" s="478"/>
      <c r="QON50" s="478"/>
      <c r="QOO50" s="478"/>
      <c r="QOP50" s="478"/>
      <c r="QOQ50" s="478"/>
      <c r="QOR50" s="478"/>
      <c r="QOS50" s="478"/>
      <c r="QOT50" s="478"/>
      <c r="QOU50" s="478"/>
      <c r="QOV50" s="478"/>
      <c r="QOW50" s="478"/>
      <c r="QOX50" s="478"/>
      <c r="QOY50" s="478"/>
      <c r="QOZ50" s="478"/>
      <c r="QPA50" s="478"/>
      <c r="QPB50" s="478"/>
      <c r="QPC50" s="478"/>
      <c r="QPD50" s="478"/>
      <c r="QPE50" s="478"/>
      <c r="QPF50" s="478"/>
      <c r="QPG50" s="478"/>
      <c r="QPH50" s="478"/>
      <c r="QPI50" s="478"/>
      <c r="QPJ50" s="478"/>
      <c r="QPK50" s="478"/>
      <c r="QPL50" s="478"/>
      <c r="QPM50" s="478"/>
      <c r="QPN50" s="478"/>
      <c r="QPO50" s="478"/>
      <c r="QPP50" s="478"/>
      <c r="QPQ50" s="478"/>
      <c r="QPR50" s="478"/>
      <c r="QPS50" s="478"/>
      <c r="QPT50" s="478"/>
      <c r="QPU50" s="478"/>
      <c r="QPV50" s="478"/>
      <c r="QPW50" s="478"/>
      <c r="QPX50" s="478"/>
      <c r="QPY50" s="478"/>
      <c r="QPZ50" s="478"/>
      <c r="QQA50" s="478"/>
      <c r="QQB50" s="478"/>
      <c r="QQC50" s="478"/>
      <c r="QQD50" s="478"/>
      <c r="QQE50" s="478"/>
      <c r="QQF50" s="478"/>
      <c r="QQG50" s="478"/>
      <c r="QQH50" s="478"/>
      <c r="QQI50" s="478"/>
      <c r="QQJ50" s="478"/>
      <c r="QQK50" s="478"/>
      <c r="QQL50" s="478"/>
      <c r="QQM50" s="478"/>
      <c r="QQN50" s="478"/>
      <c r="QQO50" s="478"/>
      <c r="QQP50" s="478"/>
      <c r="QQQ50" s="478"/>
      <c r="QQR50" s="478"/>
      <c r="QQS50" s="478"/>
      <c r="QQT50" s="478"/>
      <c r="QQU50" s="478"/>
      <c r="QQV50" s="478"/>
      <c r="QQW50" s="478"/>
      <c r="QQX50" s="478"/>
      <c r="QQY50" s="478"/>
      <c r="QQZ50" s="478"/>
      <c r="QRA50" s="478"/>
      <c r="QRB50" s="478"/>
      <c r="QRC50" s="478"/>
      <c r="QRD50" s="478"/>
      <c r="QRE50" s="478"/>
      <c r="QRF50" s="478"/>
      <c r="QRG50" s="478"/>
      <c r="QRH50" s="478"/>
      <c r="QRI50" s="478"/>
      <c r="QRJ50" s="478"/>
      <c r="QRK50" s="478"/>
      <c r="QRL50" s="478"/>
      <c r="QRM50" s="478"/>
      <c r="QRN50" s="478"/>
      <c r="QRO50" s="478"/>
      <c r="QRP50" s="478"/>
      <c r="QRQ50" s="478"/>
      <c r="QRR50" s="478"/>
      <c r="QRS50" s="478"/>
      <c r="QRT50" s="478"/>
      <c r="QRU50" s="478"/>
      <c r="QRV50" s="478"/>
      <c r="QRW50" s="478"/>
      <c r="QRX50" s="478"/>
      <c r="QRY50" s="478"/>
      <c r="QRZ50" s="478"/>
      <c r="QSA50" s="478"/>
      <c r="QSB50" s="478"/>
      <c r="QSC50" s="478"/>
      <c r="QSD50" s="478"/>
      <c r="QSE50" s="478"/>
      <c r="QSF50" s="478"/>
      <c r="QSG50" s="478"/>
      <c r="QSH50" s="478"/>
      <c r="QSI50" s="478"/>
      <c r="QSJ50" s="478"/>
      <c r="QSK50" s="478"/>
      <c r="QSL50" s="478"/>
      <c r="QSM50" s="478"/>
      <c r="QSN50" s="478"/>
      <c r="QSO50" s="478"/>
      <c r="QSP50" s="478"/>
      <c r="QSQ50" s="478"/>
      <c r="QSR50" s="478"/>
      <c r="QSS50" s="478"/>
      <c r="QST50" s="478"/>
      <c r="QSU50" s="478"/>
      <c r="QSV50" s="478"/>
      <c r="QSW50" s="478"/>
      <c r="QSX50" s="478"/>
      <c r="QSY50" s="478"/>
      <c r="QSZ50" s="478"/>
      <c r="QTA50" s="478"/>
      <c r="QTB50" s="478"/>
      <c r="QTC50" s="478"/>
      <c r="QTD50" s="478"/>
      <c r="QTE50" s="478"/>
      <c r="QTF50" s="478"/>
      <c r="QTG50" s="478"/>
      <c r="QTH50" s="478"/>
      <c r="QTI50" s="478"/>
      <c r="QTJ50" s="478"/>
      <c r="QTK50" s="478"/>
      <c r="QTL50" s="478"/>
      <c r="QTM50" s="478"/>
      <c r="QTN50" s="478"/>
      <c r="QTO50" s="478"/>
      <c r="QTP50" s="478"/>
      <c r="QTQ50" s="478"/>
      <c r="QTR50" s="478"/>
      <c r="QTS50" s="478"/>
      <c r="QTT50" s="478"/>
      <c r="QTU50" s="478"/>
      <c r="QTV50" s="478"/>
      <c r="QTW50" s="478"/>
      <c r="QTX50" s="478"/>
      <c r="QTY50" s="478"/>
      <c r="QTZ50" s="478"/>
      <c r="QUA50" s="478"/>
      <c r="QUB50" s="478"/>
      <c r="QUC50" s="478"/>
      <c r="QUD50" s="478"/>
      <c r="QUE50" s="478"/>
      <c r="QUF50" s="478"/>
      <c r="QUG50" s="478"/>
      <c r="QUH50" s="478"/>
      <c r="QUI50" s="478"/>
      <c r="QUJ50" s="478"/>
      <c r="QUK50" s="478"/>
      <c r="QUL50" s="478"/>
      <c r="QUM50" s="478"/>
      <c r="QUN50" s="478"/>
      <c r="QUO50" s="478"/>
      <c r="QUP50" s="478"/>
      <c r="QUQ50" s="478"/>
      <c r="QUR50" s="478"/>
      <c r="QUS50" s="478"/>
      <c r="QUT50" s="478"/>
      <c r="QUU50" s="478"/>
      <c r="QUV50" s="478"/>
      <c r="QUW50" s="478"/>
      <c r="QUX50" s="478"/>
      <c r="QUY50" s="478"/>
      <c r="QUZ50" s="478"/>
      <c r="QVA50" s="478"/>
      <c r="QVB50" s="478"/>
      <c r="QVC50" s="478"/>
      <c r="QVD50" s="478"/>
      <c r="QVE50" s="478"/>
      <c r="QVF50" s="478"/>
      <c r="QVG50" s="478"/>
      <c r="QVH50" s="478"/>
      <c r="QVI50" s="478"/>
      <c r="QVJ50" s="478"/>
      <c r="QVK50" s="478"/>
      <c r="QVL50" s="478"/>
      <c r="QVM50" s="478"/>
      <c r="QVN50" s="478"/>
      <c r="QVO50" s="478"/>
      <c r="QVP50" s="478"/>
      <c r="QVQ50" s="478"/>
      <c r="QVR50" s="478"/>
      <c r="QVS50" s="478"/>
      <c r="QVT50" s="478"/>
      <c r="QVU50" s="478"/>
      <c r="QVV50" s="478"/>
      <c r="QVW50" s="478"/>
      <c r="QVX50" s="478"/>
      <c r="QVY50" s="478"/>
      <c r="QVZ50" s="478"/>
      <c r="QWA50" s="478"/>
      <c r="QWB50" s="478"/>
      <c r="QWC50" s="478"/>
      <c r="QWD50" s="478"/>
      <c r="QWE50" s="478"/>
      <c r="QWF50" s="478"/>
      <c r="QWG50" s="478"/>
      <c r="QWH50" s="478"/>
      <c r="QWI50" s="478"/>
      <c r="QWJ50" s="478"/>
      <c r="QWK50" s="478"/>
      <c r="QWL50" s="478"/>
      <c r="QWM50" s="478"/>
      <c r="QWN50" s="478"/>
      <c r="QWO50" s="478"/>
      <c r="QWP50" s="478"/>
      <c r="QWQ50" s="478"/>
      <c r="QWR50" s="478"/>
      <c r="QWS50" s="478"/>
      <c r="QWT50" s="478"/>
      <c r="QWU50" s="478"/>
      <c r="QWV50" s="478"/>
      <c r="QWW50" s="478"/>
      <c r="QWX50" s="478"/>
      <c r="QWY50" s="478"/>
      <c r="QWZ50" s="478"/>
      <c r="QXA50" s="478"/>
      <c r="QXB50" s="478"/>
      <c r="QXC50" s="478"/>
      <c r="QXD50" s="478"/>
      <c r="QXE50" s="478"/>
      <c r="QXF50" s="478"/>
      <c r="QXG50" s="478"/>
      <c r="QXH50" s="478"/>
      <c r="QXI50" s="478"/>
      <c r="QXJ50" s="478"/>
      <c r="QXK50" s="478"/>
      <c r="QXL50" s="478"/>
      <c r="QXM50" s="478"/>
      <c r="QXN50" s="478"/>
      <c r="QXO50" s="478"/>
      <c r="QXP50" s="478"/>
      <c r="QXQ50" s="478"/>
      <c r="QXR50" s="478"/>
      <c r="QXS50" s="478"/>
      <c r="QXT50" s="478"/>
      <c r="QXU50" s="478"/>
      <c r="QXV50" s="478"/>
      <c r="QXW50" s="478"/>
      <c r="QXX50" s="478"/>
      <c r="QXY50" s="478"/>
      <c r="QXZ50" s="478"/>
      <c r="QYA50" s="478"/>
      <c r="QYB50" s="478"/>
      <c r="QYC50" s="478"/>
      <c r="QYD50" s="478"/>
      <c r="QYE50" s="478"/>
      <c r="QYF50" s="478"/>
      <c r="QYG50" s="478"/>
      <c r="QYH50" s="478"/>
      <c r="QYI50" s="478"/>
      <c r="QYJ50" s="478"/>
      <c r="QYK50" s="478"/>
      <c r="QYL50" s="478"/>
      <c r="QYM50" s="478"/>
      <c r="QYN50" s="478"/>
      <c r="QYO50" s="478"/>
      <c r="QYP50" s="478"/>
      <c r="QYQ50" s="478"/>
      <c r="QYR50" s="478"/>
      <c r="QYS50" s="478"/>
      <c r="QYT50" s="478"/>
      <c r="QYU50" s="478"/>
      <c r="QYV50" s="478"/>
      <c r="QYW50" s="478"/>
      <c r="QYX50" s="478"/>
      <c r="QYY50" s="478"/>
      <c r="QYZ50" s="478"/>
      <c r="QZA50" s="478"/>
      <c r="QZB50" s="478"/>
      <c r="QZC50" s="478"/>
      <c r="QZD50" s="478"/>
      <c r="QZE50" s="478"/>
      <c r="QZF50" s="478"/>
      <c r="QZG50" s="478"/>
      <c r="QZH50" s="478"/>
      <c r="QZI50" s="478"/>
      <c r="QZJ50" s="478"/>
      <c r="QZK50" s="478"/>
      <c r="QZL50" s="478"/>
      <c r="QZM50" s="478"/>
      <c r="QZN50" s="478"/>
      <c r="QZO50" s="478"/>
      <c r="QZP50" s="478"/>
      <c r="QZQ50" s="478"/>
      <c r="QZR50" s="478"/>
      <c r="QZS50" s="478"/>
      <c r="QZT50" s="478"/>
      <c r="QZU50" s="478"/>
      <c r="QZV50" s="478"/>
      <c r="QZW50" s="478"/>
      <c r="QZX50" s="478"/>
      <c r="QZY50" s="478"/>
      <c r="QZZ50" s="478"/>
      <c r="RAA50" s="478"/>
      <c r="RAB50" s="478"/>
      <c r="RAC50" s="478"/>
      <c r="RAD50" s="478"/>
      <c r="RAE50" s="478"/>
      <c r="RAF50" s="478"/>
      <c r="RAG50" s="478"/>
      <c r="RAH50" s="478"/>
      <c r="RAI50" s="478"/>
      <c r="RAJ50" s="478"/>
      <c r="RAK50" s="478"/>
      <c r="RAL50" s="478"/>
      <c r="RAM50" s="478"/>
      <c r="RAN50" s="478"/>
      <c r="RAO50" s="478"/>
      <c r="RAP50" s="478"/>
      <c r="RAQ50" s="478"/>
      <c r="RAR50" s="478"/>
      <c r="RAS50" s="478"/>
      <c r="RAT50" s="478"/>
      <c r="RAU50" s="478"/>
      <c r="RAV50" s="478"/>
      <c r="RAW50" s="478"/>
      <c r="RAX50" s="478"/>
      <c r="RAY50" s="478"/>
      <c r="RAZ50" s="478"/>
      <c r="RBA50" s="478"/>
      <c r="RBB50" s="478"/>
      <c r="RBC50" s="478"/>
      <c r="RBD50" s="478"/>
      <c r="RBE50" s="478"/>
      <c r="RBF50" s="478"/>
      <c r="RBG50" s="478"/>
      <c r="RBH50" s="478"/>
      <c r="RBI50" s="478"/>
      <c r="RBJ50" s="478"/>
      <c r="RBK50" s="478"/>
      <c r="RBL50" s="478"/>
      <c r="RBM50" s="478"/>
      <c r="RBN50" s="478"/>
      <c r="RBO50" s="478"/>
      <c r="RBP50" s="478"/>
      <c r="RBQ50" s="478"/>
      <c r="RBR50" s="478"/>
      <c r="RBS50" s="478"/>
      <c r="RBT50" s="478"/>
      <c r="RBU50" s="478"/>
      <c r="RBV50" s="478"/>
      <c r="RBW50" s="478"/>
      <c r="RBX50" s="478"/>
      <c r="RBY50" s="478"/>
      <c r="RBZ50" s="478"/>
      <c r="RCA50" s="478"/>
      <c r="RCB50" s="478"/>
      <c r="RCC50" s="478"/>
      <c r="RCD50" s="478"/>
      <c r="RCE50" s="478"/>
      <c r="RCF50" s="478"/>
      <c r="RCG50" s="478"/>
      <c r="RCH50" s="478"/>
      <c r="RCI50" s="478"/>
      <c r="RCJ50" s="478"/>
      <c r="RCK50" s="478"/>
      <c r="RCL50" s="478"/>
      <c r="RCM50" s="478"/>
      <c r="RCN50" s="478"/>
      <c r="RCO50" s="478"/>
      <c r="RCP50" s="478"/>
      <c r="RCQ50" s="478"/>
      <c r="RCR50" s="478"/>
      <c r="RCS50" s="478"/>
      <c r="RCT50" s="478"/>
      <c r="RCU50" s="478"/>
      <c r="RCV50" s="478"/>
      <c r="RCW50" s="478"/>
      <c r="RCX50" s="478"/>
      <c r="RCY50" s="478"/>
      <c r="RCZ50" s="478"/>
      <c r="RDA50" s="478"/>
      <c r="RDB50" s="478"/>
      <c r="RDC50" s="478"/>
      <c r="RDD50" s="478"/>
      <c r="RDE50" s="478"/>
      <c r="RDF50" s="478"/>
      <c r="RDG50" s="478"/>
      <c r="RDH50" s="478"/>
      <c r="RDI50" s="478"/>
      <c r="RDJ50" s="478"/>
      <c r="RDK50" s="478"/>
      <c r="RDL50" s="478"/>
      <c r="RDM50" s="478"/>
      <c r="RDN50" s="478"/>
      <c r="RDO50" s="478"/>
      <c r="RDP50" s="478"/>
      <c r="RDQ50" s="478"/>
      <c r="RDR50" s="478"/>
      <c r="RDS50" s="478"/>
      <c r="RDT50" s="478"/>
      <c r="RDU50" s="478"/>
      <c r="RDV50" s="478"/>
      <c r="RDW50" s="478"/>
      <c r="RDX50" s="478"/>
      <c r="RDY50" s="478"/>
      <c r="RDZ50" s="478"/>
      <c r="REA50" s="478"/>
      <c r="REB50" s="478"/>
      <c r="REC50" s="478"/>
      <c r="RED50" s="478"/>
      <c r="REE50" s="478"/>
      <c r="REF50" s="478"/>
      <c r="REG50" s="478"/>
      <c r="REH50" s="478"/>
      <c r="REI50" s="478"/>
      <c r="REJ50" s="478"/>
      <c r="REK50" s="478"/>
      <c r="REL50" s="478"/>
      <c r="REM50" s="478"/>
      <c r="REN50" s="478"/>
      <c r="REO50" s="478"/>
      <c r="REP50" s="478"/>
      <c r="REQ50" s="478"/>
      <c r="RER50" s="478"/>
      <c r="RES50" s="478"/>
      <c r="RET50" s="478"/>
      <c r="REU50" s="478"/>
      <c r="REV50" s="478"/>
      <c r="REW50" s="478"/>
      <c r="REX50" s="478"/>
      <c r="REY50" s="478"/>
      <c r="REZ50" s="478"/>
      <c r="RFA50" s="478"/>
      <c r="RFB50" s="478"/>
      <c r="RFC50" s="478"/>
      <c r="RFD50" s="478"/>
      <c r="RFE50" s="478"/>
      <c r="RFF50" s="478"/>
      <c r="RFG50" s="478"/>
      <c r="RFH50" s="478"/>
      <c r="RFI50" s="478"/>
      <c r="RFJ50" s="478"/>
      <c r="RFK50" s="478"/>
      <c r="RFL50" s="478"/>
      <c r="RFM50" s="478"/>
      <c r="RFN50" s="478"/>
      <c r="RFO50" s="478"/>
      <c r="RFP50" s="478"/>
      <c r="RFQ50" s="478"/>
      <c r="RFR50" s="478"/>
      <c r="RFS50" s="478"/>
      <c r="RFT50" s="478"/>
      <c r="RFU50" s="478"/>
      <c r="RFV50" s="478"/>
      <c r="RFW50" s="478"/>
      <c r="RFX50" s="478"/>
      <c r="RFY50" s="478"/>
      <c r="RFZ50" s="478"/>
      <c r="RGA50" s="478"/>
      <c r="RGB50" s="478"/>
      <c r="RGC50" s="478"/>
      <c r="RGD50" s="478"/>
      <c r="RGE50" s="478"/>
      <c r="RGF50" s="478"/>
      <c r="RGG50" s="478"/>
      <c r="RGH50" s="478"/>
      <c r="RGI50" s="478"/>
      <c r="RGJ50" s="478"/>
      <c r="RGK50" s="478"/>
      <c r="RGL50" s="478"/>
      <c r="RGM50" s="478"/>
      <c r="RGN50" s="478"/>
      <c r="RGO50" s="478"/>
      <c r="RGP50" s="478"/>
      <c r="RGQ50" s="478"/>
      <c r="RGR50" s="478"/>
      <c r="RGS50" s="478"/>
      <c r="RGT50" s="478"/>
      <c r="RGU50" s="478"/>
      <c r="RGV50" s="478"/>
      <c r="RGW50" s="478"/>
      <c r="RGX50" s="478"/>
      <c r="RGY50" s="478"/>
      <c r="RGZ50" s="478"/>
      <c r="RHA50" s="478"/>
      <c r="RHB50" s="478"/>
      <c r="RHC50" s="478"/>
      <c r="RHD50" s="478"/>
      <c r="RHE50" s="478"/>
      <c r="RHF50" s="478"/>
      <c r="RHG50" s="478"/>
      <c r="RHH50" s="478"/>
      <c r="RHI50" s="478"/>
      <c r="RHJ50" s="478"/>
      <c r="RHK50" s="478"/>
      <c r="RHL50" s="478"/>
      <c r="RHM50" s="478"/>
      <c r="RHN50" s="478"/>
      <c r="RHO50" s="478"/>
      <c r="RHP50" s="478"/>
      <c r="RHQ50" s="478"/>
      <c r="RHR50" s="478"/>
      <c r="RHS50" s="478"/>
      <c r="RHT50" s="478"/>
      <c r="RHU50" s="478"/>
      <c r="RHV50" s="478"/>
      <c r="RHW50" s="478"/>
      <c r="RHX50" s="478"/>
      <c r="RHY50" s="478"/>
      <c r="RHZ50" s="478"/>
      <c r="RIA50" s="478"/>
      <c r="RIB50" s="478"/>
      <c r="RIC50" s="478"/>
      <c r="RID50" s="478"/>
      <c r="RIE50" s="478"/>
      <c r="RIF50" s="478"/>
      <c r="RIG50" s="478"/>
      <c r="RIH50" s="478"/>
      <c r="RII50" s="478"/>
      <c r="RIJ50" s="478"/>
      <c r="RIK50" s="478"/>
      <c r="RIL50" s="478"/>
      <c r="RIM50" s="478"/>
      <c r="RIN50" s="478"/>
      <c r="RIO50" s="478"/>
      <c r="RIP50" s="478"/>
      <c r="RIQ50" s="478"/>
      <c r="RIR50" s="478"/>
      <c r="RIS50" s="478"/>
      <c r="RIT50" s="478"/>
      <c r="RIU50" s="478"/>
      <c r="RIV50" s="478"/>
      <c r="RIW50" s="478"/>
      <c r="RIX50" s="478"/>
      <c r="RIY50" s="478"/>
      <c r="RIZ50" s="478"/>
      <c r="RJA50" s="478"/>
      <c r="RJB50" s="478"/>
      <c r="RJC50" s="478"/>
      <c r="RJD50" s="478"/>
      <c r="RJE50" s="478"/>
      <c r="RJF50" s="478"/>
      <c r="RJG50" s="478"/>
      <c r="RJH50" s="478"/>
      <c r="RJI50" s="478"/>
      <c r="RJJ50" s="478"/>
      <c r="RJK50" s="478"/>
      <c r="RJL50" s="478"/>
      <c r="RJM50" s="478"/>
      <c r="RJN50" s="478"/>
      <c r="RJO50" s="478"/>
      <c r="RJP50" s="478"/>
      <c r="RJQ50" s="478"/>
      <c r="RJR50" s="478"/>
      <c r="RJS50" s="478"/>
      <c r="RJT50" s="478"/>
      <c r="RJU50" s="478"/>
      <c r="RJV50" s="478"/>
      <c r="RJW50" s="478"/>
      <c r="RJX50" s="478"/>
      <c r="RJY50" s="478"/>
      <c r="RJZ50" s="478"/>
      <c r="RKA50" s="478"/>
      <c r="RKB50" s="478"/>
      <c r="RKC50" s="478"/>
      <c r="RKD50" s="478"/>
      <c r="RKE50" s="478"/>
      <c r="RKF50" s="478"/>
      <c r="RKG50" s="478"/>
      <c r="RKH50" s="478"/>
      <c r="RKI50" s="478"/>
      <c r="RKJ50" s="478"/>
      <c r="RKK50" s="478"/>
      <c r="RKL50" s="478"/>
      <c r="RKM50" s="478"/>
      <c r="RKN50" s="478"/>
      <c r="RKO50" s="478"/>
      <c r="RKP50" s="478"/>
      <c r="RKQ50" s="478"/>
      <c r="RKR50" s="478"/>
      <c r="RKS50" s="478"/>
      <c r="RKT50" s="478"/>
      <c r="RKU50" s="478"/>
      <c r="RKV50" s="478"/>
      <c r="RKW50" s="478"/>
      <c r="RKX50" s="478"/>
      <c r="RKY50" s="478"/>
      <c r="RKZ50" s="478"/>
      <c r="RLA50" s="478"/>
      <c r="RLB50" s="478"/>
      <c r="RLC50" s="478"/>
      <c r="RLD50" s="478"/>
      <c r="RLE50" s="478"/>
      <c r="RLF50" s="478"/>
      <c r="RLG50" s="478"/>
      <c r="RLH50" s="478"/>
      <c r="RLI50" s="478"/>
      <c r="RLJ50" s="478"/>
      <c r="RLK50" s="478"/>
      <c r="RLL50" s="478"/>
      <c r="RLM50" s="478"/>
      <c r="RLN50" s="478"/>
      <c r="RLO50" s="478"/>
      <c r="RLP50" s="478"/>
      <c r="RLQ50" s="478"/>
      <c r="RLR50" s="478"/>
      <c r="RLS50" s="478"/>
      <c r="RLT50" s="478"/>
      <c r="RLU50" s="478"/>
      <c r="RLV50" s="478"/>
      <c r="RLW50" s="478"/>
      <c r="RLX50" s="478"/>
      <c r="RLY50" s="478"/>
      <c r="RLZ50" s="478"/>
      <c r="RMA50" s="478"/>
      <c r="RMB50" s="478"/>
      <c r="RMC50" s="478"/>
      <c r="RMD50" s="478"/>
      <c r="RME50" s="478"/>
      <c r="RMF50" s="478"/>
      <c r="RMG50" s="478"/>
      <c r="RMH50" s="478"/>
      <c r="RMI50" s="478"/>
      <c r="RMJ50" s="478"/>
      <c r="RMK50" s="478"/>
      <c r="RML50" s="478"/>
      <c r="RMM50" s="478"/>
      <c r="RMN50" s="478"/>
      <c r="RMO50" s="478"/>
      <c r="RMP50" s="478"/>
      <c r="RMQ50" s="478"/>
      <c r="RMR50" s="478"/>
      <c r="RMS50" s="478"/>
      <c r="RMT50" s="478"/>
      <c r="RMU50" s="478"/>
      <c r="RMV50" s="478"/>
      <c r="RMW50" s="478"/>
      <c r="RMX50" s="478"/>
      <c r="RMY50" s="478"/>
      <c r="RMZ50" s="478"/>
      <c r="RNA50" s="478"/>
      <c r="RNB50" s="478"/>
      <c r="RNC50" s="478"/>
      <c r="RND50" s="478"/>
      <c r="RNE50" s="478"/>
      <c r="RNF50" s="478"/>
      <c r="RNG50" s="478"/>
      <c r="RNH50" s="478"/>
      <c r="RNI50" s="478"/>
      <c r="RNJ50" s="478"/>
      <c r="RNK50" s="478"/>
      <c r="RNL50" s="478"/>
      <c r="RNM50" s="478"/>
      <c r="RNN50" s="478"/>
      <c r="RNO50" s="478"/>
      <c r="RNP50" s="478"/>
      <c r="RNQ50" s="478"/>
      <c r="RNR50" s="478"/>
      <c r="RNS50" s="478"/>
      <c r="RNT50" s="478"/>
      <c r="RNU50" s="478"/>
      <c r="RNV50" s="478"/>
      <c r="RNW50" s="478"/>
      <c r="RNX50" s="478"/>
      <c r="RNY50" s="478"/>
      <c r="RNZ50" s="478"/>
      <c r="ROA50" s="478"/>
      <c r="ROB50" s="478"/>
      <c r="ROC50" s="478"/>
      <c r="ROD50" s="478"/>
      <c r="ROE50" s="478"/>
      <c r="ROF50" s="478"/>
      <c r="ROG50" s="478"/>
      <c r="ROH50" s="478"/>
      <c r="ROI50" s="478"/>
      <c r="ROJ50" s="478"/>
      <c r="ROK50" s="478"/>
      <c r="ROL50" s="478"/>
      <c r="ROM50" s="478"/>
      <c r="RON50" s="478"/>
      <c r="ROO50" s="478"/>
      <c r="ROP50" s="478"/>
      <c r="ROQ50" s="478"/>
      <c r="ROR50" s="478"/>
      <c r="ROS50" s="478"/>
      <c r="ROT50" s="478"/>
      <c r="ROU50" s="478"/>
      <c r="ROV50" s="478"/>
      <c r="ROW50" s="478"/>
      <c r="ROX50" s="478"/>
      <c r="ROY50" s="478"/>
      <c r="ROZ50" s="478"/>
      <c r="RPA50" s="478"/>
      <c r="RPB50" s="478"/>
      <c r="RPC50" s="478"/>
      <c r="RPD50" s="478"/>
      <c r="RPE50" s="478"/>
      <c r="RPF50" s="478"/>
      <c r="RPG50" s="478"/>
      <c r="RPH50" s="478"/>
      <c r="RPI50" s="478"/>
      <c r="RPJ50" s="478"/>
      <c r="RPK50" s="478"/>
      <c r="RPL50" s="478"/>
      <c r="RPM50" s="478"/>
      <c r="RPN50" s="478"/>
      <c r="RPO50" s="478"/>
      <c r="RPP50" s="478"/>
      <c r="RPQ50" s="478"/>
      <c r="RPR50" s="478"/>
      <c r="RPS50" s="478"/>
      <c r="RPT50" s="478"/>
      <c r="RPU50" s="478"/>
      <c r="RPV50" s="478"/>
      <c r="RPW50" s="478"/>
      <c r="RPX50" s="478"/>
      <c r="RPY50" s="478"/>
      <c r="RPZ50" s="478"/>
      <c r="RQA50" s="478"/>
      <c r="RQB50" s="478"/>
      <c r="RQC50" s="478"/>
      <c r="RQD50" s="478"/>
      <c r="RQE50" s="478"/>
      <c r="RQF50" s="478"/>
      <c r="RQG50" s="478"/>
      <c r="RQH50" s="478"/>
      <c r="RQI50" s="478"/>
      <c r="RQJ50" s="478"/>
      <c r="RQK50" s="478"/>
      <c r="RQL50" s="478"/>
      <c r="RQM50" s="478"/>
      <c r="RQN50" s="478"/>
      <c r="RQO50" s="478"/>
      <c r="RQP50" s="478"/>
      <c r="RQQ50" s="478"/>
      <c r="RQR50" s="478"/>
      <c r="RQS50" s="478"/>
      <c r="RQT50" s="478"/>
      <c r="RQU50" s="478"/>
      <c r="RQV50" s="478"/>
      <c r="RQW50" s="478"/>
      <c r="RQX50" s="478"/>
      <c r="RQY50" s="478"/>
      <c r="RQZ50" s="478"/>
      <c r="RRA50" s="478"/>
      <c r="RRB50" s="478"/>
      <c r="RRC50" s="478"/>
      <c r="RRD50" s="478"/>
      <c r="RRE50" s="478"/>
      <c r="RRF50" s="478"/>
      <c r="RRG50" s="478"/>
      <c r="RRH50" s="478"/>
      <c r="RRI50" s="478"/>
      <c r="RRJ50" s="478"/>
      <c r="RRK50" s="478"/>
      <c r="RRL50" s="478"/>
      <c r="RRM50" s="478"/>
      <c r="RRN50" s="478"/>
      <c r="RRO50" s="478"/>
      <c r="RRP50" s="478"/>
      <c r="RRQ50" s="478"/>
      <c r="RRR50" s="478"/>
      <c r="RRS50" s="478"/>
      <c r="RRT50" s="478"/>
      <c r="RRU50" s="478"/>
      <c r="RRV50" s="478"/>
      <c r="RRW50" s="478"/>
      <c r="RRX50" s="478"/>
      <c r="RRY50" s="478"/>
      <c r="RRZ50" s="478"/>
      <c r="RSA50" s="478"/>
      <c r="RSB50" s="478"/>
      <c r="RSC50" s="478"/>
      <c r="RSD50" s="478"/>
      <c r="RSE50" s="478"/>
      <c r="RSF50" s="478"/>
      <c r="RSG50" s="478"/>
      <c r="RSH50" s="478"/>
      <c r="RSI50" s="478"/>
      <c r="RSJ50" s="478"/>
      <c r="RSK50" s="478"/>
      <c r="RSL50" s="478"/>
      <c r="RSM50" s="478"/>
      <c r="RSN50" s="478"/>
      <c r="RSO50" s="478"/>
      <c r="RSP50" s="478"/>
      <c r="RSQ50" s="478"/>
      <c r="RSR50" s="478"/>
      <c r="RSS50" s="478"/>
      <c r="RST50" s="478"/>
      <c r="RSU50" s="478"/>
      <c r="RSV50" s="478"/>
      <c r="RSW50" s="478"/>
      <c r="RSX50" s="478"/>
      <c r="RSY50" s="478"/>
      <c r="RSZ50" s="478"/>
      <c r="RTA50" s="478"/>
      <c r="RTB50" s="478"/>
      <c r="RTC50" s="478"/>
      <c r="RTD50" s="478"/>
      <c r="RTE50" s="478"/>
      <c r="RTF50" s="478"/>
      <c r="RTG50" s="478"/>
      <c r="RTH50" s="478"/>
      <c r="RTI50" s="478"/>
      <c r="RTJ50" s="478"/>
      <c r="RTK50" s="478"/>
      <c r="RTL50" s="478"/>
      <c r="RTM50" s="478"/>
      <c r="RTN50" s="478"/>
      <c r="RTO50" s="478"/>
      <c r="RTP50" s="478"/>
      <c r="RTQ50" s="478"/>
      <c r="RTR50" s="478"/>
      <c r="RTS50" s="478"/>
      <c r="RTT50" s="478"/>
      <c r="RTU50" s="478"/>
      <c r="RTV50" s="478"/>
      <c r="RTW50" s="478"/>
      <c r="RTX50" s="478"/>
      <c r="RTY50" s="478"/>
      <c r="RTZ50" s="478"/>
      <c r="RUA50" s="478"/>
      <c r="RUB50" s="478"/>
      <c r="RUC50" s="478"/>
      <c r="RUD50" s="478"/>
      <c r="RUE50" s="478"/>
      <c r="RUF50" s="478"/>
      <c r="RUG50" s="478"/>
      <c r="RUH50" s="478"/>
      <c r="RUI50" s="478"/>
      <c r="RUJ50" s="478"/>
      <c r="RUK50" s="478"/>
      <c r="RUL50" s="478"/>
      <c r="RUM50" s="478"/>
      <c r="RUN50" s="478"/>
      <c r="RUO50" s="478"/>
      <c r="RUP50" s="478"/>
      <c r="RUQ50" s="478"/>
      <c r="RUR50" s="478"/>
      <c r="RUS50" s="478"/>
      <c r="RUT50" s="478"/>
      <c r="RUU50" s="478"/>
      <c r="RUV50" s="478"/>
      <c r="RUW50" s="478"/>
      <c r="RUX50" s="478"/>
      <c r="RUY50" s="478"/>
      <c r="RUZ50" s="478"/>
      <c r="RVA50" s="478"/>
      <c r="RVB50" s="478"/>
      <c r="RVC50" s="478"/>
      <c r="RVD50" s="478"/>
      <c r="RVE50" s="478"/>
      <c r="RVF50" s="478"/>
      <c r="RVG50" s="478"/>
      <c r="RVH50" s="478"/>
      <c r="RVI50" s="478"/>
      <c r="RVJ50" s="478"/>
      <c r="RVK50" s="478"/>
      <c r="RVL50" s="478"/>
      <c r="RVM50" s="478"/>
      <c r="RVN50" s="478"/>
      <c r="RVO50" s="478"/>
      <c r="RVP50" s="478"/>
      <c r="RVQ50" s="478"/>
      <c r="RVR50" s="478"/>
      <c r="RVS50" s="478"/>
      <c r="RVT50" s="478"/>
      <c r="RVU50" s="478"/>
      <c r="RVV50" s="478"/>
      <c r="RVW50" s="478"/>
      <c r="RVX50" s="478"/>
      <c r="RVY50" s="478"/>
      <c r="RVZ50" s="478"/>
      <c r="RWA50" s="478"/>
      <c r="RWB50" s="478"/>
      <c r="RWC50" s="478"/>
      <c r="RWD50" s="478"/>
      <c r="RWE50" s="478"/>
      <c r="RWF50" s="478"/>
      <c r="RWG50" s="478"/>
      <c r="RWH50" s="478"/>
      <c r="RWI50" s="478"/>
      <c r="RWJ50" s="478"/>
      <c r="RWK50" s="478"/>
      <c r="RWL50" s="478"/>
      <c r="RWM50" s="478"/>
      <c r="RWN50" s="478"/>
      <c r="RWO50" s="478"/>
      <c r="RWP50" s="478"/>
      <c r="RWQ50" s="478"/>
      <c r="RWR50" s="478"/>
      <c r="RWS50" s="478"/>
      <c r="RWT50" s="478"/>
      <c r="RWU50" s="478"/>
      <c r="RWV50" s="478"/>
      <c r="RWW50" s="478"/>
      <c r="RWX50" s="478"/>
      <c r="RWY50" s="478"/>
      <c r="RWZ50" s="478"/>
      <c r="RXA50" s="478"/>
      <c r="RXB50" s="478"/>
      <c r="RXC50" s="478"/>
      <c r="RXD50" s="478"/>
      <c r="RXE50" s="478"/>
      <c r="RXF50" s="478"/>
      <c r="RXG50" s="478"/>
      <c r="RXH50" s="478"/>
      <c r="RXI50" s="478"/>
      <c r="RXJ50" s="478"/>
      <c r="RXK50" s="478"/>
      <c r="RXL50" s="478"/>
      <c r="RXM50" s="478"/>
      <c r="RXN50" s="478"/>
      <c r="RXO50" s="478"/>
      <c r="RXP50" s="478"/>
      <c r="RXQ50" s="478"/>
      <c r="RXR50" s="478"/>
      <c r="RXS50" s="478"/>
      <c r="RXT50" s="478"/>
      <c r="RXU50" s="478"/>
      <c r="RXV50" s="478"/>
      <c r="RXW50" s="478"/>
      <c r="RXX50" s="478"/>
      <c r="RXY50" s="478"/>
      <c r="RXZ50" s="478"/>
      <c r="RYA50" s="478"/>
      <c r="RYB50" s="478"/>
      <c r="RYC50" s="478"/>
      <c r="RYD50" s="478"/>
      <c r="RYE50" s="478"/>
      <c r="RYF50" s="478"/>
      <c r="RYG50" s="478"/>
      <c r="RYH50" s="478"/>
      <c r="RYI50" s="478"/>
      <c r="RYJ50" s="478"/>
      <c r="RYK50" s="478"/>
      <c r="RYL50" s="478"/>
      <c r="RYM50" s="478"/>
      <c r="RYN50" s="478"/>
      <c r="RYO50" s="478"/>
      <c r="RYP50" s="478"/>
      <c r="RYQ50" s="478"/>
      <c r="RYR50" s="478"/>
      <c r="RYS50" s="478"/>
      <c r="RYT50" s="478"/>
      <c r="RYU50" s="478"/>
      <c r="RYV50" s="478"/>
      <c r="RYW50" s="478"/>
      <c r="RYX50" s="478"/>
      <c r="RYY50" s="478"/>
      <c r="RYZ50" s="478"/>
      <c r="RZA50" s="478"/>
      <c r="RZB50" s="478"/>
      <c r="RZC50" s="478"/>
      <c r="RZD50" s="478"/>
      <c r="RZE50" s="478"/>
      <c r="RZF50" s="478"/>
      <c r="RZG50" s="478"/>
      <c r="RZH50" s="478"/>
      <c r="RZI50" s="478"/>
      <c r="RZJ50" s="478"/>
      <c r="RZK50" s="478"/>
      <c r="RZL50" s="478"/>
      <c r="RZM50" s="478"/>
      <c r="RZN50" s="478"/>
      <c r="RZO50" s="478"/>
      <c r="RZP50" s="478"/>
      <c r="RZQ50" s="478"/>
      <c r="RZR50" s="478"/>
      <c r="RZS50" s="478"/>
      <c r="RZT50" s="478"/>
      <c r="RZU50" s="478"/>
      <c r="RZV50" s="478"/>
      <c r="RZW50" s="478"/>
      <c r="RZX50" s="478"/>
      <c r="RZY50" s="478"/>
      <c r="RZZ50" s="478"/>
      <c r="SAA50" s="478"/>
      <c r="SAB50" s="478"/>
      <c r="SAC50" s="478"/>
      <c r="SAD50" s="478"/>
      <c r="SAE50" s="478"/>
      <c r="SAF50" s="478"/>
      <c r="SAG50" s="478"/>
      <c r="SAH50" s="478"/>
      <c r="SAI50" s="478"/>
      <c r="SAJ50" s="478"/>
      <c r="SAK50" s="478"/>
      <c r="SAL50" s="478"/>
      <c r="SAM50" s="478"/>
      <c r="SAN50" s="478"/>
      <c r="SAO50" s="478"/>
      <c r="SAP50" s="478"/>
      <c r="SAQ50" s="478"/>
      <c r="SAR50" s="478"/>
      <c r="SAS50" s="478"/>
      <c r="SAT50" s="478"/>
      <c r="SAU50" s="478"/>
      <c r="SAV50" s="478"/>
      <c r="SAW50" s="478"/>
      <c r="SAX50" s="478"/>
      <c r="SAY50" s="478"/>
      <c r="SAZ50" s="478"/>
      <c r="SBA50" s="478"/>
      <c r="SBB50" s="478"/>
      <c r="SBC50" s="478"/>
      <c r="SBD50" s="478"/>
      <c r="SBE50" s="478"/>
      <c r="SBF50" s="478"/>
      <c r="SBG50" s="478"/>
      <c r="SBH50" s="478"/>
      <c r="SBI50" s="478"/>
      <c r="SBJ50" s="478"/>
      <c r="SBK50" s="478"/>
      <c r="SBL50" s="478"/>
      <c r="SBM50" s="478"/>
      <c r="SBN50" s="478"/>
      <c r="SBO50" s="478"/>
      <c r="SBP50" s="478"/>
      <c r="SBQ50" s="478"/>
      <c r="SBR50" s="478"/>
      <c r="SBS50" s="478"/>
      <c r="SBT50" s="478"/>
      <c r="SBU50" s="478"/>
      <c r="SBV50" s="478"/>
      <c r="SBW50" s="478"/>
      <c r="SBX50" s="478"/>
      <c r="SBY50" s="478"/>
      <c r="SBZ50" s="478"/>
      <c r="SCA50" s="478"/>
      <c r="SCB50" s="478"/>
      <c r="SCC50" s="478"/>
      <c r="SCD50" s="478"/>
      <c r="SCE50" s="478"/>
      <c r="SCF50" s="478"/>
      <c r="SCG50" s="478"/>
      <c r="SCH50" s="478"/>
      <c r="SCI50" s="478"/>
      <c r="SCJ50" s="478"/>
      <c r="SCK50" s="478"/>
      <c r="SCL50" s="478"/>
      <c r="SCM50" s="478"/>
      <c r="SCN50" s="478"/>
      <c r="SCO50" s="478"/>
      <c r="SCP50" s="478"/>
      <c r="SCQ50" s="478"/>
      <c r="SCR50" s="478"/>
      <c r="SCS50" s="478"/>
      <c r="SCT50" s="478"/>
      <c r="SCU50" s="478"/>
      <c r="SCV50" s="478"/>
      <c r="SCW50" s="478"/>
      <c r="SCX50" s="478"/>
      <c r="SCY50" s="478"/>
      <c r="SCZ50" s="478"/>
      <c r="SDA50" s="478"/>
      <c r="SDB50" s="478"/>
      <c r="SDC50" s="478"/>
      <c r="SDD50" s="478"/>
      <c r="SDE50" s="478"/>
      <c r="SDF50" s="478"/>
      <c r="SDG50" s="478"/>
      <c r="SDH50" s="478"/>
      <c r="SDI50" s="478"/>
      <c r="SDJ50" s="478"/>
      <c r="SDK50" s="478"/>
      <c r="SDL50" s="478"/>
      <c r="SDM50" s="478"/>
      <c r="SDN50" s="478"/>
      <c r="SDO50" s="478"/>
      <c r="SDP50" s="478"/>
      <c r="SDQ50" s="478"/>
      <c r="SDR50" s="478"/>
      <c r="SDS50" s="478"/>
      <c r="SDT50" s="478"/>
      <c r="SDU50" s="478"/>
      <c r="SDV50" s="478"/>
      <c r="SDW50" s="478"/>
      <c r="SDX50" s="478"/>
      <c r="SDY50" s="478"/>
      <c r="SDZ50" s="478"/>
      <c r="SEA50" s="478"/>
      <c r="SEB50" s="478"/>
      <c r="SEC50" s="478"/>
      <c r="SED50" s="478"/>
      <c r="SEE50" s="478"/>
      <c r="SEF50" s="478"/>
      <c r="SEG50" s="478"/>
      <c r="SEH50" s="478"/>
      <c r="SEI50" s="478"/>
      <c r="SEJ50" s="478"/>
      <c r="SEK50" s="478"/>
      <c r="SEL50" s="478"/>
      <c r="SEM50" s="478"/>
      <c r="SEN50" s="478"/>
      <c r="SEO50" s="478"/>
      <c r="SEP50" s="478"/>
      <c r="SEQ50" s="478"/>
      <c r="SER50" s="478"/>
      <c r="SES50" s="478"/>
      <c r="SET50" s="478"/>
      <c r="SEU50" s="478"/>
      <c r="SEV50" s="478"/>
      <c r="SEW50" s="478"/>
      <c r="SEX50" s="478"/>
      <c r="SEY50" s="478"/>
      <c r="SEZ50" s="478"/>
      <c r="SFA50" s="478"/>
      <c r="SFB50" s="478"/>
      <c r="SFC50" s="478"/>
      <c r="SFD50" s="478"/>
      <c r="SFE50" s="478"/>
      <c r="SFF50" s="478"/>
      <c r="SFG50" s="478"/>
      <c r="SFH50" s="478"/>
      <c r="SFI50" s="478"/>
      <c r="SFJ50" s="478"/>
      <c r="SFK50" s="478"/>
      <c r="SFL50" s="478"/>
      <c r="SFM50" s="478"/>
      <c r="SFN50" s="478"/>
      <c r="SFO50" s="478"/>
      <c r="SFP50" s="478"/>
      <c r="SFQ50" s="478"/>
      <c r="SFR50" s="478"/>
      <c r="SFS50" s="478"/>
      <c r="SFT50" s="478"/>
      <c r="SFU50" s="478"/>
      <c r="SFV50" s="478"/>
      <c r="SFW50" s="478"/>
      <c r="SFX50" s="478"/>
      <c r="SFY50" s="478"/>
      <c r="SFZ50" s="478"/>
      <c r="SGA50" s="478"/>
      <c r="SGB50" s="478"/>
      <c r="SGC50" s="478"/>
      <c r="SGD50" s="478"/>
      <c r="SGE50" s="478"/>
      <c r="SGF50" s="478"/>
      <c r="SGG50" s="478"/>
      <c r="SGH50" s="478"/>
      <c r="SGI50" s="478"/>
      <c r="SGJ50" s="478"/>
      <c r="SGK50" s="478"/>
      <c r="SGL50" s="478"/>
      <c r="SGM50" s="478"/>
      <c r="SGN50" s="478"/>
      <c r="SGO50" s="478"/>
      <c r="SGP50" s="478"/>
      <c r="SGQ50" s="478"/>
      <c r="SGR50" s="478"/>
      <c r="SGS50" s="478"/>
      <c r="SGT50" s="478"/>
      <c r="SGU50" s="478"/>
      <c r="SGV50" s="478"/>
      <c r="SGW50" s="478"/>
      <c r="SGX50" s="478"/>
      <c r="SGY50" s="478"/>
      <c r="SGZ50" s="478"/>
      <c r="SHA50" s="478"/>
      <c r="SHB50" s="478"/>
      <c r="SHC50" s="478"/>
      <c r="SHD50" s="478"/>
      <c r="SHE50" s="478"/>
      <c r="SHF50" s="478"/>
      <c r="SHG50" s="478"/>
      <c r="SHH50" s="478"/>
      <c r="SHI50" s="478"/>
      <c r="SHJ50" s="478"/>
      <c r="SHK50" s="478"/>
      <c r="SHL50" s="478"/>
      <c r="SHM50" s="478"/>
      <c r="SHN50" s="478"/>
      <c r="SHO50" s="478"/>
      <c r="SHP50" s="478"/>
      <c r="SHQ50" s="478"/>
      <c r="SHR50" s="478"/>
      <c r="SHS50" s="478"/>
      <c r="SHT50" s="478"/>
      <c r="SHU50" s="478"/>
      <c r="SHV50" s="478"/>
      <c r="SHW50" s="478"/>
      <c r="SHX50" s="478"/>
      <c r="SHY50" s="478"/>
      <c r="SHZ50" s="478"/>
      <c r="SIA50" s="478"/>
      <c r="SIB50" s="478"/>
      <c r="SIC50" s="478"/>
      <c r="SID50" s="478"/>
      <c r="SIE50" s="478"/>
      <c r="SIF50" s="478"/>
      <c r="SIG50" s="478"/>
      <c r="SIH50" s="478"/>
      <c r="SII50" s="478"/>
      <c r="SIJ50" s="478"/>
      <c r="SIK50" s="478"/>
      <c r="SIL50" s="478"/>
      <c r="SIM50" s="478"/>
      <c r="SIN50" s="478"/>
      <c r="SIO50" s="478"/>
      <c r="SIP50" s="478"/>
      <c r="SIQ50" s="478"/>
      <c r="SIR50" s="478"/>
      <c r="SIS50" s="478"/>
      <c r="SIT50" s="478"/>
      <c r="SIU50" s="478"/>
      <c r="SIV50" s="478"/>
      <c r="SIW50" s="478"/>
      <c r="SIX50" s="478"/>
      <c r="SIY50" s="478"/>
      <c r="SIZ50" s="478"/>
      <c r="SJA50" s="478"/>
      <c r="SJB50" s="478"/>
      <c r="SJC50" s="478"/>
      <c r="SJD50" s="478"/>
      <c r="SJE50" s="478"/>
      <c r="SJF50" s="478"/>
      <c r="SJG50" s="478"/>
      <c r="SJH50" s="478"/>
      <c r="SJI50" s="478"/>
      <c r="SJJ50" s="478"/>
      <c r="SJK50" s="478"/>
      <c r="SJL50" s="478"/>
      <c r="SJM50" s="478"/>
      <c r="SJN50" s="478"/>
      <c r="SJO50" s="478"/>
      <c r="SJP50" s="478"/>
      <c r="SJQ50" s="478"/>
      <c r="SJR50" s="478"/>
      <c r="SJS50" s="478"/>
      <c r="SJT50" s="478"/>
      <c r="SJU50" s="478"/>
      <c r="SJV50" s="478"/>
      <c r="SJW50" s="478"/>
      <c r="SJX50" s="478"/>
      <c r="SJY50" s="478"/>
      <c r="SJZ50" s="478"/>
      <c r="SKA50" s="478"/>
      <c r="SKB50" s="478"/>
      <c r="SKC50" s="478"/>
      <c r="SKD50" s="478"/>
      <c r="SKE50" s="478"/>
      <c r="SKF50" s="478"/>
      <c r="SKG50" s="478"/>
      <c r="SKH50" s="478"/>
      <c r="SKI50" s="478"/>
      <c r="SKJ50" s="478"/>
      <c r="SKK50" s="478"/>
      <c r="SKL50" s="478"/>
      <c r="SKM50" s="478"/>
      <c r="SKN50" s="478"/>
      <c r="SKO50" s="478"/>
      <c r="SKP50" s="478"/>
      <c r="SKQ50" s="478"/>
      <c r="SKR50" s="478"/>
      <c r="SKS50" s="478"/>
      <c r="SKT50" s="478"/>
      <c r="SKU50" s="478"/>
      <c r="SKV50" s="478"/>
      <c r="SKW50" s="478"/>
      <c r="SKX50" s="478"/>
      <c r="SKY50" s="478"/>
      <c r="SKZ50" s="478"/>
      <c r="SLA50" s="478"/>
      <c r="SLB50" s="478"/>
      <c r="SLC50" s="478"/>
      <c r="SLD50" s="478"/>
      <c r="SLE50" s="478"/>
      <c r="SLF50" s="478"/>
      <c r="SLG50" s="478"/>
      <c r="SLH50" s="478"/>
      <c r="SLI50" s="478"/>
      <c r="SLJ50" s="478"/>
      <c r="SLK50" s="478"/>
      <c r="SLL50" s="478"/>
      <c r="SLM50" s="478"/>
      <c r="SLN50" s="478"/>
      <c r="SLO50" s="478"/>
      <c r="SLP50" s="478"/>
      <c r="SLQ50" s="478"/>
      <c r="SLR50" s="478"/>
      <c r="SLS50" s="478"/>
      <c r="SLT50" s="478"/>
      <c r="SLU50" s="478"/>
      <c r="SLV50" s="478"/>
      <c r="SLW50" s="478"/>
      <c r="SLX50" s="478"/>
      <c r="SLY50" s="478"/>
      <c r="SLZ50" s="478"/>
      <c r="SMA50" s="478"/>
      <c r="SMB50" s="478"/>
      <c r="SMC50" s="478"/>
      <c r="SMD50" s="478"/>
      <c r="SME50" s="478"/>
      <c r="SMF50" s="478"/>
      <c r="SMG50" s="478"/>
      <c r="SMH50" s="478"/>
      <c r="SMI50" s="478"/>
      <c r="SMJ50" s="478"/>
      <c r="SMK50" s="478"/>
      <c r="SML50" s="478"/>
      <c r="SMM50" s="478"/>
      <c r="SMN50" s="478"/>
      <c r="SMO50" s="478"/>
      <c r="SMP50" s="478"/>
      <c r="SMQ50" s="478"/>
      <c r="SMR50" s="478"/>
      <c r="SMS50" s="478"/>
      <c r="SMT50" s="478"/>
      <c r="SMU50" s="478"/>
      <c r="SMV50" s="478"/>
      <c r="SMW50" s="478"/>
      <c r="SMX50" s="478"/>
      <c r="SMY50" s="478"/>
      <c r="SMZ50" s="478"/>
      <c r="SNA50" s="478"/>
      <c r="SNB50" s="478"/>
      <c r="SNC50" s="478"/>
      <c r="SND50" s="478"/>
      <c r="SNE50" s="478"/>
      <c r="SNF50" s="478"/>
      <c r="SNG50" s="478"/>
      <c r="SNH50" s="478"/>
      <c r="SNI50" s="478"/>
      <c r="SNJ50" s="478"/>
      <c r="SNK50" s="478"/>
      <c r="SNL50" s="478"/>
      <c r="SNM50" s="478"/>
      <c r="SNN50" s="478"/>
      <c r="SNO50" s="478"/>
      <c r="SNP50" s="478"/>
      <c r="SNQ50" s="478"/>
      <c r="SNR50" s="478"/>
      <c r="SNS50" s="478"/>
      <c r="SNT50" s="478"/>
      <c r="SNU50" s="478"/>
      <c r="SNV50" s="478"/>
      <c r="SNW50" s="478"/>
      <c r="SNX50" s="478"/>
      <c r="SNY50" s="478"/>
      <c r="SNZ50" s="478"/>
      <c r="SOA50" s="478"/>
      <c r="SOB50" s="478"/>
      <c r="SOC50" s="478"/>
      <c r="SOD50" s="478"/>
      <c r="SOE50" s="478"/>
      <c r="SOF50" s="478"/>
      <c r="SOG50" s="478"/>
      <c r="SOH50" s="478"/>
      <c r="SOI50" s="478"/>
      <c r="SOJ50" s="478"/>
      <c r="SOK50" s="478"/>
      <c r="SOL50" s="478"/>
      <c r="SOM50" s="478"/>
      <c r="SON50" s="478"/>
      <c r="SOO50" s="478"/>
      <c r="SOP50" s="478"/>
      <c r="SOQ50" s="478"/>
      <c r="SOR50" s="478"/>
      <c r="SOS50" s="478"/>
      <c r="SOT50" s="478"/>
      <c r="SOU50" s="478"/>
      <c r="SOV50" s="478"/>
      <c r="SOW50" s="478"/>
      <c r="SOX50" s="478"/>
      <c r="SOY50" s="478"/>
      <c r="SOZ50" s="478"/>
      <c r="SPA50" s="478"/>
      <c r="SPB50" s="478"/>
      <c r="SPC50" s="478"/>
      <c r="SPD50" s="478"/>
      <c r="SPE50" s="478"/>
      <c r="SPF50" s="478"/>
      <c r="SPG50" s="478"/>
      <c r="SPH50" s="478"/>
      <c r="SPI50" s="478"/>
      <c r="SPJ50" s="478"/>
      <c r="SPK50" s="478"/>
      <c r="SPL50" s="478"/>
      <c r="SPM50" s="478"/>
      <c r="SPN50" s="478"/>
      <c r="SPO50" s="478"/>
      <c r="SPP50" s="478"/>
      <c r="SPQ50" s="478"/>
      <c r="SPR50" s="478"/>
      <c r="SPS50" s="478"/>
      <c r="SPT50" s="478"/>
      <c r="SPU50" s="478"/>
      <c r="SPV50" s="478"/>
      <c r="SPW50" s="478"/>
      <c r="SPX50" s="478"/>
      <c r="SPY50" s="478"/>
      <c r="SPZ50" s="478"/>
      <c r="SQA50" s="478"/>
      <c r="SQB50" s="478"/>
      <c r="SQC50" s="478"/>
      <c r="SQD50" s="478"/>
      <c r="SQE50" s="478"/>
      <c r="SQF50" s="478"/>
      <c r="SQG50" s="478"/>
      <c r="SQH50" s="478"/>
      <c r="SQI50" s="478"/>
      <c r="SQJ50" s="478"/>
      <c r="SQK50" s="478"/>
      <c r="SQL50" s="478"/>
      <c r="SQM50" s="478"/>
      <c r="SQN50" s="478"/>
      <c r="SQO50" s="478"/>
      <c r="SQP50" s="478"/>
      <c r="SQQ50" s="478"/>
      <c r="SQR50" s="478"/>
      <c r="SQS50" s="478"/>
      <c r="SQT50" s="478"/>
      <c r="SQU50" s="478"/>
      <c r="SQV50" s="478"/>
      <c r="SQW50" s="478"/>
      <c r="SQX50" s="478"/>
      <c r="SQY50" s="478"/>
      <c r="SQZ50" s="478"/>
      <c r="SRA50" s="478"/>
      <c r="SRB50" s="478"/>
      <c r="SRC50" s="478"/>
      <c r="SRD50" s="478"/>
      <c r="SRE50" s="478"/>
      <c r="SRF50" s="478"/>
      <c r="SRG50" s="478"/>
      <c r="SRH50" s="478"/>
      <c r="SRI50" s="478"/>
      <c r="SRJ50" s="478"/>
      <c r="SRK50" s="478"/>
      <c r="SRL50" s="478"/>
      <c r="SRM50" s="478"/>
      <c r="SRN50" s="478"/>
      <c r="SRO50" s="478"/>
      <c r="SRP50" s="478"/>
      <c r="SRQ50" s="478"/>
      <c r="SRR50" s="478"/>
      <c r="SRS50" s="478"/>
      <c r="SRT50" s="478"/>
      <c r="SRU50" s="478"/>
      <c r="SRV50" s="478"/>
      <c r="SRW50" s="478"/>
      <c r="SRX50" s="478"/>
      <c r="SRY50" s="478"/>
      <c r="SRZ50" s="478"/>
      <c r="SSA50" s="478"/>
      <c r="SSB50" s="478"/>
      <c r="SSC50" s="478"/>
      <c r="SSD50" s="478"/>
      <c r="SSE50" s="478"/>
      <c r="SSF50" s="478"/>
      <c r="SSG50" s="478"/>
      <c r="SSH50" s="478"/>
      <c r="SSI50" s="478"/>
      <c r="SSJ50" s="478"/>
      <c r="SSK50" s="478"/>
      <c r="SSL50" s="478"/>
      <c r="SSM50" s="478"/>
      <c r="SSN50" s="478"/>
      <c r="SSO50" s="478"/>
      <c r="SSP50" s="478"/>
      <c r="SSQ50" s="478"/>
      <c r="SSR50" s="478"/>
      <c r="SSS50" s="478"/>
      <c r="SST50" s="478"/>
      <c r="SSU50" s="478"/>
      <c r="SSV50" s="478"/>
      <c r="SSW50" s="478"/>
      <c r="SSX50" s="478"/>
      <c r="SSY50" s="478"/>
      <c r="SSZ50" s="478"/>
      <c r="STA50" s="478"/>
      <c r="STB50" s="478"/>
      <c r="STC50" s="478"/>
      <c r="STD50" s="478"/>
      <c r="STE50" s="478"/>
      <c r="STF50" s="478"/>
      <c r="STG50" s="478"/>
      <c r="STH50" s="478"/>
      <c r="STI50" s="478"/>
      <c r="STJ50" s="478"/>
      <c r="STK50" s="478"/>
      <c r="STL50" s="478"/>
      <c r="STM50" s="478"/>
      <c r="STN50" s="478"/>
      <c r="STO50" s="478"/>
      <c r="STP50" s="478"/>
      <c r="STQ50" s="478"/>
      <c r="STR50" s="478"/>
      <c r="STS50" s="478"/>
      <c r="STT50" s="478"/>
      <c r="STU50" s="478"/>
      <c r="STV50" s="478"/>
      <c r="STW50" s="478"/>
      <c r="STX50" s="478"/>
      <c r="STY50" s="478"/>
      <c r="STZ50" s="478"/>
      <c r="SUA50" s="478"/>
      <c r="SUB50" s="478"/>
      <c r="SUC50" s="478"/>
      <c r="SUD50" s="478"/>
      <c r="SUE50" s="478"/>
      <c r="SUF50" s="478"/>
      <c r="SUG50" s="478"/>
      <c r="SUH50" s="478"/>
      <c r="SUI50" s="478"/>
      <c r="SUJ50" s="478"/>
      <c r="SUK50" s="478"/>
      <c r="SUL50" s="478"/>
      <c r="SUM50" s="478"/>
      <c r="SUN50" s="478"/>
      <c r="SUO50" s="478"/>
      <c r="SUP50" s="478"/>
      <c r="SUQ50" s="478"/>
      <c r="SUR50" s="478"/>
      <c r="SUS50" s="478"/>
      <c r="SUT50" s="478"/>
      <c r="SUU50" s="478"/>
      <c r="SUV50" s="478"/>
      <c r="SUW50" s="478"/>
      <c r="SUX50" s="478"/>
      <c r="SUY50" s="478"/>
      <c r="SUZ50" s="478"/>
      <c r="SVA50" s="478"/>
      <c r="SVB50" s="478"/>
      <c r="SVC50" s="478"/>
      <c r="SVD50" s="478"/>
      <c r="SVE50" s="478"/>
      <c r="SVF50" s="478"/>
      <c r="SVG50" s="478"/>
      <c r="SVH50" s="478"/>
      <c r="SVI50" s="478"/>
      <c r="SVJ50" s="478"/>
      <c r="SVK50" s="478"/>
      <c r="SVL50" s="478"/>
      <c r="SVM50" s="478"/>
      <c r="SVN50" s="478"/>
      <c r="SVO50" s="478"/>
      <c r="SVP50" s="478"/>
      <c r="SVQ50" s="478"/>
      <c r="SVR50" s="478"/>
      <c r="SVS50" s="478"/>
      <c r="SVT50" s="478"/>
      <c r="SVU50" s="478"/>
      <c r="SVV50" s="478"/>
      <c r="SVW50" s="478"/>
      <c r="SVX50" s="478"/>
      <c r="SVY50" s="478"/>
      <c r="SVZ50" s="478"/>
      <c r="SWA50" s="478"/>
      <c r="SWB50" s="478"/>
      <c r="SWC50" s="478"/>
      <c r="SWD50" s="478"/>
      <c r="SWE50" s="478"/>
      <c r="SWF50" s="478"/>
      <c r="SWG50" s="478"/>
      <c r="SWH50" s="478"/>
      <c r="SWI50" s="478"/>
      <c r="SWJ50" s="478"/>
      <c r="SWK50" s="478"/>
      <c r="SWL50" s="478"/>
      <c r="SWM50" s="478"/>
      <c r="SWN50" s="478"/>
      <c r="SWO50" s="478"/>
      <c r="SWP50" s="478"/>
      <c r="SWQ50" s="478"/>
      <c r="SWR50" s="478"/>
      <c r="SWS50" s="478"/>
      <c r="SWT50" s="478"/>
      <c r="SWU50" s="478"/>
      <c r="SWV50" s="478"/>
      <c r="SWW50" s="478"/>
      <c r="SWX50" s="478"/>
      <c r="SWY50" s="478"/>
      <c r="SWZ50" s="478"/>
      <c r="SXA50" s="478"/>
      <c r="SXB50" s="478"/>
      <c r="SXC50" s="478"/>
      <c r="SXD50" s="478"/>
      <c r="SXE50" s="478"/>
      <c r="SXF50" s="478"/>
      <c r="SXG50" s="478"/>
      <c r="SXH50" s="478"/>
      <c r="SXI50" s="478"/>
      <c r="SXJ50" s="478"/>
      <c r="SXK50" s="478"/>
      <c r="SXL50" s="478"/>
      <c r="SXM50" s="478"/>
      <c r="SXN50" s="478"/>
      <c r="SXO50" s="478"/>
      <c r="SXP50" s="478"/>
      <c r="SXQ50" s="478"/>
      <c r="SXR50" s="478"/>
      <c r="SXS50" s="478"/>
      <c r="SXT50" s="478"/>
      <c r="SXU50" s="478"/>
      <c r="SXV50" s="478"/>
      <c r="SXW50" s="478"/>
      <c r="SXX50" s="478"/>
      <c r="SXY50" s="478"/>
      <c r="SXZ50" s="478"/>
      <c r="SYA50" s="478"/>
      <c r="SYB50" s="478"/>
      <c r="SYC50" s="478"/>
      <c r="SYD50" s="478"/>
      <c r="SYE50" s="478"/>
      <c r="SYF50" s="478"/>
      <c r="SYG50" s="478"/>
      <c r="SYH50" s="478"/>
      <c r="SYI50" s="478"/>
      <c r="SYJ50" s="478"/>
      <c r="SYK50" s="478"/>
      <c r="SYL50" s="478"/>
      <c r="SYM50" s="478"/>
      <c r="SYN50" s="478"/>
      <c r="SYO50" s="478"/>
      <c r="SYP50" s="478"/>
      <c r="SYQ50" s="478"/>
      <c r="SYR50" s="478"/>
      <c r="SYS50" s="478"/>
      <c r="SYT50" s="478"/>
      <c r="SYU50" s="478"/>
      <c r="SYV50" s="478"/>
      <c r="SYW50" s="478"/>
      <c r="SYX50" s="478"/>
      <c r="SYY50" s="478"/>
      <c r="SYZ50" s="478"/>
      <c r="SZA50" s="478"/>
      <c r="SZB50" s="478"/>
      <c r="SZC50" s="478"/>
      <c r="SZD50" s="478"/>
      <c r="SZE50" s="478"/>
      <c r="SZF50" s="478"/>
      <c r="SZG50" s="478"/>
      <c r="SZH50" s="478"/>
      <c r="SZI50" s="478"/>
      <c r="SZJ50" s="478"/>
      <c r="SZK50" s="478"/>
      <c r="SZL50" s="478"/>
      <c r="SZM50" s="478"/>
      <c r="SZN50" s="478"/>
      <c r="SZO50" s="478"/>
      <c r="SZP50" s="478"/>
      <c r="SZQ50" s="478"/>
      <c r="SZR50" s="478"/>
      <c r="SZS50" s="478"/>
      <c r="SZT50" s="478"/>
      <c r="SZU50" s="478"/>
      <c r="SZV50" s="478"/>
      <c r="SZW50" s="478"/>
      <c r="SZX50" s="478"/>
      <c r="SZY50" s="478"/>
      <c r="SZZ50" s="478"/>
      <c r="TAA50" s="478"/>
      <c r="TAB50" s="478"/>
      <c r="TAC50" s="478"/>
      <c r="TAD50" s="478"/>
      <c r="TAE50" s="478"/>
      <c r="TAF50" s="478"/>
      <c r="TAG50" s="478"/>
      <c r="TAH50" s="478"/>
      <c r="TAI50" s="478"/>
      <c r="TAJ50" s="478"/>
      <c r="TAK50" s="478"/>
      <c r="TAL50" s="478"/>
      <c r="TAM50" s="478"/>
      <c r="TAN50" s="478"/>
      <c r="TAO50" s="478"/>
      <c r="TAP50" s="478"/>
      <c r="TAQ50" s="478"/>
      <c r="TAR50" s="478"/>
      <c r="TAS50" s="478"/>
      <c r="TAT50" s="478"/>
      <c r="TAU50" s="478"/>
      <c r="TAV50" s="478"/>
      <c r="TAW50" s="478"/>
      <c r="TAX50" s="478"/>
      <c r="TAY50" s="478"/>
      <c r="TAZ50" s="478"/>
      <c r="TBA50" s="478"/>
      <c r="TBB50" s="478"/>
      <c r="TBC50" s="478"/>
      <c r="TBD50" s="478"/>
      <c r="TBE50" s="478"/>
      <c r="TBF50" s="478"/>
      <c r="TBG50" s="478"/>
      <c r="TBH50" s="478"/>
      <c r="TBI50" s="478"/>
      <c r="TBJ50" s="478"/>
      <c r="TBK50" s="478"/>
      <c r="TBL50" s="478"/>
      <c r="TBM50" s="478"/>
      <c r="TBN50" s="478"/>
      <c r="TBO50" s="478"/>
      <c r="TBP50" s="478"/>
      <c r="TBQ50" s="478"/>
      <c r="TBR50" s="478"/>
      <c r="TBS50" s="478"/>
      <c r="TBT50" s="478"/>
      <c r="TBU50" s="478"/>
      <c r="TBV50" s="478"/>
      <c r="TBW50" s="478"/>
      <c r="TBX50" s="478"/>
      <c r="TBY50" s="478"/>
      <c r="TBZ50" s="478"/>
      <c r="TCA50" s="478"/>
      <c r="TCB50" s="478"/>
      <c r="TCC50" s="478"/>
      <c r="TCD50" s="478"/>
      <c r="TCE50" s="478"/>
      <c r="TCF50" s="478"/>
      <c r="TCG50" s="478"/>
      <c r="TCH50" s="478"/>
      <c r="TCI50" s="478"/>
      <c r="TCJ50" s="478"/>
      <c r="TCK50" s="478"/>
      <c r="TCL50" s="478"/>
      <c r="TCM50" s="478"/>
      <c r="TCN50" s="478"/>
      <c r="TCO50" s="478"/>
      <c r="TCP50" s="478"/>
      <c r="TCQ50" s="478"/>
      <c r="TCR50" s="478"/>
      <c r="TCS50" s="478"/>
      <c r="TCT50" s="478"/>
      <c r="TCU50" s="478"/>
      <c r="TCV50" s="478"/>
      <c r="TCW50" s="478"/>
      <c r="TCX50" s="478"/>
      <c r="TCY50" s="478"/>
      <c r="TCZ50" s="478"/>
      <c r="TDA50" s="478"/>
      <c r="TDB50" s="478"/>
      <c r="TDC50" s="478"/>
      <c r="TDD50" s="478"/>
      <c r="TDE50" s="478"/>
      <c r="TDF50" s="478"/>
      <c r="TDG50" s="478"/>
      <c r="TDH50" s="478"/>
      <c r="TDI50" s="478"/>
      <c r="TDJ50" s="478"/>
      <c r="TDK50" s="478"/>
      <c r="TDL50" s="478"/>
      <c r="TDM50" s="478"/>
      <c r="TDN50" s="478"/>
      <c r="TDO50" s="478"/>
      <c r="TDP50" s="478"/>
      <c r="TDQ50" s="478"/>
      <c r="TDR50" s="478"/>
      <c r="TDS50" s="478"/>
      <c r="TDT50" s="478"/>
      <c r="TDU50" s="478"/>
      <c r="TDV50" s="478"/>
      <c r="TDW50" s="478"/>
      <c r="TDX50" s="478"/>
      <c r="TDY50" s="478"/>
      <c r="TDZ50" s="478"/>
      <c r="TEA50" s="478"/>
      <c r="TEB50" s="478"/>
      <c r="TEC50" s="478"/>
      <c r="TED50" s="478"/>
      <c r="TEE50" s="478"/>
      <c r="TEF50" s="478"/>
      <c r="TEG50" s="478"/>
      <c r="TEH50" s="478"/>
      <c r="TEI50" s="478"/>
      <c r="TEJ50" s="478"/>
      <c r="TEK50" s="478"/>
      <c r="TEL50" s="478"/>
      <c r="TEM50" s="478"/>
      <c r="TEN50" s="478"/>
      <c r="TEO50" s="478"/>
      <c r="TEP50" s="478"/>
      <c r="TEQ50" s="478"/>
      <c r="TER50" s="478"/>
      <c r="TES50" s="478"/>
      <c r="TET50" s="478"/>
      <c r="TEU50" s="478"/>
      <c r="TEV50" s="478"/>
      <c r="TEW50" s="478"/>
      <c r="TEX50" s="478"/>
      <c r="TEY50" s="478"/>
      <c r="TEZ50" s="478"/>
      <c r="TFA50" s="478"/>
      <c r="TFB50" s="478"/>
      <c r="TFC50" s="478"/>
      <c r="TFD50" s="478"/>
      <c r="TFE50" s="478"/>
      <c r="TFF50" s="478"/>
      <c r="TFG50" s="478"/>
      <c r="TFH50" s="478"/>
      <c r="TFI50" s="478"/>
      <c r="TFJ50" s="478"/>
      <c r="TFK50" s="478"/>
      <c r="TFL50" s="478"/>
      <c r="TFM50" s="478"/>
      <c r="TFN50" s="478"/>
      <c r="TFO50" s="478"/>
      <c r="TFP50" s="478"/>
      <c r="TFQ50" s="478"/>
      <c r="TFR50" s="478"/>
      <c r="TFS50" s="478"/>
      <c r="TFT50" s="478"/>
      <c r="TFU50" s="478"/>
      <c r="TFV50" s="478"/>
      <c r="TFW50" s="478"/>
      <c r="TFX50" s="478"/>
      <c r="TFY50" s="478"/>
      <c r="TFZ50" s="478"/>
      <c r="TGA50" s="478"/>
      <c r="TGB50" s="478"/>
      <c r="TGC50" s="478"/>
      <c r="TGD50" s="478"/>
      <c r="TGE50" s="478"/>
      <c r="TGF50" s="478"/>
      <c r="TGG50" s="478"/>
      <c r="TGH50" s="478"/>
      <c r="TGI50" s="478"/>
      <c r="TGJ50" s="478"/>
      <c r="TGK50" s="478"/>
      <c r="TGL50" s="478"/>
      <c r="TGM50" s="478"/>
      <c r="TGN50" s="478"/>
      <c r="TGO50" s="478"/>
      <c r="TGP50" s="478"/>
      <c r="TGQ50" s="478"/>
      <c r="TGR50" s="478"/>
      <c r="TGS50" s="478"/>
      <c r="TGT50" s="478"/>
      <c r="TGU50" s="478"/>
      <c r="TGV50" s="478"/>
      <c r="TGW50" s="478"/>
      <c r="TGX50" s="478"/>
      <c r="TGY50" s="478"/>
      <c r="TGZ50" s="478"/>
      <c r="THA50" s="478"/>
      <c r="THB50" s="478"/>
      <c r="THC50" s="478"/>
      <c r="THD50" s="478"/>
      <c r="THE50" s="478"/>
      <c r="THF50" s="478"/>
      <c r="THG50" s="478"/>
      <c r="THH50" s="478"/>
      <c r="THI50" s="478"/>
      <c r="THJ50" s="478"/>
      <c r="THK50" s="478"/>
      <c r="THL50" s="478"/>
      <c r="THM50" s="478"/>
      <c r="THN50" s="478"/>
      <c r="THO50" s="478"/>
      <c r="THP50" s="478"/>
      <c r="THQ50" s="478"/>
      <c r="THR50" s="478"/>
      <c r="THS50" s="478"/>
      <c r="THT50" s="478"/>
      <c r="THU50" s="478"/>
      <c r="THV50" s="478"/>
      <c r="THW50" s="478"/>
      <c r="THX50" s="478"/>
      <c r="THY50" s="478"/>
      <c r="THZ50" s="478"/>
      <c r="TIA50" s="478"/>
      <c r="TIB50" s="478"/>
      <c r="TIC50" s="478"/>
      <c r="TID50" s="478"/>
      <c r="TIE50" s="478"/>
      <c r="TIF50" s="478"/>
      <c r="TIG50" s="478"/>
      <c r="TIH50" s="478"/>
      <c r="TII50" s="478"/>
      <c r="TIJ50" s="478"/>
      <c r="TIK50" s="478"/>
      <c r="TIL50" s="478"/>
      <c r="TIM50" s="478"/>
      <c r="TIN50" s="478"/>
      <c r="TIO50" s="478"/>
      <c r="TIP50" s="478"/>
      <c r="TIQ50" s="478"/>
      <c r="TIR50" s="478"/>
      <c r="TIS50" s="478"/>
      <c r="TIT50" s="478"/>
      <c r="TIU50" s="478"/>
      <c r="TIV50" s="478"/>
      <c r="TIW50" s="478"/>
      <c r="TIX50" s="478"/>
      <c r="TIY50" s="478"/>
      <c r="TIZ50" s="478"/>
      <c r="TJA50" s="478"/>
      <c r="TJB50" s="478"/>
      <c r="TJC50" s="478"/>
      <c r="TJD50" s="478"/>
      <c r="TJE50" s="478"/>
      <c r="TJF50" s="478"/>
      <c r="TJG50" s="478"/>
      <c r="TJH50" s="478"/>
      <c r="TJI50" s="478"/>
      <c r="TJJ50" s="478"/>
      <c r="TJK50" s="478"/>
      <c r="TJL50" s="478"/>
      <c r="TJM50" s="478"/>
      <c r="TJN50" s="478"/>
      <c r="TJO50" s="478"/>
      <c r="TJP50" s="478"/>
      <c r="TJQ50" s="478"/>
      <c r="TJR50" s="478"/>
      <c r="TJS50" s="478"/>
      <c r="TJT50" s="478"/>
      <c r="TJU50" s="478"/>
      <c r="TJV50" s="478"/>
      <c r="TJW50" s="478"/>
      <c r="TJX50" s="478"/>
      <c r="TJY50" s="478"/>
      <c r="TJZ50" s="478"/>
      <c r="TKA50" s="478"/>
      <c r="TKB50" s="478"/>
      <c r="TKC50" s="478"/>
      <c r="TKD50" s="478"/>
      <c r="TKE50" s="478"/>
      <c r="TKF50" s="478"/>
      <c r="TKG50" s="478"/>
      <c r="TKH50" s="478"/>
      <c r="TKI50" s="478"/>
      <c r="TKJ50" s="478"/>
      <c r="TKK50" s="478"/>
      <c r="TKL50" s="478"/>
      <c r="TKM50" s="478"/>
      <c r="TKN50" s="478"/>
      <c r="TKO50" s="478"/>
      <c r="TKP50" s="478"/>
      <c r="TKQ50" s="478"/>
      <c r="TKR50" s="478"/>
      <c r="TKS50" s="478"/>
      <c r="TKT50" s="478"/>
      <c r="TKU50" s="478"/>
      <c r="TKV50" s="478"/>
      <c r="TKW50" s="478"/>
      <c r="TKX50" s="478"/>
      <c r="TKY50" s="478"/>
      <c r="TKZ50" s="478"/>
      <c r="TLA50" s="478"/>
      <c r="TLB50" s="478"/>
      <c r="TLC50" s="478"/>
      <c r="TLD50" s="478"/>
      <c r="TLE50" s="478"/>
      <c r="TLF50" s="478"/>
      <c r="TLG50" s="478"/>
      <c r="TLH50" s="478"/>
      <c r="TLI50" s="478"/>
      <c r="TLJ50" s="478"/>
      <c r="TLK50" s="478"/>
      <c r="TLL50" s="478"/>
      <c r="TLM50" s="478"/>
      <c r="TLN50" s="478"/>
      <c r="TLO50" s="478"/>
      <c r="TLP50" s="478"/>
      <c r="TLQ50" s="478"/>
      <c r="TLR50" s="478"/>
      <c r="TLS50" s="478"/>
      <c r="TLT50" s="478"/>
      <c r="TLU50" s="478"/>
      <c r="TLV50" s="478"/>
      <c r="TLW50" s="478"/>
      <c r="TLX50" s="478"/>
      <c r="TLY50" s="478"/>
      <c r="TLZ50" s="478"/>
      <c r="TMA50" s="478"/>
      <c r="TMB50" s="478"/>
      <c r="TMC50" s="478"/>
      <c r="TMD50" s="478"/>
      <c r="TME50" s="478"/>
      <c r="TMF50" s="478"/>
      <c r="TMG50" s="478"/>
      <c r="TMH50" s="478"/>
      <c r="TMI50" s="478"/>
      <c r="TMJ50" s="478"/>
      <c r="TMK50" s="478"/>
      <c r="TML50" s="478"/>
      <c r="TMM50" s="478"/>
      <c r="TMN50" s="478"/>
      <c r="TMO50" s="478"/>
      <c r="TMP50" s="478"/>
      <c r="TMQ50" s="478"/>
      <c r="TMR50" s="478"/>
      <c r="TMS50" s="478"/>
      <c r="TMT50" s="478"/>
      <c r="TMU50" s="478"/>
      <c r="TMV50" s="478"/>
      <c r="TMW50" s="478"/>
      <c r="TMX50" s="478"/>
      <c r="TMY50" s="478"/>
      <c r="TMZ50" s="478"/>
      <c r="TNA50" s="478"/>
      <c r="TNB50" s="478"/>
      <c r="TNC50" s="478"/>
      <c r="TND50" s="478"/>
      <c r="TNE50" s="478"/>
      <c r="TNF50" s="478"/>
      <c r="TNG50" s="478"/>
      <c r="TNH50" s="478"/>
      <c r="TNI50" s="478"/>
      <c r="TNJ50" s="478"/>
      <c r="TNK50" s="478"/>
      <c r="TNL50" s="478"/>
      <c r="TNM50" s="478"/>
      <c r="TNN50" s="478"/>
      <c r="TNO50" s="478"/>
      <c r="TNP50" s="478"/>
      <c r="TNQ50" s="478"/>
      <c r="TNR50" s="478"/>
      <c r="TNS50" s="478"/>
      <c r="TNT50" s="478"/>
      <c r="TNU50" s="478"/>
      <c r="TNV50" s="478"/>
      <c r="TNW50" s="478"/>
      <c r="TNX50" s="478"/>
      <c r="TNY50" s="478"/>
      <c r="TNZ50" s="478"/>
      <c r="TOA50" s="478"/>
      <c r="TOB50" s="478"/>
      <c r="TOC50" s="478"/>
      <c r="TOD50" s="478"/>
      <c r="TOE50" s="478"/>
      <c r="TOF50" s="478"/>
      <c r="TOG50" s="478"/>
      <c r="TOH50" s="478"/>
      <c r="TOI50" s="478"/>
      <c r="TOJ50" s="478"/>
      <c r="TOK50" s="478"/>
      <c r="TOL50" s="478"/>
      <c r="TOM50" s="478"/>
      <c r="TON50" s="478"/>
      <c r="TOO50" s="478"/>
      <c r="TOP50" s="478"/>
      <c r="TOQ50" s="478"/>
      <c r="TOR50" s="478"/>
      <c r="TOS50" s="478"/>
      <c r="TOT50" s="478"/>
      <c r="TOU50" s="478"/>
      <c r="TOV50" s="478"/>
      <c r="TOW50" s="478"/>
      <c r="TOX50" s="478"/>
      <c r="TOY50" s="478"/>
      <c r="TOZ50" s="478"/>
      <c r="TPA50" s="478"/>
      <c r="TPB50" s="478"/>
      <c r="TPC50" s="478"/>
      <c r="TPD50" s="478"/>
      <c r="TPE50" s="478"/>
      <c r="TPF50" s="478"/>
      <c r="TPG50" s="478"/>
      <c r="TPH50" s="478"/>
      <c r="TPI50" s="478"/>
      <c r="TPJ50" s="478"/>
      <c r="TPK50" s="478"/>
      <c r="TPL50" s="478"/>
      <c r="TPM50" s="478"/>
      <c r="TPN50" s="478"/>
      <c r="TPO50" s="478"/>
      <c r="TPP50" s="478"/>
      <c r="TPQ50" s="478"/>
      <c r="TPR50" s="478"/>
      <c r="TPS50" s="478"/>
      <c r="TPT50" s="478"/>
      <c r="TPU50" s="478"/>
      <c r="TPV50" s="478"/>
      <c r="TPW50" s="478"/>
      <c r="TPX50" s="478"/>
      <c r="TPY50" s="478"/>
      <c r="TPZ50" s="478"/>
      <c r="TQA50" s="478"/>
      <c r="TQB50" s="478"/>
      <c r="TQC50" s="478"/>
      <c r="TQD50" s="478"/>
      <c r="TQE50" s="478"/>
      <c r="TQF50" s="478"/>
      <c r="TQG50" s="478"/>
      <c r="TQH50" s="478"/>
      <c r="TQI50" s="478"/>
      <c r="TQJ50" s="478"/>
      <c r="TQK50" s="478"/>
      <c r="TQL50" s="478"/>
      <c r="TQM50" s="478"/>
      <c r="TQN50" s="478"/>
      <c r="TQO50" s="478"/>
      <c r="TQP50" s="478"/>
      <c r="TQQ50" s="478"/>
      <c r="TQR50" s="478"/>
      <c r="TQS50" s="478"/>
      <c r="TQT50" s="478"/>
      <c r="TQU50" s="478"/>
      <c r="TQV50" s="478"/>
      <c r="TQW50" s="478"/>
      <c r="TQX50" s="478"/>
      <c r="TQY50" s="478"/>
      <c r="TQZ50" s="478"/>
      <c r="TRA50" s="478"/>
      <c r="TRB50" s="478"/>
      <c r="TRC50" s="478"/>
      <c r="TRD50" s="478"/>
      <c r="TRE50" s="478"/>
      <c r="TRF50" s="478"/>
      <c r="TRG50" s="478"/>
      <c r="TRH50" s="478"/>
      <c r="TRI50" s="478"/>
      <c r="TRJ50" s="478"/>
      <c r="TRK50" s="478"/>
      <c r="TRL50" s="478"/>
      <c r="TRM50" s="478"/>
      <c r="TRN50" s="478"/>
      <c r="TRO50" s="478"/>
      <c r="TRP50" s="478"/>
      <c r="TRQ50" s="478"/>
      <c r="TRR50" s="478"/>
      <c r="TRS50" s="478"/>
      <c r="TRT50" s="478"/>
      <c r="TRU50" s="478"/>
      <c r="TRV50" s="478"/>
      <c r="TRW50" s="478"/>
      <c r="TRX50" s="478"/>
      <c r="TRY50" s="478"/>
      <c r="TRZ50" s="478"/>
      <c r="TSA50" s="478"/>
      <c r="TSB50" s="478"/>
      <c r="TSC50" s="478"/>
      <c r="TSD50" s="478"/>
      <c r="TSE50" s="478"/>
      <c r="TSF50" s="478"/>
      <c r="TSG50" s="478"/>
      <c r="TSH50" s="478"/>
      <c r="TSI50" s="478"/>
      <c r="TSJ50" s="478"/>
      <c r="TSK50" s="478"/>
      <c r="TSL50" s="478"/>
      <c r="TSM50" s="478"/>
      <c r="TSN50" s="478"/>
      <c r="TSO50" s="478"/>
      <c r="TSP50" s="478"/>
      <c r="TSQ50" s="478"/>
      <c r="TSR50" s="478"/>
      <c r="TSS50" s="478"/>
      <c r="TST50" s="478"/>
      <c r="TSU50" s="478"/>
      <c r="TSV50" s="478"/>
      <c r="TSW50" s="478"/>
      <c r="TSX50" s="478"/>
      <c r="TSY50" s="478"/>
      <c r="TSZ50" s="478"/>
      <c r="TTA50" s="478"/>
      <c r="TTB50" s="478"/>
      <c r="TTC50" s="478"/>
      <c r="TTD50" s="478"/>
      <c r="TTE50" s="478"/>
      <c r="TTF50" s="478"/>
      <c r="TTG50" s="478"/>
      <c r="TTH50" s="478"/>
      <c r="TTI50" s="478"/>
      <c r="TTJ50" s="478"/>
      <c r="TTK50" s="478"/>
      <c r="TTL50" s="478"/>
      <c r="TTM50" s="478"/>
      <c r="TTN50" s="478"/>
      <c r="TTO50" s="478"/>
      <c r="TTP50" s="478"/>
      <c r="TTQ50" s="478"/>
      <c r="TTR50" s="478"/>
      <c r="TTS50" s="478"/>
      <c r="TTT50" s="478"/>
      <c r="TTU50" s="478"/>
      <c r="TTV50" s="478"/>
      <c r="TTW50" s="478"/>
      <c r="TTX50" s="478"/>
      <c r="TTY50" s="478"/>
      <c r="TTZ50" s="478"/>
      <c r="TUA50" s="478"/>
      <c r="TUB50" s="478"/>
      <c r="TUC50" s="478"/>
      <c r="TUD50" s="478"/>
      <c r="TUE50" s="478"/>
      <c r="TUF50" s="478"/>
      <c r="TUG50" s="478"/>
      <c r="TUH50" s="478"/>
      <c r="TUI50" s="478"/>
      <c r="TUJ50" s="478"/>
      <c r="TUK50" s="478"/>
      <c r="TUL50" s="478"/>
      <c r="TUM50" s="478"/>
      <c r="TUN50" s="478"/>
      <c r="TUO50" s="478"/>
      <c r="TUP50" s="478"/>
      <c r="TUQ50" s="478"/>
      <c r="TUR50" s="478"/>
      <c r="TUS50" s="478"/>
      <c r="TUT50" s="478"/>
      <c r="TUU50" s="478"/>
      <c r="TUV50" s="478"/>
      <c r="TUW50" s="478"/>
      <c r="TUX50" s="478"/>
      <c r="TUY50" s="478"/>
      <c r="TUZ50" s="478"/>
      <c r="TVA50" s="478"/>
      <c r="TVB50" s="478"/>
      <c r="TVC50" s="478"/>
      <c r="TVD50" s="478"/>
      <c r="TVE50" s="478"/>
      <c r="TVF50" s="478"/>
      <c r="TVG50" s="478"/>
      <c r="TVH50" s="478"/>
      <c r="TVI50" s="478"/>
      <c r="TVJ50" s="478"/>
      <c r="TVK50" s="478"/>
      <c r="TVL50" s="478"/>
      <c r="TVM50" s="478"/>
      <c r="TVN50" s="478"/>
      <c r="TVO50" s="478"/>
      <c r="TVP50" s="478"/>
      <c r="TVQ50" s="478"/>
      <c r="TVR50" s="478"/>
      <c r="TVS50" s="478"/>
      <c r="TVT50" s="478"/>
      <c r="TVU50" s="478"/>
      <c r="TVV50" s="478"/>
      <c r="TVW50" s="478"/>
      <c r="TVX50" s="478"/>
      <c r="TVY50" s="478"/>
      <c r="TVZ50" s="478"/>
      <c r="TWA50" s="478"/>
      <c r="TWB50" s="478"/>
      <c r="TWC50" s="478"/>
      <c r="TWD50" s="478"/>
      <c r="TWE50" s="478"/>
      <c r="TWF50" s="478"/>
      <c r="TWG50" s="478"/>
      <c r="TWH50" s="478"/>
      <c r="TWI50" s="478"/>
      <c r="TWJ50" s="478"/>
      <c r="TWK50" s="478"/>
      <c r="TWL50" s="478"/>
      <c r="TWM50" s="478"/>
      <c r="TWN50" s="478"/>
      <c r="TWO50" s="478"/>
      <c r="TWP50" s="478"/>
      <c r="TWQ50" s="478"/>
      <c r="TWR50" s="478"/>
      <c r="TWS50" s="478"/>
      <c r="TWT50" s="478"/>
      <c r="TWU50" s="478"/>
      <c r="TWV50" s="478"/>
      <c r="TWW50" s="478"/>
      <c r="TWX50" s="478"/>
      <c r="TWY50" s="478"/>
      <c r="TWZ50" s="478"/>
      <c r="TXA50" s="478"/>
      <c r="TXB50" s="478"/>
      <c r="TXC50" s="478"/>
      <c r="TXD50" s="478"/>
      <c r="TXE50" s="478"/>
      <c r="TXF50" s="478"/>
      <c r="TXG50" s="478"/>
      <c r="TXH50" s="478"/>
      <c r="TXI50" s="478"/>
      <c r="TXJ50" s="478"/>
      <c r="TXK50" s="478"/>
      <c r="TXL50" s="478"/>
      <c r="TXM50" s="478"/>
      <c r="TXN50" s="478"/>
      <c r="TXO50" s="478"/>
      <c r="TXP50" s="478"/>
      <c r="TXQ50" s="478"/>
      <c r="TXR50" s="478"/>
      <c r="TXS50" s="478"/>
      <c r="TXT50" s="478"/>
      <c r="TXU50" s="478"/>
      <c r="TXV50" s="478"/>
      <c r="TXW50" s="478"/>
      <c r="TXX50" s="478"/>
      <c r="TXY50" s="478"/>
      <c r="TXZ50" s="478"/>
      <c r="TYA50" s="478"/>
      <c r="TYB50" s="478"/>
      <c r="TYC50" s="478"/>
      <c r="TYD50" s="478"/>
      <c r="TYE50" s="478"/>
      <c r="TYF50" s="478"/>
      <c r="TYG50" s="478"/>
      <c r="TYH50" s="478"/>
      <c r="TYI50" s="478"/>
      <c r="TYJ50" s="478"/>
      <c r="TYK50" s="478"/>
      <c r="TYL50" s="478"/>
      <c r="TYM50" s="478"/>
      <c r="TYN50" s="478"/>
      <c r="TYO50" s="478"/>
      <c r="TYP50" s="478"/>
      <c r="TYQ50" s="478"/>
      <c r="TYR50" s="478"/>
      <c r="TYS50" s="478"/>
      <c r="TYT50" s="478"/>
      <c r="TYU50" s="478"/>
      <c r="TYV50" s="478"/>
      <c r="TYW50" s="478"/>
      <c r="TYX50" s="478"/>
      <c r="TYY50" s="478"/>
      <c r="TYZ50" s="478"/>
      <c r="TZA50" s="478"/>
      <c r="TZB50" s="478"/>
      <c r="TZC50" s="478"/>
      <c r="TZD50" s="478"/>
      <c r="TZE50" s="478"/>
      <c r="TZF50" s="478"/>
      <c r="TZG50" s="478"/>
      <c r="TZH50" s="478"/>
      <c r="TZI50" s="478"/>
      <c r="TZJ50" s="478"/>
      <c r="TZK50" s="478"/>
      <c r="TZL50" s="478"/>
      <c r="TZM50" s="478"/>
      <c r="TZN50" s="478"/>
      <c r="TZO50" s="478"/>
      <c r="TZP50" s="478"/>
      <c r="TZQ50" s="478"/>
      <c r="TZR50" s="478"/>
      <c r="TZS50" s="478"/>
      <c r="TZT50" s="478"/>
      <c r="TZU50" s="478"/>
      <c r="TZV50" s="478"/>
      <c r="TZW50" s="478"/>
      <c r="TZX50" s="478"/>
      <c r="TZY50" s="478"/>
      <c r="TZZ50" s="478"/>
      <c r="UAA50" s="478"/>
      <c r="UAB50" s="478"/>
      <c r="UAC50" s="478"/>
      <c r="UAD50" s="478"/>
      <c r="UAE50" s="478"/>
      <c r="UAF50" s="478"/>
      <c r="UAG50" s="478"/>
      <c r="UAH50" s="478"/>
      <c r="UAI50" s="478"/>
      <c r="UAJ50" s="478"/>
      <c r="UAK50" s="478"/>
      <c r="UAL50" s="478"/>
      <c r="UAM50" s="478"/>
      <c r="UAN50" s="478"/>
      <c r="UAO50" s="478"/>
      <c r="UAP50" s="478"/>
      <c r="UAQ50" s="478"/>
      <c r="UAR50" s="478"/>
      <c r="UAS50" s="478"/>
      <c r="UAT50" s="478"/>
      <c r="UAU50" s="478"/>
      <c r="UAV50" s="478"/>
      <c r="UAW50" s="478"/>
      <c r="UAX50" s="478"/>
      <c r="UAY50" s="478"/>
      <c r="UAZ50" s="478"/>
      <c r="UBA50" s="478"/>
      <c r="UBB50" s="478"/>
      <c r="UBC50" s="478"/>
      <c r="UBD50" s="478"/>
      <c r="UBE50" s="478"/>
      <c r="UBF50" s="478"/>
      <c r="UBG50" s="478"/>
      <c r="UBH50" s="478"/>
      <c r="UBI50" s="478"/>
      <c r="UBJ50" s="478"/>
      <c r="UBK50" s="478"/>
      <c r="UBL50" s="478"/>
      <c r="UBM50" s="478"/>
      <c r="UBN50" s="478"/>
      <c r="UBO50" s="478"/>
      <c r="UBP50" s="478"/>
      <c r="UBQ50" s="478"/>
      <c r="UBR50" s="478"/>
      <c r="UBS50" s="478"/>
      <c r="UBT50" s="478"/>
      <c r="UBU50" s="478"/>
      <c r="UBV50" s="478"/>
      <c r="UBW50" s="478"/>
      <c r="UBX50" s="478"/>
      <c r="UBY50" s="478"/>
      <c r="UBZ50" s="478"/>
      <c r="UCA50" s="478"/>
      <c r="UCB50" s="478"/>
      <c r="UCC50" s="478"/>
      <c r="UCD50" s="478"/>
      <c r="UCE50" s="478"/>
      <c r="UCF50" s="478"/>
      <c r="UCG50" s="478"/>
      <c r="UCH50" s="478"/>
      <c r="UCI50" s="478"/>
      <c r="UCJ50" s="478"/>
      <c r="UCK50" s="478"/>
      <c r="UCL50" s="478"/>
      <c r="UCM50" s="478"/>
      <c r="UCN50" s="478"/>
      <c r="UCO50" s="478"/>
      <c r="UCP50" s="478"/>
      <c r="UCQ50" s="478"/>
      <c r="UCR50" s="478"/>
      <c r="UCS50" s="478"/>
      <c r="UCT50" s="478"/>
      <c r="UCU50" s="478"/>
      <c r="UCV50" s="478"/>
      <c r="UCW50" s="478"/>
      <c r="UCX50" s="478"/>
      <c r="UCY50" s="478"/>
      <c r="UCZ50" s="478"/>
      <c r="UDA50" s="478"/>
      <c r="UDB50" s="478"/>
      <c r="UDC50" s="478"/>
      <c r="UDD50" s="478"/>
      <c r="UDE50" s="478"/>
      <c r="UDF50" s="478"/>
      <c r="UDG50" s="478"/>
      <c r="UDH50" s="478"/>
      <c r="UDI50" s="478"/>
      <c r="UDJ50" s="478"/>
      <c r="UDK50" s="478"/>
      <c r="UDL50" s="478"/>
      <c r="UDM50" s="478"/>
      <c r="UDN50" s="478"/>
      <c r="UDO50" s="478"/>
      <c r="UDP50" s="478"/>
      <c r="UDQ50" s="478"/>
      <c r="UDR50" s="478"/>
      <c r="UDS50" s="478"/>
      <c r="UDT50" s="478"/>
      <c r="UDU50" s="478"/>
      <c r="UDV50" s="478"/>
      <c r="UDW50" s="478"/>
      <c r="UDX50" s="478"/>
      <c r="UDY50" s="478"/>
      <c r="UDZ50" s="478"/>
      <c r="UEA50" s="478"/>
      <c r="UEB50" s="478"/>
      <c r="UEC50" s="478"/>
      <c r="UED50" s="478"/>
      <c r="UEE50" s="478"/>
      <c r="UEF50" s="478"/>
      <c r="UEG50" s="478"/>
      <c r="UEH50" s="478"/>
      <c r="UEI50" s="478"/>
      <c r="UEJ50" s="478"/>
      <c r="UEK50" s="478"/>
      <c r="UEL50" s="478"/>
      <c r="UEM50" s="478"/>
      <c r="UEN50" s="478"/>
      <c r="UEO50" s="478"/>
      <c r="UEP50" s="478"/>
      <c r="UEQ50" s="478"/>
      <c r="UER50" s="478"/>
      <c r="UES50" s="478"/>
      <c r="UET50" s="478"/>
      <c r="UEU50" s="478"/>
      <c r="UEV50" s="478"/>
      <c r="UEW50" s="478"/>
      <c r="UEX50" s="478"/>
      <c r="UEY50" s="478"/>
      <c r="UEZ50" s="478"/>
      <c r="UFA50" s="478"/>
      <c r="UFB50" s="478"/>
      <c r="UFC50" s="478"/>
      <c r="UFD50" s="478"/>
      <c r="UFE50" s="478"/>
      <c r="UFF50" s="478"/>
      <c r="UFG50" s="478"/>
      <c r="UFH50" s="478"/>
      <c r="UFI50" s="478"/>
      <c r="UFJ50" s="478"/>
      <c r="UFK50" s="478"/>
      <c r="UFL50" s="478"/>
      <c r="UFM50" s="478"/>
      <c r="UFN50" s="478"/>
      <c r="UFO50" s="478"/>
      <c r="UFP50" s="478"/>
      <c r="UFQ50" s="478"/>
      <c r="UFR50" s="478"/>
      <c r="UFS50" s="478"/>
      <c r="UFT50" s="478"/>
      <c r="UFU50" s="478"/>
      <c r="UFV50" s="478"/>
      <c r="UFW50" s="478"/>
      <c r="UFX50" s="478"/>
      <c r="UFY50" s="478"/>
      <c r="UFZ50" s="478"/>
      <c r="UGA50" s="478"/>
      <c r="UGB50" s="478"/>
      <c r="UGC50" s="478"/>
      <c r="UGD50" s="478"/>
      <c r="UGE50" s="478"/>
      <c r="UGF50" s="478"/>
      <c r="UGG50" s="478"/>
      <c r="UGH50" s="478"/>
      <c r="UGI50" s="478"/>
      <c r="UGJ50" s="478"/>
      <c r="UGK50" s="478"/>
      <c r="UGL50" s="478"/>
      <c r="UGM50" s="478"/>
      <c r="UGN50" s="478"/>
      <c r="UGO50" s="478"/>
      <c r="UGP50" s="478"/>
      <c r="UGQ50" s="478"/>
      <c r="UGR50" s="478"/>
      <c r="UGS50" s="478"/>
      <c r="UGT50" s="478"/>
      <c r="UGU50" s="478"/>
      <c r="UGV50" s="478"/>
      <c r="UGW50" s="478"/>
      <c r="UGX50" s="478"/>
      <c r="UGY50" s="478"/>
      <c r="UGZ50" s="478"/>
      <c r="UHA50" s="478"/>
      <c r="UHB50" s="478"/>
      <c r="UHC50" s="478"/>
      <c r="UHD50" s="478"/>
      <c r="UHE50" s="478"/>
      <c r="UHF50" s="478"/>
      <c r="UHG50" s="478"/>
      <c r="UHH50" s="478"/>
      <c r="UHI50" s="478"/>
      <c r="UHJ50" s="478"/>
      <c r="UHK50" s="478"/>
      <c r="UHL50" s="478"/>
      <c r="UHM50" s="478"/>
      <c r="UHN50" s="478"/>
      <c r="UHO50" s="478"/>
      <c r="UHP50" s="478"/>
      <c r="UHQ50" s="478"/>
      <c r="UHR50" s="478"/>
      <c r="UHS50" s="478"/>
      <c r="UHT50" s="478"/>
      <c r="UHU50" s="478"/>
      <c r="UHV50" s="478"/>
      <c r="UHW50" s="478"/>
      <c r="UHX50" s="478"/>
      <c r="UHY50" s="478"/>
      <c r="UHZ50" s="478"/>
      <c r="UIA50" s="478"/>
      <c r="UIB50" s="478"/>
      <c r="UIC50" s="478"/>
      <c r="UID50" s="478"/>
      <c r="UIE50" s="478"/>
      <c r="UIF50" s="478"/>
      <c r="UIG50" s="478"/>
      <c r="UIH50" s="478"/>
      <c r="UII50" s="478"/>
      <c r="UIJ50" s="478"/>
      <c r="UIK50" s="478"/>
      <c r="UIL50" s="478"/>
      <c r="UIM50" s="478"/>
      <c r="UIN50" s="478"/>
      <c r="UIO50" s="478"/>
      <c r="UIP50" s="478"/>
      <c r="UIQ50" s="478"/>
      <c r="UIR50" s="478"/>
      <c r="UIS50" s="478"/>
      <c r="UIT50" s="478"/>
      <c r="UIU50" s="478"/>
      <c r="UIV50" s="478"/>
      <c r="UIW50" s="478"/>
      <c r="UIX50" s="478"/>
      <c r="UIY50" s="478"/>
      <c r="UIZ50" s="478"/>
      <c r="UJA50" s="478"/>
      <c r="UJB50" s="478"/>
      <c r="UJC50" s="478"/>
      <c r="UJD50" s="478"/>
      <c r="UJE50" s="478"/>
      <c r="UJF50" s="478"/>
      <c r="UJG50" s="478"/>
      <c r="UJH50" s="478"/>
      <c r="UJI50" s="478"/>
      <c r="UJJ50" s="478"/>
      <c r="UJK50" s="478"/>
      <c r="UJL50" s="478"/>
      <c r="UJM50" s="478"/>
      <c r="UJN50" s="478"/>
      <c r="UJO50" s="478"/>
      <c r="UJP50" s="478"/>
      <c r="UJQ50" s="478"/>
      <c r="UJR50" s="478"/>
      <c r="UJS50" s="478"/>
      <c r="UJT50" s="478"/>
      <c r="UJU50" s="478"/>
      <c r="UJV50" s="478"/>
      <c r="UJW50" s="478"/>
      <c r="UJX50" s="478"/>
      <c r="UJY50" s="478"/>
      <c r="UJZ50" s="478"/>
      <c r="UKA50" s="478"/>
      <c r="UKB50" s="478"/>
      <c r="UKC50" s="478"/>
      <c r="UKD50" s="478"/>
      <c r="UKE50" s="478"/>
      <c r="UKF50" s="478"/>
      <c r="UKG50" s="478"/>
      <c r="UKH50" s="478"/>
      <c r="UKI50" s="478"/>
      <c r="UKJ50" s="478"/>
      <c r="UKK50" s="478"/>
      <c r="UKL50" s="478"/>
      <c r="UKM50" s="478"/>
      <c r="UKN50" s="478"/>
      <c r="UKO50" s="478"/>
      <c r="UKP50" s="478"/>
      <c r="UKQ50" s="478"/>
      <c r="UKR50" s="478"/>
      <c r="UKS50" s="478"/>
      <c r="UKT50" s="478"/>
      <c r="UKU50" s="478"/>
      <c r="UKV50" s="478"/>
      <c r="UKW50" s="478"/>
      <c r="UKX50" s="478"/>
      <c r="UKY50" s="478"/>
      <c r="UKZ50" s="478"/>
      <c r="ULA50" s="478"/>
      <c r="ULB50" s="478"/>
      <c r="ULC50" s="478"/>
      <c r="ULD50" s="478"/>
      <c r="ULE50" s="478"/>
      <c r="ULF50" s="478"/>
      <c r="ULG50" s="478"/>
      <c r="ULH50" s="478"/>
      <c r="ULI50" s="478"/>
      <c r="ULJ50" s="478"/>
      <c r="ULK50" s="478"/>
      <c r="ULL50" s="478"/>
      <c r="ULM50" s="478"/>
      <c r="ULN50" s="478"/>
      <c r="ULO50" s="478"/>
      <c r="ULP50" s="478"/>
      <c r="ULQ50" s="478"/>
      <c r="ULR50" s="478"/>
      <c r="ULS50" s="478"/>
      <c r="ULT50" s="478"/>
      <c r="ULU50" s="478"/>
      <c r="ULV50" s="478"/>
      <c r="ULW50" s="478"/>
      <c r="ULX50" s="478"/>
      <c r="ULY50" s="478"/>
      <c r="ULZ50" s="478"/>
      <c r="UMA50" s="478"/>
      <c r="UMB50" s="478"/>
      <c r="UMC50" s="478"/>
      <c r="UMD50" s="478"/>
      <c r="UME50" s="478"/>
      <c r="UMF50" s="478"/>
      <c r="UMG50" s="478"/>
      <c r="UMH50" s="478"/>
      <c r="UMI50" s="478"/>
      <c r="UMJ50" s="478"/>
      <c r="UMK50" s="478"/>
      <c r="UML50" s="478"/>
      <c r="UMM50" s="478"/>
      <c r="UMN50" s="478"/>
      <c r="UMO50" s="478"/>
      <c r="UMP50" s="478"/>
      <c r="UMQ50" s="478"/>
      <c r="UMR50" s="478"/>
      <c r="UMS50" s="478"/>
      <c r="UMT50" s="478"/>
      <c r="UMU50" s="478"/>
      <c r="UMV50" s="478"/>
      <c r="UMW50" s="478"/>
      <c r="UMX50" s="478"/>
      <c r="UMY50" s="478"/>
      <c r="UMZ50" s="478"/>
      <c r="UNA50" s="478"/>
      <c r="UNB50" s="478"/>
      <c r="UNC50" s="478"/>
      <c r="UND50" s="478"/>
      <c r="UNE50" s="478"/>
      <c r="UNF50" s="478"/>
      <c r="UNG50" s="478"/>
      <c r="UNH50" s="478"/>
      <c r="UNI50" s="478"/>
      <c r="UNJ50" s="478"/>
      <c r="UNK50" s="478"/>
      <c r="UNL50" s="478"/>
      <c r="UNM50" s="478"/>
      <c r="UNN50" s="478"/>
      <c r="UNO50" s="478"/>
      <c r="UNP50" s="478"/>
      <c r="UNQ50" s="478"/>
      <c r="UNR50" s="478"/>
      <c r="UNS50" s="478"/>
      <c r="UNT50" s="478"/>
      <c r="UNU50" s="478"/>
      <c r="UNV50" s="478"/>
      <c r="UNW50" s="478"/>
      <c r="UNX50" s="478"/>
      <c r="UNY50" s="478"/>
      <c r="UNZ50" s="478"/>
      <c r="UOA50" s="478"/>
      <c r="UOB50" s="478"/>
      <c r="UOC50" s="478"/>
      <c r="UOD50" s="478"/>
      <c r="UOE50" s="478"/>
      <c r="UOF50" s="478"/>
      <c r="UOG50" s="478"/>
      <c r="UOH50" s="478"/>
      <c r="UOI50" s="478"/>
      <c r="UOJ50" s="478"/>
      <c r="UOK50" s="478"/>
      <c r="UOL50" s="478"/>
      <c r="UOM50" s="478"/>
      <c r="UON50" s="478"/>
      <c r="UOO50" s="478"/>
      <c r="UOP50" s="478"/>
      <c r="UOQ50" s="478"/>
      <c r="UOR50" s="478"/>
      <c r="UOS50" s="478"/>
      <c r="UOT50" s="478"/>
      <c r="UOU50" s="478"/>
      <c r="UOV50" s="478"/>
      <c r="UOW50" s="478"/>
      <c r="UOX50" s="478"/>
      <c r="UOY50" s="478"/>
      <c r="UOZ50" s="478"/>
      <c r="UPA50" s="478"/>
      <c r="UPB50" s="478"/>
      <c r="UPC50" s="478"/>
      <c r="UPD50" s="478"/>
      <c r="UPE50" s="478"/>
      <c r="UPF50" s="478"/>
      <c r="UPG50" s="478"/>
      <c r="UPH50" s="478"/>
      <c r="UPI50" s="478"/>
      <c r="UPJ50" s="478"/>
      <c r="UPK50" s="478"/>
      <c r="UPL50" s="478"/>
      <c r="UPM50" s="478"/>
      <c r="UPN50" s="478"/>
      <c r="UPO50" s="478"/>
      <c r="UPP50" s="478"/>
      <c r="UPQ50" s="478"/>
      <c r="UPR50" s="478"/>
      <c r="UPS50" s="478"/>
      <c r="UPT50" s="478"/>
      <c r="UPU50" s="478"/>
      <c r="UPV50" s="478"/>
      <c r="UPW50" s="478"/>
      <c r="UPX50" s="478"/>
      <c r="UPY50" s="478"/>
      <c r="UPZ50" s="478"/>
      <c r="UQA50" s="478"/>
      <c r="UQB50" s="478"/>
      <c r="UQC50" s="478"/>
      <c r="UQD50" s="478"/>
      <c r="UQE50" s="478"/>
      <c r="UQF50" s="478"/>
      <c r="UQG50" s="478"/>
      <c r="UQH50" s="478"/>
      <c r="UQI50" s="478"/>
      <c r="UQJ50" s="478"/>
      <c r="UQK50" s="478"/>
      <c r="UQL50" s="478"/>
      <c r="UQM50" s="478"/>
      <c r="UQN50" s="478"/>
      <c r="UQO50" s="478"/>
      <c r="UQP50" s="478"/>
      <c r="UQQ50" s="478"/>
      <c r="UQR50" s="478"/>
      <c r="UQS50" s="478"/>
      <c r="UQT50" s="478"/>
      <c r="UQU50" s="478"/>
      <c r="UQV50" s="478"/>
      <c r="UQW50" s="478"/>
      <c r="UQX50" s="478"/>
      <c r="UQY50" s="478"/>
      <c r="UQZ50" s="478"/>
      <c r="URA50" s="478"/>
      <c r="URB50" s="478"/>
      <c r="URC50" s="478"/>
      <c r="URD50" s="478"/>
      <c r="URE50" s="478"/>
      <c r="URF50" s="478"/>
      <c r="URG50" s="478"/>
      <c r="URH50" s="478"/>
      <c r="URI50" s="478"/>
      <c r="URJ50" s="478"/>
      <c r="URK50" s="478"/>
      <c r="URL50" s="478"/>
      <c r="URM50" s="478"/>
      <c r="URN50" s="478"/>
      <c r="URO50" s="478"/>
      <c r="URP50" s="478"/>
      <c r="URQ50" s="478"/>
      <c r="URR50" s="478"/>
      <c r="URS50" s="478"/>
      <c r="URT50" s="478"/>
      <c r="URU50" s="478"/>
      <c r="URV50" s="478"/>
      <c r="URW50" s="478"/>
      <c r="URX50" s="478"/>
      <c r="URY50" s="478"/>
      <c r="URZ50" s="478"/>
      <c r="USA50" s="478"/>
      <c r="USB50" s="478"/>
      <c r="USC50" s="478"/>
      <c r="USD50" s="478"/>
      <c r="USE50" s="478"/>
      <c r="USF50" s="478"/>
      <c r="USG50" s="478"/>
      <c r="USH50" s="478"/>
      <c r="USI50" s="478"/>
      <c r="USJ50" s="478"/>
      <c r="USK50" s="478"/>
      <c r="USL50" s="478"/>
      <c r="USM50" s="478"/>
      <c r="USN50" s="478"/>
      <c r="USO50" s="478"/>
      <c r="USP50" s="478"/>
      <c r="USQ50" s="478"/>
      <c r="USR50" s="478"/>
      <c r="USS50" s="478"/>
      <c r="UST50" s="478"/>
      <c r="USU50" s="478"/>
      <c r="USV50" s="478"/>
      <c r="USW50" s="478"/>
      <c r="USX50" s="478"/>
      <c r="USY50" s="478"/>
      <c r="USZ50" s="478"/>
      <c r="UTA50" s="478"/>
      <c r="UTB50" s="478"/>
      <c r="UTC50" s="478"/>
      <c r="UTD50" s="478"/>
      <c r="UTE50" s="478"/>
      <c r="UTF50" s="478"/>
      <c r="UTG50" s="478"/>
      <c r="UTH50" s="478"/>
      <c r="UTI50" s="478"/>
      <c r="UTJ50" s="478"/>
      <c r="UTK50" s="478"/>
      <c r="UTL50" s="478"/>
      <c r="UTM50" s="478"/>
      <c r="UTN50" s="478"/>
      <c r="UTO50" s="478"/>
      <c r="UTP50" s="478"/>
      <c r="UTQ50" s="478"/>
      <c r="UTR50" s="478"/>
      <c r="UTS50" s="478"/>
      <c r="UTT50" s="478"/>
      <c r="UTU50" s="478"/>
      <c r="UTV50" s="478"/>
      <c r="UTW50" s="478"/>
      <c r="UTX50" s="478"/>
      <c r="UTY50" s="478"/>
      <c r="UTZ50" s="478"/>
      <c r="UUA50" s="478"/>
      <c r="UUB50" s="478"/>
      <c r="UUC50" s="478"/>
      <c r="UUD50" s="478"/>
      <c r="UUE50" s="478"/>
      <c r="UUF50" s="478"/>
      <c r="UUG50" s="478"/>
      <c r="UUH50" s="478"/>
      <c r="UUI50" s="478"/>
      <c r="UUJ50" s="478"/>
      <c r="UUK50" s="478"/>
      <c r="UUL50" s="478"/>
      <c r="UUM50" s="478"/>
      <c r="UUN50" s="478"/>
      <c r="UUO50" s="478"/>
      <c r="UUP50" s="478"/>
      <c r="UUQ50" s="478"/>
      <c r="UUR50" s="478"/>
      <c r="UUS50" s="478"/>
      <c r="UUT50" s="478"/>
      <c r="UUU50" s="478"/>
      <c r="UUV50" s="478"/>
      <c r="UUW50" s="478"/>
      <c r="UUX50" s="478"/>
      <c r="UUY50" s="478"/>
      <c r="UUZ50" s="478"/>
      <c r="UVA50" s="478"/>
      <c r="UVB50" s="478"/>
      <c r="UVC50" s="478"/>
      <c r="UVD50" s="478"/>
      <c r="UVE50" s="478"/>
      <c r="UVF50" s="478"/>
      <c r="UVG50" s="478"/>
      <c r="UVH50" s="478"/>
      <c r="UVI50" s="478"/>
      <c r="UVJ50" s="478"/>
      <c r="UVK50" s="478"/>
      <c r="UVL50" s="478"/>
      <c r="UVM50" s="478"/>
      <c r="UVN50" s="478"/>
      <c r="UVO50" s="478"/>
      <c r="UVP50" s="478"/>
      <c r="UVQ50" s="478"/>
      <c r="UVR50" s="478"/>
      <c r="UVS50" s="478"/>
      <c r="UVT50" s="478"/>
      <c r="UVU50" s="478"/>
      <c r="UVV50" s="478"/>
      <c r="UVW50" s="478"/>
      <c r="UVX50" s="478"/>
      <c r="UVY50" s="478"/>
      <c r="UVZ50" s="478"/>
      <c r="UWA50" s="478"/>
      <c r="UWB50" s="478"/>
      <c r="UWC50" s="478"/>
      <c r="UWD50" s="478"/>
      <c r="UWE50" s="478"/>
      <c r="UWF50" s="478"/>
      <c r="UWG50" s="478"/>
      <c r="UWH50" s="478"/>
      <c r="UWI50" s="478"/>
      <c r="UWJ50" s="478"/>
      <c r="UWK50" s="478"/>
      <c r="UWL50" s="478"/>
      <c r="UWM50" s="478"/>
      <c r="UWN50" s="478"/>
      <c r="UWO50" s="478"/>
      <c r="UWP50" s="478"/>
      <c r="UWQ50" s="478"/>
      <c r="UWR50" s="478"/>
      <c r="UWS50" s="478"/>
      <c r="UWT50" s="478"/>
      <c r="UWU50" s="478"/>
      <c r="UWV50" s="478"/>
      <c r="UWW50" s="478"/>
      <c r="UWX50" s="478"/>
      <c r="UWY50" s="478"/>
      <c r="UWZ50" s="478"/>
      <c r="UXA50" s="478"/>
      <c r="UXB50" s="478"/>
      <c r="UXC50" s="478"/>
      <c r="UXD50" s="478"/>
      <c r="UXE50" s="478"/>
      <c r="UXF50" s="478"/>
      <c r="UXG50" s="478"/>
      <c r="UXH50" s="478"/>
      <c r="UXI50" s="478"/>
      <c r="UXJ50" s="478"/>
      <c r="UXK50" s="478"/>
      <c r="UXL50" s="478"/>
      <c r="UXM50" s="478"/>
      <c r="UXN50" s="478"/>
      <c r="UXO50" s="478"/>
      <c r="UXP50" s="478"/>
      <c r="UXQ50" s="478"/>
      <c r="UXR50" s="478"/>
      <c r="UXS50" s="478"/>
      <c r="UXT50" s="478"/>
      <c r="UXU50" s="478"/>
      <c r="UXV50" s="478"/>
      <c r="UXW50" s="478"/>
      <c r="UXX50" s="478"/>
      <c r="UXY50" s="478"/>
      <c r="UXZ50" s="478"/>
      <c r="UYA50" s="478"/>
      <c r="UYB50" s="478"/>
      <c r="UYC50" s="478"/>
      <c r="UYD50" s="478"/>
      <c r="UYE50" s="478"/>
      <c r="UYF50" s="478"/>
      <c r="UYG50" s="478"/>
      <c r="UYH50" s="478"/>
      <c r="UYI50" s="478"/>
      <c r="UYJ50" s="478"/>
      <c r="UYK50" s="478"/>
      <c r="UYL50" s="478"/>
      <c r="UYM50" s="478"/>
      <c r="UYN50" s="478"/>
      <c r="UYO50" s="478"/>
      <c r="UYP50" s="478"/>
      <c r="UYQ50" s="478"/>
      <c r="UYR50" s="478"/>
      <c r="UYS50" s="478"/>
      <c r="UYT50" s="478"/>
      <c r="UYU50" s="478"/>
      <c r="UYV50" s="478"/>
      <c r="UYW50" s="478"/>
      <c r="UYX50" s="478"/>
      <c r="UYY50" s="478"/>
      <c r="UYZ50" s="478"/>
      <c r="UZA50" s="478"/>
      <c r="UZB50" s="478"/>
      <c r="UZC50" s="478"/>
      <c r="UZD50" s="478"/>
      <c r="UZE50" s="478"/>
      <c r="UZF50" s="478"/>
      <c r="UZG50" s="478"/>
      <c r="UZH50" s="478"/>
      <c r="UZI50" s="478"/>
      <c r="UZJ50" s="478"/>
      <c r="UZK50" s="478"/>
      <c r="UZL50" s="478"/>
      <c r="UZM50" s="478"/>
      <c r="UZN50" s="478"/>
      <c r="UZO50" s="478"/>
      <c r="UZP50" s="478"/>
      <c r="UZQ50" s="478"/>
      <c r="UZR50" s="478"/>
      <c r="UZS50" s="478"/>
      <c r="UZT50" s="478"/>
      <c r="UZU50" s="478"/>
      <c r="UZV50" s="478"/>
      <c r="UZW50" s="478"/>
      <c r="UZX50" s="478"/>
      <c r="UZY50" s="478"/>
      <c r="UZZ50" s="478"/>
      <c r="VAA50" s="478"/>
      <c r="VAB50" s="478"/>
      <c r="VAC50" s="478"/>
      <c r="VAD50" s="478"/>
      <c r="VAE50" s="478"/>
      <c r="VAF50" s="478"/>
      <c r="VAG50" s="478"/>
      <c r="VAH50" s="478"/>
      <c r="VAI50" s="478"/>
      <c r="VAJ50" s="478"/>
      <c r="VAK50" s="478"/>
      <c r="VAL50" s="478"/>
      <c r="VAM50" s="478"/>
      <c r="VAN50" s="478"/>
      <c r="VAO50" s="478"/>
      <c r="VAP50" s="478"/>
      <c r="VAQ50" s="478"/>
      <c r="VAR50" s="478"/>
      <c r="VAS50" s="478"/>
      <c r="VAT50" s="478"/>
      <c r="VAU50" s="478"/>
      <c r="VAV50" s="478"/>
      <c r="VAW50" s="478"/>
      <c r="VAX50" s="478"/>
      <c r="VAY50" s="478"/>
      <c r="VAZ50" s="478"/>
      <c r="VBA50" s="478"/>
      <c r="VBB50" s="478"/>
      <c r="VBC50" s="478"/>
      <c r="VBD50" s="478"/>
      <c r="VBE50" s="478"/>
      <c r="VBF50" s="478"/>
      <c r="VBG50" s="478"/>
      <c r="VBH50" s="478"/>
      <c r="VBI50" s="478"/>
      <c r="VBJ50" s="478"/>
      <c r="VBK50" s="478"/>
      <c r="VBL50" s="478"/>
      <c r="VBM50" s="478"/>
      <c r="VBN50" s="478"/>
      <c r="VBO50" s="478"/>
      <c r="VBP50" s="478"/>
      <c r="VBQ50" s="478"/>
      <c r="VBR50" s="478"/>
      <c r="VBS50" s="478"/>
      <c r="VBT50" s="478"/>
      <c r="VBU50" s="478"/>
      <c r="VBV50" s="478"/>
      <c r="VBW50" s="478"/>
      <c r="VBX50" s="478"/>
      <c r="VBY50" s="478"/>
      <c r="VBZ50" s="478"/>
      <c r="VCA50" s="478"/>
      <c r="VCB50" s="478"/>
      <c r="VCC50" s="478"/>
      <c r="VCD50" s="478"/>
      <c r="VCE50" s="478"/>
      <c r="VCF50" s="478"/>
      <c r="VCG50" s="478"/>
      <c r="VCH50" s="478"/>
      <c r="VCI50" s="478"/>
      <c r="VCJ50" s="478"/>
      <c r="VCK50" s="478"/>
      <c r="VCL50" s="478"/>
      <c r="VCM50" s="478"/>
      <c r="VCN50" s="478"/>
      <c r="VCO50" s="478"/>
      <c r="VCP50" s="478"/>
      <c r="VCQ50" s="478"/>
      <c r="VCR50" s="478"/>
      <c r="VCS50" s="478"/>
      <c r="VCT50" s="478"/>
      <c r="VCU50" s="478"/>
      <c r="VCV50" s="478"/>
      <c r="VCW50" s="478"/>
      <c r="VCX50" s="478"/>
      <c r="VCY50" s="478"/>
      <c r="VCZ50" s="478"/>
      <c r="VDA50" s="478"/>
      <c r="VDB50" s="478"/>
      <c r="VDC50" s="478"/>
      <c r="VDD50" s="478"/>
      <c r="VDE50" s="478"/>
      <c r="VDF50" s="478"/>
      <c r="VDG50" s="478"/>
      <c r="VDH50" s="478"/>
      <c r="VDI50" s="478"/>
      <c r="VDJ50" s="478"/>
      <c r="VDK50" s="478"/>
      <c r="VDL50" s="478"/>
      <c r="VDM50" s="478"/>
      <c r="VDN50" s="478"/>
      <c r="VDO50" s="478"/>
      <c r="VDP50" s="478"/>
      <c r="VDQ50" s="478"/>
      <c r="VDR50" s="478"/>
      <c r="VDS50" s="478"/>
      <c r="VDT50" s="478"/>
      <c r="VDU50" s="478"/>
      <c r="VDV50" s="478"/>
      <c r="VDW50" s="478"/>
      <c r="VDX50" s="478"/>
      <c r="VDY50" s="478"/>
      <c r="VDZ50" s="478"/>
      <c r="VEA50" s="478"/>
      <c r="VEB50" s="478"/>
      <c r="VEC50" s="478"/>
      <c r="VED50" s="478"/>
      <c r="VEE50" s="478"/>
      <c r="VEF50" s="478"/>
      <c r="VEG50" s="478"/>
      <c r="VEH50" s="478"/>
      <c r="VEI50" s="478"/>
      <c r="VEJ50" s="478"/>
      <c r="VEK50" s="478"/>
      <c r="VEL50" s="478"/>
      <c r="VEM50" s="478"/>
      <c r="VEN50" s="478"/>
      <c r="VEO50" s="478"/>
      <c r="VEP50" s="478"/>
      <c r="VEQ50" s="478"/>
      <c r="VER50" s="478"/>
      <c r="VES50" s="478"/>
      <c r="VET50" s="478"/>
      <c r="VEU50" s="478"/>
      <c r="VEV50" s="478"/>
      <c r="VEW50" s="478"/>
      <c r="VEX50" s="478"/>
      <c r="VEY50" s="478"/>
      <c r="VEZ50" s="478"/>
      <c r="VFA50" s="478"/>
      <c r="VFB50" s="478"/>
      <c r="VFC50" s="478"/>
      <c r="VFD50" s="478"/>
      <c r="VFE50" s="478"/>
      <c r="VFF50" s="478"/>
      <c r="VFG50" s="478"/>
      <c r="VFH50" s="478"/>
      <c r="VFI50" s="478"/>
      <c r="VFJ50" s="478"/>
      <c r="VFK50" s="478"/>
      <c r="VFL50" s="478"/>
      <c r="VFM50" s="478"/>
      <c r="VFN50" s="478"/>
      <c r="VFO50" s="478"/>
      <c r="VFP50" s="478"/>
      <c r="VFQ50" s="478"/>
      <c r="VFR50" s="478"/>
      <c r="VFS50" s="478"/>
      <c r="VFT50" s="478"/>
      <c r="VFU50" s="478"/>
      <c r="VFV50" s="478"/>
      <c r="VFW50" s="478"/>
      <c r="VFX50" s="478"/>
      <c r="VFY50" s="478"/>
      <c r="VFZ50" s="478"/>
      <c r="VGA50" s="478"/>
      <c r="VGB50" s="478"/>
      <c r="VGC50" s="478"/>
      <c r="VGD50" s="478"/>
      <c r="VGE50" s="478"/>
      <c r="VGF50" s="478"/>
      <c r="VGG50" s="478"/>
      <c r="VGH50" s="478"/>
      <c r="VGI50" s="478"/>
      <c r="VGJ50" s="478"/>
      <c r="VGK50" s="478"/>
      <c r="VGL50" s="478"/>
      <c r="VGM50" s="478"/>
      <c r="VGN50" s="478"/>
      <c r="VGO50" s="478"/>
      <c r="VGP50" s="478"/>
      <c r="VGQ50" s="478"/>
      <c r="VGR50" s="478"/>
      <c r="VGS50" s="478"/>
      <c r="VGT50" s="478"/>
      <c r="VGU50" s="478"/>
      <c r="VGV50" s="478"/>
      <c r="VGW50" s="478"/>
      <c r="VGX50" s="478"/>
      <c r="VGY50" s="478"/>
      <c r="VGZ50" s="478"/>
      <c r="VHA50" s="478"/>
      <c r="VHB50" s="478"/>
      <c r="VHC50" s="478"/>
      <c r="VHD50" s="478"/>
      <c r="VHE50" s="478"/>
      <c r="VHF50" s="478"/>
      <c r="VHG50" s="478"/>
      <c r="VHH50" s="478"/>
      <c r="VHI50" s="478"/>
      <c r="VHJ50" s="478"/>
      <c r="VHK50" s="478"/>
      <c r="VHL50" s="478"/>
      <c r="VHM50" s="478"/>
      <c r="VHN50" s="478"/>
      <c r="VHO50" s="478"/>
      <c r="VHP50" s="478"/>
      <c r="VHQ50" s="478"/>
      <c r="VHR50" s="478"/>
      <c r="VHS50" s="478"/>
      <c r="VHT50" s="478"/>
      <c r="VHU50" s="478"/>
      <c r="VHV50" s="478"/>
      <c r="VHW50" s="478"/>
      <c r="VHX50" s="478"/>
      <c r="VHY50" s="478"/>
      <c r="VHZ50" s="478"/>
      <c r="VIA50" s="478"/>
      <c r="VIB50" s="478"/>
      <c r="VIC50" s="478"/>
      <c r="VID50" s="478"/>
      <c r="VIE50" s="478"/>
      <c r="VIF50" s="478"/>
      <c r="VIG50" s="478"/>
      <c r="VIH50" s="478"/>
      <c r="VII50" s="478"/>
      <c r="VIJ50" s="478"/>
      <c r="VIK50" s="478"/>
      <c r="VIL50" s="478"/>
      <c r="VIM50" s="478"/>
      <c r="VIN50" s="478"/>
      <c r="VIO50" s="478"/>
      <c r="VIP50" s="478"/>
      <c r="VIQ50" s="478"/>
      <c r="VIR50" s="478"/>
      <c r="VIS50" s="478"/>
      <c r="VIT50" s="478"/>
      <c r="VIU50" s="478"/>
      <c r="VIV50" s="478"/>
      <c r="VIW50" s="478"/>
      <c r="VIX50" s="478"/>
      <c r="VIY50" s="478"/>
      <c r="VIZ50" s="478"/>
      <c r="VJA50" s="478"/>
      <c r="VJB50" s="478"/>
      <c r="VJC50" s="478"/>
      <c r="VJD50" s="478"/>
      <c r="VJE50" s="478"/>
      <c r="VJF50" s="478"/>
      <c r="VJG50" s="478"/>
      <c r="VJH50" s="478"/>
      <c r="VJI50" s="478"/>
      <c r="VJJ50" s="478"/>
      <c r="VJK50" s="478"/>
      <c r="VJL50" s="478"/>
      <c r="VJM50" s="478"/>
      <c r="VJN50" s="478"/>
      <c r="VJO50" s="478"/>
      <c r="VJP50" s="478"/>
      <c r="VJQ50" s="478"/>
      <c r="VJR50" s="478"/>
      <c r="VJS50" s="478"/>
      <c r="VJT50" s="478"/>
      <c r="VJU50" s="478"/>
      <c r="VJV50" s="478"/>
      <c r="VJW50" s="478"/>
      <c r="VJX50" s="478"/>
      <c r="VJY50" s="478"/>
      <c r="VJZ50" s="478"/>
      <c r="VKA50" s="478"/>
      <c r="VKB50" s="478"/>
      <c r="VKC50" s="478"/>
      <c r="VKD50" s="478"/>
      <c r="VKE50" s="478"/>
      <c r="VKF50" s="478"/>
      <c r="VKG50" s="478"/>
      <c r="VKH50" s="478"/>
      <c r="VKI50" s="478"/>
      <c r="VKJ50" s="478"/>
      <c r="VKK50" s="478"/>
      <c r="VKL50" s="478"/>
      <c r="VKM50" s="478"/>
      <c r="VKN50" s="478"/>
      <c r="VKO50" s="478"/>
      <c r="VKP50" s="478"/>
      <c r="VKQ50" s="478"/>
      <c r="VKR50" s="478"/>
      <c r="VKS50" s="478"/>
      <c r="VKT50" s="478"/>
      <c r="VKU50" s="478"/>
      <c r="VKV50" s="478"/>
      <c r="VKW50" s="478"/>
      <c r="VKX50" s="478"/>
      <c r="VKY50" s="478"/>
      <c r="VKZ50" s="478"/>
      <c r="VLA50" s="478"/>
      <c r="VLB50" s="478"/>
      <c r="VLC50" s="478"/>
      <c r="VLD50" s="478"/>
      <c r="VLE50" s="478"/>
      <c r="VLF50" s="478"/>
      <c r="VLG50" s="478"/>
      <c r="VLH50" s="478"/>
      <c r="VLI50" s="478"/>
      <c r="VLJ50" s="478"/>
      <c r="VLK50" s="478"/>
      <c r="VLL50" s="478"/>
      <c r="VLM50" s="478"/>
      <c r="VLN50" s="478"/>
      <c r="VLO50" s="478"/>
      <c r="VLP50" s="478"/>
      <c r="VLQ50" s="478"/>
      <c r="VLR50" s="478"/>
      <c r="VLS50" s="478"/>
      <c r="VLT50" s="478"/>
      <c r="VLU50" s="478"/>
      <c r="VLV50" s="478"/>
      <c r="VLW50" s="478"/>
      <c r="VLX50" s="478"/>
      <c r="VLY50" s="478"/>
      <c r="VLZ50" s="478"/>
      <c r="VMA50" s="478"/>
      <c r="VMB50" s="478"/>
      <c r="VMC50" s="478"/>
      <c r="VMD50" s="478"/>
      <c r="VME50" s="478"/>
      <c r="VMF50" s="478"/>
      <c r="VMG50" s="478"/>
      <c r="VMH50" s="478"/>
      <c r="VMI50" s="478"/>
      <c r="VMJ50" s="478"/>
      <c r="VMK50" s="478"/>
      <c r="VML50" s="478"/>
      <c r="VMM50" s="478"/>
      <c r="VMN50" s="478"/>
      <c r="VMO50" s="478"/>
      <c r="VMP50" s="478"/>
      <c r="VMQ50" s="478"/>
      <c r="VMR50" s="478"/>
      <c r="VMS50" s="478"/>
      <c r="VMT50" s="478"/>
      <c r="VMU50" s="478"/>
      <c r="VMV50" s="478"/>
      <c r="VMW50" s="478"/>
      <c r="VMX50" s="478"/>
      <c r="VMY50" s="478"/>
      <c r="VMZ50" s="478"/>
      <c r="VNA50" s="478"/>
      <c r="VNB50" s="478"/>
      <c r="VNC50" s="478"/>
      <c r="VND50" s="478"/>
      <c r="VNE50" s="478"/>
      <c r="VNF50" s="478"/>
      <c r="VNG50" s="478"/>
      <c r="VNH50" s="478"/>
      <c r="VNI50" s="478"/>
      <c r="VNJ50" s="478"/>
      <c r="VNK50" s="478"/>
      <c r="VNL50" s="478"/>
      <c r="VNM50" s="478"/>
      <c r="VNN50" s="478"/>
      <c r="VNO50" s="478"/>
      <c r="VNP50" s="478"/>
      <c r="VNQ50" s="478"/>
      <c r="VNR50" s="478"/>
      <c r="VNS50" s="478"/>
      <c r="VNT50" s="478"/>
      <c r="VNU50" s="478"/>
      <c r="VNV50" s="478"/>
      <c r="VNW50" s="478"/>
      <c r="VNX50" s="478"/>
      <c r="VNY50" s="478"/>
      <c r="VNZ50" s="478"/>
      <c r="VOA50" s="478"/>
      <c r="VOB50" s="478"/>
      <c r="VOC50" s="478"/>
      <c r="VOD50" s="478"/>
      <c r="VOE50" s="478"/>
      <c r="VOF50" s="478"/>
      <c r="VOG50" s="478"/>
      <c r="VOH50" s="478"/>
      <c r="VOI50" s="478"/>
      <c r="VOJ50" s="478"/>
      <c r="VOK50" s="478"/>
      <c r="VOL50" s="478"/>
      <c r="VOM50" s="478"/>
      <c r="VON50" s="478"/>
      <c r="VOO50" s="478"/>
      <c r="VOP50" s="478"/>
      <c r="VOQ50" s="478"/>
      <c r="VOR50" s="478"/>
      <c r="VOS50" s="478"/>
      <c r="VOT50" s="478"/>
      <c r="VOU50" s="478"/>
      <c r="VOV50" s="478"/>
      <c r="VOW50" s="478"/>
      <c r="VOX50" s="478"/>
      <c r="VOY50" s="478"/>
      <c r="VOZ50" s="478"/>
      <c r="VPA50" s="478"/>
      <c r="VPB50" s="478"/>
      <c r="VPC50" s="478"/>
      <c r="VPD50" s="478"/>
      <c r="VPE50" s="478"/>
      <c r="VPF50" s="478"/>
      <c r="VPG50" s="478"/>
      <c r="VPH50" s="478"/>
      <c r="VPI50" s="478"/>
      <c r="VPJ50" s="478"/>
      <c r="VPK50" s="478"/>
      <c r="VPL50" s="478"/>
      <c r="VPM50" s="478"/>
      <c r="VPN50" s="478"/>
      <c r="VPO50" s="478"/>
      <c r="VPP50" s="478"/>
      <c r="VPQ50" s="478"/>
      <c r="VPR50" s="478"/>
      <c r="VPS50" s="478"/>
      <c r="VPT50" s="478"/>
      <c r="VPU50" s="478"/>
      <c r="VPV50" s="478"/>
      <c r="VPW50" s="478"/>
      <c r="VPX50" s="478"/>
      <c r="VPY50" s="478"/>
      <c r="VPZ50" s="478"/>
      <c r="VQA50" s="478"/>
      <c r="VQB50" s="478"/>
      <c r="VQC50" s="478"/>
      <c r="VQD50" s="478"/>
      <c r="VQE50" s="478"/>
      <c r="VQF50" s="478"/>
      <c r="VQG50" s="478"/>
      <c r="VQH50" s="478"/>
      <c r="VQI50" s="478"/>
      <c r="VQJ50" s="478"/>
      <c r="VQK50" s="478"/>
      <c r="VQL50" s="478"/>
      <c r="VQM50" s="478"/>
      <c r="VQN50" s="478"/>
      <c r="VQO50" s="478"/>
      <c r="VQP50" s="478"/>
      <c r="VQQ50" s="478"/>
      <c r="VQR50" s="478"/>
      <c r="VQS50" s="478"/>
      <c r="VQT50" s="478"/>
      <c r="VQU50" s="478"/>
      <c r="VQV50" s="478"/>
      <c r="VQW50" s="478"/>
      <c r="VQX50" s="478"/>
      <c r="VQY50" s="478"/>
      <c r="VQZ50" s="478"/>
      <c r="VRA50" s="478"/>
      <c r="VRB50" s="478"/>
      <c r="VRC50" s="478"/>
      <c r="VRD50" s="478"/>
      <c r="VRE50" s="478"/>
      <c r="VRF50" s="478"/>
      <c r="VRG50" s="478"/>
      <c r="VRH50" s="478"/>
      <c r="VRI50" s="478"/>
      <c r="VRJ50" s="478"/>
      <c r="VRK50" s="478"/>
      <c r="VRL50" s="478"/>
      <c r="VRM50" s="478"/>
      <c r="VRN50" s="478"/>
      <c r="VRO50" s="478"/>
      <c r="VRP50" s="478"/>
      <c r="VRQ50" s="478"/>
      <c r="VRR50" s="478"/>
      <c r="VRS50" s="478"/>
      <c r="VRT50" s="478"/>
      <c r="VRU50" s="478"/>
      <c r="VRV50" s="478"/>
      <c r="VRW50" s="478"/>
      <c r="VRX50" s="478"/>
      <c r="VRY50" s="478"/>
      <c r="VRZ50" s="478"/>
      <c r="VSA50" s="478"/>
      <c r="VSB50" s="478"/>
      <c r="VSC50" s="478"/>
      <c r="VSD50" s="478"/>
      <c r="VSE50" s="478"/>
      <c r="VSF50" s="478"/>
      <c r="VSG50" s="478"/>
      <c r="VSH50" s="478"/>
      <c r="VSI50" s="478"/>
      <c r="VSJ50" s="478"/>
      <c r="VSK50" s="478"/>
      <c r="VSL50" s="478"/>
      <c r="VSM50" s="478"/>
      <c r="VSN50" s="478"/>
      <c r="VSO50" s="478"/>
      <c r="VSP50" s="478"/>
      <c r="VSQ50" s="478"/>
      <c r="VSR50" s="478"/>
      <c r="VSS50" s="478"/>
      <c r="VST50" s="478"/>
      <c r="VSU50" s="478"/>
      <c r="VSV50" s="478"/>
      <c r="VSW50" s="478"/>
      <c r="VSX50" s="478"/>
      <c r="VSY50" s="478"/>
      <c r="VSZ50" s="478"/>
      <c r="VTA50" s="478"/>
      <c r="VTB50" s="478"/>
      <c r="VTC50" s="478"/>
      <c r="VTD50" s="478"/>
      <c r="VTE50" s="478"/>
      <c r="VTF50" s="478"/>
      <c r="VTG50" s="478"/>
      <c r="VTH50" s="478"/>
      <c r="VTI50" s="478"/>
      <c r="VTJ50" s="478"/>
      <c r="VTK50" s="478"/>
      <c r="VTL50" s="478"/>
      <c r="VTM50" s="478"/>
      <c r="VTN50" s="478"/>
      <c r="VTO50" s="478"/>
      <c r="VTP50" s="478"/>
      <c r="VTQ50" s="478"/>
      <c r="VTR50" s="478"/>
      <c r="VTS50" s="478"/>
      <c r="VTT50" s="478"/>
      <c r="VTU50" s="478"/>
      <c r="VTV50" s="478"/>
      <c r="VTW50" s="478"/>
      <c r="VTX50" s="478"/>
      <c r="VTY50" s="478"/>
      <c r="VTZ50" s="478"/>
      <c r="VUA50" s="478"/>
      <c r="VUB50" s="478"/>
      <c r="VUC50" s="478"/>
      <c r="VUD50" s="478"/>
      <c r="VUE50" s="478"/>
      <c r="VUF50" s="478"/>
      <c r="VUG50" s="478"/>
      <c r="VUH50" s="478"/>
      <c r="VUI50" s="478"/>
      <c r="VUJ50" s="478"/>
      <c r="VUK50" s="478"/>
      <c r="VUL50" s="478"/>
      <c r="VUM50" s="478"/>
      <c r="VUN50" s="478"/>
      <c r="VUO50" s="478"/>
      <c r="VUP50" s="478"/>
      <c r="VUQ50" s="478"/>
      <c r="VUR50" s="478"/>
      <c r="VUS50" s="478"/>
      <c r="VUT50" s="478"/>
      <c r="VUU50" s="478"/>
      <c r="VUV50" s="478"/>
      <c r="VUW50" s="478"/>
      <c r="VUX50" s="478"/>
      <c r="VUY50" s="478"/>
      <c r="VUZ50" s="478"/>
      <c r="VVA50" s="478"/>
      <c r="VVB50" s="478"/>
      <c r="VVC50" s="478"/>
      <c r="VVD50" s="478"/>
      <c r="VVE50" s="478"/>
      <c r="VVF50" s="478"/>
      <c r="VVG50" s="478"/>
      <c r="VVH50" s="478"/>
      <c r="VVI50" s="478"/>
      <c r="VVJ50" s="478"/>
      <c r="VVK50" s="478"/>
      <c r="VVL50" s="478"/>
      <c r="VVM50" s="478"/>
      <c r="VVN50" s="478"/>
      <c r="VVO50" s="478"/>
      <c r="VVP50" s="478"/>
      <c r="VVQ50" s="478"/>
      <c r="VVR50" s="478"/>
      <c r="VVS50" s="478"/>
      <c r="VVT50" s="478"/>
      <c r="VVU50" s="478"/>
      <c r="VVV50" s="478"/>
      <c r="VVW50" s="478"/>
      <c r="VVX50" s="478"/>
      <c r="VVY50" s="478"/>
      <c r="VVZ50" s="478"/>
      <c r="VWA50" s="478"/>
      <c r="VWB50" s="478"/>
      <c r="VWC50" s="478"/>
      <c r="VWD50" s="478"/>
      <c r="VWE50" s="478"/>
      <c r="VWF50" s="478"/>
      <c r="VWG50" s="478"/>
      <c r="VWH50" s="478"/>
      <c r="VWI50" s="478"/>
      <c r="VWJ50" s="478"/>
      <c r="VWK50" s="478"/>
      <c r="VWL50" s="478"/>
      <c r="VWM50" s="478"/>
      <c r="VWN50" s="478"/>
      <c r="VWO50" s="478"/>
      <c r="VWP50" s="478"/>
      <c r="VWQ50" s="478"/>
      <c r="VWR50" s="478"/>
      <c r="VWS50" s="478"/>
      <c r="VWT50" s="478"/>
      <c r="VWU50" s="478"/>
      <c r="VWV50" s="478"/>
      <c r="VWW50" s="478"/>
      <c r="VWX50" s="478"/>
      <c r="VWY50" s="478"/>
      <c r="VWZ50" s="478"/>
      <c r="VXA50" s="478"/>
      <c r="VXB50" s="478"/>
      <c r="VXC50" s="478"/>
      <c r="VXD50" s="478"/>
      <c r="VXE50" s="478"/>
      <c r="VXF50" s="478"/>
      <c r="VXG50" s="478"/>
      <c r="VXH50" s="478"/>
      <c r="VXI50" s="478"/>
      <c r="VXJ50" s="478"/>
      <c r="VXK50" s="478"/>
      <c r="VXL50" s="478"/>
      <c r="VXM50" s="478"/>
      <c r="VXN50" s="478"/>
      <c r="VXO50" s="478"/>
      <c r="VXP50" s="478"/>
      <c r="VXQ50" s="478"/>
      <c r="VXR50" s="478"/>
      <c r="VXS50" s="478"/>
      <c r="VXT50" s="478"/>
      <c r="VXU50" s="478"/>
      <c r="VXV50" s="478"/>
      <c r="VXW50" s="478"/>
      <c r="VXX50" s="478"/>
      <c r="VXY50" s="478"/>
      <c r="VXZ50" s="478"/>
      <c r="VYA50" s="478"/>
      <c r="VYB50" s="478"/>
      <c r="VYC50" s="478"/>
      <c r="VYD50" s="478"/>
      <c r="VYE50" s="478"/>
      <c r="VYF50" s="478"/>
      <c r="VYG50" s="478"/>
      <c r="VYH50" s="478"/>
      <c r="VYI50" s="478"/>
      <c r="VYJ50" s="478"/>
      <c r="VYK50" s="478"/>
      <c r="VYL50" s="478"/>
      <c r="VYM50" s="478"/>
      <c r="VYN50" s="478"/>
      <c r="VYO50" s="478"/>
      <c r="VYP50" s="478"/>
      <c r="VYQ50" s="478"/>
      <c r="VYR50" s="478"/>
      <c r="VYS50" s="478"/>
      <c r="VYT50" s="478"/>
      <c r="VYU50" s="478"/>
      <c r="VYV50" s="478"/>
      <c r="VYW50" s="478"/>
      <c r="VYX50" s="478"/>
      <c r="VYY50" s="478"/>
      <c r="VYZ50" s="478"/>
      <c r="VZA50" s="478"/>
      <c r="VZB50" s="478"/>
      <c r="VZC50" s="478"/>
      <c r="VZD50" s="478"/>
      <c r="VZE50" s="478"/>
      <c r="VZF50" s="478"/>
      <c r="VZG50" s="478"/>
      <c r="VZH50" s="478"/>
      <c r="VZI50" s="478"/>
      <c r="VZJ50" s="478"/>
      <c r="VZK50" s="478"/>
      <c r="VZL50" s="478"/>
      <c r="VZM50" s="478"/>
      <c r="VZN50" s="478"/>
      <c r="VZO50" s="478"/>
      <c r="VZP50" s="478"/>
      <c r="VZQ50" s="478"/>
      <c r="VZR50" s="478"/>
      <c r="VZS50" s="478"/>
      <c r="VZT50" s="478"/>
      <c r="VZU50" s="478"/>
      <c r="VZV50" s="478"/>
      <c r="VZW50" s="478"/>
      <c r="VZX50" s="478"/>
      <c r="VZY50" s="478"/>
      <c r="VZZ50" s="478"/>
      <c r="WAA50" s="478"/>
      <c r="WAB50" s="478"/>
      <c r="WAC50" s="478"/>
      <c r="WAD50" s="478"/>
      <c r="WAE50" s="478"/>
      <c r="WAF50" s="478"/>
      <c r="WAG50" s="478"/>
      <c r="WAH50" s="478"/>
      <c r="WAI50" s="478"/>
      <c r="WAJ50" s="478"/>
      <c r="WAK50" s="478"/>
      <c r="WAL50" s="478"/>
      <c r="WAM50" s="478"/>
      <c r="WAN50" s="478"/>
      <c r="WAO50" s="478"/>
      <c r="WAP50" s="478"/>
      <c r="WAQ50" s="478"/>
      <c r="WAR50" s="478"/>
      <c r="WAS50" s="478"/>
      <c r="WAT50" s="478"/>
      <c r="WAU50" s="478"/>
      <c r="WAV50" s="478"/>
      <c r="WAW50" s="478"/>
      <c r="WAX50" s="478"/>
      <c r="WAY50" s="478"/>
      <c r="WAZ50" s="478"/>
      <c r="WBA50" s="478"/>
      <c r="WBB50" s="478"/>
      <c r="WBC50" s="478"/>
      <c r="WBD50" s="478"/>
      <c r="WBE50" s="478"/>
      <c r="WBF50" s="478"/>
      <c r="WBG50" s="478"/>
      <c r="WBH50" s="478"/>
      <c r="WBI50" s="478"/>
      <c r="WBJ50" s="478"/>
      <c r="WBK50" s="478"/>
      <c r="WBL50" s="478"/>
      <c r="WBM50" s="478"/>
      <c r="WBN50" s="478"/>
      <c r="WBO50" s="478"/>
      <c r="WBP50" s="478"/>
      <c r="WBQ50" s="478"/>
      <c r="WBR50" s="478"/>
      <c r="WBS50" s="478"/>
      <c r="WBT50" s="478"/>
      <c r="WBU50" s="478"/>
      <c r="WBV50" s="478"/>
      <c r="WBW50" s="478"/>
      <c r="WBX50" s="478"/>
      <c r="WBY50" s="478"/>
      <c r="WBZ50" s="478"/>
      <c r="WCA50" s="478"/>
      <c r="WCB50" s="478"/>
      <c r="WCC50" s="478"/>
      <c r="WCD50" s="478"/>
      <c r="WCE50" s="478"/>
      <c r="WCF50" s="478"/>
      <c r="WCG50" s="478"/>
      <c r="WCH50" s="478"/>
      <c r="WCI50" s="478"/>
      <c r="WCJ50" s="478"/>
      <c r="WCK50" s="478"/>
      <c r="WCL50" s="478"/>
      <c r="WCM50" s="478"/>
      <c r="WCN50" s="478"/>
      <c r="WCO50" s="478"/>
      <c r="WCP50" s="478"/>
      <c r="WCQ50" s="478"/>
      <c r="WCR50" s="478"/>
      <c r="WCS50" s="478"/>
      <c r="WCT50" s="478"/>
      <c r="WCU50" s="478"/>
      <c r="WCV50" s="478"/>
      <c r="WCW50" s="478"/>
      <c r="WCX50" s="478"/>
      <c r="WCY50" s="478"/>
      <c r="WCZ50" s="478"/>
      <c r="WDA50" s="478"/>
      <c r="WDB50" s="478"/>
      <c r="WDC50" s="478"/>
      <c r="WDD50" s="478"/>
      <c r="WDE50" s="478"/>
      <c r="WDF50" s="478"/>
      <c r="WDG50" s="478"/>
      <c r="WDH50" s="478"/>
      <c r="WDI50" s="478"/>
      <c r="WDJ50" s="478"/>
      <c r="WDK50" s="478"/>
      <c r="WDL50" s="478"/>
      <c r="WDM50" s="478"/>
      <c r="WDN50" s="478"/>
      <c r="WDO50" s="478"/>
      <c r="WDP50" s="478"/>
      <c r="WDQ50" s="478"/>
      <c r="WDR50" s="478"/>
      <c r="WDS50" s="478"/>
      <c r="WDT50" s="478"/>
      <c r="WDU50" s="478"/>
      <c r="WDV50" s="478"/>
      <c r="WDW50" s="478"/>
      <c r="WDX50" s="478"/>
      <c r="WDY50" s="478"/>
      <c r="WDZ50" s="478"/>
      <c r="WEA50" s="478"/>
      <c r="WEB50" s="478"/>
      <c r="WEC50" s="478"/>
      <c r="WED50" s="478"/>
      <c r="WEE50" s="478"/>
      <c r="WEF50" s="478"/>
      <c r="WEG50" s="478"/>
      <c r="WEH50" s="478"/>
      <c r="WEI50" s="478"/>
      <c r="WEJ50" s="478"/>
      <c r="WEK50" s="478"/>
      <c r="WEL50" s="478"/>
      <c r="WEM50" s="478"/>
      <c r="WEN50" s="478"/>
      <c r="WEO50" s="478"/>
      <c r="WEP50" s="478"/>
      <c r="WEQ50" s="478"/>
      <c r="WER50" s="478"/>
      <c r="WES50" s="478"/>
      <c r="WET50" s="478"/>
      <c r="WEU50" s="478"/>
      <c r="WEV50" s="478"/>
      <c r="WEW50" s="478"/>
      <c r="WEX50" s="478"/>
      <c r="WEY50" s="478"/>
      <c r="WEZ50" s="478"/>
      <c r="WFA50" s="478"/>
      <c r="WFB50" s="478"/>
      <c r="WFC50" s="478"/>
      <c r="WFD50" s="478"/>
      <c r="WFE50" s="478"/>
      <c r="WFF50" s="478"/>
      <c r="WFG50" s="478"/>
      <c r="WFH50" s="478"/>
      <c r="WFI50" s="478"/>
      <c r="WFJ50" s="478"/>
      <c r="WFK50" s="478"/>
      <c r="WFL50" s="478"/>
      <c r="WFM50" s="478"/>
      <c r="WFN50" s="478"/>
      <c r="WFO50" s="478"/>
      <c r="WFP50" s="478"/>
      <c r="WFQ50" s="478"/>
      <c r="WFR50" s="478"/>
      <c r="WFS50" s="478"/>
      <c r="WFT50" s="478"/>
      <c r="WFU50" s="478"/>
      <c r="WFV50" s="478"/>
      <c r="WFW50" s="478"/>
      <c r="WFX50" s="478"/>
      <c r="WFY50" s="478"/>
      <c r="WFZ50" s="478"/>
      <c r="WGA50" s="478"/>
      <c r="WGB50" s="478"/>
      <c r="WGC50" s="478"/>
      <c r="WGD50" s="478"/>
      <c r="WGE50" s="478"/>
      <c r="WGF50" s="478"/>
      <c r="WGG50" s="478"/>
      <c r="WGH50" s="478"/>
      <c r="WGI50" s="478"/>
      <c r="WGJ50" s="478"/>
      <c r="WGK50" s="478"/>
      <c r="WGL50" s="478"/>
      <c r="WGM50" s="478"/>
      <c r="WGN50" s="478"/>
      <c r="WGO50" s="478"/>
      <c r="WGP50" s="478"/>
      <c r="WGQ50" s="478"/>
      <c r="WGR50" s="478"/>
      <c r="WGS50" s="478"/>
      <c r="WGT50" s="478"/>
      <c r="WGU50" s="478"/>
      <c r="WGV50" s="478"/>
      <c r="WGW50" s="478"/>
      <c r="WGX50" s="478"/>
      <c r="WGY50" s="478"/>
      <c r="WGZ50" s="478"/>
      <c r="WHA50" s="478"/>
      <c r="WHB50" s="478"/>
      <c r="WHC50" s="478"/>
      <c r="WHD50" s="478"/>
      <c r="WHE50" s="478"/>
      <c r="WHF50" s="478"/>
      <c r="WHG50" s="478"/>
      <c r="WHH50" s="478"/>
      <c r="WHI50" s="478"/>
      <c r="WHJ50" s="478"/>
      <c r="WHK50" s="478"/>
      <c r="WHL50" s="478"/>
      <c r="WHM50" s="478"/>
      <c r="WHN50" s="478"/>
      <c r="WHO50" s="478"/>
      <c r="WHP50" s="478"/>
      <c r="WHQ50" s="478"/>
      <c r="WHR50" s="478"/>
      <c r="WHS50" s="478"/>
      <c r="WHT50" s="478"/>
      <c r="WHU50" s="478"/>
      <c r="WHV50" s="478"/>
      <c r="WHW50" s="478"/>
      <c r="WHX50" s="478"/>
      <c r="WHY50" s="478"/>
      <c r="WHZ50" s="478"/>
      <c r="WIA50" s="478"/>
      <c r="WIB50" s="478"/>
      <c r="WIC50" s="478"/>
      <c r="WID50" s="478"/>
      <c r="WIE50" s="478"/>
      <c r="WIF50" s="478"/>
      <c r="WIG50" s="478"/>
      <c r="WIH50" s="478"/>
      <c r="WII50" s="478"/>
      <c r="WIJ50" s="478"/>
      <c r="WIK50" s="478"/>
      <c r="WIL50" s="478"/>
      <c r="WIM50" s="478"/>
      <c r="WIN50" s="478"/>
      <c r="WIO50" s="478"/>
      <c r="WIP50" s="478"/>
      <c r="WIQ50" s="478"/>
      <c r="WIR50" s="478"/>
      <c r="WIS50" s="478"/>
      <c r="WIT50" s="478"/>
      <c r="WIU50" s="478"/>
      <c r="WIV50" s="478"/>
      <c r="WIW50" s="478"/>
      <c r="WIX50" s="478"/>
      <c r="WIY50" s="478"/>
      <c r="WIZ50" s="478"/>
      <c r="WJA50" s="478"/>
      <c r="WJB50" s="478"/>
      <c r="WJC50" s="478"/>
      <c r="WJD50" s="478"/>
      <c r="WJE50" s="478"/>
      <c r="WJF50" s="478"/>
      <c r="WJG50" s="478"/>
      <c r="WJH50" s="478"/>
      <c r="WJI50" s="478"/>
      <c r="WJJ50" s="478"/>
      <c r="WJK50" s="478"/>
      <c r="WJL50" s="478"/>
      <c r="WJM50" s="478"/>
      <c r="WJN50" s="478"/>
      <c r="WJO50" s="478"/>
      <c r="WJP50" s="478"/>
      <c r="WJQ50" s="478"/>
      <c r="WJR50" s="478"/>
      <c r="WJS50" s="478"/>
      <c r="WJT50" s="478"/>
      <c r="WJU50" s="478"/>
      <c r="WJV50" s="478"/>
      <c r="WJW50" s="478"/>
      <c r="WJX50" s="478"/>
      <c r="WJY50" s="478"/>
      <c r="WJZ50" s="478"/>
      <c r="WKA50" s="478"/>
      <c r="WKB50" s="478"/>
      <c r="WKC50" s="478"/>
      <c r="WKD50" s="478"/>
      <c r="WKE50" s="478"/>
      <c r="WKF50" s="478"/>
      <c r="WKG50" s="478"/>
      <c r="WKH50" s="478"/>
      <c r="WKI50" s="478"/>
      <c r="WKJ50" s="478"/>
      <c r="WKK50" s="478"/>
      <c r="WKL50" s="478"/>
      <c r="WKM50" s="478"/>
      <c r="WKN50" s="478"/>
      <c r="WKO50" s="478"/>
      <c r="WKP50" s="478"/>
      <c r="WKQ50" s="478"/>
      <c r="WKR50" s="478"/>
      <c r="WKS50" s="478"/>
      <c r="WKT50" s="478"/>
      <c r="WKU50" s="478"/>
      <c r="WKV50" s="478"/>
      <c r="WKW50" s="478"/>
      <c r="WKX50" s="478"/>
      <c r="WKY50" s="478"/>
      <c r="WKZ50" s="478"/>
      <c r="WLA50" s="478"/>
      <c r="WLB50" s="478"/>
      <c r="WLC50" s="478"/>
      <c r="WLD50" s="478"/>
      <c r="WLE50" s="478"/>
      <c r="WLF50" s="478"/>
      <c r="WLG50" s="478"/>
      <c r="WLH50" s="478"/>
      <c r="WLI50" s="478"/>
      <c r="WLJ50" s="478"/>
      <c r="WLK50" s="478"/>
      <c r="WLL50" s="478"/>
      <c r="WLM50" s="478"/>
      <c r="WLN50" s="478"/>
      <c r="WLO50" s="478"/>
      <c r="WLP50" s="478"/>
      <c r="WLQ50" s="478"/>
      <c r="WLR50" s="478"/>
      <c r="WLS50" s="478"/>
      <c r="WLT50" s="478"/>
      <c r="WLU50" s="478"/>
      <c r="WLV50" s="478"/>
      <c r="WLW50" s="478"/>
      <c r="WLX50" s="478"/>
      <c r="WLY50" s="478"/>
      <c r="WLZ50" s="478"/>
      <c r="WMA50" s="478"/>
      <c r="WMB50" s="478"/>
      <c r="WMC50" s="478"/>
      <c r="WMD50" s="478"/>
      <c r="WME50" s="478"/>
      <c r="WMF50" s="478"/>
      <c r="WMG50" s="478"/>
      <c r="WMH50" s="478"/>
      <c r="WMI50" s="478"/>
      <c r="WMJ50" s="478"/>
      <c r="WMK50" s="478"/>
      <c r="WML50" s="478"/>
      <c r="WMM50" s="478"/>
      <c r="WMN50" s="478"/>
      <c r="WMO50" s="478"/>
      <c r="WMP50" s="478"/>
      <c r="WMQ50" s="478"/>
      <c r="WMR50" s="478"/>
      <c r="WMS50" s="478"/>
      <c r="WMT50" s="478"/>
      <c r="WMU50" s="478"/>
      <c r="WMV50" s="478"/>
      <c r="WMW50" s="478"/>
      <c r="WMX50" s="478"/>
      <c r="WMY50" s="478"/>
      <c r="WMZ50" s="478"/>
      <c r="WNA50" s="478"/>
      <c r="WNB50" s="478"/>
      <c r="WNC50" s="478"/>
      <c r="WND50" s="478"/>
      <c r="WNE50" s="478"/>
      <c r="WNF50" s="478"/>
      <c r="WNG50" s="478"/>
      <c r="WNH50" s="478"/>
      <c r="WNI50" s="478"/>
      <c r="WNJ50" s="478"/>
      <c r="WNK50" s="478"/>
      <c r="WNL50" s="478"/>
      <c r="WNM50" s="478"/>
      <c r="WNN50" s="478"/>
      <c r="WNO50" s="478"/>
      <c r="WNP50" s="478"/>
      <c r="WNQ50" s="478"/>
      <c r="WNR50" s="478"/>
      <c r="WNS50" s="478"/>
      <c r="WNT50" s="478"/>
      <c r="WNU50" s="478"/>
      <c r="WNV50" s="478"/>
      <c r="WNW50" s="478"/>
      <c r="WNX50" s="478"/>
      <c r="WNY50" s="478"/>
      <c r="WNZ50" s="478"/>
      <c r="WOA50" s="478"/>
      <c r="WOB50" s="478"/>
      <c r="WOC50" s="478"/>
      <c r="WOD50" s="478"/>
      <c r="WOE50" s="478"/>
      <c r="WOF50" s="478"/>
      <c r="WOG50" s="478"/>
      <c r="WOH50" s="478"/>
      <c r="WOI50" s="478"/>
      <c r="WOJ50" s="478"/>
      <c r="WOK50" s="478"/>
      <c r="WOL50" s="478"/>
      <c r="WOM50" s="478"/>
      <c r="WON50" s="478"/>
      <c r="WOO50" s="478"/>
      <c r="WOP50" s="478"/>
      <c r="WOQ50" s="478"/>
      <c r="WOR50" s="478"/>
      <c r="WOS50" s="478"/>
      <c r="WOT50" s="478"/>
      <c r="WOU50" s="478"/>
      <c r="WOV50" s="478"/>
      <c r="WOW50" s="478"/>
      <c r="WOX50" s="478"/>
      <c r="WOY50" s="478"/>
      <c r="WOZ50" s="478"/>
      <c r="WPA50" s="478"/>
      <c r="WPB50" s="478"/>
      <c r="WPC50" s="478"/>
      <c r="WPD50" s="478"/>
      <c r="WPE50" s="478"/>
      <c r="WPF50" s="478"/>
      <c r="WPG50" s="478"/>
      <c r="WPH50" s="478"/>
      <c r="WPI50" s="478"/>
      <c r="WPJ50" s="478"/>
      <c r="WPK50" s="478"/>
      <c r="WPL50" s="478"/>
      <c r="WPM50" s="478"/>
      <c r="WPN50" s="478"/>
      <c r="WPO50" s="478"/>
      <c r="WPP50" s="478"/>
      <c r="WPQ50" s="478"/>
      <c r="WPR50" s="478"/>
      <c r="WPS50" s="478"/>
      <c r="WPT50" s="478"/>
      <c r="WPU50" s="478"/>
      <c r="WPV50" s="478"/>
      <c r="WPW50" s="478"/>
      <c r="WPX50" s="478"/>
      <c r="WPY50" s="478"/>
      <c r="WPZ50" s="478"/>
      <c r="WQA50" s="478"/>
      <c r="WQB50" s="478"/>
      <c r="WQC50" s="478"/>
      <c r="WQD50" s="478"/>
      <c r="WQE50" s="478"/>
      <c r="WQF50" s="478"/>
      <c r="WQG50" s="478"/>
      <c r="WQH50" s="478"/>
      <c r="WQI50" s="478"/>
      <c r="WQJ50" s="478"/>
      <c r="WQK50" s="478"/>
      <c r="WQL50" s="478"/>
      <c r="WQM50" s="478"/>
      <c r="WQN50" s="478"/>
      <c r="WQO50" s="478"/>
      <c r="WQP50" s="478"/>
      <c r="WQQ50" s="478"/>
      <c r="WQR50" s="478"/>
      <c r="WQS50" s="478"/>
      <c r="WQT50" s="478"/>
      <c r="WQU50" s="478"/>
      <c r="WQV50" s="478"/>
      <c r="WQW50" s="478"/>
      <c r="WQX50" s="478"/>
      <c r="WQY50" s="478"/>
      <c r="WQZ50" s="478"/>
      <c r="WRA50" s="478"/>
      <c r="WRB50" s="478"/>
      <c r="WRC50" s="478"/>
      <c r="WRD50" s="478"/>
      <c r="WRE50" s="478"/>
      <c r="WRF50" s="478"/>
      <c r="WRG50" s="478"/>
      <c r="WRH50" s="478"/>
      <c r="WRI50" s="478"/>
      <c r="WRJ50" s="478"/>
      <c r="WRK50" s="478"/>
      <c r="WRL50" s="478"/>
      <c r="WRM50" s="478"/>
      <c r="WRN50" s="478"/>
      <c r="WRO50" s="478"/>
      <c r="WRP50" s="478"/>
      <c r="WRQ50" s="478"/>
      <c r="WRR50" s="478"/>
      <c r="WRS50" s="478"/>
      <c r="WRT50" s="478"/>
      <c r="WRU50" s="478"/>
      <c r="WRV50" s="478"/>
      <c r="WRW50" s="478"/>
      <c r="WRX50" s="478"/>
      <c r="WRY50" s="478"/>
      <c r="WRZ50" s="478"/>
      <c r="WSA50" s="478"/>
      <c r="WSB50" s="478"/>
      <c r="WSC50" s="478"/>
      <c r="WSD50" s="478"/>
      <c r="WSE50" s="478"/>
      <c r="WSF50" s="478"/>
      <c r="WSG50" s="478"/>
      <c r="WSH50" s="478"/>
      <c r="WSI50" s="478"/>
      <c r="WSJ50" s="478"/>
      <c r="WSK50" s="478"/>
      <c r="WSL50" s="478"/>
      <c r="WSM50" s="478"/>
      <c r="WSN50" s="478"/>
      <c r="WSO50" s="478"/>
      <c r="WSP50" s="478"/>
      <c r="WSQ50" s="478"/>
      <c r="WSR50" s="478"/>
      <c r="WSS50" s="478"/>
      <c r="WST50" s="478"/>
      <c r="WSU50" s="478"/>
      <c r="WSV50" s="478"/>
      <c r="WSW50" s="478"/>
      <c r="WSX50" s="478"/>
      <c r="WSY50" s="478"/>
      <c r="WSZ50" s="478"/>
      <c r="WTA50" s="478"/>
      <c r="WTB50" s="478"/>
      <c r="WTC50" s="478"/>
      <c r="WTD50" s="478"/>
      <c r="WTE50" s="478"/>
      <c r="WTF50" s="478"/>
      <c r="WTG50" s="478"/>
      <c r="WTH50" s="478"/>
      <c r="WTI50" s="478"/>
      <c r="WTJ50" s="478"/>
      <c r="WTK50" s="478"/>
      <c r="WTL50" s="478"/>
      <c r="WTM50" s="478"/>
      <c r="WTN50" s="478"/>
      <c r="WTO50" s="478"/>
      <c r="WTP50" s="478"/>
      <c r="WTQ50" s="478"/>
      <c r="WTR50" s="478"/>
      <c r="WTS50" s="478"/>
      <c r="WTT50" s="478"/>
      <c r="WTU50" s="478"/>
      <c r="WTV50" s="478"/>
      <c r="WTW50" s="478"/>
      <c r="WTX50" s="478"/>
      <c r="WTY50" s="478"/>
      <c r="WTZ50" s="478"/>
      <c r="WUA50" s="478"/>
      <c r="WUB50" s="478"/>
      <c r="WUC50" s="478"/>
      <c r="WUD50" s="478"/>
      <c r="WUE50" s="478"/>
      <c r="WUF50" s="478"/>
      <c r="WUG50" s="478"/>
      <c r="WUH50" s="478"/>
      <c r="WUI50" s="478"/>
      <c r="WUJ50" s="478"/>
      <c r="WUK50" s="478"/>
      <c r="WUL50" s="478"/>
      <c r="WUM50" s="478"/>
      <c r="WUN50" s="478"/>
      <c r="WUO50" s="478"/>
      <c r="WUP50" s="478"/>
      <c r="WUQ50" s="478"/>
      <c r="WUR50" s="478"/>
      <c r="WUS50" s="478"/>
      <c r="WUT50" s="478"/>
      <c r="WUU50" s="478"/>
      <c r="WUV50" s="478"/>
      <c r="WUW50" s="478"/>
      <c r="WUX50" s="478"/>
      <c r="WUY50" s="478"/>
      <c r="WUZ50" s="478"/>
      <c r="WVA50" s="478"/>
      <c r="WVB50" s="478"/>
      <c r="WVC50" s="478"/>
      <c r="WVD50" s="478"/>
      <c r="WVE50" s="478"/>
      <c r="WVF50" s="478"/>
      <c r="WVG50" s="478"/>
      <c r="WVH50" s="478"/>
      <c r="WVI50" s="478"/>
      <c r="WVJ50" s="478"/>
      <c r="WVK50" s="478"/>
      <c r="WVL50" s="478"/>
      <c r="WVM50" s="478"/>
      <c r="WVN50" s="478"/>
      <c r="WVO50" s="478"/>
      <c r="WVP50" s="478"/>
      <c r="WVQ50" s="478"/>
      <c r="WVR50" s="478"/>
      <c r="WVS50" s="478"/>
      <c r="WVT50" s="478"/>
      <c r="WVU50" s="478"/>
      <c r="WVV50" s="478"/>
      <c r="WVW50" s="478"/>
      <c r="WVX50" s="478"/>
      <c r="WVY50" s="478"/>
      <c r="WVZ50" s="478"/>
      <c r="WWA50" s="478"/>
      <c r="WWB50" s="478"/>
      <c r="WWC50" s="478"/>
      <c r="WWD50" s="478"/>
      <c r="WWE50" s="478"/>
      <c r="WWF50" s="478"/>
      <c r="WWG50" s="478"/>
      <c r="WWH50" s="478"/>
      <c r="WWI50" s="478"/>
      <c r="WWJ50" s="478"/>
      <c r="WWK50" s="478"/>
      <c r="WWL50" s="478"/>
      <c r="WWM50" s="478"/>
      <c r="WWN50" s="478"/>
      <c r="WWO50" s="478"/>
      <c r="WWP50" s="478"/>
      <c r="WWQ50" s="478"/>
      <c r="WWR50" s="478"/>
      <c r="WWS50" s="478"/>
      <c r="WWT50" s="478"/>
      <c r="WWU50" s="478"/>
      <c r="WWV50" s="478"/>
      <c r="WWW50" s="478"/>
      <c r="WWX50" s="478"/>
      <c r="WWY50" s="478"/>
      <c r="WWZ50" s="478"/>
      <c r="WXA50" s="478"/>
      <c r="WXB50" s="478"/>
      <c r="WXC50" s="478"/>
      <c r="WXD50" s="478"/>
      <c r="WXE50" s="478"/>
      <c r="WXF50" s="478"/>
      <c r="WXG50" s="478"/>
      <c r="WXH50" s="478"/>
      <c r="WXI50" s="478"/>
      <c r="WXJ50" s="478"/>
      <c r="WXK50" s="478"/>
      <c r="WXL50" s="478"/>
      <c r="WXM50" s="478"/>
      <c r="WXN50" s="478"/>
      <c r="WXO50" s="478"/>
      <c r="WXP50" s="478"/>
      <c r="WXQ50" s="478"/>
      <c r="WXR50" s="478"/>
      <c r="WXS50" s="478"/>
      <c r="WXT50" s="478"/>
      <c r="WXU50" s="478"/>
      <c r="WXV50" s="478"/>
      <c r="WXW50" s="478"/>
      <c r="WXX50" s="478"/>
      <c r="WXY50" s="478"/>
      <c r="WXZ50" s="478"/>
      <c r="WYA50" s="478"/>
      <c r="WYB50" s="478"/>
      <c r="WYC50" s="478"/>
      <c r="WYD50" s="478"/>
      <c r="WYE50" s="478"/>
      <c r="WYF50" s="478"/>
      <c r="WYG50" s="478"/>
      <c r="WYH50" s="478"/>
      <c r="WYI50" s="478"/>
      <c r="WYJ50" s="478"/>
      <c r="WYK50" s="478"/>
      <c r="WYL50" s="478"/>
      <c r="WYM50" s="478"/>
      <c r="WYN50" s="478"/>
      <c r="WYO50" s="478"/>
      <c r="WYP50" s="478"/>
      <c r="WYQ50" s="478"/>
      <c r="WYR50" s="478"/>
      <c r="WYS50" s="478"/>
      <c r="WYT50" s="478"/>
      <c r="WYU50" s="478"/>
      <c r="WYV50" s="478"/>
      <c r="WYW50" s="478"/>
      <c r="WYX50" s="478"/>
      <c r="WYY50" s="478"/>
      <c r="WYZ50" s="478"/>
      <c r="WZA50" s="478"/>
      <c r="WZB50" s="478"/>
      <c r="WZC50" s="478"/>
      <c r="WZD50" s="478"/>
      <c r="WZE50" s="478"/>
      <c r="WZF50" s="478"/>
      <c r="WZG50" s="478"/>
      <c r="WZH50" s="478"/>
      <c r="WZI50" s="478"/>
      <c r="WZJ50" s="478"/>
      <c r="WZK50" s="478"/>
      <c r="WZL50" s="478"/>
      <c r="WZM50" s="478"/>
      <c r="WZN50" s="478"/>
      <c r="WZO50" s="478"/>
      <c r="WZP50" s="478"/>
      <c r="WZQ50" s="478"/>
      <c r="WZR50" s="478"/>
      <c r="WZS50" s="478"/>
      <c r="WZT50" s="478"/>
      <c r="WZU50" s="478"/>
      <c r="WZV50" s="478"/>
      <c r="WZW50" s="478"/>
      <c r="WZX50" s="478"/>
      <c r="WZY50" s="478"/>
      <c r="WZZ50" s="478"/>
      <c r="XAA50" s="478"/>
      <c r="XAB50" s="478"/>
      <c r="XAC50" s="478"/>
      <c r="XAD50" s="478"/>
      <c r="XAE50" s="478"/>
      <c r="XAF50" s="478"/>
      <c r="XAG50" s="478"/>
      <c r="XAH50" s="478"/>
      <c r="XAI50" s="478"/>
      <c r="XAJ50" s="478"/>
      <c r="XAK50" s="478"/>
      <c r="XAL50" s="478"/>
      <c r="XAM50" s="478"/>
      <c r="XAN50" s="478"/>
      <c r="XAO50" s="478"/>
      <c r="XAP50" s="478"/>
      <c r="XAQ50" s="478"/>
      <c r="XAR50" s="478"/>
      <c r="XAS50" s="478"/>
      <c r="XAT50" s="478"/>
      <c r="XAU50" s="478"/>
      <c r="XAV50" s="478"/>
      <c r="XAW50" s="478"/>
      <c r="XAX50" s="478"/>
      <c r="XAY50" s="478"/>
      <c r="XAZ50" s="478"/>
      <c r="XBA50" s="478"/>
      <c r="XBB50" s="478"/>
      <c r="XBC50" s="478"/>
      <c r="XBD50" s="478"/>
      <c r="XBE50" s="478"/>
      <c r="XBF50" s="478"/>
      <c r="XBG50" s="478"/>
      <c r="XBH50" s="478"/>
      <c r="XBI50" s="478"/>
      <c r="XBJ50" s="478"/>
      <c r="XBK50" s="478"/>
      <c r="XBL50" s="478"/>
      <c r="XBM50" s="478"/>
      <c r="XBN50" s="478"/>
      <c r="XBO50" s="478"/>
      <c r="XBP50" s="478"/>
      <c r="XBQ50" s="478"/>
      <c r="XBR50" s="478"/>
      <c r="XBS50" s="478"/>
      <c r="XBT50" s="478"/>
      <c r="XBU50" s="478"/>
      <c r="XBV50" s="478"/>
      <c r="XBW50" s="478"/>
      <c r="XBX50" s="478"/>
      <c r="XBY50" s="478"/>
      <c r="XBZ50" s="478"/>
      <c r="XCA50" s="478"/>
      <c r="XCB50" s="478"/>
      <c r="XCC50" s="478"/>
      <c r="XCD50" s="478"/>
      <c r="XCE50" s="478"/>
      <c r="XCF50" s="478"/>
      <c r="XCG50" s="478"/>
      <c r="XCH50" s="478"/>
      <c r="XCI50" s="478"/>
      <c r="XCJ50" s="478"/>
      <c r="XCK50" s="478"/>
      <c r="XCL50" s="478"/>
      <c r="XCM50" s="478"/>
      <c r="XCN50" s="478"/>
      <c r="XCO50" s="478"/>
      <c r="XCP50" s="478"/>
      <c r="XCQ50" s="478"/>
      <c r="XCR50" s="478"/>
      <c r="XCS50" s="478"/>
      <c r="XCT50" s="478"/>
      <c r="XCU50" s="478"/>
      <c r="XCV50" s="478"/>
      <c r="XCW50" s="478"/>
      <c r="XCX50" s="478"/>
      <c r="XCY50" s="478"/>
      <c r="XCZ50" s="478"/>
      <c r="XDA50" s="478"/>
      <c r="XDB50" s="478"/>
      <c r="XDC50" s="478"/>
      <c r="XDD50" s="478"/>
      <c r="XDE50" s="478"/>
      <c r="XDF50" s="478"/>
      <c r="XDG50" s="478"/>
      <c r="XDH50" s="478"/>
      <c r="XDI50" s="478"/>
      <c r="XDJ50" s="478"/>
      <c r="XDK50" s="478"/>
      <c r="XDL50" s="478"/>
      <c r="XDM50" s="478"/>
      <c r="XDN50" s="478"/>
      <c r="XDO50" s="478"/>
      <c r="XDP50" s="478"/>
      <c r="XDQ50" s="478"/>
      <c r="XDR50" s="478"/>
      <c r="XDS50" s="478"/>
      <c r="XDT50" s="478"/>
      <c r="XDU50" s="478"/>
      <c r="XDV50" s="478"/>
      <c r="XDW50" s="478"/>
      <c r="XDX50" s="478"/>
      <c r="XDY50" s="478"/>
      <c r="XDZ50" s="478"/>
      <c r="XEA50" s="478"/>
      <c r="XEB50" s="478"/>
      <c r="XEC50" s="478"/>
      <c r="XED50" s="478"/>
      <c r="XEE50" s="478"/>
      <c r="XEF50" s="478"/>
      <c r="XEG50" s="478"/>
      <c r="XEH50" s="478"/>
      <c r="XEI50" s="478"/>
      <c r="XEJ50" s="478"/>
      <c r="XEK50" s="478"/>
      <c r="XEL50" s="478"/>
      <c r="XEM50" s="478"/>
      <c r="XEN50" s="478"/>
      <c r="XEO50" s="478"/>
      <c r="XEP50" s="478"/>
      <c r="XEQ50" s="478"/>
      <c r="XER50" s="478"/>
      <c r="XES50" s="478"/>
      <c r="XET50" s="478"/>
      <c r="XEU50" s="478"/>
      <c r="XEV50" s="478"/>
      <c r="XEW50" s="478"/>
      <c r="XEX50" s="478"/>
      <c r="XEY50" s="478"/>
      <c r="XEZ50" s="478"/>
      <c r="XFA50" s="478"/>
      <c r="XFB50" s="478"/>
      <c r="XFC50" s="478"/>
      <c r="XFD50" s="478"/>
    </row>
    <row r="51" customHeight="1" spans="1:16384">
      <c r="A51" s="388" t="str">
        <f t="shared" si="28"/>
        <v>ZU11-1</v>
      </c>
      <c r="B51" s="389">
        <f t="shared" si="4"/>
        <v>429.29</v>
      </c>
      <c r="C51" s="389">
        <f t="shared" si="5"/>
        <v>449.29</v>
      </c>
      <c r="D51" s="390">
        <f t="shared" si="6"/>
        <v>20</v>
      </c>
      <c r="E51" s="391">
        <f t="shared" si="7"/>
        <v>3.348</v>
      </c>
      <c r="F51" s="391">
        <f t="shared" si="8"/>
        <v>3.348</v>
      </c>
      <c r="G51" s="391">
        <f t="shared" si="9"/>
        <v>-4.252</v>
      </c>
      <c r="H51" s="391">
        <f t="shared" si="10"/>
        <v>-3.62343</v>
      </c>
      <c r="I51" s="391">
        <f t="shared" si="11"/>
        <v>7.6</v>
      </c>
      <c r="J51" s="383">
        <f t="shared" si="12"/>
        <v>6.97143</v>
      </c>
      <c r="K51" s="423">
        <f t="shared" si="13"/>
        <v>0.9</v>
      </c>
      <c r="L51" s="415">
        <f>LOOKUP(MAX(J51,I51),{0,3,4,5,6.5,7.5,9,10},{0.3,0.4,0.5,0.6,0.7,0.8,0.9})</f>
        <v>0.8</v>
      </c>
      <c r="M51" s="423">
        <f t="shared" si="14"/>
        <v>14.1</v>
      </c>
      <c r="N51" s="423">
        <f t="shared" si="15"/>
        <v>14.1</v>
      </c>
      <c r="O51" s="424">
        <f t="shared" si="16"/>
        <v>3.6258</v>
      </c>
      <c r="P51" s="425">
        <f t="shared" si="17"/>
        <v>3.09149</v>
      </c>
      <c r="Q51" s="425">
        <f t="shared" si="18"/>
        <v>1.75</v>
      </c>
      <c r="R51" s="390">
        <f t="shared" si="19"/>
        <v>1.75</v>
      </c>
      <c r="S51" s="462">
        <f t="shared" si="20"/>
        <v>0</v>
      </c>
      <c r="T51" s="463">
        <f t="shared" si="21"/>
        <v>2.99136</v>
      </c>
      <c r="U51" s="416">
        <f t="shared" si="22"/>
        <v>2.47832</v>
      </c>
      <c r="V51" s="424">
        <f t="shared" si="23"/>
        <v>0.45</v>
      </c>
      <c r="W51" s="463">
        <f t="shared" si="24"/>
        <v>0.45</v>
      </c>
      <c r="X51" s="464">
        <f t="shared" si="25"/>
        <v>0</v>
      </c>
      <c r="Y51" s="447">
        <f t="shared" si="26"/>
        <v>0</v>
      </c>
      <c r="Z51" s="447">
        <f t="shared" si="27"/>
        <v>0</v>
      </c>
      <c r="AB51" s="349"/>
      <c r="AC51" s="349"/>
      <c r="XFC51" s="342"/>
      <c r="XFD51" s="342"/>
    </row>
    <row r="52" customHeight="1" spans="1:16384">
      <c r="A52" s="388" t="str">
        <f t="shared" si="28"/>
        <v>ZU12-1</v>
      </c>
      <c r="B52" s="389">
        <f t="shared" si="4"/>
        <v>449.32</v>
      </c>
      <c r="C52" s="389">
        <f t="shared" si="5"/>
        <v>469.32</v>
      </c>
      <c r="D52" s="390">
        <f t="shared" si="6"/>
        <v>20</v>
      </c>
      <c r="E52" s="391">
        <f t="shared" si="7"/>
        <v>3.348</v>
      </c>
      <c r="F52" s="391">
        <f t="shared" si="8"/>
        <v>3.348</v>
      </c>
      <c r="G52" s="391">
        <f t="shared" si="9"/>
        <v>-3.62249</v>
      </c>
      <c r="H52" s="391">
        <f t="shared" si="10"/>
        <v>-2.99392</v>
      </c>
      <c r="I52" s="391">
        <f t="shared" si="11"/>
        <v>6.97049</v>
      </c>
      <c r="J52" s="383">
        <f t="shared" si="12"/>
        <v>6.34192</v>
      </c>
      <c r="K52" s="423">
        <f t="shared" si="13"/>
        <v>0.7</v>
      </c>
      <c r="L52" s="422">
        <v>0.6</v>
      </c>
      <c r="M52" s="423">
        <f t="shared" si="14"/>
        <v>13.7</v>
      </c>
      <c r="N52" s="423">
        <f t="shared" si="15"/>
        <v>13.7</v>
      </c>
      <c r="O52" s="424">
        <f t="shared" si="16"/>
        <v>3.09082</v>
      </c>
      <c r="P52" s="425">
        <f t="shared" si="17"/>
        <v>2.73963</v>
      </c>
      <c r="Q52" s="425">
        <f t="shared" si="18"/>
        <v>1.75</v>
      </c>
      <c r="R52" s="390">
        <f t="shared" si="19"/>
        <v>1.75</v>
      </c>
      <c r="S52" s="462">
        <f t="shared" si="20"/>
        <v>0</v>
      </c>
      <c r="T52" s="463">
        <f t="shared" si="21"/>
        <v>2.47771</v>
      </c>
      <c r="U52" s="416">
        <f t="shared" si="22"/>
        <v>2.17769</v>
      </c>
      <c r="V52" s="424">
        <f t="shared" si="23"/>
        <v>0.45</v>
      </c>
      <c r="W52" s="463">
        <f t="shared" si="24"/>
        <v>0.45</v>
      </c>
      <c r="X52" s="464">
        <f t="shared" si="25"/>
        <v>0</v>
      </c>
      <c r="Y52" s="447">
        <f t="shared" si="26"/>
        <v>0</v>
      </c>
      <c r="Z52" s="447">
        <f t="shared" si="27"/>
        <v>0</v>
      </c>
      <c r="AB52" s="349"/>
      <c r="AC52" s="349"/>
      <c r="XFC52" s="342"/>
      <c r="XFD52" s="342"/>
    </row>
    <row r="53" customHeight="1" spans="1:16384">
      <c r="A53" s="388" t="str">
        <f t="shared" si="28"/>
        <v>ZU13-1</v>
      </c>
      <c r="B53" s="389">
        <f t="shared" si="4"/>
        <v>469.35</v>
      </c>
      <c r="C53" s="389">
        <f t="shared" si="5"/>
        <v>489.35</v>
      </c>
      <c r="D53" s="390">
        <f t="shared" si="6"/>
        <v>20</v>
      </c>
      <c r="E53" s="391">
        <f t="shared" si="7"/>
        <v>3.348</v>
      </c>
      <c r="F53" s="391">
        <f t="shared" si="8"/>
        <v>3.348</v>
      </c>
      <c r="G53" s="391">
        <f t="shared" si="9"/>
        <v>-2.99298</v>
      </c>
      <c r="H53" s="391">
        <f t="shared" si="10"/>
        <v>-2.36441</v>
      </c>
      <c r="I53" s="391">
        <f t="shared" si="11"/>
        <v>6.34098</v>
      </c>
      <c r="J53" s="383">
        <f t="shared" si="12"/>
        <v>5.71241</v>
      </c>
      <c r="K53" s="423">
        <f t="shared" si="13"/>
        <v>0.7</v>
      </c>
      <c r="L53" s="415">
        <f>LOOKUP(MAX(J53,I53),{0,3,4,5,6.5,7.5,9,10},{0.3,0.4,0.5,0.6,0.7,0.8,0.9})</f>
        <v>0.6</v>
      </c>
      <c r="M53" s="423">
        <f t="shared" si="14"/>
        <v>13.7</v>
      </c>
      <c r="N53" s="423">
        <f t="shared" si="15"/>
        <v>13.7</v>
      </c>
      <c r="O53" s="424">
        <f t="shared" si="16"/>
        <v>2.73925</v>
      </c>
      <c r="P53" s="425">
        <f t="shared" si="17"/>
        <v>2.57327</v>
      </c>
      <c r="Q53" s="425">
        <f t="shared" si="18"/>
        <v>1.75</v>
      </c>
      <c r="R53" s="390">
        <f t="shared" si="19"/>
        <v>1.75</v>
      </c>
      <c r="S53" s="462">
        <f t="shared" si="20"/>
        <v>0</v>
      </c>
      <c r="T53" s="463">
        <f t="shared" si="21"/>
        <v>2.17741</v>
      </c>
      <c r="U53" s="416">
        <f t="shared" si="22"/>
        <v>2.09995</v>
      </c>
      <c r="V53" s="424">
        <f t="shared" si="23"/>
        <v>0.45</v>
      </c>
      <c r="W53" s="463">
        <f t="shared" si="24"/>
        <v>0.45</v>
      </c>
      <c r="X53" s="464">
        <f t="shared" si="25"/>
        <v>0</v>
      </c>
      <c r="Y53" s="447">
        <f t="shared" si="26"/>
        <v>0</v>
      </c>
      <c r="Z53" s="447">
        <f t="shared" si="27"/>
        <v>0</v>
      </c>
      <c r="AB53" s="349"/>
      <c r="AC53" s="349"/>
      <c r="XFC53" s="342"/>
      <c r="XFD53" s="342"/>
    </row>
    <row r="54" customHeight="1" spans="1:16384">
      <c r="A54" s="388" t="str">
        <f t="shared" si="28"/>
        <v>ZU14-1</v>
      </c>
      <c r="B54" s="389">
        <f t="shared" si="4"/>
        <v>489.38</v>
      </c>
      <c r="C54" s="389">
        <f t="shared" si="5"/>
        <v>509.38</v>
      </c>
      <c r="D54" s="390">
        <f t="shared" si="6"/>
        <v>20</v>
      </c>
      <c r="E54" s="391">
        <f t="shared" si="7"/>
        <v>3.348</v>
      </c>
      <c r="F54" s="391">
        <f t="shared" si="8"/>
        <v>3.348</v>
      </c>
      <c r="G54" s="391">
        <f t="shared" si="9"/>
        <v>-2.36347</v>
      </c>
      <c r="H54" s="391">
        <f t="shared" si="10"/>
        <v>-1.80614</v>
      </c>
      <c r="I54" s="391">
        <f t="shared" si="11"/>
        <v>5.71147</v>
      </c>
      <c r="J54" s="383">
        <f t="shared" si="12"/>
        <v>5.15414</v>
      </c>
      <c r="K54" s="423">
        <f t="shared" si="13"/>
        <v>0.7</v>
      </c>
      <c r="L54" s="415">
        <f>LOOKUP(MAX(J54,I54),{0,3,4,5,6.5,7.5,9,10},{0.3,0.4,0.5,0.6,0.7,0.8,0.9})</f>
        <v>0.6</v>
      </c>
      <c r="M54" s="423">
        <f t="shared" si="14"/>
        <v>13.7</v>
      </c>
      <c r="N54" s="423">
        <f t="shared" si="15"/>
        <v>13.7</v>
      </c>
      <c r="O54" s="424">
        <f t="shared" si="16"/>
        <v>2.57308</v>
      </c>
      <c r="P54" s="425">
        <f t="shared" si="17"/>
        <v>2.51575</v>
      </c>
      <c r="Q54" s="425">
        <f t="shared" si="18"/>
        <v>1.75</v>
      </c>
      <c r="R54" s="390">
        <f t="shared" si="19"/>
        <v>1.75</v>
      </c>
      <c r="S54" s="462">
        <f t="shared" si="20"/>
        <v>0</v>
      </c>
      <c r="T54" s="463">
        <f t="shared" si="21"/>
        <v>2.1</v>
      </c>
      <c r="U54" s="416">
        <f t="shared" si="22"/>
        <v>2.29612</v>
      </c>
      <c r="V54" s="424">
        <f t="shared" si="23"/>
        <v>0.45</v>
      </c>
      <c r="W54" s="463">
        <f t="shared" si="24"/>
        <v>0.45</v>
      </c>
      <c r="X54" s="464">
        <f t="shared" si="25"/>
        <v>0</v>
      </c>
      <c r="Y54" s="447">
        <f t="shared" si="26"/>
        <v>0</v>
      </c>
      <c r="Z54" s="447">
        <f t="shared" si="27"/>
        <v>0</v>
      </c>
      <c r="AB54" s="349"/>
      <c r="AC54" s="349"/>
      <c r="XFC54" s="342"/>
      <c r="XFD54" s="342"/>
    </row>
    <row r="55" customHeight="1" spans="1:16384">
      <c r="A55" s="388" t="str">
        <f t="shared" si="28"/>
        <v>ZU15-1</v>
      </c>
      <c r="B55" s="389">
        <f t="shared" si="4"/>
        <v>509.41</v>
      </c>
      <c r="C55" s="389">
        <f t="shared" si="5"/>
        <v>529.41</v>
      </c>
      <c r="D55" s="390">
        <f t="shared" si="6"/>
        <v>19.9999999999999</v>
      </c>
      <c r="E55" s="391">
        <f t="shared" si="7"/>
        <v>3.348</v>
      </c>
      <c r="F55" s="391">
        <f t="shared" si="8"/>
        <v>3.348</v>
      </c>
      <c r="G55" s="391">
        <f t="shared" si="9"/>
        <v>-1.8053</v>
      </c>
      <c r="H55" s="391">
        <f t="shared" si="10"/>
        <v>-1.24798</v>
      </c>
      <c r="I55" s="391">
        <f t="shared" si="11"/>
        <v>5.1533</v>
      </c>
      <c r="J55" s="383">
        <f t="shared" si="12"/>
        <v>4.59598</v>
      </c>
      <c r="K55" s="423">
        <f t="shared" si="13"/>
        <v>0.7</v>
      </c>
      <c r="L55" s="415">
        <f>LOOKUP(MAX(J55,I55),{0,3,4,5,6.5,7.5,9,10},{0.3,0.4,0.5,0.6,0.7,0.8,0.9})</f>
        <v>0.6</v>
      </c>
      <c r="M55" s="423">
        <f t="shared" si="14"/>
        <v>13.7</v>
      </c>
      <c r="N55" s="423">
        <f t="shared" si="15"/>
        <v>13.7</v>
      </c>
      <c r="O55" s="424">
        <f t="shared" si="16"/>
        <v>2.51566</v>
      </c>
      <c r="P55" s="425">
        <f t="shared" si="17"/>
        <v>2.45834</v>
      </c>
      <c r="Q55" s="425">
        <f t="shared" si="18"/>
        <v>1.75</v>
      </c>
      <c r="R55" s="390">
        <f t="shared" si="19"/>
        <v>1.75</v>
      </c>
      <c r="S55" s="462">
        <f t="shared" si="20"/>
        <v>0</v>
      </c>
      <c r="T55" s="463">
        <f t="shared" si="21"/>
        <v>2.29647</v>
      </c>
      <c r="U55" s="416">
        <f t="shared" si="22"/>
        <v>2.52915</v>
      </c>
      <c r="V55" s="424">
        <f t="shared" si="23"/>
        <v>0.45</v>
      </c>
      <c r="W55" s="463">
        <f t="shared" si="24"/>
        <v>0.45</v>
      </c>
      <c r="X55" s="464">
        <f t="shared" si="25"/>
        <v>0</v>
      </c>
      <c r="Y55" s="447">
        <f t="shared" si="26"/>
        <v>0</v>
      </c>
      <c r="Z55" s="447">
        <f t="shared" si="27"/>
        <v>0</v>
      </c>
      <c r="AB55" s="349"/>
      <c r="AC55" s="349"/>
      <c r="XFC55" s="342"/>
      <c r="XFD55" s="342"/>
    </row>
    <row r="56" customHeight="1" spans="1:16384">
      <c r="A56" s="388" t="str">
        <f t="shared" si="28"/>
        <v>ZU16-1</v>
      </c>
      <c r="B56" s="389">
        <f t="shared" si="4"/>
        <v>529.44</v>
      </c>
      <c r="C56" s="389">
        <f t="shared" si="5"/>
        <v>549.44</v>
      </c>
      <c r="D56" s="390">
        <f t="shared" si="6"/>
        <v>20</v>
      </c>
      <c r="E56" s="391">
        <f t="shared" si="7"/>
        <v>3.348</v>
      </c>
      <c r="F56" s="391">
        <f t="shared" si="8"/>
        <v>3.348</v>
      </c>
      <c r="G56" s="391">
        <f t="shared" si="9"/>
        <v>-1.24714</v>
      </c>
      <c r="H56" s="391">
        <f t="shared" si="10"/>
        <v>-0.68981</v>
      </c>
      <c r="I56" s="391">
        <f t="shared" si="11"/>
        <v>4.59514</v>
      </c>
      <c r="J56" s="383">
        <f t="shared" si="12"/>
        <v>4.03781</v>
      </c>
      <c r="K56" s="423">
        <f t="shared" si="13"/>
        <v>0.6</v>
      </c>
      <c r="L56" s="415">
        <f>LOOKUP(MAX(J56,I56),{0,3,4,5,6.5,7.5,9,10},{0.3,0.4,0.5,0.6,0.7,0.8,0.9})</f>
        <v>0.5</v>
      </c>
      <c r="M56" s="423">
        <f t="shared" si="14"/>
        <v>13.5</v>
      </c>
      <c r="N56" s="423">
        <f t="shared" si="15"/>
        <v>13.5</v>
      </c>
      <c r="O56" s="424">
        <f t="shared" si="16"/>
        <v>2.45825</v>
      </c>
      <c r="P56" s="425">
        <f t="shared" si="17"/>
        <v>2.40092</v>
      </c>
      <c r="Q56" s="425">
        <f t="shared" si="18"/>
        <v>1.75</v>
      </c>
      <c r="R56" s="390">
        <f t="shared" si="19"/>
        <v>1.75</v>
      </c>
      <c r="S56" s="462">
        <f t="shared" si="20"/>
        <v>0</v>
      </c>
      <c r="T56" s="463">
        <f t="shared" si="21"/>
        <v>2.52949</v>
      </c>
      <c r="U56" s="416">
        <f t="shared" si="22"/>
        <v>2.76216</v>
      </c>
      <c r="V56" s="424">
        <f t="shared" si="23"/>
        <v>0.45</v>
      </c>
      <c r="W56" s="463">
        <f t="shared" si="24"/>
        <v>0.45</v>
      </c>
      <c r="X56" s="464">
        <f t="shared" si="25"/>
        <v>0</v>
      </c>
      <c r="Y56" s="447">
        <f t="shared" si="26"/>
        <v>0</v>
      </c>
      <c r="Z56" s="447">
        <f t="shared" si="27"/>
        <v>0</v>
      </c>
      <c r="AB56" s="349"/>
      <c r="AC56" s="349"/>
      <c r="XFC56" s="342"/>
      <c r="XFD56" s="342"/>
    </row>
    <row r="57" s="347" customFormat="1" customHeight="1" spans="1:16384">
      <c r="A57" s="384" t="str">
        <f t="shared" si="28"/>
        <v>ZU17-1</v>
      </c>
      <c r="B57" s="385">
        <f t="shared" si="4"/>
        <v>549.47</v>
      </c>
      <c r="C57" s="385">
        <f t="shared" si="5"/>
        <v>569.47</v>
      </c>
      <c r="D57" s="386">
        <f t="shared" si="6"/>
        <v>20</v>
      </c>
      <c r="E57" s="387">
        <f t="shared" si="7"/>
        <v>3.348</v>
      </c>
      <c r="F57" s="387">
        <f t="shared" si="8"/>
        <v>3.348</v>
      </c>
      <c r="G57" s="387">
        <f t="shared" si="9"/>
        <v>-0.68898</v>
      </c>
      <c r="H57" s="387">
        <f t="shared" si="10"/>
        <v>-0.13165</v>
      </c>
      <c r="I57" s="387">
        <f t="shared" si="11"/>
        <v>4.03698</v>
      </c>
      <c r="J57" s="387">
        <f t="shared" si="12"/>
        <v>3.47965</v>
      </c>
      <c r="K57" s="419">
        <f t="shared" si="13"/>
        <v>0.6</v>
      </c>
      <c r="L57" s="419">
        <f>LOOKUP(MAX(J57,I57),{0,3,4,5,6.5,7.5,9,10},{0.3,0.4,0.5,0.6,0.7,0.8,0.9})</f>
        <v>0.5</v>
      </c>
      <c r="M57" s="419">
        <f t="shared" si="14"/>
        <v>13.5</v>
      </c>
      <c r="N57" s="419">
        <f t="shared" si="15"/>
        <v>13.5</v>
      </c>
      <c r="O57" s="420">
        <f t="shared" si="16"/>
        <v>2.40084</v>
      </c>
      <c r="P57" s="421">
        <f t="shared" si="17"/>
        <v>2.34351</v>
      </c>
      <c r="Q57" s="421">
        <f t="shared" si="18"/>
        <v>1.75</v>
      </c>
      <c r="R57" s="386">
        <f t="shared" si="19"/>
        <v>1.75</v>
      </c>
      <c r="S57" s="459">
        <f t="shared" si="20"/>
        <v>0</v>
      </c>
      <c r="T57" s="460">
        <f t="shared" si="21"/>
        <v>2.76252</v>
      </c>
      <c r="U57" s="420">
        <f t="shared" si="22"/>
        <v>2.99298</v>
      </c>
      <c r="V57" s="420">
        <f t="shared" si="23"/>
        <v>0.45</v>
      </c>
      <c r="W57" s="460">
        <f t="shared" si="24"/>
        <v>0.45</v>
      </c>
      <c r="X57" s="461">
        <f t="shared" si="25"/>
        <v>0</v>
      </c>
      <c r="Y57" s="480">
        <f t="shared" si="26"/>
        <v>0</v>
      </c>
      <c r="Z57" s="480">
        <f t="shared" si="27"/>
        <v>0</v>
      </c>
      <c r="AA57" s="481"/>
      <c r="AB57" s="482"/>
      <c r="AC57" s="482"/>
      <c r="AD57" s="481"/>
      <c r="AE57" s="481"/>
      <c r="AF57" s="481"/>
      <c r="AG57" s="481"/>
      <c r="AH57" s="481"/>
      <c r="AI57" s="481"/>
      <c r="AJ57" s="481"/>
      <c r="AK57" s="481"/>
      <c r="AL57" s="481"/>
      <c r="AM57" s="481"/>
      <c r="AN57" s="481"/>
      <c r="AO57" s="481"/>
      <c r="AP57" s="481"/>
      <c r="AQ57" s="481"/>
      <c r="AR57" s="481"/>
      <c r="AS57" s="481"/>
      <c r="AT57" s="481"/>
      <c r="AU57" s="481"/>
      <c r="AV57" s="481"/>
      <c r="AW57" s="481"/>
      <c r="AX57" s="481"/>
      <c r="AY57" s="481"/>
      <c r="AZ57" s="481"/>
      <c r="BA57" s="481"/>
      <c r="BB57" s="481"/>
      <c r="BC57" s="481"/>
      <c r="BD57" s="481"/>
      <c r="BE57" s="481"/>
      <c r="BF57" s="481"/>
      <c r="BG57" s="481"/>
      <c r="BH57" s="481"/>
      <c r="BI57" s="481"/>
      <c r="BJ57" s="481"/>
      <c r="BK57" s="481"/>
      <c r="BL57" s="481"/>
      <c r="BM57" s="481"/>
      <c r="BN57" s="481"/>
      <c r="BO57" s="481"/>
      <c r="BP57" s="481"/>
      <c r="BQ57" s="481"/>
      <c r="BR57" s="481"/>
      <c r="BS57" s="481"/>
      <c r="BT57" s="481"/>
      <c r="BU57" s="481"/>
      <c r="BV57" s="481"/>
      <c r="BW57" s="481"/>
      <c r="BX57" s="481"/>
      <c r="BY57" s="481"/>
      <c r="BZ57" s="481"/>
      <c r="CA57" s="481"/>
      <c r="CB57" s="481"/>
      <c r="CC57" s="481"/>
      <c r="CD57" s="481"/>
      <c r="CE57" s="481"/>
      <c r="CF57" s="481"/>
      <c r="CG57" s="481"/>
      <c r="CH57" s="481"/>
      <c r="CI57" s="481"/>
      <c r="CJ57" s="481"/>
      <c r="CK57" s="481"/>
      <c r="CL57" s="481"/>
      <c r="CM57" s="481"/>
      <c r="CN57" s="481"/>
      <c r="CO57" s="481"/>
      <c r="CP57" s="481"/>
      <c r="CQ57" s="481"/>
      <c r="CR57" s="481"/>
      <c r="CS57" s="481"/>
      <c r="CT57" s="481"/>
      <c r="CU57" s="481"/>
      <c r="CV57" s="481"/>
      <c r="CW57" s="481"/>
      <c r="CX57" s="481"/>
      <c r="CY57" s="481"/>
      <c r="CZ57" s="481"/>
      <c r="DA57" s="481"/>
      <c r="DB57" s="481"/>
      <c r="DC57" s="481"/>
      <c r="DD57" s="481"/>
      <c r="DE57" s="481"/>
      <c r="DF57" s="481"/>
      <c r="DG57" s="481"/>
      <c r="DH57" s="481"/>
      <c r="DI57" s="481"/>
      <c r="DJ57" s="481"/>
      <c r="DK57" s="481"/>
      <c r="DL57" s="481"/>
      <c r="DM57" s="481"/>
      <c r="DN57" s="481"/>
      <c r="DO57" s="481"/>
      <c r="DP57" s="481"/>
      <c r="DQ57" s="481"/>
      <c r="DR57" s="481"/>
      <c r="DS57" s="481"/>
      <c r="DT57" s="481"/>
      <c r="DU57" s="481"/>
      <c r="DV57" s="481"/>
      <c r="DW57" s="481"/>
      <c r="DX57" s="481"/>
      <c r="DY57" s="481"/>
      <c r="DZ57" s="481"/>
      <c r="EA57" s="481"/>
      <c r="EB57" s="481"/>
      <c r="EC57" s="481"/>
      <c r="ED57" s="481"/>
      <c r="EE57" s="481"/>
      <c r="EF57" s="481"/>
      <c r="EG57" s="481"/>
      <c r="EH57" s="481"/>
      <c r="EI57" s="481"/>
      <c r="EJ57" s="481"/>
      <c r="EK57" s="481"/>
      <c r="EL57" s="481"/>
      <c r="EM57" s="481"/>
      <c r="EN57" s="481"/>
      <c r="EO57" s="481"/>
      <c r="EP57" s="481"/>
      <c r="EQ57" s="481"/>
      <c r="ER57" s="481"/>
      <c r="ES57" s="481"/>
      <c r="ET57" s="481"/>
      <c r="EU57" s="481"/>
      <c r="EV57" s="481"/>
      <c r="EW57" s="481"/>
      <c r="EX57" s="481"/>
      <c r="EY57" s="481"/>
      <c r="EZ57" s="481"/>
      <c r="FA57" s="481"/>
      <c r="FB57" s="481"/>
      <c r="FC57" s="481"/>
      <c r="FD57" s="481"/>
      <c r="FE57" s="481"/>
      <c r="FF57" s="481"/>
      <c r="FG57" s="481"/>
      <c r="FH57" s="481"/>
      <c r="FI57" s="481"/>
      <c r="FJ57" s="481"/>
      <c r="FK57" s="481"/>
      <c r="FL57" s="481"/>
      <c r="FM57" s="481"/>
      <c r="FN57" s="481"/>
      <c r="FO57" s="481"/>
      <c r="FP57" s="481"/>
      <c r="FQ57" s="481"/>
      <c r="FR57" s="481"/>
      <c r="FS57" s="481"/>
      <c r="FT57" s="481"/>
      <c r="FU57" s="481"/>
      <c r="FV57" s="481"/>
      <c r="FW57" s="481"/>
      <c r="FX57" s="481"/>
      <c r="FY57" s="481"/>
      <c r="FZ57" s="481"/>
      <c r="GA57" s="481"/>
      <c r="GB57" s="481"/>
      <c r="GC57" s="481"/>
      <c r="GD57" s="481"/>
      <c r="GE57" s="481"/>
      <c r="GF57" s="481"/>
      <c r="GG57" s="481"/>
      <c r="GH57" s="481"/>
      <c r="GI57" s="481"/>
      <c r="GJ57" s="481"/>
      <c r="GK57" s="481"/>
      <c r="GL57" s="481"/>
      <c r="GM57" s="481"/>
      <c r="GN57" s="481"/>
      <c r="GO57" s="481"/>
      <c r="GP57" s="481"/>
      <c r="GQ57" s="481"/>
      <c r="GR57" s="481"/>
      <c r="GS57" s="481"/>
      <c r="GT57" s="481"/>
      <c r="GU57" s="481"/>
      <c r="GV57" s="481"/>
      <c r="GW57" s="481"/>
      <c r="GX57" s="481"/>
      <c r="GY57" s="481"/>
      <c r="GZ57" s="481"/>
      <c r="HA57" s="481"/>
      <c r="HB57" s="481"/>
      <c r="HC57" s="481"/>
      <c r="HD57" s="481"/>
      <c r="HE57" s="481"/>
      <c r="HF57" s="481"/>
      <c r="HG57" s="481"/>
      <c r="HH57" s="481"/>
      <c r="HI57" s="481"/>
      <c r="HJ57" s="481"/>
      <c r="HK57" s="481"/>
      <c r="HL57" s="481"/>
      <c r="HM57" s="481"/>
      <c r="HN57" s="481"/>
      <c r="HO57" s="481"/>
      <c r="HP57" s="481"/>
      <c r="HQ57" s="481"/>
      <c r="HR57" s="481"/>
      <c r="HS57" s="481"/>
      <c r="HT57" s="481"/>
      <c r="HU57" s="481"/>
      <c r="HV57" s="481"/>
      <c r="HW57" s="481"/>
      <c r="HX57" s="481"/>
      <c r="HY57" s="481"/>
      <c r="HZ57" s="481"/>
      <c r="IA57" s="481"/>
      <c r="IB57" s="481"/>
      <c r="IC57" s="481"/>
      <c r="ID57" s="481"/>
      <c r="IE57" s="481"/>
      <c r="IF57" s="481"/>
      <c r="IG57" s="481"/>
      <c r="IH57" s="481"/>
      <c r="II57" s="481"/>
      <c r="IJ57" s="481"/>
      <c r="IK57" s="481"/>
      <c r="IL57" s="481"/>
      <c r="IM57" s="481"/>
      <c r="IN57" s="481"/>
      <c r="IO57" s="481"/>
      <c r="IP57" s="481"/>
      <c r="IQ57" s="481"/>
      <c r="IR57" s="481"/>
      <c r="IS57" s="481"/>
      <c r="IT57" s="481"/>
      <c r="IU57" s="481"/>
      <c r="IV57" s="481"/>
      <c r="IW57" s="481"/>
      <c r="IX57" s="481"/>
      <c r="IY57" s="481"/>
      <c r="IZ57" s="481"/>
      <c r="JA57" s="481"/>
      <c r="JB57" s="481"/>
      <c r="JC57" s="481"/>
      <c r="JD57" s="481"/>
      <c r="JE57" s="481"/>
      <c r="JF57" s="481"/>
      <c r="JG57" s="481"/>
      <c r="JH57" s="481"/>
      <c r="JI57" s="481"/>
      <c r="JJ57" s="481"/>
      <c r="JK57" s="481"/>
      <c r="JL57" s="481"/>
      <c r="JM57" s="481"/>
      <c r="JN57" s="481"/>
      <c r="JO57" s="481"/>
      <c r="JP57" s="481"/>
      <c r="JQ57" s="481"/>
      <c r="JR57" s="481"/>
      <c r="JS57" s="481"/>
      <c r="JT57" s="481"/>
      <c r="JU57" s="481"/>
      <c r="JV57" s="481"/>
      <c r="JW57" s="481"/>
      <c r="JX57" s="481"/>
      <c r="JY57" s="481"/>
      <c r="JZ57" s="481"/>
      <c r="KA57" s="481"/>
      <c r="KB57" s="481"/>
      <c r="KC57" s="481"/>
      <c r="KD57" s="481"/>
      <c r="KE57" s="481"/>
      <c r="KF57" s="481"/>
      <c r="KG57" s="481"/>
      <c r="KH57" s="481"/>
      <c r="KI57" s="481"/>
      <c r="KJ57" s="481"/>
      <c r="KK57" s="481"/>
      <c r="KL57" s="481"/>
      <c r="KM57" s="481"/>
      <c r="KN57" s="481"/>
      <c r="KO57" s="481"/>
      <c r="KP57" s="481"/>
      <c r="KQ57" s="481"/>
      <c r="KR57" s="481"/>
      <c r="KS57" s="481"/>
      <c r="KT57" s="481"/>
      <c r="KU57" s="481"/>
      <c r="KV57" s="481"/>
      <c r="KW57" s="481"/>
      <c r="KX57" s="481"/>
      <c r="KY57" s="481"/>
      <c r="KZ57" s="481"/>
      <c r="LA57" s="481"/>
      <c r="LB57" s="481"/>
      <c r="LC57" s="481"/>
      <c r="LD57" s="481"/>
      <c r="LE57" s="481"/>
      <c r="LF57" s="481"/>
      <c r="LG57" s="481"/>
      <c r="LH57" s="481"/>
      <c r="LI57" s="481"/>
      <c r="LJ57" s="481"/>
      <c r="LK57" s="481"/>
      <c r="LL57" s="481"/>
      <c r="LM57" s="481"/>
      <c r="LN57" s="481"/>
      <c r="LO57" s="481"/>
      <c r="LP57" s="481"/>
      <c r="LQ57" s="481"/>
      <c r="LR57" s="481"/>
      <c r="LS57" s="481"/>
      <c r="LT57" s="481"/>
      <c r="LU57" s="481"/>
      <c r="LV57" s="481"/>
      <c r="LW57" s="481"/>
      <c r="LX57" s="481"/>
      <c r="LY57" s="481"/>
      <c r="LZ57" s="481"/>
      <c r="MA57" s="481"/>
      <c r="MB57" s="481"/>
      <c r="MC57" s="481"/>
      <c r="MD57" s="481"/>
      <c r="ME57" s="481"/>
      <c r="MF57" s="481"/>
      <c r="MG57" s="481"/>
      <c r="MH57" s="481"/>
      <c r="MI57" s="481"/>
      <c r="MJ57" s="481"/>
      <c r="MK57" s="481"/>
      <c r="ML57" s="481"/>
      <c r="MM57" s="481"/>
      <c r="MN57" s="481"/>
      <c r="MO57" s="481"/>
      <c r="MP57" s="481"/>
      <c r="MQ57" s="481"/>
      <c r="MR57" s="481"/>
      <c r="MS57" s="481"/>
      <c r="MT57" s="481"/>
      <c r="MU57" s="481"/>
      <c r="MV57" s="481"/>
      <c r="MW57" s="481"/>
      <c r="MX57" s="481"/>
      <c r="MY57" s="481"/>
      <c r="MZ57" s="481"/>
      <c r="NA57" s="481"/>
      <c r="NB57" s="481"/>
      <c r="NC57" s="481"/>
      <c r="ND57" s="481"/>
      <c r="NE57" s="481"/>
      <c r="NF57" s="481"/>
      <c r="NG57" s="481"/>
      <c r="NH57" s="481"/>
      <c r="NI57" s="481"/>
      <c r="NJ57" s="481"/>
      <c r="NK57" s="481"/>
      <c r="NL57" s="481"/>
      <c r="NM57" s="481"/>
      <c r="NN57" s="481"/>
      <c r="NO57" s="481"/>
      <c r="NP57" s="481"/>
      <c r="NQ57" s="481"/>
      <c r="NR57" s="481"/>
      <c r="NS57" s="481"/>
      <c r="NT57" s="481"/>
      <c r="NU57" s="481"/>
      <c r="NV57" s="481"/>
      <c r="NW57" s="481"/>
      <c r="NX57" s="481"/>
      <c r="NY57" s="481"/>
      <c r="NZ57" s="481"/>
      <c r="OA57" s="481"/>
      <c r="OB57" s="481"/>
      <c r="OC57" s="481"/>
      <c r="OD57" s="481"/>
      <c r="OE57" s="481"/>
      <c r="OF57" s="481"/>
      <c r="OG57" s="481"/>
      <c r="OH57" s="481"/>
      <c r="OI57" s="481"/>
      <c r="OJ57" s="481"/>
      <c r="OK57" s="481"/>
      <c r="OL57" s="481"/>
      <c r="OM57" s="481"/>
      <c r="ON57" s="481"/>
      <c r="OO57" s="481"/>
      <c r="OP57" s="481"/>
      <c r="OQ57" s="481"/>
      <c r="OR57" s="481"/>
      <c r="OS57" s="481"/>
      <c r="OT57" s="481"/>
      <c r="OU57" s="481"/>
      <c r="OV57" s="481"/>
      <c r="OW57" s="481"/>
      <c r="OX57" s="481"/>
      <c r="OY57" s="481"/>
      <c r="OZ57" s="481"/>
      <c r="PA57" s="481"/>
      <c r="PB57" s="481"/>
      <c r="PC57" s="481"/>
      <c r="PD57" s="481"/>
      <c r="PE57" s="481"/>
      <c r="PF57" s="481"/>
      <c r="PG57" s="481"/>
      <c r="PH57" s="481"/>
      <c r="PI57" s="481"/>
      <c r="PJ57" s="481"/>
      <c r="PK57" s="481"/>
      <c r="PL57" s="481"/>
      <c r="PM57" s="481"/>
      <c r="PN57" s="481"/>
      <c r="PO57" s="481"/>
      <c r="PP57" s="481"/>
      <c r="PQ57" s="481"/>
      <c r="PR57" s="481"/>
      <c r="PS57" s="481"/>
      <c r="PT57" s="481"/>
      <c r="PU57" s="481"/>
      <c r="PV57" s="481"/>
      <c r="PW57" s="481"/>
      <c r="PX57" s="481"/>
      <c r="PY57" s="481"/>
      <c r="PZ57" s="481"/>
      <c r="QA57" s="481"/>
      <c r="QB57" s="481"/>
      <c r="QC57" s="481"/>
      <c r="QD57" s="481"/>
      <c r="QE57" s="481"/>
      <c r="QF57" s="481"/>
      <c r="QG57" s="481"/>
      <c r="QH57" s="481"/>
      <c r="QI57" s="481"/>
      <c r="QJ57" s="481"/>
      <c r="QK57" s="481"/>
      <c r="QL57" s="481"/>
      <c r="QM57" s="481"/>
      <c r="QN57" s="481"/>
      <c r="QO57" s="481"/>
      <c r="QP57" s="481"/>
      <c r="QQ57" s="481"/>
      <c r="QR57" s="481"/>
      <c r="QS57" s="481"/>
      <c r="QT57" s="481"/>
      <c r="QU57" s="481"/>
      <c r="QV57" s="481"/>
      <c r="QW57" s="481"/>
      <c r="QX57" s="481"/>
      <c r="QY57" s="481"/>
      <c r="QZ57" s="481"/>
      <c r="RA57" s="481"/>
      <c r="RB57" s="481"/>
      <c r="RC57" s="481"/>
      <c r="RD57" s="481"/>
      <c r="RE57" s="481"/>
      <c r="RF57" s="481"/>
      <c r="RG57" s="481"/>
      <c r="RH57" s="481"/>
      <c r="RI57" s="481"/>
      <c r="RJ57" s="481"/>
      <c r="RK57" s="481"/>
      <c r="RL57" s="481"/>
      <c r="RM57" s="481"/>
      <c r="RN57" s="481"/>
      <c r="RO57" s="481"/>
      <c r="RP57" s="481"/>
      <c r="RQ57" s="481"/>
      <c r="RR57" s="481"/>
      <c r="RS57" s="481"/>
      <c r="RT57" s="481"/>
      <c r="RU57" s="481"/>
      <c r="RV57" s="481"/>
      <c r="RW57" s="481"/>
      <c r="RX57" s="481"/>
      <c r="RY57" s="481"/>
      <c r="RZ57" s="481"/>
      <c r="SA57" s="481"/>
      <c r="SB57" s="481"/>
      <c r="SC57" s="481"/>
      <c r="SD57" s="481"/>
      <c r="SE57" s="481"/>
      <c r="SF57" s="481"/>
      <c r="SG57" s="481"/>
      <c r="SH57" s="481"/>
      <c r="SI57" s="481"/>
      <c r="SJ57" s="481"/>
      <c r="SK57" s="481"/>
      <c r="SL57" s="481"/>
      <c r="SM57" s="481"/>
      <c r="SN57" s="481"/>
      <c r="SO57" s="481"/>
      <c r="SP57" s="481"/>
      <c r="SQ57" s="481"/>
      <c r="SR57" s="481"/>
      <c r="SS57" s="481"/>
      <c r="ST57" s="481"/>
      <c r="SU57" s="481"/>
      <c r="SV57" s="481"/>
      <c r="SW57" s="481"/>
      <c r="SX57" s="481"/>
      <c r="SY57" s="481"/>
      <c r="SZ57" s="481"/>
      <c r="TA57" s="481"/>
      <c r="TB57" s="481"/>
      <c r="TC57" s="481"/>
      <c r="TD57" s="481"/>
      <c r="TE57" s="481"/>
      <c r="TF57" s="481"/>
      <c r="TG57" s="481"/>
      <c r="TH57" s="481"/>
      <c r="TI57" s="481"/>
      <c r="TJ57" s="481"/>
      <c r="TK57" s="481"/>
      <c r="TL57" s="481"/>
      <c r="TM57" s="481"/>
      <c r="TN57" s="481"/>
      <c r="TO57" s="481"/>
      <c r="TP57" s="481"/>
      <c r="TQ57" s="481"/>
      <c r="TR57" s="481"/>
      <c r="TS57" s="481"/>
      <c r="TT57" s="481"/>
      <c r="TU57" s="481"/>
      <c r="TV57" s="481"/>
      <c r="TW57" s="481"/>
      <c r="TX57" s="481"/>
      <c r="TY57" s="481"/>
      <c r="TZ57" s="481"/>
      <c r="UA57" s="481"/>
      <c r="UB57" s="481"/>
      <c r="UC57" s="481"/>
      <c r="UD57" s="481"/>
      <c r="UE57" s="481"/>
      <c r="UF57" s="481"/>
      <c r="UG57" s="481"/>
      <c r="UH57" s="481"/>
      <c r="UI57" s="481"/>
      <c r="UJ57" s="481"/>
      <c r="UK57" s="481"/>
      <c r="UL57" s="481"/>
      <c r="UM57" s="481"/>
      <c r="UN57" s="481"/>
      <c r="UO57" s="481"/>
      <c r="UP57" s="481"/>
      <c r="UQ57" s="481"/>
      <c r="UR57" s="481"/>
      <c r="US57" s="481"/>
      <c r="UT57" s="481"/>
      <c r="UU57" s="481"/>
      <c r="UV57" s="481"/>
      <c r="UW57" s="481"/>
      <c r="UX57" s="481"/>
      <c r="UY57" s="481"/>
      <c r="UZ57" s="481"/>
      <c r="VA57" s="481"/>
      <c r="VB57" s="481"/>
      <c r="VC57" s="481"/>
      <c r="VD57" s="481"/>
      <c r="VE57" s="481"/>
      <c r="VF57" s="481"/>
      <c r="VG57" s="481"/>
      <c r="VH57" s="481"/>
      <c r="VI57" s="481"/>
      <c r="VJ57" s="481"/>
      <c r="VK57" s="481"/>
      <c r="VL57" s="481"/>
      <c r="VM57" s="481"/>
      <c r="VN57" s="481"/>
      <c r="VO57" s="481"/>
      <c r="VP57" s="481"/>
      <c r="VQ57" s="481"/>
      <c r="VR57" s="481"/>
      <c r="VS57" s="481"/>
      <c r="VT57" s="481"/>
      <c r="VU57" s="481"/>
      <c r="VV57" s="481"/>
      <c r="VW57" s="481"/>
      <c r="VX57" s="481"/>
      <c r="VY57" s="481"/>
      <c r="VZ57" s="481"/>
      <c r="WA57" s="481"/>
      <c r="WB57" s="481"/>
      <c r="WC57" s="481"/>
      <c r="WD57" s="481"/>
      <c r="WE57" s="481"/>
      <c r="WF57" s="481"/>
      <c r="WG57" s="481"/>
      <c r="WH57" s="481"/>
      <c r="WI57" s="481"/>
      <c r="WJ57" s="481"/>
      <c r="WK57" s="481"/>
      <c r="WL57" s="481"/>
      <c r="WM57" s="481"/>
      <c r="WN57" s="481"/>
      <c r="WO57" s="481"/>
      <c r="WP57" s="481"/>
      <c r="WQ57" s="481"/>
      <c r="WR57" s="481"/>
      <c r="WS57" s="481"/>
      <c r="WT57" s="481"/>
      <c r="WU57" s="481"/>
      <c r="WV57" s="481"/>
      <c r="WW57" s="481"/>
      <c r="WX57" s="481"/>
      <c r="WY57" s="481"/>
      <c r="WZ57" s="481"/>
      <c r="XA57" s="481"/>
      <c r="XB57" s="481"/>
      <c r="XC57" s="481"/>
      <c r="XD57" s="481"/>
      <c r="XE57" s="481"/>
      <c r="XF57" s="481"/>
      <c r="XG57" s="481"/>
      <c r="XH57" s="481"/>
      <c r="XI57" s="481"/>
      <c r="XJ57" s="481"/>
      <c r="XK57" s="481"/>
      <c r="XL57" s="481"/>
      <c r="XM57" s="481"/>
      <c r="XN57" s="481"/>
      <c r="XO57" s="481"/>
      <c r="XP57" s="481"/>
      <c r="XQ57" s="481"/>
      <c r="XR57" s="481"/>
      <c r="XS57" s="481"/>
      <c r="XT57" s="481"/>
      <c r="XU57" s="481"/>
      <c r="XV57" s="481"/>
      <c r="XW57" s="481"/>
      <c r="XX57" s="481"/>
      <c r="XY57" s="481"/>
      <c r="XZ57" s="481"/>
      <c r="YA57" s="481"/>
      <c r="YB57" s="481"/>
      <c r="YC57" s="481"/>
      <c r="YD57" s="481"/>
      <c r="YE57" s="481"/>
      <c r="YF57" s="481"/>
      <c r="YG57" s="481"/>
      <c r="YH57" s="481"/>
      <c r="YI57" s="481"/>
      <c r="YJ57" s="481"/>
      <c r="YK57" s="481"/>
      <c r="YL57" s="481"/>
      <c r="YM57" s="481"/>
      <c r="YN57" s="481"/>
      <c r="YO57" s="481"/>
      <c r="YP57" s="481"/>
      <c r="YQ57" s="481"/>
      <c r="YR57" s="481"/>
      <c r="YS57" s="481"/>
      <c r="YT57" s="481"/>
      <c r="YU57" s="481"/>
      <c r="YV57" s="481"/>
      <c r="YW57" s="481"/>
      <c r="YX57" s="481"/>
      <c r="YY57" s="481"/>
      <c r="YZ57" s="481"/>
      <c r="ZA57" s="481"/>
      <c r="ZB57" s="481"/>
      <c r="ZC57" s="481"/>
      <c r="ZD57" s="481"/>
      <c r="ZE57" s="481"/>
      <c r="ZF57" s="481"/>
      <c r="ZG57" s="481"/>
      <c r="ZH57" s="481"/>
      <c r="ZI57" s="481"/>
      <c r="ZJ57" s="481"/>
      <c r="ZK57" s="481"/>
      <c r="ZL57" s="481"/>
      <c r="ZM57" s="481"/>
      <c r="ZN57" s="481"/>
      <c r="ZO57" s="481"/>
      <c r="ZP57" s="481"/>
      <c r="ZQ57" s="481"/>
      <c r="ZR57" s="481"/>
      <c r="ZS57" s="481"/>
      <c r="ZT57" s="481"/>
      <c r="ZU57" s="481"/>
      <c r="ZV57" s="481"/>
      <c r="ZW57" s="481"/>
      <c r="ZX57" s="481"/>
      <c r="ZY57" s="481"/>
      <c r="ZZ57" s="481"/>
      <c r="AAA57" s="481"/>
      <c r="AAB57" s="481"/>
      <c r="AAC57" s="481"/>
      <c r="AAD57" s="481"/>
      <c r="AAE57" s="481"/>
      <c r="AAF57" s="481"/>
      <c r="AAG57" s="481"/>
      <c r="AAH57" s="481"/>
      <c r="AAI57" s="481"/>
      <c r="AAJ57" s="481"/>
      <c r="AAK57" s="481"/>
      <c r="AAL57" s="481"/>
      <c r="AAM57" s="481"/>
      <c r="AAN57" s="481"/>
      <c r="AAO57" s="481"/>
      <c r="AAP57" s="481"/>
      <c r="AAQ57" s="481"/>
      <c r="AAR57" s="481"/>
      <c r="AAS57" s="481"/>
      <c r="AAT57" s="481"/>
      <c r="AAU57" s="481"/>
      <c r="AAV57" s="481"/>
      <c r="AAW57" s="481"/>
      <c r="AAX57" s="481"/>
      <c r="AAY57" s="481"/>
      <c r="AAZ57" s="481"/>
      <c r="ABA57" s="481"/>
      <c r="ABB57" s="481"/>
      <c r="ABC57" s="481"/>
      <c r="ABD57" s="481"/>
      <c r="ABE57" s="481"/>
      <c r="ABF57" s="481"/>
      <c r="ABG57" s="481"/>
      <c r="ABH57" s="481"/>
      <c r="ABI57" s="481"/>
      <c r="ABJ57" s="481"/>
      <c r="ABK57" s="481"/>
      <c r="ABL57" s="481"/>
      <c r="ABM57" s="481"/>
      <c r="ABN57" s="481"/>
      <c r="ABO57" s="481"/>
      <c r="ABP57" s="481"/>
      <c r="ABQ57" s="481"/>
      <c r="ABR57" s="481"/>
      <c r="ABS57" s="481"/>
      <c r="ABT57" s="481"/>
      <c r="ABU57" s="481"/>
      <c r="ABV57" s="481"/>
      <c r="ABW57" s="481"/>
      <c r="ABX57" s="481"/>
      <c r="ABY57" s="481"/>
      <c r="ABZ57" s="481"/>
      <c r="ACA57" s="481"/>
      <c r="ACB57" s="481"/>
      <c r="ACC57" s="481"/>
      <c r="ACD57" s="481"/>
      <c r="ACE57" s="481"/>
      <c r="ACF57" s="481"/>
      <c r="ACG57" s="481"/>
      <c r="ACH57" s="481"/>
      <c r="ACI57" s="481"/>
      <c r="ACJ57" s="481"/>
      <c r="ACK57" s="481"/>
      <c r="ACL57" s="481"/>
      <c r="ACM57" s="481"/>
      <c r="ACN57" s="481"/>
      <c r="ACO57" s="481"/>
      <c r="ACP57" s="481"/>
      <c r="ACQ57" s="481"/>
      <c r="ACR57" s="481"/>
      <c r="ACS57" s="481"/>
      <c r="ACT57" s="481"/>
      <c r="ACU57" s="481"/>
      <c r="ACV57" s="481"/>
      <c r="ACW57" s="481"/>
      <c r="ACX57" s="481"/>
      <c r="ACY57" s="481"/>
      <c r="ACZ57" s="481"/>
      <c r="ADA57" s="481"/>
      <c r="ADB57" s="481"/>
      <c r="ADC57" s="481"/>
      <c r="ADD57" s="481"/>
      <c r="ADE57" s="481"/>
      <c r="ADF57" s="481"/>
      <c r="ADG57" s="481"/>
      <c r="ADH57" s="481"/>
      <c r="ADI57" s="481"/>
      <c r="ADJ57" s="481"/>
      <c r="ADK57" s="481"/>
      <c r="ADL57" s="481"/>
      <c r="ADM57" s="481"/>
      <c r="ADN57" s="481"/>
      <c r="ADO57" s="481"/>
      <c r="ADP57" s="481"/>
      <c r="ADQ57" s="481"/>
      <c r="ADR57" s="481"/>
      <c r="ADS57" s="481"/>
      <c r="ADT57" s="481"/>
      <c r="ADU57" s="481"/>
      <c r="ADV57" s="481"/>
      <c r="ADW57" s="481"/>
      <c r="ADX57" s="481"/>
      <c r="ADY57" s="481"/>
      <c r="ADZ57" s="481"/>
      <c r="AEA57" s="481"/>
      <c r="AEB57" s="481"/>
      <c r="AEC57" s="481"/>
      <c r="AED57" s="481"/>
      <c r="AEE57" s="481"/>
      <c r="AEF57" s="481"/>
      <c r="AEG57" s="481"/>
      <c r="AEH57" s="481"/>
      <c r="AEI57" s="481"/>
      <c r="AEJ57" s="481"/>
      <c r="AEK57" s="481"/>
      <c r="AEL57" s="481"/>
      <c r="AEM57" s="481"/>
      <c r="AEN57" s="481"/>
      <c r="AEO57" s="481"/>
      <c r="AEP57" s="481"/>
      <c r="AEQ57" s="481"/>
      <c r="AER57" s="481"/>
      <c r="AES57" s="481"/>
      <c r="AET57" s="481"/>
      <c r="AEU57" s="481"/>
      <c r="AEV57" s="481"/>
      <c r="AEW57" s="481"/>
      <c r="AEX57" s="481"/>
      <c r="AEY57" s="481"/>
      <c r="AEZ57" s="481"/>
      <c r="AFA57" s="481"/>
      <c r="AFB57" s="481"/>
      <c r="AFC57" s="481"/>
      <c r="AFD57" s="481"/>
      <c r="AFE57" s="481"/>
      <c r="AFF57" s="481"/>
      <c r="AFG57" s="481"/>
      <c r="AFH57" s="481"/>
      <c r="AFI57" s="481"/>
      <c r="AFJ57" s="481"/>
      <c r="AFK57" s="481"/>
      <c r="AFL57" s="481"/>
      <c r="AFM57" s="481"/>
      <c r="AFN57" s="481"/>
      <c r="AFO57" s="481"/>
      <c r="AFP57" s="481"/>
      <c r="AFQ57" s="481"/>
      <c r="AFR57" s="481"/>
      <c r="AFS57" s="481"/>
      <c r="AFT57" s="481"/>
      <c r="AFU57" s="481"/>
      <c r="AFV57" s="481"/>
      <c r="AFW57" s="481"/>
      <c r="AFX57" s="481"/>
      <c r="AFY57" s="481"/>
      <c r="AFZ57" s="481"/>
      <c r="AGA57" s="481"/>
      <c r="AGB57" s="481"/>
      <c r="AGC57" s="481"/>
      <c r="AGD57" s="481"/>
      <c r="AGE57" s="481"/>
      <c r="AGF57" s="481"/>
      <c r="AGG57" s="481"/>
      <c r="AGH57" s="481"/>
      <c r="AGI57" s="481"/>
      <c r="AGJ57" s="481"/>
      <c r="AGK57" s="481"/>
      <c r="AGL57" s="481"/>
      <c r="AGM57" s="481"/>
      <c r="AGN57" s="481"/>
      <c r="AGO57" s="481"/>
      <c r="AGP57" s="481"/>
      <c r="AGQ57" s="481"/>
      <c r="AGR57" s="481"/>
      <c r="AGS57" s="481"/>
      <c r="AGT57" s="481"/>
      <c r="AGU57" s="481"/>
      <c r="AGV57" s="481"/>
      <c r="AGW57" s="481"/>
      <c r="AGX57" s="481"/>
      <c r="AGY57" s="481"/>
      <c r="AGZ57" s="481"/>
      <c r="AHA57" s="481"/>
      <c r="AHB57" s="481"/>
      <c r="AHC57" s="481"/>
      <c r="AHD57" s="481"/>
      <c r="AHE57" s="481"/>
      <c r="AHF57" s="481"/>
      <c r="AHG57" s="481"/>
      <c r="AHH57" s="481"/>
      <c r="AHI57" s="481"/>
      <c r="AHJ57" s="481"/>
      <c r="AHK57" s="481"/>
      <c r="AHL57" s="481"/>
      <c r="AHM57" s="481"/>
      <c r="AHN57" s="481"/>
      <c r="AHO57" s="481"/>
      <c r="AHP57" s="481"/>
      <c r="AHQ57" s="481"/>
      <c r="AHR57" s="481"/>
      <c r="AHS57" s="481"/>
      <c r="AHT57" s="481"/>
      <c r="AHU57" s="481"/>
      <c r="AHV57" s="481"/>
      <c r="AHW57" s="481"/>
      <c r="AHX57" s="481"/>
      <c r="AHY57" s="481"/>
      <c r="AHZ57" s="481"/>
      <c r="AIA57" s="481"/>
      <c r="AIB57" s="481"/>
      <c r="AIC57" s="481"/>
      <c r="AID57" s="481"/>
      <c r="AIE57" s="481"/>
      <c r="AIF57" s="481"/>
      <c r="AIG57" s="481"/>
      <c r="AIH57" s="481"/>
      <c r="AII57" s="481"/>
      <c r="AIJ57" s="481"/>
      <c r="AIK57" s="481"/>
      <c r="AIL57" s="481"/>
      <c r="AIM57" s="481"/>
      <c r="AIN57" s="481"/>
      <c r="AIO57" s="481"/>
      <c r="AIP57" s="481"/>
      <c r="AIQ57" s="481"/>
      <c r="AIR57" s="481"/>
      <c r="AIS57" s="481"/>
      <c r="AIT57" s="481"/>
      <c r="AIU57" s="481"/>
      <c r="AIV57" s="481"/>
      <c r="AIW57" s="481"/>
      <c r="AIX57" s="481"/>
      <c r="AIY57" s="481"/>
      <c r="AIZ57" s="481"/>
      <c r="AJA57" s="481"/>
      <c r="AJB57" s="481"/>
      <c r="AJC57" s="481"/>
      <c r="AJD57" s="481"/>
      <c r="AJE57" s="481"/>
      <c r="AJF57" s="481"/>
      <c r="AJG57" s="481"/>
      <c r="AJH57" s="481"/>
      <c r="AJI57" s="481"/>
      <c r="AJJ57" s="481"/>
      <c r="AJK57" s="481"/>
      <c r="AJL57" s="481"/>
      <c r="AJM57" s="481"/>
      <c r="AJN57" s="481"/>
      <c r="AJO57" s="481"/>
      <c r="AJP57" s="481"/>
      <c r="AJQ57" s="481"/>
      <c r="AJR57" s="481"/>
      <c r="AJS57" s="481"/>
      <c r="AJT57" s="481"/>
      <c r="AJU57" s="481"/>
      <c r="AJV57" s="481"/>
      <c r="AJW57" s="481"/>
      <c r="AJX57" s="481"/>
      <c r="AJY57" s="481"/>
      <c r="AJZ57" s="481"/>
      <c r="AKA57" s="481"/>
      <c r="AKB57" s="481"/>
      <c r="AKC57" s="481"/>
      <c r="AKD57" s="481"/>
      <c r="AKE57" s="481"/>
      <c r="AKF57" s="481"/>
      <c r="AKG57" s="481"/>
      <c r="AKH57" s="481"/>
      <c r="AKI57" s="481"/>
      <c r="AKJ57" s="481"/>
      <c r="AKK57" s="481"/>
      <c r="AKL57" s="481"/>
      <c r="AKM57" s="481"/>
      <c r="AKN57" s="481"/>
      <c r="AKO57" s="481"/>
      <c r="AKP57" s="481"/>
      <c r="AKQ57" s="481"/>
      <c r="AKR57" s="481"/>
      <c r="AKS57" s="481"/>
      <c r="AKT57" s="481"/>
      <c r="AKU57" s="481"/>
      <c r="AKV57" s="481"/>
      <c r="AKW57" s="481"/>
      <c r="AKX57" s="481"/>
      <c r="AKY57" s="481"/>
      <c r="AKZ57" s="481"/>
      <c r="ALA57" s="481"/>
      <c r="ALB57" s="481"/>
      <c r="ALC57" s="481"/>
      <c r="ALD57" s="481"/>
      <c r="ALE57" s="481"/>
      <c r="ALF57" s="481"/>
      <c r="ALG57" s="481"/>
      <c r="ALH57" s="481"/>
      <c r="ALI57" s="481"/>
      <c r="ALJ57" s="481"/>
      <c r="ALK57" s="481"/>
      <c r="ALL57" s="481"/>
      <c r="ALM57" s="481"/>
      <c r="ALN57" s="481"/>
      <c r="ALO57" s="481"/>
      <c r="ALP57" s="481"/>
      <c r="ALQ57" s="481"/>
      <c r="ALR57" s="481"/>
      <c r="ALS57" s="481"/>
      <c r="ALT57" s="481"/>
      <c r="ALU57" s="481"/>
      <c r="ALV57" s="481"/>
      <c r="ALW57" s="481"/>
      <c r="ALX57" s="481"/>
      <c r="ALY57" s="481"/>
      <c r="ALZ57" s="481"/>
      <c r="AMA57" s="481"/>
      <c r="AMB57" s="481"/>
      <c r="AMC57" s="481"/>
      <c r="AMD57" s="481"/>
      <c r="AME57" s="481"/>
      <c r="AMF57" s="481"/>
      <c r="AMG57" s="481"/>
      <c r="AMH57" s="481"/>
      <c r="AMI57" s="481"/>
      <c r="AMJ57" s="481"/>
      <c r="AMK57" s="481"/>
      <c r="AML57" s="481"/>
      <c r="AMM57" s="481"/>
      <c r="AMN57" s="481"/>
      <c r="AMO57" s="481"/>
      <c r="AMP57" s="481"/>
      <c r="AMQ57" s="481"/>
      <c r="AMR57" s="481"/>
      <c r="AMS57" s="481"/>
      <c r="AMT57" s="481"/>
      <c r="AMU57" s="481"/>
      <c r="AMV57" s="481"/>
      <c r="AMW57" s="481"/>
      <c r="AMX57" s="481"/>
      <c r="AMY57" s="481"/>
      <c r="AMZ57" s="481"/>
      <c r="ANA57" s="481"/>
      <c r="ANB57" s="481"/>
      <c r="ANC57" s="481"/>
      <c r="AND57" s="481"/>
      <c r="ANE57" s="481"/>
      <c r="ANF57" s="481"/>
      <c r="ANG57" s="481"/>
      <c r="ANH57" s="481"/>
      <c r="ANI57" s="481"/>
      <c r="ANJ57" s="481"/>
      <c r="ANK57" s="481"/>
      <c r="ANL57" s="481"/>
      <c r="ANM57" s="481"/>
      <c r="ANN57" s="481"/>
      <c r="ANO57" s="481"/>
      <c r="ANP57" s="481"/>
      <c r="ANQ57" s="481"/>
      <c r="ANR57" s="481"/>
      <c r="ANS57" s="481"/>
      <c r="ANT57" s="481"/>
      <c r="ANU57" s="481"/>
      <c r="ANV57" s="481"/>
      <c r="ANW57" s="481"/>
      <c r="ANX57" s="481"/>
      <c r="ANY57" s="481"/>
      <c r="ANZ57" s="481"/>
      <c r="AOA57" s="481"/>
      <c r="AOB57" s="481"/>
      <c r="AOC57" s="481"/>
      <c r="AOD57" s="481"/>
      <c r="AOE57" s="481"/>
      <c r="AOF57" s="481"/>
      <c r="AOG57" s="481"/>
      <c r="AOH57" s="481"/>
      <c r="AOI57" s="481"/>
      <c r="AOJ57" s="481"/>
      <c r="AOK57" s="481"/>
      <c r="AOL57" s="481"/>
      <c r="AOM57" s="481"/>
      <c r="AON57" s="481"/>
      <c r="AOO57" s="481"/>
      <c r="AOP57" s="481"/>
      <c r="AOQ57" s="481"/>
      <c r="AOR57" s="481"/>
      <c r="AOS57" s="481"/>
      <c r="AOT57" s="481"/>
      <c r="AOU57" s="481"/>
      <c r="AOV57" s="481"/>
      <c r="AOW57" s="481"/>
      <c r="AOX57" s="481"/>
      <c r="AOY57" s="481"/>
      <c r="AOZ57" s="481"/>
      <c r="APA57" s="481"/>
      <c r="APB57" s="481"/>
      <c r="APC57" s="481"/>
      <c r="APD57" s="481"/>
      <c r="APE57" s="481"/>
      <c r="APF57" s="481"/>
      <c r="APG57" s="481"/>
      <c r="APH57" s="481"/>
      <c r="API57" s="481"/>
      <c r="APJ57" s="481"/>
      <c r="APK57" s="481"/>
      <c r="APL57" s="481"/>
      <c r="APM57" s="481"/>
      <c r="APN57" s="481"/>
      <c r="APO57" s="481"/>
      <c r="APP57" s="481"/>
      <c r="APQ57" s="481"/>
      <c r="APR57" s="481"/>
      <c r="APS57" s="481"/>
      <c r="APT57" s="481"/>
      <c r="APU57" s="481"/>
      <c r="APV57" s="481"/>
      <c r="APW57" s="481"/>
      <c r="APX57" s="481"/>
      <c r="APY57" s="481"/>
      <c r="APZ57" s="481"/>
      <c r="AQA57" s="481"/>
      <c r="AQB57" s="481"/>
      <c r="AQC57" s="481"/>
      <c r="AQD57" s="481"/>
      <c r="AQE57" s="481"/>
      <c r="AQF57" s="481"/>
      <c r="AQG57" s="481"/>
      <c r="AQH57" s="481"/>
      <c r="AQI57" s="481"/>
      <c r="AQJ57" s="481"/>
      <c r="AQK57" s="481"/>
      <c r="AQL57" s="481"/>
      <c r="AQM57" s="481"/>
      <c r="AQN57" s="481"/>
      <c r="AQO57" s="481"/>
      <c r="AQP57" s="481"/>
      <c r="AQQ57" s="481"/>
      <c r="AQR57" s="481"/>
      <c r="AQS57" s="481"/>
      <c r="AQT57" s="481"/>
      <c r="AQU57" s="481"/>
      <c r="AQV57" s="481"/>
      <c r="AQW57" s="481"/>
      <c r="AQX57" s="481"/>
      <c r="AQY57" s="481"/>
      <c r="AQZ57" s="481"/>
      <c r="ARA57" s="481"/>
      <c r="ARB57" s="481"/>
      <c r="ARC57" s="481"/>
      <c r="ARD57" s="481"/>
      <c r="ARE57" s="481"/>
      <c r="ARF57" s="481"/>
      <c r="ARG57" s="481"/>
      <c r="ARH57" s="481"/>
      <c r="ARI57" s="481"/>
      <c r="ARJ57" s="481"/>
      <c r="ARK57" s="481"/>
      <c r="ARL57" s="481"/>
      <c r="ARM57" s="481"/>
      <c r="ARN57" s="481"/>
      <c r="ARO57" s="481"/>
      <c r="ARP57" s="481"/>
      <c r="ARQ57" s="481"/>
      <c r="ARR57" s="481"/>
      <c r="ARS57" s="481"/>
      <c r="ART57" s="481"/>
      <c r="ARU57" s="481"/>
      <c r="ARV57" s="481"/>
      <c r="ARW57" s="481"/>
      <c r="ARX57" s="481"/>
      <c r="ARY57" s="481"/>
      <c r="ARZ57" s="481"/>
      <c r="ASA57" s="481"/>
      <c r="ASB57" s="481"/>
      <c r="ASC57" s="481"/>
      <c r="ASD57" s="481"/>
      <c r="ASE57" s="481"/>
      <c r="ASF57" s="481"/>
      <c r="ASG57" s="481"/>
      <c r="ASH57" s="481"/>
      <c r="ASI57" s="481"/>
      <c r="ASJ57" s="481"/>
      <c r="ASK57" s="481"/>
      <c r="ASL57" s="481"/>
      <c r="ASM57" s="481"/>
      <c r="ASN57" s="481"/>
      <c r="ASO57" s="481"/>
      <c r="ASP57" s="481"/>
      <c r="ASQ57" s="481"/>
      <c r="ASR57" s="481"/>
      <c r="ASS57" s="481"/>
      <c r="AST57" s="481"/>
      <c r="ASU57" s="481"/>
      <c r="ASV57" s="481"/>
      <c r="ASW57" s="481"/>
      <c r="ASX57" s="481"/>
      <c r="ASY57" s="481"/>
      <c r="ASZ57" s="481"/>
      <c r="ATA57" s="481"/>
      <c r="ATB57" s="481"/>
      <c r="ATC57" s="481"/>
      <c r="ATD57" s="481"/>
      <c r="ATE57" s="481"/>
      <c r="ATF57" s="481"/>
      <c r="ATG57" s="481"/>
      <c r="ATH57" s="481"/>
      <c r="ATI57" s="481"/>
      <c r="ATJ57" s="481"/>
      <c r="ATK57" s="481"/>
      <c r="ATL57" s="481"/>
      <c r="ATM57" s="481"/>
      <c r="ATN57" s="481"/>
      <c r="ATO57" s="481"/>
      <c r="ATP57" s="481"/>
      <c r="ATQ57" s="481"/>
      <c r="ATR57" s="481"/>
      <c r="ATS57" s="481"/>
      <c r="ATT57" s="481"/>
      <c r="ATU57" s="481"/>
      <c r="ATV57" s="481"/>
      <c r="ATW57" s="481"/>
      <c r="ATX57" s="481"/>
      <c r="ATY57" s="481"/>
      <c r="ATZ57" s="481"/>
      <c r="AUA57" s="481"/>
      <c r="AUB57" s="481"/>
      <c r="AUC57" s="481"/>
      <c r="AUD57" s="481"/>
      <c r="AUE57" s="481"/>
      <c r="AUF57" s="481"/>
      <c r="AUG57" s="481"/>
      <c r="AUH57" s="481"/>
      <c r="AUI57" s="481"/>
      <c r="AUJ57" s="481"/>
      <c r="AUK57" s="481"/>
      <c r="AUL57" s="481"/>
      <c r="AUM57" s="481"/>
      <c r="AUN57" s="481"/>
      <c r="AUO57" s="481"/>
      <c r="AUP57" s="481"/>
      <c r="AUQ57" s="481"/>
      <c r="AUR57" s="481"/>
      <c r="AUS57" s="481"/>
      <c r="AUT57" s="481"/>
      <c r="AUU57" s="481"/>
      <c r="AUV57" s="481"/>
      <c r="AUW57" s="481"/>
      <c r="AUX57" s="481"/>
      <c r="AUY57" s="481"/>
      <c r="AUZ57" s="481"/>
      <c r="AVA57" s="481"/>
      <c r="AVB57" s="481"/>
      <c r="AVC57" s="481"/>
      <c r="AVD57" s="481"/>
      <c r="AVE57" s="481"/>
      <c r="AVF57" s="481"/>
      <c r="AVG57" s="481"/>
      <c r="AVH57" s="481"/>
      <c r="AVI57" s="481"/>
      <c r="AVJ57" s="481"/>
      <c r="AVK57" s="481"/>
      <c r="AVL57" s="481"/>
      <c r="AVM57" s="481"/>
      <c r="AVN57" s="481"/>
      <c r="AVO57" s="481"/>
      <c r="AVP57" s="481"/>
      <c r="AVQ57" s="481"/>
      <c r="AVR57" s="481"/>
      <c r="AVS57" s="481"/>
      <c r="AVT57" s="481"/>
      <c r="AVU57" s="481"/>
      <c r="AVV57" s="481"/>
      <c r="AVW57" s="481"/>
      <c r="AVX57" s="481"/>
      <c r="AVY57" s="481"/>
      <c r="AVZ57" s="481"/>
      <c r="AWA57" s="481"/>
      <c r="AWB57" s="481"/>
      <c r="AWC57" s="481"/>
      <c r="AWD57" s="481"/>
      <c r="AWE57" s="481"/>
      <c r="AWF57" s="481"/>
      <c r="AWG57" s="481"/>
      <c r="AWH57" s="481"/>
      <c r="AWI57" s="481"/>
      <c r="AWJ57" s="481"/>
      <c r="AWK57" s="481"/>
      <c r="AWL57" s="481"/>
      <c r="AWM57" s="481"/>
      <c r="AWN57" s="481"/>
      <c r="AWO57" s="481"/>
      <c r="AWP57" s="481"/>
      <c r="AWQ57" s="481"/>
      <c r="AWR57" s="481"/>
      <c r="AWS57" s="481"/>
      <c r="AWT57" s="481"/>
      <c r="AWU57" s="481"/>
      <c r="AWV57" s="481"/>
      <c r="AWW57" s="481"/>
      <c r="AWX57" s="481"/>
      <c r="AWY57" s="481"/>
      <c r="AWZ57" s="481"/>
      <c r="AXA57" s="481"/>
      <c r="AXB57" s="481"/>
      <c r="AXC57" s="481"/>
      <c r="AXD57" s="481"/>
      <c r="AXE57" s="481"/>
      <c r="AXF57" s="481"/>
      <c r="AXG57" s="481"/>
      <c r="AXH57" s="481"/>
      <c r="AXI57" s="481"/>
      <c r="AXJ57" s="481"/>
      <c r="AXK57" s="481"/>
      <c r="AXL57" s="481"/>
      <c r="AXM57" s="481"/>
      <c r="AXN57" s="481"/>
      <c r="AXO57" s="481"/>
      <c r="AXP57" s="481"/>
      <c r="AXQ57" s="481"/>
      <c r="AXR57" s="481"/>
      <c r="AXS57" s="481"/>
      <c r="AXT57" s="481"/>
      <c r="AXU57" s="481"/>
      <c r="AXV57" s="481"/>
      <c r="AXW57" s="481"/>
      <c r="AXX57" s="481"/>
      <c r="AXY57" s="481"/>
      <c r="AXZ57" s="481"/>
      <c r="AYA57" s="481"/>
      <c r="AYB57" s="481"/>
      <c r="AYC57" s="481"/>
      <c r="AYD57" s="481"/>
      <c r="AYE57" s="481"/>
      <c r="AYF57" s="481"/>
      <c r="AYG57" s="481"/>
      <c r="AYH57" s="481"/>
      <c r="AYI57" s="481"/>
      <c r="AYJ57" s="481"/>
      <c r="AYK57" s="481"/>
      <c r="AYL57" s="481"/>
      <c r="AYM57" s="481"/>
      <c r="AYN57" s="481"/>
      <c r="AYO57" s="481"/>
      <c r="AYP57" s="481"/>
      <c r="AYQ57" s="481"/>
      <c r="AYR57" s="481"/>
      <c r="AYS57" s="481"/>
      <c r="AYT57" s="481"/>
      <c r="AYU57" s="481"/>
      <c r="AYV57" s="481"/>
      <c r="AYW57" s="481"/>
      <c r="AYX57" s="481"/>
      <c r="AYY57" s="481"/>
      <c r="AYZ57" s="481"/>
      <c r="AZA57" s="481"/>
      <c r="AZB57" s="481"/>
      <c r="AZC57" s="481"/>
      <c r="AZD57" s="481"/>
      <c r="AZE57" s="481"/>
      <c r="AZF57" s="481"/>
      <c r="AZG57" s="481"/>
      <c r="AZH57" s="481"/>
      <c r="AZI57" s="481"/>
      <c r="AZJ57" s="481"/>
      <c r="AZK57" s="481"/>
      <c r="AZL57" s="481"/>
      <c r="AZM57" s="481"/>
      <c r="AZN57" s="481"/>
      <c r="AZO57" s="481"/>
      <c r="AZP57" s="481"/>
      <c r="AZQ57" s="481"/>
      <c r="AZR57" s="481"/>
      <c r="AZS57" s="481"/>
      <c r="AZT57" s="481"/>
      <c r="AZU57" s="481"/>
      <c r="AZV57" s="481"/>
      <c r="AZW57" s="481"/>
      <c r="AZX57" s="481"/>
      <c r="AZY57" s="481"/>
      <c r="AZZ57" s="481"/>
      <c r="BAA57" s="481"/>
      <c r="BAB57" s="481"/>
      <c r="BAC57" s="481"/>
      <c r="BAD57" s="481"/>
      <c r="BAE57" s="481"/>
      <c r="BAF57" s="481"/>
      <c r="BAG57" s="481"/>
      <c r="BAH57" s="481"/>
      <c r="BAI57" s="481"/>
      <c r="BAJ57" s="481"/>
      <c r="BAK57" s="481"/>
      <c r="BAL57" s="481"/>
      <c r="BAM57" s="481"/>
      <c r="BAN57" s="481"/>
      <c r="BAO57" s="481"/>
      <c r="BAP57" s="481"/>
      <c r="BAQ57" s="481"/>
      <c r="BAR57" s="481"/>
      <c r="BAS57" s="481"/>
      <c r="BAT57" s="481"/>
      <c r="BAU57" s="481"/>
      <c r="BAV57" s="481"/>
      <c r="BAW57" s="481"/>
      <c r="BAX57" s="481"/>
      <c r="BAY57" s="481"/>
      <c r="BAZ57" s="481"/>
      <c r="BBA57" s="481"/>
      <c r="BBB57" s="481"/>
      <c r="BBC57" s="481"/>
      <c r="BBD57" s="481"/>
      <c r="BBE57" s="481"/>
      <c r="BBF57" s="481"/>
      <c r="BBG57" s="481"/>
      <c r="BBH57" s="481"/>
      <c r="BBI57" s="481"/>
      <c r="BBJ57" s="481"/>
      <c r="BBK57" s="481"/>
      <c r="BBL57" s="481"/>
      <c r="BBM57" s="481"/>
      <c r="BBN57" s="481"/>
      <c r="BBO57" s="481"/>
      <c r="BBP57" s="481"/>
      <c r="BBQ57" s="481"/>
      <c r="BBR57" s="481"/>
      <c r="BBS57" s="481"/>
      <c r="BBT57" s="481"/>
      <c r="BBU57" s="481"/>
      <c r="BBV57" s="481"/>
      <c r="BBW57" s="481"/>
      <c r="BBX57" s="481"/>
      <c r="BBY57" s="481"/>
      <c r="BBZ57" s="481"/>
      <c r="BCA57" s="481"/>
      <c r="BCB57" s="481"/>
      <c r="BCC57" s="481"/>
      <c r="BCD57" s="481"/>
      <c r="BCE57" s="481"/>
      <c r="BCF57" s="481"/>
      <c r="BCG57" s="481"/>
      <c r="BCH57" s="481"/>
      <c r="BCI57" s="481"/>
      <c r="BCJ57" s="481"/>
      <c r="BCK57" s="481"/>
      <c r="BCL57" s="481"/>
      <c r="BCM57" s="481"/>
      <c r="BCN57" s="481"/>
      <c r="BCO57" s="481"/>
      <c r="BCP57" s="481"/>
      <c r="BCQ57" s="481"/>
      <c r="BCR57" s="481"/>
      <c r="BCS57" s="481"/>
      <c r="BCT57" s="481"/>
      <c r="BCU57" s="481"/>
      <c r="BCV57" s="481"/>
      <c r="BCW57" s="481"/>
      <c r="BCX57" s="481"/>
      <c r="BCY57" s="481"/>
      <c r="BCZ57" s="481"/>
      <c r="BDA57" s="481"/>
      <c r="BDB57" s="481"/>
      <c r="BDC57" s="481"/>
      <c r="BDD57" s="481"/>
      <c r="BDE57" s="481"/>
      <c r="BDF57" s="481"/>
      <c r="BDG57" s="481"/>
      <c r="BDH57" s="481"/>
      <c r="BDI57" s="481"/>
      <c r="BDJ57" s="481"/>
      <c r="BDK57" s="481"/>
      <c r="BDL57" s="481"/>
      <c r="BDM57" s="481"/>
      <c r="BDN57" s="481"/>
      <c r="BDO57" s="481"/>
      <c r="BDP57" s="481"/>
      <c r="BDQ57" s="481"/>
      <c r="BDR57" s="481"/>
      <c r="BDS57" s="481"/>
      <c r="BDT57" s="481"/>
      <c r="BDU57" s="481"/>
      <c r="BDV57" s="481"/>
      <c r="BDW57" s="481"/>
      <c r="BDX57" s="481"/>
      <c r="BDY57" s="481"/>
      <c r="BDZ57" s="481"/>
      <c r="BEA57" s="481"/>
      <c r="BEB57" s="481"/>
      <c r="BEC57" s="481"/>
      <c r="BED57" s="481"/>
      <c r="BEE57" s="481"/>
      <c r="BEF57" s="481"/>
      <c r="BEG57" s="481"/>
      <c r="BEH57" s="481"/>
      <c r="BEI57" s="481"/>
      <c r="BEJ57" s="481"/>
      <c r="BEK57" s="481"/>
      <c r="BEL57" s="481"/>
      <c r="BEM57" s="481"/>
      <c r="BEN57" s="481"/>
      <c r="BEO57" s="481"/>
      <c r="BEP57" s="481"/>
      <c r="BEQ57" s="481"/>
      <c r="BER57" s="481"/>
      <c r="BES57" s="481"/>
      <c r="BET57" s="481"/>
      <c r="BEU57" s="481"/>
      <c r="BEV57" s="481"/>
      <c r="BEW57" s="481"/>
      <c r="BEX57" s="481"/>
      <c r="BEY57" s="481"/>
      <c r="BEZ57" s="481"/>
      <c r="BFA57" s="481"/>
      <c r="BFB57" s="481"/>
      <c r="BFC57" s="481"/>
      <c r="BFD57" s="481"/>
      <c r="BFE57" s="481"/>
      <c r="BFF57" s="481"/>
      <c r="BFG57" s="481"/>
      <c r="BFH57" s="481"/>
      <c r="BFI57" s="481"/>
      <c r="BFJ57" s="481"/>
      <c r="BFK57" s="481"/>
      <c r="BFL57" s="481"/>
      <c r="BFM57" s="481"/>
      <c r="BFN57" s="481"/>
      <c r="BFO57" s="481"/>
      <c r="BFP57" s="481"/>
      <c r="BFQ57" s="481"/>
      <c r="BFR57" s="481"/>
      <c r="BFS57" s="481"/>
      <c r="BFT57" s="481"/>
      <c r="BFU57" s="481"/>
      <c r="BFV57" s="481"/>
      <c r="BFW57" s="481"/>
      <c r="BFX57" s="481"/>
      <c r="BFY57" s="481"/>
      <c r="BFZ57" s="481"/>
      <c r="BGA57" s="481"/>
      <c r="BGB57" s="481"/>
      <c r="BGC57" s="481"/>
      <c r="BGD57" s="481"/>
      <c r="BGE57" s="481"/>
      <c r="BGF57" s="481"/>
      <c r="BGG57" s="481"/>
      <c r="BGH57" s="481"/>
      <c r="BGI57" s="481"/>
      <c r="BGJ57" s="481"/>
      <c r="BGK57" s="481"/>
      <c r="BGL57" s="481"/>
      <c r="BGM57" s="481"/>
      <c r="BGN57" s="481"/>
      <c r="BGO57" s="481"/>
      <c r="BGP57" s="481"/>
      <c r="BGQ57" s="481"/>
      <c r="BGR57" s="481"/>
      <c r="BGS57" s="481"/>
      <c r="BGT57" s="481"/>
      <c r="BGU57" s="481"/>
      <c r="BGV57" s="481"/>
      <c r="BGW57" s="481"/>
      <c r="BGX57" s="481"/>
      <c r="BGY57" s="481"/>
      <c r="BGZ57" s="481"/>
      <c r="BHA57" s="481"/>
      <c r="BHB57" s="481"/>
      <c r="BHC57" s="481"/>
      <c r="BHD57" s="481"/>
      <c r="BHE57" s="481"/>
      <c r="BHF57" s="481"/>
      <c r="BHG57" s="481"/>
      <c r="BHH57" s="481"/>
      <c r="BHI57" s="481"/>
      <c r="BHJ57" s="481"/>
      <c r="BHK57" s="481"/>
      <c r="BHL57" s="481"/>
      <c r="BHM57" s="481"/>
      <c r="BHN57" s="481"/>
      <c r="BHO57" s="481"/>
      <c r="BHP57" s="481"/>
      <c r="BHQ57" s="481"/>
      <c r="BHR57" s="481"/>
      <c r="BHS57" s="481"/>
      <c r="BHT57" s="481"/>
      <c r="BHU57" s="481"/>
      <c r="BHV57" s="481"/>
      <c r="BHW57" s="481"/>
      <c r="BHX57" s="481"/>
      <c r="BHY57" s="481"/>
      <c r="BHZ57" s="481"/>
      <c r="BIA57" s="481"/>
      <c r="BIB57" s="481"/>
      <c r="BIC57" s="481"/>
      <c r="BID57" s="481"/>
      <c r="BIE57" s="481"/>
      <c r="BIF57" s="481"/>
      <c r="BIG57" s="481"/>
      <c r="BIH57" s="481"/>
      <c r="BII57" s="481"/>
      <c r="BIJ57" s="481"/>
      <c r="BIK57" s="481"/>
      <c r="BIL57" s="481"/>
      <c r="BIM57" s="481"/>
      <c r="BIN57" s="481"/>
      <c r="BIO57" s="481"/>
      <c r="BIP57" s="481"/>
      <c r="BIQ57" s="481"/>
      <c r="BIR57" s="481"/>
      <c r="BIS57" s="481"/>
      <c r="BIT57" s="481"/>
      <c r="BIU57" s="481"/>
      <c r="BIV57" s="481"/>
      <c r="BIW57" s="481"/>
      <c r="BIX57" s="481"/>
      <c r="BIY57" s="481"/>
      <c r="BIZ57" s="481"/>
      <c r="BJA57" s="481"/>
      <c r="BJB57" s="481"/>
      <c r="BJC57" s="481"/>
      <c r="BJD57" s="481"/>
      <c r="BJE57" s="481"/>
      <c r="BJF57" s="481"/>
      <c r="BJG57" s="481"/>
      <c r="BJH57" s="481"/>
      <c r="BJI57" s="481"/>
      <c r="BJJ57" s="481"/>
      <c r="BJK57" s="481"/>
      <c r="BJL57" s="481"/>
      <c r="BJM57" s="481"/>
      <c r="BJN57" s="481"/>
      <c r="BJO57" s="481"/>
      <c r="BJP57" s="481"/>
      <c r="BJQ57" s="481"/>
      <c r="BJR57" s="481"/>
      <c r="BJS57" s="481"/>
      <c r="BJT57" s="481"/>
      <c r="BJU57" s="481"/>
      <c r="BJV57" s="481"/>
      <c r="BJW57" s="481"/>
      <c r="BJX57" s="481"/>
      <c r="BJY57" s="481"/>
      <c r="BJZ57" s="481"/>
      <c r="BKA57" s="481"/>
      <c r="BKB57" s="481"/>
      <c r="BKC57" s="481"/>
      <c r="BKD57" s="481"/>
      <c r="BKE57" s="481"/>
      <c r="BKF57" s="481"/>
      <c r="BKG57" s="481"/>
      <c r="BKH57" s="481"/>
      <c r="BKI57" s="481"/>
      <c r="BKJ57" s="481"/>
      <c r="BKK57" s="481"/>
      <c r="BKL57" s="481"/>
      <c r="BKM57" s="481"/>
      <c r="BKN57" s="481"/>
      <c r="BKO57" s="481"/>
      <c r="BKP57" s="481"/>
      <c r="BKQ57" s="481"/>
      <c r="BKR57" s="481"/>
      <c r="BKS57" s="481"/>
      <c r="BKT57" s="481"/>
      <c r="BKU57" s="481"/>
      <c r="BKV57" s="481"/>
      <c r="BKW57" s="481"/>
      <c r="BKX57" s="481"/>
      <c r="BKY57" s="481"/>
      <c r="BKZ57" s="481"/>
      <c r="BLA57" s="481"/>
      <c r="BLB57" s="481"/>
      <c r="BLC57" s="481"/>
      <c r="BLD57" s="481"/>
      <c r="BLE57" s="481"/>
      <c r="BLF57" s="481"/>
      <c r="BLG57" s="481"/>
      <c r="BLH57" s="481"/>
      <c r="BLI57" s="481"/>
      <c r="BLJ57" s="481"/>
      <c r="BLK57" s="481"/>
      <c r="BLL57" s="481"/>
      <c r="BLM57" s="481"/>
      <c r="BLN57" s="481"/>
      <c r="BLO57" s="481"/>
      <c r="BLP57" s="481"/>
      <c r="BLQ57" s="481"/>
      <c r="BLR57" s="481"/>
      <c r="BLS57" s="481"/>
      <c r="BLT57" s="481"/>
      <c r="BLU57" s="481"/>
      <c r="BLV57" s="481"/>
      <c r="BLW57" s="481"/>
      <c r="BLX57" s="481"/>
      <c r="BLY57" s="481"/>
      <c r="BLZ57" s="481"/>
      <c r="BMA57" s="481"/>
      <c r="BMB57" s="481"/>
      <c r="BMC57" s="481"/>
      <c r="BMD57" s="481"/>
      <c r="BME57" s="481"/>
      <c r="BMF57" s="481"/>
      <c r="BMG57" s="481"/>
      <c r="BMH57" s="481"/>
      <c r="BMI57" s="481"/>
      <c r="BMJ57" s="481"/>
      <c r="BMK57" s="481"/>
      <c r="BML57" s="481"/>
      <c r="BMM57" s="481"/>
      <c r="BMN57" s="481"/>
      <c r="BMO57" s="481"/>
      <c r="BMP57" s="481"/>
      <c r="BMQ57" s="481"/>
      <c r="BMR57" s="481"/>
      <c r="BMS57" s="481"/>
      <c r="BMT57" s="481"/>
      <c r="BMU57" s="481"/>
      <c r="BMV57" s="481"/>
      <c r="BMW57" s="481"/>
      <c r="BMX57" s="481"/>
      <c r="BMY57" s="481"/>
      <c r="BMZ57" s="481"/>
      <c r="BNA57" s="481"/>
      <c r="BNB57" s="481"/>
      <c r="BNC57" s="481"/>
      <c r="BND57" s="481"/>
      <c r="BNE57" s="481"/>
      <c r="BNF57" s="481"/>
      <c r="BNG57" s="481"/>
      <c r="BNH57" s="481"/>
      <c r="BNI57" s="481"/>
      <c r="BNJ57" s="481"/>
      <c r="BNK57" s="481"/>
      <c r="BNL57" s="481"/>
      <c r="BNM57" s="481"/>
      <c r="BNN57" s="481"/>
      <c r="BNO57" s="481"/>
      <c r="BNP57" s="481"/>
      <c r="BNQ57" s="481"/>
      <c r="BNR57" s="481"/>
      <c r="BNS57" s="481"/>
      <c r="BNT57" s="481"/>
      <c r="BNU57" s="481"/>
      <c r="BNV57" s="481"/>
      <c r="BNW57" s="481"/>
      <c r="BNX57" s="481"/>
      <c r="BNY57" s="481"/>
      <c r="BNZ57" s="481"/>
      <c r="BOA57" s="481"/>
      <c r="BOB57" s="481"/>
      <c r="BOC57" s="481"/>
      <c r="BOD57" s="481"/>
      <c r="BOE57" s="481"/>
      <c r="BOF57" s="481"/>
      <c r="BOG57" s="481"/>
      <c r="BOH57" s="481"/>
      <c r="BOI57" s="481"/>
      <c r="BOJ57" s="481"/>
      <c r="BOK57" s="481"/>
      <c r="BOL57" s="481"/>
      <c r="BOM57" s="481"/>
      <c r="BON57" s="481"/>
      <c r="BOO57" s="481"/>
      <c r="BOP57" s="481"/>
      <c r="BOQ57" s="481"/>
      <c r="BOR57" s="481"/>
      <c r="BOS57" s="481"/>
      <c r="BOT57" s="481"/>
      <c r="BOU57" s="481"/>
      <c r="BOV57" s="481"/>
      <c r="BOW57" s="481"/>
      <c r="BOX57" s="481"/>
      <c r="BOY57" s="481"/>
      <c r="BOZ57" s="481"/>
      <c r="BPA57" s="481"/>
      <c r="BPB57" s="481"/>
      <c r="BPC57" s="481"/>
      <c r="BPD57" s="481"/>
      <c r="BPE57" s="481"/>
      <c r="BPF57" s="481"/>
      <c r="BPG57" s="481"/>
      <c r="BPH57" s="481"/>
      <c r="BPI57" s="481"/>
      <c r="BPJ57" s="481"/>
      <c r="BPK57" s="481"/>
      <c r="BPL57" s="481"/>
      <c r="BPM57" s="481"/>
      <c r="BPN57" s="481"/>
      <c r="BPO57" s="481"/>
      <c r="BPP57" s="481"/>
      <c r="BPQ57" s="481"/>
      <c r="BPR57" s="481"/>
      <c r="BPS57" s="481"/>
      <c r="BPT57" s="481"/>
      <c r="BPU57" s="481"/>
      <c r="BPV57" s="481"/>
      <c r="BPW57" s="481"/>
      <c r="BPX57" s="481"/>
      <c r="BPY57" s="481"/>
      <c r="BPZ57" s="481"/>
      <c r="BQA57" s="481"/>
      <c r="BQB57" s="481"/>
      <c r="BQC57" s="481"/>
      <c r="BQD57" s="481"/>
      <c r="BQE57" s="481"/>
      <c r="BQF57" s="481"/>
      <c r="BQG57" s="481"/>
      <c r="BQH57" s="481"/>
      <c r="BQI57" s="481"/>
      <c r="BQJ57" s="481"/>
      <c r="BQK57" s="481"/>
      <c r="BQL57" s="481"/>
      <c r="BQM57" s="481"/>
      <c r="BQN57" s="481"/>
      <c r="BQO57" s="481"/>
      <c r="BQP57" s="481"/>
      <c r="BQQ57" s="481"/>
      <c r="BQR57" s="481"/>
      <c r="BQS57" s="481"/>
      <c r="BQT57" s="481"/>
      <c r="BQU57" s="481"/>
      <c r="BQV57" s="481"/>
      <c r="BQW57" s="481"/>
      <c r="BQX57" s="481"/>
      <c r="BQY57" s="481"/>
      <c r="BQZ57" s="481"/>
      <c r="BRA57" s="481"/>
      <c r="BRB57" s="481"/>
      <c r="BRC57" s="481"/>
      <c r="BRD57" s="481"/>
      <c r="BRE57" s="481"/>
      <c r="BRF57" s="481"/>
      <c r="BRG57" s="481"/>
      <c r="BRH57" s="481"/>
      <c r="BRI57" s="481"/>
      <c r="BRJ57" s="481"/>
      <c r="BRK57" s="481"/>
      <c r="BRL57" s="481"/>
      <c r="BRM57" s="481"/>
      <c r="BRN57" s="481"/>
      <c r="BRO57" s="481"/>
      <c r="BRP57" s="481"/>
      <c r="BRQ57" s="481"/>
      <c r="BRR57" s="481"/>
      <c r="BRS57" s="481"/>
      <c r="BRT57" s="481"/>
      <c r="BRU57" s="481"/>
      <c r="BRV57" s="481"/>
      <c r="BRW57" s="481"/>
      <c r="BRX57" s="481"/>
      <c r="BRY57" s="481"/>
      <c r="BRZ57" s="481"/>
      <c r="BSA57" s="481"/>
      <c r="BSB57" s="481"/>
      <c r="BSC57" s="481"/>
      <c r="BSD57" s="481"/>
      <c r="BSE57" s="481"/>
      <c r="BSF57" s="481"/>
      <c r="BSG57" s="481"/>
      <c r="BSH57" s="481"/>
      <c r="BSI57" s="481"/>
      <c r="BSJ57" s="481"/>
      <c r="BSK57" s="481"/>
      <c r="BSL57" s="481"/>
      <c r="BSM57" s="481"/>
      <c r="BSN57" s="481"/>
      <c r="BSO57" s="481"/>
      <c r="BSP57" s="481"/>
      <c r="BSQ57" s="481"/>
      <c r="BSR57" s="481"/>
      <c r="BSS57" s="481"/>
      <c r="BST57" s="481"/>
      <c r="BSU57" s="481"/>
      <c r="BSV57" s="481"/>
      <c r="BSW57" s="481"/>
      <c r="BSX57" s="481"/>
      <c r="BSY57" s="481"/>
      <c r="BSZ57" s="481"/>
      <c r="BTA57" s="481"/>
      <c r="BTB57" s="481"/>
      <c r="BTC57" s="481"/>
      <c r="BTD57" s="481"/>
      <c r="BTE57" s="481"/>
      <c r="BTF57" s="481"/>
      <c r="BTG57" s="481"/>
      <c r="BTH57" s="481"/>
      <c r="BTI57" s="481"/>
      <c r="BTJ57" s="481"/>
      <c r="BTK57" s="481"/>
      <c r="BTL57" s="481"/>
      <c r="BTM57" s="481"/>
      <c r="BTN57" s="481"/>
      <c r="BTO57" s="481"/>
      <c r="BTP57" s="481"/>
      <c r="BTQ57" s="481"/>
      <c r="BTR57" s="481"/>
      <c r="BTS57" s="481"/>
      <c r="BTT57" s="481"/>
      <c r="BTU57" s="481"/>
      <c r="BTV57" s="481"/>
      <c r="BTW57" s="481"/>
      <c r="BTX57" s="481"/>
      <c r="BTY57" s="481"/>
      <c r="BTZ57" s="481"/>
      <c r="BUA57" s="481"/>
      <c r="BUB57" s="481"/>
      <c r="BUC57" s="481"/>
      <c r="BUD57" s="481"/>
      <c r="BUE57" s="481"/>
      <c r="BUF57" s="481"/>
      <c r="BUG57" s="481"/>
      <c r="BUH57" s="481"/>
      <c r="BUI57" s="481"/>
      <c r="BUJ57" s="481"/>
      <c r="BUK57" s="481"/>
      <c r="BUL57" s="481"/>
      <c r="BUM57" s="481"/>
      <c r="BUN57" s="481"/>
      <c r="BUO57" s="481"/>
      <c r="BUP57" s="481"/>
      <c r="BUQ57" s="481"/>
      <c r="BUR57" s="481"/>
      <c r="BUS57" s="481"/>
      <c r="BUT57" s="481"/>
      <c r="BUU57" s="481"/>
      <c r="BUV57" s="481"/>
      <c r="BUW57" s="481"/>
      <c r="BUX57" s="481"/>
      <c r="BUY57" s="481"/>
      <c r="BUZ57" s="481"/>
      <c r="BVA57" s="481"/>
      <c r="BVB57" s="481"/>
      <c r="BVC57" s="481"/>
      <c r="BVD57" s="481"/>
      <c r="BVE57" s="481"/>
      <c r="BVF57" s="481"/>
      <c r="BVG57" s="481"/>
      <c r="BVH57" s="481"/>
      <c r="BVI57" s="481"/>
      <c r="BVJ57" s="481"/>
      <c r="BVK57" s="481"/>
      <c r="BVL57" s="481"/>
      <c r="BVM57" s="481"/>
      <c r="BVN57" s="481"/>
      <c r="BVO57" s="481"/>
      <c r="BVP57" s="481"/>
      <c r="BVQ57" s="481"/>
      <c r="BVR57" s="481"/>
      <c r="BVS57" s="481"/>
      <c r="BVT57" s="481"/>
      <c r="BVU57" s="481"/>
      <c r="BVV57" s="481"/>
      <c r="BVW57" s="481"/>
      <c r="BVX57" s="481"/>
      <c r="BVY57" s="481"/>
      <c r="BVZ57" s="481"/>
      <c r="BWA57" s="481"/>
      <c r="BWB57" s="481"/>
      <c r="BWC57" s="481"/>
      <c r="BWD57" s="481"/>
      <c r="BWE57" s="481"/>
      <c r="BWF57" s="481"/>
      <c r="BWG57" s="481"/>
      <c r="BWH57" s="481"/>
      <c r="BWI57" s="481"/>
      <c r="BWJ57" s="481"/>
      <c r="BWK57" s="481"/>
      <c r="BWL57" s="481"/>
      <c r="BWM57" s="481"/>
      <c r="BWN57" s="481"/>
      <c r="BWO57" s="481"/>
      <c r="BWP57" s="481"/>
      <c r="BWQ57" s="481"/>
      <c r="BWR57" s="481"/>
      <c r="BWS57" s="481"/>
      <c r="BWT57" s="481"/>
      <c r="BWU57" s="481"/>
      <c r="BWV57" s="481"/>
      <c r="BWW57" s="481"/>
      <c r="BWX57" s="481"/>
      <c r="BWY57" s="481"/>
      <c r="BWZ57" s="481"/>
      <c r="BXA57" s="481"/>
      <c r="BXB57" s="481"/>
      <c r="BXC57" s="481"/>
      <c r="BXD57" s="481"/>
      <c r="BXE57" s="481"/>
      <c r="BXF57" s="481"/>
      <c r="BXG57" s="481"/>
      <c r="BXH57" s="481"/>
      <c r="BXI57" s="481"/>
      <c r="BXJ57" s="481"/>
      <c r="BXK57" s="481"/>
      <c r="BXL57" s="481"/>
      <c r="BXM57" s="481"/>
      <c r="BXN57" s="481"/>
      <c r="BXO57" s="481"/>
      <c r="BXP57" s="481"/>
      <c r="BXQ57" s="481"/>
      <c r="BXR57" s="481"/>
      <c r="BXS57" s="481"/>
      <c r="BXT57" s="481"/>
      <c r="BXU57" s="481"/>
      <c r="BXV57" s="481"/>
      <c r="BXW57" s="481"/>
      <c r="BXX57" s="481"/>
      <c r="BXY57" s="481"/>
      <c r="BXZ57" s="481"/>
      <c r="BYA57" s="481"/>
      <c r="BYB57" s="481"/>
      <c r="BYC57" s="481"/>
      <c r="BYD57" s="481"/>
      <c r="BYE57" s="481"/>
      <c r="BYF57" s="481"/>
      <c r="BYG57" s="481"/>
      <c r="BYH57" s="481"/>
      <c r="BYI57" s="481"/>
      <c r="BYJ57" s="481"/>
      <c r="BYK57" s="481"/>
      <c r="BYL57" s="481"/>
      <c r="BYM57" s="481"/>
      <c r="BYN57" s="481"/>
      <c r="BYO57" s="481"/>
      <c r="BYP57" s="481"/>
      <c r="BYQ57" s="481"/>
      <c r="BYR57" s="481"/>
      <c r="BYS57" s="481"/>
      <c r="BYT57" s="481"/>
      <c r="BYU57" s="481"/>
      <c r="BYV57" s="481"/>
      <c r="BYW57" s="481"/>
      <c r="BYX57" s="481"/>
      <c r="BYY57" s="481"/>
      <c r="BYZ57" s="481"/>
      <c r="BZA57" s="481"/>
      <c r="BZB57" s="481"/>
      <c r="BZC57" s="481"/>
      <c r="BZD57" s="481"/>
      <c r="BZE57" s="481"/>
      <c r="BZF57" s="481"/>
      <c r="BZG57" s="481"/>
      <c r="BZH57" s="481"/>
      <c r="BZI57" s="481"/>
      <c r="BZJ57" s="481"/>
      <c r="BZK57" s="481"/>
      <c r="BZL57" s="481"/>
      <c r="BZM57" s="481"/>
      <c r="BZN57" s="481"/>
      <c r="BZO57" s="481"/>
      <c r="BZP57" s="481"/>
      <c r="BZQ57" s="481"/>
      <c r="BZR57" s="481"/>
      <c r="BZS57" s="481"/>
      <c r="BZT57" s="481"/>
      <c r="BZU57" s="481"/>
      <c r="BZV57" s="481"/>
      <c r="BZW57" s="481"/>
      <c r="BZX57" s="481"/>
      <c r="BZY57" s="481"/>
      <c r="BZZ57" s="481"/>
      <c r="CAA57" s="481"/>
      <c r="CAB57" s="481"/>
      <c r="CAC57" s="481"/>
      <c r="CAD57" s="481"/>
      <c r="CAE57" s="481"/>
      <c r="CAF57" s="481"/>
      <c r="CAG57" s="481"/>
      <c r="CAH57" s="481"/>
      <c r="CAI57" s="481"/>
      <c r="CAJ57" s="481"/>
      <c r="CAK57" s="481"/>
      <c r="CAL57" s="481"/>
      <c r="CAM57" s="481"/>
      <c r="CAN57" s="481"/>
      <c r="CAO57" s="481"/>
      <c r="CAP57" s="481"/>
      <c r="CAQ57" s="481"/>
      <c r="CAR57" s="481"/>
      <c r="CAS57" s="481"/>
      <c r="CAT57" s="481"/>
      <c r="CAU57" s="481"/>
      <c r="CAV57" s="481"/>
      <c r="CAW57" s="481"/>
      <c r="CAX57" s="481"/>
      <c r="CAY57" s="481"/>
      <c r="CAZ57" s="481"/>
      <c r="CBA57" s="481"/>
      <c r="CBB57" s="481"/>
      <c r="CBC57" s="481"/>
      <c r="CBD57" s="481"/>
      <c r="CBE57" s="481"/>
      <c r="CBF57" s="481"/>
      <c r="CBG57" s="481"/>
      <c r="CBH57" s="481"/>
      <c r="CBI57" s="481"/>
      <c r="CBJ57" s="481"/>
      <c r="CBK57" s="481"/>
      <c r="CBL57" s="481"/>
      <c r="CBM57" s="481"/>
      <c r="CBN57" s="481"/>
      <c r="CBO57" s="481"/>
      <c r="CBP57" s="481"/>
      <c r="CBQ57" s="481"/>
      <c r="CBR57" s="481"/>
      <c r="CBS57" s="481"/>
      <c r="CBT57" s="481"/>
      <c r="CBU57" s="481"/>
      <c r="CBV57" s="481"/>
      <c r="CBW57" s="481"/>
      <c r="CBX57" s="481"/>
      <c r="CBY57" s="481"/>
      <c r="CBZ57" s="481"/>
      <c r="CCA57" s="481"/>
      <c r="CCB57" s="481"/>
      <c r="CCC57" s="481"/>
      <c r="CCD57" s="481"/>
      <c r="CCE57" s="481"/>
      <c r="CCF57" s="481"/>
      <c r="CCG57" s="481"/>
      <c r="CCH57" s="481"/>
      <c r="CCI57" s="481"/>
      <c r="CCJ57" s="481"/>
      <c r="CCK57" s="481"/>
      <c r="CCL57" s="481"/>
      <c r="CCM57" s="481"/>
      <c r="CCN57" s="481"/>
      <c r="CCO57" s="481"/>
      <c r="CCP57" s="481"/>
      <c r="CCQ57" s="481"/>
      <c r="CCR57" s="481"/>
      <c r="CCS57" s="481"/>
      <c r="CCT57" s="481"/>
      <c r="CCU57" s="481"/>
      <c r="CCV57" s="481"/>
      <c r="CCW57" s="481"/>
      <c r="CCX57" s="481"/>
      <c r="CCY57" s="481"/>
      <c r="CCZ57" s="481"/>
      <c r="CDA57" s="481"/>
      <c r="CDB57" s="481"/>
      <c r="CDC57" s="481"/>
      <c r="CDD57" s="481"/>
      <c r="CDE57" s="481"/>
      <c r="CDF57" s="481"/>
      <c r="CDG57" s="481"/>
      <c r="CDH57" s="481"/>
      <c r="CDI57" s="481"/>
      <c r="CDJ57" s="481"/>
      <c r="CDK57" s="481"/>
      <c r="CDL57" s="481"/>
      <c r="CDM57" s="481"/>
      <c r="CDN57" s="481"/>
      <c r="CDO57" s="481"/>
      <c r="CDP57" s="481"/>
      <c r="CDQ57" s="481"/>
      <c r="CDR57" s="481"/>
      <c r="CDS57" s="481"/>
      <c r="CDT57" s="481"/>
      <c r="CDU57" s="481"/>
      <c r="CDV57" s="481"/>
      <c r="CDW57" s="481"/>
      <c r="CDX57" s="481"/>
      <c r="CDY57" s="481"/>
      <c r="CDZ57" s="481"/>
      <c r="CEA57" s="481"/>
      <c r="CEB57" s="481"/>
      <c r="CEC57" s="481"/>
      <c r="CED57" s="481"/>
      <c r="CEE57" s="481"/>
      <c r="CEF57" s="481"/>
      <c r="CEG57" s="481"/>
      <c r="CEH57" s="481"/>
      <c r="CEI57" s="481"/>
      <c r="CEJ57" s="481"/>
      <c r="CEK57" s="481"/>
      <c r="CEL57" s="481"/>
      <c r="CEM57" s="481"/>
      <c r="CEN57" s="481"/>
      <c r="CEO57" s="481"/>
      <c r="CEP57" s="481"/>
      <c r="CEQ57" s="481"/>
      <c r="CER57" s="481"/>
      <c r="CES57" s="481"/>
      <c r="CET57" s="481"/>
      <c r="CEU57" s="481"/>
      <c r="CEV57" s="481"/>
      <c r="CEW57" s="481"/>
      <c r="CEX57" s="481"/>
      <c r="CEY57" s="481"/>
      <c r="CEZ57" s="481"/>
      <c r="CFA57" s="481"/>
      <c r="CFB57" s="481"/>
      <c r="CFC57" s="481"/>
      <c r="CFD57" s="481"/>
      <c r="CFE57" s="481"/>
      <c r="CFF57" s="481"/>
      <c r="CFG57" s="481"/>
      <c r="CFH57" s="481"/>
      <c r="CFI57" s="481"/>
      <c r="CFJ57" s="481"/>
      <c r="CFK57" s="481"/>
      <c r="CFL57" s="481"/>
      <c r="CFM57" s="481"/>
      <c r="CFN57" s="481"/>
      <c r="CFO57" s="481"/>
      <c r="CFP57" s="481"/>
      <c r="CFQ57" s="481"/>
      <c r="CFR57" s="481"/>
      <c r="CFS57" s="481"/>
      <c r="CFT57" s="481"/>
      <c r="CFU57" s="481"/>
      <c r="CFV57" s="481"/>
      <c r="CFW57" s="481"/>
      <c r="CFX57" s="481"/>
      <c r="CFY57" s="481"/>
      <c r="CFZ57" s="481"/>
      <c r="CGA57" s="481"/>
      <c r="CGB57" s="481"/>
      <c r="CGC57" s="481"/>
      <c r="CGD57" s="481"/>
      <c r="CGE57" s="481"/>
      <c r="CGF57" s="481"/>
      <c r="CGG57" s="481"/>
      <c r="CGH57" s="481"/>
      <c r="CGI57" s="481"/>
      <c r="CGJ57" s="481"/>
      <c r="CGK57" s="481"/>
      <c r="CGL57" s="481"/>
      <c r="CGM57" s="481"/>
      <c r="CGN57" s="481"/>
      <c r="CGO57" s="481"/>
      <c r="CGP57" s="481"/>
      <c r="CGQ57" s="481"/>
      <c r="CGR57" s="481"/>
      <c r="CGS57" s="481"/>
      <c r="CGT57" s="481"/>
      <c r="CGU57" s="481"/>
      <c r="CGV57" s="481"/>
      <c r="CGW57" s="481"/>
      <c r="CGX57" s="481"/>
      <c r="CGY57" s="481"/>
      <c r="CGZ57" s="481"/>
      <c r="CHA57" s="481"/>
      <c r="CHB57" s="481"/>
      <c r="CHC57" s="481"/>
      <c r="CHD57" s="481"/>
      <c r="CHE57" s="481"/>
      <c r="CHF57" s="481"/>
      <c r="CHG57" s="481"/>
      <c r="CHH57" s="481"/>
      <c r="CHI57" s="481"/>
      <c r="CHJ57" s="481"/>
      <c r="CHK57" s="481"/>
      <c r="CHL57" s="481"/>
      <c r="CHM57" s="481"/>
      <c r="CHN57" s="481"/>
      <c r="CHO57" s="481"/>
      <c r="CHP57" s="481"/>
      <c r="CHQ57" s="481"/>
      <c r="CHR57" s="481"/>
      <c r="CHS57" s="481"/>
      <c r="CHT57" s="481"/>
      <c r="CHU57" s="481"/>
      <c r="CHV57" s="481"/>
      <c r="CHW57" s="481"/>
      <c r="CHX57" s="481"/>
      <c r="CHY57" s="481"/>
      <c r="CHZ57" s="481"/>
      <c r="CIA57" s="481"/>
      <c r="CIB57" s="481"/>
      <c r="CIC57" s="481"/>
      <c r="CID57" s="481"/>
      <c r="CIE57" s="481"/>
      <c r="CIF57" s="481"/>
      <c r="CIG57" s="481"/>
      <c r="CIH57" s="481"/>
      <c r="CII57" s="481"/>
      <c r="CIJ57" s="481"/>
      <c r="CIK57" s="481"/>
      <c r="CIL57" s="481"/>
      <c r="CIM57" s="481"/>
      <c r="CIN57" s="481"/>
      <c r="CIO57" s="481"/>
      <c r="CIP57" s="481"/>
      <c r="CIQ57" s="481"/>
      <c r="CIR57" s="481"/>
      <c r="CIS57" s="481"/>
      <c r="CIT57" s="481"/>
      <c r="CIU57" s="481"/>
      <c r="CIV57" s="481"/>
      <c r="CIW57" s="481"/>
      <c r="CIX57" s="481"/>
      <c r="CIY57" s="481"/>
      <c r="CIZ57" s="481"/>
      <c r="CJA57" s="481"/>
      <c r="CJB57" s="481"/>
      <c r="CJC57" s="481"/>
      <c r="CJD57" s="481"/>
      <c r="CJE57" s="481"/>
      <c r="CJF57" s="481"/>
      <c r="CJG57" s="481"/>
      <c r="CJH57" s="481"/>
      <c r="CJI57" s="481"/>
      <c r="CJJ57" s="481"/>
      <c r="CJK57" s="481"/>
      <c r="CJL57" s="481"/>
      <c r="CJM57" s="481"/>
      <c r="CJN57" s="481"/>
      <c r="CJO57" s="481"/>
      <c r="CJP57" s="481"/>
      <c r="CJQ57" s="481"/>
      <c r="CJR57" s="481"/>
      <c r="CJS57" s="481"/>
      <c r="CJT57" s="481"/>
      <c r="CJU57" s="481"/>
      <c r="CJV57" s="481"/>
      <c r="CJW57" s="481"/>
      <c r="CJX57" s="481"/>
      <c r="CJY57" s="481"/>
      <c r="CJZ57" s="481"/>
      <c r="CKA57" s="481"/>
      <c r="CKB57" s="481"/>
      <c r="CKC57" s="481"/>
      <c r="CKD57" s="481"/>
      <c r="CKE57" s="481"/>
      <c r="CKF57" s="481"/>
      <c r="CKG57" s="481"/>
      <c r="CKH57" s="481"/>
      <c r="CKI57" s="481"/>
      <c r="CKJ57" s="481"/>
      <c r="CKK57" s="481"/>
      <c r="CKL57" s="481"/>
      <c r="CKM57" s="481"/>
      <c r="CKN57" s="481"/>
      <c r="CKO57" s="481"/>
      <c r="CKP57" s="481"/>
      <c r="CKQ57" s="481"/>
      <c r="CKR57" s="481"/>
      <c r="CKS57" s="481"/>
      <c r="CKT57" s="481"/>
      <c r="CKU57" s="481"/>
      <c r="CKV57" s="481"/>
      <c r="CKW57" s="481"/>
      <c r="CKX57" s="481"/>
      <c r="CKY57" s="481"/>
      <c r="CKZ57" s="481"/>
      <c r="CLA57" s="481"/>
      <c r="CLB57" s="481"/>
      <c r="CLC57" s="481"/>
      <c r="CLD57" s="481"/>
      <c r="CLE57" s="481"/>
      <c r="CLF57" s="481"/>
      <c r="CLG57" s="481"/>
      <c r="CLH57" s="481"/>
      <c r="CLI57" s="481"/>
      <c r="CLJ57" s="481"/>
      <c r="CLK57" s="481"/>
      <c r="CLL57" s="481"/>
      <c r="CLM57" s="481"/>
      <c r="CLN57" s="481"/>
      <c r="CLO57" s="481"/>
      <c r="CLP57" s="481"/>
      <c r="CLQ57" s="481"/>
      <c r="CLR57" s="481"/>
      <c r="CLS57" s="481"/>
      <c r="CLT57" s="481"/>
      <c r="CLU57" s="481"/>
      <c r="CLV57" s="481"/>
      <c r="CLW57" s="481"/>
      <c r="CLX57" s="481"/>
      <c r="CLY57" s="481"/>
      <c r="CLZ57" s="481"/>
      <c r="CMA57" s="481"/>
      <c r="CMB57" s="481"/>
      <c r="CMC57" s="481"/>
      <c r="CMD57" s="481"/>
      <c r="CME57" s="481"/>
      <c r="CMF57" s="481"/>
      <c r="CMG57" s="481"/>
      <c r="CMH57" s="481"/>
      <c r="CMI57" s="481"/>
      <c r="CMJ57" s="481"/>
      <c r="CMK57" s="481"/>
      <c r="CML57" s="481"/>
      <c r="CMM57" s="481"/>
      <c r="CMN57" s="481"/>
      <c r="CMO57" s="481"/>
      <c r="CMP57" s="481"/>
      <c r="CMQ57" s="481"/>
      <c r="CMR57" s="481"/>
      <c r="CMS57" s="481"/>
      <c r="CMT57" s="481"/>
      <c r="CMU57" s="481"/>
      <c r="CMV57" s="481"/>
      <c r="CMW57" s="481"/>
      <c r="CMX57" s="481"/>
      <c r="CMY57" s="481"/>
      <c r="CMZ57" s="481"/>
      <c r="CNA57" s="481"/>
      <c r="CNB57" s="481"/>
      <c r="CNC57" s="481"/>
      <c r="CND57" s="481"/>
      <c r="CNE57" s="481"/>
      <c r="CNF57" s="481"/>
      <c r="CNG57" s="481"/>
      <c r="CNH57" s="481"/>
      <c r="CNI57" s="481"/>
      <c r="CNJ57" s="481"/>
      <c r="CNK57" s="481"/>
      <c r="CNL57" s="481"/>
      <c r="CNM57" s="481"/>
      <c r="CNN57" s="481"/>
      <c r="CNO57" s="481"/>
      <c r="CNP57" s="481"/>
      <c r="CNQ57" s="481"/>
      <c r="CNR57" s="481"/>
      <c r="CNS57" s="481"/>
      <c r="CNT57" s="481"/>
      <c r="CNU57" s="481"/>
      <c r="CNV57" s="481"/>
      <c r="CNW57" s="481"/>
      <c r="CNX57" s="481"/>
      <c r="CNY57" s="481"/>
      <c r="CNZ57" s="481"/>
      <c r="COA57" s="481"/>
      <c r="COB57" s="481"/>
      <c r="COC57" s="481"/>
      <c r="COD57" s="481"/>
      <c r="COE57" s="481"/>
      <c r="COF57" s="481"/>
      <c r="COG57" s="481"/>
      <c r="COH57" s="481"/>
      <c r="COI57" s="481"/>
      <c r="COJ57" s="481"/>
      <c r="COK57" s="481"/>
      <c r="COL57" s="481"/>
      <c r="COM57" s="481"/>
      <c r="CON57" s="481"/>
      <c r="COO57" s="481"/>
      <c r="COP57" s="481"/>
      <c r="COQ57" s="481"/>
      <c r="COR57" s="481"/>
      <c r="COS57" s="481"/>
      <c r="COT57" s="481"/>
      <c r="COU57" s="481"/>
      <c r="COV57" s="481"/>
      <c r="COW57" s="481"/>
      <c r="COX57" s="481"/>
      <c r="COY57" s="481"/>
      <c r="COZ57" s="481"/>
      <c r="CPA57" s="481"/>
      <c r="CPB57" s="481"/>
      <c r="CPC57" s="481"/>
      <c r="CPD57" s="481"/>
      <c r="CPE57" s="481"/>
      <c r="CPF57" s="481"/>
      <c r="CPG57" s="481"/>
      <c r="CPH57" s="481"/>
      <c r="CPI57" s="481"/>
      <c r="CPJ57" s="481"/>
      <c r="CPK57" s="481"/>
      <c r="CPL57" s="481"/>
      <c r="CPM57" s="481"/>
      <c r="CPN57" s="481"/>
      <c r="CPO57" s="481"/>
      <c r="CPP57" s="481"/>
      <c r="CPQ57" s="481"/>
      <c r="CPR57" s="481"/>
      <c r="CPS57" s="481"/>
      <c r="CPT57" s="481"/>
      <c r="CPU57" s="481"/>
      <c r="CPV57" s="481"/>
      <c r="CPW57" s="481"/>
      <c r="CPX57" s="481"/>
      <c r="CPY57" s="481"/>
      <c r="CPZ57" s="481"/>
      <c r="CQA57" s="481"/>
      <c r="CQB57" s="481"/>
      <c r="CQC57" s="481"/>
      <c r="CQD57" s="481"/>
      <c r="CQE57" s="481"/>
      <c r="CQF57" s="481"/>
      <c r="CQG57" s="481"/>
      <c r="CQH57" s="481"/>
      <c r="CQI57" s="481"/>
      <c r="CQJ57" s="481"/>
      <c r="CQK57" s="481"/>
      <c r="CQL57" s="481"/>
      <c r="CQM57" s="481"/>
      <c r="CQN57" s="481"/>
      <c r="CQO57" s="481"/>
      <c r="CQP57" s="481"/>
      <c r="CQQ57" s="481"/>
      <c r="CQR57" s="481"/>
      <c r="CQS57" s="481"/>
      <c r="CQT57" s="481"/>
      <c r="CQU57" s="481"/>
      <c r="CQV57" s="481"/>
      <c r="CQW57" s="481"/>
      <c r="CQX57" s="481"/>
      <c r="CQY57" s="481"/>
      <c r="CQZ57" s="481"/>
      <c r="CRA57" s="481"/>
      <c r="CRB57" s="481"/>
      <c r="CRC57" s="481"/>
      <c r="CRD57" s="481"/>
      <c r="CRE57" s="481"/>
      <c r="CRF57" s="481"/>
      <c r="CRG57" s="481"/>
      <c r="CRH57" s="481"/>
      <c r="CRI57" s="481"/>
      <c r="CRJ57" s="481"/>
      <c r="CRK57" s="481"/>
      <c r="CRL57" s="481"/>
      <c r="CRM57" s="481"/>
      <c r="CRN57" s="481"/>
      <c r="CRO57" s="481"/>
      <c r="CRP57" s="481"/>
      <c r="CRQ57" s="481"/>
      <c r="CRR57" s="481"/>
      <c r="CRS57" s="481"/>
      <c r="CRT57" s="481"/>
      <c r="CRU57" s="481"/>
      <c r="CRV57" s="481"/>
      <c r="CRW57" s="481"/>
      <c r="CRX57" s="481"/>
      <c r="CRY57" s="481"/>
      <c r="CRZ57" s="481"/>
      <c r="CSA57" s="481"/>
      <c r="CSB57" s="481"/>
      <c r="CSC57" s="481"/>
      <c r="CSD57" s="481"/>
      <c r="CSE57" s="481"/>
      <c r="CSF57" s="481"/>
      <c r="CSG57" s="481"/>
      <c r="CSH57" s="481"/>
      <c r="CSI57" s="481"/>
      <c r="CSJ57" s="481"/>
      <c r="CSK57" s="481"/>
      <c r="CSL57" s="481"/>
      <c r="CSM57" s="481"/>
      <c r="CSN57" s="481"/>
      <c r="CSO57" s="481"/>
      <c r="CSP57" s="481"/>
      <c r="CSQ57" s="481"/>
      <c r="CSR57" s="481"/>
      <c r="CSS57" s="481"/>
      <c r="CST57" s="481"/>
      <c r="CSU57" s="481"/>
      <c r="CSV57" s="481"/>
      <c r="CSW57" s="481"/>
      <c r="CSX57" s="481"/>
      <c r="CSY57" s="481"/>
      <c r="CSZ57" s="481"/>
      <c r="CTA57" s="481"/>
      <c r="CTB57" s="481"/>
      <c r="CTC57" s="481"/>
      <c r="CTD57" s="481"/>
      <c r="CTE57" s="481"/>
      <c r="CTF57" s="481"/>
      <c r="CTG57" s="481"/>
      <c r="CTH57" s="481"/>
      <c r="CTI57" s="481"/>
      <c r="CTJ57" s="481"/>
      <c r="CTK57" s="481"/>
      <c r="CTL57" s="481"/>
      <c r="CTM57" s="481"/>
      <c r="CTN57" s="481"/>
      <c r="CTO57" s="481"/>
      <c r="CTP57" s="481"/>
      <c r="CTQ57" s="481"/>
      <c r="CTR57" s="481"/>
      <c r="CTS57" s="481"/>
      <c r="CTT57" s="481"/>
      <c r="CTU57" s="481"/>
      <c r="CTV57" s="481"/>
      <c r="CTW57" s="481"/>
      <c r="CTX57" s="481"/>
      <c r="CTY57" s="481"/>
      <c r="CTZ57" s="481"/>
      <c r="CUA57" s="481"/>
      <c r="CUB57" s="481"/>
      <c r="CUC57" s="481"/>
      <c r="CUD57" s="481"/>
      <c r="CUE57" s="481"/>
      <c r="CUF57" s="481"/>
      <c r="CUG57" s="481"/>
      <c r="CUH57" s="481"/>
      <c r="CUI57" s="481"/>
      <c r="CUJ57" s="481"/>
      <c r="CUK57" s="481"/>
      <c r="CUL57" s="481"/>
      <c r="CUM57" s="481"/>
      <c r="CUN57" s="481"/>
      <c r="CUO57" s="481"/>
      <c r="CUP57" s="481"/>
      <c r="CUQ57" s="481"/>
      <c r="CUR57" s="481"/>
      <c r="CUS57" s="481"/>
      <c r="CUT57" s="481"/>
      <c r="CUU57" s="481"/>
      <c r="CUV57" s="481"/>
      <c r="CUW57" s="481"/>
      <c r="CUX57" s="481"/>
      <c r="CUY57" s="481"/>
      <c r="CUZ57" s="481"/>
      <c r="CVA57" s="481"/>
      <c r="CVB57" s="481"/>
      <c r="CVC57" s="481"/>
      <c r="CVD57" s="481"/>
      <c r="CVE57" s="481"/>
      <c r="CVF57" s="481"/>
      <c r="CVG57" s="481"/>
      <c r="CVH57" s="481"/>
      <c r="CVI57" s="481"/>
      <c r="CVJ57" s="481"/>
      <c r="CVK57" s="481"/>
      <c r="CVL57" s="481"/>
      <c r="CVM57" s="481"/>
      <c r="CVN57" s="481"/>
      <c r="CVO57" s="481"/>
      <c r="CVP57" s="481"/>
      <c r="CVQ57" s="481"/>
      <c r="CVR57" s="481"/>
      <c r="CVS57" s="481"/>
      <c r="CVT57" s="481"/>
      <c r="CVU57" s="481"/>
      <c r="CVV57" s="481"/>
      <c r="CVW57" s="481"/>
      <c r="CVX57" s="481"/>
      <c r="CVY57" s="481"/>
      <c r="CVZ57" s="481"/>
      <c r="CWA57" s="481"/>
      <c r="CWB57" s="481"/>
      <c r="CWC57" s="481"/>
      <c r="CWD57" s="481"/>
      <c r="CWE57" s="481"/>
      <c r="CWF57" s="481"/>
      <c r="CWG57" s="481"/>
      <c r="CWH57" s="481"/>
      <c r="CWI57" s="481"/>
      <c r="CWJ57" s="481"/>
      <c r="CWK57" s="481"/>
      <c r="CWL57" s="481"/>
      <c r="CWM57" s="481"/>
      <c r="CWN57" s="481"/>
      <c r="CWO57" s="481"/>
      <c r="CWP57" s="481"/>
      <c r="CWQ57" s="481"/>
      <c r="CWR57" s="481"/>
      <c r="CWS57" s="481"/>
      <c r="CWT57" s="481"/>
      <c r="CWU57" s="481"/>
      <c r="CWV57" s="481"/>
      <c r="CWW57" s="481"/>
      <c r="CWX57" s="481"/>
      <c r="CWY57" s="481"/>
      <c r="CWZ57" s="481"/>
      <c r="CXA57" s="481"/>
      <c r="CXB57" s="481"/>
      <c r="CXC57" s="481"/>
      <c r="CXD57" s="481"/>
      <c r="CXE57" s="481"/>
      <c r="CXF57" s="481"/>
      <c r="CXG57" s="481"/>
      <c r="CXH57" s="481"/>
      <c r="CXI57" s="481"/>
      <c r="CXJ57" s="481"/>
      <c r="CXK57" s="481"/>
      <c r="CXL57" s="481"/>
      <c r="CXM57" s="481"/>
      <c r="CXN57" s="481"/>
      <c r="CXO57" s="481"/>
      <c r="CXP57" s="481"/>
      <c r="CXQ57" s="481"/>
      <c r="CXR57" s="481"/>
      <c r="CXS57" s="481"/>
      <c r="CXT57" s="481"/>
      <c r="CXU57" s="481"/>
      <c r="CXV57" s="481"/>
      <c r="CXW57" s="481"/>
      <c r="CXX57" s="481"/>
      <c r="CXY57" s="481"/>
      <c r="CXZ57" s="481"/>
      <c r="CYA57" s="481"/>
      <c r="CYB57" s="481"/>
      <c r="CYC57" s="481"/>
      <c r="CYD57" s="481"/>
      <c r="CYE57" s="481"/>
      <c r="CYF57" s="481"/>
      <c r="CYG57" s="481"/>
      <c r="CYH57" s="481"/>
      <c r="CYI57" s="481"/>
      <c r="CYJ57" s="481"/>
      <c r="CYK57" s="481"/>
      <c r="CYL57" s="481"/>
      <c r="CYM57" s="481"/>
      <c r="CYN57" s="481"/>
      <c r="CYO57" s="481"/>
      <c r="CYP57" s="481"/>
      <c r="CYQ57" s="481"/>
      <c r="CYR57" s="481"/>
      <c r="CYS57" s="481"/>
      <c r="CYT57" s="481"/>
      <c r="CYU57" s="481"/>
      <c r="CYV57" s="481"/>
      <c r="CYW57" s="481"/>
      <c r="CYX57" s="481"/>
      <c r="CYY57" s="481"/>
      <c r="CYZ57" s="481"/>
      <c r="CZA57" s="481"/>
      <c r="CZB57" s="481"/>
      <c r="CZC57" s="481"/>
      <c r="CZD57" s="481"/>
      <c r="CZE57" s="481"/>
      <c r="CZF57" s="481"/>
      <c r="CZG57" s="481"/>
      <c r="CZH57" s="481"/>
      <c r="CZI57" s="481"/>
      <c r="CZJ57" s="481"/>
      <c r="CZK57" s="481"/>
      <c r="CZL57" s="481"/>
      <c r="CZM57" s="481"/>
      <c r="CZN57" s="481"/>
      <c r="CZO57" s="481"/>
      <c r="CZP57" s="481"/>
      <c r="CZQ57" s="481"/>
      <c r="CZR57" s="481"/>
      <c r="CZS57" s="481"/>
      <c r="CZT57" s="481"/>
      <c r="CZU57" s="481"/>
      <c r="CZV57" s="481"/>
      <c r="CZW57" s="481"/>
      <c r="CZX57" s="481"/>
      <c r="CZY57" s="481"/>
      <c r="CZZ57" s="481"/>
      <c r="DAA57" s="481"/>
      <c r="DAB57" s="481"/>
      <c r="DAC57" s="481"/>
      <c r="DAD57" s="481"/>
      <c r="DAE57" s="481"/>
      <c r="DAF57" s="481"/>
      <c r="DAG57" s="481"/>
      <c r="DAH57" s="481"/>
      <c r="DAI57" s="481"/>
      <c r="DAJ57" s="481"/>
      <c r="DAK57" s="481"/>
      <c r="DAL57" s="481"/>
      <c r="DAM57" s="481"/>
      <c r="DAN57" s="481"/>
      <c r="DAO57" s="481"/>
      <c r="DAP57" s="481"/>
      <c r="DAQ57" s="481"/>
      <c r="DAR57" s="481"/>
      <c r="DAS57" s="481"/>
      <c r="DAT57" s="481"/>
      <c r="DAU57" s="481"/>
      <c r="DAV57" s="481"/>
      <c r="DAW57" s="481"/>
      <c r="DAX57" s="481"/>
      <c r="DAY57" s="481"/>
      <c r="DAZ57" s="481"/>
      <c r="DBA57" s="481"/>
      <c r="DBB57" s="481"/>
      <c r="DBC57" s="481"/>
      <c r="DBD57" s="481"/>
      <c r="DBE57" s="481"/>
      <c r="DBF57" s="481"/>
      <c r="DBG57" s="481"/>
      <c r="DBH57" s="481"/>
      <c r="DBI57" s="481"/>
      <c r="DBJ57" s="481"/>
      <c r="DBK57" s="481"/>
      <c r="DBL57" s="481"/>
      <c r="DBM57" s="481"/>
      <c r="DBN57" s="481"/>
      <c r="DBO57" s="481"/>
      <c r="DBP57" s="481"/>
      <c r="DBQ57" s="481"/>
      <c r="DBR57" s="481"/>
      <c r="DBS57" s="481"/>
      <c r="DBT57" s="481"/>
      <c r="DBU57" s="481"/>
      <c r="DBV57" s="481"/>
      <c r="DBW57" s="481"/>
      <c r="DBX57" s="481"/>
      <c r="DBY57" s="481"/>
      <c r="DBZ57" s="481"/>
      <c r="DCA57" s="481"/>
      <c r="DCB57" s="481"/>
      <c r="DCC57" s="481"/>
      <c r="DCD57" s="481"/>
      <c r="DCE57" s="481"/>
      <c r="DCF57" s="481"/>
      <c r="DCG57" s="481"/>
      <c r="DCH57" s="481"/>
      <c r="DCI57" s="481"/>
      <c r="DCJ57" s="481"/>
      <c r="DCK57" s="481"/>
      <c r="DCL57" s="481"/>
      <c r="DCM57" s="481"/>
      <c r="DCN57" s="481"/>
      <c r="DCO57" s="481"/>
      <c r="DCP57" s="481"/>
      <c r="DCQ57" s="481"/>
      <c r="DCR57" s="481"/>
      <c r="DCS57" s="481"/>
      <c r="DCT57" s="481"/>
      <c r="DCU57" s="481"/>
      <c r="DCV57" s="481"/>
      <c r="DCW57" s="481"/>
      <c r="DCX57" s="481"/>
      <c r="DCY57" s="481"/>
      <c r="DCZ57" s="481"/>
      <c r="DDA57" s="481"/>
      <c r="DDB57" s="481"/>
      <c r="DDC57" s="481"/>
      <c r="DDD57" s="481"/>
      <c r="DDE57" s="481"/>
      <c r="DDF57" s="481"/>
      <c r="DDG57" s="481"/>
      <c r="DDH57" s="481"/>
      <c r="DDI57" s="481"/>
      <c r="DDJ57" s="481"/>
      <c r="DDK57" s="481"/>
      <c r="DDL57" s="481"/>
      <c r="DDM57" s="481"/>
      <c r="DDN57" s="481"/>
      <c r="DDO57" s="481"/>
      <c r="DDP57" s="481"/>
      <c r="DDQ57" s="481"/>
      <c r="DDR57" s="481"/>
      <c r="DDS57" s="481"/>
      <c r="DDT57" s="481"/>
      <c r="DDU57" s="481"/>
      <c r="DDV57" s="481"/>
      <c r="DDW57" s="481"/>
      <c r="DDX57" s="481"/>
      <c r="DDY57" s="481"/>
      <c r="DDZ57" s="481"/>
      <c r="DEA57" s="481"/>
      <c r="DEB57" s="481"/>
      <c r="DEC57" s="481"/>
      <c r="DED57" s="481"/>
      <c r="DEE57" s="481"/>
      <c r="DEF57" s="481"/>
      <c r="DEG57" s="481"/>
      <c r="DEH57" s="481"/>
      <c r="DEI57" s="481"/>
      <c r="DEJ57" s="481"/>
      <c r="DEK57" s="481"/>
      <c r="DEL57" s="481"/>
      <c r="DEM57" s="481"/>
      <c r="DEN57" s="481"/>
      <c r="DEO57" s="481"/>
      <c r="DEP57" s="481"/>
      <c r="DEQ57" s="481"/>
      <c r="DER57" s="481"/>
      <c r="DES57" s="481"/>
      <c r="DET57" s="481"/>
      <c r="DEU57" s="481"/>
      <c r="DEV57" s="481"/>
      <c r="DEW57" s="481"/>
      <c r="DEX57" s="481"/>
      <c r="DEY57" s="481"/>
      <c r="DEZ57" s="481"/>
      <c r="DFA57" s="481"/>
      <c r="DFB57" s="481"/>
      <c r="DFC57" s="481"/>
      <c r="DFD57" s="481"/>
      <c r="DFE57" s="481"/>
      <c r="DFF57" s="481"/>
      <c r="DFG57" s="481"/>
      <c r="DFH57" s="481"/>
      <c r="DFI57" s="481"/>
      <c r="DFJ57" s="481"/>
      <c r="DFK57" s="481"/>
      <c r="DFL57" s="481"/>
      <c r="DFM57" s="481"/>
      <c r="DFN57" s="481"/>
      <c r="DFO57" s="481"/>
      <c r="DFP57" s="481"/>
      <c r="DFQ57" s="481"/>
      <c r="DFR57" s="481"/>
      <c r="DFS57" s="481"/>
      <c r="DFT57" s="481"/>
      <c r="DFU57" s="481"/>
      <c r="DFV57" s="481"/>
      <c r="DFW57" s="481"/>
      <c r="DFX57" s="481"/>
      <c r="DFY57" s="481"/>
      <c r="DFZ57" s="481"/>
      <c r="DGA57" s="481"/>
      <c r="DGB57" s="481"/>
      <c r="DGC57" s="481"/>
      <c r="DGD57" s="481"/>
      <c r="DGE57" s="481"/>
      <c r="DGF57" s="481"/>
      <c r="DGG57" s="481"/>
      <c r="DGH57" s="481"/>
      <c r="DGI57" s="481"/>
      <c r="DGJ57" s="481"/>
      <c r="DGK57" s="481"/>
      <c r="DGL57" s="481"/>
      <c r="DGM57" s="481"/>
      <c r="DGN57" s="481"/>
      <c r="DGO57" s="481"/>
      <c r="DGP57" s="481"/>
      <c r="DGQ57" s="481"/>
      <c r="DGR57" s="481"/>
      <c r="DGS57" s="481"/>
      <c r="DGT57" s="481"/>
      <c r="DGU57" s="481"/>
      <c r="DGV57" s="481"/>
      <c r="DGW57" s="481"/>
      <c r="DGX57" s="481"/>
      <c r="DGY57" s="481"/>
      <c r="DGZ57" s="481"/>
      <c r="DHA57" s="481"/>
      <c r="DHB57" s="481"/>
      <c r="DHC57" s="481"/>
      <c r="DHD57" s="481"/>
      <c r="DHE57" s="481"/>
      <c r="DHF57" s="481"/>
      <c r="DHG57" s="481"/>
      <c r="DHH57" s="481"/>
      <c r="DHI57" s="481"/>
      <c r="DHJ57" s="481"/>
      <c r="DHK57" s="481"/>
      <c r="DHL57" s="481"/>
      <c r="DHM57" s="481"/>
      <c r="DHN57" s="481"/>
      <c r="DHO57" s="481"/>
      <c r="DHP57" s="481"/>
      <c r="DHQ57" s="481"/>
      <c r="DHR57" s="481"/>
      <c r="DHS57" s="481"/>
      <c r="DHT57" s="481"/>
      <c r="DHU57" s="481"/>
      <c r="DHV57" s="481"/>
      <c r="DHW57" s="481"/>
      <c r="DHX57" s="481"/>
      <c r="DHY57" s="481"/>
      <c r="DHZ57" s="481"/>
      <c r="DIA57" s="481"/>
      <c r="DIB57" s="481"/>
      <c r="DIC57" s="481"/>
      <c r="DID57" s="481"/>
      <c r="DIE57" s="481"/>
      <c r="DIF57" s="481"/>
      <c r="DIG57" s="481"/>
      <c r="DIH57" s="481"/>
      <c r="DII57" s="481"/>
      <c r="DIJ57" s="481"/>
      <c r="DIK57" s="481"/>
      <c r="DIL57" s="481"/>
      <c r="DIM57" s="481"/>
      <c r="DIN57" s="481"/>
      <c r="DIO57" s="481"/>
      <c r="DIP57" s="481"/>
      <c r="DIQ57" s="481"/>
      <c r="DIR57" s="481"/>
      <c r="DIS57" s="481"/>
      <c r="DIT57" s="481"/>
      <c r="DIU57" s="481"/>
      <c r="DIV57" s="481"/>
      <c r="DIW57" s="481"/>
      <c r="DIX57" s="481"/>
      <c r="DIY57" s="481"/>
      <c r="DIZ57" s="481"/>
      <c r="DJA57" s="481"/>
      <c r="DJB57" s="481"/>
      <c r="DJC57" s="481"/>
      <c r="DJD57" s="481"/>
      <c r="DJE57" s="481"/>
      <c r="DJF57" s="481"/>
      <c r="DJG57" s="481"/>
      <c r="DJH57" s="481"/>
      <c r="DJI57" s="481"/>
      <c r="DJJ57" s="481"/>
      <c r="DJK57" s="481"/>
      <c r="DJL57" s="481"/>
      <c r="DJM57" s="481"/>
      <c r="DJN57" s="481"/>
      <c r="DJO57" s="481"/>
      <c r="DJP57" s="481"/>
      <c r="DJQ57" s="481"/>
      <c r="DJR57" s="481"/>
      <c r="DJS57" s="481"/>
      <c r="DJT57" s="481"/>
      <c r="DJU57" s="481"/>
      <c r="DJV57" s="481"/>
      <c r="DJW57" s="481"/>
      <c r="DJX57" s="481"/>
      <c r="DJY57" s="481"/>
      <c r="DJZ57" s="481"/>
      <c r="DKA57" s="481"/>
      <c r="DKB57" s="481"/>
      <c r="DKC57" s="481"/>
      <c r="DKD57" s="481"/>
      <c r="DKE57" s="481"/>
      <c r="DKF57" s="481"/>
      <c r="DKG57" s="481"/>
      <c r="DKH57" s="481"/>
      <c r="DKI57" s="481"/>
      <c r="DKJ57" s="481"/>
      <c r="DKK57" s="481"/>
      <c r="DKL57" s="481"/>
      <c r="DKM57" s="481"/>
      <c r="DKN57" s="481"/>
      <c r="DKO57" s="481"/>
      <c r="DKP57" s="481"/>
      <c r="DKQ57" s="481"/>
      <c r="DKR57" s="481"/>
      <c r="DKS57" s="481"/>
      <c r="DKT57" s="481"/>
      <c r="DKU57" s="481"/>
      <c r="DKV57" s="481"/>
      <c r="DKW57" s="481"/>
      <c r="DKX57" s="481"/>
      <c r="DKY57" s="481"/>
      <c r="DKZ57" s="481"/>
      <c r="DLA57" s="481"/>
      <c r="DLB57" s="481"/>
      <c r="DLC57" s="481"/>
      <c r="DLD57" s="481"/>
      <c r="DLE57" s="481"/>
      <c r="DLF57" s="481"/>
      <c r="DLG57" s="481"/>
      <c r="DLH57" s="481"/>
      <c r="DLI57" s="481"/>
      <c r="DLJ57" s="481"/>
      <c r="DLK57" s="481"/>
      <c r="DLL57" s="481"/>
      <c r="DLM57" s="481"/>
      <c r="DLN57" s="481"/>
      <c r="DLO57" s="481"/>
      <c r="DLP57" s="481"/>
      <c r="DLQ57" s="481"/>
      <c r="DLR57" s="481"/>
      <c r="DLS57" s="481"/>
      <c r="DLT57" s="481"/>
      <c r="DLU57" s="481"/>
      <c r="DLV57" s="481"/>
      <c r="DLW57" s="481"/>
      <c r="DLX57" s="481"/>
      <c r="DLY57" s="481"/>
      <c r="DLZ57" s="481"/>
      <c r="DMA57" s="481"/>
      <c r="DMB57" s="481"/>
      <c r="DMC57" s="481"/>
      <c r="DMD57" s="481"/>
      <c r="DME57" s="481"/>
      <c r="DMF57" s="481"/>
      <c r="DMG57" s="481"/>
      <c r="DMH57" s="481"/>
      <c r="DMI57" s="481"/>
      <c r="DMJ57" s="481"/>
      <c r="DMK57" s="481"/>
      <c r="DML57" s="481"/>
      <c r="DMM57" s="481"/>
      <c r="DMN57" s="481"/>
      <c r="DMO57" s="481"/>
      <c r="DMP57" s="481"/>
      <c r="DMQ57" s="481"/>
      <c r="DMR57" s="481"/>
      <c r="DMS57" s="481"/>
      <c r="DMT57" s="481"/>
      <c r="DMU57" s="481"/>
      <c r="DMV57" s="481"/>
      <c r="DMW57" s="481"/>
      <c r="DMX57" s="481"/>
      <c r="DMY57" s="481"/>
      <c r="DMZ57" s="481"/>
      <c r="DNA57" s="481"/>
      <c r="DNB57" s="481"/>
      <c r="DNC57" s="481"/>
      <c r="DND57" s="481"/>
      <c r="DNE57" s="481"/>
      <c r="DNF57" s="481"/>
      <c r="DNG57" s="481"/>
      <c r="DNH57" s="481"/>
      <c r="DNI57" s="481"/>
      <c r="DNJ57" s="481"/>
      <c r="DNK57" s="481"/>
      <c r="DNL57" s="481"/>
      <c r="DNM57" s="481"/>
      <c r="DNN57" s="481"/>
      <c r="DNO57" s="481"/>
      <c r="DNP57" s="481"/>
      <c r="DNQ57" s="481"/>
      <c r="DNR57" s="481"/>
      <c r="DNS57" s="481"/>
      <c r="DNT57" s="481"/>
      <c r="DNU57" s="481"/>
      <c r="DNV57" s="481"/>
      <c r="DNW57" s="481"/>
      <c r="DNX57" s="481"/>
      <c r="DNY57" s="481"/>
      <c r="DNZ57" s="481"/>
      <c r="DOA57" s="481"/>
      <c r="DOB57" s="481"/>
      <c r="DOC57" s="481"/>
      <c r="DOD57" s="481"/>
      <c r="DOE57" s="481"/>
      <c r="DOF57" s="481"/>
      <c r="DOG57" s="481"/>
      <c r="DOH57" s="481"/>
      <c r="DOI57" s="481"/>
      <c r="DOJ57" s="481"/>
      <c r="DOK57" s="481"/>
      <c r="DOL57" s="481"/>
      <c r="DOM57" s="481"/>
      <c r="DON57" s="481"/>
      <c r="DOO57" s="481"/>
      <c r="DOP57" s="481"/>
      <c r="DOQ57" s="481"/>
      <c r="DOR57" s="481"/>
      <c r="DOS57" s="481"/>
      <c r="DOT57" s="481"/>
      <c r="DOU57" s="481"/>
      <c r="DOV57" s="481"/>
      <c r="DOW57" s="481"/>
      <c r="DOX57" s="481"/>
      <c r="DOY57" s="481"/>
      <c r="DOZ57" s="481"/>
      <c r="DPA57" s="481"/>
      <c r="DPB57" s="481"/>
      <c r="DPC57" s="481"/>
      <c r="DPD57" s="481"/>
      <c r="DPE57" s="481"/>
      <c r="DPF57" s="481"/>
      <c r="DPG57" s="481"/>
      <c r="DPH57" s="481"/>
      <c r="DPI57" s="481"/>
      <c r="DPJ57" s="481"/>
      <c r="DPK57" s="481"/>
      <c r="DPL57" s="481"/>
      <c r="DPM57" s="481"/>
      <c r="DPN57" s="481"/>
      <c r="DPO57" s="481"/>
      <c r="DPP57" s="481"/>
      <c r="DPQ57" s="481"/>
      <c r="DPR57" s="481"/>
      <c r="DPS57" s="481"/>
      <c r="DPT57" s="481"/>
      <c r="DPU57" s="481"/>
      <c r="DPV57" s="481"/>
      <c r="DPW57" s="481"/>
      <c r="DPX57" s="481"/>
      <c r="DPY57" s="481"/>
      <c r="DPZ57" s="481"/>
      <c r="DQA57" s="481"/>
      <c r="DQB57" s="481"/>
      <c r="DQC57" s="481"/>
      <c r="DQD57" s="481"/>
      <c r="DQE57" s="481"/>
      <c r="DQF57" s="481"/>
      <c r="DQG57" s="481"/>
      <c r="DQH57" s="481"/>
      <c r="DQI57" s="481"/>
      <c r="DQJ57" s="481"/>
      <c r="DQK57" s="481"/>
      <c r="DQL57" s="481"/>
      <c r="DQM57" s="481"/>
      <c r="DQN57" s="481"/>
      <c r="DQO57" s="481"/>
      <c r="DQP57" s="481"/>
      <c r="DQQ57" s="481"/>
      <c r="DQR57" s="481"/>
      <c r="DQS57" s="481"/>
      <c r="DQT57" s="481"/>
      <c r="DQU57" s="481"/>
      <c r="DQV57" s="481"/>
      <c r="DQW57" s="481"/>
      <c r="DQX57" s="481"/>
      <c r="DQY57" s="481"/>
      <c r="DQZ57" s="481"/>
      <c r="DRA57" s="481"/>
      <c r="DRB57" s="481"/>
      <c r="DRC57" s="481"/>
      <c r="DRD57" s="481"/>
      <c r="DRE57" s="481"/>
      <c r="DRF57" s="481"/>
      <c r="DRG57" s="481"/>
      <c r="DRH57" s="481"/>
      <c r="DRI57" s="481"/>
      <c r="DRJ57" s="481"/>
      <c r="DRK57" s="481"/>
      <c r="DRL57" s="481"/>
      <c r="DRM57" s="481"/>
      <c r="DRN57" s="481"/>
      <c r="DRO57" s="481"/>
      <c r="DRP57" s="481"/>
      <c r="DRQ57" s="481"/>
      <c r="DRR57" s="481"/>
      <c r="DRS57" s="481"/>
      <c r="DRT57" s="481"/>
      <c r="DRU57" s="481"/>
      <c r="DRV57" s="481"/>
      <c r="DRW57" s="481"/>
      <c r="DRX57" s="481"/>
      <c r="DRY57" s="481"/>
      <c r="DRZ57" s="481"/>
      <c r="DSA57" s="481"/>
      <c r="DSB57" s="481"/>
      <c r="DSC57" s="481"/>
      <c r="DSD57" s="481"/>
      <c r="DSE57" s="481"/>
      <c r="DSF57" s="481"/>
      <c r="DSG57" s="481"/>
      <c r="DSH57" s="481"/>
      <c r="DSI57" s="481"/>
      <c r="DSJ57" s="481"/>
      <c r="DSK57" s="481"/>
      <c r="DSL57" s="481"/>
      <c r="DSM57" s="481"/>
      <c r="DSN57" s="481"/>
      <c r="DSO57" s="481"/>
      <c r="DSP57" s="481"/>
      <c r="DSQ57" s="481"/>
      <c r="DSR57" s="481"/>
      <c r="DSS57" s="481"/>
      <c r="DST57" s="481"/>
      <c r="DSU57" s="481"/>
      <c r="DSV57" s="481"/>
      <c r="DSW57" s="481"/>
      <c r="DSX57" s="481"/>
      <c r="DSY57" s="481"/>
      <c r="DSZ57" s="481"/>
      <c r="DTA57" s="481"/>
      <c r="DTB57" s="481"/>
      <c r="DTC57" s="481"/>
      <c r="DTD57" s="481"/>
      <c r="DTE57" s="481"/>
      <c r="DTF57" s="481"/>
      <c r="DTG57" s="481"/>
      <c r="DTH57" s="481"/>
      <c r="DTI57" s="481"/>
      <c r="DTJ57" s="481"/>
      <c r="DTK57" s="481"/>
      <c r="DTL57" s="481"/>
      <c r="DTM57" s="481"/>
      <c r="DTN57" s="481"/>
      <c r="DTO57" s="481"/>
      <c r="DTP57" s="481"/>
      <c r="DTQ57" s="481"/>
      <c r="DTR57" s="481"/>
      <c r="DTS57" s="481"/>
      <c r="DTT57" s="481"/>
      <c r="DTU57" s="481"/>
      <c r="DTV57" s="481"/>
      <c r="DTW57" s="481"/>
      <c r="DTX57" s="481"/>
      <c r="DTY57" s="481"/>
      <c r="DTZ57" s="481"/>
      <c r="DUA57" s="481"/>
      <c r="DUB57" s="481"/>
      <c r="DUC57" s="481"/>
      <c r="DUD57" s="481"/>
      <c r="DUE57" s="481"/>
      <c r="DUF57" s="481"/>
      <c r="DUG57" s="481"/>
      <c r="DUH57" s="481"/>
      <c r="DUI57" s="481"/>
      <c r="DUJ57" s="481"/>
      <c r="DUK57" s="481"/>
      <c r="DUL57" s="481"/>
      <c r="DUM57" s="481"/>
      <c r="DUN57" s="481"/>
      <c r="DUO57" s="481"/>
      <c r="DUP57" s="481"/>
      <c r="DUQ57" s="481"/>
      <c r="DUR57" s="481"/>
      <c r="DUS57" s="481"/>
      <c r="DUT57" s="481"/>
      <c r="DUU57" s="481"/>
      <c r="DUV57" s="481"/>
      <c r="DUW57" s="481"/>
      <c r="DUX57" s="481"/>
      <c r="DUY57" s="481"/>
      <c r="DUZ57" s="481"/>
      <c r="DVA57" s="481"/>
      <c r="DVB57" s="481"/>
      <c r="DVC57" s="481"/>
      <c r="DVD57" s="481"/>
      <c r="DVE57" s="481"/>
      <c r="DVF57" s="481"/>
      <c r="DVG57" s="481"/>
      <c r="DVH57" s="481"/>
      <c r="DVI57" s="481"/>
      <c r="DVJ57" s="481"/>
      <c r="DVK57" s="481"/>
      <c r="DVL57" s="481"/>
      <c r="DVM57" s="481"/>
      <c r="DVN57" s="481"/>
      <c r="DVO57" s="481"/>
      <c r="DVP57" s="481"/>
      <c r="DVQ57" s="481"/>
      <c r="DVR57" s="481"/>
      <c r="DVS57" s="481"/>
      <c r="DVT57" s="481"/>
      <c r="DVU57" s="481"/>
      <c r="DVV57" s="481"/>
      <c r="DVW57" s="481"/>
      <c r="DVX57" s="481"/>
      <c r="DVY57" s="481"/>
      <c r="DVZ57" s="481"/>
      <c r="DWA57" s="481"/>
      <c r="DWB57" s="481"/>
      <c r="DWC57" s="481"/>
      <c r="DWD57" s="481"/>
      <c r="DWE57" s="481"/>
      <c r="DWF57" s="481"/>
      <c r="DWG57" s="481"/>
      <c r="DWH57" s="481"/>
      <c r="DWI57" s="481"/>
      <c r="DWJ57" s="481"/>
      <c r="DWK57" s="481"/>
      <c r="DWL57" s="481"/>
      <c r="DWM57" s="481"/>
      <c r="DWN57" s="481"/>
      <c r="DWO57" s="481"/>
      <c r="DWP57" s="481"/>
      <c r="DWQ57" s="481"/>
      <c r="DWR57" s="481"/>
      <c r="DWS57" s="481"/>
      <c r="DWT57" s="481"/>
      <c r="DWU57" s="481"/>
      <c r="DWV57" s="481"/>
      <c r="DWW57" s="481"/>
      <c r="DWX57" s="481"/>
      <c r="DWY57" s="481"/>
      <c r="DWZ57" s="481"/>
      <c r="DXA57" s="481"/>
      <c r="DXB57" s="481"/>
      <c r="DXC57" s="481"/>
      <c r="DXD57" s="481"/>
      <c r="DXE57" s="481"/>
      <c r="DXF57" s="481"/>
      <c r="DXG57" s="481"/>
      <c r="DXH57" s="481"/>
      <c r="DXI57" s="481"/>
      <c r="DXJ57" s="481"/>
      <c r="DXK57" s="481"/>
      <c r="DXL57" s="481"/>
      <c r="DXM57" s="481"/>
      <c r="DXN57" s="481"/>
      <c r="DXO57" s="481"/>
      <c r="DXP57" s="481"/>
      <c r="DXQ57" s="481"/>
      <c r="DXR57" s="481"/>
      <c r="DXS57" s="481"/>
      <c r="DXT57" s="481"/>
      <c r="DXU57" s="481"/>
      <c r="DXV57" s="481"/>
      <c r="DXW57" s="481"/>
      <c r="DXX57" s="481"/>
      <c r="DXY57" s="481"/>
      <c r="DXZ57" s="481"/>
      <c r="DYA57" s="481"/>
      <c r="DYB57" s="481"/>
      <c r="DYC57" s="481"/>
      <c r="DYD57" s="481"/>
      <c r="DYE57" s="481"/>
      <c r="DYF57" s="481"/>
      <c r="DYG57" s="481"/>
      <c r="DYH57" s="481"/>
      <c r="DYI57" s="481"/>
      <c r="DYJ57" s="481"/>
      <c r="DYK57" s="481"/>
      <c r="DYL57" s="481"/>
      <c r="DYM57" s="481"/>
      <c r="DYN57" s="481"/>
      <c r="DYO57" s="481"/>
      <c r="DYP57" s="481"/>
      <c r="DYQ57" s="481"/>
      <c r="DYR57" s="481"/>
      <c r="DYS57" s="481"/>
      <c r="DYT57" s="481"/>
      <c r="DYU57" s="481"/>
      <c r="DYV57" s="481"/>
      <c r="DYW57" s="481"/>
      <c r="DYX57" s="481"/>
      <c r="DYY57" s="481"/>
      <c r="DYZ57" s="481"/>
      <c r="DZA57" s="481"/>
      <c r="DZB57" s="481"/>
      <c r="DZC57" s="481"/>
      <c r="DZD57" s="481"/>
      <c r="DZE57" s="481"/>
      <c r="DZF57" s="481"/>
      <c r="DZG57" s="481"/>
      <c r="DZH57" s="481"/>
      <c r="DZI57" s="481"/>
      <c r="DZJ57" s="481"/>
      <c r="DZK57" s="481"/>
      <c r="DZL57" s="481"/>
      <c r="DZM57" s="481"/>
      <c r="DZN57" s="481"/>
      <c r="DZO57" s="481"/>
      <c r="DZP57" s="481"/>
      <c r="DZQ57" s="481"/>
      <c r="DZR57" s="481"/>
      <c r="DZS57" s="481"/>
      <c r="DZT57" s="481"/>
      <c r="DZU57" s="481"/>
      <c r="DZV57" s="481"/>
      <c r="DZW57" s="481"/>
      <c r="DZX57" s="481"/>
      <c r="DZY57" s="481"/>
      <c r="DZZ57" s="481"/>
      <c r="EAA57" s="481"/>
      <c r="EAB57" s="481"/>
      <c r="EAC57" s="481"/>
      <c r="EAD57" s="481"/>
      <c r="EAE57" s="481"/>
      <c r="EAF57" s="481"/>
      <c r="EAG57" s="481"/>
      <c r="EAH57" s="481"/>
      <c r="EAI57" s="481"/>
      <c r="EAJ57" s="481"/>
      <c r="EAK57" s="481"/>
      <c r="EAL57" s="481"/>
      <c r="EAM57" s="481"/>
      <c r="EAN57" s="481"/>
      <c r="EAO57" s="481"/>
      <c r="EAP57" s="481"/>
      <c r="EAQ57" s="481"/>
      <c r="EAR57" s="481"/>
      <c r="EAS57" s="481"/>
      <c r="EAT57" s="481"/>
      <c r="EAU57" s="481"/>
      <c r="EAV57" s="481"/>
      <c r="EAW57" s="481"/>
      <c r="EAX57" s="481"/>
      <c r="EAY57" s="481"/>
      <c r="EAZ57" s="481"/>
      <c r="EBA57" s="481"/>
      <c r="EBB57" s="481"/>
      <c r="EBC57" s="481"/>
      <c r="EBD57" s="481"/>
      <c r="EBE57" s="481"/>
      <c r="EBF57" s="481"/>
      <c r="EBG57" s="481"/>
      <c r="EBH57" s="481"/>
      <c r="EBI57" s="481"/>
      <c r="EBJ57" s="481"/>
      <c r="EBK57" s="481"/>
      <c r="EBL57" s="481"/>
      <c r="EBM57" s="481"/>
      <c r="EBN57" s="481"/>
      <c r="EBO57" s="481"/>
      <c r="EBP57" s="481"/>
      <c r="EBQ57" s="481"/>
      <c r="EBR57" s="481"/>
      <c r="EBS57" s="481"/>
      <c r="EBT57" s="481"/>
      <c r="EBU57" s="481"/>
      <c r="EBV57" s="481"/>
      <c r="EBW57" s="481"/>
      <c r="EBX57" s="481"/>
      <c r="EBY57" s="481"/>
      <c r="EBZ57" s="481"/>
      <c r="ECA57" s="481"/>
      <c r="ECB57" s="481"/>
      <c r="ECC57" s="481"/>
      <c r="ECD57" s="481"/>
      <c r="ECE57" s="481"/>
      <c r="ECF57" s="481"/>
      <c r="ECG57" s="481"/>
      <c r="ECH57" s="481"/>
      <c r="ECI57" s="481"/>
      <c r="ECJ57" s="481"/>
      <c r="ECK57" s="481"/>
      <c r="ECL57" s="481"/>
      <c r="ECM57" s="481"/>
      <c r="ECN57" s="481"/>
      <c r="ECO57" s="481"/>
      <c r="ECP57" s="481"/>
      <c r="ECQ57" s="481"/>
      <c r="ECR57" s="481"/>
      <c r="ECS57" s="481"/>
      <c r="ECT57" s="481"/>
      <c r="ECU57" s="481"/>
      <c r="ECV57" s="481"/>
      <c r="ECW57" s="481"/>
      <c r="ECX57" s="481"/>
      <c r="ECY57" s="481"/>
      <c r="ECZ57" s="481"/>
      <c r="EDA57" s="481"/>
      <c r="EDB57" s="481"/>
      <c r="EDC57" s="481"/>
      <c r="EDD57" s="481"/>
      <c r="EDE57" s="481"/>
      <c r="EDF57" s="481"/>
      <c r="EDG57" s="481"/>
      <c r="EDH57" s="481"/>
      <c r="EDI57" s="481"/>
      <c r="EDJ57" s="481"/>
      <c r="EDK57" s="481"/>
      <c r="EDL57" s="481"/>
      <c r="EDM57" s="481"/>
      <c r="EDN57" s="481"/>
      <c r="EDO57" s="481"/>
      <c r="EDP57" s="481"/>
      <c r="EDQ57" s="481"/>
      <c r="EDR57" s="481"/>
      <c r="EDS57" s="481"/>
      <c r="EDT57" s="481"/>
      <c r="EDU57" s="481"/>
      <c r="EDV57" s="481"/>
      <c r="EDW57" s="481"/>
      <c r="EDX57" s="481"/>
      <c r="EDY57" s="481"/>
      <c r="EDZ57" s="481"/>
      <c r="EEA57" s="481"/>
      <c r="EEB57" s="481"/>
      <c r="EEC57" s="481"/>
      <c r="EED57" s="481"/>
      <c r="EEE57" s="481"/>
      <c r="EEF57" s="481"/>
      <c r="EEG57" s="481"/>
      <c r="EEH57" s="481"/>
      <c r="EEI57" s="481"/>
      <c r="EEJ57" s="481"/>
      <c r="EEK57" s="481"/>
      <c r="EEL57" s="481"/>
      <c r="EEM57" s="481"/>
      <c r="EEN57" s="481"/>
      <c r="EEO57" s="481"/>
      <c r="EEP57" s="481"/>
      <c r="EEQ57" s="481"/>
      <c r="EER57" s="481"/>
      <c r="EES57" s="481"/>
      <c r="EET57" s="481"/>
      <c r="EEU57" s="481"/>
      <c r="EEV57" s="481"/>
      <c r="EEW57" s="481"/>
      <c r="EEX57" s="481"/>
      <c r="EEY57" s="481"/>
      <c r="EEZ57" s="481"/>
      <c r="EFA57" s="481"/>
      <c r="EFB57" s="481"/>
      <c r="EFC57" s="481"/>
      <c r="EFD57" s="481"/>
      <c r="EFE57" s="481"/>
      <c r="EFF57" s="481"/>
      <c r="EFG57" s="481"/>
      <c r="EFH57" s="481"/>
      <c r="EFI57" s="481"/>
      <c r="EFJ57" s="481"/>
      <c r="EFK57" s="481"/>
      <c r="EFL57" s="481"/>
      <c r="EFM57" s="481"/>
      <c r="EFN57" s="481"/>
      <c r="EFO57" s="481"/>
      <c r="EFP57" s="481"/>
      <c r="EFQ57" s="481"/>
      <c r="EFR57" s="481"/>
      <c r="EFS57" s="481"/>
      <c r="EFT57" s="481"/>
      <c r="EFU57" s="481"/>
      <c r="EFV57" s="481"/>
      <c r="EFW57" s="481"/>
      <c r="EFX57" s="481"/>
      <c r="EFY57" s="481"/>
      <c r="EFZ57" s="481"/>
      <c r="EGA57" s="481"/>
      <c r="EGB57" s="481"/>
      <c r="EGC57" s="481"/>
      <c r="EGD57" s="481"/>
      <c r="EGE57" s="481"/>
      <c r="EGF57" s="481"/>
      <c r="EGG57" s="481"/>
      <c r="EGH57" s="481"/>
      <c r="EGI57" s="481"/>
      <c r="EGJ57" s="481"/>
      <c r="EGK57" s="481"/>
      <c r="EGL57" s="481"/>
      <c r="EGM57" s="481"/>
      <c r="EGN57" s="481"/>
      <c r="EGO57" s="481"/>
      <c r="EGP57" s="481"/>
      <c r="EGQ57" s="481"/>
      <c r="EGR57" s="481"/>
      <c r="EGS57" s="481"/>
      <c r="EGT57" s="481"/>
      <c r="EGU57" s="481"/>
      <c r="EGV57" s="481"/>
      <c r="EGW57" s="481"/>
      <c r="EGX57" s="481"/>
      <c r="EGY57" s="481"/>
      <c r="EGZ57" s="481"/>
      <c r="EHA57" s="481"/>
      <c r="EHB57" s="481"/>
      <c r="EHC57" s="481"/>
      <c r="EHD57" s="481"/>
      <c r="EHE57" s="481"/>
      <c r="EHF57" s="481"/>
      <c r="EHG57" s="481"/>
      <c r="EHH57" s="481"/>
      <c r="EHI57" s="481"/>
      <c r="EHJ57" s="481"/>
      <c r="EHK57" s="481"/>
      <c r="EHL57" s="481"/>
      <c r="EHM57" s="481"/>
      <c r="EHN57" s="481"/>
      <c r="EHO57" s="481"/>
      <c r="EHP57" s="481"/>
      <c r="EHQ57" s="481"/>
      <c r="EHR57" s="481"/>
      <c r="EHS57" s="481"/>
      <c r="EHT57" s="481"/>
      <c r="EHU57" s="481"/>
      <c r="EHV57" s="481"/>
      <c r="EHW57" s="481"/>
      <c r="EHX57" s="481"/>
      <c r="EHY57" s="481"/>
      <c r="EHZ57" s="481"/>
      <c r="EIA57" s="481"/>
      <c r="EIB57" s="481"/>
      <c r="EIC57" s="481"/>
      <c r="EID57" s="481"/>
      <c r="EIE57" s="481"/>
      <c r="EIF57" s="481"/>
      <c r="EIG57" s="481"/>
      <c r="EIH57" s="481"/>
      <c r="EII57" s="481"/>
      <c r="EIJ57" s="481"/>
      <c r="EIK57" s="481"/>
      <c r="EIL57" s="481"/>
      <c r="EIM57" s="481"/>
      <c r="EIN57" s="481"/>
      <c r="EIO57" s="481"/>
      <c r="EIP57" s="481"/>
      <c r="EIQ57" s="481"/>
      <c r="EIR57" s="481"/>
      <c r="EIS57" s="481"/>
      <c r="EIT57" s="481"/>
      <c r="EIU57" s="481"/>
      <c r="EIV57" s="481"/>
      <c r="EIW57" s="481"/>
      <c r="EIX57" s="481"/>
      <c r="EIY57" s="481"/>
      <c r="EIZ57" s="481"/>
      <c r="EJA57" s="481"/>
      <c r="EJB57" s="481"/>
      <c r="EJC57" s="481"/>
      <c r="EJD57" s="481"/>
      <c r="EJE57" s="481"/>
      <c r="EJF57" s="481"/>
      <c r="EJG57" s="481"/>
      <c r="EJH57" s="481"/>
      <c r="EJI57" s="481"/>
      <c r="EJJ57" s="481"/>
      <c r="EJK57" s="481"/>
      <c r="EJL57" s="481"/>
      <c r="EJM57" s="481"/>
      <c r="EJN57" s="481"/>
      <c r="EJO57" s="481"/>
      <c r="EJP57" s="481"/>
      <c r="EJQ57" s="481"/>
      <c r="EJR57" s="481"/>
      <c r="EJS57" s="481"/>
      <c r="EJT57" s="481"/>
      <c r="EJU57" s="481"/>
      <c r="EJV57" s="481"/>
      <c r="EJW57" s="481"/>
      <c r="EJX57" s="481"/>
      <c r="EJY57" s="481"/>
      <c r="EJZ57" s="481"/>
      <c r="EKA57" s="481"/>
      <c r="EKB57" s="481"/>
      <c r="EKC57" s="481"/>
      <c r="EKD57" s="481"/>
      <c r="EKE57" s="481"/>
      <c r="EKF57" s="481"/>
      <c r="EKG57" s="481"/>
      <c r="EKH57" s="481"/>
      <c r="EKI57" s="481"/>
      <c r="EKJ57" s="481"/>
      <c r="EKK57" s="481"/>
      <c r="EKL57" s="481"/>
      <c r="EKM57" s="481"/>
      <c r="EKN57" s="481"/>
      <c r="EKO57" s="481"/>
      <c r="EKP57" s="481"/>
      <c r="EKQ57" s="481"/>
      <c r="EKR57" s="481"/>
      <c r="EKS57" s="481"/>
      <c r="EKT57" s="481"/>
      <c r="EKU57" s="481"/>
      <c r="EKV57" s="481"/>
      <c r="EKW57" s="481"/>
      <c r="EKX57" s="481"/>
      <c r="EKY57" s="481"/>
      <c r="EKZ57" s="481"/>
      <c r="ELA57" s="481"/>
      <c r="ELB57" s="481"/>
      <c r="ELC57" s="481"/>
      <c r="ELD57" s="481"/>
      <c r="ELE57" s="481"/>
      <c r="ELF57" s="481"/>
      <c r="ELG57" s="481"/>
      <c r="ELH57" s="481"/>
      <c r="ELI57" s="481"/>
      <c r="ELJ57" s="481"/>
      <c r="ELK57" s="481"/>
      <c r="ELL57" s="481"/>
      <c r="ELM57" s="481"/>
      <c r="ELN57" s="481"/>
      <c r="ELO57" s="481"/>
      <c r="ELP57" s="481"/>
      <c r="ELQ57" s="481"/>
      <c r="ELR57" s="481"/>
      <c r="ELS57" s="481"/>
      <c r="ELT57" s="481"/>
      <c r="ELU57" s="481"/>
      <c r="ELV57" s="481"/>
      <c r="ELW57" s="481"/>
      <c r="ELX57" s="481"/>
      <c r="ELY57" s="481"/>
      <c r="ELZ57" s="481"/>
      <c r="EMA57" s="481"/>
      <c r="EMB57" s="481"/>
      <c r="EMC57" s="481"/>
      <c r="EMD57" s="481"/>
      <c r="EME57" s="481"/>
      <c r="EMF57" s="481"/>
      <c r="EMG57" s="481"/>
      <c r="EMH57" s="481"/>
      <c r="EMI57" s="481"/>
      <c r="EMJ57" s="481"/>
      <c r="EMK57" s="481"/>
      <c r="EML57" s="481"/>
      <c r="EMM57" s="481"/>
      <c r="EMN57" s="481"/>
      <c r="EMO57" s="481"/>
      <c r="EMP57" s="481"/>
      <c r="EMQ57" s="481"/>
      <c r="EMR57" s="481"/>
      <c r="EMS57" s="481"/>
      <c r="EMT57" s="481"/>
      <c r="EMU57" s="481"/>
      <c r="EMV57" s="481"/>
      <c r="EMW57" s="481"/>
      <c r="EMX57" s="481"/>
      <c r="EMY57" s="481"/>
      <c r="EMZ57" s="481"/>
      <c r="ENA57" s="481"/>
      <c r="ENB57" s="481"/>
      <c r="ENC57" s="481"/>
      <c r="END57" s="481"/>
      <c r="ENE57" s="481"/>
      <c r="ENF57" s="481"/>
      <c r="ENG57" s="481"/>
      <c r="ENH57" s="481"/>
      <c r="ENI57" s="481"/>
      <c r="ENJ57" s="481"/>
      <c r="ENK57" s="481"/>
      <c r="ENL57" s="481"/>
      <c r="ENM57" s="481"/>
      <c r="ENN57" s="481"/>
      <c r="ENO57" s="481"/>
      <c r="ENP57" s="481"/>
      <c r="ENQ57" s="481"/>
      <c r="ENR57" s="481"/>
      <c r="ENS57" s="481"/>
      <c r="ENT57" s="481"/>
      <c r="ENU57" s="481"/>
      <c r="ENV57" s="481"/>
      <c r="ENW57" s="481"/>
      <c r="ENX57" s="481"/>
      <c r="ENY57" s="481"/>
      <c r="ENZ57" s="481"/>
      <c r="EOA57" s="481"/>
      <c r="EOB57" s="481"/>
      <c r="EOC57" s="481"/>
      <c r="EOD57" s="481"/>
      <c r="EOE57" s="481"/>
      <c r="EOF57" s="481"/>
      <c r="EOG57" s="481"/>
      <c r="EOH57" s="481"/>
      <c r="EOI57" s="481"/>
      <c r="EOJ57" s="481"/>
      <c r="EOK57" s="481"/>
      <c r="EOL57" s="481"/>
      <c r="EOM57" s="481"/>
      <c r="EON57" s="481"/>
      <c r="EOO57" s="481"/>
      <c r="EOP57" s="481"/>
      <c r="EOQ57" s="481"/>
      <c r="EOR57" s="481"/>
      <c r="EOS57" s="481"/>
      <c r="EOT57" s="481"/>
      <c r="EOU57" s="481"/>
      <c r="EOV57" s="481"/>
      <c r="EOW57" s="481"/>
      <c r="EOX57" s="481"/>
      <c r="EOY57" s="481"/>
      <c r="EOZ57" s="481"/>
      <c r="EPA57" s="481"/>
      <c r="EPB57" s="481"/>
      <c r="EPC57" s="481"/>
      <c r="EPD57" s="481"/>
      <c r="EPE57" s="481"/>
      <c r="EPF57" s="481"/>
      <c r="EPG57" s="481"/>
      <c r="EPH57" s="481"/>
      <c r="EPI57" s="481"/>
      <c r="EPJ57" s="481"/>
      <c r="EPK57" s="481"/>
      <c r="EPL57" s="481"/>
      <c r="EPM57" s="481"/>
      <c r="EPN57" s="481"/>
      <c r="EPO57" s="481"/>
      <c r="EPP57" s="481"/>
      <c r="EPQ57" s="481"/>
      <c r="EPR57" s="481"/>
      <c r="EPS57" s="481"/>
      <c r="EPT57" s="481"/>
      <c r="EPU57" s="481"/>
      <c r="EPV57" s="481"/>
      <c r="EPW57" s="481"/>
      <c r="EPX57" s="481"/>
      <c r="EPY57" s="481"/>
      <c r="EPZ57" s="481"/>
      <c r="EQA57" s="481"/>
      <c r="EQB57" s="481"/>
      <c r="EQC57" s="481"/>
      <c r="EQD57" s="481"/>
      <c r="EQE57" s="481"/>
      <c r="EQF57" s="481"/>
      <c r="EQG57" s="481"/>
      <c r="EQH57" s="481"/>
      <c r="EQI57" s="481"/>
      <c r="EQJ57" s="481"/>
      <c r="EQK57" s="481"/>
      <c r="EQL57" s="481"/>
      <c r="EQM57" s="481"/>
      <c r="EQN57" s="481"/>
      <c r="EQO57" s="481"/>
      <c r="EQP57" s="481"/>
      <c r="EQQ57" s="481"/>
      <c r="EQR57" s="481"/>
      <c r="EQS57" s="481"/>
      <c r="EQT57" s="481"/>
      <c r="EQU57" s="481"/>
      <c r="EQV57" s="481"/>
      <c r="EQW57" s="481"/>
      <c r="EQX57" s="481"/>
      <c r="EQY57" s="481"/>
      <c r="EQZ57" s="481"/>
      <c r="ERA57" s="481"/>
      <c r="ERB57" s="481"/>
      <c r="ERC57" s="481"/>
      <c r="ERD57" s="481"/>
      <c r="ERE57" s="481"/>
      <c r="ERF57" s="481"/>
      <c r="ERG57" s="481"/>
      <c r="ERH57" s="481"/>
      <c r="ERI57" s="481"/>
      <c r="ERJ57" s="481"/>
      <c r="ERK57" s="481"/>
      <c r="ERL57" s="481"/>
      <c r="ERM57" s="481"/>
      <c r="ERN57" s="481"/>
      <c r="ERO57" s="481"/>
      <c r="ERP57" s="481"/>
      <c r="ERQ57" s="481"/>
      <c r="ERR57" s="481"/>
      <c r="ERS57" s="481"/>
      <c r="ERT57" s="481"/>
      <c r="ERU57" s="481"/>
      <c r="ERV57" s="481"/>
      <c r="ERW57" s="481"/>
      <c r="ERX57" s="481"/>
      <c r="ERY57" s="481"/>
      <c r="ERZ57" s="481"/>
      <c r="ESA57" s="481"/>
      <c r="ESB57" s="481"/>
      <c r="ESC57" s="481"/>
      <c r="ESD57" s="481"/>
      <c r="ESE57" s="481"/>
      <c r="ESF57" s="481"/>
      <c r="ESG57" s="481"/>
      <c r="ESH57" s="481"/>
      <c r="ESI57" s="481"/>
      <c r="ESJ57" s="481"/>
      <c r="ESK57" s="481"/>
      <c r="ESL57" s="481"/>
      <c r="ESM57" s="481"/>
      <c r="ESN57" s="481"/>
      <c r="ESO57" s="481"/>
      <c r="ESP57" s="481"/>
      <c r="ESQ57" s="481"/>
      <c r="ESR57" s="481"/>
      <c r="ESS57" s="481"/>
      <c r="EST57" s="481"/>
      <c r="ESU57" s="481"/>
      <c r="ESV57" s="481"/>
      <c r="ESW57" s="481"/>
      <c r="ESX57" s="481"/>
      <c r="ESY57" s="481"/>
      <c r="ESZ57" s="481"/>
      <c r="ETA57" s="481"/>
      <c r="ETB57" s="481"/>
      <c r="ETC57" s="481"/>
      <c r="ETD57" s="481"/>
      <c r="ETE57" s="481"/>
      <c r="ETF57" s="481"/>
      <c r="ETG57" s="481"/>
      <c r="ETH57" s="481"/>
      <c r="ETI57" s="481"/>
      <c r="ETJ57" s="481"/>
      <c r="ETK57" s="481"/>
      <c r="ETL57" s="481"/>
      <c r="ETM57" s="481"/>
      <c r="ETN57" s="481"/>
      <c r="ETO57" s="481"/>
      <c r="ETP57" s="481"/>
      <c r="ETQ57" s="481"/>
      <c r="ETR57" s="481"/>
      <c r="ETS57" s="481"/>
      <c r="ETT57" s="481"/>
      <c r="ETU57" s="481"/>
      <c r="ETV57" s="481"/>
      <c r="ETW57" s="481"/>
      <c r="ETX57" s="481"/>
      <c r="ETY57" s="481"/>
      <c r="ETZ57" s="481"/>
      <c r="EUA57" s="481"/>
      <c r="EUB57" s="481"/>
      <c r="EUC57" s="481"/>
      <c r="EUD57" s="481"/>
      <c r="EUE57" s="481"/>
      <c r="EUF57" s="481"/>
      <c r="EUG57" s="481"/>
      <c r="EUH57" s="481"/>
      <c r="EUI57" s="481"/>
      <c r="EUJ57" s="481"/>
      <c r="EUK57" s="481"/>
      <c r="EUL57" s="481"/>
      <c r="EUM57" s="481"/>
      <c r="EUN57" s="481"/>
      <c r="EUO57" s="481"/>
      <c r="EUP57" s="481"/>
      <c r="EUQ57" s="481"/>
      <c r="EUR57" s="481"/>
      <c r="EUS57" s="481"/>
      <c r="EUT57" s="481"/>
      <c r="EUU57" s="481"/>
      <c r="EUV57" s="481"/>
      <c r="EUW57" s="481"/>
      <c r="EUX57" s="481"/>
      <c r="EUY57" s="481"/>
      <c r="EUZ57" s="481"/>
      <c r="EVA57" s="481"/>
      <c r="EVB57" s="481"/>
      <c r="EVC57" s="481"/>
      <c r="EVD57" s="481"/>
      <c r="EVE57" s="481"/>
      <c r="EVF57" s="481"/>
      <c r="EVG57" s="481"/>
      <c r="EVH57" s="481"/>
      <c r="EVI57" s="481"/>
      <c r="EVJ57" s="481"/>
      <c r="EVK57" s="481"/>
      <c r="EVL57" s="481"/>
      <c r="EVM57" s="481"/>
      <c r="EVN57" s="481"/>
      <c r="EVO57" s="481"/>
      <c r="EVP57" s="481"/>
      <c r="EVQ57" s="481"/>
      <c r="EVR57" s="481"/>
      <c r="EVS57" s="481"/>
      <c r="EVT57" s="481"/>
      <c r="EVU57" s="481"/>
      <c r="EVV57" s="481"/>
      <c r="EVW57" s="481"/>
      <c r="EVX57" s="481"/>
      <c r="EVY57" s="481"/>
      <c r="EVZ57" s="481"/>
      <c r="EWA57" s="481"/>
      <c r="EWB57" s="481"/>
      <c r="EWC57" s="481"/>
      <c r="EWD57" s="481"/>
      <c r="EWE57" s="481"/>
      <c r="EWF57" s="481"/>
      <c r="EWG57" s="481"/>
      <c r="EWH57" s="481"/>
      <c r="EWI57" s="481"/>
      <c r="EWJ57" s="481"/>
      <c r="EWK57" s="481"/>
      <c r="EWL57" s="481"/>
      <c r="EWM57" s="481"/>
      <c r="EWN57" s="481"/>
      <c r="EWO57" s="481"/>
      <c r="EWP57" s="481"/>
      <c r="EWQ57" s="481"/>
      <c r="EWR57" s="481"/>
      <c r="EWS57" s="481"/>
      <c r="EWT57" s="481"/>
      <c r="EWU57" s="481"/>
      <c r="EWV57" s="481"/>
      <c r="EWW57" s="481"/>
      <c r="EWX57" s="481"/>
      <c r="EWY57" s="481"/>
      <c r="EWZ57" s="481"/>
      <c r="EXA57" s="481"/>
      <c r="EXB57" s="481"/>
      <c r="EXC57" s="481"/>
      <c r="EXD57" s="481"/>
      <c r="EXE57" s="481"/>
      <c r="EXF57" s="481"/>
      <c r="EXG57" s="481"/>
      <c r="EXH57" s="481"/>
      <c r="EXI57" s="481"/>
      <c r="EXJ57" s="481"/>
      <c r="EXK57" s="481"/>
      <c r="EXL57" s="481"/>
      <c r="EXM57" s="481"/>
      <c r="EXN57" s="481"/>
      <c r="EXO57" s="481"/>
      <c r="EXP57" s="481"/>
      <c r="EXQ57" s="481"/>
      <c r="EXR57" s="481"/>
      <c r="EXS57" s="481"/>
      <c r="EXT57" s="481"/>
      <c r="EXU57" s="481"/>
      <c r="EXV57" s="481"/>
      <c r="EXW57" s="481"/>
      <c r="EXX57" s="481"/>
      <c r="EXY57" s="481"/>
      <c r="EXZ57" s="481"/>
      <c r="EYA57" s="481"/>
      <c r="EYB57" s="481"/>
      <c r="EYC57" s="481"/>
      <c r="EYD57" s="481"/>
      <c r="EYE57" s="481"/>
      <c r="EYF57" s="481"/>
      <c r="EYG57" s="481"/>
      <c r="EYH57" s="481"/>
      <c r="EYI57" s="481"/>
      <c r="EYJ57" s="481"/>
      <c r="EYK57" s="481"/>
      <c r="EYL57" s="481"/>
      <c r="EYM57" s="481"/>
      <c r="EYN57" s="481"/>
      <c r="EYO57" s="481"/>
      <c r="EYP57" s="481"/>
      <c r="EYQ57" s="481"/>
      <c r="EYR57" s="481"/>
      <c r="EYS57" s="481"/>
      <c r="EYT57" s="481"/>
      <c r="EYU57" s="481"/>
      <c r="EYV57" s="481"/>
      <c r="EYW57" s="481"/>
      <c r="EYX57" s="481"/>
      <c r="EYY57" s="481"/>
      <c r="EYZ57" s="481"/>
      <c r="EZA57" s="481"/>
      <c r="EZB57" s="481"/>
      <c r="EZC57" s="481"/>
      <c r="EZD57" s="481"/>
      <c r="EZE57" s="481"/>
      <c r="EZF57" s="481"/>
      <c r="EZG57" s="481"/>
      <c r="EZH57" s="481"/>
      <c r="EZI57" s="481"/>
      <c r="EZJ57" s="481"/>
      <c r="EZK57" s="481"/>
      <c r="EZL57" s="481"/>
      <c r="EZM57" s="481"/>
      <c r="EZN57" s="481"/>
      <c r="EZO57" s="481"/>
      <c r="EZP57" s="481"/>
      <c r="EZQ57" s="481"/>
      <c r="EZR57" s="481"/>
      <c r="EZS57" s="481"/>
      <c r="EZT57" s="481"/>
      <c r="EZU57" s="481"/>
      <c r="EZV57" s="481"/>
      <c r="EZW57" s="481"/>
      <c r="EZX57" s="481"/>
      <c r="EZY57" s="481"/>
      <c r="EZZ57" s="481"/>
      <c r="FAA57" s="481"/>
      <c r="FAB57" s="481"/>
      <c r="FAC57" s="481"/>
      <c r="FAD57" s="481"/>
      <c r="FAE57" s="481"/>
      <c r="FAF57" s="481"/>
      <c r="FAG57" s="481"/>
      <c r="FAH57" s="481"/>
      <c r="FAI57" s="481"/>
      <c r="FAJ57" s="481"/>
      <c r="FAK57" s="481"/>
      <c r="FAL57" s="481"/>
      <c r="FAM57" s="481"/>
      <c r="FAN57" s="481"/>
      <c r="FAO57" s="481"/>
      <c r="FAP57" s="481"/>
      <c r="FAQ57" s="481"/>
      <c r="FAR57" s="481"/>
      <c r="FAS57" s="481"/>
      <c r="FAT57" s="481"/>
      <c r="FAU57" s="481"/>
      <c r="FAV57" s="481"/>
      <c r="FAW57" s="481"/>
      <c r="FAX57" s="481"/>
      <c r="FAY57" s="481"/>
      <c r="FAZ57" s="481"/>
      <c r="FBA57" s="481"/>
      <c r="FBB57" s="481"/>
      <c r="FBC57" s="481"/>
      <c r="FBD57" s="481"/>
      <c r="FBE57" s="481"/>
      <c r="FBF57" s="481"/>
      <c r="FBG57" s="481"/>
      <c r="FBH57" s="481"/>
      <c r="FBI57" s="481"/>
      <c r="FBJ57" s="481"/>
      <c r="FBK57" s="481"/>
      <c r="FBL57" s="481"/>
      <c r="FBM57" s="481"/>
      <c r="FBN57" s="481"/>
      <c r="FBO57" s="481"/>
      <c r="FBP57" s="481"/>
      <c r="FBQ57" s="481"/>
      <c r="FBR57" s="481"/>
      <c r="FBS57" s="481"/>
      <c r="FBT57" s="481"/>
      <c r="FBU57" s="481"/>
      <c r="FBV57" s="481"/>
      <c r="FBW57" s="481"/>
      <c r="FBX57" s="481"/>
      <c r="FBY57" s="481"/>
      <c r="FBZ57" s="481"/>
      <c r="FCA57" s="481"/>
      <c r="FCB57" s="481"/>
      <c r="FCC57" s="481"/>
      <c r="FCD57" s="481"/>
      <c r="FCE57" s="481"/>
      <c r="FCF57" s="481"/>
      <c r="FCG57" s="481"/>
      <c r="FCH57" s="481"/>
      <c r="FCI57" s="481"/>
      <c r="FCJ57" s="481"/>
      <c r="FCK57" s="481"/>
      <c r="FCL57" s="481"/>
      <c r="FCM57" s="481"/>
      <c r="FCN57" s="481"/>
      <c r="FCO57" s="481"/>
      <c r="FCP57" s="481"/>
      <c r="FCQ57" s="481"/>
      <c r="FCR57" s="481"/>
      <c r="FCS57" s="481"/>
      <c r="FCT57" s="481"/>
      <c r="FCU57" s="481"/>
      <c r="FCV57" s="481"/>
      <c r="FCW57" s="481"/>
      <c r="FCX57" s="481"/>
      <c r="FCY57" s="481"/>
      <c r="FCZ57" s="481"/>
      <c r="FDA57" s="481"/>
      <c r="FDB57" s="481"/>
      <c r="FDC57" s="481"/>
      <c r="FDD57" s="481"/>
      <c r="FDE57" s="481"/>
      <c r="FDF57" s="481"/>
      <c r="FDG57" s="481"/>
      <c r="FDH57" s="481"/>
      <c r="FDI57" s="481"/>
      <c r="FDJ57" s="481"/>
      <c r="FDK57" s="481"/>
      <c r="FDL57" s="481"/>
      <c r="FDM57" s="481"/>
      <c r="FDN57" s="481"/>
      <c r="FDO57" s="481"/>
      <c r="FDP57" s="481"/>
      <c r="FDQ57" s="481"/>
      <c r="FDR57" s="481"/>
      <c r="FDS57" s="481"/>
      <c r="FDT57" s="481"/>
      <c r="FDU57" s="481"/>
      <c r="FDV57" s="481"/>
      <c r="FDW57" s="481"/>
      <c r="FDX57" s="481"/>
      <c r="FDY57" s="481"/>
      <c r="FDZ57" s="481"/>
      <c r="FEA57" s="481"/>
      <c r="FEB57" s="481"/>
      <c r="FEC57" s="481"/>
      <c r="FED57" s="481"/>
      <c r="FEE57" s="481"/>
      <c r="FEF57" s="481"/>
      <c r="FEG57" s="481"/>
      <c r="FEH57" s="481"/>
      <c r="FEI57" s="481"/>
      <c r="FEJ57" s="481"/>
      <c r="FEK57" s="481"/>
      <c r="FEL57" s="481"/>
      <c r="FEM57" s="481"/>
      <c r="FEN57" s="481"/>
      <c r="FEO57" s="481"/>
      <c r="FEP57" s="481"/>
      <c r="FEQ57" s="481"/>
      <c r="FER57" s="481"/>
      <c r="FES57" s="481"/>
      <c r="FET57" s="481"/>
      <c r="FEU57" s="481"/>
      <c r="FEV57" s="481"/>
      <c r="FEW57" s="481"/>
      <c r="FEX57" s="481"/>
      <c r="FEY57" s="481"/>
      <c r="FEZ57" s="481"/>
      <c r="FFA57" s="481"/>
      <c r="FFB57" s="481"/>
      <c r="FFC57" s="481"/>
      <c r="FFD57" s="481"/>
      <c r="FFE57" s="481"/>
      <c r="FFF57" s="481"/>
      <c r="FFG57" s="481"/>
      <c r="FFH57" s="481"/>
      <c r="FFI57" s="481"/>
      <c r="FFJ57" s="481"/>
      <c r="FFK57" s="481"/>
      <c r="FFL57" s="481"/>
      <c r="FFM57" s="481"/>
      <c r="FFN57" s="481"/>
      <c r="FFO57" s="481"/>
      <c r="FFP57" s="481"/>
      <c r="FFQ57" s="481"/>
      <c r="FFR57" s="481"/>
      <c r="FFS57" s="481"/>
      <c r="FFT57" s="481"/>
      <c r="FFU57" s="481"/>
      <c r="FFV57" s="481"/>
      <c r="FFW57" s="481"/>
      <c r="FFX57" s="481"/>
      <c r="FFY57" s="481"/>
      <c r="FFZ57" s="481"/>
      <c r="FGA57" s="481"/>
      <c r="FGB57" s="481"/>
      <c r="FGC57" s="481"/>
      <c r="FGD57" s="481"/>
      <c r="FGE57" s="481"/>
      <c r="FGF57" s="481"/>
      <c r="FGG57" s="481"/>
      <c r="FGH57" s="481"/>
      <c r="FGI57" s="481"/>
      <c r="FGJ57" s="481"/>
      <c r="FGK57" s="481"/>
      <c r="FGL57" s="481"/>
      <c r="FGM57" s="481"/>
      <c r="FGN57" s="481"/>
      <c r="FGO57" s="481"/>
      <c r="FGP57" s="481"/>
      <c r="FGQ57" s="481"/>
      <c r="FGR57" s="481"/>
      <c r="FGS57" s="481"/>
      <c r="FGT57" s="481"/>
      <c r="FGU57" s="481"/>
      <c r="FGV57" s="481"/>
      <c r="FGW57" s="481"/>
      <c r="FGX57" s="481"/>
      <c r="FGY57" s="481"/>
      <c r="FGZ57" s="481"/>
      <c r="FHA57" s="481"/>
      <c r="FHB57" s="481"/>
      <c r="FHC57" s="481"/>
      <c r="FHD57" s="481"/>
      <c r="FHE57" s="481"/>
      <c r="FHF57" s="481"/>
      <c r="FHG57" s="481"/>
      <c r="FHH57" s="481"/>
      <c r="FHI57" s="481"/>
      <c r="FHJ57" s="481"/>
      <c r="FHK57" s="481"/>
      <c r="FHL57" s="481"/>
      <c r="FHM57" s="481"/>
      <c r="FHN57" s="481"/>
      <c r="FHO57" s="481"/>
      <c r="FHP57" s="481"/>
      <c r="FHQ57" s="481"/>
      <c r="FHR57" s="481"/>
      <c r="FHS57" s="481"/>
      <c r="FHT57" s="481"/>
      <c r="FHU57" s="481"/>
      <c r="FHV57" s="481"/>
      <c r="FHW57" s="481"/>
      <c r="FHX57" s="481"/>
      <c r="FHY57" s="481"/>
      <c r="FHZ57" s="481"/>
      <c r="FIA57" s="481"/>
      <c r="FIB57" s="481"/>
      <c r="FIC57" s="481"/>
      <c r="FID57" s="481"/>
      <c r="FIE57" s="481"/>
      <c r="FIF57" s="481"/>
      <c r="FIG57" s="481"/>
      <c r="FIH57" s="481"/>
      <c r="FII57" s="481"/>
      <c r="FIJ57" s="481"/>
      <c r="FIK57" s="481"/>
      <c r="FIL57" s="481"/>
      <c r="FIM57" s="481"/>
      <c r="FIN57" s="481"/>
      <c r="FIO57" s="481"/>
      <c r="FIP57" s="481"/>
      <c r="FIQ57" s="481"/>
      <c r="FIR57" s="481"/>
      <c r="FIS57" s="481"/>
      <c r="FIT57" s="481"/>
      <c r="FIU57" s="481"/>
      <c r="FIV57" s="481"/>
      <c r="FIW57" s="481"/>
      <c r="FIX57" s="481"/>
      <c r="FIY57" s="481"/>
      <c r="FIZ57" s="481"/>
      <c r="FJA57" s="481"/>
      <c r="FJB57" s="481"/>
      <c r="FJC57" s="481"/>
      <c r="FJD57" s="481"/>
      <c r="FJE57" s="481"/>
      <c r="FJF57" s="481"/>
      <c r="FJG57" s="481"/>
      <c r="FJH57" s="481"/>
      <c r="FJI57" s="481"/>
      <c r="FJJ57" s="481"/>
      <c r="FJK57" s="481"/>
      <c r="FJL57" s="481"/>
      <c r="FJM57" s="481"/>
      <c r="FJN57" s="481"/>
      <c r="FJO57" s="481"/>
      <c r="FJP57" s="481"/>
      <c r="FJQ57" s="481"/>
      <c r="FJR57" s="481"/>
      <c r="FJS57" s="481"/>
      <c r="FJT57" s="481"/>
      <c r="FJU57" s="481"/>
      <c r="FJV57" s="481"/>
      <c r="FJW57" s="481"/>
      <c r="FJX57" s="481"/>
      <c r="FJY57" s="481"/>
      <c r="FJZ57" s="481"/>
      <c r="FKA57" s="481"/>
      <c r="FKB57" s="481"/>
      <c r="FKC57" s="481"/>
      <c r="FKD57" s="481"/>
      <c r="FKE57" s="481"/>
      <c r="FKF57" s="481"/>
      <c r="FKG57" s="481"/>
      <c r="FKH57" s="481"/>
      <c r="FKI57" s="481"/>
      <c r="FKJ57" s="481"/>
      <c r="FKK57" s="481"/>
      <c r="FKL57" s="481"/>
      <c r="FKM57" s="481"/>
      <c r="FKN57" s="481"/>
      <c r="FKO57" s="481"/>
      <c r="FKP57" s="481"/>
      <c r="FKQ57" s="481"/>
      <c r="FKR57" s="481"/>
      <c r="FKS57" s="481"/>
      <c r="FKT57" s="481"/>
      <c r="FKU57" s="481"/>
      <c r="FKV57" s="481"/>
      <c r="FKW57" s="481"/>
      <c r="FKX57" s="481"/>
      <c r="FKY57" s="481"/>
      <c r="FKZ57" s="481"/>
      <c r="FLA57" s="481"/>
      <c r="FLB57" s="481"/>
      <c r="FLC57" s="481"/>
      <c r="FLD57" s="481"/>
      <c r="FLE57" s="481"/>
      <c r="FLF57" s="481"/>
      <c r="FLG57" s="481"/>
      <c r="FLH57" s="481"/>
      <c r="FLI57" s="481"/>
      <c r="FLJ57" s="481"/>
      <c r="FLK57" s="481"/>
      <c r="FLL57" s="481"/>
      <c r="FLM57" s="481"/>
      <c r="FLN57" s="481"/>
      <c r="FLO57" s="481"/>
      <c r="FLP57" s="481"/>
      <c r="FLQ57" s="481"/>
      <c r="FLR57" s="481"/>
      <c r="FLS57" s="481"/>
      <c r="FLT57" s="481"/>
      <c r="FLU57" s="481"/>
      <c r="FLV57" s="481"/>
      <c r="FLW57" s="481"/>
      <c r="FLX57" s="481"/>
      <c r="FLY57" s="481"/>
      <c r="FLZ57" s="481"/>
      <c r="FMA57" s="481"/>
      <c r="FMB57" s="481"/>
      <c r="FMC57" s="481"/>
      <c r="FMD57" s="481"/>
      <c r="FME57" s="481"/>
      <c r="FMF57" s="481"/>
      <c r="FMG57" s="481"/>
      <c r="FMH57" s="481"/>
      <c r="FMI57" s="481"/>
      <c r="FMJ57" s="481"/>
      <c r="FMK57" s="481"/>
      <c r="FML57" s="481"/>
      <c r="FMM57" s="481"/>
      <c r="FMN57" s="481"/>
      <c r="FMO57" s="481"/>
      <c r="FMP57" s="481"/>
      <c r="FMQ57" s="481"/>
      <c r="FMR57" s="481"/>
      <c r="FMS57" s="481"/>
      <c r="FMT57" s="481"/>
      <c r="FMU57" s="481"/>
      <c r="FMV57" s="481"/>
      <c r="FMW57" s="481"/>
      <c r="FMX57" s="481"/>
      <c r="FMY57" s="481"/>
      <c r="FMZ57" s="481"/>
      <c r="FNA57" s="481"/>
      <c r="FNB57" s="481"/>
      <c r="FNC57" s="481"/>
      <c r="FND57" s="481"/>
      <c r="FNE57" s="481"/>
      <c r="FNF57" s="481"/>
      <c r="FNG57" s="481"/>
      <c r="FNH57" s="481"/>
      <c r="FNI57" s="481"/>
      <c r="FNJ57" s="481"/>
      <c r="FNK57" s="481"/>
      <c r="FNL57" s="481"/>
      <c r="FNM57" s="481"/>
      <c r="FNN57" s="481"/>
      <c r="FNO57" s="481"/>
      <c r="FNP57" s="481"/>
      <c r="FNQ57" s="481"/>
      <c r="FNR57" s="481"/>
      <c r="FNS57" s="481"/>
      <c r="FNT57" s="481"/>
      <c r="FNU57" s="481"/>
      <c r="FNV57" s="481"/>
      <c r="FNW57" s="481"/>
      <c r="FNX57" s="481"/>
      <c r="FNY57" s="481"/>
      <c r="FNZ57" s="481"/>
      <c r="FOA57" s="481"/>
      <c r="FOB57" s="481"/>
      <c r="FOC57" s="481"/>
      <c r="FOD57" s="481"/>
      <c r="FOE57" s="481"/>
      <c r="FOF57" s="481"/>
      <c r="FOG57" s="481"/>
      <c r="FOH57" s="481"/>
      <c r="FOI57" s="481"/>
      <c r="FOJ57" s="481"/>
      <c r="FOK57" s="481"/>
      <c r="FOL57" s="481"/>
      <c r="FOM57" s="481"/>
      <c r="FON57" s="481"/>
      <c r="FOO57" s="481"/>
      <c r="FOP57" s="481"/>
      <c r="FOQ57" s="481"/>
      <c r="FOR57" s="481"/>
      <c r="FOS57" s="481"/>
      <c r="FOT57" s="481"/>
      <c r="FOU57" s="481"/>
      <c r="FOV57" s="481"/>
      <c r="FOW57" s="481"/>
      <c r="FOX57" s="481"/>
      <c r="FOY57" s="481"/>
      <c r="FOZ57" s="481"/>
      <c r="FPA57" s="481"/>
      <c r="FPB57" s="481"/>
      <c r="FPC57" s="481"/>
      <c r="FPD57" s="481"/>
      <c r="FPE57" s="481"/>
      <c r="FPF57" s="481"/>
      <c r="FPG57" s="481"/>
      <c r="FPH57" s="481"/>
      <c r="FPI57" s="481"/>
      <c r="FPJ57" s="481"/>
      <c r="FPK57" s="481"/>
      <c r="FPL57" s="481"/>
      <c r="FPM57" s="481"/>
      <c r="FPN57" s="481"/>
      <c r="FPO57" s="481"/>
      <c r="FPP57" s="481"/>
      <c r="FPQ57" s="481"/>
      <c r="FPR57" s="481"/>
      <c r="FPS57" s="481"/>
      <c r="FPT57" s="481"/>
      <c r="FPU57" s="481"/>
      <c r="FPV57" s="481"/>
      <c r="FPW57" s="481"/>
      <c r="FPX57" s="481"/>
      <c r="FPY57" s="481"/>
      <c r="FPZ57" s="481"/>
      <c r="FQA57" s="481"/>
      <c r="FQB57" s="481"/>
      <c r="FQC57" s="481"/>
      <c r="FQD57" s="481"/>
      <c r="FQE57" s="481"/>
      <c r="FQF57" s="481"/>
      <c r="FQG57" s="481"/>
      <c r="FQH57" s="481"/>
      <c r="FQI57" s="481"/>
      <c r="FQJ57" s="481"/>
      <c r="FQK57" s="481"/>
      <c r="FQL57" s="481"/>
      <c r="FQM57" s="481"/>
      <c r="FQN57" s="481"/>
      <c r="FQO57" s="481"/>
      <c r="FQP57" s="481"/>
      <c r="FQQ57" s="481"/>
      <c r="FQR57" s="481"/>
      <c r="FQS57" s="481"/>
      <c r="FQT57" s="481"/>
      <c r="FQU57" s="481"/>
      <c r="FQV57" s="481"/>
      <c r="FQW57" s="481"/>
      <c r="FQX57" s="481"/>
      <c r="FQY57" s="481"/>
      <c r="FQZ57" s="481"/>
      <c r="FRA57" s="481"/>
      <c r="FRB57" s="481"/>
      <c r="FRC57" s="481"/>
      <c r="FRD57" s="481"/>
      <c r="FRE57" s="481"/>
      <c r="FRF57" s="481"/>
      <c r="FRG57" s="481"/>
      <c r="FRH57" s="481"/>
      <c r="FRI57" s="481"/>
      <c r="FRJ57" s="481"/>
      <c r="FRK57" s="481"/>
      <c r="FRL57" s="481"/>
      <c r="FRM57" s="481"/>
      <c r="FRN57" s="481"/>
      <c r="FRO57" s="481"/>
      <c r="FRP57" s="481"/>
      <c r="FRQ57" s="481"/>
      <c r="FRR57" s="481"/>
      <c r="FRS57" s="481"/>
      <c r="FRT57" s="481"/>
      <c r="FRU57" s="481"/>
      <c r="FRV57" s="481"/>
      <c r="FRW57" s="481"/>
      <c r="FRX57" s="481"/>
      <c r="FRY57" s="481"/>
      <c r="FRZ57" s="481"/>
      <c r="FSA57" s="481"/>
      <c r="FSB57" s="481"/>
      <c r="FSC57" s="481"/>
      <c r="FSD57" s="481"/>
      <c r="FSE57" s="481"/>
      <c r="FSF57" s="481"/>
      <c r="FSG57" s="481"/>
      <c r="FSH57" s="481"/>
      <c r="FSI57" s="481"/>
      <c r="FSJ57" s="481"/>
      <c r="FSK57" s="481"/>
      <c r="FSL57" s="481"/>
      <c r="FSM57" s="481"/>
      <c r="FSN57" s="481"/>
      <c r="FSO57" s="481"/>
      <c r="FSP57" s="481"/>
      <c r="FSQ57" s="481"/>
      <c r="FSR57" s="481"/>
      <c r="FSS57" s="481"/>
      <c r="FST57" s="481"/>
      <c r="FSU57" s="481"/>
      <c r="FSV57" s="481"/>
      <c r="FSW57" s="481"/>
      <c r="FSX57" s="481"/>
      <c r="FSY57" s="481"/>
      <c r="FSZ57" s="481"/>
      <c r="FTA57" s="481"/>
      <c r="FTB57" s="481"/>
      <c r="FTC57" s="481"/>
      <c r="FTD57" s="481"/>
      <c r="FTE57" s="481"/>
      <c r="FTF57" s="481"/>
      <c r="FTG57" s="481"/>
      <c r="FTH57" s="481"/>
      <c r="FTI57" s="481"/>
      <c r="FTJ57" s="481"/>
      <c r="FTK57" s="481"/>
      <c r="FTL57" s="481"/>
      <c r="FTM57" s="481"/>
      <c r="FTN57" s="481"/>
      <c r="FTO57" s="481"/>
      <c r="FTP57" s="481"/>
      <c r="FTQ57" s="481"/>
      <c r="FTR57" s="481"/>
      <c r="FTS57" s="481"/>
      <c r="FTT57" s="481"/>
      <c r="FTU57" s="481"/>
      <c r="FTV57" s="481"/>
      <c r="FTW57" s="481"/>
      <c r="FTX57" s="481"/>
      <c r="FTY57" s="481"/>
      <c r="FTZ57" s="481"/>
      <c r="FUA57" s="481"/>
      <c r="FUB57" s="481"/>
      <c r="FUC57" s="481"/>
      <c r="FUD57" s="481"/>
      <c r="FUE57" s="481"/>
      <c r="FUF57" s="481"/>
      <c r="FUG57" s="481"/>
      <c r="FUH57" s="481"/>
      <c r="FUI57" s="481"/>
      <c r="FUJ57" s="481"/>
      <c r="FUK57" s="481"/>
      <c r="FUL57" s="481"/>
      <c r="FUM57" s="481"/>
      <c r="FUN57" s="481"/>
      <c r="FUO57" s="481"/>
      <c r="FUP57" s="481"/>
      <c r="FUQ57" s="481"/>
      <c r="FUR57" s="481"/>
      <c r="FUS57" s="481"/>
      <c r="FUT57" s="481"/>
      <c r="FUU57" s="481"/>
      <c r="FUV57" s="481"/>
      <c r="FUW57" s="481"/>
      <c r="FUX57" s="481"/>
      <c r="FUY57" s="481"/>
      <c r="FUZ57" s="481"/>
      <c r="FVA57" s="481"/>
      <c r="FVB57" s="481"/>
      <c r="FVC57" s="481"/>
      <c r="FVD57" s="481"/>
      <c r="FVE57" s="481"/>
      <c r="FVF57" s="481"/>
      <c r="FVG57" s="481"/>
      <c r="FVH57" s="481"/>
      <c r="FVI57" s="481"/>
      <c r="FVJ57" s="481"/>
      <c r="FVK57" s="481"/>
      <c r="FVL57" s="481"/>
      <c r="FVM57" s="481"/>
      <c r="FVN57" s="481"/>
      <c r="FVO57" s="481"/>
      <c r="FVP57" s="481"/>
      <c r="FVQ57" s="481"/>
      <c r="FVR57" s="481"/>
      <c r="FVS57" s="481"/>
      <c r="FVT57" s="481"/>
      <c r="FVU57" s="481"/>
      <c r="FVV57" s="481"/>
      <c r="FVW57" s="481"/>
      <c r="FVX57" s="481"/>
      <c r="FVY57" s="481"/>
      <c r="FVZ57" s="481"/>
      <c r="FWA57" s="481"/>
      <c r="FWB57" s="481"/>
      <c r="FWC57" s="481"/>
      <c r="FWD57" s="481"/>
      <c r="FWE57" s="481"/>
      <c r="FWF57" s="481"/>
      <c r="FWG57" s="481"/>
      <c r="FWH57" s="481"/>
      <c r="FWI57" s="481"/>
      <c r="FWJ57" s="481"/>
      <c r="FWK57" s="481"/>
      <c r="FWL57" s="481"/>
      <c r="FWM57" s="481"/>
      <c r="FWN57" s="481"/>
      <c r="FWO57" s="481"/>
      <c r="FWP57" s="481"/>
      <c r="FWQ57" s="481"/>
      <c r="FWR57" s="481"/>
      <c r="FWS57" s="481"/>
      <c r="FWT57" s="481"/>
      <c r="FWU57" s="481"/>
      <c r="FWV57" s="481"/>
      <c r="FWW57" s="481"/>
      <c r="FWX57" s="481"/>
      <c r="FWY57" s="481"/>
      <c r="FWZ57" s="481"/>
      <c r="FXA57" s="481"/>
      <c r="FXB57" s="481"/>
      <c r="FXC57" s="481"/>
      <c r="FXD57" s="481"/>
      <c r="FXE57" s="481"/>
      <c r="FXF57" s="481"/>
      <c r="FXG57" s="481"/>
      <c r="FXH57" s="481"/>
      <c r="FXI57" s="481"/>
      <c r="FXJ57" s="481"/>
      <c r="FXK57" s="481"/>
      <c r="FXL57" s="481"/>
      <c r="FXM57" s="481"/>
      <c r="FXN57" s="481"/>
      <c r="FXO57" s="481"/>
      <c r="FXP57" s="481"/>
      <c r="FXQ57" s="481"/>
      <c r="FXR57" s="481"/>
      <c r="FXS57" s="481"/>
      <c r="FXT57" s="481"/>
      <c r="FXU57" s="481"/>
      <c r="FXV57" s="481"/>
      <c r="FXW57" s="481"/>
      <c r="FXX57" s="481"/>
      <c r="FXY57" s="481"/>
      <c r="FXZ57" s="481"/>
      <c r="FYA57" s="481"/>
      <c r="FYB57" s="481"/>
      <c r="FYC57" s="481"/>
      <c r="FYD57" s="481"/>
      <c r="FYE57" s="481"/>
      <c r="FYF57" s="481"/>
      <c r="FYG57" s="481"/>
      <c r="FYH57" s="481"/>
      <c r="FYI57" s="481"/>
      <c r="FYJ57" s="481"/>
      <c r="FYK57" s="481"/>
      <c r="FYL57" s="481"/>
      <c r="FYM57" s="481"/>
      <c r="FYN57" s="481"/>
      <c r="FYO57" s="481"/>
      <c r="FYP57" s="481"/>
      <c r="FYQ57" s="481"/>
      <c r="FYR57" s="481"/>
      <c r="FYS57" s="481"/>
      <c r="FYT57" s="481"/>
      <c r="FYU57" s="481"/>
      <c r="FYV57" s="481"/>
      <c r="FYW57" s="481"/>
      <c r="FYX57" s="481"/>
      <c r="FYY57" s="481"/>
      <c r="FYZ57" s="481"/>
      <c r="FZA57" s="481"/>
      <c r="FZB57" s="481"/>
      <c r="FZC57" s="481"/>
      <c r="FZD57" s="481"/>
      <c r="FZE57" s="481"/>
      <c r="FZF57" s="481"/>
      <c r="FZG57" s="481"/>
      <c r="FZH57" s="481"/>
      <c r="FZI57" s="481"/>
      <c r="FZJ57" s="481"/>
      <c r="FZK57" s="481"/>
      <c r="FZL57" s="481"/>
      <c r="FZM57" s="481"/>
      <c r="FZN57" s="481"/>
      <c r="FZO57" s="481"/>
      <c r="FZP57" s="481"/>
      <c r="FZQ57" s="481"/>
      <c r="FZR57" s="481"/>
      <c r="FZS57" s="481"/>
      <c r="FZT57" s="481"/>
      <c r="FZU57" s="481"/>
      <c r="FZV57" s="481"/>
      <c r="FZW57" s="481"/>
      <c r="FZX57" s="481"/>
      <c r="FZY57" s="481"/>
      <c r="FZZ57" s="481"/>
      <c r="GAA57" s="481"/>
      <c r="GAB57" s="481"/>
      <c r="GAC57" s="481"/>
      <c r="GAD57" s="481"/>
      <c r="GAE57" s="481"/>
      <c r="GAF57" s="481"/>
      <c r="GAG57" s="481"/>
      <c r="GAH57" s="481"/>
      <c r="GAI57" s="481"/>
      <c r="GAJ57" s="481"/>
      <c r="GAK57" s="481"/>
      <c r="GAL57" s="481"/>
      <c r="GAM57" s="481"/>
      <c r="GAN57" s="481"/>
      <c r="GAO57" s="481"/>
      <c r="GAP57" s="481"/>
      <c r="GAQ57" s="481"/>
      <c r="GAR57" s="481"/>
      <c r="GAS57" s="481"/>
      <c r="GAT57" s="481"/>
      <c r="GAU57" s="481"/>
      <c r="GAV57" s="481"/>
      <c r="GAW57" s="481"/>
      <c r="GAX57" s="481"/>
      <c r="GAY57" s="481"/>
      <c r="GAZ57" s="481"/>
      <c r="GBA57" s="481"/>
      <c r="GBB57" s="481"/>
      <c r="GBC57" s="481"/>
      <c r="GBD57" s="481"/>
      <c r="GBE57" s="481"/>
      <c r="GBF57" s="481"/>
      <c r="GBG57" s="481"/>
      <c r="GBH57" s="481"/>
      <c r="GBI57" s="481"/>
      <c r="GBJ57" s="481"/>
      <c r="GBK57" s="481"/>
      <c r="GBL57" s="481"/>
      <c r="GBM57" s="481"/>
      <c r="GBN57" s="481"/>
      <c r="GBO57" s="481"/>
      <c r="GBP57" s="481"/>
      <c r="GBQ57" s="481"/>
      <c r="GBR57" s="481"/>
      <c r="GBS57" s="481"/>
      <c r="GBT57" s="481"/>
      <c r="GBU57" s="481"/>
      <c r="GBV57" s="481"/>
      <c r="GBW57" s="481"/>
      <c r="GBX57" s="481"/>
      <c r="GBY57" s="481"/>
      <c r="GBZ57" s="481"/>
      <c r="GCA57" s="481"/>
      <c r="GCB57" s="481"/>
      <c r="GCC57" s="481"/>
      <c r="GCD57" s="481"/>
      <c r="GCE57" s="481"/>
      <c r="GCF57" s="481"/>
      <c r="GCG57" s="481"/>
      <c r="GCH57" s="481"/>
      <c r="GCI57" s="481"/>
      <c r="GCJ57" s="481"/>
      <c r="GCK57" s="481"/>
      <c r="GCL57" s="481"/>
      <c r="GCM57" s="481"/>
      <c r="GCN57" s="481"/>
      <c r="GCO57" s="481"/>
      <c r="GCP57" s="481"/>
      <c r="GCQ57" s="481"/>
      <c r="GCR57" s="481"/>
      <c r="GCS57" s="481"/>
      <c r="GCT57" s="481"/>
      <c r="GCU57" s="481"/>
      <c r="GCV57" s="481"/>
      <c r="GCW57" s="481"/>
      <c r="GCX57" s="481"/>
      <c r="GCY57" s="481"/>
      <c r="GCZ57" s="481"/>
      <c r="GDA57" s="481"/>
      <c r="GDB57" s="481"/>
      <c r="GDC57" s="481"/>
      <c r="GDD57" s="481"/>
      <c r="GDE57" s="481"/>
      <c r="GDF57" s="481"/>
      <c r="GDG57" s="481"/>
      <c r="GDH57" s="481"/>
      <c r="GDI57" s="481"/>
      <c r="GDJ57" s="481"/>
      <c r="GDK57" s="481"/>
      <c r="GDL57" s="481"/>
      <c r="GDM57" s="481"/>
      <c r="GDN57" s="481"/>
      <c r="GDO57" s="481"/>
      <c r="GDP57" s="481"/>
      <c r="GDQ57" s="481"/>
      <c r="GDR57" s="481"/>
      <c r="GDS57" s="481"/>
      <c r="GDT57" s="481"/>
      <c r="GDU57" s="481"/>
      <c r="GDV57" s="481"/>
      <c r="GDW57" s="481"/>
      <c r="GDX57" s="481"/>
      <c r="GDY57" s="481"/>
      <c r="GDZ57" s="481"/>
      <c r="GEA57" s="481"/>
      <c r="GEB57" s="481"/>
      <c r="GEC57" s="481"/>
      <c r="GED57" s="481"/>
      <c r="GEE57" s="481"/>
      <c r="GEF57" s="481"/>
      <c r="GEG57" s="481"/>
      <c r="GEH57" s="481"/>
      <c r="GEI57" s="481"/>
      <c r="GEJ57" s="481"/>
      <c r="GEK57" s="481"/>
      <c r="GEL57" s="481"/>
      <c r="GEM57" s="481"/>
      <c r="GEN57" s="481"/>
      <c r="GEO57" s="481"/>
      <c r="GEP57" s="481"/>
      <c r="GEQ57" s="481"/>
      <c r="GER57" s="481"/>
      <c r="GES57" s="481"/>
      <c r="GET57" s="481"/>
      <c r="GEU57" s="481"/>
      <c r="GEV57" s="481"/>
      <c r="GEW57" s="481"/>
      <c r="GEX57" s="481"/>
      <c r="GEY57" s="481"/>
      <c r="GEZ57" s="481"/>
      <c r="GFA57" s="481"/>
      <c r="GFB57" s="481"/>
      <c r="GFC57" s="481"/>
      <c r="GFD57" s="481"/>
      <c r="GFE57" s="481"/>
      <c r="GFF57" s="481"/>
      <c r="GFG57" s="481"/>
      <c r="GFH57" s="481"/>
      <c r="GFI57" s="481"/>
      <c r="GFJ57" s="481"/>
      <c r="GFK57" s="481"/>
      <c r="GFL57" s="481"/>
      <c r="GFM57" s="481"/>
      <c r="GFN57" s="481"/>
      <c r="GFO57" s="481"/>
      <c r="GFP57" s="481"/>
      <c r="GFQ57" s="481"/>
      <c r="GFR57" s="481"/>
      <c r="GFS57" s="481"/>
      <c r="GFT57" s="481"/>
      <c r="GFU57" s="481"/>
      <c r="GFV57" s="481"/>
      <c r="GFW57" s="481"/>
      <c r="GFX57" s="481"/>
      <c r="GFY57" s="481"/>
      <c r="GFZ57" s="481"/>
      <c r="GGA57" s="481"/>
      <c r="GGB57" s="481"/>
      <c r="GGC57" s="481"/>
      <c r="GGD57" s="481"/>
      <c r="GGE57" s="481"/>
      <c r="GGF57" s="481"/>
      <c r="GGG57" s="481"/>
      <c r="GGH57" s="481"/>
      <c r="GGI57" s="481"/>
      <c r="GGJ57" s="481"/>
      <c r="GGK57" s="481"/>
      <c r="GGL57" s="481"/>
      <c r="GGM57" s="481"/>
      <c r="GGN57" s="481"/>
      <c r="GGO57" s="481"/>
      <c r="GGP57" s="481"/>
      <c r="GGQ57" s="481"/>
      <c r="GGR57" s="481"/>
      <c r="GGS57" s="481"/>
      <c r="GGT57" s="481"/>
      <c r="GGU57" s="481"/>
      <c r="GGV57" s="481"/>
      <c r="GGW57" s="481"/>
      <c r="GGX57" s="481"/>
      <c r="GGY57" s="481"/>
      <c r="GGZ57" s="481"/>
      <c r="GHA57" s="481"/>
      <c r="GHB57" s="481"/>
      <c r="GHC57" s="481"/>
      <c r="GHD57" s="481"/>
      <c r="GHE57" s="481"/>
      <c r="GHF57" s="481"/>
      <c r="GHG57" s="481"/>
      <c r="GHH57" s="481"/>
      <c r="GHI57" s="481"/>
      <c r="GHJ57" s="481"/>
      <c r="GHK57" s="481"/>
      <c r="GHL57" s="481"/>
      <c r="GHM57" s="481"/>
      <c r="GHN57" s="481"/>
      <c r="GHO57" s="481"/>
      <c r="GHP57" s="481"/>
      <c r="GHQ57" s="481"/>
      <c r="GHR57" s="481"/>
      <c r="GHS57" s="481"/>
      <c r="GHT57" s="481"/>
      <c r="GHU57" s="481"/>
      <c r="GHV57" s="481"/>
      <c r="GHW57" s="481"/>
      <c r="GHX57" s="481"/>
      <c r="GHY57" s="481"/>
      <c r="GHZ57" s="481"/>
      <c r="GIA57" s="481"/>
      <c r="GIB57" s="481"/>
      <c r="GIC57" s="481"/>
      <c r="GID57" s="481"/>
      <c r="GIE57" s="481"/>
      <c r="GIF57" s="481"/>
      <c r="GIG57" s="481"/>
      <c r="GIH57" s="481"/>
      <c r="GII57" s="481"/>
      <c r="GIJ57" s="481"/>
      <c r="GIK57" s="481"/>
      <c r="GIL57" s="481"/>
      <c r="GIM57" s="481"/>
      <c r="GIN57" s="481"/>
      <c r="GIO57" s="481"/>
      <c r="GIP57" s="481"/>
      <c r="GIQ57" s="481"/>
      <c r="GIR57" s="481"/>
      <c r="GIS57" s="481"/>
      <c r="GIT57" s="481"/>
      <c r="GIU57" s="481"/>
      <c r="GIV57" s="481"/>
      <c r="GIW57" s="481"/>
      <c r="GIX57" s="481"/>
      <c r="GIY57" s="481"/>
      <c r="GIZ57" s="481"/>
      <c r="GJA57" s="481"/>
      <c r="GJB57" s="481"/>
      <c r="GJC57" s="481"/>
      <c r="GJD57" s="481"/>
      <c r="GJE57" s="481"/>
      <c r="GJF57" s="481"/>
      <c r="GJG57" s="481"/>
      <c r="GJH57" s="481"/>
      <c r="GJI57" s="481"/>
      <c r="GJJ57" s="481"/>
      <c r="GJK57" s="481"/>
      <c r="GJL57" s="481"/>
      <c r="GJM57" s="481"/>
      <c r="GJN57" s="481"/>
      <c r="GJO57" s="481"/>
      <c r="GJP57" s="481"/>
      <c r="GJQ57" s="481"/>
      <c r="GJR57" s="481"/>
      <c r="GJS57" s="481"/>
      <c r="GJT57" s="481"/>
      <c r="GJU57" s="481"/>
      <c r="GJV57" s="481"/>
      <c r="GJW57" s="481"/>
      <c r="GJX57" s="481"/>
      <c r="GJY57" s="481"/>
      <c r="GJZ57" s="481"/>
      <c r="GKA57" s="481"/>
      <c r="GKB57" s="481"/>
      <c r="GKC57" s="481"/>
      <c r="GKD57" s="481"/>
      <c r="GKE57" s="481"/>
      <c r="GKF57" s="481"/>
      <c r="GKG57" s="481"/>
      <c r="GKH57" s="481"/>
      <c r="GKI57" s="481"/>
      <c r="GKJ57" s="481"/>
      <c r="GKK57" s="481"/>
      <c r="GKL57" s="481"/>
      <c r="GKM57" s="481"/>
      <c r="GKN57" s="481"/>
      <c r="GKO57" s="481"/>
      <c r="GKP57" s="481"/>
      <c r="GKQ57" s="481"/>
      <c r="GKR57" s="481"/>
      <c r="GKS57" s="481"/>
      <c r="GKT57" s="481"/>
      <c r="GKU57" s="481"/>
      <c r="GKV57" s="481"/>
      <c r="GKW57" s="481"/>
      <c r="GKX57" s="481"/>
      <c r="GKY57" s="481"/>
      <c r="GKZ57" s="481"/>
      <c r="GLA57" s="481"/>
      <c r="GLB57" s="481"/>
      <c r="GLC57" s="481"/>
      <c r="GLD57" s="481"/>
      <c r="GLE57" s="481"/>
      <c r="GLF57" s="481"/>
      <c r="GLG57" s="481"/>
      <c r="GLH57" s="481"/>
      <c r="GLI57" s="481"/>
      <c r="GLJ57" s="481"/>
      <c r="GLK57" s="481"/>
      <c r="GLL57" s="481"/>
      <c r="GLM57" s="481"/>
      <c r="GLN57" s="481"/>
      <c r="GLO57" s="481"/>
      <c r="GLP57" s="481"/>
      <c r="GLQ57" s="481"/>
      <c r="GLR57" s="481"/>
      <c r="GLS57" s="481"/>
      <c r="GLT57" s="481"/>
      <c r="GLU57" s="481"/>
      <c r="GLV57" s="481"/>
      <c r="GLW57" s="481"/>
      <c r="GLX57" s="481"/>
      <c r="GLY57" s="481"/>
      <c r="GLZ57" s="481"/>
      <c r="GMA57" s="481"/>
      <c r="GMB57" s="481"/>
      <c r="GMC57" s="481"/>
      <c r="GMD57" s="481"/>
      <c r="GME57" s="481"/>
      <c r="GMF57" s="481"/>
      <c r="GMG57" s="481"/>
      <c r="GMH57" s="481"/>
      <c r="GMI57" s="481"/>
      <c r="GMJ57" s="481"/>
      <c r="GMK57" s="481"/>
      <c r="GML57" s="481"/>
      <c r="GMM57" s="481"/>
      <c r="GMN57" s="481"/>
      <c r="GMO57" s="481"/>
      <c r="GMP57" s="481"/>
      <c r="GMQ57" s="481"/>
      <c r="GMR57" s="481"/>
      <c r="GMS57" s="481"/>
      <c r="GMT57" s="481"/>
      <c r="GMU57" s="481"/>
      <c r="GMV57" s="481"/>
      <c r="GMW57" s="481"/>
      <c r="GMX57" s="481"/>
      <c r="GMY57" s="481"/>
      <c r="GMZ57" s="481"/>
      <c r="GNA57" s="481"/>
      <c r="GNB57" s="481"/>
      <c r="GNC57" s="481"/>
      <c r="GND57" s="481"/>
      <c r="GNE57" s="481"/>
      <c r="GNF57" s="481"/>
      <c r="GNG57" s="481"/>
      <c r="GNH57" s="481"/>
      <c r="GNI57" s="481"/>
      <c r="GNJ57" s="481"/>
      <c r="GNK57" s="481"/>
      <c r="GNL57" s="481"/>
      <c r="GNM57" s="481"/>
      <c r="GNN57" s="481"/>
      <c r="GNO57" s="481"/>
      <c r="GNP57" s="481"/>
      <c r="GNQ57" s="481"/>
      <c r="GNR57" s="481"/>
      <c r="GNS57" s="481"/>
      <c r="GNT57" s="481"/>
      <c r="GNU57" s="481"/>
      <c r="GNV57" s="481"/>
      <c r="GNW57" s="481"/>
      <c r="GNX57" s="481"/>
      <c r="GNY57" s="481"/>
      <c r="GNZ57" s="481"/>
      <c r="GOA57" s="481"/>
      <c r="GOB57" s="481"/>
      <c r="GOC57" s="481"/>
      <c r="GOD57" s="481"/>
      <c r="GOE57" s="481"/>
      <c r="GOF57" s="481"/>
      <c r="GOG57" s="481"/>
      <c r="GOH57" s="481"/>
      <c r="GOI57" s="481"/>
      <c r="GOJ57" s="481"/>
      <c r="GOK57" s="481"/>
      <c r="GOL57" s="481"/>
      <c r="GOM57" s="481"/>
      <c r="GON57" s="481"/>
      <c r="GOO57" s="481"/>
      <c r="GOP57" s="481"/>
      <c r="GOQ57" s="481"/>
      <c r="GOR57" s="481"/>
      <c r="GOS57" s="481"/>
      <c r="GOT57" s="481"/>
      <c r="GOU57" s="481"/>
      <c r="GOV57" s="481"/>
      <c r="GOW57" s="481"/>
      <c r="GOX57" s="481"/>
      <c r="GOY57" s="481"/>
      <c r="GOZ57" s="481"/>
      <c r="GPA57" s="481"/>
      <c r="GPB57" s="481"/>
      <c r="GPC57" s="481"/>
      <c r="GPD57" s="481"/>
      <c r="GPE57" s="481"/>
      <c r="GPF57" s="481"/>
      <c r="GPG57" s="481"/>
      <c r="GPH57" s="481"/>
      <c r="GPI57" s="481"/>
      <c r="GPJ57" s="481"/>
      <c r="GPK57" s="481"/>
      <c r="GPL57" s="481"/>
      <c r="GPM57" s="481"/>
      <c r="GPN57" s="481"/>
      <c r="GPO57" s="481"/>
      <c r="GPP57" s="481"/>
      <c r="GPQ57" s="481"/>
      <c r="GPR57" s="481"/>
      <c r="GPS57" s="481"/>
      <c r="GPT57" s="481"/>
      <c r="GPU57" s="481"/>
      <c r="GPV57" s="481"/>
      <c r="GPW57" s="481"/>
      <c r="GPX57" s="481"/>
      <c r="GPY57" s="481"/>
      <c r="GPZ57" s="481"/>
      <c r="GQA57" s="481"/>
      <c r="GQB57" s="481"/>
      <c r="GQC57" s="481"/>
      <c r="GQD57" s="481"/>
      <c r="GQE57" s="481"/>
      <c r="GQF57" s="481"/>
      <c r="GQG57" s="481"/>
      <c r="GQH57" s="481"/>
      <c r="GQI57" s="481"/>
      <c r="GQJ57" s="481"/>
      <c r="GQK57" s="481"/>
      <c r="GQL57" s="481"/>
      <c r="GQM57" s="481"/>
      <c r="GQN57" s="481"/>
      <c r="GQO57" s="481"/>
      <c r="GQP57" s="481"/>
      <c r="GQQ57" s="481"/>
      <c r="GQR57" s="481"/>
      <c r="GQS57" s="481"/>
      <c r="GQT57" s="481"/>
      <c r="GQU57" s="481"/>
      <c r="GQV57" s="481"/>
      <c r="GQW57" s="481"/>
      <c r="GQX57" s="481"/>
      <c r="GQY57" s="481"/>
      <c r="GQZ57" s="481"/>
      <c r="GRA57" s="481"/>
      <c r="GRB57" s="481"/>
      <c r="GRC57" s="481"/>
      <c r="GRD57" s="481"/>
      <c r="GRE57" s="481"/>
      <c r="GRF57" s="481"/>
      <c r="GRG57" s="481"/>
      <c r="GRH57" s="481"/>
      <c r="GRI57" s="481"/>
      <c r="GRJ57" s="481"/>
      <c r="GRK57" s="481"/>
      <c r="GRL57" s="481"/>
      <c r="GRM57" s="481"/>
      <c r="GRN57" s="481"/>
      <c r="GRO57" s="481"/>
      <c r="GRP57" s="481"/>
      <c r="GRQ57" s="481"/>
      <c r="GRR57" s="481"/>
      <c r="GRS57" s="481"/>
      <c r="GRT57" s="481"/>
      <c r="GRU57" s="481"/>
      <c r="GRV57" s="481"/>
      <c r="GRW57" s="481"/>
      <c r="GRX57" s="481"/>
      <c r="GRY57" s="481"/>
      <c r="GRZ57" s="481"/>
      <c r="GSA57" s="481"/>
      <c r="GSB57" s="481"/>
      <c r="GSC57" s="481"/>
      <c r="GSD57" s="481"/>
      <c r="GSE57" s="481"/>
      <c r="GSF57" s="481"/>
      <c r="GSG57" s="481"/>
      <c r="GSH57" s="481"/>
      <c r="GSI57" s="481"/>
      <c r="GSJ57" s="481"/>
      <c r="GSK57" s="481"/>
      <c r="GSL57" s="481"/>
      <c r="GSM57" s="481"/>
      <c r="GSN57" s="481"/>
      <c r="GSO57" s="481"/>
      <c r="GSP57" s="481"/>
      <c r="GSQ57" s="481"/>
      <c r="GSR57" s="481"/>
      <c r="GSS57" s="481"/>
      <c r="GST57" s="481"/>
      <c r="GSU57" s="481"/>
      <c r="GSV57" s="481"/>
      <c r="GSW57" s="481"/>
      <c r="GSX57" s="481"/>
      <c r="GSY57" s="481"/>
      <c r="GSZ57" s="481"/>
      <c r="GTA57" s="481"/>
      <c r="GTB57" s="481"/>
      <c r="GTC57" s="481"/>
      <c r="GTD57" s="481"/>
      <c r="GTE57" s="481"/>
      <c r="GTF57" s="481"/>
      <c r="GTG57" s="481"/>
      <c r="GTH57" s="481"/>
      <c r="GTI57" s="481"/>
      <c r="GTJ57" s="481"/>
      <c r="GTK57" s="481"/>
      <c r="GTL57" s="481"/>
      <c r="GTM57" s="481"/>
      <c r="GTN57" s="481"/>
      <c r="GTO57" s="481"/>
      <c r="GTP57" s="481"/>
      <c r="GTQ57" s="481"/>
      <c r="GTR57" s="481"/>
      <c r="GTS57" s="481"/>
      <c r="GTT57" s="481"/>
      <c r="GTU57" s="481"/>
      <c r="GTV57" s="481"/>
      <c r="GTW57" s="481"/>
      <c r="GTX57" s="481"/>
      <c r="GTY57" s="481"/>
      <c r="GTZ57" s="481"/>
      <c r="GUA57" s="481"/>
      <c r="GUB57" s="481"/>
      <c r="GUC57" s="481"/>
      <c r="GUD57" s="481"/>
      <c r="GUE57" s="481"/>
      <c r="GUF57" s="481"/>
      <c r="GUG57" s="481"/>
      <c r="GUH57" s="481"/>
      <c r="GUI57" s="481"/>
      <c r="GUJ57" s="481"/>
      <c r="GUK57" s="481"/>
      <c r="GUL57" s="481"/>
      <c r="GUM57" s="481"/>
      <c r="GUN57" s="481"/>
      <c r="GUO57" s="481"/>
      <c r="GUP57" s="481"/>
      <c r="GUQ57" s="481"/>
      <c r="GUR57" s="481"/>
      <c r="GUS57" s="481"/>
      <c r="GUT57" s="481"/>
      <c r="GUU57" s="481"/>
      <c r="GUV57" s="481"/>
      <c r="GUW57" s="481"/>
      <c r="GUX57" s="481"/>
      <c r="GUY57" s="481"/>
      <c r="GUZ57" s="481"/>
      <c r="GVA57" s="481"/>
      <c r="GVB57" s="481"/>
      <c r="GVC57" s="481"/>
      <c r="GVD57" s="481"/>
      <c r="GVE57" s="481"/>
      <c r="GVF57" s="481"/>
      <c r="GVG57" s="481"/>
      <c r="GVH57" s="481"/>
      <c r="GVI57" s="481"/>
      <c r="GVJ57" s="481"/>
      <c r="GVK57" s="481"/>
      <c r="GVL57" s="481"/>
      <c r="GVM57" s="481"/>
      <c r="GVN57" s="481"/>
      <c r="GVO57" s="481"/>
      <c r="GVP57" s="481"/>
      <c r="GVQ57" s="481"/>
      <c r="GVR57" s="481"/>
      <c r="GVS57" s="481"/>
      <c r="GVT57" s="481"/>
      <c r="GVU57" s="481"/>
      <c r="GVV57" s="481"/>
      <c r="GVW57" s="481"/>
      <c r="GVX57" s="481"/>
      <c r="GVY57" s="481"/>
      <c r="GVZ57" s="481"/>
      <c r="GWA57" s="481"/>
      <c r="GWB57" s="481"/>
      <c r="GWC57" s="481"/>
      <c r="GWD57" s="481"/>
      <c r="GWE57" s="481"/>
      <c r="GWF57" s="481"/>
      <c r="GWG57" s="481"/>
      <c r="GWH57" s="481"/>
      <c r="GWI57" s="481"/>
      <c r="GWJ57" s="481"/>
      <c r="GWK57" s="481"/>
      <c r="GWL57" s="481"/>
      <c r="GWM57" s="481"/>
      <c r="GWN57" s="481"/>
      <c r="GWO57" s="481"/>
      <c r="GWP57" s="481"/>
      <c r="GWQ57" s="481"/>
      <c r="GWR57" s="481"/>
      <c r="GWS57" s="481"/>
      <c r="GWT57" s="481"/>
      <c r="GWU57" s="481"/>
      <c r="GWV57" s="481"/>
      <c r="GWW57" s="481"/>
      <c r="GWX57" s="481"/>
      <c r="GWY57" s="481"/>
      <c r="GWZ57" s="481"/>
      <c r="GXA57" s="481"/>
      <c r="GXB57" s="481"/>
      <c r="GXC57" s="481"/>
      <c r="GXD57" s="481"/>
      <c r="GXE57" s="481"/>
      <c r="GXF57" s="481"/>
      <c r="GXG57" s="481"/>
      <c r="GXH57" s="481"/>
      <c r="GXI57" s="481"/>
      <c r="GXJ57" s="481"/>
      <c r="GXK57" s="481"/>
      <c r="GXL57" s="481"/>
      <c r="GXM57" s="481"/>
      <c r="GXN57" s="481"/>
      <c r="GXO57" s="481"/>
      <c r="GXP57" s="481"/>
      <c r="GXQ57" s="481"/>
      <c r="GXR57" s="481"/>
      <c r="GXS57" s="481"/>
      <c r="GXT57" s="481"/>
      <c r="GXU57" s="481"/>
      <c r="GXV57" s="481"/>
      <c r="GXW57" s="481"/>
      <c r="GXX57" s="481"/>
      <c r="GXY57" s="481"/>
      <c r="GXZ57" s="481"/>
      <c r="GYA57" s="481"/>
      <c r="GYB57" s="481"/>
      <c r="GYC57" s="481"/>
      <c r="GYD57" s="481"/>
      <c r="GYE57" s="481"/>
      <c r="GYF57" s="481"/>
      <c r="GYG57" s="481"/>
      <c r="GYH57" s="481"/>
      <c r="GYI57" s="481"/>
      <c r="GYJ57" s="481"/>
      <c r="GYK57" s="481"/>
      <c r="GYL57" s="481"/>
      <c r="GYM57" s="481"/>
      <c r="GYN57" s="481"/>
      <c r="GYO57" s="481"/>
      <c r="GYP57" s="481"/>
      <c r="GYQ57" s="481"/>
      <c r="GYR57" s="481"/>
      <c r="GYS57" s="481"/>
      <c r="GYT57" s="481"/>
      <c r="GYU57" s="481"/>
      <c r="GYV57" s="481"/>
      <c r="GYW57" s="481"/>
      <c r="GYX57" s="481"/>
      <c r="GYY57" s="481"/>
      <c r="GYZ57" s="481"/>
      <c r="GZA57" s="481"/>
      <c r="GZB57" s="481"/>
      <c r="GZC57" s="481"/>
      <c r="GZD57" s="481"/>
      <c r="GZE57" s="481"/>
      <c r="GZF57" s="481"/>
      <c r="GZG57" s="481"/>
      <c r="GZH57" s="481"/>
      <c r="GZI57" s="481"/>
      <c r="GZJ57" s="481"/>
      <c r="GZK57" s="481"/>
      <c r="GZL57" s="481"/>
      <c r="GZM57" s="481"/>
      <c r="GZN57" s="481"/>
      <c r="GZO57" s="481"/>
      <c r="GZP57" s="481"/>
      <c r="GZQ57" s="481"/>
      <c r="GZR57" s="481"/>
      <c r="GZS57" s="481"/>
      <c r="GZT57" s="481"/>
      <c r="GZU57" s="481"/>
      <c r="GZV57" s="481"/>
      <c r="GZW57" s="481"/>
      <c r="GZX57" s="481"/>
      <c r="GZY57" s="481"/>
      <c r="GZZ57" s="481"/>
      <c r="HAA57" s="481"/>
      <c r="HAB57" s="481"/>
      <c r="HAC57" s="481"/>
      <c r="HAD57" s="481"/>
      <c r="HAE57" s="481"/>
      <c r="HAF57" s="481"/>
      <c r="HAG57" s="481"/>
      <c r="HAH57" s="481"/>
      <c r="HAI57" s="481"/>
      <c r="HAJ57" s="481"/>
      <c r="HAK57" s="481"/>
      <c r="HAL57" s="481"/>
      <c r="HAM57" s="481"/>
      <c r="HAN57" s="481"/>
      <c r="HAO57" s="481"/>
      <c r="HAP57" s="481"/>
      <c r="HAQ57" s="481"/>
      <c r="HAR57" s="481"/>
      <c r="HAS57" s="481"/>
      <c r="HAT57" s="481"/>
      <c r="HAU57" s="481"/>
      <c r="HAV57" s="481"/>
      <c r="HAW57" s="481"/>
      <c r="HAX57" s="481"/>
      <c r="HAY57" s="481"/>
      <c r="HAZ57" s="481"/>
      <c r="HBA57" s="481"/>
      <c r="HBB57" s="481"/>
      <c r="HBC57" s="481"/>
      <c r="HBD57" s="481"/>
      <c r="HBE57" s="481"/>
      <c r="HBF57" s="481"/>
      <c r="HBG57" s="481"/>
      <c r="HBH57" s="481"/>
      <c r="HBI57" s="481"/>
      <c r="HBJ57" s="481"/>
      <c r="HBK57" s="481"/>
      <c r="HBL57" s="481"/>
      <c r="HBM57" s="481"/>
      <c r="HBN57" s="481"/>
      <c r="HBO57" s="481"/>
      <c r="HBP57" s="481"/>
      <c r="HBQ57" s="481"/>
      <c r="HBR57" s="481"/>
      <c r="HBS57" s="481"/>
      <c r="HBT57" s="481"/>
      <c r="HBU57" s="481"/>
      <c r="HBV57" s="481"/>
      <c r="HBW57" s="481"/>
      <c r="HBX57" s="481"/>
      <c r="HBY57" s="481"/>
      <c r="HBZ57" s="481"/>
      <c r="HCA57" s="481"/>
      <c r="HCB57" s="481"/>
      <c r="HCC57" s="481"/>
      <c r="HCD57" s="481"/>
      <c r="HCE57" s="481"/>
      <c r="HCF57" s="481"/>
      <c r="HCG57" s="481"/>
      <c r="HCH57" s="481"/>
      <c r="HCI57" s="481"/>
      <c r="HCJ57" s="481"/>
      <c r="HCK57" s="481"/>
      <c r="HCL57" s="481"/>
      <c r="HCM57" s="481"/>
      <c r="HCN57" s="481"/>
      <c r="HCO57" s="481"/>
      <c r="HCP57" s="481"/>
      <c r="HCQ57" s="481"/>
      <c r="HCR57" s="481"/>
      <c r="HCS57" s="481"/>
      <c r="HCT57" s="481"/>
      <c r="HCU57" s="481"/>
      <c r="HCV57" s="481"/>
      <c r="HCW57" s="481"/>
      <c r="HCX57" s="481"/>
      <c r="HCY57" s="481"/>
      <c r="HCZ57" s="481"/>
      <c r="HDA57" s="481"/>
      <c r="HDB57" s="481"/>
      <c r="HDC57" s="481"/>
      <c r="HDD57" s="481"/>
      <c r="HDE57" s="481"/>
      <c r="HDF57" s="481"/>
      <c r="HDG57" s="481"/>
      <c r="HDH57" s="481"/>
      <c r="HDI57" s="481"/>
      <c r="HDJ57" s="481"/>
      <c r="HDK57" s="481"/>
      <c r="HDL57" s="481"/>
      <c r="HDM57" s="481"/>
      <c r="HDN57" s="481"/>
      <c r="HDO57" s="481"/>
      <c r="HDP57" s="481"/>
      <c r="HDQ57" s="481"/>
      <c r="HDR57" s="481"/>
      <c r="HDS57" s="481"/>
      <c r="HDT57" s="481"/>
      <c r="HDU57" s="481"/>
      <c r="HDV57" s="481"/>
      <c r="HDW57" s="481"/>
      <c r="HDX57" s="481"/>
      <c r="HDY57" s="481"/>
      <c r="HDZ57" s="481"/>
      <c r="HEA57" s="481"/>
      <c r="HEB57" s="481"/>
      <c r="HEC57" s="481"/>
      <c r="HED57" s="481"/>
      <c r="HEE57" s="481"/>
      <c r="HEF57" s="481"/>
      <c r="HEG57" s="481"/>
      <c r="HEH57" s="481"/>
      <c r="HEI57" s="481"/>
      <c r="HEJ57" s="481"/>
      <c r="HEK57" s="481"/>
      <c r="HEL57" s="481"/>
      <c r="HEM57" s="481"/>
      <c r="HEN57" s="481"/>
      <c r="HEO57" s="481"/>
      <c r="HEP57" s="481"/>
      <c r="HEQ57" s="481"/>
      <c r="HER57" s="481"/>
      <c r="HES57" s="481"/>
      <c r="HET57" s="481"/>
      <c r="HEU57" s="481"/>
      <c r="HEV57" s="481"/>
      <c r="HEW57" s="481"/>
      <c r="HEX57" s="481"/>
      <c r="HEY57" s="481"/>
      <c r="HEZ57" s="481"/>
      <c r="HFA57" s="481"/>
      <c r="HFB57" s="481"/>
      <c r="HFC57" s="481"/>
      <c r="HFD57" s="481"/>
      <c r="HFE57" s="481"/>
      <c r="HFF57" s="481"/>
      <c r="HFG57" s="481"/>
      <c r="HFH57" s="481"/>
      <c r="HFI57" s="481"/>
      <c r="HFJ57" s="481"/>
      <c r="HFK57" s="481"/>
      <c r="HFL57" s="481"/>
      <c r="HFM57" s="481"/>
      <c r="HFN57" s="481"/>
      <c r="HFO57" s="481"/>
      <c r="HFP57" s="481"/>
      <c r="HFQ57" s="481"/>
      <c r="HFR57" s="481"/>
      <c r="HFS57" s="481"/>
      <c r="HFT57" s="481"/>
      <c r="HFU57" s="481"/>
      <c r="HFV57" s="481"/>
      <c r="HFW57" s="481"/>
      <c r="HFX57" s="481"/>
      <c r="HFY57" s="481"/>
      <c r="HFZ57" s="481"/>
      <c r="HGA57" s="481"/>
      <c r="HGB57" s="481"/>
      <c r="HGC57" s="481"/>
      <c r="HGD57" s="481"/>
      <c r="HGE57" s="481"/>
      <c r="HGF57" s="481"/>
      <c r="HGG57" s="481"/>
      <c r="HGH57" s="481"/>
      <c r="HGI57" s="481"/>
      <c r="HGJ57" s="481"/>
      <c r="HGK57" s="481"/>
      <c r="HGL57" s="481"/>
      <c r="HGM57" s="481"/>
      <c r="HGN57" s="481"/>
      <c r="HGO57" s="481"/>
      <c r="HGP57" s="481"/>
      <c r="HGQ57" s="481"/>
      <c r="HGR57" s="481"/>
      <c r="HGS57" s="481"/>
      <c r="HGT57" s="481"/>
      <c r="HGU57" s="481"/>
      <c r="HGV57" s="481"/>
      <c r="HGW57" s="481"/>
      <c r="HGX57" s="481"/>
      <c r="HGY57" s="481"/>
      <c r="HGZ57" s="481"/>
      <c r="HHA57" s="481"/>
      <c r="HHB57" s="481"/>
      <c r="HHC57" s="481"/>
      <c r="HHD57" s="481"/>
      <c r="HHE57" s="481"/>
      <c r="HHF57" s="481"/>
      <c r="HHG57" s="481"/>
      <c r="HHH57" s="481"/>
      <c r="HHI57" s="481"/>
      <c r="HHJ57" s="481"/>
      <c r="HHK57" s="481"/>
      <c r="HHL57" s="481"/>
      <c r="HHM57" s="481"/>
      <c r="HHN57" s="481"/>
      <c r="HHO57" s="481"/>
      <c r="HHP57" s="481"/>
      <c r="HHQ57" s="481"/>
      <c r="HHR57" s="481"/>
      <c r="HHS57" s="481"/>
      <c r="HHT57" s="481"/>
      <c r="HHU57" s="481"/>
      <c r="HHV57" s="481"/>
      <c r="HHW57" s="481"/>
      <c r="HHX57" s="481"/>
      <c r="HHY57" s="481"/>
      <c r="HHZ57" s="481"/>
      <c r="HIA57" s="481"/>
      <c r="HIB57" s="481"/>
      <c r="HIC57" s="481"/>
      <c r="HID57" s="481"/>
      <c r="HIE57" s="481"/>
      <c r="HIF57" s="481"/>
      <c r="HIG57" s="481"/>
      <c r="HIH57" s="481"/>
      <c r="HII57" s="481"/>
      <c r="HIJ57" s="481"/>
      <c r="HIK57" s="481"/>
      <c r="HIL57" s="481"/>
      <c r="HIM57" s="481"/>
      <c r="HIN57" s="481"/>
      <c r="HIO57" s="481"/>
      <c r="HIP57" s="481"/>
      <c r="HIQ57" s="481"/>
      <c r="HIR57" s="481"/>
      <c r="HIS57" s="481"/>
      <c r="HIT57" s="481"/>
      <c r="HIU57" s="481"/>
      <c r="HIV57" s="481"/>
      <c r="HIW57" s="481"/>
      <c r="HIX57" s="481"/>
      <c r="HIY57" s="481"/>
      <c r="HIZ57" s="481"/>
      <c r="HJA57" s="481"/>
      <c r="HJB57" s="481"/>
      <c r="HJC57" s="481"/>
      <c r="HJD57" s="481"/>
      <c r="HJE57" s="481"/>
      <c r="HJF57" s="481"/>
      <c r="HJG57" s="481"/>
      <c r="HJH57" s="481"/>
      <c r="HJI57" s="481"/>
      <c r="HJJ57" s="481"/>
      <c r="HJK57" s="481"/>
      <c r="HJL57" s="481"/>
      <c r="HJM57" s="481"/>
      <c r="HJN57" s="481"/>
      <c r="HJO57" s="481"/>
      <c r="HJP57" s="481"/>
      <c r="HJQ57" s="481"/>
      <c r="HJR57" s="481"/>
      <c r="HJS57" s="481"/>
      <c r="HJT57" s="481"/>
      <c r="HJU57" s="481"/>
      <c r="HJV57" s="481"/>
      <c r="HJW57" s="481"/>
      <c r="HJX57" s="481"/>
      <c r="HJY57" s="481"/>
      <c r="HJZ57" s="481"/>
      <c r="HKA57" s="481"/>
      <c r="HKB57" s="481"/>
      <c r="HKC57" s="481"/>
      <c r="HKD57" s="481"/>
      <c r="HKE57" s="481"/>
      <c r="HKF57" s="481"/>
      <c r="HKG57" s="481"/>
      <c r="HKH57" s="481"/>
      <c r="HKI57" s="481"/>
      <c r="HKJ57" s="481"/>
      <c r="HKK57" s="481"/>
      <c r="HKL57" s="481"/>
      <c r="HKM57" s="481"/>
      <c r="HKN57" s="481"/>
      <c r="HKO57" s="481"/>
      <c r="HKP57" s="481"/>
      <c r="HKQ57" s="481"/>
      <c r="HKR57" s="481"/>
      <c r="HKS57" s="481"/>
      <c r="HKT57" s="481"/>
      <c r="HKU57" s="481"/>
      <c r="HKV57" s="481"/>
      <c r="HKW57" s="481"/>
      <c r="HKX57" s="481"/>
      <c r="HKY57" s="481"/>
      <c r="HKZ57" s="481"/>
      <c r="HLA57" s="481"/>
      <c r="HLB57" s="481"/>
      <c r="HLC57" s="481"/>
      <c r="HLD57" s="481"/>
      <c r="HLE57" s="481"/>
      <c r="HLF57" s="481"/>
      <c r="HLG57" s="481"/>
      <c r="HLH57" s="481"/>
      <c r="HLI57" s="481"/>
      <c r="HLJ57" s="481"/>
      <c r="HLK57" s="481"/>
      <c r="HLL57" s="481"/>
      <c r="HLM57" s="481"/>
      <c r="HLN57" s="481"/>
      <c r="HLO57" s="481"/>
      <c r="HLP57" s="481"/>
      <c r="HLQ57" s="481"/>
      <c r="HLR57" s="481"/>
      <c r="HLS57" s="481"/>
      <c r="HLT57" s="481"/>
      <c r="HLU57" s="481"/>
      <c r="HLV57" s="481"/>
      <c r="HLW57" s="481"/>
      <c r="HLX57" s="481"/>
      <c r="HLY57" s="481"/>
      <c r="HLZ57" s="481"/>
      <c r="HMA57" s="481"/>
      <c r="HMB57" s="481"/>
      <c r="HMC57" s="481"/>
      <c r="HMD57" s="481"/>
      <c r="HME57" s="481"/>
      <c r="HMF57" s="481"/>
      <c r="HMG57" s="481"/>
      <c r="HMH57" s="481"/>
      <c r="HMI57" s="481"/>
      <c r="HMJ57" s="481"/>
      <c r="HMK57" s="481"/>
      <c r="HML57" s="481"/>
      <c r="HMM57" s="481"/>
      <c r="HMN57" s="481"/>
      <c r="HMO57" s="481"/>
      <c r="HMP57" s="481"/>
      <c r="HMQ57" s="481"/>
      <c r="HMR57" s="481"/>
      <c r="HMS57" s="481"/>
      <c r="HMT57" s="481"/>
      <c r="HMU57" s="481"/>
      <c r="HMV57" s="481"/>
      <c r="HMW57" s="481"/>
      <c r="HMX57" s="481"/>
      <c r="HMY57" s="481"/>
      <c r="HMZ57" s="481"/>
      <c r="HNA57" s="481"/>
      <c r="HNB57" s="481"/>
      <c r="HNC57" s="481"/>
      <c r="HND57" s="481"/>
      <c r="HNE57" s="481"/>
      <c r="HNF57" s="481"/>
      <c r="HNG57" s="481"/>
      <c r="HNH57" s="481"/>
      <c r="HNI57" s="481"/>
      <c r="HNJ57" s="481"/>
      <c r="HNK57" s="481"/>
      <c r="HNL57" s="481"/>
      <c r="HNM57" s="481"/>
      <c r="HNN57" s="481"/>
      <c r="HNO57" s="481"/>
      <c r="HNP57" s="481"/>
      <c r="HNQ57" s="481"/>
      <c r="HNR57" s="481"/>
      <c r="HNS57" s="481"/>
      <c r="HNT57" s="481"/>
      <c r="HNU57" s="481"/>
      <c r="HNV57" s="481"/>
      <c r="HNW57" s="481"/>
      <c r="HNX57" s="481"/>
      <c r="HNY57" s="481"/>
      <c r="HNZ57" s="481"/>
      <c r="HOA57" s="481"/>
      <c r="HOB57" s="481"/>
      <c r="HOC57" s="481"/>
      <c r="HOD57" s="481"/>
      <c r="HOE57" s="481"/>
      <c r="HOF57" s="481"/>
      <c r="HOG57" s="481"/>
      <c r="HOH57" s="481"/>
      <c r="HOI57" s="481"/>
      <c r="HOJ57" s="481"/>
      <c r="HOK57" s="481"/>
      <c r="HOL57" s="481"/>
      <c r="HOM57" s="481"/>
      <c r="HON57" s="481"/>
      <c r="HOO57" s="481"/>
      <c r="HOP57" s="481"/>
      <c r="HOQ57" s="481"/>
      <c r="HOR57" s="481"/>
      <c r="HOS57" s="481"/>
      <c r="HOT57" s="481"/>
      <c r="HOU57" s="481"/>
      <c r="HOV57" s="481"/>
      <c r="HOW57" s="481"/>
      <c r="HOX57" s="481"/>
      <c r="HOY57" s="481"/>
      <c r="HOZ57" s="481"/>
      <c r="HPA57" s="481"/>
      <c r="HPB57" s="481"/>
      <c r="HPC57" s="481"/>
      <c r="HPD57" s="481"/>
      <c r="HPE57" s="481"/>
      <c r="HPF57" s="481"/>
      <c r="HPG57" s="481"/>
      <c r="HPH57" s="481"/>
      <c r="HPI57" s="481"/>
      <c r="HPJ57" s="481"/>
      <c r="HPK57" s="481"/>
      <c r="HPL57" s="481"/>
      <c r="HPM57" s="481"/>
      <c r="HPN57" s="481"/>
      <c r="HPO57" s="481"/>
      <c r="HPP57" s="481"/>
      <c r="HPQ57" s="481"/>
      <c r="HPR57" s="481"/>
      <c r="HPS57" s="481"/>
      <c r="HPT57" s="481"/>
      <c r="HPU57" s="481"/>
      <c r="HPV57" s="481"/>
      <c r="HPW57" s="481"/>
      <c r="HPX57" s="481"/>
      <c r="HPY57" s="481"/>
      <c r="HPZ57" s="481"/>
      <c r="HQA57" s="481"/>
      <c r="HQB57" s="481"/>
      <c r="HQC57" s="481"/>
      <c r="HQD57" s="481"/>
      <c r="HQE57" s="481"/>
      <c r="HQF57" s="481"/>
      <c r="HQG57" s="481"/>
      <c r="HQH57" s="481"/>
      <c r="HQI57" s="481"/>
      <c r="HQJ57" s="481"/>
      <c r="HQK57" s="481"/>
      <c r="HQL57" s="481"/>
      <c r="HQM57" s="481"/>
      <c r="HQN57" s="481"/>
      <c r="HQO57" s="481"/>
      <c r="HQP57" s="481"/>
      <c r="HQQ57" s="481"/>
      <c r="HQR57" s="481"/>
      <c r="HQS57" s="481"/>
      <c r="HQT57" s="481"/>
      <c r="HQU57" s="481"/>
      <c r="HQV57" s="481"/>
      <c r="HQW57" s="481"/>
      <c r="HQX57" s="481"/>
      <c r="HQY57" s="481"/>
      <c r="HQZ57" s="481"/>
      <c r="HRA57" s="481"/>
      <c r="HRB57" s="481"/>
      <c r="HRC57" s="481"/>
      <c r="HRD57" s="481"/>
      <c r="HRE57" s="481"/>
      <c r="HRF57" s="481"/>
      <c r="HRG57" s="481"/>
      <c r="HRH57" s="481"/>
      <c r="HRI57" s="481"/>
      <c r="HRJ57" s="481"/>
      <c r="HRK57" s="481"/>
      <c r="HRL57" s="481"/>
      <c r="HRM57" s="481"/>
      <c r="HRN57" s="481"/>
      <c r="HRO57" s="481"/>
      <c r="HRP57" s="481"/>
      <c r="HRQ57" s="481"/>
      <c r="HRR57" s="481"/>
      <c r="HRS57" s="481"/>
      <c r="HRT57" s="481"/>
      <c r="HRU57" s="481"/>
      <c r="HRV57" s="481"/>
      <c r="HRW57" s="481"/>
      <c r="HRX57" s="481"/>
      <c r="HRY57" s="481"/>
      <c r="HRZ57" s="481"/>
      <c r="HSA57" s="481"/>
      <c r="HSB57" s="481"/>
      <c r="HSC57" s="481"/>
      <c r="HSD57" s="481"/>
      <c r="HSE57" s="481"/>
      <c r="HSF57" s="481"/>
      <c r="HSG57" s="481"/>
      <c r="HSH57" s="481"/>
      <c r="HSI57" s="481"/>
      <c r="HSJ57" s="481"/>
      <c r="HSK57" s="481"/>
      <c r="HSL57" s="481"/>
      <c r="HSM57" s="481"/>
      <c r="HSN57" s="481"/>
      <c r="HSO57" s="481"/>
      <c r="HSP57" s="481"/>
      <c r="HSQ57" s="481"/>
      <c r="HSR57" s="481"/>
      <c r="HSS57" s="481"/>
      <c r="HST57" s="481"/>
      <c r="HSU57" s="481"/>
      <c r="HSV57" s="481"/>
      <c r="HSW57" s="481"/>
      <c r="HSX57" s="481"/>
      <c r="HSY57" s="481"/>
      <c r="HSZ57" s="481"/>
      <c r="HTA57" s="481"/>
      <c r="HTB57" s="481"/>
      <c r="HTC57" s="481"/>
      <c r="HTD57" s="481"/>
      <c r="HTE57" s="481"/>
      <c r="HTF57" s="481"/>
      <c r="HTG57" s="481"/>
      <c r="HTH57" s="481"/>
      <c r="HTI57" s="481"/>
      <c r="HTJ57" s="481"/>
      <c r="HTK57" s="481"/>
      <c r="HTL57" s="481"/>
      <c r="HTM57" s="481"/>
      <c r="HTN57" s="481"/>
      <c r="HTO57" s="481"/>
      <c r="HTP57" s="481"/>
      <c r="HTQ57" s="481"/>
      <c r="HTR57" s="481"/>
      <c r="HTS57" s="481"/>
      <c r="HTT57" s="481"/>
      <c r="HTU57" s="481"/>
      <c r="HTV57" s="481"/>
      <c r="HTW57" s="481"/>
      <c r="HTX57" s="481"/>
      <c r="HTY57" s="481"/>
      <c r="HTZ57" s="481"/>
      <c r="HUA57" s="481"/>
      <c r="HUB57" s="481"/>
      <c r="HUC57" s="481"/>
      <c r="HUD57" s="481"/>
      <c r="HUE57" s="481"/>
      <c r="HUF57" s="481"/>
      <c r="HUG57" s="481"/>
      <c r="HUH57" s="481"/>
      <c r="HUI57" s="481"/>
      <c r="HUJ57" s="481"/>
      <c r="HUK57" s="481"/>
      <c r="HUL57" s="481"/>
      <c r="HUM57" s="481"/>
      <c r="HUN57" s="481"/>
      <c r="HUO57" s="481"/>
      <c r="HUP57" s="481"/>
      <c r="HUQ57" s="481"/>
      <c r="HUR57" s="481"/>
      <c r="HUS57" s="481"/>
      <c r="HUT57" s="481"/>
      <c r="HUU57" s="481"/>
      <c r="HUV57" s="481"/>
      <c r="HUW57" s="481"/>
      <c r="HUX57" s="481"/>
      <c r="HUY57" s="481"/>
      <c r="HUZ57" s="481"/>
      <c r="HVA57" s="481"/>
      <c r="HVB57" s="481"/>
      <c r="HVC57" s="481"/>
      <c r="HVD57" s="481"/>
      <c r="HVE57" s="481"/>
      <c r="HVF57" s="481"/>
      <c r="HVG57" s="481"/>
      <c r="HVH57" s="481"/>
      <c r="HVI57" s="481"/>
      <c r="HVJ57" s="481"/>
      <c r="HVK57" s="481"/>
      <c r="HVL57" s="481"/>
      <c r="HVM57" s="481"/>
      <c r="HVN57" s="481"/>
      <c r="HVO57" s="481"/>
      <c r="HVP57" s="481"/>
      <c r="HVQ57" s="481"/>
      <c r="HVR57" s="481"/>
      <c r="HVS57" s="481"/>
      <c r="HVT57" s="481"/>
      <c r="HVU57" s="481"/>
      <c r="HVV57" s="481"/>
      <c r="HVW57" s="481"/>
      <c r="HVX57" s="481"/>
      <c r="HVY57" s="481"/>
      <c r="HVZ57" s="481"/>
      <c r="HWA57" s="481"/>
      <c r="HWB57" s="481"/>
      <c r="HWC57" s="481"/>
      <c r="HWD57" s="481"/>
      <c r="HWE57" s="481"/>
      <c r="HWF57" s="481"/>
      <c r="HWG57" s="481"/>
      <c r="HWH57" s="481"/>
      <c r="HWI57" s="481"/>
      <c r="HWJ57" s="481"/>
      <c r="HWK57" s="481"/>
      <c r="HWL57" s="481"/>
      <c r="HWM57" s="481"/>
      <c r="HWN57" s="481"/>
      <c r="HWO57" s="481"/>
      <c r="HWP57" s="481"/>
      <c r="HWQ57" s="481"/>
      <c r="HWR57" s="481"/>
      <c r="HWS57" s="481"/>
      <c r="HWT57" s="481"/>
      <c r="HWU57" s="481"/>
      <c r="HWV57" s="481"/>
      <c r="HWW57" s="481"/>
      <c r="HWX57" s="481"/>
      <c r="HWY57" s="481"/>
      <c r="HWZ57" s="481"/>
      <c r="HXA57" s="481"/>
      <c r="HXB57" s="481"/>
      <c r="HXC57" s="481"/>
      <c r="HXD57" s="481"/>
      <c r="HXE57" s="481"/>
      <c r="HXF57" s="481"/>
      <c r="HXG57" s="481"/>
      <c r="HXH57" s="481"/>
      <c r="HXI57" s="481"/>
      <c r="HXJ57" s="481"/>
      <c r="HXK57" s="481"/>
      <c r="HXL57" s="481"/>
      <c r="HXM57" s="481"/>
      <c r="HXN57" s="481"/>
      <c r="HXO57" s="481"/>
      <c r="HXP57" s="481"/>
      <c r="HXQ57" s="481"/>
      <c r="HXR57" s="481"/>
      <c r="HXS57" s="481"/>
      <c r="HXT57" s="481"/>
      <c r="HXU57" s="481"/>
      <c r="HXV57" s="481"/>
      <c r="HXW57" s="481"/>
      <c r="HXX57" s="481"/>
      <c r="HXY57" s="481"/>
      <c r="HXZ57" s="481"/>
      <c r="HYA57" s="481"/>
      <c r="HYB57" s="481"/>
      <c r="HYC57" s="481"/>
      <c r="HYD57" s="481"/>
      <c r="HYE57" s="481"/>
      <c r="HYF57" s="481"/>
      <c r="HYG57" s="481"/>
      <c r="HYH57" s="481"/>
      <c r="HYI57" s="481"/>
      <c r="HYJ57" s="481"/>
      <c r="HYK57" s="481"/>
      <c r="HYL57" s="481"/>
      <c r="HYM57" s="481"/>
      <c r="HYN57" s="481"/>
      <c r="HYO57" s="481"/>
      <c r="HYP57" s="481"/>
      <c r="HYQ57" s="481"/>
      <c r="HYR57" s="481"/>
      <c r="HYS57" s="481"/>
      <c r="HYT57" s="481"/>
      <c r="HYU57" s="481"/>
      <c r="HYV57" s="481"/>
      <c r="HYW57" s="481"/>
      <c r="HYX57" s="481"/>
      <c r="HYY57" s="481"/>
      <c r="HYZ57" s="481"/>
      <c r="HZA57" s="481"/>
      <c r="HZB57" s="481"/>
      <c r="HZC57" s="481"/>
      <c r="HZD57" s="481"/>
      <c r="HZE57" s="481"/>
      <c r="HZF57" s="481"/>
      <c r="HZG57" s="481"/>
      <c r="HZH57" s="481"/>
      <c r="HZI57" s="481"/>
      <c r="HZJ57" s="481"/>
      <c r="HZK57" s="481"/>
      <c r="HZL57" s="481"/>
      <c r="HZM57" s="481"/>
      <c r="HZN57" s="481"/>
      <c r="HZO57" s="481"/>
      <c r="HZP57" s="481"/>
      <c r="HZQ57" s="481"/>
      <c r="HZR57" s="481"/>
      <c r="HZS57" s="481"/>
      <c r="HZT57" s="481"/>
      <c r="HZU57" s="481"/>
      <c r="HZV57" s="481"/>
      <c r="HZW57" s="481"/>
      <c r="HZX57" s="481"/>
      <c r="HZY57" s="481"/>
      <c r="HZZ57" s="481"/>
      <c r="IAA57" s="481"/>
      <c r="IAB57" s="481"/>
      <c r="IAC57" s="481"/>
      <c r="IAD57" s="481"/>
      <c r="IAE57" s="481"/>
      <c r="IAF57" s="481"/>
      <c r="IAG57" s="481"/>
      <c r="IAH57" s="481"/>
      <c r="IAI57" s="481"/>
      <c r="IAJ57" s="481"/>
      <c r="IAK57" s="481"/>
      <c r="IAL57" s="481"/>
      <c r="IAM57" s="481"/>
      <c r="IAN57" s="481"/>
      <c r="IAO57" s="481"/>
      <c r="IAP57" s="481"/>
      <c r="IAQ57" s="481"/>
      <c r="IAR57" s="481"/>
      <c r="IAS57" s="481"/>
      <c r="IAT57" s="481"/>
      <c r="IAU57" s="481"/>
      <c r="IAV57" s="481"/>
      <c r="IAW57" s="481"/>
      <c r="IAX57" s="481"/>
      <c r="IAY57" s="481"/>
      <c r="IAZ57" s="481"/>
      <c r="IBA57" s="481"/>
      <c r="IBB57" s="481"/>
      <c r="IBC57" s="481"/>
      <c r="IBD57" s="481"/>
      <c r="IBE57" s="481"/>
      <c r="IBF57" s="481"/>
      <c r="IBG57" s="481"/>
      <c r="IBH57" s="481"/>
      <c r="IBI57" s="481"/>
      <c r="IBJ57" s="481"/>
      <c r="IBK57" s="481"/>
      <c r="IBL57" s="481"/>
      <c r="IBM57" s="481"/>
      <c r="IBN57" s="481"/>
      <c r="IBO57" s="481"/>
      <c r="IBP57" s="481"/>
      <c r="IBQ57" s="481"/>
      <c r="IBR57" s="481"/>
      <c r="IBS57" s="481"/>
      <c r="IBT57" s="481"/>
      <c r="IBU57" s="481"/>
      <c r="IBV57" s="481"/>
      <c r="IBW57" s="481"/>
      <c r="IBX57" s="481"/>
      <c r="IBY57" s="481"/>
      <c r="IBZ57" s="481"/>
      <c r="ICA57" s="481"/>
      <c r="ICB57" s="481"/>
      <c r="ICC57" s="481"/>
      <c r="ICD57" s="481"/>
      <c r="ICE57" s="481"/>
      <c r="ICF57" s="481"/>
      <c r="ICG57" s="481"/>
      <c r="ICH57" s="481"/>
      <c r="ICI57" s="481"/>
      <c r="ICJ57" s="481"/>
      <c r="ICK57" s="481"/>
      <c r="ICL57" s="481"/>
      <c r="ICM57" s="481"/>
      <c r="ICN57" s="481"/>
      <c r="ICO57" s="481"/>
      <c r="ICP57" s="481"/>
      <c r="ICQ57" s="481"/>
      <c r="ICR57" s="481"/>
      <c r="ICS57" s="481"/>
      <c r="ICT57" s="481"/>
      <c r="ICU57" s="481"/>
      <c r="ICV57" s="481"/>
      <c r="ICW57" s="481"/>
      <c r="ICX57" s="481"/>
      <c r="ICY57" s="481"/>
      <c r="ICZ57" s="481"/>
      <c r="IDA57" s="481"/>
      <c r="IDB57" s="481"/>
      <c r="IDC57" s="481"/>
      <c r="IDD57" s="481"/>
      <c r="IDE57" s="481"/>
      <c r="IDF57" s="481"/>
      <c r="IDG57" s="481"/>
      <c r="IDH57" s="481"/>
      <c r="IDI57" s="481"/>
      <c r="IDJ57" s="481"/>
      <c r="IDK57" s="481"/>
      <c r="IDL57" s="481"/>
      <c r="IDM57" s="481"/>
      <c r="IDN57" s="481"/>
      <c r="IDO57" s="481"/>
      <c r="IDP57" s="481"/>
      <c r="IDQ57" s="481"/>
      <c r="IDR57" s="481"/>
      <c r="IDS57" s="481"/>
      <c r="IDT57" s="481"/>
      <c r="IDU57" s="481"/>
      <c r="IDV57" s="481"/>
      <c r="IDW57" s="481"/>
      <c r="IDX57" s="481"/>
      <c r="IDY57" s="481"/>
      <c r="IDZ57" s="481"/>
      <c r="IEA57" s="481"/>
      <c r="IEB57" s="481"/>
      <c r="IEC57" s="481"/>
      <c r="IED57" s="481"/>
      <c r="IEE57" s="481"/>
      <c r="IEF57" s="481"/>
      <c r="IEG57" s="481"/>
      <c r="IEH57" s="481"/>
      <c r="IEI57" s="481"/>
      <c r="IEJ57" s="481"/>
      <c r="IEK57" s="481"/>
      <c r="IEL57" s="481"/>
      <c r="IEM57" s="481"/>
      <c r="IEN57" s="481"/>
      <c r="IEO57" s="481"/>
      <c r="IEP57" s="481"/>
      <c r="IEQ57" s="481"/>
      <c r="IER57" s="481"/>
      <c r="IES57" s="481"/>
      <c r="IET57" s="481"/>
      <c r="IEU57" s="481"/>
      <c r="IEV57" s="481"/>
      <c r="IEW57" s="481"/>
      <c r="IEX57" s="481"/>
      <c r="IEY57" s="481"/>
      <c r="IEZ57" s="481"/>
      <c r="IFA57" s="481"/>
      <c r="IFB57" s="481"/>
      <c r="IFC57" s="481"/>
      <c r="IFD57" s="481"/>
      <c r="IFE57" s="481"/>
      <c r="IFF57" s="481"/>
      <c r="IFG57" s="481"/>
      <c r="IFH57" s="481"/>
      <c r="IFI57" s="481"/>
      <c r="IFJ57" s="481"/>
      <c r="IFK57" s="481"/>
      <c r="IFL57" s="481"/>
      <c r="IFM57" s="481"/>
      <c r="IFN57" s="481"/>
      <c r="IFO57" s="481"/>
      <c r="IFP57" s="481"/>
      <c r="IFQ57" s="481"/>
      <c r="IFR57" s="481"/>
      <c r="IFS57" s="481"/>
      <c r="IFT57" s="481"/>
      <c r="IFU57" s="481"/>
      <c r="IFV57" s="481"/>
      <c r="IFW57" s="481"/>
      <c r="IFX57" s="481"/>
      <c r="IFY57" s="481"/>
      <c r="IFZ57" s="481"/>
      <c r="IGA57" s="481"/>
      <c r="IGB57" s="481"/>
      <c r="IGC57" s="481"/>
      <c r="IGD57" s="481"/>
      <c r="IGE57" s="481"/>
      <c r="IGF57" s="481"/>
      <c r="IGG57" s="481"/>
      <c r="IGH57" s="481"/>
      <c r="IGI57" s="481"/>
      <c r="IGJ57" s="481"/>
      <c r="IGK57" s="481"/>
      <c r="IGL57" s="481"/>
      <c r="IGM57" s="481"/>
      <c r="IGN57" s="481"/>
      <c r="IGO57" s="481"/>
      <c r="IGP57" s="481"/>
      <c r="IGQ57" s="481"/>
      <c r="IGR57" s="481"/>
      <c r="IGS57" s="481"/>
      <c r="IGT57" s="481"/>
      <c r="IGU57" s="481"/>
      <c r="IGV57" s="481"/>
      <c r="IGW57" s="481"/>
      <c r="IGX57" s="481"/>
      <c r="IGY57" s="481"/>
      <c r="IGZ57" s="481"/>
      <c r="IHA57" s="481"/>
      <c r="IHB57" s="481"/>
      <c r="IHC57" s="481"/>
      <c r="IHD57" s="481"/>
      <c r="IHE57" s="481"/>
      <c r="IHF57" s="481"/>
      <c r="IHG57" s="481"/>
      <c r="IHH57" s="481"/>
      <c r="IHI57" s="481"/>
      <c r="IHJ57" s="481"/>
      <c r="IHK57" s="481"/>
      <c r="IHL57" s="481"/>
      <c r="IHM57" s="481"/>
      <c r="IHN57" s="481"/>
      <c r="IHO57" s="481"/>
      <c r="IHP57" s="481"/>
      <c r="IHQ57" s="481"/>
      <c r="IHR57" s="481"/>
      <c r="IHS57" s="481"/>
      <c r="IHT57" s="481"/>
      <c r="IHU57" s="481"/>
      <c r="IHV57" s="481"/>
      <c r="IHW57" s="481"/>
      <c r="IHX57" s="481"/>
      <c r="IHY57" s="481"/>
      <c r="IHZ57" s="481"/>
      <c r="IIA57" s="481"/>
      <c r="IIB57" s="481"/>
      <c r="IIC57" s="481"/>
      <c r="IID57" s="481"/>
      <c r="IIE57" s="481"/>
      <c r="IIF57" s="481"/>
      <c r="IIG57" s="481"/>
      <c r="IIH57" s="481"/>
      <c r="III57" s="481"/>
      <c r="IIJ57" s="481"/>
      <c r="IIK57" s="481"/>
      <c r="IIL57" s="481"/>
      <c r="IIM57" s="481"/>
      <c r="IIN57" s="481"/>
      <c r="IIO57" s="481"/>
      <c r="IIP57" s="481"/>
      <c r="IIQ57" s="481"/>
      <c r="IIR57" s="481"/>
      <c r="IIS57" s="481"/>
      <c r="IIT57" s="481"/>
      <c r="IIU57" s="481"/>
      <c r="IIV57" s="481"/>
      <c r="IIW57" s="481"/>
      <c r="IIX57" s="481"/>
      <c r="IIY57" s="481"/>
      <c r="IIZ57" s="481"/>
      <c r="IJA57" s="481"/>
      <c r="IJB57" s="481"/>
      <c r="IJC57" s="481"/>
      <c r="IJD57" s="481"/>
      <c r="IJE57" s="481"/>
      <c r="IJF57" s="481"/>
      <c r="IJG57" s="481"/>
      <c r="IJH57" s="481"/>
      <c r="IJI57" s="481"/>
      <c r="IJJ57" s="481"/>
      <c r="IJK57" s="481"/>
      <c r="IJL57" s="481"/>
      <c r="IJM57" s="481"/>
      <c r="IJN57" s="481"/>
      <c r="IJO57" s="481"/>
      <c r="IJP57" s="481"/>
      <c r="IJQ57" s="481"/>
      <c r="IJR57" s="481"/>
      <c r="IJS57" s="481"/>
      <c r="IJT57" s="481"/>
      <c r="IJU57" s="481"/>
      <c r="IJV57" s="481"/>
      <c r="IJW57" s="481"/>
      <c r="IJX57" s="481"/>
      <c r="IJY57" s="481"/>
      <c r="IJZ57" s="481"/>
      <c r="IKA57" s="481"/>
      <c r="IKB57" s="481"/>
      <c r="IKC57" s="481"/>
      <c r="IKD57" s="481"/>
      <c r="IKE57" s="481"/>
      <c r="IKF57" s="481"/>
      <c r="IKG57" s="481"/>
      <c r="IKH57" s="481"/>
      <c r="IKI57" s="481"/>
      <c r="IKJ57" s="481"/>
      <c r="IKK57" s="481"/>
      <c r="IKL57" s="481"/>
      <c r="IKM57" s="481"/>
      <c r="IKN57" s="481"/>
      <c r="IKO57" s="481"/>
      <c r="IKP57" s="481"/>
      <c r="IKQ57" s="481"/>
      <c r="IKR57" s="481"/>
      <c r="IKS57" s="481"/>
      <c r="IKT57" s="481"/>
      <c r="IKU57" s="481"/>
      <c r="IKV57" s="481"/>
      <c r="IKW57" s="481"/>
      <c r="IKX57" s="481"/>
      <c r="IKY57" s="481"/>
      <c r="IKZ57" s="481"/>
      <c r="ILA57" s="481"/>
      <c r="ILB57" s="481"/>
      <c r="ILC57" s="481"/>
      <c r="ILD57" s="481"/>
      <c r="ILE57" s="481"/>
      <c r="ILF57" s="481"/>
      <c r="ILG57" s="481"/>
      <c r="ILH57" s="481"/>
      <c r="ILI57" s="481"/>
      <c r="ILJ57" s="481"/>
      <c r="ILK57" s="481"/>
      <c r="ILL57" s="481"/>
      <c r="ILM57" s="481"/>
      <c r="ILN57" s="481"/>
      <c r="ILO57" s="481"/>
      <c r="ILP57" s="481"/>
      <c r="ILQ57" s="481"/>
      <c r="ILR57" s="481"/>
      <c r="ILS57" s="481"/>
      <c r="ILT57" s="481"/>
      <c r="ILU57" s="481"/>
      <c r="ILV57" s="481"/>
      <c r="ILW57" s="481"/>
      <c r="ILX57" s="481"/>
      <c r="ILY57" s="481"/>
      <c r="ILZ57" s="481"/>
      <c r="IMA57" s="481"/>
      <c r="IMB57" s="481"/>
      <c r="IMC57" s="481"/>
      <c r="IMD57" s="481"/>
      <c r="IME57" s="481"/>
      <c r="IMF57" s="481"/>
      <c r="IMG57" s="481"/>
      <c r="IMH57" s="481"/>
      <c r="IMI57" s="481"/>
      <c r="IMJ57" s="481"/>
      <c r="IMK57" s="481"/>
      <c r="IML57" s="481"/>
      <c r="IMM57" s="481"/>
      <c r="IMN57" s="481"/>
      <c r="IMO57" s="481"/>
      <c r="IMP57" s="481"/>
      <c r="IMQ57" s="481"/>
      <c r="IMR57" s="481"/>
      <c r="IMS57" s="481"/>
      <c r="IMT57" s="481"/>
      <c r="IMU57" s="481"/>
      <c r="IMV57" s="481"/>
      <c r="IMW57" s="481"/>
      <c r="IMX57" s="481"/>
      <c r="IMY57" s="481"/>
      <c r="IMZ57" s="481"/>
      <c r="INA57" s="481"/>
      <c r="INB57" s="481"/>
      <c r="INC57" s="481"/>
      <c r="IND57" s="481"/>
      <c r="INE57" s="481"/>
      <c r="INF57" s="481"/>
      <c r="ING57" s="481"/>
      <c r="INH57" s="481"/>
      <c r="INI57" s="481"/>
      <c r="INJ57" s="481"/>
      <c r="INK57" s="481"/>
      <c r="INL57" s="481"/>
      <c r="INM57" s="481"/>
      <c r="INN57" s="481"/>
      <c r="INO57" s="481"/>
      <c r="INP57" s="481"/>
      <c r="INQ57" s="481"/>
      <c r="INR57" s="481"/>
      <c r="INS57" s="481"/>
      <c r="INT57" s="481"/>
      <c r="INU57" s="481"/>
      <c r="INV57" s="481"/>
      <c r="INW57" s="481"/>
      <c r="INX57" s="481"/>
      <c r="INY57" s="481"/>
      <c r="INZ57" s="481"/>
      <c r="IOA57" s="481"/>
      <c r="IOB57" s="481"/>
      <c r="IOC57" s="481"/>
      <c r="IOD57" s="481"/>
      <c r="IOE57" s="481"/>
      <c r="IOF57" s="481"/>
      <c r="IOG57" s="481"/>
      <c r="IOH57" s="481"/>
      <c r="IOI57" s="481"/>
      <c r="IOJ57" s="481"/>
      <c r="IOK57" s="481"/>
      <c r="IOL57" s="481"/>
      <c r="IOM57" s="481"/>
      <c r="ION57" s="481"/>
      <c r="IOO57" s="481"/>
      <c r="IOP57" s="481"/>
      <c r="IOQ57" s="481"/>
      <c r="IOR57" s="481"/>
      <c r="IOS57" s="481"/>
      <c r="IOT57" s="481"/>
      <c r="IOU57" s="481"/>
      <c r="IOV57" s="481"/>
      <c r="IOW57" s="481"/>
      <c r="IOX57" s="481"/>
      <c r="IOY57" s="481"/>
      <c r="IOZ57" s="481"/>
      <c r="IPA57" s="481"/>
      <c r="IPB57" s="481"/>
      <c r="IPC57" s="481"/>
      <c r="IPD57" s="481"/>
      <c r="IPE57" s="481"/>
      <c r="IPF57" s="481"/>
      <c r="IPG57" s="481"/>
      <c r="IPH57" s="481"/>
      <c r="IPI57" s="481"/>
      <c r="IPJ57" s="481"/>
      <c r="IPK57" s="481"/>
      <c r="IPL57" s="481"/>
      <c r="IPM57" s="481"/>
      <c r="IPN57" s="481"/>
      <c r="IPO57" s="481"/>
      <c r="IPP57" s="481"/>
      <c r="IPQ57" s="481"/>
      <c r="IPR57" s="481"/>
      <c r="IPS57" s="481"/>
      <c r="IPT57" s="481"/>
      <c r="IPU57" s="481"/>
      <c r="IPV57" s="481"/>
      <c r="IPW57" s="481"/>
      <c r="IPX57" s="481"/>
      <c r="IPY57" s="481"/>
      <c r="IPZ57" s="481"/>
      <c r="IQA57" s="481"/>
      <c r="IQB57" s="481"/>
      <c r="IQC57" s="481"/>
      <c r="IQD57" s="481"/>
      <c r="IQE57" s="481"/>
      <c r="IQF57" s="481"/>
      <c r="IQG57" s="481"/>
      <c r="IQH57" s="481"/>
      <c r="IQI57" s="481"/>
      <c r="IQJ57" s="481"/>
      <c r="IQK57" s="481"/>
      <c r="IQL57" s="481"/>
      <c r="IQM57" s="481"/>
      <c r="IQN57" s="481"/>
      <c r="IQO57" s="481"/>
      <c r="IQP57" s="481"/>
      <c r="IQQ57" s="481"/>
      <c r="IQR57" s="481"/>
      <c r="IQS57" s="481"/>
      <c r="IQT57" s="481"/>
      <c r="IQU57" s="481"/>
      <c r="IQV57" s="481"/>
      <c r="IQW57" s="481"/>
      <c r="IQX57" s="481"/>
      <c r="IQY57" s="481"/>
      <c r="IQZ57" s="481"/>
      <c r="IRA57" s="481"/>
      <c r="IRB57" s="481"/>
      <c r="IRC57" s="481"/>
      <c r="IRD57" s="481"/>
      <c r="IRE57" s="481"/>
      <c r="IRF57" s="481"/>
      <c r="IRG57" s="481"/>
      <c r="IRH57" s="481"/>
      <c r="IRI57" s="481"/>
      <c r="IRJ57" s="481"/>
      <c r="IRK57" s="481"/>
      <c r="IRL57" s="481"/>
      <c r="IRM57" s="481"/>
      <c r="IRN57" s="481"/>
      <c r="IRO57" s="481"/>
      <c r="IRP57" s="481"/>
      <c r="IRQ57" s="481"/>
      <c r="IRR57" s="481"/>
      <c r="IRS57" s="481"/>
      <c r="IRT57" s="481"/>
      <c r="IRU57" s="481"/>
      <c r="IRV57" s="481"/>
      <c r="IRW57" s="481"/>
      <c r="IRX57" s="481"/>
      <c r="IRY57" s="481"/>
      <c r="IRZ57" s="481"/>
      <c r="ISA57" s="481"/>
      <c r="ISB57" s="481"/>
      <c r="ISC57" s="481"/>
      <c r="ISD57" s="481"/>
      <c r="ISE57" s="481"/>
      <c r="ISF57" s="481"/>
      <c r="ISG57" s="481"/>
      <c r="ISH57" s="481"/>
      <c r="ISI57" s="481"/>
      <c r="ISJ57" s="481"/>
      <c r="ISK57" s="481"/>
      <c r="ISL57" s="481"/>
      <c r="ISM57" s="481"/>
      <c r="ISN57" s="481"/>
      <c r="ISO57" s="481"/>
      <c r="ISP57" s="481"/>
      <c r="ISQ57" s="481"/>
      <c r="ISR57" s="481"/>
      <c r="ISS57" s="481"/>
      <c r="IST57" s="481"/>
      <c r="ISU57" s="481"/>
      <c r="ISV57" s="481"/>
      <c r="ISW57" s="481"/>
      <c r="ISX57" s="481"/>
      <c r="ISY57" s="481"/>
      <c r="ISZ57" s="481"/>
      <c r="ITA57" s="481"/>
      <c r="ITB57" s="481"/>
      <c r="ITC57" s="481"/>
      <c r="ITD57" s="481"/>
      <c r="ITE57" s="481"/>
      <c r="ITF57" s="481"/>
      <c r="ITG57" s="481"/>
      <c r="ITH57" s="481"/>
      <c r="ITI57" s="481"/>
      <c r="ITJ57" s="481"/>
      <c r="ITK57" s="481"/>
      <c r="ITL57" s="481"/>
      <c r="ITM57" s="481"/>
      <c r="ITN57" s="481"/>
      <c r="ITO57" s="481"/>
      <c r="ITP57" s="481"/>
      <c r="ITQ57" s="481"/>
      <c r="ITR57" s="481"/>
      <c r="ITS57" s="481"/>
      <c r="ITT57" s="481"/>
      <c r="ITU57" s="481"/>
      <c r="ITV57" s="481"/>
      <c r="ITW57" s="481"/>
      <c r="ITX57" s="481"/>
      <c r="ITY57" s="481"/>
      <c r="ITZ57" s="481"/>
      <c r="IUA57" s="481"/>
      <c r="IUB57" s="481"/>
      <c r="IUC57" s="481"/>
      <c r="IUD57" s="481"/>
      <c r="IUE57" s="481"/>
      <c r="IUF57" s="481"/>
      <c r="IUG57" s="481"/>
      <c r="IUH57" s="481"/>
      <c r="IUI57" s="481"/>
      <c r="IUJ57" s="481"/>
      <c r="IUK57" s="481"/>
      <c r="IUL57" s="481"/>
      <c r="IUM57" s="481"/>
      <c r="IUN57" s="481"/>
      <c r="IUO57" s="481"/>
      <c r="IUP57" s="481"/>
      <c r="IUQ57" s="481"/>
      <c r="IUR57" s="481"/>
      <c r="IUS57" s="481"/>
      <c r="IUT57" s="481"/>
      <c r="IUU57" s="481"/>
      <c r="IUV57" s="481"/>
      <c r="IUW57" s="481"/>
      <c r="IUX57" s="481"/>
      <c r="IUY57" s="481"/>
      <c r="IUZ57" s="481"/>
      <c r="IVA57" s="481"/>
      <c r="IVB57" s="481"/>
      <c r="IVC57" s="481"/>
      <c r="IVD57" s="481"/>
      <c r="IVE57" s="481"/>
      <c r="IVF57" s="481"/>
      <c r="IVG57" s="481"/>
      <c r="IVH57" s="481"/>
      <c r="IVI57" s="481"/>
      <c r="IVJ57" s="481"/>
      <c r="IVK57" s="481"/>
      <c r="IVL57" s="481"/>
      <c r="IVM57" s="481"/>
      <c r="IVN57" s="481"/>
      <c r="IVO57" s="481"/>
      <c r="IVP57" s="481"/>
      <c r="IVQ57" s="481"/>
      <c r="IVR57" s="481"/>
      <c r="IVS57" s="481"/>
      <c r="IVT57" s="481"/>
      <c r="IVU57" s="481"/>
      <c r="IVV57" s="481"/>
      <c r="IVW57" s="481"/>
      <c r="IVX57" s="481"/>
      <c r="IVY57" s="481"/>
      <c r="IVZ57" s="481"/>
      <c r="IWA57" s="481"/>
      <c r="IWB57" s="481"/>
      <c r="IWC57" s="481"/>
      <c r="IWD57" s="481"/>
      <c r="IWE57" s="481"/>
      <c r="IWF57" s="481"/>
      <c r="IWG57" s="481"/>
      <c r="IWH57" s="481"/>
      <c r="IWI57" s="481"/>
      <c r="IWJ57" s="481"/>
      <c r="IWK57" s="481"/>
      <c r="IWL57" s="481"/>
      <c r="IWM57" s="481"/>
      <c r="IWN57" s="481"/>
      <c r="IWO57" s="481"/>
      <c r="IWP57" s="481"/>
      <c r="IWQ57" s="481"/>
      <c r="IWR57" s="481"/>
      <c r="IWS57" s="481"/>
      <c r="IWT57" s="481"/>
      <c r="IWU57" s="481"/>
      <c r="IWV57" s="481"/>
      <c r="IWW57" s="481"/>
      <c r="IWX57" s="481"/>
      <c r="IWY57" s="481"/>
      <c r="IWZ57" s="481"/>
      <c r="IXA57" s="481"/>
      <c r="IXB57" s="481"/>
      <c r="IXC57" s="481"/>
      <c r="IXD57" s="481"/>
      <c r="IXE57" s="481"/>
      <c r="IXF57" s="481"/>
      <c r="IXG57" s="481"/>
      <c r="IXH57" s="481"/>
      <c r="IXI57" s="481"/>
      <c r="IXJ57" s="481"/>
      <c r="IXK57" s="481"/>
      <c r="IXL57" s="481"/>
      <c r="IXM57" s="481"/>
      <c r="IXN57" s="481"/>
      <c r="IXO57" s="481"/>
      <c r="IXP57" s="481"/>
      <c r="IXQ57" s="481"/>
      <c r="IXR57" s="481"/>
      <c r="IXS57" s="481"/>
      <c r="IXT57" s="481"/>
      <c r="IXU57" s="481"/>
      <c r="IXV57" s="481"/>
      <c r="IXW57" s="481"/>
      <c r="IXX57" s="481"/>
      <c r="IXY57" s="481"/>
      <c r="IXZ57" s="481"/>
      <c r="IYA57" s="481"/>
      <c r="IYB57" s="481"/>
      <c r="IYC57" s="481"/>
      <c r="IYD57" s="481"/>
      <c r="IYE57" s="481"/>
      <c r="IYF57" s="481"/>
      <c r="IYG57" s="481"/>
      <c r="IYH57" s="481"/>
      <c r="IYI57" s="481"/>
      <c r="IYJ57" s="481"/>
      <c r="IYK57" s="481"/>
      <c r="IYL57" s="481"/>
      <c r="IYM57" s="481"/>
      <c r="IYN57" s="481"/>
      <c r="IYO57" s="481"/>
      <c r="IYP57" s="481"/>
      <c r="IYQ57" s="481"/>
      <c r="IYR57" s="481"/>
      <c r="IYS57" s="481"/>
      <c r="IYT57" s="481"/>
      <c r="IYU57" s="481"/>
      <c r="IYV57" s="481"/>
      <c r="IYW57" s="481"/>
      <c r="IYX57" s="481"/>
      <c r="IYY57" s="481"/>
      <c r="IYZ57" s="481"/>
      <c r="IZA57" s="481"/>
      <c r="IZB57" s="481"/>
      <c r="IZC57" s="481"/>
      <c r="IZD57" s="481"/>
      <c r="IZE57" s="481"/>
      <c r="IZF57" s="481"/>
      <c r="IZG57" s="481"/>
      <c r="IZH57" s="481"/>
      <c r="IZI57" s="481"/>
      <c r="IZJ57" s="481"/>
      <c r="IZK57" s="481"/>
      <c r="IZL57" s="481"/>
      <c r="IZM57" s="481"/>
      <c r="IZN57" s="481"/>
      <c r="IZO57" s="481"/>
      <c r="IZP57" s="481"/>
      <c r="IZQ57" s="481"/>
      <c r="IZR57" s="481"/>
      <c r="IZS57" s="481"/>
      <c r="IZT57" s="481"/>
      <c r="IZU57" s="481"/>
      <c r="IZV57" s="481"/>
      <c r="IZW57" s="481"/>
      <c r="IZX57" s="481"/>
      <c r="IZY57" s="481"/>
      <c r="IZZ57" s="481"/>
      <c r="JAA57" s="481"/>
      <c r="JAB57" s="481"/>
      <c r="JAC57" s="481"/>
      <c r="JAD57" s="481"/>
      <c r="JAE57" s="481"/>
      <c r="JAF57" s="481"/>
      <c r="JAG57" s="481"/>
      <c r="JAH57" s="481"/>
      <c r="JAI57" s="481"/>
      <c r="JAJ57" s="481"/>
      <c r="JAK57" s="481"/>
      <c r="JAL57" s="481"/>
      <c r="JAM57" s="481"/>
      <c r="JAN57" s="481"/>
      <c r="JAO57" s="481"/>
      <c r="JAP57" s="481"/>
      <c r="JAQ57" s="481"/>
      <c r="JAR57" s="481"/>
      <c r="JAS57" s="481"/>
      <c r="JAT57" s="481"/>
      <c r="JAU57" s="481"/>
      <c r="JAV57" s="481"/>
      <c r="JAW57" s="481"/>
      <c r="JAX57" s="481"/>
      <c r="JAY57" s="481"/>
      <c r="JAZ57" s="481"/>
      <c r="JBA57" s="481"/>
      <c r="JBB57" s="481"/>
      <c r="JBC57" s="481"/>
      <c r="JBD57" s="481"/>
      <c r="JBE57" s="481"/>
      <c r="JBF57" s="481"/>
      <c r="JBG57" s="481"/>
      <c r="JBH57" s="481"/>
      <c r="JBI57" s="481"/>
      <c r="JBJ57" s="481"/>
      <c r="JBK57" s="481"/>
      <c r="JBL57" s="481"/>
      <c r="JBM57" s="481"/>
      <c r="JBN57" s="481"/>
      <c r="JBO57" s="481"/>
      <c r="JBP57" s="481"/>
      <c r="JBQ57" s="481"/>
      <c r="JBR57" s="481"/>
      <c r="JBS57" s="481"/>
      <c r="JBT57" s="481"/>
      <c r="JBU57" s="481"/>
      <c r="JBV57" s="481"/>
      <c r="JBW57" s="481"/>
      <c r="JBX57" s="481"/>
      <c r="JBY57" s="481"/>
      <c r="JBZ57" s="481"/>
      <c r="JCA57" s="481"/>
      <c r="JCB57" s="481"/>
      <c r="JCC57" s="481"/>
      <c r="JCD57" s="481"/>
      <c r="JCE57" s="481"/>
      <c r="JCF57" s="481"/>
      <c r="JCG57" s="481"/>
      <c r="JCH57" s="481"/>
      <c r="JCI57" s="481"/>
      <c r="JCJ57" s="481"/>
      <c r="JCK57" s="481"/>
      <c r="JCL57" s="481"/>
      <c r="JCM57" s="481"/>
      <c r="JCN57" s="481"/>
      <c r="JCO57" s="481"/>
      <c r="JCP57" s="481"/>
      <c r="JCQ57" s="481"/>
      <c r="JCR57" s="481"/>
      <c r="JCS57" s="481"/>
      <c r="JCT57" s="481"/>
      <c r="JCU57" s="481"/>
      <c r="JCV57" s="481"/>
      <c r="JCW57" s="481"/>
      <c r="JCX57" s="481"/>
      <c r="JCY57" s="481"/>
      <c r="JCZ57" s="481"/>
      <c r="JDA57" s="481"/>
      <c r="JDB57" s="481"/>
      <c r="JDC57" s="481"/>
      <c r="JDD57" s="481"/>
      <c r="JDE57" s="481"/>
      <c r="JDF57" s="481"/>
      <c r="JDG57" s="481"/>
      <c r="JDH57" s="481"/>
      <c r="JDI57" s="481"/>
      <c r="JDJ57" s="481"/>
      <c r="JDK57" s="481"/>
      <c r="JDL57" s="481"/>
      <c r="JDM57" s="481"/>
      <c r="JDN57" s="481"/>
      <c r="JDO57" s="481"/>
      <c r="JDP57" s="481"/>
      <c r="JDQ57" s="481"/>
      <c r="JDR57" s="481"/>
      <c r="JDS57" s="481"/>
      <c r="JDT57" s="481"/>
      <c r="JDU57" s="481"/>
      <c r="JDV57" s="481"/>
      <c r="JDW57" s="481"/>
      <c r="JDX57" s="481"/>
      <c r="JDY57" s="481"/>
      <c r="JDZ57" s="481"/>
      <c r="JEA57" s="481"/>
      <c r="JEB57" s="481"/>
      <c r="JEC57" s="481"/>
      <c r="JED57" s="481"/>
      <c r="JEE57" s="481"/>
      <c r="JEF57" s="481"/>
      <c r="JEG57" s="481"/>
      <c r="JEH57" s="481"/>
      <c r="JEI57" s="481"/>
      <c r="JEJ57" s="481"/>
      <c r="JEK57" s="481"/>
      <c r="JEL57" s="481"/>
      <c r="JEM57" s="481"/>
      <c r="JEN57" s="481"/>
      <c r="JEO57" s="481"/>
      <c r="JEP57" s="481"/>
      <c r="JEQ57" s="481"/>
      <c r="JER57" s="481"/>
      <c r="JES57" s="481"/>
      <c r="JET57" s="481"/>
      <c r="JEU57" s="481"/>
      <c r="JEV57" s="481"/>
      <c r="JEW57" s="481"/>
      <c r="JEX57" s="481"/>
      <c r="JEY57" s="481"/>
      <c r="JEZ57" s="481"/>
      <c r="JFA57" s="481"/>
      <c r="JFB57" s="481"/>
      <c r="JFC57" s="481"/>
      <c r="JFD57" s="481"/>
      <c r="JFE57" s="481"/>
      <c r="JFF57" s="481"/>
      <c r="JFG57" s="481"/>
      <c r="JFH57" s="481"/>
      <c r="JFI57" s="481"/>
      <c r="JFJ57" s="481"/>
      <c r="JFK57" s="481"/>
      <c r="JFL57" s="481"/>
      <c r="JFM57" s="481"/>
      <c r="JFN57" s="481"/>
      <c r="JFO57" s="481"/>
      <c r="JFP57" s="481"/>
      <c r="JFQ57" s="481"/>
      <c r="JFR57" s="481"/>
      <c r="JFS57" s="481"/>
      <c r="JFT57" s="481"/>
      <c r="JFU57" s="481"/>
      <c r="JFV57" s="481"/>
      <c r="JFW57" s="481"/>
      <c r="JFX57" s="481"/>
      <c r="JFY57" s="481"/>
      <c r="JFZ57" s="481"/>
      <c r="JGA57" s="481"/>
      <c r="JGB57" s="481"/>
      <c r="JGC57" s="481"/>
      <c r="JGD57" s="481"/>
      <c r="JGE57" s="481"/>
      <c r="JGF57" s="481"/>
      <c r="JGG57" s="481"/>
      <c r="JGH57" s="481"/>
      <c r="JGI57" s="481"/>
      <c r="JGJ57" s="481"/>
      <c r="JGK57" s="481"/>
      <c r="JGL57" s="481"/>
      <c r="JGM57" s="481"/>
      <c r="JGN57" s="481"/>
      <c r="JGO57" s="481"/>
      <c r="JGP57" s="481"/>
      <c r="JGQ57" s="481"/>
      <c r="JGR57" s="481"/>
      <c r="JGS57" s="481"/>
      <c r="JGT57" s="481"/>
      <c r="JGU57" s="481"/>
      <c r="JGV57" s="481"/>
      <c r="JGW57" s="481"/>
      <c r="JGX57" s="481"/>
      <c r="JGY57" s="481"/>
      <c r="JGZ57" s="481"/>
      <c r="JHA57" s="481"/>
      <c r="JHB57" s="481"/>
      <c r="JHC57" s="481"/>
      <c r="JHD57" s="481"/>
      <c r="JHE57" s="481"/>
      <c r="JHF57" s="481"/>
      <c r="JHG57" s="481"/>
      <c r="JHH57" s="481"/>
      <c r="JHI57" s="481"/>
      <c r="JHJ57" s="481"/>
      <c r="JHK57" s="481"/>
      <c r="JHL57" s="481"/>
      <c r="JHM57" s="481"/>
      <c r="JHN57" s="481"/>
      <c r="JHO57" s="481"/>
      <c r="JHP57" s="481"/>
      <c r="JHQ57" s="481"/>
      <c r="JHR57" s="481"/>
      <c r="JHS57" s="481"/>
      <c r="JHT57" s="481"/>
      <c r="JHU57" s="481"/>
      <c r="JHV57" s="481"/>
      <c r="JHW57" s="481"/>
      <c r="JHX57" s="481"/>
      <c r="JHY57" s="481"/>
      <c r="JHZ57" s="481"/>
      <c r="JIA57" s="481"/>
      <c r="JIB57" s="481"/>
      <c r="JIC57" s="481"/>
      <c r="JID57" s="481"/>
      <c r="JIE57" s="481"/>
      <c r="JIF57" s="481"/>
      <c r="JIG57" s="481"/>
      <c r="JIH57" s="481"/>
      <c r="JII57" s="481"/>
      <c r="JIJ57" s="481"/>
      <c r="JIK57" s="481"/>
      <c r="JIL57" s="481"/>
      <c r="JIM57" s="481"/>
      <c r="JIN57" s="481"/>
      <c r="JIO57" s="481"/>
      <c r="JIP57" s="481"/>
      <c r="JIQ57" s="481"/>
      <c r="JIR57" s="481"/>
      <c r="JIS57" s="481"/>
      <c r="JIT57" s="481"/>
      <c r="JIU57" s="481"/>
      <c r="JIV57" s="481"/>
      <c r="JIW57" s="481"/>
      <c r="JIX57" s="481"/>
      <c r="JIY57" s="481"/>
      <c r="JIZ57" s="481"/>
      <c r="JJA57" s="481"/>
      <c r="JJB57" s="481"/>
      <c r="JJC57" s="481"/>
      <c r="JJD57" s="481"/>
      <c r="JJE57" s="481"/>
      <c r="JJF57" s="481"/>
      <c r="JJG57" s="481"/>
      <c r="JJH57" s="481"/>
      <c r="JJI57" s="481"/>
      <c r="JJJ57" s="481"/>
      <c r="JJK57" s="481"/>
      <c r="JJL57" s="481"/>
      <c r="JJM57" s="481"/>
      <c r="JJN57" s="481"/>
      <c r="JJO57" s="481"/>
      <c r="JJP57" s="481"/>
      <c r="JJQ57" s="481"/>
      <c r="JJR57" s="481"/>
      <c r="JJS57" s="481"/>
      <c r="JJT57" s="481"/>
      <c r="JJU57" s="481"/>
      <c r="JJV57" s="481"/>
      <c r="JJW57" s="481"/>
      <c r="JJX57" s="481"/>
      <c r="JJY57" s="481"/>
      <c r="JJZ57" s="481"/>
      <c r="JKA57" s="481"/>
      <c r="JKB57" s="481"/>
      <c r="JKC57" s="481"/>
      <c r="JKD57" s="481"/>
      <c r="JKE57" s="481"/>
      <c r="JKF57" s="481"/>
      <c r="JKG57" s="481"/>
      <c r="JKH57" s="481"/>
      <c r="JKI57" s="481"/>
      <c r="JKJ57" s="481"/>
      <c r="JKK57" s="481"/>
      <c r="JKL57" s="481"/>
      <c r="JKM57" s="481"/>
      <c r="JKN57" s="481"/>
      <c r="JKO57" s="481"/>
      <c r="JKP57" s="481"/>
      <c r="JKQ57" s="481"/>
      <c r="JKR57" s="481"/>
      <c r="JKS57" s="481"/>
      <c r="JKT57" s="481"/>
      <c r="JKU57" s="481"/>
      <c r="JKV57" s="481"/>
      <c r="JKW57" s="481"/>
      <c r="JKX57" s="481"/>
      <c r="JKY57" s="481"/>
      <c r="JKZ57" s="481"/>
      <c r="JLA57" s="481"/>
      <c r="JLB57" s="481"/>
      <c r="JLC57" s="481"/>
      <c r="JLD57" s="481"/>
      <c r="JLE57" s="481"/>
      <c r="JLF57" s="481"/>
      <c r="JLG57" s="481"/>
      <c r="JLH57" s="481"/>
      <c r="JLI57" s="481"/>
      <c r="JLJ57" s="481"/>
      <c r="JLK57" s="481"/>
      <c r="JLL57" s="481"/>
      <c r="JLM57" s="481"/>
      <c r="JLN57" s="481"/>
      <c r="JLO57" s="481"/>
      <c r="JLP57" s="481"/>
      <c r="JLQ57" s="481"/>
      <c r="JLR57" s="481"/>
      <c r="JLS57" s="481"/>
      <c r="JLT57" s="481"/>
      <c r="JLU57" s="481"/>
      <c r="JLV57" s="481"/>
      <c r="JLW57" s="481"/>
      <c r="JLX57" s="481"/>
      <c r="JLY57" s="481"/>
      <c r="JLZ57" s="481"/>
      <c r="JMA57" s="481"/>
      <c r="JMB57" s="481"/>
      <c r="JMC57" s="481"/>
      <c r="JMD57" s="481"/>
      <c r="JME57" s="481"/>
      <c r="JMF57" s="481"/>
      <c r="JMG57" s="481"/>
      <c r="JMH57" s="481"/>
      <c r="JMI57" s="481"/>
      <c r="JMJ57" s="481"/>
      <c r="JMK57" s="481"/>
      <c r="JML57" s="481"/>
      <c r="JMM57" s="481"/>
      <c r="JMN57" s="481"/>
      <c r="JMO57" s="481"/>
      <c r="JMP57" s="481"/>
      <c r="JMQ57" s="481"/>
      <c r="JMR57" s="481"/>
      <c r="JMS57" s="481"/>
      <c r="JMT57" s="481"/>
      <c r="JMU57" s="481"/>
      <c r="JMV57" s="481"/>
      <c r="JMW57" s="481"/>
      <c r="JMX57" s="481"/>
      <c r="JMY57" s="481"/>
      <c r="JMZ57" s="481"/>
      <c r="JNA57" s="481"/>
      <c r="JNB57" s="481"/>
      <c r="JNC57" s="481"/>
      <c r="JND57" s="481"/>
      <c r="JNE57" s="481"/>
      <c r="JNF57" s="481"/>
      <c r="JNG57" s="481"/>
      <c r="JNH57" s="481"/>
      <c r="JNI57" s="481"/>
      <c r="JNJ57" s="481"/>
      <c r="JNK57" s="481"/>
      <c r="JNL57" s="481"/>
      <c r="JNM57" s="481"/>
      <c r="JNN57" s="481"/>
      <c r="JNO57" s="481"/>
      <c r="JNP57" s="481"/>
      <c r="JNQ57" s="481"/>
      <c r="JNR57" s="481"/>
      <c r="JNS57" s="481"/>
      <c r="JNT57" s="481"/>
      <c r="JNU57" s="481"/>
      <c r="JNV57" s="481"/>
      <c r="JNW57" s="481"/>
      <c r="JNX57" s="481"/>
      <c r="JNY57" s="481"/>
      <c r="JNZ57" s="481"/>
      <c r="JOA57" s="481"/>
      <c r="JOB57" s="481"/>
      <c r="JOC57" s="481"/>
      <c r="JOD57" s="481"/>
      <c r="JOE57" s="481"/>
      <c r="JOF57" s="481"/>
      <c r="JOG57" s="481"/>
      <c r="JOH57" s="481"/>
      <c r="JOI57" s="481"/>
      <c r="JOJ57" s="481"/>
      <c r="JOK57" s="481"/>
      <c r="JOL57" s="481"/>
      <c r="JOM57" s="481"/>
      <c r="JON57" s="481"/>
      <c r="JOO57" s="481"/>
      <c r="JOP57" s="481"/>
      <c r="JOQ57" s="481"/>
      <c r="JOR57" s="481"/>
      <c r="JOS57" s="481"/>
      <c r="JOT57" s="481"/>
      <c r="JOU57" s="481"/>
      <c r="JOV57" s="481"/>
      <c r="JOW57" s="481"/>
      <c r="JOX57" s="481"/>
      <c r="JOY57" s="481"/>
      <c r="JOZ57" s="481"/>
      <c r="JPA57" s="481"/>
      <c r="JPB57" s="481"/>
      <c r="JPC57" s="481"/>
      <c r="JPD57" s="481"/>
      <c r="JPE57" s="481"/>
      <c r="JPF57" s="481"/>
      <c r="JPG57" s="481"/>
      <c r="JPH57" s="481"/>
      <c r="JPI57" s="481"/>
      <c r="JPJ57" s="481"/>
      <c r="JPK57" s="481"/>
      <c r="JPL57" s="481"/>
      <c r="JPM57" s="481"/>
      <c r="JPN57" s="481"/>
      <c r="JPO57" s="481"/>
      <c r="JPP57" s="481"/>
      <c r="JPQ57" s="481"/>
      <c r="JPR57" s="481"/>
      <c r="JPS57" s="481"/>
      <c r="JPT57" s="481"/>
      <c r="JPU57" s="481"/>
      <c r="JPV57" s="481"/>
      <c r="JPW57" s="481"/>
      <c r="JPX57" s="481"/>
      <c r="JPY57" s="481"/>
      <c r="JPZ57" s="481"/>
      <c r="JQA57" s="481"/>
      <c r="JQB57" s="481"/>
      <c r="JQC57" s="481"/>
      <c r="JQD57" s="481"/>
      <c r="JQE57" s="481"/>
      <c r="JQF57" s="481"/>
      <c r="JQG57" s="481"/>
      <c r="JQH57" s="481"/>
      <c r="JQI57" s="481"/>
      <c r="JQJ57" s="481"/>
      <c r="JQK57" s="481"/>
      <c r="JQL57" s="481"/>
      <c r="JQM57" s="481"/>
      <c r="JQN57" s="481"/>
      <c r="JQO57" s="481"/>
      <c r="JQP57" s="481"/>
      <c r="JQQ57" s="481"/>
      <c r="JQR57" s="481"/>
      <c r="JQS57" s="481"/>
      <c r="JQT57" s="481"/>
      <c r="JQU57" s="481"/>
      <c r="JQV57" s="481"/>
      <c r="JQW57" s="481"/>
      <c r="JQX57" s="481"/>
      <c r="JQY57" s="481"/>
      <c r="JQZ57" s="481"/>
      <c r="JRA57" s="481"/>
      <c r="JRB57" s="481"/>
      <c r="JRC57" s="481"/>
      <c r="JRD57" s="481"/>
      <c r="JRE57" s="481"/>
      <c r="JRF57" s="481"/>
      <c r="JRG57" s="481"/>
      <c r="JRH57" s="481"/>
      <c r="JRI57" s="481"/>
      <c r="JRJ57" s="481"/>
      <c r="JRK57" s="481"/>
      <c r="JRL57" s="481"/>
      <c r="JRM57" s="481"/>
      <c r="JRN57" s="481"/>
      <c r="JRO57" s="481"/>
      <c r="JRP57" s="481"/>
      <c r="JRQ57" s="481"/>
      <c r="JRR57" s="481"/>
      <c r="JRS57" s="481"/>
      <c r="JRT57" s="481"/>
      <c r="JRU57" s="481"/>
      <c r="JRV57" s="481"/>
      <c r="JRW57" s="481"/>
      <c r="JRX57" s="481"/>
      <c r="JRY57" s="481"/>
      <c r="JRZ57" s="481"/>
      <c r="JSA57" s="481"/>
      <c r="JSB57" s="481"/>
      <c r="JSC57" s="481"/>
      <c r="JSD57" s="481"/>
      <c r="JSE57" s="481"/>
      <c r="JSF57" s="481"/>
      <c r="JSG57" s="481"/>
      <c r="JSH57" s="481"/>
      <c r="JSI57" s="481"/>
      <c r="JSJ57" s="481"/>
      <c r="JSK57" s="481"/>
      <c r="JSL57" s="481"/>
      <c r="JSM57" s="481"/>
      <c r="JSN57" s="481"/>
      <c r="JSO57" s="481"/>
      <c r="JSP57" s="481"/>
      <c r="JSQ57" s="481"/>
      <c r="JSR57" s="481"/>
      <c r="JSS57" s="481"/>
      <c r="JST57" s="481"/>
      <c r="JSU57" s="481"/>
      <c r="JSV57" s="481"/>
      <c r="JSW57" s="481"/>
      <c r="JSX57" s="481"/>
      <c r="JSY57" s="481"/>
      <c r="JSZ57" s="481"/>
      <c r="JTA57" s="481"/>
      <c r="JTB57" s="481"/>
      <c r="JTC57" s="481"/>
      <c r="JTD57" s="481"/>
      <c r="JTE57" s="481"/>
      <c r="JTF57" s="481"/>
      <c r="JTG57" s="481"/>
      <c r="JTH57" s="481"/>
      <c r="JTI57" s="481"/>
      <c r="JTJ57" s="481"/>
      <c r="JTK57" s="481"/>
      <c r="JTL57" s="481"/>
      <c r="JTM57" s="481"/>
      <c r="JTN57" s="481"/>
      <c r="JTO57" s="481"/>
      <c r="JTP57" s="481"/>
      <c r="JTQ57" s="481"/>
      <c r="JTR57" s="481"/>
      <c r="JTS57" s="481"/>
      <c r="JTT57" s="481"/>
      <c r="JTU57" s="481"/>
      <c r="JTV57" s="481"/>
      <c r="JTW57" s="481"/>
      <c r="JTX57" s="481"/>
      <c r="JTY57" s="481"/>
      <c r="JTZ57" s="481"/>
      <c r="JUA57" s="481"/>
      <c r="JUB57" s="481"/>
      <c r="JUC57" s="481"/>
      <c r="JUD57" s="481"/>
      <c r="JUE57" s="481"/>
      <c r="JUF57" s="481"/>
      <c r="JUG57" s="481"/>
      <c r="JUH57" s="481"/>
      <c r="JUI57" s="481"/>
      <c r="JUJ57" s="481"/>
      <c r="JUK57" s="481"/>
      <c r="JUL57" s="481"/>
      <c r="JUM57" s="481"/>
      <c r="JUN57" s="481"/>
      <c r="JUO57" s="481"/>
      <c r="JUP57" s="481"/>
      <c r="JUQ57" s="481"/>
      <c r="JUR57" s="481"/>
      <c r="JUS57" s="481"/>
      <c r="JUT57" s="481"/>
      <c r="JUU57" s="481"/>
      <c r="JUV57" s="481"/>
      <c r="JUW57" s="481"/>
      <c r="JUX57" s="481"/>
      <c r="JUY57" s="481"/>
      <c r="JUZ57" s="481"/>
      <c r="JVA57" s="481"/>
      <c r="JVB57" s="481"/>
      <c r="JVC57" s="481"/>
      <c r="JVD57" s="481"/>
      <c r="JVE57" s="481"/>
      <c r="JVF57" s="481"/>
      <c r="JVG57" s="481"/>
      <c r="JVH57" s="481"/>
      <c r="JVI57" s="481"/>
      <c r="JVJ57" s="481"/>
      <c r="JVK57" s="481"/>
      <c r="JVL57" s="481"/>
      <c r="JVM57" s="481"/>
      <c r="JVN57" s="481"/>
      <c r="JVO57" s="481"/>
      <c r="JVP57" s="481"/>
      <c r="JVQ57" s="481"/>
      <c r="JVR57" s="481"/>
      <c r="JVS57" s="481"/>
      <c r="JVT57" s="481"/>
      <c r="JVU57" s="481"/>
      <c r="JVV57" s="481"/>
      <c r="JVW57" s="481"/>
      <c r="JVX57" s="481"/>
      <c r="JVY57" s="481"/>
      <c r="JVZ57" s="481"/>
      <c r="JWA57" s="481"/>
      <c r="JWB57" s="481"/>
      <c r="JWC57" s="481"/>
      <c r="JWD57" s="481"/>
      <c r="JWE57" s="481"/>
      <c r="JWF57" s="481"/>
      <c r="JWG57" s="481"/>
      <c r="JWH57" s="481"/>
      <c r="JWI57" s="481"/>
      <c r="JWJ57" s="481"/>
      <c r="JWK57" s="481"/>
      <c r="JWL57" s="481"/>
      <c r="JWM57" s="481"/>
      <c r="JWN57" s="481"/>
      <c r="JWO57" s="481"/>
      <c r="JWP57" s="481"/>
      <c r="JWQ57" s="481"/>
      <c r="JWR57" s="481"/>
      <c r="JWS57" s="481"/>
      <c r="JWT57" s="481"/>
      <c r="JWU57" s="481"/>
      <c r="JWV57" s="481"/>
      <c r="JWW57" s="481"/>
      <c r="JWX57" s="481"/>
      <c r="JWY57" s="481"/>
      <c r="JWZ57" s="481"/>
      <c r="JXA57" s="481"/>
      <c r="JXB57" s="481"/>
      <c r="JXC57" s="481"/>
      <c r="JXD57" s="481"/>
      <c r="JXE57" s="481"/>
      <c r="JXF57" s="481"/>
      <c r="JXG57" s="481"/>
      <c r="JXH57" s="481"/>
      <c r="JXI57" s="481"/>
      <c r="JXJ57" s="481"/>
      <c r="JXK57" s="481"/>
      <c r="JXL57" s="481"/>
      <c r="JXM57" s="481"/>
      <c r="JXN57" s="481"/>
      <c r="JXO57" s="481"/>
      <c r="JXP57" s="481"/>
      <c r="JXQ57" s="481"/>
      <c r="JXR57" s="481"/>
      <c r="JXS57" s="481"/>
      <c r="JXT57" s="481"/>
      <c r="JXU57" s="481"/>
      <c r="JXV57" s="481"/>
      <c r="JXW57" s="481"/>
      <c r="JXX57" s="481"/>
      <c r="JXY57" s="481"/>
      <c r="JXZ57" s="481"/>
      <c r="JYA57" s="481"/>
      <c r="JYB57" s="481"/>
      <c r="JYC57" s="481"/>
      <c r="JYD57" s="481"/>
      <c r="JYE57" s="481"/>
      <c r="JYF57" s="481"/>
      <c r="JYG57" s="481"/>
      <c r="JYH57" s="481"/>
      <c r="JYI57" s="481"/>
      <c r="JYJ57" s="481"/>
      <c r="JYK57" s="481"/>
      <c r="JYL57" s="481"/>
      <c r="JYM57" s="481"/>
      <c r="JYN57" s="481"/>
      <c r="JYO57" s="481"/>
      <c r="JYP57" s="481"/>
      <c r="JYQ57" s="481"/>
      <c r="JYR57" s="481"/>
      <c r="JYS57" s="481"/>
      <c r="JYT57" s="481"/>
      <c r="JYU57" s="481"/>
      <c r="JYV57" s="481"/>
      <c r="JYW57" s="481"/>
      <c r="JYX57" s="481"/>
      <c r="JYY57" s="481"/>
      <c r="JYZ57" s="481"/>
      <c r="JZA57" s="481"/>
      <c r="JZB57" s="481"/>
      <c r="JZC57" s="481"/>
      <c r="JZD57" s="481"/>
      <c r="JZE57" s="481"/>
      <c r="JZF57" s="481"/>
      <c r="JZG57" s="481"/>
      <c r="JZH57" s="481"/>
      <c r="JZI57" s="481"/>
      <c r="JZJ57" s="481"/>
      <c r="JZK57" s="481"/>
      <c r="JZL57" s="481"/>
      <c r="JZM57" s="481"/>
      <c r="JZN57" s="481"/>
      <c r="JZO57" s="481"/>
      <c r="JZP57" s="481"/>
      <c r="JZQ57" s="481"/>
      <c r="JZR57" s="481"/>
      <c r="JZS57" s="481"/>
      <c r="JZT57" s="481"/>
      <c r="JZU57" s="481"/>
      <c r="JZV57" s="481"/>
      <c r="JZW57" s="481"/>
      <c r="JZX57" s="481"/>
      <c r="JZY57" s="481"/>
      <c r="JZZ57" s="481"/>
      <c r="KAA57" s="481"/>
      <c r="KAB57" s="481"/>
      <c r="KAC57" s="481"/>
      <c r="KAD57" s="481"/>
      <c r="KAE57" s="481"/>
      <c r="KAF57" s="481"/>
      <c r="KAG57" s="481"/>
      <c r="KAH57" s="481"/>
      <c r="KAI57" s="481"/>
      <c r="KAJ57" s="481"/>
      <c r="KAK57" s="481"/>
      <c r="KAL57" s="481"/>
      <c r="KAM57" s="481"/>
      <c r="KAN57" s="481"/>
      <c r="KAO57" s="481"/>
      <c r="KAP57" s="481"/>
      <c r="KAQ57" s="481"/>
      <c r="KAR57" s="481"/>
      <c r="KAS57" s="481"/>
      <c r="KAT57" s="481"/>
      <c r="KAU57" s="481"/>
      <c r="KAV57" s="481"/>
      <c r="KAW57" s="481"/>
      <c r="KAX57" s="481"/>
      <c r="KAY57" s="481"/>
      <c r="KAZ57" s="481"/>
      <c r="KBA57" s="481"/>
      <c r="KBB57" s="481"/>
      <c r="KBC57" s="481"/>
      <c r="KBD57" s="481"/>
      <c r="KBE57" s="481"/>
      <c r="KBF57" s="481"/>
      <c r="KBG57" s="481"/>
      <c r="KBH57" s="481"/>
      <c r="KBI57" s="481"/>
      <c r="KBJ57" s="481"/>
      <c r="KBK57" s="481"/>
      <c r="KBL57" s="481"/>
      <c r="KBM57" s="481"/>
      <c r="KBN57" s="481"/>
      <c r="KBO57" s="481"/>
      <c r="KBP57" s="481"/>
      <c r="KBQ57" s="481"/>
      <c r="KBR57" s="481"/>
      <c r="KBS57" s="481"/>
      <c r="KBT57" s="481"/>
      <c r="KBU57" s="481"/>
      <c r="KBV57" s="481"/>
      <c r="KBW57" s="481"/>
      <c r="KBX57" s="481"/>
      <c r="KBY57" s="481"/>
      <c r="KBZ57" s="481"/>
      <c r="KCA57" s="481"/>
      <c r="KCB57" s="481"/>
      <c r="KCC57" s="481"/>
      <c r="KCD57" s="481"/>
      <c r="KCE57" s="481"/>
      <c r="KCF57" s="481"/>
      <c r="KCG57" s="481"/>
      <c r="KCH57" s="481"/>
      <c r="KCI57" s="481"/>
      <c r="KCJ57" s="481"/>
      <c r="KCK57" s="481"/>
      <c r="KCL57" s="481"/>
      <c r="KCM57" s="481"/>
      <c r="KCN57" s="481"/>
      <c r="KCO57" s="481"/>
      <c r="KCP57" s="481"/>
      <c r="KCQ57" s="481"/>
      <c r="KCR57" s="481"/>
      <c r="KCS57" s="481"/>
      <c r="KCT57" s="481"/>
      <c r="KCU57" s="481"/>
      <c r="KCV57" s="481"/>
      <c r="KCW57" s="481"/>
      <c r="KCX57" s="481"/>
      <c r="KCY57" s="481"/>
      <c r="KCZ57" s="481"/>
      <c r="KDA57" s="481"/>
      <c r="KDB57" s="481"/>
      <c r="KDC57" s="481"/>
      <c r="KDD57" s="481"/>
      <c r="KDE57" s="481"/>
      <c r="KDF57" s="481"/>
      <c r="KDG57" s="481"/>
      <c r="KDH57" s="481"/>
      <c r="KDI57" s="481"/>
      <c r="KDJ57" s="481"/>
      <c r="KDK57" s="481"/>
      <c r="KDL57" s="481"/>
      <c r="KDM57" s="481"/>
      <c r="KDN57" s="481"/>
      <c r="KDO57" s="481"/>
      <c r="KDP57" s="481"/>
      <c r="KDQ57" s="481"/>
      <c r="KDR57" s="481"/>
      <c r="KDS57" s="481"/>
      <c r="KDT57" s="481"/>
      <c r="KDU57" s="481"/>
      <c r="KDV57" s="481"/>
      <c r="KDW57" s="481"/>
      <c r="KDX57" s="481"/>
      <c r="KDY57" s="481"/>
      <c r="KDZ57" s="481"/>
      <c r="KEA57" s="481"/>
      <c r="KEB57" s="481"/>
      <c r="KEC57" s="481"/>
      <c r="KED57" s="481"/>
      <c r="KEE57" s="481"/>
      <c r="KEF57" s="481"/>
      <c r="KEG57" s="481"/>
      <c r="KEH57" s="481"/>
      <c r="KEI57" s="481"/>
      <c r="KEJ57" s="481"/>
      <c r="KEK57" s="481"/>
      <c r="KEL57" s="481"/>
      <c r="KEM57" s="481"/>
      <c r="KEN57" s="481"/>
      <c r="KEO57" s="481"/>
      <c r="KEP57" s="481"/>
      <c r="KEQ57" s="481"/>
      <c r="KER57" s="481"/>
      <c r="KES57" s="481"/>
      <c r="KET57" s="481"/>
      <c r="KEU57" s="481"/>
      <c r="KEV57" s="481"/>
      <c r="KEW57" s="481"/>
      <c r="KEX57" s="481"/>
      <c r="KEY57" s="481"/>
      <c r="KEZ57" s="481"/>
      <c r="KFA57" s="481"/>
      <c r="KFB57" s="481"/>
      <c r="KFC57" s="481"/>
      <c r="KFD57" s="481"/>
      <c r="KFE57" s="481"/>
      <c r="KFF57" s="481"/>
      <c r="KFG57" s="481"/>
      <c r="KFH57" s="481"/>
      <c r="KFI57" s="481"/>
      <c r="KFJ57" s="481"/>
      <c r="KFK57" s="481"/>
      <c r="KFL57" s="481"/>
      <c r="KFM57" s="481"/>
      <c r="KFN57" s="481"/>
      <c r="KFO57" s="481"/>
      <c r="KFP57" s="481"/>
      <c r="KFQ57" s="481"/>
      <c r="KFR57" s="481"/>
      <c r="KFS57" s="481"/>
      <c r="KFT57" s="481"/>
      <c r="KFU57" s="481"/>
      <c r="KFV57" s="481"/>
      <c r="KFW57" s="481"/>
      <c r="KFX57" s="481"/>
      <c r="KFY57" s="481"/>
      <c r="KFZ57" s="481"/>
      <c r="KGA57" s="481"/>
      <c r="KGB57" s="481"/>
      <c r="KGC57" s="481"/>
      <c r="KGD57" s="481"/>
      <c r="KGE57" s="481"/>
      <c r="KGF57" s="481"/>
      <c r="KGG57" s="481"/>
      <c r="KGH57" s="481"/>
      <c r="KGI57" s="481"/>
      <c r="KGJ57" s="481"/>
      <c r="KGK57" s="481"/>
      <c r="KGL57" s="481"/>
      <c r="KGM57" s="481"/>
      <c r="KGN57" s="481"/>
      <c r="KGO57" s="481"/>
      <c r="KGP57" s="481"/>
      <c r="KGQ57" s="481"/>
      <c r="KGR57" s="481"/>
      <c r="KGS57" s="481"/>
      <c r="KGT57" s="481"/>
      <c r="KGU57" s="481"/>
      <c r="KGV57" s="481"/>
      <c r="KGW57" s="481"/>
      <c r="KGX57" s="481"/>
      <c r="KGY57" s="481"/>
      <c r="KGZ57" s="481"/>
      <c r="KHA57" s="481"/>
      <c r="KHB57" s="481"/>
      <c r="KHC57" s="481"/>
      <c r="KHD57" s="481"/>
      <c r="KHE57" s="481"/>
      <c r="KHF57" s="481"/>
      <c r="KHG57" s="481"/>
      <c r="KHH57" s="481"/>
      <c r="KHI57" s="481"/>
      <c r="KHJ57" s="481"/>
      <c r="KHK57" s="481"/>
      <c r="KHL57" s="481"/>
      <c r="KHM57" s="481"/>
      <c r="KHN57" s="481"/>
      <c r="KHO57" s="481"/>
      <c r="KHP57" s="481"/>
      <c r="KHQ57" s="481"/>
      <c r="KHR57" s="481"/>
      <c r="KHS57" s="481"/>
      <c r="KHT57" s="481"/>
      <c r="KHU57" s="481"/>
      <c r="KHV57" s="481"/>
      <c r="KHW57" s="481"/>
      <c r="KHX57" s="481"/>
      <c r="KHY57" s="481"/>
      <c r="KHZ57" s="481"/>
      <c r="KIA57" s="481"/>
      <c r="KIB57" s="481"/>
      <c r="KIC57" s="481"/>
      <c r="KID57" s="481"/>
      <c r="KIE57" s="481"/>
      <c r="KIF57" s="481"/>
      <c r="KIG57" s="481"/>
      <c r="KIH57" s="481"/>
      <c r="KII57" s="481"/>
      <c r="KIJ57" s="481"/>
      <c r="KIK57" s="481"/>
      <c r="KIL57" s="481"/>
      <c r="KIM57" s="481"/>
      <c r="KIN57" s="481"/>
      <c r="KIO57" s="481"/>
      <c r="KIP57" s="481"/>
      <c r="KIQ57" s="481"/>
      <c r="KIR57" s="481"/>
      <c r="KIS57" s="481"/>
      <c r="KIT57" s="481"/>
      <c r="KIU57" s="481"/>
      <c r="KIV57" s="481"/>
      <c r="KIW57" s="481"/>
      <c r="KIX57" s="481"/>
      <c r="KIY57" s="481"/>
      <c r="KIZ57" s="481"/>
      <c r="KJA57" s="481"/>
      <c r="KJB57" s="481"/>
      <c r="KJC57" s="481"/>
      <c r="KJD57" s="481"/>
      <c r="KJE57" s="481"/>
      <c r="KJF57" s="481"/>
      <c r="KJG57" s="481"/>
      <c r="KJH57" s="481"/>
      <c r="KJI57" s="481"/>
      <c r="KJJ57" s="481"/>
      <c r="KJK57" s="481"/>
      <c r="KJL57" s="481"/>
      <c r="KJM57" s="481"/>
      <c r="KJN57" s="481"/>
      <c r="KJO57" s="481"/>
      <c r="KJP57" s="481"/>
      <c r="KJQ57" s="481"/>
      <c r="KJR57" s="481"/>
      <c r="KJS57" s="481"/>
      <c r="KJT57" s="481"/>
      <c r="KJU57" s="481"/>
      <c r="KJV57" s="481"/>
      <c r="KJW57" s="481"/>
      <c r="KJX57" s="481"/>
      <c r="KJY57" s="481"/>
      <c r="KJZ57" s="481"/>
      <c r="KKA57" s="481"/>
      <c r="KKB57" s="481"/>
      <c r="KKC57" s="481"/>
      <c r="KKD57" s="481"/>
      <c r="KKE57" s="481"/>
      <c r="KKF57" s="481"/>
      <c r="KKG57" s="481"/>
      <c r="KKH57" s="481"/>
      <c r="KKI57" s="481"/>
      <c r="KKJ57" s="481"/>
      <c r="KKK57" s="481"/>
      <c r="KKL57" s="481"/>
      <c r="KKM57" s="481"/>
      <c r="KKN57" s="481"/>
      <c r="KKO57" s="481"/>
      <c r="KKP57" s="481"/>
      <c r="KKQ57" s="481"/>
      <c r="KKR57" s="481"/>
      <c r="KKS57" s="481"/>
      <c r="KKT57" s="481"/>
      <c r="KKU57" s="481"/>
      <c r="KKV57" s="481"/>
      <c r="KKW57" s="481"/>
      <c r="KKX57" s="481"/>
      <c r="KKY57" s="481"/>
      <c r="KKZ57" s="481"/>
      <c r="KLA57" s="481"/>
      <c r="KLB57" s="481"/>
      <c r="KLC57" s="481"/>
      <c r="KLD57" s="481"/>
      <c r="KLE57" s="481"/>
      <c r="KLF57" s="481"/>
      <c r="KLG57" s="481"/>
      <c r="KLH57" s="481"/>
      <c r="KLI57" s="481"/>
      <c r="KLJ57" s="481"/>
      <c r="KLK57" s="481"/>
      <c r="KLL57" s="481"/>
      <c r="KLM57" s="481"/>
      <c r="KLN57" s="481"/>
      <c r="KLO57" s="481"/>
      <c r="KLP57" s="481"/>
      <c r="KLQ57" s="481"/>
      <c r="KLR57" s="481"/>
      <c r="KLS57" s="481"/>
      <c r="KLT57" s="481"/>
      <c r="KLU57" s="481"/>
      <c r="KLV57" s="481"/>
      <c r="KLW57" s="481"/>
      <c r="KLX57" s="481"/>
      <c r="KLY57" s="481"/>
      <c r="KLZ57" s="481"/>
      <c r="KMA57" s="481"/>
      <c r="KMB57" s="481"/>
      <c r="KMC57" s="481"/>
      <c r="KMD57" s="481"/>
      <c r="KME57" s="481"/>
      <c r="KMF57" s="481"/>
      <c r="KMG57" s="481"/>
      <c r="KMH57" s="481"/>
      <c r="KMI57" s="481"/>
      <c r="KMJ57" s="481"/>
      <c r="KMK57" s="481"/>
      <c r="KML57" s="481"/>
      <c r="KMM57" s="481"/>
      <c r="KMN57" s="481"/>
      <c r="KMO57" s="481"/>
      <c r="KMP57" s="481"/>
      <c r="KMQ57" s="481"/>
      <c r="KMR57" s="481"/>
      <c r="KMS57" s="481"/>
      <c r="KMT57" s="481"/>
      <c r="KMU57" s="481"/>
      <c r="KMV57" s="481"/>
      <c r="KMW57" s="481"/>
      <c r="KMX57" s="481"/>
      <c r="KMY57" s="481"/>
      <c r="KMZ57" s="481"/>
      <c r="KNA57" s="481"/>
      <c r="KNB57" s="481"/>
      <c r="KNC57" s="481"/>
      <c r="KND57" s="481"/>
      <c r="KNE57" s="481"/>
      <c r="KNF57" s="481"/>
      <c r="KNG57" s="481"/>
      <c r="KNH57" s="481"/>
      <c r="KNI57" s="481"/>
      <c r="KNJ57" s="481"/>
      <c r="KNK57" s="481"/>
      <c r="KNL57" s="481"/>
      <c r="KNM57" s="481"/>
      <c r="KNN57" s="481"/>
      <c r="KNO57" s="481"/>
      <c r="KNP57" s="481"/>
      <c r="KNQ57" s="481"/>
      <c r="KNR57" s="481"/>
      <c r="KNS57" s="481"/>
      <c r="KNT57" s="481"/>
      <c r="KNU57" s="481"/>
      <c r="KNV57" s="481"/>
      <c r="KNW57" s="481"/>
      <c r="KNX57" s="481"/>
      <c r="KNY57" s="481"/>
      <c r="KNZ57" s="481"/>
      <c r="KOA57" s="481"/>
      <c r="KOB57" s="481"/>
      <c r="KOC57" s="481"/>
      <c r="KOD57" s="481"/>
      <c r="KOE57" s="481"/>
      <c r="KOF57" s="481"/>
      <c r="KOG57" s="481"/>
      <c r="KOH57" s="481"/>
      <c r="KOI57" s="481"/>
      <c r="KOJ57" s="481"/>
      <c r="KOK57" s="481"/>
      <c r="KOL57" s="481"/>
      <c r="KOM57" s="481"/>
      <c r="KON57" s="481"/>
      <c r="KOO57" s="481"/>
      <c r="KOP57" s="481"/>
      <c r="KOQ57" s="481"/>
      <c r="KOR57" s="481"/>
      <c r="KOS57" s="481"/>
      <c r="KOT57" s="481"/>
      <c r="KOU57" s="481"/>
      <c r="KOV57" s="481"/>
      <c r="KOW57" s="481"/>
      <c r="KOX57" s="481"/>
      <c r="KOY57" s="481"/>
      <c r="KOZ57" s="481"/>
      <c r="KPA57" s="481"/>
      <c r="KPB57" s="481"/>
      <c r="KPC57" s="481"/>
      <c r="KPD57" s="481"/>
      <c r="KPE57" s="481"/>
      <c r="KPF57" s="481"/>
      <c r="KPG57" s="481"/>
      <c r="KPH57" s="481"/>
      <c r="KPI57" s="481"/>
      <c r="KPJ57" s="481"/>
      <c r="KPK57" s="481"/>
      <c r="KPL57" s="481"/>
      <c r="KPM57" s="481"/>
      <c r="KPN57" s="481"/>
      <c r="KPO57" s="481"/>
      <c r="KPP57" s="481"/>
      <c r="KPQ57" s="481"/>
      <c r="KPR57" s="481"/>
      <c r="KPS57" s="481"/>
      <c r="KPT57" s="481"/>
      <c r="KPU57" s="481"/>
      <c r="KPV57" s="481"/>
      <c r="KPW57" s="481"/>
      <c r="KPX57" s="481"/>
      <c r="KPY57" s="481"/>
      <c r="KPZ57" s="481"/>
      <c r="KQA57" s="481"/>
      <c r="KQB57" s="481"/>
      <c r="KQC57" s="481"/>
      <c r="KQD57" s="481"/>
      <c r="KQE57" s="481"/>
      <c r="KQF57" s="481"/>
      <c r="KQG57" s="481"/>
      <c r="KQH57" s="481"/>
      <c r="KQI57" s="481"/>
      <c r="KQJ57" s="481"/>
      <c r="KQK57" s="481"/>
      <c r="KQL57" s="481"/>
      <c r="KQM57" s="481"/>
      <c r="KQN57" s="481"/>
      <c r="KQO57" s="481"/>
      <c r="KQP57" s="481"/>
      <c r="KQQ57" s="481"/>
      <c r="KQR57" s="481"/>
      <c r="KQS57" s="481"/>
      <c r="KQT57" s="481"/>
      <c r="KQU57" s="481"/>
      <c r="KQV57" s="481"/>
      <c r="KQW57" s="481"/>
      <c r="KQX57" s="481"/>
      <c r="KQY57" s="481"/>
      <c r="KQZ57" s="481"/>
      <c r="KRA57" s="481"/>
      <c r="KRB57" s="481"/>
      <c r="KRC57" s="481"/>
      <c r="KRD57" s="481"/>
      <c r="KRE57" s="481"/>
      <c r="KRF57" s="481"/>
      <c r="KRG57" s="481"/>
      <c r="KRH57" s="481"/>
      <c r="KRI57" s="481"/>
      <c r="KRJ57" s="481"/>
      <c r="KRK57" s="481"/>
      <c r="KRL57" s="481"/>
      <c r="KRM57" s="481"/>
      <c r="KRN57" s="481"/>
      <c r="KRO57" s="481"/>
      <c r="KRP57" s="481"/>
      <c r="KRQ57" s="481"/>
      <c r="KRR57" s="481"/>
      <c r="KRS57" s="481"/>
      <c r="KRT57" s="481"/>
      <c r="KRU57" s="481"/>
      <c r="KRV57" s="481"/>
      <c r="KRW57" s="481"/>
      <c r="KRX57" s="481"/>
      <c r="KRY57" s="481"/>
      <c r="KRZ57" s="481"/>
      <c r="KSA57" s="481"/>
      <c r="KSB57" s="481"/>
      <c r="KSC57" s="481"/>
      <c r="KSD57" s="481"/>
      <c r="KSE57" s="481"/>
      <c r="KSF57" s="481"/>
      <c r="KSG57" s="481"/>
      <c r="KSH57" s="481"/>
      <c r="KSI57" s="481"/>
      <c r="KSJ57" s="481"/>
      <c r="KSK57" s="481"/>
      <c r="KSL57" s="481"/>
      <c r="KSM57" s="481"/>
      <c r="KSN57" s="481"/>
      <c r="KSO57" s="481"/>
      <c r="KSP57" s="481"/>
      <c r="KSQ57" s="481"/>
      <c r="KSR57" s="481"/>
      <c r="KSS57" s="481"/>
      <c r="KST57" s="481"/>
      <c r="KSU57" s="481"/>
      <c r="KSV57" s="481"/>
      <c r="KSW57" s="481"/>
      <c r="KSX57" s="481"/>
      <c r="KSY57" s="481"/>
      <c r="KSZ57" s="481"/>
      <c r="KTA57" s="481"/>
      <c r="KTB57" s="481"/>
      <c r="KTC57" s="481"/>
      <c r="KTD57" s="481"/>
      <c r="KTE57" s="481"/>
      <c r="KTF57" s="481"/>
      <c r="KTG57" s="481"/>
      <c r="KTH57" s="481"/>
      <c r="KTI57" s="481"/>
      <c r="KTJ57" s="481"/>
      <c r="KTK57" s="481"/>
      <c r="KTL57" s="481"/>
      <c r="KTM57" s="481"/>
      <c r="KTN57" s="481"/>
      <c r="KTO57" s="481"/>
      <c r="KTP57" s="481"/>
      <c r="KTQ57" s="481"/>
      <c r="KTR57" s="481"/>
      <c r="KTS57" s="481"/>
      <c r="KTT57" s="481"/>
      <c r="KTU57" s="481"/>
      <c r="KTV57" s="481"/>
      <c r="KTW57" s="481"/>
      <c r="KTX57" s="481"/>
      <c r="KTY57" s="481"/>
      <c r="KTZ57" s="481"/>
      <c r="KUA57" s="481"/>
      <c r="KUB57" s="481"/>
      <c r="KUC57" s="481"/>
      <c r="KUD57" s="481"/>
      <c r="KUE57" s="481"/>
      <c r="KUF57" s="481"/>
      <c r="KUG57" s="481"/>
      <c r="KUH57" s="481"/>
      <c r="KUI57" s="481"/>
      <c r="KUJ57" s="481"/>
      <c r="KUK57" s="481"/>
      <c r="KUL57" s="481"/>
      <c r="KUM57" s="481"/>
      <c r="KUN57" s="481"/>
      <c r="KUO57" s="481"/>
      <c r="KUP57" s="481"/>
      <c r="KUQ57" s="481"/>
      <c r="KUR57" s="481"/>
      <c r="KUS57" s="481"/>
      <c r="KUT57" s="481"/>
      <c r="KUU57" s="481"/>
      <c r="KUV57" s="481"/>
      <c r="KUW57" s="481"/>
      <c r="KUX57" s="481"/>
      <c r="KUY57" s="481"/>
      <c r="KUZ57" s="481"/>
      <c r="KVA57" s="481"/>
      <c r="KVB57" s="481"/>
      <c r="KVC57" s="481"/>
      <c r="KVD57" s="481"/>
      <c r="KVE57" s="481"/>
      <c r="KVF57" s="481"/>
      <c r="KVG57" s="481"/>
      <c r="KVH57" s="481"/>
      <c r="KVI57" s="481"/>
      <c r="KVJ57" s="481"/>
      <c r="KVK57" s="481"/>
      <c r="KVL57" s="481"/>
      <c r="KVM57" s="481"/>
      <c r="KVN57" s="481"/>
      <c r="KVO57" s="481"/>
      <c r="KVP57" s="481"/>
      <c r="KVQ57" s="481"/>
      <c r="KVR57" s="481"/>
      <c r="KVS57" s="481"/>
      <c r="KVT57" s="481"/>
      <c r="KVU57" s="481"/>
      <c r="KVV57" s="481"/>
      <c r="KVW57" s="481"/>
      <c r="KVX57" s="481"/>
      <c r="KVY57" s="481"/>
      <c r="KVZ57" s="481"/>
      <c r="KWA57" s="481"/>
      <c r="KWB57" s="481"/>
      <c r="KWC57" s="481"/>
      <c r="KWD57" s="481"/>
      <c r="KWE57" s="481"/>
      <c r="KWF57" s="481"/>
      <c r="KWG57" s="481"/>
      <c r="KWH57" s="481"/>
      <c r="KWI57" s="481"/>
      <c r="KWJ57" s="481"/>
      <c r="KWK57" s="481"/>
      <c r="KWL57" s="481"/>
      <c r="KWM57" s="481"/>
      <c r="KWN57" s="481"/>
      <c r="KWO57" s="481"/>
      <c r="KWP57" s="481"/>
      <c r="KWQ57" s="481"/>
      <c r="KWR57" s="481"/>
      <c r="KWS57" s="481"/>
      <c r="KWT57" s="481"/>
      <c r="KWU57" s="481"/>
      <c r="KWV57" s="481"/>
      <c r="KWW57" s="481"/>
      <c r="KWX57" s="481"/>
      <c r="KWY57" s="481"/>
      <c r="KWZ57" s="481"/>
      <c r="KXA57" s="481"/>
      <c r="KXB57" s="481"/>
      <c r="KXC57" s="481"/>
      <c r="KXD57" s="481"/>
      <c r="KXE57" s="481"/>
      <c r="KXF57" s="481"/>
      <c r="KXG57" s="481"/>
      <c r="KXH57" s="481"/>
      <c r="KXI57" s="481"/>
      <c r="KXJ57" s="481"/>
      <c r="KXK57" s="481"/>
      <c r="KXL57" s="481"/>
      <c r="KXM57" s="481"/>
      <c r="KXN57" s="481"/>
      <c r="KXO57" s="481"/>
      <c r="KXP57" s="481"/>
      <c r="KXQ57" s="481"/>
      <c r="KXR57" s="481"/>
      <c r="KXS57" s="481"/>
      <c r="KXT57" s="481"/>
      <c r="KXU57" s="481"/>
      <c r="KXV57" s="481"/>
      <c r="KXW57" s="481"/>
      <c r="KXX57" s="481"/>
      <c r="KXY57" s="481"/>
      <c r="KXZ57" s="481"/>
      <c r="KYA57" s="481"/>
      <c r="KYB57" s="481"/>
      <c r="KYC57" s="481"/>
      <c r="KYD57" s="481"/>
      <c r="KYE57" s="481"/>
      <c r="KYF57" s="481"/>
      <c r="KYG57" s="481"/>
      <c r="KYH57" s="481"/>
      <c r="KYI57" s="481"/>
      <c r="KYJ57" s="481"/>
      <c r="KYK57" s="481"/>
      <c r="KYL57" s="481"/>
      <c r="KYM57" s="481"/>
      <c r="KYN57" s="481"/>
      <c r="KYO57" s="481"/>
      <c r="KYP57" s="481"/>
      <c r="KYQ57" s="481"/>
      <c r="KYR57" s="481"/>
      <c r="KYS57" s="481"/>
      <c r="KYT57" s="481"/>
      <c r="KYU57" s="481"/>
      <c r="KYV57" s="481"/>
      <c r="KYW57" s="481"/>
      <c r="KYX57" s="481"/>
      <c r="KYY57" s="481"/>
      <c r="KYZ57" s="481"/>
      <c r="KZA57" s="481"/>
      <c r="KZB57" s="481"/>
      <c r="KZC57" s="481"/>
      <c r="KZD57" s="481"/>
      <c r="KZE57" s="481"/>
      <c r="KZF57" s="481"/>
      <c r="KZG57" s="481"/>
      <c r="KZH57" s="481"/>
      <c r="KZI57" s="481"/>
      <c r="KZJ57" s="481"/>
      <c r="KZK57" s="481"/>
      <c r="KZL57" s="481"/>
      <c r="KZM57" s="481"/>
      <c r="KZN57" s="481"/>
      <c r="KZO57" s="481"/>
      <c r="KZP57" s="481"/>
      <c r="KZQ57" s="481"/>
      <c r="KZR57" s="481"/>
      <c r="KZS57" s="481"/>
      <c r="KZT57" s="481"/>
      <c r="KZU57" s="481"/>
      <c r="KZV57" s="481"/>
      <c r="KZW57" s="481"/>
      <c r="KZX57" s="481"/>
      <c r="KZY57" s="481"/>
      <c r="KZZ57" s="481"/>
      <c r="LAA57" s="481"/>
      <c r="LAB57" s="481"/>
      <c r="LAC57" s="481"/>
      <c r="LAD57" s="481"/>
      <c r="LAE57" s="481"/>
      <c r="LAF57" s="481"/>
      <c r="LAG57" s="481"/>
      <c r="LAH57" s="481"/>
      <c r="LAI57" s="481"/>
      <c r="LAJ57" s="481"/>
      <c r="LAK57" s="481"/>
      <c r="LAL57" s="481"/>
      <c r="LAM57" s="481"/>
      <c r="LAN57" s="481"/>
      <c r="LAO57" s="481"/>
      <c r="LAP57" s="481"/>
      <c r="LAQ57" s="481"/>
      <c r="LAR57" s="481"/>
      <c r="LAS57" s="481"/>
      <c r="LAT57" s="481"/>
      <c r="LAU57" s="481"/>
      <c r="LAV57" s="481"/>
      <c r="LAW57" s="481"/>
      <c r="LAX57" s="481"/>
      <c r="LAY57" s="481"/>
      <c r="LAZ57" s="481"/>
      <c r="LBA57" s="481"/>
      <c r="LBB57" s="481"/>
      <c r="LBC57" s="481"/>
      <c r="LBD57" s="481"/>
      <c r="LBE57" s="481"/>
      <c r="LBF57" s="481"/>
      <c r="LBG57" s="481"/>
      <c r="LBH57" s="481"/>
      <c r="LBI57" s="481"/>
      <c r="LBJ57" s="481"/>
      <c r="LBK57" s="481"/>
      <c r="LBL57" s="481"/>
      <c r="LBM57" s="481"/>
      <c r="LBN57" s="481"/>
      <c r="LBO57" s="481"/>
      <c r="LBP57" s="481"/>
      <c r="LBQ57" s="481"/>
      <c r="LBR57" s="481"/>
      <c r="LBS57" s="481"/>
      <c r="LBT57" s="481"/>
      <c r="LBU57" s="481"/>
      <c r="LBV57" s="481"/>
      <c r="LBW57" s="481"/>
      <c r="LBX57" s="481"/>
      <c r="LBY57" s="481"/>
      <c r="LBZ57" s="481"/>
      <c r="LCA57" s="481"/>
      <c r="LCB57" s="481"/>
      <c r="LCC57" s="481"/>
      <c r="LCD57" s="481"/>
      <c r="LCE57" s="481"/>
      <c r="LCF57" s="481"/>
      <c r="LCG57" s="481"/>
      <c r="LCH57" s="481"/>
      <c r="LCI57" s="481"/>
      <c r="LCJ57" s="481"/>
      <c r="LCK57" s="481"/>
      <c r="LCL57" s="481"/>
      <c r="LCM57" s="481"/>
      <c r="LCN57" s="481"/>
      <c r="LCO57" s="481"/>
      <c r="LCP57" s="481"/>
      <c r="LCQ57" s="481"/>
      <c r="LCR57" s="481"/>
      <c r="LCS57" s="481"/>
      <c r="LCT57" s="481"/>
      <c r="LCU57" s="481"/>
      <c r="LCV57" s="481"/>
      <c r="LCW57" s="481"/>
      <c r="LCX57" s="481"/>
      <c r="LCY57" s="481"/>
      <c r="LCZ57" s="481"/>
      <c r="LDA57" s="481"/>
      <c r="LDB57" s="481"/>
      <c r="LDC57" s="481"/>
      <c r="LDD57" s="481"/>
      <c r="LDE57" s="481"/>
      <c r="LDF57" s="481"/>
      <c r="LDG57" s="481"/>
      <c r="LDH57" s="481"/>
      <c r="LDI57" s="481"/>
      <c r="LDJ57" s="481"/>
      <c r="LDK57" s="481"/>
      <c r="LDL57" s="481"/>
      <c r="LDM57" s="481"/>
      <c r="LDN57" s="481"/>
      <c r="LDO57" s="481"/>
      <c r="LDP57" s="481"/>
      <c r="LDQ57" s="481"/>
      <c r="LDR57" s="481"/>
      <c r="LDS57" s="481"/>
      <c r="LDT57" s="481"/>
      <c r="LDU57" s="481"/>
      <c r="LDV57" s="481"/>
      <c r="LDW57" s="481"/>
      <c r="LDX57" s="481"/>
      <c r="LDY57" s="481"/>
      <c r="LDZ57" s="481"/>
      <c r="LEA57" s="481"/>
      <c r="LEB57" s="481"/>
      <c r="LEC57" s="481"/>
      <c r="LED57" s="481"/>
      <c r="LEE57" s="481"/>
      <c r="LEF57" s="481"/>
      <c r="LEG57" s="481"/>
      <c r="LEH57" s="481"/>
      <c r="LEI57" s="481"/>
      <c r="LEJ57" s="481"/>
      <c r="LEK57" s="481"/>
      <c r="LEL57" s="481"/>
      <c r="LEM57" s="481"/>
      <c r="LEN57" s="481"/>
      <c r="LEO57" s="481"/>
      <c r="LEP57" s="481"/>
      <c r="LEQ57" s="481"/>
      <c r="LER57" s="481"/>
      <c r="LES57" s="481"/>
      <c r="LET57" s="481"/>
      <c r="LEU57" s="481"/>
      <c r="LEV57" s="481"/>
      <c r="LEW57" s="481"/>
      <c r="LEX57" s="481"/>
      <c r="LEY57" s="481"/>
      <c r="LEZ57" s="481"/>
      <c r="LFA57" s="481"/>
      <c r="LFB57" s="481"/>
      <c r="LFC57" s="481"/>
      <c r="LFD57" s="481"/>
      <c r="LFE57" s="481"/>
      <c r="LFF57" s="481"/>
      <c r="LFG57" s="481"/>
      <c r="LFH57" s="481"/>
      <c r="LFI57" s="481"/>
      <c r="LFJ57" s="481"/>
      <c r="LFK57" s="481"/>
      <c r="LFL57" s="481"/>
      <c r="LFM57" s="481"/>
      <c r="LFN57" s="481"/>
      <c r="LFO57" s="481"/>
      <c r="LFP57" s="481"/>
      <c r="LFQ57" s="481"/>
      <c r="LFR57" s="481"/>
      <c r="LFS57" s="481"/>
      <c r="LFT57" s="481"/>
      <c r="LFU57" s="481"/>
      <c r="LFV57" s="481"/>
      <c r="LFW57" s="481"/>
      <c r="LFX57" s="481"/>
      <c r="LFY57" s="481"/>
      <c r="LFZ57" s="481"/>
      <c r="LGA57" s="481"/>
      <c r="LGB57" s="481"/>
      <c r="LGC57" s="481"/>
      <c r="LGD57" s="481"/>
      <c r="LGE57" s="481"/>
      <c r="LGF57" s="481"/>
      <c r="LGG57" s="481"/>
      <c r="LGH57" s="481"/>
      <c r="LGI57" s="481"/>
      <c r="LGJ57" s="481"/>
      <c r="LGK57" s="481"/>
      <c r="LGL57" s="481"/>
      <c r="LGM57" s="481"/>
      <c r="LGN57" s="481"/>
      <c r="LGO57" s="481"/>
      <c r="LGP57" s="481"/>
      <c r="LGQ57" s="481"/>
      <c r="LGR57" s="481"/>
      <c r="LGS57" s="481"/>
      <c r="LGT57" s="481"/>
      <c r="LGU57" s="481"/>
      <c r="LGV57" s="481"/>
      <c r="LGW57" s="481"/>
      <c r="LGX57" s="481"/>
      <c r="LGY57" s="481"/>
      <c r="LGZ57" s="481"/>
      <c r="LHA57" s="481"/>
      <c r="LHB57" s="481"/>
      <c r="LHC57" s="481"/>
      <c r="LHD57" s="481"/>
      <c r="LHE57" s="481"/>
      <c r="LHF57" s="481"/>
      <c r="LHG57" s="481"/>
      <c r="LHH57" s="481"/>
      <c r="LHI57" s="481"/>
      <c r="LHJ57" s="481"/>
      <c r="LHK57" s="481"/>
      <c r="LHL57" s="481"/>
      <c r="LHM57" s="481"/>
      <c r="LHN57" s="481"/>
      <c r="LHO57" s="481"/>
      <c r="LHP57" s="481"/>
      <c r="LHQ57" s="481"/>
      <c r="LHR57" s="481"/>
      <c r="LHS57" s="481"/>
      <c r="LHT57" s="481"/>
      <c r="LHU57" s="481"/>
      <c r="LHV57" s="481"/>
      <c r="LHW57" s="481"/>
      <c r="LHX57" s="481"/>
      <c r="LHY57" s="481"/>
      <c r="LHZ57" s="481"/>
      <c r="LIA57" s="481"/>
      <c r="LIB57" s="481"/>
      <c r="LIC57" s="481"/>
      <c r="LID57" s="481"/>
      <c r="LIE57" s="481"/>
      <c r="LIF57" s="481"/>
      <c r="LIG57" s="481"/>
      <c r="LIH57" s="481"/>
      <c r="LII57" s="481"/>
      <c r="LIJ57" s="481"/>
      <c r="LIK57" s="481"/>
      <c r="LIL57" s="481"/>
      <c r="LIM57" s="481"/>
      <c r="LIN57" s="481"/>
      <c r="LIO57" s="481"/>
      <c r="LIP57" s="481"/>
      <c r="LIQ57" s="481"/>
      <c r="LIR57" s="481"/>
      <c r="LIS57" s="481"/>
      <c r="LIT57" s="481"/>
      <c r="LIU57" s="481"/>
      <c r="LIV57" s="481"/>
      <c r="LIW57" s="481"/>
      <c r="LIX57" s="481"/>
      <c r="LIY57" s="481"/>
      <c r="LIZ57" s="481"/>
      <c r="LJA57" s="481"/>
      <c r="LJB57" s="481"/>
      <c r="LJC57" s="481"/>
      <c r="LJD57" s="481"/>
      <c r="LJE57" s="481"/>
      <c r="LJF57" s="481"/>
      <c r="LJG57" s="481"/>
      <c r="LJH57" s="481"/>
      <c r="LJI57" s="481"/>
      <c r="LJJ57" s="481"/>
      <c r="LJK57" s="481"/>
      <c r="LJL57" s="481"/>
      <c r="LJM57" s="481"/>
      <c r="LJN57" s="481"/>
      <c r="LJO57" s="481"/>
      <c r="LJP57" s="481"/>
      <c r="LJQ57" s="481"/>
      <c r="LJR57" s="481"/>
      <c r="LJS57" s="481"/>
      <c r="LJT57" s="481"/>
      <c r="LJU57" s="481"/>
      <c r="LJV57" s="481"/>
      <c r="LJW57" s="481"/>
      <c r="LJX57" s="481"/>
      <c r="LJY57" s="481"/>
      <c r="LJZ57" s="481"/>
      <c r="LKA57" s="481"/>
      <c r="LKB57" s="481"/>
      <c r="LKC57" s="481"/>
      <c r="LKD57" s="481"/>
      <c r="LKE57" s="481"/>
      <c r="LKF57" s="481"/>
      <c r="LKG57" s="481"/>
      <c r="LKH57" s="481"/>
      <c r="LKI57" s="481"/>
      <c r="LKJ57" s="481"/>
      <c r="LKK57" s="481"/>
      <c r="LKL57" s="481"/>
      <c r="LKM57" s="481"/>
      <c r="LKN57" s="481"/>
      <c r="LKO57" s="481"/>
      <c r="LKP57" s="481"/>
      <c r="LKQ57" s="481"/>
      <c r="LKR57" s="481"/>
      <c r="LKS57" s="481"/>
      <c r="LKT57" s="481"/>
      <c r="LKU57" s="481"/>
      <c r="LKV57" s="481"/>
      <c r="LKW57" s="481"/>
      <c r="LKX57" s="481"/>
      <c r="LKY57" s="481"/>
      <c r="LKZ57" s="481"/>
      <c r="LLA57" s="481"/>
      <c r="LLB57" s="481"/>
      <c r="LLC57" s="481"/>
      <c r="LLD57" s="481"/>
      <c r="LLE57" s="481"/>
      <c r="LLF57" s="481"/>
      <c r="LLG57" s="481"/>
      <c r="LLH57" s="481"/>
      <c r="LLI57" s="481"/>
      <c r="LLJ57" s="481"/>
      <c r="LLK57" s="481"/>
      <c r="LLL57" s="481"/>
      <c r="LLM57" s="481"/>
      <c r="LLN57" s="481"/>
      <c r="LLO57" s="481"/>
      <c r="LLP57" s="481"/>
      <c r="LLQ57" s="481"/>
      <c r="LLR57" s="481"/>
      <c r="LLS57" s="481"/>
      <c r="LLT57" s="481"/>
      <c r="LLU57" s="481"/>
      <c r="LLV57" s="481"/>
      <c r="LLW57" s="481"/>
      <c r="LLX57" s="481"/>
      <c r="LLY57" s="481"/>
      <c r="LLZ57" s="481"/>
      <c r="LMA57" s="481"/>
      <c r="LMB57" s="481"/>
      <c r="LMC57" s="481"/>
      <c r="LMD57" s="481"/>
      <c r="LME57" s="481"/>
      <c r="LMF57" s="481"/>
      <c r="LMG57" s="481"/>
      <c r="LMH57" s="481"/>
      <c r="LMI57" s="481"/>
      <c r="LMJ57" s="481"/>
      <c r="LMK57" s="481"/>
      <c r="LML57" s="481"/>
      <c r="LMM57" s="481"/>
      <c r="LMN57" s="481"/>
      <c r="LMO57" s="481"/>
      <c r="LMP57" s="481"/>
      <c r="LMQ57" s="481"/>
      <c r="LMR57" s="481"/>
      <c r="LMS57" s="481"/>
      <c r="LMT57" s="481"/>
      <c r="LMU57" s="481"/>
      <c r="LMV57" s="481"/>
      <c r="LMW57" s="481"/>
      <c r="LMX57" s="481"/>
      <c r="LMY57" s="481"/>
      <c r="LMZ57" s="481"/>
      <c r="LNA57" s="481"/>
      <c r="LNB57" s="481"/>
      <c r="LNC57" s="481"/>
      <c r="LND57" s="481"/>
      <c r="LNE57" s="481"/>
      <c r="LNF57" s="481"/>
      <c r="LNG57" s="481"/>
      <c r="LNH57" s="481"/>
      <c r="LNI57" s="481"/>
      <c r="LNJ57" s="481"/>
      <c r="LNK57" s="481"/>
      <c r="LNL57" s="481"/>
      <c r="LNM57" s="481"/>
      <c r="LNN57" s="481"/>
      <c r="LNO57" s="481"/>
      <c r="LNP57" s="481"/>
      <c r="LNQ57" s="481"/>
      <c r="LNR57" s="481"/>
      <c r="LNS57" s="481"/>
      <c r="LNT57" s="481"/>
      <c r="LNU57" s="481"/>
      <c r="LNV57" s="481"/>
      <c r="LNW57" s="481"/>
      <c r="LNX57" s="481"/>
      <c r="LNY57" s="481"/>
      <c r="LNZ57" s="481"/>
      <c r="LOA57" s="481"/>
      <c r="LOB57" s="481"/>
      <c r="LOC57" s="481"/>
      <c r="LOD57" s="481"/>
      <c r="LOE57" s="481"/>
      <c r="LOF57" s="481"/>
      <c r="LOG57" s="481"/>
      <c r="LOH57" s="481"/>
      <c r="LOI57" s="481"/>
      <c r="LOJ57" s="481"/>
      <c r="LOK57" s="481"/>
      <c r="LOL57" s="481"/>
      <c r="LOM57" s="481"/>
      <c r="LON57" s="481"/>
      <c r="LOO57" s="481"/>
      <c r="LOP57" s="481"/>
      <c r="LOQ57" s="481"/>
      <c r="LOR57" s="481"/>
      <c r="LOS57" s="481"/>
      <c r="LOT57" s="481"/>
      <c r="LOU57" s="481"/>
      <c r="LOV57" s="481"/>
      <c r="LOW57" s="481"/>
      <c r="LOX57" s="481"/>
      <c r="LOY57" s="481"/>
      <c r="LOZ57" s="481"/>
      <c r="LPA57" s="481"/>
      <c r="LPB57" s="481"/>
      <c r="LPC57" s="481"/>
      <c r="LPD57" s="481"/>
      <c r="LPE57" s="481"/>
      <c r="LPF57" s="481"/>
      <c r="LPG57" s="481"/>
      <c r="LPH57" s="481"/>
      <c r="LPI57" s="481"/>
      <c r="LPJ57" s="481"/>
      <c r="LPK57" s="481"/>
      <c r="LPL57" s="481"/>
      <c r="LPM57" s="481"/>
      <c r="LPN57" s="481"/>
      <c r="LPO57" s="481"/>
      <c r="LPP57" s="481"/>
      <c r="LPQ57" s="481"/>
      <c r="LPR57" s="481"/>
      <c r="LPS57" s="481"/>
      <c r="LPT57" s="481"/>
      <c r="LPU57" s="481"/>
      <c r="LPV57" s="481"/>
      <c r="LPW57" s="481"/>
      <c r="LPX57" s="481"/>
      <c r="LPY57" s="481"/>
      <c r="LPZ57" s="481"/>
      <c r="LQA57" s="481"/>
      <c r="LQB57" s="481"/>
      <c r="LQC57" s="481"/>
      <c r="LQD57" s="481"/>
      <c r="LQE57" s="481"/>
      <c r="LQF57" s="481"/>
      <c r="LQG57" s="481"/>
      <c r="LQH57" s="481"/>
      <c r="LQI57" s="481"/>
      <c r="LQJ57" s="481"/>
      <c r="LQK57" s="481"/>
      <c r="LQL57" s="481"/>
      <c r="LQM57" s="481"/>
      <c r="LQN57" s="481"/>
      <c r="LQO57" s="481"/>
      <c r="LQP57" s="481"/>
      <c r="LQQ57" s="481"/>
      <c r="LQR57" s="481"/>
      <c r="LQS57" s="481"/>
      <c r="LQT57" s="481"/>
      <c r="LQU57" s="481"/>
      <c r="LQV57" s="481"/>
      <c r="LQW57" s="481"/>
      <c r="LQX57" s="481"/>
      <c r="LQY57" s="481"/>
      <c r="LQZ57" s="481"/>
      <c r="LRA57" s="481"/>
      <c r="LRB57" s="481"/>
      <c r="LRC57" s="481"/>
      <c r="LRD57" s="481"/>
      <c r="LRE57" s="481"/>
      <c r="LRF57" s="481"/>
      <c r="LRG57" s="481"/>
      <c r="LRH57" s="481"/>
      <c r="LRI57" s="481"/>
      <c r="LRJ57" s="481"/>
      <c r="LRK57" s="481"/>
      <c r="LRL57" s="481"/>
      <c r="LRM57" s="481"/>
      <c r="LRN57" s="481"/>
      <c r="LRO57" s="481"/>
      <c r="LRP57" s="481"/>
      <c r="LRQ57" s="481"/>
      <c r="LRR57" s="481"/>
      <c r="LRS57" s="481"/>
      <c r="LRT57" s="481"/>
      <c r="LRU57" s="481"/>
      <c r="LRV57" s="481"/>
      <c r="LRW57" s="481"/>
      <c r="LRX57" s="481"/>
      <c r="LRY57" s="481"/>
      <c r="LRZ57" s="481"/>
      <c r="LSA57" s="481"/>
      <c r="LSB57" s="481"/>
      <c r="LSC57" s="481"/>
      <c r="LSD57" s="481"/>
      <c r="LSE57" s="481"/>
      <c r="LSF57" s="481"/>
      <c r="LSG57" s="481"/>
      <c r="LSH57" s="481"/>
      <c r="LSI57" s="481"/>
      <c r="LSJ57" s="481"/>
      <c r="LSK57" s="481"/>
      <c r="LSL57" s="481"/>
      <c r="LSM57" s="481"/>
      <c r="LSN57" s="481"/>
      <c r="LSO57" s="481"/>
      <c r="LSP57" s="481"/>
      <c r="LSQ57" s="481"/>
      <c r="LSR57" s="481"/>
      <c r="LSS57" s="481"/>
      <c r="LST57" s="481"/>
      <c r="LSU57" s="481"/>
      <c r="LSV57" s="481"/>
      <c r="LSW57" s="481"/>
      <c r="LSX57" s="481"/>
      <c r="LSY57" s="481"/>
      <c r="LSZ57" s="481"/>
      <c r="LTA57" s="481"/>
      <c r="LTB57" s="481"/>
      <c r="LTC57" s="481"/>
      <c r="LTD57" s="481"/>
      <c r="LTE57" s="481"/>
      <c r="LTF57" s="481"/>
      <c r="LTG57" s="481"/>
      <c r="LTH57" s="481"/>
      <c r="LTI57" s="481"/>
      <c r="LTJ57" s="481"/>
      <c r="LTK57" s="481"/>
      <c r="LTL57" s="481"/>
      <c r="LTM57" s="481"/>
      <c r="LTN57" s="481"/>
      <c r="LTO57" s="481"/>
      <c r="LTP57" s="481"/>
      <c r="LTQ57" s="481"/>
      <c r="LTR57" s="481"/>
      <c r="LTS57" s="481"/>
      <c r="LTT57" s="481"/>
      <c r="LTU57" s="481"/>
      <c r="LTV57" s="481"/>
      <c r="LTW57" s="481"/>
      <c r="LTX57" s="481"/>
      <c r="LTY57" s="481"/>
      <c r="LTZ57" s="481"/>
      <c r="LUA57" s="481"/>
      <c r="LUB57" s="481"/>
      <c r="LUC57" s="481"/>
      <c r="LUD57" s="481"/>
      <c r="LUE57" s="481"/>
      <c r="LUF57" s="481"/>
      <c r="LUG57" s="481"/>
      <c r="LUH57" s="481"/>
      <c r="LUI57" s="481"/>
      <c r="LUJ57" s="481"/>
      <c r="LUK57" s="481"/>
      <c r="LUL57" s="481"/>
      <c r="LUM57" s="481"/>
      <c r="LUN57" s="481"/>
      <c r="LUO57" s="481"/>
      <c r="LUP57" s="481"/>
      <c r="LUQ57" s="481"/>
      <c r="LUR57" s="481"/>
      <c r="LUS57" s="481"/>
      <c r="LUT57" s="481"/>
      <c r="LUU57" s="481"/>
      <c r="LUV57" s="481"/>
      <c r="LUW57" s="481"/>
      <c r="LUX57" s="481"/>
      <c r="LUY57" s="481"/>
      <c r="LUZ57" s="481"/>
      <c r="LVA57" s="481"/>
      <c r="LVB57" s="481"/>
      <c r="LVC57" s="481"/>
      <c r="LVD57" s="481"/>
      <c r="LVE57" s="481"/>
      <c r="LVF57" s="481"/>
      <c r="LVG57" s="481"/>
      <c r="LVH57" s="481"/>
      <c r="LVI57" s="481"/>
      <c r="LVJ57" s="481"/>
      <c r="LVK57" s="481"/>
      <c r="LVL57" s="481"/>
      <c r="LVM57" s="481"/>
      <c r="LVN57" s="481"/>
      <c r="LVO57" s="481"/>
      <c r="LVP57" s="481"/>
      <c r="LVQ57" s="481"/>
      <c r="LVR57" s="481"/>
      <c r="LVS57" s="481"/>
      <c r="LVT57" s="481"/>
      <c r="LVU57" s="481"/>
      <c r="LVV57" s="481"/>
      <c r="LVW57" s="481"/>
      <c r="LVX57" s="481"/>
      <c r="LVY57" s="481"/>
      <c r="LVZ57" s="481"/>
      <c r="LWA57" s="481"/>
      <c r="LWB57" s="481"/>
      <c r="LWC57" s="481"/>
      <c r="LWD57" s="481"/>
      <c r="LWE57" s="481"/>
      <c r="LWF57" s="481"/>
      <c r="LWG57" s="481"/>
      <c r="LWH57" s="481"/>
      <c r="LWI57" s="481"/>
      <c r="LWJ57" s="481"/>
      <c r="LWK57" s="481"/>
      <c r="LWL57" s="481"/>
      <c r="LWM57" s="481"/>
      <c r="LWN57" s="481"/>
      <c r="LWO57" s="481"/>
      <c r="LWP57" s="481"/>
      <c r="LWQ57" s="481"/>
      <c r="LWR57" s="481"/>
      <c r="LWS57" s="481"/>
      <c r="LWT57" s="481"/>
      <c r="LWU57" s="481"/>
      <c r="LWV57" s="481"/>
      <c r="LWW57" s="481"/>
      <c r="LWX57" s="481"/>
      <c r="LWY57" s="481"/>
      <c r="LWZ57" s="481"/>
      <c r="LXA57" s="481"/>
      <c r="LXB57" s="481"/>
      <c r="LXC57" s="481"/>
      <c r="LXD57" s="481"/>
      <c r="LXE57" s="481"/>
      <c r="LXF57" s="481"/>
      <c r="LXG57" s="481"/>
      <c r="LXH57" s="481"/>
      <c r="LXI57" s="481"/>
      <c r="LXJ57" s="481"/>
      <c r="LXK57" s="481"/>
      <c r="LXL57" s="481"/>
      <c r="LXM57" s="481"/>
      <c r="LXN57" s="481"/>
      <c r="LXO57" s="481"/>
      <c r="LXP57" s="481"/>
      <c r="LXQ57" s="481"/>
      <c r="LXR57" s="481"/>
      <c r="LXS57" s="481"/>
      <c r="LXT57" s="481"/>
      <c r="LXU57" s="481"/>
      <c r="LXV57" s="481"/>
      <c r="LXW57" s="481"/>
      <c r="LXX57" s="481"/>
      <c r="LXY57" s="481"/>
      <c r="LXZ57" s="481"/>
      <c r="LYA57" s="481"/>
      <c r="LYB57" s="481"/>
      <c r="LYC57" s="481"/>
      <c r="LYD57" s="481"/>
      <c r="LYE57" s="481"/>
      <c r="LYF57" s="481"/>
      <c r="LYG57" s="481"/>
      <c r="LYH57" s="481"/>
      <c r="LYI57" s="481"/>
      <c r="LYJ57" s="481"/>
      <c r="LYK57" s="481"/>
      <c r="LYL57" s="481"/>
      <c r="LYM57" s="481"/>
      <c r="LYN57" s="481"/>
      <c r="LYO57" s="481"/>
      <c r="LYP57" s="481"/>
      <c r="LYQ57" s="481"/>
      <c r="LYR57" s="481"/>
      <c r="LYS57" s="481"/>
      <c r="LYT57" s="481"/>
      <c r="LYU57" s="481"/>
      <c r="LYV57" s="481"/>
      <c r="LYW57" s="481"/>
      <c r="LYX57" s="481"/>
      <c r="LYY57" s="481"/>
      <c r="LYZ57" s="481"/>
      <c r="LZA57" s="481"/>
      <c r="LZB57" s="481"/>
      <c r="LZC57" s="481"/>
      <c r="LZD57" s="481"/>
      <c r="LZE57" s="481"/>
      <c r="LZF57" s="481"/>
      <c r="LZG57" s="481"/>
      <c r="LZH57" s="481"/>
      <c r="LZI57" s="481"/>
      <c r="LZJ57" s="481"/>
      <c r="LZK57" s="481"/>
      <c r="LZL57" s="481"/>
      <c r="LZM57" s="481"/>
      <c r="LZN57" s="481"/>
      <c r="LZO57" s="481"/>
      <c r="LZP57" s="481"/>
      <c r="LZQ57" s="481"/>
      <c r="LZR57" s="481"/>
      <c r="LZS57" s="481"/>
      <c r="LZT57" s="481"/>
      <c r="LZU57" s="481"/>
      <c r="LZV57" s="481"/>
      <c r="LZW57" s="481"/>
      <c r="LZX57" s="481"/>
      <c r="LZY57" s="481"/>
      <c r="LZZ57" s="481"/>
      <c r="MAA57" s="481"/>
      <c r="MAB57" s="481"/>
      <c r="MAC57" s="481"/>
      <c r="MAD57" s="481"/>
      <c r="MAE57" s="481"/>
      <c r="MAF57" s="481"/>
      <c r="MAG57" s="481"/>
      <c r="MAH57" s="481"/>
      <c r="MAI57" s="481"/>
      <c r="MAJ57" s="481"/>
      <c r="MAK57" s="481"/>
      <c r="MAL57" s="481"/>
      <c r="MAM57" s="481"/>
      <c r="MAN57" s="481"/>
      <c r="MAO57" s="481"/>
      <c r="MAP57" s="481"/>
      <c r="MAQ57" s="481"/>
      <c r="MAR57" s="481"/>
      <c r="MAS57" s="481"/>
      <c r="MAT57" s="481"/>
      <c r="MAU57" s="481"/>
      <c r="MAV57" s="481"/>
      <c r="MAW57" s="481"/>
      <c r="MAX57" s="481"/>
      <c r="MAY57" s="481"/>
      <c r="MAZ57" s="481"/>
      <c r="MBA57" s="481"/>
      <c r="MBB57" s="481"/>
      <c r="MBC57" s="481"/>
      <c r="MBD57" s="481"/>
      <c r="MBE57" s="481"/>
      <c r="MBF57" s="481"/>
      <c r="MBG57" s="481"/>
      <c r="MBH57" s="481"/>
      <c r="MBI57" s="481"/>
      <c r="MBJ57" s="481"/>
      <c r="MBK57" s="481"/>
      <c r="MBL57" s="481"/>
      <c r="MBM57" s="481"/>
      <c r="MBN57" s="481"/>
      <c r="MBO57" s="481"/>
      <c r="MBP57" s="481"/>
      <c r="MBQ57" s="481"/>
      <c r="MBR57" s="481"/>
      <c r="MBS57" s="481"/>
      <c r="MBT57" s="481"/>
      <c r="MBU57" s="481"/>
      <c r="MBV57" s="481"/>
      <c r="MBW57" s="481"/>
      <c r="MBX57" s="481"/>
      <c r="MBY57" s="481"/>
      <c r="MBZ57" s="481"/>
      <c r="MCA57" s="481"/>
      <c r="MCB57" s="481"/>
      <c r="MCC57" s="481"/>
      <c r="MCD57" s="481"/>
      <c r="MCE57" s="481"/>
      <c r="MCF57" s="481"/>
      <c r="MCG57" s="481"/>
      <c r="MCH57" s="481"/>
      <c r="MCI57" s="481"/>
      <c r="MCJ57" s="481"/>
      <c r="MCK57" s="481"/>
      <c r="MCL57" s="481"/>
      <c r="MCM57" s="481"/>
      <c r="MCN57" s="481"/>
      <c r="MCO57" s="481"/>
      <c r="MCP57" s="481"/>
      <c r="MCQ57" s="481"/>
      <c r="MCR57" s="481"/>
      <c r="MCS57" s="481"/>
      <c r="MCT57" s="481"/>
      <c r="MCU57" s="481"/>
      <c r="MCV57" s="481"/>
      <c r="MCW57" s="481"/>
      <c r="MCX57" s="481"/>
      <c r="MCY57" s="481"/>
      <c r="MCZ57" s="481"/>
      <c r="MDA57" s="481"/>
      <c r="MDB57" s="481"/>
      <c r="MDC57" s="481"/>
      <c r="MDD57" s="481"/>
      <c r="MDE57" s="481"/>
      <c r="MDF57" s="481"/>
      <c r="MDG57" s="481"/>
      <c r="MDH57" s="481"/>
      <c r="MDI57" s="481"/>
      <c r="MDJ57" s="481"/>
      <c r="MDK57" s="481"/>
      <c r="MDL57" s="481"/>
      <c r="MDM57" s="481"/>
      <c r="MDN57" s="481"/>
      <c r="MDO57" s="481"/>
      <c r="MDP57" s="481"/>
      <c r="MDQ57" s="481"/>
      <c r="MDR57" s="481"/>
      <c r="MDS57" s="481"/>
      <c r="MDT57" s="481"/>
      <c r="MDU57" s="481"/>
      <c r="MDV57" s="481"/>
      <c r="MDW57" s="481"/>
      <c r="MDX57" s="481"/>
      <c r="MDY57" s="481"/>
      <c r="MDZ57" s="481"/>
      <c r="MEA57" s="481"/>
      <c r="MEB57" s="481"/>
      <c r="MEC57" s="481"/>
      <c r="MED57" s="481"/>
      <c r="MEE57" s="481"/>
      <c r="MEF57" s="481"/>
      <c r="MEG57" s="481"/>
      <c r="MEH57" s="481"/>
      <c r="MEI57" s="481"/>
      <c r="MEJ57" s="481"/>
      <c r="MEK57" s="481"/>
      <c r="MEL57" s="481"/>
      <c r="MEM57" s="481"/>
      <c r="MEN57" s="481"/>
      <c r="MEO57" s="481"/>
      <c r="MEP57" s="481"/>
      <c r="MEQ57" s="481"/>
      <c r="MER57" s="481"/>
      <c r="MES57" s="481"/>
      <c r="MET57" s="481"/>
      <c r="MEU57" s="481"/>
      <c r="MEV57" s="481"/>
      <c r="MEW57" s="481"/>
      <c r="MEX57" s="481"/>
      <c r="MEY57" s="481"/>
      <c r="MEZ57" s="481"/>
      <c r="MFA57" s="481"/>
      <c r="MFB57" s="481"/>
      <c r="MFC57" s="481"/>
      <c r="MFD57" s="481"/>
      <c r="MFE57" s="481"/>
      <c r="MFF57" s="481"/>
      <c r="MFG57" s="481"/>
      <c r="MFH57" s="481"/>
      <c r="MFI57" s="481"/>
      <c r="MFJ57" s="481"/>
      <c r="MFK57" s="481"/>
      <c r="MFL57" s="481"/>
      <c r="MFM57" s="481"/>
      <c r="MFN57" s="481"/>
      <c r="MFO57" s="481"/>
      <c r="MFP57" s="481"/>
      <c r="MFQ57" s="481"/>
      <c r="MFR57" s="481"/>
      <c r="MFS57" s="481"/>
      <c r="MFT57" s="481"/>
      <c r="MFU57" s="481"/>
      <c r="MFV57" s="481"/>
      <c r="MFW57" s="481"/>
      <c r="MFX57" s="481"/>
      <c r="MFY57" s="481"/>
      <c r="MFZ57" s="481"/>
      <c r="MGA57" s="481"/>
      <c r="MGB57" s="481"/>
      <c r="MGC57" s="481"/>
      <c r="MGD57" s="481"/>
      <c r="MGE57" s="481"/>
      <c r="MGF57" s="481"/>
      <c r="MGG57" s="481"/>
      <c r="MGH57" s="481"/>
      <c r="MGI57" s="481"/>
      <c r="MGJ57" s="481"/>
      <c r="MGK57" s="481"/>
      <c r="MGL57" s="481"/>
      <c r="MGM57" s="481"/>
      <c r="MGN57" s="481"/>
      <c r="MGO57" s="481"/>
      <c r="MGP57" s="481"/>
      <c r="MGQ57" s="481"/>
      <c r="MGR57" s="481"/>
      <c r="MGS57" s="481"/>
      <c r="MGT57" s="481"/>
      <c r="MGU57" s="481"/>
      <c r="MGV57" s="481"/>
      <c r="MGW57" s="481"/>
      <c r="MGX57" s="481"/>
      <c r="MGY57" s="481"/>
      <c r="MGZ57" s="481"/>
      <c r="MHA57" s="481"/>
      <c r="MHB57" s="481"/>
      <c r="MHC57" s="481"/>
      <c r="MHD57" s="481"/>
      <c r="MHE57" s="481"/>
      <c r="MHF57" s="481"/>
      <c r="MHG57" s="481"/>
      <c r="MHH57" s="481"/>
      <c r="MHI57" s="481"/>
      <c r="MHJ57" s="481"/>
      <c r="MHK57" s="481"/>
      <c r="MHL57" s="481"/>
      <c r="MHM57" s="481"/>
      <c r="MHN57" s="481"/>
      <c r="MHO57" s="481"/>
      <c r="MHP57" s="481"/>
      <c r="MHQ57" s="481"/>
      <c r="MHR57" s="481"/>
      <c r="MHS57" s="481"/>
      <c r="MHT57" s="481"/>
      <c r="MHU57" s="481"/>
      <c r="MHV57" s="481"/>
      <c r="MHW57" s="481"/>
      <c r="MHX57" s="481"/>
      <c r="MHY57" s="481"/>
      <c r="MHZ57" s="481"/>
      <c r="MIA57" s="481"/>
      <c r="MIB57" s="481"/>
      <c r="MIC57" s="481"/>
      <c r="MID57" s="481"/>
      <c r="MIE57" s="481"/>
      <c r="MIF57" s="481"/>
      <c r="MIG57" s="481"/>
      <c r="MIH57" s="481"/>
      <c r="MII57" s="481"/>
      <c r="MIJ57" s="481"/>
      <c r="MIK57" s="481"/>
      <c r="MIL57" s="481"/>
      <c r="MIM57" s="481"/>
      <c r="MIN57" s="481"/>
      <c r="MIO57" s="481"/>
      <c r="MIP57" s="481"/>
      <c r="MIQ57" s="481"/>
      <c r="MIR57" s="481"/>
      <c r="MIS57" s="481"/>
      <c r="MIT57" s="481"/>
      <c r="MIU57" s="481"/>
      <c r="MIV57" s="481"/>
      <c r="MIW57" s="481"/>
      <c r="MIX57" s="481"/>
      <c r="MIY57" s="481"/>
      <c r="MIZ57" s="481"/>
      <c r="MJA57" s="481"/>
      <c r="MJB57" s="481"/>
      <c r="MJC57" s="481"/>
      <c r="MJD57" s="481"/>
      <c r="MJE57" s="481"/>
      <c r="MJF57" s="481"/>
      <c r="MJG57" s="481"/>
      <c r="MJH57" s="481"/>
      <c r="MJI57" s="481"/>
      <c r="MJJ57" s="481"/>
      <c r="MJK57" s="481"/>
      <c r="MJL57" s="481"/>
      <c r="MJM57" s="481"/>
      <c r="MJN57" s="481"/>
      <c r="MJO57" s="481"/>
      <c r="MJP57" s="481"/>
      <c r="MJQ57" s="481"/>
      <c r="MJR57" s="481"/>
      <c r="MJS57" s="481"/>
      <c r="MJT57" s="481"/>
      <c r="MJU57" s="481"/>
      <c r="MJV57" s="481"/>
      <c r="MJW57" s="481"/>
      <c r="MJX57" s="481"/>
      <c r="MJY57" s="481"/>
      <c r="MJZ57" s="481"/>
      <c r="MKA57" s="481"/>
      <c r="MKB57" s="481"/>
      <c r="MKC57" s="481"/>
      <c r="MKD57" s="481"/>
      <c r="MKE57" s="481"/>
      <c r="MKF57" s="481"/>
      <c r="MKG57" s="481"/>
      <c r="MKH57" s="481"/>
      <c r="MKI57" s="481"/>
      <c r="MKJ57" s="481"/>
      <c r="MKK57" s="481"/>
      <c r="MKL57" s="481"/>
      <c r="MKM57" s="481"/>
      <c r="MKN57" s="481"/>
      <c r="MKO57" s="481"/>
      <c r="MKP57" s="481"/>
      <c r="MKQ57" s="481"/>
      <c r="MKR57" s="481"/>
      <c r="MKS57" s="481"/>
      <c r="MKT57" s="481"/>
      <c r="MKU57" s="481"/>
      <c r="MKV57" s="481"/>
      <c r="MKW57" s="481"/>
      <c r="MKX57" s="481"/>
      <c r="MKY57" s="481"/>
      <c r="MKZ57" s="481"/>
      <c r="MLA57" s="481"/>
      <c r="MLB57" s="481"/>
      <c r="MLC57" s="481"/>
      <c r="MLD57" s="481"/>
      <c r="MLE57" s="481"/>
      <c r="MLF57" s="481"/>
      <c r="MLG57" s="481"/>
      <c r="MLH57" s="481"/>
      <c r="MLI57" s="481"/>
      <c r="MLJ57" s="481"/>
      <c r="MLK57" s="481"/>
      <c r="MLL57" s="481"/>
      <c r="MLM57" s="481"/>
      <c r="MLN57" s="481"/>
      <c r="MLO57" s="481"/>
      <c r="MLP57" s="481"/>
      <c r="MLQ57" s="481"/>
      <c r="MLR57" s="481"/>
      <c r="MLS57" s="481"/>
      <c r="MLT57" s="481"/>
      <c r="MLU57" s="481"/>
      <c r="MLV57" s="481"/>
      <c r="MLW57" s="481"/>
      <c r="MLX57" s="481"/>
      <c r="MLY57" s="481"/>
      <c r="MLZ57" s="481"/>
      <c r="MMA57" s="481"/>
      <c r="MMB57" s="481"/>
      <c r="MMC57" s="481"/>
      <c r="MMD57" s="481"/>
      <c r="MME57" s="481"/>
      <c r="MMF57" s="481"/>
      <c r="MMG57" s="481"/>
      <c r="MMH57" s="481"/>
      <c r="MMI57" s="481"/>
      <c r="MMJ57" s="481"/>
      <c r="MMK57" s="481"/>
      <c r="MML57" s="481"/>
      <c r="MMM57" s="481"/>
      <c r="MMN57" s="481"/>
      <c r="MMO57" s="481"/>
      <c r="MMP57" s="481"/>
      <c r="MMQ57" s="481"/>
      <c r="MMR57" s="481"/>
      <c r="MMS57" s="481"/>
      <c r="MMT57" s="481"/>
      <c r="MMU57" s="481"/>
      <c r="MMV57" s="481"/>
      <c r="MMW57" s="481"/>
      <c r="MMX57" s="481"/>
      <c r="MMY57" s="481"/>
      <c r="MMZ57" s="481"/>
      <c r="MNA57" s="481"/>
      <c r="MNB57" s="481"/>
      <c r="MNC57" s="481"/>
      <c r="MND57" s="481"/>
      <c r="MNE57" s="481"/>
      <c r="MNF57" s="481"/>
      <c r="MNG57" s="481"/>
      <c r="MNH57" s="481"/>
      <c r="MNI57" s="481"/>
      <c r="MNJ57" s="481"/>
      <c r="MNK57" s="481"/>
      <c r="MNL57" s="481"/>
      <c r="MNM57" s="481"/>
      <c r="MNN57" s="481"/>
      <c r="MNO57" s="481"/>
      <c r="MNP57" s="481"/>
      <c r="MNQ57" s="481"/>
      <c r="MNR57" s="481"/>
      <c r="MNS57" s="481"/>
      <c r="MNT57" s="481"/>
      <c r="MNU57" s="481"/>
      <c r="MNV57" s="481"/>
      <c r="MNW57" s="481"/>
      <c r="MNX57" s="481"/>
      <c r="MNY57" s="481"/>
      <c r="MNZ57" s="481"/>
      <c r="MOA57" s="481"/>
      <c r="MOB57" s="481"/>
      <c r="MOC57" s="481"/>
      <c r="MOD57" s="481"/>
      <c r="MOE57" s="481"/>
      <c r="MOF57" s="481"/>
      <c r="MOG57" s="481"/>
      <c r="MOH57" s="481"/>
      <c r="MOI57" s="481"/>
      <c r="MOJ57" s="481"/>
      <c r="MOK57" s="481"/>
      <c r="MOL57" s="481"/>
      <c r="MOM57" s="481"/>
      <c r="MON57" s="481"/>
      <c r="MOO57" s="481"/>
      <c r="MOP57" s="481"/>
      <c r="MOQ57" s="481"/>
      <c r="MOR57" s="481"/>
      <c r="MOS57" s="481"/>
      <c r="MOT57" s="481"/>
      <c r="MOU57" s="481"/>
      <c r="MOV57" s="481"/>
      <c r="MOW57" s="481"/>
      <c r="MOX57" s="481"/>
      <c r="MOY57" s="481"/>
      <c r="MOZ57" s="481"/>
      <c r="MPA57" s="481"/>
      <c r="MPB57" s="481"/>
      <c r="MPC57" s="481"/>
      <c r="MPD57" s="481"/>
      <c r="MPE57" s="481"/>
      <c r="MPF57" s="481"/>
      <c r="MPG57" s="481"/>
      <c r="MPH57" s="481"/>
      <c r="MPI57" s="481"/>
      <c r="MPJ57" s="481"/>
      <c r="MPK57" s="481"/>
      <c r="MPL57" s="481"/>
      <c r="MPM57" s="481"/>
      <c r="MPN57" s="481"/>
      <c r="MPO57" s="481"/>
      <c r="MPP57" s="481"/>
      <c r="MPQ57" s="481"/>
      <c r="MPR57" s="481"/>
      <c r="MPS57" s="481"/>
      <c r="MPT57" s="481"/>
      <c r="MPU57" s="481"/>
      <c r="MPV57" s="481"/>
      <c r="MPW57" s="481"/>
      <c r="MPX57" s="481"/>
      <c r="MPY57" s="481"/>
      <c r="MPZ57" s="481"/>
      <c r="MQA57" s="481"/>
      <c r="MQB57" s="481"/>
      <c r="MQC57" s="481"/>
      <c r="MQD57" s="481"/>
      <c r="MQE57" s="481"/>
      <c r="MQF57" s="481"/>
      <c r="MQG57" s="481"/>
      <c r="MQH57" s="481"/>
      <c r="MQI57" s="481"/>
      <c r="MQJ57" s="481"/>
      <c r="MQK57" s="481"/>
      <c r="MQL57" s="481"/>
      <c r="MQM57" s="481"/>
      <c r="MQN57" s="481"/>
      <c r="MQO57" s="481"/>
      <c r="MQP57" s="481"/>
      <c r="MQQ57" s="481"/>
      <c r="MQR57" s="481"/>
      <c r="MQS57" s="481"/>
      <c r="MQT57" s="481"/>
      <c r="MQU57" s="481"/>
      <c r="MQV57" s="481"/>
      <c r="MQW57" s="481"/>
      <c r="MQX57" s="481"/>
      <c r="MQY57" s="481"/>
      <c r="MQZ57" s="481"/>
      <c r="MRA57" s="481"/>
      <c r="MRB57" s="481"/>
      <c r="MRC57" s="481"/>
      <c r="MRD57" s="481"/>
      <c r="MRE57" s="481"/>
      <c r="MRF57" s="481"/>
      <c r="MRG57" s="481"/>
      <c r="MRH57" s="481"/>
      <c r="MRI57" s="481"/>
      <c r="MRJ57" s="481"/>
      <c r="MRK57" s="481"/>
      <c r="MRL57" s="481"/>
      <c r="MRM57" s="481"/>
      <c r="MRN57" s="481"/>
      <c r="MRO57" s="481"/>
      <c r="MRP57" s="481"/>
      <c r="MRQ57" s="481"/>
      <c r="MRR57" s="481"/>
      <c r="MRS57" s="481"/>
      <c r="MRT57" s="481"/>
      <c r="MRU57" s="481"/>
      <c r="MRV57" s="481"/>
      <c r="MRW57" s="481"/>
      <c r="MRX57" s="481"/>
      <c r="MRY57" s="481"/>
      <c r="MRZ57" s="481"/>
      <c r="MSA57" s="481"/>
      <c r="MSB57" s="481"/>
      <c r="MSC57" s="481"/>
      <c r="MSD57" s="481"/>
      <c r="MSE57" s="481"/>
      <c r="MSF57" s="481"/>
      <c r="MSG57" s="481"/>
      <c r="MSH57" s="481"/>
      <c r="MSI57" s="481"/>
      <c r="MSJ57" s="481"/>
      <c r="MSK57" s="481"/>
      <c r="MSL57" s="481"/>
      <c r="MSM57" s="481"/>
      <c r="MSN57" s="481"/>
      <c r="MSO57" s="481"/>
      <c r="MSP57" s="481"/>
      <c r="MSQ57" s="481"/>
      <c r="MSR57" s="481"/>
      <c r="MSS57" s="481"/>
      <c r="MST57" s="481"/>
      <c r="MSU57" s="481"/>
      <c r="MSV57" s="481"/>
      <c r="MSW57" s="481"/>
      <c r="MSX57" s="481"/>
      <c r="MSY57" s="481"/>
      <c r="MSZ57" s="481"/>
      <c r="MTA57" s="481"/>
      <c r="MTB57" s="481"/>
      <c r="MTC57" s="481"/>
      <c r="MTD57" s="481"/>
      <c r="MTE57" s="481"/>
      <c r="MTF57" s="481"/>
      <c r="MTG57" s="481"/>
      <c r="MTH57" s="481"/>
      <c r="MTI57" s="481"/>
      <c r="MTJ57" s="481"/>
      <c r="MTK57" s="481"/>
      <c r="MTL57" s="481"/>
      <c r="MTM57" s="481"/>
      <c r="MTN57" s="481"/>
      <c r="MTO57" s="481"/>
      <c r="MTP57" s="481"/>
      <c r="MTQ57" s="481"/>
      <c r="MTR57" s="481"/>
      <c r="MTS57" s="481"/>
      <c r="MTT57" s="481"/>
      <c r="MTU57" s="481"/>
      <c r="MTV57" s="481"/>
      <c r="MTW57" s="481"/>
      <c r="MTX57" s="481"/>
      <c r="MTY57" s="481"/>
      <c r="MTZ57" s="481"/>
      <c r="MUA57" s="481"/>
      <c r="MUB57" s="481"/>
      <c r="MUC57" s="481"/>
      <c r="MUD57" s="481"/>
      <c r="MUE57" s="481"/>
      <c r="MUF57" s="481"/>
      <c r="MUG57" s="481"/>
      <c r="MUH57" s="481"/>
      <c r="MUI57" s="481"/>
      <c r="MUJ57" s="481"/>
      <c r="MUK57" s="481"/>
      <c r="MUL57" s="481"/>
      <c r="MUM57" s="481"/>
      <c r="MUN57" s="481"/>
      <c r="MUO57" s="481"/>
      <c r="MUP57" s="481"/>
      <c r="MUQ57" s="481"/>
      <c r="MUR57" s="481"/>
      <c r="MUS57" s="481"/>
      <c r="MUT57" s="481"/>
      <c r="MUU57" s="481"/>
      <c r="MUV57" s="481"/>
      <c r="MUW57" s="481"/>
      <c r="MUX57" s="481"/>
      <c r="MUY57" s="481"/>
      <c r="MUZ57" s="481"/>
      <c r="MVA57" s="481"/>
      <c r="MVB57" s="481"/>
      <c r="MVC57" s="481"/>
      <c r="MVD57" s="481"/>
      <c r="MVE57" s="481"/>
      <c r="MVF57" s="481"/>
      <c r="MVG57" s="481"/>
      <c r="MVH57" s="481"/>
      <c r="MVI57" s="481"/>
      <c r="MVJ57" s="481"/>
      <c r="MVK57" s="481"/>
      <c r="MVL57" s="481"/>
      <c r="MVM57" s="481"/>
      <c r="MVN57" s="481"/>
      <c r="MVO57" s="481"/>
      <c r="MVP57" s="481"/>
      <c r="MVQ57" s="481"/>
      <c r="MVR57" s="481"/>
      <c r="MVS57" s="481"/>
      <c r="MVT57" s="481"/>
      <c r="MVU57" s="481"/>
      <c r="MVV57" s="481"/>
      <c r="MVW57" s="481"/>
      <c r="MVX57" s="481"/>
      <c r="MVY57" s="481"/>
      <c r="MVZ57" s="481"/>
      <c r="MWA57" s="481"/>
      <c r="MWB57" s="481"/>
      <c r="MWC57" s="481"/>
      <c r="MWD57" s="481"/>
      <c r="MWE57" s="481"/>
      <c r="MWF57" s="481"/>
      <c r="MWG57" s="481"/>
      <c r="MWH57" s="481"/>
      <c r="MWI57" s="481"/>
      <c r="MWJ57" s="481"/>
      <c r="MWK57" s="481"/>
      <c r="MWL57" s="481"/>
      <c r="MWM57" s="481"/>
      <c r="MWN57" s="481"/>
      <c r="MWO57" s="481"/>
      <c r="MWP57" s="481"/>
      <c r="MWQ57" s="481"/>
      <c r="MWR57" s="481"/>
      <c r="MWS57" s="481"/>
      <c r="MWT57" s="481"/>
      <c r="MWU57" s="481"/>
      <c r="MWV57" s="481"/>
      <c r="MWW57" s="481"/>
      <c r="MWX57" s="481"/>
      <c r="MWY57" s="481"/>
      <c r="MWZ57" s="481"/>
      <c r="MXA57" s="481"/>
      <c r="MXB57" s="481"/>
      <c r="MXC57" s="481"/>
      <c r="MXD57" s="481"/>
      <c r="MXE57" s="481"/>
      <c r="MXF57" s="481"/>
      <c r="MXG57" s="481"/>
      <c r="MXH57" s="481"/>
      <c r="MXI57" s="481"/>
      <c r="MXJ57" s="481"/>
      <c r="MXK57" s="481"/>
      <c r="MXL57" s="481"/>
      <c r="MXM57" s="481"/>
      <c r="MXN57" s="481"/>
      <c r="MXO57" s="481"/>
      <c r="MXP57" s="481"/>
      <c r="MXQ57" s="481"/>
      <c r="MXR57" s="481"/>
      <c r="MXS57" s="481"/>
      <c r="MXT57" s="481"/>
      <c r="MXU57" s="481"/>
      <c r="MXV57" s="481"/>
      <c r="MXW57" s="481"/>
      <c r="MXX57" s="481"/>
      <c r="MXY57" s="481"/>
      <c r="MXZ57" s="481"/>
      <c r="MYA57" s="481"/>
      <c r="MYB57" s="481"/>
      <c r="MYC57" s="481"/>
      <c r="MYD57" s="481"/>
      <c r="MYE57" s="481"/>
      <c r="MYF57" s="481"/>
      <c r="MYG57" s="481"/>
      <c r="MYH57" s="481"/>
      <c r="MYI57" s="481"/>
      <c r="MYJ57" s="481"/>
      <c r="MYK57" s="481"/>
      <c r="MYL57" s="481"/>
      <c r="MYM57" s="481"/>
      <c r="MYN57" s="481"/>
      <c r="MYO57" s="481"/>
      <c r="MYP57" s="481"/>
      <c r="MYQ57" s="481"/>
      <c r="MYR57" s="481"/>
      <c r="MYS57" s="481"/>
      <c r="MYT57" s="481"/>
      <c r="MYU57" s="481"/>
      <c r="MYV57" s="481"/>
      <c r="MYW57" s="481"/>
      <c r="MYX57" s="481"/>
      <c r="MYY57" s="481"/>
      <c r="MYZ57" s="481"/>
      <c r="MZA57" s="481"/>
      <c r="MZB57" s="481"/>
      <c r="MZC57" s="481"/>
      <c r="MZD57" s="481"/>
      <c r="MZE57" s="481"/>
      <c r="MZF57" s="481"/>
      <c r="MZG57" s="481"/>
      <c r="MZH57" s="481"/>
      <c r="MZI57" s="481"/>
      <c r="MZJ57" s="481"/>
      <c r="MZK57" s="481"/>
      <c r="MZL57" s="481"/>
      <c r="MZM57" s="481"/>
      <c r="MZN57" s="481"/>
      <c r="MZO57" s="481"/>
      <c r="MZP57" s="481"/>
      <c r="MZQ57" s="481"/>
      <c r="MZR57" s="481"/>
      <c r="MZS57" s="481"/>
      <c r="MZT57" s="481"/>
      <c r="MZU57" s="481"/>
      <c r="MZV57" s="481"/>
      <c r="MZW57" s="481"/>
      <c r="MZX57" s="481"/>
      <c r="MZY57" s="481"/>
      <c r="MZZ57" s="481"/>
      <c r="NAA57" s="481"/>
      <c r="NAB57" s="481"/>
      <c r="NAC57" s="481"/>
      <c r="NAD57" s="481"/>
      <c r="NAE57" s="481"/>
      <c r="NAF57" s="481"/>
      <c r="NAG57" s="481"/>
      <c r="NAH57" s="481"/>
      <c r="NAI57" s="481"/>
      <c r="NAJ57" s="481"/>
      <c r="NAK57" s="481"/>
      <c r="NAL57" s="481"/>
      <c r="NAM57" s="481"/>
      <c r="NAN57" s="481"/>
      <c r="NAO57" s="481"/>
      <c r="NAP57" s="481"/>
      <c r="NAQ57" s="481"/>
      <c r="NAR57" s="481"/>
      <c r="NAS57" s="481"/>
      <c r="NAT57" s="481"/>
      <c r="NAU57" s="481"/>
      <c r="NAV57" s="481"/>
      <c r="NAW57" s="481"/>
      <c r="NAX57" s="481"/>
      <c r="NAY57" s="481"/>
      <c r="NAZ57" s="481"/>
      <c r="NBA57" s="481"/>
      <c r="NBB57" s="481"/>
      <c r="NBC57" s="481"/>
      <c r="NBD57" s="481"/>
      <c r="NBE57" s="481"/>
      <c r="NBF57" s="481"/>
      <c r="NBG57" s="481"/>
      <c r="NBH57" s="481"/>
      <c r="NBI57" s="481"/>
      <c r="NBJ57" s="481"/>
      <c r="NBK57" s="481"/>
      <c r="NBL57" s="481"/>
      <c r="NBM57" s="481"/>
      <c r="NBN57" s="481"/>
      <c r="NBO57" s="481"/>
      <c r="NBP57" s="481"/>
      <c r="NBQ57" s="481"/>
      <c r="NBR57" s="481"/>
      <c r="NBS57" s="481"/>
      <c r="NBT57" s="481"/>
      <c r="NBU57" s="481"/>
      <c r="NBV57" s="481"/>
      <c r="NBW57" s="481"/>
      <c r="NBX57" s="481"/>
      <c r="NBY57" s="481"/>
      <c r="NBZ57" s="481"/>
      <c r="NCA57" s="481"/>
      <c r="NCB57" s="481"/>
      <c r="NCC57" s="481"/>
      <c r="NCD57" s="481"/>
      <c r="NCE57" s="481"/>
      <c r="NCF57" s="481"/>
      <c r="NCG57" s="481"/>
      <c r="NCH57" s="481"/>
      <c r="NCI57" s="481"/>
      <c r="NCJ57" s="481"/>
      <c r="NCK57" s="481"/>
      <c r="NCL57" s="481"/>
      <c r="NCM57" s="481"/>
      <c r="NCN57" s="481"/>
      <c r="NCO57" s="481"/>
      <c r="NCP57" s="481"/>
      <c r="NCQ57" s="481"/>
      <c r="NCR57" s="481"/>
      <c r="NCS57" s="481"/>
      <c r="NCT57" s="481"/>
      <c r="NCU57" s="481"/>
      <c r="NCV57" s="481"/>
      <c r="NCW57" s="481"/>
      <c r="NCX57" s="481"/>
      <c r="NCY57" s="481"/>
      <c r="NCZ57" s="481"/>
      <c r="NDA57" s="481"/>
      <c r="NDB57" s="481"/>
      <c r="NDC57" s="481"/>
      <c r="NDD57" s="481"/>
      <c r="NDE57" s="481"/>
      <c r="NDF57" s="481"/>
      <c r="NDG57" s="481"/>
      <c r="NDH57" s="481"/>
      <c r="NDI57" s="481"/>
      <c r="NDJ57" s="481"/>
      <c r="NDK57" s="481"/>
      <c r="NDL57" s="481"/>
      <c r="NDM57" s="481"/>
      <c r="NDN57" s="481"/>
      <c r="NDO57" s="481"/>
      <c r="NDP57" s="481"/>
      <c r="NDQ57" s="481"/>
      <c r="NDR57" s="481"/>
      <c r="NDS57" s="481"/>
      <c r="NDT57" s="481"/>
      <c r="NDU57" s="481"/>
      <c r="NDV57" s="481"/>
      <c r="NDW57" s="481"/>
      <c r="NDX57" s="481"/>
      <c r="NDY57" s="481"/>
      <c r="NDZ57" s="481"/>
      <c r="NEA57" s="481"/>
      <c r="NEB57" s="481"/>
      <c r="NEC57" s="481"/>
      <c r="NED57" s="481"/>
      <c r="NEE57" s="481"/>
      <c r="NEF57" s="481"/>
      <c r="NEG57" s="481"/>
      <c r="NEH57" s="481"/>
      <c r="NEI57" s="481"/>
      <c r="NEJ57" s="481"/>
      <c r="NEK57" s="481"/>
      <c r="NEL57" s="481"/>
      <c r="NEM57" s="481"/>
      <c r="NEN57" s="481"/>
      <c r="NEO57" s="481"/>
      <c r="NEP57" s="481"/>
      <c r="NEQ57" s="481"/>
      <c r="NER57" s="481"/>
      <c r="NES57" s="481"/>
      <c r="NET57" s="481"/>
      <c r="NEU57" s="481"/>
      <c r="NEV57" s="481"/>
      <c r="NEW57" s="481"/>
      <c r="NEX57" s="481"/>
      <c r="NEY57" s="481"/>
      <c r="NEZ57" s="481"/>
      <c r="NFA57" s="481"/>
      <c r="NFB57" s="481"/>
      <c r="NFC57" s="481"/>
      <c r="NFD57" s="481"/>
      <c r="NFE57" s="481"/>
      <c r="NFF57" s="481"/>
      <c r="NFG57" s="481"/>
      <c r="NFH57" s="481"/>
      <c r="NFI57" s="481"/>
      <c r="NFJ57" s="481"/>
      <c r="NFK57" s="481"/>
      <c r="NFL57" s="481"/>
      <c r="NFM57" s="481"/>
      <c r="NFN57" s="481"/>
      <c r="NFO57" s="481"/>
      <c r="NFP57" s="481"/>
      <c r="NFQ57" s="481"/>
      <c r="NFR57" s="481"/>
      <c r="NFS57" s="481"/>
      <c r="NFT57" s="481"/>
      <c r="NFU57" s="481"/>
      <c r="NFV57" s="481"/>
      <c r="NFW57" s="481"/>
      <c r="NFX57" s="481"/>
      <c r="NFY57" s="481"/>
      <c r="NFZ57" s="481"/>
      <c r="NGA57" s="481"/>
      <c r="NGB57" s="481"/>
      <c r="NGC57" s="481"/>
      <c r="NGD57" s="481"/>
      <c r="NGE57" s="481"/>
      <c r="NGF57" s="481"/>
      <c r="NGG57" s="481"/>
      <c r="NGH57" s="481"/>
      <c r="NGI57" s="481"/>
      <c r="NGJ57" s="481"/>
      <c r="NGK57" s="481"/>
      <c r="NGL57" s="481"/>
      <c r="NGM57" s="481"/>
      <c r="NGN57" s="481"/>
      <c r="NGO57" s="481"/>
      <c r="NGP57" s="481"/>
      <c r="NGQ57" s="481"/>
      <c r="NGR57" s="481"/>
      <c r="NGS57" s="481"/>
      <c r="NGT57" s="481"/>
      <c r="NGU57" s="481"/>
      <c r="NGV57" s="481"/>
      <c r="NGW57" s="481"/>
      <c r="NGX57" s="481"/>
      <c r="NGY57" s="481"/>
      <c r="NGZ57" s="481"/>
      <c r="NHA57" s="481"/>
      <c r="NHB57" s="481"/>
      <c r="NHC57" s="481"/>
      <c r="NHD57" s="481"/>
      <c r="NHE57" s="481"/>
      <c r="NHF57" s="481"/>
      <c r="NHG57" s="481"/>
      <c r="NHH57" s="481"/>
      <c r="NHI57" s="481"/>
      <c r="NHJ57" s="481"/>
      <c r="NHK57" s="481"/>
      <c r="NHL57" s="481"/>
      <c r="NHM57" s="481"/>
      <c r="NHN57" s="481"/>
      <c r="NHO57" s="481"/>
      <c r="NHP57" s="481"/>
      <c r="NHQ57" s="481"/>
      <c r="NHR57" s="481"/>
      <c r="NHS57" s="481"/>
      <c r="NHT57" s="481"/>
      <c r="NHU57" s="481"/>
      <c r="NHV57" s="481"/>
      <c r="NHW57" s="481"/>
      <c r="NHX57" s="481"/>
      <c r="NHY57" s="481"/>
      <c r="NHZ57" s="481"/>
      <c r="NIA57" s="481"/>
      <c r="NIB57" s="481"/>
      <c r="NIC57" s="481"/>
      <c r="NID57" s="481"/>
      <c r="NIE57" s="481"/>
      <c r="NIF57" s="481"/>
      <c r="NIG57" s="481"/>
      <c r="NIH57" s="481"/>
      <c r="NII57" s="481"/>
      <c r="NIJ57" s="481"/>
      <c r="NIK57" s="481"/>
      <c r="NIL57" s="481"/>
      <c r="NIM57" s="481"/>
      <c r="NIN57" s="481"/>
      <c r="NIO57" s="481"/>
      <c r="NIP57" s="481"/>
      <c r="NIQ57" s="481"/>
      <c r="NIR57" s="481"/>
      <c r="NIS57" s="481"/>
      <c r="NIT57" s="481"/>
      <c r="NIU57" s="481"/>
      <c r="NIV57" s="481"/>
      <c r="NIW57" s="481"/>
      <c r="NIX57" s="481"/>
      <c r="NIY57" s="481"/>
      <c r="NIZ57" s="481"/>
      <c r="NJA57" s="481"/>
      <c r="NJB57" s="481"/>
      <c r="NJC57" s="481"/>
      <c r="NJD57" s="481"/>
      <c r="NJE57" s="481"/>
      <c r="NJF57" s="481"/>
      <c r="NJG57" s="481"/>
      <c r="NJH57" s="481"/>
      <c r="NJI57" s="481"/>
      <c r="NJJ57" s="481"/>
      <c r="NJK57" s="481"/>
      <c r="NJL57" s="481"/>
      <c r="NJM57" s="481"/>
      <c r="NJN57" s="481"/>
      <c r="NJO57" s="481"/>
      <c r="NJP57" s="481"/>
      <c r="NJQ57" s="481"/>
      <c r="NJR57" s="481"/>
      <c r="NJS57" s="481"/>
      <c r="NJT57" s="481"/>
      <c r="NJU57" s="481"/>
      <c r="NJV57" s="481"/>
      <c r="NJW57" s="481"/>
      <c r="NJX57" s="481"/>
      <c r="NJY57" s="481"/>
      <c r="NJZ57" s="481"/>
      <c r="NKA57" s="481"/>
      <c r="NKB57" s="481"/>
      <c r="NKC57" s="481"/>
      <c r="NKD57" s="481"/>
      <c r="NKE57" s="481"/>
      <c r="NKF57" s="481"/>
      <c r="NKG57" s="481"/>
      <c r="NKH57" s="481"/>
      <c r="NKI57" s="481"/>
      <c r="NKJ57" s="481"/>
      <c r="NKK57" s="481"/>
      <c r="NKL57" s="481"/>
      <c r="NKM57" s="481"/>
      <c r="NKN57" s="481"/>
      <c r="NKO57" s="481"/>
      <c r="NKP57" s="481"/>
      <c r="NKQ57" s="481"/>
      <c r="NKR57" s="481"/>
      <c r="NKS57" s="481"/>
      <c r="NKT57" s="481"/>
      <c r="NKU57" s="481"/>
      <c r="NKV57" s="481"/>
      <c r="NKW57" s="481"/>
      <c r="NKX57" s="481"/>
      <c r="NKY57" s="481"/>
      <c r="NKZ57" s="481"/>
      <c r="NLA57" s="481"/>
      <c r="NLB57" s="481"/>
      <c r="NLC57" s="481"/>
      <c r="NLD57" s="481"/>
      <c r="NLE57" s="481"/>
      <c r="NLF57" s="481"/>
      <c r="NLG57" s="481"/>
      <c r="NLH57" s="481"/>
      <c r="NLI57" s="481"/>
      <c r="NLJ57" s="481"/>
      <c r="NLK57" s="481"/>
      <c r="NLL57" s="481"/>
      <c r="NLM57" s="481"/>
      <c r="NLN57" s="481"/>
      <c r="NLO57" s="481"/>
      <c r="NLP57" s="481"/>
      <c r="NLQ57" s="481"/>
      <c r="NLR57" s="481"/>
      <c r="NLS57" s="481"/>
      <c r="NLT57" s="481"/>
      <c r="NLU57" s="481"/>
      <c r="NLV57" s="481"/>
      <c r="NLW57" s="481"/>
      <c r="NLX57" s="481"/>
      <c r="NLY57" s="481"/>
      <c r="NLZ57" s="481"/>
      <c r="NMA57" s="481"/>
      <c r="NMB57" s="481"/>
      <c r="NMC57" s="481"/>
      <c r="NMD57" s="481"/>
      <c r="NME57" s="481"/>
      <c r="NMF57" s="481"/>
      <c r="NMG57" s="481"/>
      <c r="NMH57" s="481"/>
      <c r="NMI57" s="481"/>
      <c r="NMJ57" s="481"/>
      <c r="NMK57" s="481"/>
      <c r="NML57" s="481"/>
      <c r="NMM57" s="481"/>
      <c r="NMN57" s="481"/>
      <c r="NMO57" s="481"/>
      <c r="NMP57" s="481"/>
      <c r="NMQ57" s="481"/>
      <c r="NMR57" s="481"/>
      <c r="NMS57" s="481"/>
      <c r="NMT57" s="481"/>
      <c r="NMU57" s="481"/>
      <c r="NMV57" s="481"/>
      <c r="NMW57" s="481"/>
      <c r="NMX57" s="481"/>
      <c r="NMY57" s="481"/>
      <c r="NMZ57" s="481"/>
      <c r="NNA57" s="481"/>
      <c r="NNB57" s="481"/>
      <c r="NNC57" s="481"/>
      <c r="NND57" s="481"/>
      <c r="NNE57" s="481"/>
      <c r="NNF57" s="481"/>
      <c r="NNG57" s="481"/>
      <c r="NNH57" s="481"/>
      <c r="NNI57" s="481"/>
      <c r="NNJ57" s="481"/>
      <c r="NNK57" s="481"/>
      <c r="NNL57" s="481"/>
      <c r="NNM57" s="481"/>
      <c r="NNN57" s="481"/>
      <c r="NNO57" s="481"/>
      <c r="NNP57" s="481"/>
      <c r="NNQ57" s="481"/>
      <c r="NNR57" s="481"/>
      <c r="NNS57" s="481"/>
      <c r="NNT57" s="481"/>
      <c r="NNU57" s="481"/>
      <c r="NNV57" s="481"/>
      <c r="NNW57" s="481"/>
      <c r="NNX57" s="481"/>
      <c r="NNY57" s="481"/>
      <c r="NNZ57" s="481"/>
      <c r="NOA57" s="481"/>
      <c r="NOB57" s="481"/>
      <c r="NOC57" s="481"/>
      <c r="NOD57" s="481"/>
      <c r="NOE57" s="481"/>
      <c r="NOF57" s="481"/>
      <c r="NOG57" s="481"/>
      <c r="NOH57" s="481"/>
      <c r="NOI57" s="481"/>
      <c r="NOJ57" s="481"/>
      <c r="NOK57" s="481"/>
      <c r="NOL57" s="481"/>
      <c r="NOM57" s="481"/>
      <c r="NON57" s="481"/>
      <c r="NOO57" s="481"/>
      <c r="NOP57" s="481"/>
      <c r="NOQ57" s="481"/>
      <c r="NOR57" s="481"/>
      <c r="NOS57" s="481"/>
      <c r="NOT57" s="481"/>
      <c r="NOU57" s="481"/>
      <c r="NOV57" s="481"/>
      <c r="NOW57" s="481"/>
      <c r="NOX57" s="481"/>
      <c r="NOY57" s="481"/>
      <c r="NOZ57" s="481"/>
      <c r="NPA57" s="481"/>
      <c r="NPB57" s="481"/>
      <c r="NPC57" s="481"/>
      <c r="NPD57" s="481"/>
      <c r="NPE57" s="481"/>
      <c r="NPF57" s="481"/>
      <c r="NPG57" s="481"/>
      <c r="NPH57" s="481"/>
      <c r="NPI57" s="481"/>
      <c r="NPJ57" s="481"/>
      <c r="NPK57" s="481"/>
      <c r="NPL57" s="481"/>
      <c r="NPM57" s="481"/>
      <c r="NPN57" s="481"/>
      <c r="NPO57" s="481"/>
      <c r="NPP57" s="481"/>
      <c r="NPQ57" s="481"/>
      <c r="NPR57" s="481"/>
      <c r="NPS57" s="481"/>
      <c r="NPT57" s="481"/>
      <c r="NPU57" s="481"/>
      <c r="NPV57" s="481"/>
      <c r="NPW57" s="481"/>
      <c r="NPX57" s="481"/>
      <c r="NPY57" s="481"/>
      <c r="NPZ57" s="481"/>
      <c r="NQA57" s="481"/>
      <c r="NQB57" s="481"/>
      <c r="NQC57" s="481"/>
      <c r="NQD57" s="481"/>
      <c r="NQE57" s="481"/>
      <c r="NQF57" s="481"/>
      <c r="NQG57" s="481"/>
      <c r="NQH57" s="481"/>
      <c r="NQI57" s="481"/>
      <c r="NQJ57" s="481"/>
      <c r="NQK57" s="481"/>
      <c r="NQL57" s="481"/>
      <c r="NQM57" s="481"/>
      <c r="NQN57" s="481"/>
      <c r="NQO57" s="481"/>
      <c r="NQP57" s="481"/>
      <c r="NQQ57" s="481"/>
      <c r="NQR57" s="481"/>
      <c r="NQS57" s="481"/>
      <c r="NQT57" s="481"/>
      <c r="NQU57" s="481"/>
      <c r="NQV57" s="481"/>
      <c r="NQW57" s="481"/>
      <c r="NQX57" s="481"/>
      <c r="NQY57" s="481"/>
      <c r="NQZ57" s="481"/>
      <c r="NRA57" s="481"/>
      <c r="NRB57" s="481"/>
      <c r="NRC57" s="481"/>
      <c r="NRD57" s="481"/>
      <c r="NRE57" s="481"/>
      <c r="NRF57" s="481"/>
      <c r="NRG57" s="481"/>
      <c r="NRH57" s="481"/>
      <c r="NRI57" s="481"/>
      <c r="NRJ57" s="481"/>
      <c r="NRK57" s="481"/>
      <c r="NRL57" s="481"/>
      <c r="NRM57" s="481"/>
      <c r="NRN57" s="481"/>
      <c r="NRO57" s="481"/>
      <c r="NRP57" s="481"/>
      <c r="NRQ57" s="481"/>
      <c r="NRR57" s="481"/>
      <c r="NRS57" s="481"/>
      <c r="NRT57" s="481"/>
      <c r="NRU57" s="481"/>
      <c r="NRV57" s="481"/>
      <c r="NRW57" s="481"/>
      <c r="NRX57" s="481"/>
      <c r="NRY57" s="481"/>
      <c r="NRZ57" s="481"/>
      <c r="NSA57" s="481"/>
      <c r="NSB57" s="481"/>
      <c r="NSC57" s="481"/>
      <c r="NSD57" s="481"/>
      <c r="NSE57" s="481"/>
      <c r="NSF57" s="481"/>
      <c r="NSG57" s="481"/>
      <c r="NSH57" s="481"/>
      <c r="NSI57" s="481"/>
      <c r="NSJ57" s="481"/>
      <c r="NSK57" s="481"/>
      <c r="NSL57" s="481"/>
      <c r="NSM57" s="481"/>
      <c r="NSN57" s="481"/>
      <c r="NSO57" s="481"/>
      <c r="NSP57" s="481"/>
      <c r="NSQ57" s="481"/>
      <c r="NSR57" s="481"/>
      <c r="NSS57" s="481"/>
      <c r="NST57" s="481"/>
      <c r="NSU57" s="481"/>
      <c r="NSV57" s="481"/>
      <c r="NSW57" s="481"/>
      <c r="NSX57" s="481"/>
      <c r="NSY57" s="481"/>
      <c r="NSZ57" s="481"/>
      <c r="NTA57" s="481"/>
      <c r="NTB57" s="481"/>
      <c r="NTC57" s="481"/>
      <c r="NTD57" s="481"/>
      <c r="NTE57" s="481"/>
      <c r="NTF57" s="481"/>
      <c r="NTG57" s="481"/>
      <c r="NTH57" s="481"/>
      <c r="NTI57" s="481"/>
      <c r="NTJ57" s="481"/>
      <c r="NTK57" s="481"/>
      <c r="NTL57" s="481"/>
      <c r="NTM57" s="481"/>
      <c r="NTN57" s="481"/>
      <c r="NTO57" s="481"/>
      <c r="NTP57" s="481"/>
      <c r="NTQ57" s="481"/>
      <c r="NTR57" s="481"/>
      <c r="NTS57" s="481"/>
      <c r="NTT57" s="481"/>
      <c r="NTU57" s="481"/>
      <c r="NTV57" s="481"/>
      <c r="NTW57" s="481"/>
      <c r="NTX57" s="481"/>
      <c r="NTY57" s="481"/>
      <c r="NTZ57" s="481"/>
      <c r="NUA57" s="481"/>
      <c r="NUB57" s="481"/>
      <c r="NUC57" s="481"/>
      <c r="NUD57" s="481"/>
      <c r="NUE57" s="481"/>
      <c r="NUF57" s="481"/>
      <c r="NUG57" s="481"/>
      <c r="NUH57" s="481"/>
      <c r="NUI57" s="481"/>
      <c r="NUJ57" s="481"/>
      <c r="NUK57" s="481"/>
      <c r="NUL57" s="481"/>
      <c r="NUM57" s="481"/>
      <c r="NUN57" s="481"/>
      <c r="NUO57" s="481"/>
      <c r="NUP57" s="481"/>
      <c r="NUQ57" s="481"/>
      <c r="NUR57" s="481"/>
      <c r="NUS57" s="481"/>
      <c r="NUT57" s="481"/>
      <c r="NUU57" s="481"/>
      <c r="NUV57" s="481"/>
      <c r="NUW57" s="481"/>
      <c r="NUX57" s="481"/>
      <c r="NUY57" s="481"/>
      <c r="NUZ57" s="481"/>
      <c r="NVA57" s="481"/>
      <c r="NVB57" s="481"/>
      <c r="NVC57" s="481"/>
      <c r="NVD57" s="481"/>
      <c r="NVE57" s="481"/>
      <c r="NVF57" s="481"/>
      <c r="NVG57" s="481"/>
      <c r="NVH57" s="481"/>
      <c r="NVI57" s="481"/>
      <c r="NVJ57" s="481"/>
      <c r="NVK57" s="481"/>
      <c r="NVL57" s="481"/>
      <c r="NVM57" s="481"/>
      <c r="NVN57" s="481"/>
      <c r="NVO57" s="481"/>
      <c r="NVP57" s="481"/>
      <c r="NVQ57" s="481"/>
      <c r="NVR57" s="481"/>
      <c r="NVS57" s="481"/>
      <c r="NVT57" s="481"/>
      <c r="NVU57" s="481"/>
      <c r="NVV57" s="481"/>
      <c r="NVW57" s="481"/>
      <c r="NVX57" s="481"/>
      <c r="NVY57" s="481"/>
      <c r="NVZ57" s="481"/>
      <c r="NWA57" s="481"/>
      <c r="NWB57" s="481"/>
      <c r="NWC57" s="481"/>
      <c r="NWD57" s="481"/>
      <c r="NWE57" s="481"/>
      <c r="NWF57" s="481"/>
      <c r="NWG57" s="481"/>
      <c r="NWH57" s="481"/>
      <c r="NWI57" s="481"/>
      <c r="NWJ57" s="481"/>
      <c r="NWK57" s="481"/>
      <c r="NWL57" s="481"/>
      <c r="NWM57" s="481"/>
      <c r="NWN57" s="481"/>
      <c r="NWO57" s="481"/>
      <c r="NWP57" s="481"/>
      <c r="NWQ57" s="481"/>
      <c r="NWR57" s="481"/>
      <c r="NWS57" s="481"/>
      <c r="NWT57" s="481"/>
      <c r="NWU57" s="481"/>
      <c r="NWV57" s="481"/>
      <c r="NWW57" s="481"/>
      <c r="NWX57" s="481"/>
      <c r="NWY57" s="481"/>
      <c r="NWZ57" s="481"/>
      <c r="NXA57" s="481"/>
      <c r="NXB57" s="481"/>
      <c r="NXC57" s="481"/>
      <c r="NXD57" s="481"/>
      <c r="NXE57" s="481"/>
      <c r="NXF57" s="481"/>
      <c r="NXG57" s="481"/>
      <c r="NXH57" s="481"/>
      <c r="NXI57" s="481"/>
      <c r="NXJ57" s="481"/>
      <c r="NXK57" s="481"/>
      <c r="NXL57" s="481"/>
      <c r="NXM57" s="481"/>
      <c r="NXN57" s="481"/>
      <c r="NXO57" s="481"/>
      <c r="NXP57" s="481"/>
      <c r="NXQ57" s="481"/>
      <c r="NXR57" s="481"/>
      <c r="NXS57" s="481"/>
      <c r="NXT57" s="481"/>
      <c r="NXU57" s="481"/>
      <c r="NXV57" s="481"/>
      <c r="NXW57" s="481"/>
      <c r="NXX57" s="481"/>
      <c r="NXY57" s="481"/>
      <c r="NXZ57" s="481"/>
      <c r="NYA57" s="481"/>
      <c r="NYB57" s="481"/>
      <c r="NYC57" s="481"/>
      <c r="NYD57" s="481"/>
      <c r="NYE57" s="481"/>
      <c r="NYF57" s="481"/>
      <c r="NYG57" s="481"/>
      <c r="NYH57" s="481"/>
      <c r="NYI57" s="481"/>
      <c r="NYJ57" s="481"/>
      <c r="NYK57" s="481"/>
      <c r="NYL57" s="481"/>
      <c r="NYM57" s="481"/>
      <c r="NYN57" s="481"/>
      <c r="NYO57" s="481"/>
      <c r="NYP57" s="481"/>
      <c r="NYQ57" s="481"/>
      <c r="NYR57" s="481"/>
      <c r="NYS57" s="481"/>
      <c r="NYT57" s="481"/>
      <c r="NYU57" s="481"/>
      <c r="NYV57" s="481"/>
      <c r="NYW57" s="481"/>
      <c r="NYX57" s="481"/>
      <c r="NYY57" s="481"/>
      <c r="NYZ57" s="481"/>
      <c r="NZA57" s="481"/>
      <c r="NZB57" s="481"/>
      <c r="NZC57" s="481"/>
      <c r="NZD57" s="481"/>
      <c r="NZE57" s="481"/>
      <c r="NZF57" s="481"/>
      <c r="NZG57" s="481"/>
      <c r="NZH57" s="481"/>
      <c r="NZI57" s="481"/>
      <c r="NZJ57" s="481"/>
      <c r="NZK57" s="481"/>
      <c r="NZL57" s="481"/>
      <c r="NZM57" s="481"/>
      <c r="NZN57" s="481"/>
      <c r="NZO57" s="481"/>
      <c r="NZP57" s="481"/>
      <c r="NZQ57" s="481"/>
      <c r="NZR57" s="481"/>
      <c r="NZS57" s="481"/>
      <c r="NZT57" s="481"/>
      <c r="NZU57" s="481"/>
      <c r="NZV57" s="481"/>
      <c r="NZW57" s="481"/>
      <c r="NZX57" s="481"/>
      <c r="NZY57" s="481"/>
      <c r="NZZ57" s="481"/>
      <c r="OAA57" s="481"/>
      <c r="OAB57" s="481"/>
      <c r="OAC57" s="481"/>
      <c r="OAD57" s="481"/>
      <c r="OAE57" s="481"/>
      <c r="OAF57" s="481"/>
      <c r="OAG57" s="481"/>
      <c r="OAH57" s="481"/>
      <c r="OAI57" s="481"/>
      <c r="OAJ57" s="481"/>
      <c r="OAK57" s="481"/>
      <c r="OAL57" s="481"/>
      <c r="OAM57" s="481"/>
      <c r="OAN57" s="481"/>
      <c r="OAO57" s="481"/>
      <c r="OAP57" s="481"/>
      <c r="OAQ57" s="481"/>
      <c r="OAR57" s="481"/>
      <c r="OAS57" s="481"/>
      <c r="OAT57" s="481"/>
      <c r="OAU57" s="481"/>
      <c r="OAV57" s="481"/>
      <c r="OAW57" s="481"/>
      <c r="OAX57" s="481"/>
      <c r="OAY57" s="481"/>
      <c r="OAZ57" s="481"/>
      <c r="OBA57" s="481"/>
      <c r="OBB57" s="481"/>
      <c r="OBC57" s="481"/>
      <c r="OBD57" s="481"/>
      <c r="OBE57" s="481"/>
      <c r="OBF57" s="481"/>
      <c r="OBG57" s="481"/>
      <c r="OBH57" s="481"/>
      <c r="OBI57" s="481"/>
      <c r="OBJ57" s="481"/>
      <c r="OBK57" s="481"/>
      <c r="OBL57" s="481"/>
      <c r="OBM57" s="481"/>
      <c r="OBN57" s="481"/>
      <c r="OBO57" s="481"/>
      <c r="OBP57" s="481"/>
      <c r="OBQ57" s="481"/>
      <c r="OBR57" s="481"/>
      <c r="OBS57" s="481"/>
      <c r="OBT57" s="481"/>
      <c r="OBU57" s="481"/>
      <c r="OBV57" s="481"/>
      <c r="OBW57" s="481"/>
      <c r="OBX57" s="481"/>
      <c r="OBY57" s="481"/>
      <c r="OBZ57" s="481"/>
      <c r="OCA57" s="481"/>
      <c r="OCB57" s="481"/>
      <c r="OCC57" s="481"/>
      <c r="OCD57" s="481"/>
      <c r="OCE57" s="481"/>
      <c r="OCF57" s="481"/>
      <c r="OCG57" s="481"/>
      <c r="OCH57" s="481"/>
      <c r="OCI57" s="481"/>
      <c r="OCJ57" s="481"/>
      <c r="OCK57" s="481"/>
      <c r="OCL57" s="481"/>
      <c r="OCM57" s="481"/>
      <c r="OCN57" s="481"/>
      <c r="OCO57" s="481"/>
      <c r="OCP57" s="481"/>
      <c r="OCQ57" s="481"/>
      <c r="OCR57" s="481"/>
      <c r="OCS57" s="481"/>
      <c r="OCT57" s="481"/>
      <c r="OCU57" s="481"/>
      <c r="OCV57" s="481"/>
      <c r="OCW57" s="481"/>
      <c r="OCX57" s="481"/>
      <c r="OCY57" s="481"/>
      <c r="OCZ57" s="481"/>
      <c r="ODA57" s="481"/>
      <c r="ODB57" s="481"/>
      <c r="ODC57" s="481"/>
      <c r="ODD57" s="481"/>
      <c r="ODE57" s="481"/>
      <c r="ODF57" s="481"/>
      <c r="ODG57" s="481"/>
      <c r="ODH57" s="481"/>
      <c r="ODI57" s="481"/>
      <c r="ODJ57" s="481"/>
      <c r="ODK57" s="481"/>
      <c r="ODL57" s="481"/>
      <c r="ODM57" s="481"/>
      <c r="ODN57" s="481"/>
      <c r="ODO57" s="481"/>
      <c r="ODP57" s="481"/>
      <c r="ODQ57" s="481"/>
      <c r="ODR57" s="481"/>
      <c r="ODS57" s="481"/>
      <c r="ODT57" s="481"/>
      <c r="ODU57" s="481"/>
      <c r="ODV57" s="481"/>
      <c r="ODW57" s="481"/>
      <c r="ODX57" s="481"/>
      <c r="ODY57" s="481"/>
      <c r="ODZ57" s="481"/>
      <c r="OEA57" s="481"/>
      <c r="OEB57" s="481"/>
      <c r="OEC57" s="481"/>
      <c r="OED57" s="481"/>
      <c r="OEE57" s="481"/>
      <c r="OEF57" s="481"/>
      <c r="OEG57" s="481"/>
      <c r="OEH57" s="481"/>
      <c r="OEI57" s="481"/>
      <c r="OEJ57" s="481"/>
      <c r="OEK57" s="481"/>
      <c r="OEL57" s="481"/>
      <c r="OEM57" s="481"/>
      <c r="OEN57" s="481"/>
      <c r="OEO57" s="481"/>
      <c r="OEP57" s="481"/>
      <c r="OEQ57" s="481"/>
      <c r="OER57" s="481"/>
      <c r="OES57" s="481"/>
      <c r="OET57" s="481"/>
      <c r="OEU57" s="481"/>
      <c r="OEV57" s="481"/>
      <c r="OEW57" s="481"/>
      <c r="OEX57" s="481"/>
      <c r="OEY57" s="481"/>
      <c r="OEZ57" s="481"/>
      <c r="OFA57" s="481"/>
      <c r="OFB57" s="481"/>
      <c r="OFC57" s="481"/>
      <c r="OFD57" s="481"/>
      <c r="OFE57" s="481"/>
      <c r="OFF57" s="481"/>
      <c r="OFG57" s="481"/>
      <c r="OFH57" s="481"/>
      <c r="OFI57" s="481"/>
      <c r="OFJ57" s="481"/>
      <c r="OFK57" s="481"/>
      <c r="OFL57" s="481"/>
      <c r="OFM57" s="481"/>
      <c r="OFN57" s="481"/>
      <c r="OFO57" s="481"/>
      <c r="OFP57" s="481"/>
      <c r="OFQ57" s="481"/>
      <c r="OFR57" s="481"/>
      <c r="OFS57" s="481"/>
      <c r="OFT57" s="481"/>
      <c r="OFU57" s="481"/>
      <c r="OFV57" s="481"/>
      <c r="OFW57" s="481"/>
      <c r="OFX57" s="481"/>
      <c r="OFY57" s="481"/>
      <c r="OFZ57" s="481"/>
      <c r="OGA57" s="481"/>
      <c r="OGB57" s="481"/>
      <c r="OGC57" s="481"/>
      <c r="OGD57" s="481"/>
      <c r="OGE57" s="481"/>
      <c r="OGF57" s="481"/>
      <c r="OGG57" s="481"/>
      <c r="OGH57" s="481"/>
      <c r="OGI57" s="481"/>
      <c r="OGJ57" s="481"/>
      <c r="OGK57" s="481"/>
      <c r="OGL57" s="481"/>
      <c r="OGM57" s="481"/>
      <c r="OGN57" s="481"/>
      <c r="OGO57" s="481"/>
      <c r="OGP57" s="481"/>
      <c r="OGQ57" s="481"/>
      <c r="OGR57" s="481"/>
      <c r="OGS57" s="481"/>
      <c r="OGT57" s="481"/>
      <c r="OGU57" s="481"/>
      <c r="OGV57" s="481"/>
      <c r="OGW57" s="481"/>
      <c r="OGX57" s="481"/>
      <c r="OGY57" s="481"/>
      <c r="OGZ57" s="481"/>
      <c r="OHA57" s="481"/>
      <c r="OHB57" s="481"/>
      <c r="OHC57" s="481"/>
      <c r="OHD57" s="481"/>
      <c r="OHE57" s="481"/>
      <c r="OHF57" s="481"/>
      <c r="OHG57" s="481"/>
      <c r="OHH57" s="481"/>
      <c r="OHI57" s="481"/>
      <c r="OHJ57" s="481"/>
      <c r="OHK57" s="481"/>
      <c r="OHL57" s="481"/>
      <c r="OHM57" s="481"/>
      <c r="OHN57" s="481"/>
      <c r="OHO57" s="481"/>
      <c r="OHP57" s="481"/>
      <c r="OHQ57" s="481"/>
      <c r="OHR57" s="481"/>
      <c r="OHS57" s="481"/>
      <c r="OHT57" s="481"/>
      <c r="OHU57" s="481"/>
      <c r="OHV57" s="481"/>
      <c r="OHW57" s="481"/>
      <c r="OHX57" s="481"/>
      <c r="OHY57" s="481"/>
      <c r="OHZ57" s="481"/>
      <c r="OIA57" s="481"/>
      <c r="OIB57" s="481"/>
      <c r="OIC57" s="481"/>
      <c r="OID57" s="481"/>
      <c r="OIE57" s="481"/>
      <c r="OIF57" s="481"/>
      <c r="OIG57" s="481"/>
      <c r="OIH57" s="481"/>
      <c r="OII57" s="481"/>
      <c r="OIJ57" s="481"/>
      <c r="OIK57" s="481"/>
      <c r="OIL57" s="481"/>
      <c r="OIM57" s="481"/>
      <c r="OIN57" s="481"/>
      <c r="OIO57" s="481"/>
      <c r="OIP57" s="481"/>
      <c r="OIQ57" s="481"/>
      <c r="OIR57" s="481"/>
      <c r="OIS57" s="481"/>
      <c r="OIT57" s="481"/>
      <c r="OIU57" s="481"/>
      <c r="OIV57" s="481"/>
      <c r="OIW57" s="481"/>
      <c r="OIX57" s="481"/>
      <c r="OIY57" s="481"/>
      <c r="OIZ57" s="481"/>
      <c r="OJA57" s="481"/>
      <c r="OJB57" s="481"/>
      <c r="OJC57" s="481"/>
      <c r="OJD57" s="481"/>
      <c r="OJE57" s="481"/>
      <c r="OJF57" s="481"/>
      <c r="OJG57" s="481"/>
      <c r="OJH57" s="481"/>
      <c r="OJI57" s="481"/>
      <c r="OJJ57" s="481"/>
      <c r="OJK57" s="481"/>
      <c r="OJL57" s="481"/>
      <c r="OJM57" s="481"/>
      <c r="OJN57" s="481"/>
      <c r="OJO57" s="481"/>
      <c r="OJP57" s="481"/>
      <c r="OJQ57" s="481"/>
      <c r="OJR57" s="481"/>
      <c r="OJS57" s="481"/>
      <c r="OJT57" s="481"/>
      <c r="OJU57" s="481"/>
      <c r="OJV57" s="481"/>
      <c r="OJW57" s="481"/>
      <c r="OJX57" s="481"/>
      <c r="OJY57" s="481"/>
      <c r="OJZ57" s="481"/>
      <c r="OKA57" s="481"/>
      <c r="OKB57" s="481"/>
      <c r="OKC57" s="481"/>
      <c r="OKD57" s="481"/>
      <c r="OKE57" s="481"/>
      <c r="OKF57" s="481"/>
      <c r="OKG57" s="481"/>
      <c r="OKH57" s="481"/>
      <c r="OKI57" s="481"/>
      <c r="OKJ57" s="481"/>
      <c r="OKK57" s="481"/>
      <c r="OKL57" s="481"/>
      <c r="OKM57" s="481"/>
      <c r="OKN57" s="481"/>
      <c r="OKO57" s="481"/>
      <c r="OKP57" s="481"/>
      <c r="OKQ57" s="481"/>
      <c r="OKR57" s="481"/>
      <c r="OKS57" s="481"/>
      <c r="OKT57" s="481"/>
      <c r="OKU57" s="481"/>
      <c r="OKV57" s="481"/>
      <c r="OKW57" s="481"/>
      <c r="OKX57" s="481"/>
      <c r="OKY57" s="481"/>
      <c r="OKZ57" s="481"/>
      <c r="OLA57" s="481"/>
      <c r="OLB57" s="481"/>
      <c r="OLC57" s="481"/>
      <c r="OLD57" s="481"/>
      <c r="OLE57" s="481"/>
      <c r="OLF57" s="481"/>
      <c r="OLG57" s="481"/>
      <c r="OLH57" s="481"/>
      <c r="OLI57" s="481"/>
      <c r="OLJ57" s="481"/>
      <c r="OLK57" s="481"/>
      <c r="OLL57" s="481"/>
      <c r="OLM57" s="481"/>
      <c r="OLN57" s="481"/>
      <c r="OLO57" s="481"/>
      <c r="OLP57" s="481"/>
      <c r="OLQ57" s="481"/>
      <c r="OLR57" s="481"/>
      <c r="OLS57" s="481"/>
      <c r="OLT57" s="481"/>
      <c r="OLU57" s="481"/>
      <c r="OLV57" s="481"/>
      <c r="OLW57" s="481"/>
      <c r="OLX57" s="481"/>
      <c r="OLY57" s="481"/>
      <c r="OLZ57" s="481"/>
      <c r="OMA57" s="481"/>
      <c r="OMB57" s="481"/>
      <c r="OMC57" s="481"/>
      <c r="OMD57" s="481"/>
      <c r="OME57" s="481"/>
      <c r="OMF57" s="481"/>
      <c r="OMG57" s="481"/>
      <c r="OMH57" s="481"/>
      <c r="OMI57" s="481"/>
      <c r="OMJ57" s="481"/>
      <c r="OMK57" s="481"/>
      <c r="OML57" s="481"/>
      <c r="OMM57" s="481"/>
      <c r="OMN57" s="481"/>
      <c r="OMO57" s="481"/>
      <c r="OMP57" s="481"/>
      <c r="OMQ57" s="481"/>
      <c r="OMR57" s="481"/>
      <c r="OMS57" s="481"/>
      <c r="OMT57" s="481"/>
      <c r="OMU57" s="481"/>
      <c r="OMV57" s="481"/>
      <c r="OMW57" s="481"/>
      <c r="OMX57" s="481"/>
      <c r="OMY57" s="481"/>
      <c r="OMZ57" s="481"/>
      <c r="ONA57" s="481"/>
      <c r="ONB57" s="481"/>
      <c r="ONC57" s="481"/>
      <c r="OND57" s="481"/>
      <c r="ONE57" s="481"/>
      <c r="ONF57" s="481"/>
      <c r="ONG57" s="481"/>
      <c r="ONH57" s="481"/>
      <c r="ONI57" s="481"/>
      <c r="ONJ57" s="481"/>
      <c r="ONK57" s="481"/>
      <c r="ONL57" s="481"/>
      <c r="ONM57" s="481"/>
      <c r="ONN57" s="481"/>
      <c r="ONO57" s="481"/>
      <c r="ONP57" s="481"/>
      <c r="ONQ57" s="481"/>
      <c r="ONR57" s="481"/>
      <c r="ONS57" s="481"/>
      <c r="ONT57" s="481"/>
      <c r="ONU57" s="481"/>
      <c r="ONV57" s="481"/>
      <c r="ONW57" s="481"/>
      <c r="ONX57" s="481"/>
      <c r="ONY57" s="481"/>
      <c r="ONZ57" s="481"/>
      <c r="OOA57" s="481"/>
      <c r="OOB57" s="481"/>
      <c r="OOC57" s="481"/>
      <c r="OOD57" s="481"/>
      <c r="OOE57" s="481"/>
      <c r="OOF57" s="481"/>
      <c r="OOG57" s="481"/>
      <c r="OOH57" s="481"/>
      <c r="OOI57" s="481"/>
      <c r="OOJ57" s="481"/>
      <c r="OOK57" s="481"/>
      <c r="OOL57" s="481"/>
      <c r="OOM57" s="481"/>
      <c r="OON57" s="481"/>
      <c r="OOO57" s="481"/>
      <c r="OOP57" s="481"/>
      <c r="OOQ57" s="481"/>
      <c r="OOR57" s="481"/>
      <c r="OOS57" s="481"/>
      <c r="OOT57" s="481"/>
      <c r="OOU57" s="481"/>
      <c r="OOV57" s="481"/>
      <c r="OOW57" s="481"/>
      <c r="OOX57" s="481"/>
      <c r="OOY57" s="481"/>
      <c r="OOZ57" s="481"/>
      <c r="OPA57" s="481"/>
      <c r="OPB57" s="481"/>
      <c r="OPC57" s="481"/>
      <c r="OPD57" s="481"/>
      <c r="OPE57" s="481"/>
      <c r="OPF57" s="481"/>
      <c r="OPG57" s="481"/>
      <c r="OPH57" s="481"/>
      <c r="OPI57" s="481"/>
      <c r="OPJ57" s="481"/>
      <c r="OPK57" s="481"/>
      <c r="OPL57" s="481"/>
      <c r="OPM57" s="481"/>
      <c r="OPN57" s="481"/>
      <c r="OPO57" s="481"/>
      <c r="OPP57" s="481"/>
      <c r="OPQ57" s="481"/>
      <c r="OPR57" s="481"/>
      <c r="OPS57" s="481"/>
      <c r="OPT57" s="481"/>
      <c r="OPU57" s="481"/>
      <c r="OPV57" s="481"/>
      <c r="OPW57" s="481"/>
      <c r="OPX57" s="481"/>
      <c r="OPY57" s="481"/>
      <c r="OPZ57" s="481"/>
      <c r="OQA57" s="481"/>
      <c r="OQB57" s="481"/>
      <c r="OQC57" s="481"/>
      <c r="OQD57" s="481"/>
      <c r="OQE57" s="481"/>
      <c r="OQF57" s="481"/>
      <c r="OQG57" s="481"/>
      <c r="OQH57" s="481"/>
      <c r="OQI57" s="481"/>
      <c r="OQJ57" s="481"/>
      <c r="OQK57" s="481"/>
      <c r="OQL57" s="481"/>
      <c r="OQM57" s="481"/>
      <c r="OQN57" s="481"/>
      <c r="OQO57" s="481"/>
      <c r="OQP57" s="481"/>
      <c r="OQQ57" s="481"/>
      <c r="OQR57" s="481"/>
      <c r="OQS57" s="481"/>
      <c r="OQT57" s="481"/>
      <c r="OQU57" s="481"/>
      <c r="OQV57" s="481"/>
      <c r="OQW57" s="481"/>
      <c r="OQX57" s="481"/>
      <c r="OQY57" s="481"/>
      <c r="OQZ57" s="481"/>
      <c r="ORA57" s="481"/>
      <c r="ORB57" s="481"/>
      <c r="ORC57" s="481"/>
      <c r="ORD57" s="481"/>
      <c r="ORE57" s="481"/>
      <c r="ORF57" s="481"/>
      <c r="ORG57" s="481"/>
      <c r="ORH57" s="481"/>
      <c r="ORI57" s="481"/>
      <c r="ORJ57" s="481"/>
      <c r="ORK57" s="481"/>
      <c r="ORL57" s="481"/>
      <c r="ORM57" s="481"/>
      <c r="ORN57" s="481"/>
      <c r="ORO57" s="481"/>
      <c r="ORP57" s="481"/>
      <c r="ORQ57" s="481"/>
      <c r="ORR57" s="481"/>
      <c r="ORS57" s="481"/>
      <c r="ORT57" s="481"/>
      <c r="ORU57" s="481"/>
      <c r="ORV57" s="481"/>
      <c r="ORW57" s="481"/>
      <c r="ORX57" s="481"/>
      <c r="ORY57" s="481"/>
      <c r="ORZ57" s="481"/>
      <c r="OSA57" s="481"/>
      <c r="OSB57" s="481"/>
      <c r="OSC57" s="481"/>
      <c r="OSD57" s="481"/>
      <c r="OSE57" s="481"/>
      <c r="OSF57" s="481"/>
      <c r="OSG57" s="481"/>
      <c r="OSH57" s="481"/>
      <c r="OSI57" s="481"/>
      <c r="OSJ57" s="481"/>
      <c r="OSK57" s="481"/>
      <c r="OSL57" s="481"/>
      <c r="OSM57" s="481"/>
      <c r="OSN57" s="481"/>
      <c r="OSO57" s="481"/>
      <c r="OSP57" s="481"/>
      <c r="OSQ57" s="481"/>
      <c r="OSR57" s="481"/>
      <c r="OSS57" s="481"/>
      <c r="OST57" s="481"/>
      <c r="OSU57" s="481"/>
      <c r="OSV57" s="481"/>
      <c r="OSW57" s="481"/>
      <c r="OSX57" s="481"/>
      <c r="OSY57" s="481"/>
      <c r="OSZ57" s="481"/>
      <c r="OTA57" s="481"/>
      <c r="OTB57" s="481"/>
      <c r="OTC57" s="481"/>
      <c r="OTD57" s="481"/>
      <c r="OTE57" s="481"/>
      <c r="OTF57" s="481"/>
      <c r="OTG57" s="481"/>
      <c r="OTH57" s="481"/>
      <c r="OTI57" s="481"/>
      <c r="OTJ57" s="481"/>
      <c r="OTK57" s="481"/>
      <c r="OTL57" s="481"/>
      <c r="OTM57" s="481"/>
      <c r="OTN57" s="481"/>
      <c r="OTO57" s="481"/>
      <c r="OTP57" s="481"/>
      <c r="OTQ57" s="481"/>
      <c r="OTR57" s="481"/>
      <c r="OTS57" s="481"/>
      <c r="OTT57" s="481"/>
      <c r="OTU57" s="481"/>
      <c r="OTV57" s="481"/>
      <c r="OTW57" s="481"/>
      <c r="OTX57" s="481"/>
      <c r="OTY57" s="481"/>
      <c r="OTZ57" s="481"/>
      <c r="OUA57" s="481"/>
      <c r="OUB57" s="481"/>
      <c r="OUC57" s="481"/>
      <c r="OUD57" s="481"/>
      <c r="OUE57" s="481"/>
      <c r="OUF57" s="481"/>
      <c r="OUG57" s="481"/>
      <c r="OUH57" s="481"/>
      <c r="OUI57" s="481"/>
      <c r="OUJ57" s="481"/>
      <c r="OUK57" s="481"/>
      <c r="OUL57" s="481"/>
      <c r="OUM57" s="481"/>
      <c r="OUN57" s="481"/>
      <c r="OUO57" s="481"/>
      <c r="OUP57" s="481"/>
      <c r="OUQ57" s="481"/>
      <c r="OUR57" s="481"/>
      <c r="OUS57" s="481"/>
      <c r="OUT57" s="481"/>
      <c r="OUU57" s="481"/>
      <c r="OUV57" s="481"/>
      <c r="OUW57" s="481"/>
      <c r="OUX57" s="481"/>
      <c r="OUY57" s="481"/>
      <c r="OUZ57" s="481"/>
      <c r="OVA57" s="481"/>
      <c r="OVB57" s="481"/>
      <c r="OVC57" s="481"/>
      <c r="OVD57" s="481"/>
      <c r="OVE57" s="481"/>
      <c r="OVF57" s="481"/>
      <c r="OVG57" s="481"/>
      <c r="OVH57" s="481"/>
      <c r="OVI57" s="481"/>
      <c r="OVJ57" s="481"/>
      <c r="OVK57" s="481"/>
      <c r="OVL57" s="481"/>
      <c r="OVM57" s="481"/>
      <c r="OVN57" s="481"/>
      <c r="OVO57" s="481"/>
      <c r="OVP57" s="481"/>
      <c r="OVQ57" s="481"/>
      <c r="OVR57" s="481"/>
      <c r="OVS57" s="481"/>
      <c r="OVT57" s="481"/>
      <c r="OVU57" s="481"/>
      <c r="OVV57" s="481"/>
      <c r="OVW57" s="481"/>
      <c r="OVX57" s="481"/>
      <c r="OVY57" s="481"/>
      <c r="OVZ57" s="481"/>
      <c r="OWA57" s="481"/>
      <c r="OWB57" s="481"/>
      <c r="OWC57" s="481"/>
      <c r="OWD57" s="481"/>
      <c r="OWE57" s="481"/>
      <c r="OWF57" s="481"/>
      <c r="OWG57" s="481"/>
      <c r="OWH57" s="481"/>
      <c r="OWI57" s="481"/>
      <c r="OWJ57" s="481"/>
      <c r="OWK57" s="481"/>
      <c r="OWL57" s="481"/>
      <c r="OWM57" s="481"/>
      <c r="OWN57" s="481"/>
      <c r="OWO57" s="481"/>
      <c r="OWP57" s="481"/>
      <c r="OWQ57" s="481"/>
      <c r="OWR57" s="481"/>
      <c r="OWS57" s="481"/>
      <c r="OWT57" s="481"/>
      <c r="OWU57" s="481"/>
      <c r="OWV57" s="481"/>
      <c r="OWW57" s="481"/>
      <c r="OWX57" s="481"/>
      <c r="OWY57" s="481"/>
      <c r="OWZ57" s="481"/>
      <c r="OXA57" s="481"/>
      <c r="OXB57" s="481"/>
      <c r="OXC57" s="481"/>
      <c r="OXD57" s="481"/>
      <c r="OXE57" s="481"/>
      <c r="OXF57" s="481"/>
      <c r="OXG57" s="481"/>
      <c r="OXH57" s="481"/>
      <c r="OXI57" s="481"/>
      <c r="OXJ57" s="481"/>
      <c r="OXK57" s="481"/>
      <c r="OXL57" s="481"/>
      <c r="OXM57" s="481"/>
      <c r="OXN57" s="481"/>
      <c r="OXO57" s="481"/>
      <c r="OXP57" s="481"/>
      <c r="OXQ57" s="481"/>
      <c r="OXR57" s="481"/>
      <c r="OXS57" s="481"/>
      <c r="OXT57" s="481"/>
      <c r="OXU57" s="481"/>
      <c r="OXV57" s="481"/>
      <c r="OXW57" s="481"/>
      <c r="OXX57" s="481"/>
      <c r="OXY57" s="481"/>
      <c r="OXZ57" s="481"/>
      <c r="OYA57" s="481"/>
      <c r="OYB57" s="481"/>
      <c r="OYC57" s="481"/>
      <c r="OYD57" s="481"/>
      <c r="OYE57" s="481"/>
      <c r="OYF57" s="481"/>
      <c r="OYG57" s="481"/>
      <c r="OYH57" s="481"/>
      <c r="OYI57" s="481"/>
      <c r="OYJ57" s="481"/>
      <c r="OYK57" s="481"/>
      <c r="OYL57" s="481"/>
      <c r="OYM57" s="481"/>
      <c r="OYN57" s="481"/>
      <c r="OYO57" s="481"/>
      <c r="OYP57" s="481"/>
      <c r="OYQ57" s="481"/>
      <c r="OYR57" s="481"/>
      <c r="OYS57" s="481"/>
      <c r="OYT57" s="481"/>
      <c r="OYU57" s="481"/>
      <c r="OYV57" s="481"/>
      <c r="OYW57" s="481"/>
      <c r="OYX57" s="481"/>
      <c r="OYY57" s="481"/>
      <c r="OYZ57" s="481"/>
      <c r="OZA57" s="481"/>
      <c r="OZB57" s="481"/>
      <c r="OZC57" s="481"/>
      <c r="OZD57" s="481"/>
      <c r="OZE57" s="481"/>
      <c r="OZF57" s="481"/>
      <c r="OZG57" s="481"/>
      <c r="OZH57" s="481"/>
      <c r="OZI57" s="481"/>
      <c r="OZJ57" s="481"/>
      <c r="OZK57" s="481"/>
      <c r="OZL57" s="481"/>
      <c r="OZM57" s="481"/>
      <c r="OZN57" s="481"/>
      <c r="OZO57" s="481"/>
      <c r="OZP57" s="481"/>
      <c r="OZQ57" s="481"/>
      <c r="OZR57" s="481"/>
      <c r="OZS57" s="481"/>
      <c r="OZT57" s="481"/>
      <c r="OZU57" s="481"/>
      <c r="OZV57" s="481"/>
      <c r="OZW57" s="481"/>
      <c r="OZX57" s="481"/>
      <c r="OZY57" s="481"/>
      <c r="OZZ57" s="481"/>
      <c r="PAA57" s="481"/>
      <c r="PAB57" s="481"/>
      <c r="PAC57" s="481"/>
      <c r="PAD57" s="481"/>
      <c r="PAE57" s="481"/>
      <c r="PAF57" s="481"/>
      <c r="PAG57" s="481"/>
      <c r="PAH57" s="481"/>
      <c r="PAI57" s="481"/>
      <c r="PAJ57" s="481"/>
      <c r="PAK57" s="481"/>
      <c r="PAL57" s="481"/>
      <c r="PAM57" s="481"/>
      <c r="PAN57" s="481"/>
      <c r="PAO57" s="481"/>
      <c r="PAP57" s="481"/>
      <c r="PAQ57" s="481"/>
      <c r="PAR57" s="481"/>
      <c r="PAS57" s="481"/>
      <c r="PAT57" s="481"/>
      <c r="PAU57" s="481"/>
      <c r="PAV57" s="481"/>
      <c r="PAW57" s="481"/>
      <c r="PAX57" s="481"/>
      <c r="PAY57" s="481"/>
      <c r="PAZ57" s="481"/>
      <c r="PBA57" s="481"/>
      <c r="PBB57" s="481"/>
      <c r="PBC57" s="481"/>
      <c r="PBD57" s="481"/>
      <c r="PBE57" s="481"/>
      <c r="PBF57" s="481"/>
      <c r="PBG57" s="481"/>
      <c r="PBH57" s="481"/>
      <c r="PBI57" s="481"/>
      <c r="PBJ57" s="481"/>
      <c r="PBK57" s="481"/>
      <c r="PBL57" s="481"/>
      <c r="PBM57" s="481"/>
      <c r="PBN57" s="481"/>
      <c r="PBO57" s="481"/>
      <c r="PBP57" s="481"/>
      <c r="PBQ57" s="481"/>
      <c r="PBR57" s="481"/>
      <c r="PBS57" s="481"/>
      <c r="PBT57" s="481"/>
      <c r="PBU57" s="481"/>
      <c r="PBV57" s="481"/>
      <c r="PBW57" s="481"/>
      <c r="PBX57" s="481"/>
      <c r="PBY57" s="481"/>
      <c r="PBZ57" s="481"/>
      <c r="PCA57" s="481"/>
      <c r="PCB57" s="481"/>
      <c r="PCC57" s="481"/>
      <c r="PCD57" s="481"/>
      <c r="PCE57" s="481"/>
      <c r="PCF57" s="481"/>
      <c r="PCG57" s="481"/>
      <c r="PCH57" s="481"/>
      <c r="PCI57" s="481"/>
      <c r="PCJ57" s="481"/>
      <c r="PCK57" s="481"/>
      <c r="PCL57" s="481"/>
      <c r="PCM57" s="481"/>
      <c r="PCN57" s="481"/>
      <c r="PCO57" s="481"/>
      <c r="PCP57" s="481"/>
      <c r="PCQ57" s="481"/>
      <c r="PCR57" s="481"/>
      <c r="PCS57" s="481"/>
      <c r="PCT57" s="481"/>
      <c r="PCU57" s="481"/>
      <c r="PCV57" s="481"/>
      <c r="PCW57" s="481"/>
      <c r="PCX57" s="481"/>
      <c r="PCY57" s="481"/>
      <c r="PCZ57" s="481"/>
      <c r="PDA57" s="481"/>
      <c r="PDB57" s="481"/>
      <c r="PDC57" s="481"/>
      <c r="PDD57" s="481"/>
      <c r="PDE57" s="481"/>
      <c r="PDF57" s="481"/>
      <c r="PDG57" s="481"/>
      <c r="PDH57" s="481"/>
      <c r="PDI57" s="481"/>
      <c r="PDJ57" s="481"/>
      <c r="PDK57" s="481"/>
      <c r="PDL57" s="481"/>
      <c r="PDM57" s="481"/>
      <c r="PDN57" s="481"/>
      <c r="PDO57" s="481"/>
      <c r="PDP57" s="481"/>
      <c r="PDQ57" s="481"/>
      <c r="PDR57" s="481"/>
      <c r="PDS57" s="481"/>
      <c r="PDT57" s="481"/>
      <c r="PDU57" s="481"/>
      <c r="PDV57" s="481"/>
      <c r="PDW57" s="481"/>
      <c r="PDX57" s="481"/>
      <c r="PDY57" s="481"/>
      <c r="PDZ57" s="481"/>
      <c r="PEA57" s="481"/>
      <c r="PEB57" s="481"/>
      <c r="PEC57" s="481"/>
      <c r="PED57" s="481"/>
      <c r="PEE57" s="481"/>
      <c r="PEF57" s="481"/>
      <c r="PEG57" s="481"/>
      <c r="PEH57" s="481"/>
      <c r="PEI57" s="481"/>
      <c r="PEJ57" s="481"/>
      <c r="PEK57" s="481"/>
      <c r="PEL57" s="481"/>
      <c r="PEM57" s="481"/>
      <c r="PEN57" s="481"/>
      <c r="PEO57" s="481"/>
      <c r="PEP57" s="481"/>
      <c r="PEQ57" s="481"/>
      <c r="PER57" s="481"/>
      <c r="PES57" s="481"/>
      <c r="PET57" s="481"/>
      <c r="PEU57" s="481"/>
      <c r="PEV57" s="481"/>
      <c r="PEW57" s="481"/>
      <c r="PEX57" s="481"/>
      <c r="PEY57" s="481"/>
      <c r="PEZ57" s="481"/>
      <c r="PFA57" s="481"/>
      <c r="PFB57" s="481"/>
      <c r="PFC57" s="481"/>
      <c r="PFD57" s="481"/>
      <c r="PFE57" s="481"/>
      <c r="PFF57" s="481"/>
      <c r="PFG57" s="481"/>
      <c r="PFH57" s="481"/>
      <c r="PFI57" s="481"/>
      <c r="PFJ57" s="481"/>
      <c r="PFK57" s="481"/>
      <c r="PFL57" s="481"/>
      <c r="PFM57" s="481"/>
      <c r="PFN57" s="481"/>
      <c r="PFO57" s="481"/>
      <c r="PFP57" s="481"/>
      <c r="PFQ57" s="481"/>
      <c r="PFR57" s="481"/>
      <c r="PFS57" s="481"/>
      <c r="PFT57" s="481"/>
      <c r="PFU57" s="481"/>
      <c r="PFV57" s="481"/>
      <c r="PFW57" s="481"/>
      <c r="PFX57" s="481"/>
      <c r="PFY57" s="481"/>
      <c r="PFZ57" s="481"/>
      <c r="PGA57" s="481"/>
      <c r="PGB57" s="481"/>
      <c r="PGC57" s="481"/>
      <c r="PGD57" s="481"/>
      <c r="PGE57" s="481"/>
      <c r="PGF57" s="481"/>
      <c r="PGG57" s="481"/>
      <c r="PGH57" s="481"/>
      <c r="PGI57" s="481"/>
      <c r="PGJ57" s="481"/>
      <c r="PGK57" s="481"/>
      <c r="PGL57" s="481"/>
      <c r="PGM57" s="481"/>
      <c r="PGN57" s="481"/>
      <c r="PGO57" s="481"/>
      <c r="PGP57" s="481"/>
      <c r="PGQ57" s="481"/>
      <c r="PGR57" s="481"/>
      <c r="PGS57" s="481"/>
      <c r="PGT57" s="481"/>
      <c r="PGU57" s="481"/>
      <c r="PGV57" s="481"/>
      <c r="PGW57" s="481"/>
      <c r="PGX57" s="481"/>
      <c r="PGY57" s="481"/>
      <c r="PGZ57" s="481"/>
      <c r="PHA57" s="481"/>
      <c r="PHB57" s="481"/>
      <c r="PHC57" s="481"/>
      <c r="PHD57" s="481"/>
      <c r="PHE57" s="481"/>
      <c r="PHF57" s="481"/>
      <c r="PHG57" s="481"/>
      <c r="PHH57" s="481"/>
      <c r="PHI57" s="481"/>
      <c r="PHJ57" s="481"/>
      <c r="PHK57" s="481"/>
      <c r="PHL57" s="481"/>
      <c r="PHM57" s="481"/>
      <c r="PHN57" s="481"/>
      <c r="PHO57" s="481"/>
      <c r="PHP57" s="481"/>
      <c r="PHQ57" s="481"/>
      <c r="PHR57" s="481"/>
      <c r="PHS57" s="481"/>
      <c r="PHT57" s="481"/>
      <c r="PHU57" s="481"/>
      <c r="PHV57" s="481"/>
      <c r="PHW57" s="481"/>
      <c r="PHX57" s="481"/>
      <c r="PHY57" s="481"/>
      <c r="PHZ57" s="481"/>
      <c r="PIA57" s="481"/>
      <c r="PIB57" s="481"/>
      <c r="PIC57" s="481"/>
      <c r="PID57" s="481"/>
      <c r="PIE57" s="481"/>
      <c r="PIF57" s="481"/>
      <c r="PIG57" s="481"/>
      <c r="PIH57" s="481"/>
      <c r="PII57" s="481"/>
      <c r="PIJ57" s="481"/>
      <c r="PIK57" s="481"/>
      <c r="PIL57" s="481"/>
      <c r="PIM57" s="481"/>
      <c r="PIN57" s="481"/>
      <c r="PIO57" s="481"/>
      <c r="PIP57" s="481"/>
      <c r="PIQ57" s="481"/>
      <c r="PIR57" s="481"/>
      <c r="PIS57" s="481"/>
      <c r="PIT57" s="481"/>
      <c r="PIU57" s="481"/>
      <c r="PIV57" s="481"/>
      <c r="PIW57" s="481"/>
      <c r="PIX57" s="481"/>
      <c r="PIY57" s="481"/>
      <c r="PIZ57" s="481"/>
      <c r="PJA57" s="481"/>
      <c r="PJB57" s="481"/>
      <c r="PJC57" s="481"/>
      <c r="PJD57" s="481"/>
      <c r="PJE57" s="481"/>
      <c r="PJF57" s="481"/>
      <c r="PJG57" s="481"/>
      <c r="PJH57" s="481"/>
      <c r="PJI57" s="481"/>
      <c r="PJJ57" s="481"/>
      <c r="PJK57" s="481"/>
      <c r="PJL57" s="481"/>
      <c r="PJM57" s="481"/>
      <c r="PJN57" s="481"/>
      <c r="PJO57" s="481"/>
      <c r="PJP57" s="481"/>
      <c r="PJQ57" s="481"/>
      <c r="PJR57" s="481"/>
      <c r="PJS57" s="481"/>
      <c r="PJT57" s="481"/>
      <c r="PJU57" s="481"/>
      <c r="PJV57" s="481"/>
      <c r="PJW57" s="481"/>
      <c r="PJX57" s="481"/>
      <c r="PJY57" s="481"/>
      <c r="PJZ57" s="481"/>
      <c r="PKA57" s="481"/>
      <c r="PKB57" s="481"/>
      <c r="PKC57" s="481"/>
      <c r="PKD57" s="481"/>
      <c r="PKE57" s="481"/>
      <c r="PKF57" s="481"/>
      <c r="PKG57" s="481"/>
      <c r="PKH57" s="481"/>
      <c r="PKI57" s="481"/>
      <c r="PKJ57" s="481"/>
      <c r="PKK57" s="481"/>
      <c r="PKL57" s="481"/>
      <c r="PKM57" s="481"/>
      <c r="PKN57" s="481"/>
      <c r="PKO57" s="481"/>
      <c r="PKP57" s="481"/>
      <c r="PKQ57" s="481"/>
      <c r="PKR57" s="481"/>
      <c r="PKS57" s="481"/>
      <c r="PKT57" s="481"/>
      <c r="PKU57" s="481"/>
      <c r="PKV57" s="481"/>
      <c r="PKW57" s="481"/>
      <c r="PKX57" s="481"/>
      <c r="PKY57" s="481"/>
      <c r="PKZ57" s="481"/>
      <c r="PLA57" s="481"/>
      <c r="PLB57" s="481"/>
      <c r="PLC57" s="481"/>
      <c r="PLD57" s="481"/>
      <c r="PLE57" s="481"/>
      <c r="PLF57" s="481"/>
      <c r="PLG57" s="481"/>
      <c r="PLH57" s="481"/>
      <c r="PLI57" s="481"/>
      <c r="PLJ57" s="481"/>
      <c r="PLK57" s="481"/>
      <c r="PLL57" s="481"/>
      <c r="PLM57" s="481"/>
      <c r="PLN57" s="481"/>
      <c r="PLO57" s="481"/>
      <c r="PLP57" s="481"/>
      <c r="PLQ57" s="481"/>
      <c r="PLR57" s="481"/>
      <c r="PLS57" s="481"/>
      <c r="PLT57" s="481"/>
      <c r="PLU57" s="481"/>
      <c r="PLV57" s="481"/>
      <c r="PLW57" s="481"/>
      <c r="PLX57" s="481"/>
      <c r="PLY57" s="481"/>
      <c r="PLZ57" s="481"/>
      <c r="PMA57" s="481"/>
      <c r="PMB57" s="481"/>
      <c r="PMC57" s="481"/>
      <c r="PMD57" s="481"/>
      <c r="PME57" s="481"/>
      <c r="PMF57" s="481"/>
      <c r="PMG57" s="481"/>
      <c r="PMH57" s="481"/>
      <c r="PMI57" s="481"/>
      <c r="PMJ57" s="481"/>
      <c r="PMK57" s="481"/>
      <c r="PML57" s="481"/>
      <c r="PMM57" s="481"/>
      <c r="PMN57" s="481"/>
      <c r="PMO57" s="481"/>
      <c r="PMP57" s="481"/>
      <c r="PMQ57" s="481"/>
      <c r="PMR57" s="481"/>
      <c r="PMS57" s="481"/>
      <c r="PMT57" s="481"/>
      <c r="PMU57" s="481"/>
      <c r="PMV57" s="481"/>
      <c r="PMW57" s="481"/>
      <c r="PMX57" s="481"/>
      <c r="PMY57" s="481"/>
      <c r="PMZ57" s="481"/>
      <c r="PNA57" s="481"/>
      <c r="PNB57" s="481"/>
      <c r="PNC57" s="481"/>
      <c r="PND57" s="481"/>
      <c r="PNE57" s="481"/>
      <c r="PNF57" s="481"/>
      <c r="PNG57" s="481"/>
      <c r="PNH57" s="481"/>
      <c r="PNI57" s="481"/>
      <c r="PNJ57" s="481"/>
      <c r="PNK57" s="481"/>
      <c r="PNL57" s="481"/>
      <c r="PNM57" s="481"/>
      <c r="PNN57" s="481"/>
      <c r="PNO57" s="481"/>
      <c r="PNP57" s="481"/>
      <c r="PNQ57" s="481"/>
      <c r="PNR57" s="481"/>
      <c r="PNS57" s="481"/>
      <c r="PNT57" s="481"/>
      <c r="PNU57" s="481"/>
      <c r="PNV57" s="481"/>
      <c r="PNW57" s="481"/>
      <c r="PNX57" s="481"/>
      <c r="PNY57" s="481"/>
      <c r="PNZ57" s="481"/>
      <c r="POA57" s="481"/>
      <c r="POB57" s="481"/>
      <c r="POC57" s="481"/>
      <c r="POD57" s="481"/>
      <c r="POE57" s="481"/>
      <c r="POF57" s="481"/>
      <c r="POG57" s="481"/>
      <c r="POH57" s="481"/>
      <c r="POI57" s="481"/>
      <c r="POJ57" s="481"/>
      <c r="POK57" s="481"/>
      <c r="POL57" s="481"/>
      <c r="POM57" s="481"/>
      <c r="PON57" s="481"/>
      <c r="POO57" s="481"/>
      <c r="POP57" s="481"/>
      <c r="POQ57" s="481"/>
      <c r="POR57" s="481"/>
      <c r="POS57" s="481"/>
      <c r="POT57" s="481"/>
      <c r="POU57" s="481"/>
      <c r="POV57" s="481"/>
      <c r="POW57" s="481"/>
      <c r="POX57" s="481"/>
      <c r="POY57" s="481"/>
      <c r="POZ57" s="481"/>
      <c r="PPA57" s="481"/>
      <c r="PPB57" s="481"/>
      <c r="PPC57" s="481"/>
      <c r="PPD57" s="481"/>
      <c r="PPE57" s="481"/>
      <c r="PPF57" s="481"/>
      <c r="PPG57" s="481"/>
      <c r="PPH57" s="481"/>
      <c r="PPI57" s="481"/>
      <c r="PPJ57" s="481"/>
      <c r="PPK57" s="481"/>
      <c r="PPL57" s="481"/>
      <c r="PPM57" s="481"/>
      <c r="PPN57" s="481"/>
      <c r="PPO57" s="481"/>
      <c r="PPP57" s="481"/>
      <c r="PPQ57" s="481"/>
      <c r="PPR57" s="481"/>
      <c r="PPS57" s="481"/>
      <c r="PPT57" s="481"/>
      <c r="PPU57" s="481"/>
      <c r="PPV57" s="481"/>
      <c r="PPW57" s="481"/>
      <c r="PPX57" s="481"/>
      <c r="PPY57" s="481"/>
      <c r="PPZ57" s="481"/>
      <c r="PQA57" s="481"/>
      <c r="PQB57" s="481"/>
      <c r="PQC57" s="481"/>
      <c r="PQD57" s="481"/>
      <c r="PQE57" s="481"/>
      <c r="PQF57" s="481"/>
      <c r="PQG57" s="481"/>
      <c r="PQH57" s="481"/>
      <c r="PQI57" s="481"/>
      <c r="PQJ57" s="481"/>
      <c r="PQK57" s="481"/>
      <c r="PQL57" s="481"/>
      <c r="PQM57" s="481"/>
      <c r="PQN57" s="481"/>
      <c r="PQO57" s="481"/>
      <c r="PQP57" s="481"/>
      <c r="PQQ57" s="481"/>
      <c r="PQR57" s="481"/>
      <c r="PQS57" s="481"/>
      <c r="PQT57" s="481"/>
      <c r="PQU57" s="481"/>
      <c r="PQV57" s="481"/>
      <c r="PQW57" s="481"/>
      <c r="PQX57" s="481"/>
      <c r="PQY57" s="481"/>
      <c r="PQZ57" s="481"/>
      <c r="PRA57" s="481"/>
      <c r="PRB57" s="481"/>
      <c r="PRC57" s="481"/>
      <c r="PRD57" s="481"/>
      <c r="PRE57" s="481"/>
      <c r="PRF57" s="481"/>
      <c r="PRG57" s="481"/>
      <c r="PRH57" s="481"/>
      <c r="PRI57" s="481"/>
      <c r="PRJ57" s="481"/>
      <c r="PRK57" s="481"/>
      <c r="PRL57" s="481"/>
      <c r="PRM57" s="481"/>
      <c r="PRN57" s="481"/>
      <c r="PRO57" s="481"/>
      <c r="PRP57" s="481"/>
      <c r="PRQ57" s="481"/>
      <c r="PRR57" s="481"/>
      <c r="PRS57" s="481"/>
      <c r="PRT57" s="481"/>
      <c r="PRU57" s="481"/>
      <c r="PRV57" s="481"/>
      <c r="PRW57" s="481"/>
      <c r="PRX57" s="481"/>
      <c r="PRY57" s="481"/>
      <c r="PRZ57" s="481"/>
      <c r="PSA57" s="481"/>
      <c r="PSB57" s="481"/>
      <c r="PSC57" s="481"/>
      <c r="PSD57" s="481"/>
      <c r="PSE57" s="481"/>
      <c r="PSF57" s="481"/>
      <c r="PSG57" s="481"/>
      <c r="PSH57" s="481"/>
      <c r="PSI57" s="481"/>
      <c r="PSJ57" s="481"/>
      <c r="PSK57" s="481"/>
      <c r="PSL57" s="481"/>
      <c r="PSM57" s="481"/>
      <c r="PSN57" s="481"/>
      <c r="PSO57" s="481"/>
      <c r="PSP57" s="481"/>
      <c r="PSQ57" s="481"/>
      <c r="PSR57" s="481"/>
      <c r="PSS57" s="481"/>
      <c r="PST57" s="481"/>
      <c r="PSU57" s="481"/>
      <c r="PSV57" s="481"/>
      <c r="PSW57" s="481"/>
      <c r="PSX57" s="481"/>
      <c r="PSY57" s="481"/>
      <c r="PSZ57" s="481"/>
      <c r="PTA57" s="481"/>
      <c r="PTB57" s="481"/>
      <c r="PTC57" s="481"/>
      <c r="PTD57" s="481"/>
      <c r="PTE57" s="481"/>
      <c r="PTF57" s="481"/>
      <c r="PTG57" s="481"/>
      <c r="PTH57" s="481"/>
      <c r="PTI57" s="481"/>
      <c r="PTJ57" s="481"/>
      <c r="PTK57" s="481"/>
      <c r="PTL57" s="481"/>
      <c r="PTM57" s="481"/>
      <c r="PTN57" s="481"/>
      <c r="PTO57" s="481"/>
      <c r="PTP57" s="481"/>
      <c r="PTQ57" s="481"/>
      <c r="PTR57" s="481"/>
      <c r="PTS57" s="481"/>
      <c r="PTT57" s="481"/>
      <c r="PTU57" s="481"/>
      <c r="PTV57" s="481"/>
      <c r="PTW57" s="481"/>
      <c r="PTX57" s="481"/>
      <c r="PTY57" s="481"/>
      <c r="PTZ57" s="481"/>
      <c r="PUA57" s="481"/>
      <c r="PUB57" s="481"/>
      <c r="PUC57" s="481"/>
      <c r="PUD57" s="481"/>
      <c r="PUE57" s="481"/>
      <c r="PUF57" s="481"/>
      <c r="PUG57" s="481"/>
      <c r="PUH57" s="481"/>
      <c r="PUI57" s="481"/>
      <c r="PUJ57" s="481"/>
      <c r="PUK57" s="481"/>
      <c r="PUL57" s="481"/>
      <c r="PUM57" s="481"/>
      <c r="PUN57" s="481"/>
      <c r="PUO57" s="481"/>
      <c r="PUP57" s="481"/>
      <c r="PUQ57" s="481"/>
      <c r="PUR57" s="481"/>
      <c r="PUS57" s="481"/>
      <c r="PUT57" s="481"/>
      <c r="PUU57" s="481"/>
      <c r="PUV57" s="481"/>
      <c r="PUW57" s="481"/>
      <c r="PUX57" s="481"/>
      <c r="PUY57" s="481"/>
      <c r="PUZ57" s="481"/>
      <c r="PVA57" s="481"/>
      <c r="PVB57" s="481"/>
      <c r="PVC57" s="481"/>
      <c r="PVD57" s="481"/>
      <c r="PVE57" s="481"/>
      <c r="PVF57" s="481"/>
      <c r="PVG57" s="481"/>
      <c r="PVH57" s="481"/>
      <c r="PVI57" s="481"/>
      <c r="PVJ57" s="481"/>
      <c r="PVK57" s="481"/>
      <c r="PVL57" s="481"/>
      <c r="PVM57" s="481"/>
      <c r="PVN57" s="481"/>
      <c r="PVO57" s="481"/>
      <c r="PVP57" s="481"/>
      <c r="PVQ57" s="481"/>
      <c r="PVR57" s="481"/>
      <c r="PVS57" s="481"/>
      <c r="PVT57" s="481"/>
      <c r="PVU57" s="481"/>
      <c r="PVV57" s="481"/>
      <c r="PVW57" s="481"/>
      <c r="PVX57" s="481"/>
      <c r="PVY57" s="481"/>
      <c r="PVZ57" s="481"/>
      <c r="PWA57" s="481"/>
      <c r="PWB57" s="481"/>
      <c r="PWC57" s="481"/>
      <c r="PWD57" s="481"/>
      <c r="PWE57" s="481"/>
      <c r="PWF57" s="481"/>
      <c r="PWG57" s="481"/>
      <c r="PWH57" s="481"/>
      <c r="PWI57" s="481"/>
      <c r="PWJ57" s="481"/>
      <c r="PWK57" s="481"/>
      <c r="PWL57" s="481"/>
      <c r="PWM57" s="481"/>
      <c r="PWN57" s="481"/>
      <c r="PWO57" s="481"/>
      <c r="PWP57" s="481"/>
      <c r="PWQ57" s="481"/>
      <c r="PWR57" s="481"/>
      <c r="PWS57" s="481"/>
      <c r="PWT57" s="481"/>
      <c r="PWU57" s="481"/>
      <c r="PWV57" s="481"/>
      <c r="PWW57" s="481"/>
      <c r="PWX57" s="481"/>
      <c r="PWY57" s="481"/>
      <c r="PWZ57" s="481"/>
      <c r="PXA57" s="481"/>
      <c r="PXB57" s="481"/>
      <c r="PXC57" s="481"/>
      <c r="PXD57" s="481"/>
      <c r="PXE57" s="481"/>
      <c r="PXF57" s="481"/>
      <c r="PXG57" s="481"/>
      <c r="PXH57" s="481"/>
      <c r="PXI57" s="481"/>
      <c r="PXJ57" s="481"/>
      <c r="PXK57" s="481"/>
      <c r="PXL57" s="481"/>
      <c r="PXM57" s="481"/>
      <c r="PXN57" s="481"/>
      <c r="PXO57" s="481"/>
      <c r="PXP57" s="481"/>
      <c r="PXQ57" s="481"/>
      <c r="PXR57" s="481"/>
      <c r="PXS57" s="481"/>
      <c r="PXT57" s="481"/>
      <c r="PXU57" s="481"/>
      <c r="PXV57" s="481"/>
      <c r="PXW57" s="481"/>
      <c r="PXX57" s="481"/>
      <c r="PXY57" s="481"/>
      <c r="PXZ57" s="481"/>
      <c r="PYA57" s="481"/>
      <c r="PYB57" s="481"/>
      <c r="PYC57" s="481"/>
      <c r="PYD57" s="481"/>
      <c r="PYE57" s="481"/>
      <c r="PYF57" s="481"/>
      <c r="PYG57" s="481"/>
      <c r="PYH57" s="481"/>
      <c r="PYI57" s="481"/>
      <c r="PYJ57" s="481"/>
      <c r="PYK57" s="481"/>
      <c r="PYL57" s="481"/>
      <c r="PYM57" s="481"/>
      <c r="PYN57" s="481"/>
      <c r="PYO57" s="481"/>
      <c r="PYP57" s="481"/>
      <c r="PYQ57" s="481"/>
      <c r="PYR57" s="481"/>
      <c r="PYS57" s="481"/>
      <c r="PYT57" s="481"/>
      <c r="PYU57" s="481"/>
      <c r="PYV57" s="481"/>
      <c r="PYW57" s="481"/>
      <c r="PYX57" s="481"/>
      <c r="PYY57" s="481"/>
      <c r="PYZ57" s="481"/>
      <c r="PZA57" s="481"/>
      <c r="PZB57" s="481"/>
      <c r="PZC57" s="481"/>
      <c r="PZD57" s="481"/>
      <c r="PZE57" s="481"/>
      <c r="PZF57" s="481"/>
      <c r="PZG57" s="481"/>
      <c r="PZH57" s="481"/>
      <c r="PZI57" s="481"/>
      <c r="PZJ57" s="481"/>
      <c r="PZK57" s="481"/>
      <c r="PZL57" s="481"/>
      <c r="PZM57" s="481"/>
      <c r="PZN57" s="481"/>
      <c r="PZO57" s="481"/>
      <c r="PZP57" s="481"/>
      <c r="PZQ57" s="481"/>
      <c r="PZR57" s="481"/>
      <c r="PZS57" s="481"/>
      <c r="PZT57" s="481"/>
      <c r="PZU57" s="481"/>
      <c r="PZV57" s="481"/>
      <c r="PZW57" s="481"/>
      <c r="PZX57" s="481"/>
      <c r="PZY57" s="481"/>
      <c r="PZZ57" s="481"/>
      <c r="QAA57" s="481"/>
      <c r="QAB57" s="481"/>
      <c r="QAC57" s="481"/>
      <c r="QAD57" s="481"/>
      <c r="QAE57" s="481"/>
      <c r="QAF57" s="481"/>
      <c r="QAG57" s="481"/>
      <c r="QAH57" s="481"/>
      <c r="QAI57" s="481"/>
      <c r="QAJ57" s="481"/>
      <c r="QAK57" s="481"/>
      <c r="QAL57" s="481"/>
      <c r="QAM57" s="481"/>
      <c r="QAN57" s="481"/>
      <c r="QAO57" s="481"/>
      <c r="QAP57" s="481"/>
      <c r="QAQ57" s="481"/>
      <c r="QAR57" s="481"/>
      <c r="QAS57" s="481"/>
      <c r="QAT57" s="481"/>
      <c r="QAU57" s="481"/>
      <c r="QAV57" s="481"/>
      <c r="QAW57" s="481"/>
      <c r="QAX57" s="481"/>
      <c r="QAY57" s="481"/>
      <c r="QAZ57" s="481"/>
      <c r="QBA57" s="481"/>
      <c r="QBB57" s="481"/>
      <c r="QBC57" s="481"/>
      <c r="QBD57" s="481"/>
      <c r="QBE57" s="481"/>
      <c r="QBF57" s="481"/>
      <c r="QBG57" s="481"/>
      <c r="QBH57" s="481"/>
      <c r="QBI57" s="481"/>
      <c r="QBJ57" s="481"/>
      <c r="QBK57" s="481"/>
      <c r="QBL57" s="481"/>
      <c r="QBM57" s="481"/>
      <c r="QBN57" s="481"/>
      <c r="QBO57" s="481"/>
      <c r="QBP57" s="481"/>
      <c r="QBQ57" s="481"/>
      <c r="QBR57" s="481"/>
      <c r="QBS57" s="481"/>
      <c r="QBT57" s="481"/>
      <c r="QBU57" s="481"/>
      <c r="QBV57" s="481"/>
      <c r="QBW57" s="481"/>
      <c r="QBX57" s="481"/>
      <c r="QBY57" s="481"/>
      <c r="QBZ57" s="481"/>
      <c r="QCA57" s="481"/>
      <c r="QCB57" s="481"/>
      <c r="QCC57" s="481"/>
      <c r="QCD57" s="481"/>
      <c r="QCE57" s="481"/>
      <c r="QCF57" s="481"/>
      <c r="QCG57" s="481"/>
      <c r="QCH57" s="481"/>
      <c r="QCI57" s="481"/>
      <c r="QCJ57" s="481"/>
      <c r="QCK57" s="481"/>
      <c r="QCL57" s="481"/>
      <c r="QCM57" s="481"/>
      <c r="QCN57" s="481"/>
      <c r="QCO57" s="481"/>
      <c r="QCP57" s="481"/>
      <c r="QCQ57" s="481"/>
      <c r="QCR57" s="481"/>
      <c r="QCS57" s="481"/>
      <c r="QCT57" s="481"/>
      <c r="QCU57" s="481"/>
      <c r="QCV57" s="481"/>
      <c r="QCW57" s="481"/>
      <c r="QCX57" s="481"/>
      <c r="QCY57" s="481"/>
      <c r="QCZ57" s="481"/>
      <c r="QDA57" s="481"/>
      <c r="QDB57" s="481"/>
      <c r="QDC57" s="481"/>
      <c r="QDD57" s="481"/>
      <c r="QDE57" s="481"/>
      <c r="QDF57" s="481"/>
      <c r="QDG57" s="481"/>
      <c r="QDH57" s="481"/>
      <c r="QDI57" s="481"/>
      <c r="QDJ57" s="481"/>
      <c r="QDK57" s="481"/>
      <c r="QDL57" s="481"/>
      <c r="QDM57" s="481"/>
      <c r="QDN57" s="481"/>
      <c r="QDO57" s="481"/>
      <c r="QDP57" s="481"/>
      <c r="QDQ57" s="481"/>
      <c r="QDR57" s="481"/>
      <c r="QDS57" s="481"/>
      <c r="QDT57" s="481"/>
      <c r="QDU57" s="481"/>
      <c r="QDV57" s="481"/>
      <c r="QDW57" s="481"/>
      <c r="QDX57" s="481"/>
      <c r="QDY57" s="481"/>
      <c r="QDZ57" s="481"/>
      <c r="QEA57" s="481"/>
      <c r="QEB57" s="481"/>
      <c r="QEC57" s="481"/>
      <c r="QED57" s="481"/>
      <c r="QEE57" s="481"/>
      <c r="QEF57" s="481"/>
      <c r="QEG57" s="481"/>
      <c r="QEH57" s="481"/>
      <c r="QEI57" s="481"/>
      <c r="QEJ57" s="481"/>
      <c r="QEK57" s="481"/>
      <c r="QEL57" s="481"/>
      <c r="QEM57" s="481"/>
      <c r="QEN57" s="481"/>
      <c r="QEO57" s="481"/>
      <c r="QEP57" s="481"/>
      <c r="QEQ57" s="481"/>
      <c r="QER57" s="481"/>
      <c r="QES57" s="481"/>
      <c r="QET57" s="481"/>
      <c r="QEU57" s="481"/>
      <c r="QEV57" s="481"/>
      <c r="QEW57" s="481"/>
      <c r="QEX57" s="481"/>
      <c r="QEY57" s="481"/>
      <c r="QEZ57" s="481"/>
      <c r="QFA57" s="481"/>
      <c r="QFB57" s="481"/>
      <c r="QFC57" s="481"/>
      <c r="QFD57" s="481"/>
      <c r="QFE57" s="481"/>
      <c r="QFF57" s="481"/>
      <c r="QFG57" s="481"/>
      <c r="QFH57" s="481"/>
      <c r="QFI57" s="481"/>
      <c r="QFJ57" s="481"/>
      <c r="QFK57" s="481"/>
      <c r="QFL57" s="481"/>
      <c r="QFM57" s="481"/>
      <c r="QFN57" s="481"/>
      <c r="QFO57" s="481"/>
      <c r="QFP57" s="481"/>
      <c r="QFQ57" s="481"/>
      <c r="QFR57" s="481"/>
      <c r="QFS57" s="481"/>
      <c r="QFT57" s="481"/>
      <c r="QFU57" s="481"/>
      <c r="QFV57" s="481"/>
      <c r="QFW57" s="481"/>
      <c r="QFX57" s="481"/>
      <c r="QFY57" s="481"/>
      <c r="QFZ57" s="481"/>
      <c r="QGA57" s="481"/>
      <c r="QGB57" s="481"/>
      <c r="QGC57" s="481"/>
      <c r="QGD57" s="481"/>
      <c r="QGE57" s="481"/>
      <c r="QGF57" s="481"/>
      <c r="QGG57" s="481"/>
      <c r="QGH57" s="481"/>
      <c r="QGI57" s="481"/>
      <c r="QGJ57" s="481"/>
      <c r="QGK57" s="481"/>
      <c r="QGL57" s="481"/>
      <c r="QGM57" s="481"/>
      <c r="QGN57" s="481"/>
      <c r="QGO57" s="481"/>
      <c r="QGP57" s="481"/>
      <c r="QGQ57" s="481"/>
      <c r="QGR57" s="481"/>
      <c r="QGS57" s="481"/>
      <c r="QGT57" s="481"/>
      <c r="QGU57" s="481"/>
      <c r="QGV57" s="481"/>
      <c r="QGW57" s="481"/>
      <c r="QGX57" s="481"/>
      <c r="QGY57" s="481"/>
      <c r="QGZ57" s="481"/>
      <c r="QHA57" s="481"/>
      <c r="QHB57" s="481"/>
      <c r="QHC57" s="481"/>
      <c r="QHD57" s="481"/>
      <c r="QHE57" s="481"/>
      <c r="QHF57" s="481"/>
      <c r="QHG57" s="481"/>
      <c r="QHH57" s="481"/>
      <c r="QHI57" s="481"/>
      <c r="QHJ57" s="481"/>
      <c r="QHK57" s="481"/>
      <c r="QHL57" s="481"/>
      <c r="QHM57" s="481"/>
      <c r="QHN57" s="481"/>
      <c r="QHO57" s="481"/>
      <c r="QHP57" s="481"/>
      <c r="QHQ57" s="481"/>
      <c r="QHR57" s="481"/>
      <c r="QHS57" s="481"/>
      <c r="QHT57" s="481"/>
      <c r="QHU57" s="481"/>
      <c r="QHV57" s="481"/>
      <c r="QHW57" s="481"/>
      <c r="QHX57" s="481"/>
      <c r="QHY57" s="481"/>
      <c r="QHZ57" s="481"/>
      <c r="QIA57" s="481"/>
      <c r="QIB57" s="481"/>
      <c r="QIC57" s="481"/>
      <c r="QID57" s="481"/>
      <c r="QIE57" s="481"/>
      <c r="QIF57" s="481"/>
      <c r="QIG57" s="481"/>
      <c r="QIH57" s="481"/>
      <c r="QII57" s="481"/>
      <c r="QIJ57" s="481"/>
      <c r="QIK57" s="481"/>
      <c r="QIL57" s="481"/>
      <c r="QIM57" s="481"/>
      <c r="QIN57" s="481"/>
      <c r="QIO57" s="481"/>
      <c r="QIP57" s="481"/>
      <c r="QIQ57" s="481"/>
      <c r="QIR57" s="481"/>
      <c r="QIS57" s="481"/>
      <c r="QIT57" s="481"/>
      <c r="QIU57" s="481"/>
      <c r="QIV57" s="481"/>
      <c r="QIW57" s="481"/>
      <c r="QIX57" s="481"/>
      <c r="QIY57" s="481"/>
      <c r="QIZ57" s="481"/>
      <c r="QJA57" s="481"/>
      <c r="QJB57" s="481"/>
      <c r="QJC57" s="481"/>
      <c r="QJD57" s="481"/>
      <c r="QJE57" s="481"/>
      <c r="QJF57" s="481"/>
      <c r="QJG57" s="481"/>
      <c r="QJH57" s="481"/>
      <c r="QJI57" s="481"/>
      <c r="QJJ57" s="481"/>
      <c r="QJK57" s="481"/>
      <c r="QJL57" s="481"/>
      <c r="QJM57" s="481"/>
      <c r="QJN57" s="481"/>
      <c r="QJO57" s="481"/>
      <c r="QJP57" s="481"/>
      <c r="QJQ57" s="481"/>
      <c r="QJR57" s="481"/>
      <c r="QJS57" s="481"/>
      <c r="QJT57" s="481"/>
      <c r="QJU57" s="481"/>
      <c r="QJV57" s="481"/>
      <c r="QJW57" s="481"/>
      <c r="QJX57" s="481"/>
      <c r="QJY57" s="481"/>
      <c r="QJZ57" s="481"/>
      <c r="QKA57" s="481"/>
      <c r="QKB57" s="481"/>
      <c r="QKC57" s="481"/>
      <c r="QKD57" s="481"/>
      <c r="QKE57" s="481"/>
      <c r="QKF57" s="481"/>
      <c r="QKG57" s="481"/>
      <c r="QKH57" s="481"/>
      <c r="QKI57" s="481"/>
      <c r="QKJ57" s="481"/>
      <c r="QKK57" s="481"/>
      <c r="QKL57" s="481"/>
      <c r="QKM57" s="481"/>
      <c r="QKN57" s="481"/>
      <c r="QKO57" s="481"/>
      <c r="QKP57" s="481"/>
      <c r="QKQ57" s="481"/>
      <c r="QKR57" s="481"/>
      <c r="QKS57" s="481"/>
      <c r="QKT57" s="481"/>
      <c r="QKU57" s="481"/>
      <c r="QKV57" s="481"/>
      <c r="QKW57" s="481"/>
      <c r="QKX57" s="481"/>
      <c r="QKY57" s="481"/>
      <c r="QKZ57" s="481"/>
      <c r="QLA57" s="481"/>
      <c r="QLB57" s="481"/>
      <c r="QLC57" s="481"/>
      <c r="QLD57" s="481"/>
      <c r="QLE57" s="481"/>
      <c r="QLF57" s="481"/>
      <c r="QLG57" s="481"/>
      <c r="QLH57" s="481"/>
      <c r="QLI57" s="481"/>
      <c r="QLJ57" s="481"/>
      <c r="QLK57" s="481"/>
      <c r="QLL57" s="481"/>
      <c r="QLM57" s="481"/>
      <c r="QLN57" s="481"/>
      <c r="QLO57" s="481"/>
      <c r="QLP57" s="481"/>
      <c r="QLQ57" s="481"/>
      <c r="QLR57" s="481"/>
      <c r="QLS57" s="481"/>
      <c r="QLT57" s="481"/>
      <c r="QLU57" s="481"/>
      <c r="QLV57" s="481"/>
      <c r="QLW57" s="481"/>
      <c r="QLX57" s="481"/>
      <c r="QLY57" s="481"/>
      <c r="QLZ57" s="481"/>
      <c r="QMA57" s="481"/>
      <c r="QMB57" s="481"/>
      <c r="QMC57" s="481"/>
      <c r="QMD57" s="481"/>
      <c r="QME57" s="481"/>
      <c r="QMF57" s="481"/>
      <c r="QMG57" s="481"/>
      <c r="QMH57" s="481"/>
      <c r="QMI57" s="481"/>
      <c r="QMJ57" s="481"/>
      <c r="QMK57" s="481"/>
      <c r="QML57" s="481"/>
      <c r="QMM57" s="481"/>
      <c r="QMN57" s="481"/>
      <c r="QMO57" s="481"/>
      <c r="QMP57" s="481"/>
      <c r="QMQ57" s="481"/>
      <c r="QMR57" s="481"/>
      <c r="QMS57" s="481"/>
      <c r="QMT57" s="481"/>
      <c r="QMU57" s="481"/>
      <c r="QMV57" s="481"/>
      <c r="QMW57" s="481"/>
      <c r="QMX57" s="481"/>
      <c r="QMY57" s="481"/>
      <c r="QMZ57" s="481"/>
      <c r="QNA57" s="481"/>
      <c r="QNB57" s="481"/>
      <c r="QNC57" s="481"/>
      <c r="QND57" s="481"/>
      <c r="QNE57" s="481"/>
      <c r="QNF57" s="481"/>
      <c r="QNG57" s="481"/>
      <c r="QNH57" s="481"/>
      <c r="QNI57" s="481"/>
      <c r="QNJ57" s="481"/>
      <c r="QNK57" s="481"/>
      <c r="QNL57" s="481"/>
      <c r="QNM57" s="481"/>
      <c r="QNN57" s="481"/>
      <c r="QNO57" s="481"/>
      <c r="QNP57" s="481"/>
      <c r="QNQ57" s="481"/>
      <c r="QNR57" s="481"/>
      <c r="QNS57" s="481"/>
      <c r="QNT57" s="481"/>
      <c r="QNU57" s="481"/>
      <c r="QNV57" s="481"/>
      <c r="QNW57" s="481"/>
      <c r="QNX57" s="481"/>
      <c r="QNY57" s="481"/>
      <c r="QNZ57" s="481"/>
      <c r="QOA57" s="481"/>
      <c r="QOB57" s="481"/>
      <c r="QOC57" s="481"/>
      <c r="QOD57" s="481"/>
      <c r="QOE57" s="481"/>
      <c r="QOF57" s="481"/>
      <c r="QOG57" s="481"/>
      <c r="QOH57" s="481"/>
      <c r="QOI57" s="481"/>
      <c r="QOJ57" s="481"/>
      <c r="QOK57" s="481"/>
      <c r="QOL57" s="481"/>
      <c r="QOM57" s="481"/>
      <c r="QON57" s="481"/>
      <c r="QOO57" s="481"/>
      <c r="QOP57" s="481"/>
      <c r="QOQ57" s="481"/>
      <c r="QOR57" s="481"/>
      <c r="QOS57" s="481"/>
      <c r="QOT57" s="481"/>
      <c r="QOU57" s="481"/>
      <c r="QOV57" s="481"/>
      <c r="QOW57" s="481"/>
      <c r="QOX57" s="481"/>
      <c r="QOY57" s="481"/>
      <c r="QOZ57" s="481"/>
      <c r="QPA57" s="481"/>
      <c r="QPB57" s="481"/>
      <c r="QPC57" s="481"/>
      <c r="QPD57" s="481"/>
      <c r="QPE57" s="481"/>
      <c r="QPF57" s="481"/>
      <c r="QPG57" s="481"/>
      <c r="QPH57" s="481"/>
      <c r="QPI57" s="481"/>
      <c r="QPJ57" s="481"/>
      <c r="QPK57" s="481"/>
      <c r="QPL57" s="481"/>
      <c r="QPM57" s="481"/>
      <c r="QPN57" s="481"/>
      <c r="QPO57" s="481"/>
      <c r="QPP57" s="481"/>
      <c r="QPQ57" s="481"/>
      <c r="QPR57" s="481"/>
      <c r="QPS57" s="481"/>
      <c r="QPT57" s="481"/>
      <c r="QPU57" s="481"/>
      <c r="QPV57" s="481"/>
      <c r="QPW57" s="481"/>
      <c r="QPX57" s="481"/>
      <c r="QPY57" s="481"/>
      <c r="QPZ57" s="481"/>
      <c r="QQA57" s="481"/>
      <c r="QQB57" s="481"/>
      <c r="QQC57" s="481"/>
      <c r="QQD57" s="481"/>
      <c r="QQE57" s="481"/>
      <c r="QQF57" s="481"/>
      <c r="QQG57" s="481"/>
      <c r="QQH57" s="481"/>
      <c r="QQI57" s="481"/>
      <c r="QQJ57" s="481"/>
      <c r="QQK57" s="481"/>
      <c r="QQL57" s="481"/>
      <c r="QQM57" s="481"/>
      <c r="QQN57" s="481"/>
      <c r="QQO57" s="481"/>
      <c r="QQP57" s="481"/>
      <c r="QQQ57" s="481"/>
      <c r="QQR57" s="481"/>
      <c r="QQS57" s="481"/>
      <c r="QQT57" s="481"/>
      <c r="QQU57" s="481"/>
      <c r="QQV57" s="481"/>
      <c r="QQW57" s="481"/>
      <c r="QQX57" s="481"/>
      <c r="QQY57" s="481"/>
      <c r="QQZ57" s="481"/>
      <c r="QRA57" s="481"/>
      <c r="QRB57" s="481"/>
      <c r="QRC57" s="481"/>
      <c r="QRD57" s="481"/>
      <c r="QRE57" s="481"/>
      <c r="QRF57" s="481"/>
      <c r="QRG57" s="481"/>
      <c r="QRH57" s="481"/>
      <c r="QRI57" s="481"/>
      <c r="QRJ57" s="481"/>
      <c r="QRK57" s="481"/>
      <c r="QRL57" s="481"/>
      <c r="QRM57" s="481"/>
      <c r="QRN57" s="481"/>
      <c r="QRO57" s="481"/>
      <c r="QRP57" s="481"/>
      <c r="QRQ57" s="481"/>
      <c r="QRR57" s="481"/>
      <c r="QRS57" s="481"/>
      <c r="QRT57" s="481"/>
      <c r="QRU57" s="481"/>
      <c r="QRV57" s="481"/>
      <c r="QRW57" s="481"/>
      <c r="QRX57" s="481"/>
      <c r="QRY57" s="481"/>
      <c r="QRZ57" s="481"/>
      <c r="QSA57" s="481"/>
      <c r="QSB57" s="481"/>
      <c r="QSC57" s="481"/>
      <c r="QSD57" s="481"/>
      <c r="QSE57" s="481"/>
      <c r="QSF57" s="481"/>
      <c r="QSG57" s="481"/>
      <c r="QSH57" s="481"/>
      <c r="QSI57" s="481"/>
      <c r="QSJ57" s="481"/>
      <c r="QSK57" s="481"/>
      <c r="QSL57" s="481"/>
      <c r="QSM57" s="481"/>
      <c r="QSN57" s="481"/>
      <c r="QSO57" s="481"/>
      <c r="QSP57" s="481"/>
      <c r="QSQ57" s="481"/>
      <c r="QSR57" s="481"/>
      <c r="QSS57" s="481"/>
      <c r="QST57" s="481"/>
      <c r="QSU57" s="481"/>
      <c r="QSV57" s="481"/>
      <c r="QSW57" s="481"/>
      <c r="QSX57" s="481"/>
      <c r="QSY57" s="481"/>
      <c r="QSZ57" s="481"/>
      <c r="QTA57" s="481"/>
      <c r="QTB57" s="481"/>
      <c r="QTC57" s="481"/>
      <c r="QTD57" s="481"/>
      <c r="QTE57" s="481"/>
      <c r="QTF57" s="481"/>
      <c r="QTG57" s="481"/>
      <c r="QTH57" s="481"/>
      <c r="QTI57" s="481"/>
      <c r="QTJ57" s="481"/>
      <c r="QTK57" s="481"/>
      <c r="QTL57" s="481"/>
      <c r="QTM57" s="481"/>
      <c r="QTN57" s="481"/>
      <c r="QTO57" s="481"/>
      <c r="QTP57" s="481"/>
      <c r="QTQ57" s="481"/>
      <c r="QTR57" s="481"/>
      <c r="QTS57" s="481"/>
      <c r="QTT57" s="481"/>
      <c r="QTU57" s="481"/>
      <c r="QTV57" s="481"/>
      <c r="QTW57" s="481"/>
      <c r="QTX57" s="481"/>
      <c r="QTY57" s="481"/>
      <c r="QTZ57" s="481"/>
      <c r="QUA57" s="481"/>
      <c r="QUB57" s="481"/>
      <c r="QUC57" s="481"/>
      <c r="QUD57" s="481"/>
      <c r="QUE57" s="481"/>
      <c r="QUF57" s="481"/>
      <c r="QUG57" s="481"/>
      <c r="QUH57" s="481"/>
      <c r="QUI57" s="481"/>
      <c r="QUJ57" s="481"/>
      <c r="QUK57" s="481"/>
      <c r="QUL57" s="481"/>
      <c r="QUM57" s="481"/>
      <c r="QUN57" s="481"/>
      <c r="QUO57" s="481"/>
      <c r="QUP57" s="481"/>
      <c r="QUQ57" s="481"/>
      <c r="QUR57" s="481"/>
      <c r="QUS57" s="481"/>
      <c r="QUT57" s="481"/>
      <c r="QUU57" s="481"/>
      <c r="QUV57" s="481"/>
      <c r="QUW57" s="481"/>
      <c r="QUX57" s="481"/>
      <c r="QUY57" s="481"/>
      <c r="QUZ57" s="481"/>
      <c r="QVA57" s="481"/>
      <c r="QVB57" s="481"/>
      <c r="QVC57" s="481"/>
      <c r="QVD57" s="481"/>
      <c r="QVE57" s="481"/>
      <c r="QVF57" s="481"/>
      <c r="QVG57" s="481"/>
      <c r="QVH57" s="481"/>
      <c r="QVI57" s="481"/>
      <c r="QVJ57" s="481"/>
      <c r="QVK57" s="481"/>
      <c r="QVL57" s="481"/>
      <c r="QVM57" s="481"/>
      <c r="QVN57" s="481"/>
      <c r="QVO57" s="481"/>
      <c r="QVP57" s="481"/>
      <c r="QVQ57" s="481"/>
      <c r="QVR57" s="481"/>
      <c r="QVS57" s="481"/>
      <c r="QVT57" s="481"/>
      <c r="QVU57" s="481"/>
      <c r="QVV57" s="481"/>
      <c r="QVW57" s="481"/>
      <c r="QVX57" s="481"/>
      <c r="QVY57" s="481"/>
      <c r="QVZ57" s="481"/>
      <c r="QWA57" s="481"/>
      <c r="QWB57" s="481"/>
      <c r="QWC57" s="481"/>
      <c r="QWD57" s="481"/>
      <c r="QWE57" s="481"/>
      <c r="QWF57" s="481"/>
      <c r="QWG57" s="481"/>
      <c r="QWH57" s="481"/>
      <c r="QWI57" s="481"/>
      <c r="QWJ57" s="481"/>
      <c r="QWK57" s="481"/>
      <c r="QWL57" s="481"/>
      <c r="QWM57" s="481"/>
      <c r="QWN57" s="481"/>
      <c r="QWO57" s="481"/>
      <c r="QWP57" s="481"/>
      <c r="QWQ57" s="481"/>
      <c r="QWR57" s="481"/>
      <c r="QWS57" s="481"/>
      <c r="QWT57" s="481"/>
      <c r="QWU57" s="481"/>
      <c r="QWV57" s="481"/>
      <c r="QWW57" s="481"/>
      <c r="QWX57" s="481"/>
      <c r="QWY57" s="481"/>
      <c r="QWZ57" s="481"/>
      <c r="QXA57" s="481"/>
      <c r="QXB57" s="481"/>
      <c r="QXC57" s="481"/>
      <c r="QXD57" s="481"/>
      <c r="QXE57" s="481"/>
      <c r="QXF57" s="481"/>
      <c r="QXG57" s="481"/>
      <c r="QXH57" s="481"/>
      <c r="QXI57" s="481"/>
      <c r="QXJ57" s="481"/>
      <c r="QXK57" s="481"/>
      <c r="QXL57" s="481"/>
      <c r="QXM57" s="481"/>
      <c r="QXN57" s="481"/>
      <c r="QXO57" s="481"/>
      <c r="QXP57" s="481"/>
      <c r="QXQ57" s="481"/>
      <c r="QXR57" s="481"/>
      <c r="QXS57" s="481"/>
      <c r="QXT57" s="481"/>
      <c r="QXU57" s="481"/>
      <c r="QXV57" s="481"/>
      <c r="QXW57" s="481"/>
      <c r="QXX57" s="481"/>
      <c r="QXY57" s="481"/>
      <c r="QXZ57" s="481"/>
      <c r="QYA57" s="481"/>
      <c r="QYB57" s="481"/>
      <c r="QYC57" s="481"/>
      <c r="QYD57" s="481"/>
      <c r="QYE57" s="481"/>
      <c r="QYF57" s="481"/>
      <c r="QYG57" s="481"/>
      <c r="QYH57" s="481"/>
      <c r="QYI57" s="481"/>
      <c r="QYJ57" s="481"/>
      <c r="QYK57" s="481"/>
      <c r="QYL57" s="481"/>
      <c r="QYM57" s="481"/>
      <c r="QYN57" s="481"/>
      <c r="QYO57" s="481"/>
      <c r="QYP57" s="481"/>
      <c r="QYQ57" s="481"/>
      <c r="QYR57" s="481"/>
      <c r="QYS57" s="481"/>
      <c r="QYT57" s="481"/>
      <c r="QYU57" s="481"/>
      <c r="QYV57" s="481"/>
      <c r="QYW57" s="481"/>
      <c r="QYX57" s="481"/>
      <c r="QYY57" s="481"/>
      <c r="QYZ57" s="481"/>
      <c r="QZA57" s="481"/>
      <c r="QZB57" s="481"/>
      <c r="QZC57" s="481"/>
      <c r="QZD57" s="481"/>
      <c r="QZE57" s="481"/>
      <c r="QZF57" s="481"/>
      <c r="QZG57" s="481"/>
      <c r="QZH57" s="481"/>
      <c r="QZI57" s="481"/>
      <c r="QZJ57" s="481"/>
      <c r="QZK57" s="481"/>
      <c r="QZL57" s="481"/>
      <c r="QZM57" s="481"/>
      <c r="QZN57" s="481"/>
      <c r="QZO57" s="481"/>
      <c r="QZP57" s="481"/>
      <c r="QZQ57" s="481"/>
      <c r="QZR57" s="481"/>
      <c r="QZS57" s="481"/>
      <c r="QZT57" s="481"/>
      <c r="QZU57" s="481"/>
      <c r="QZV57" s="481"/>
      <c r="QZW57" s="481"/>
      <c r="QZX57" s="481"/>
      <c r="QZY57" s="481"/>
      <c r="QZZ57" s="481"/>
      <c r="RAA57" s="481"/>
      <c r="RAB57" s="481"/>
      <c r="RAC57" s="481"/>
      <c r="RAD57" s="481"/>
      <c r="RAE57" s="481"/>
      <c r="RAF57" s="481"/>
      <c r="RAG57" s="481"/>
      <c r="RAH57" s="481"/>
      <c r="RAI57" s="481"/>
      <c r="RAJ57" s="481"/>
      <c r="RAK57" s="481"/>
      <c r="RAL57" s="481"/>
      <c r="RAM57" s="481"/>
      <c r="RAN57" s="481"/>
      <c r="RAO57" s="481"/>
      <c r="RAP57" s="481"/>
      <c r="RAQ57" s="481"/>
      <c r="RAR57" s="481"/>
      <c r="RAS57" s="481"/>
      <c r="RAT57" s="481"/>
      <c r="RAU57" s="481"/>
      <c r="RAV57" s="481"/>
      <c r="RAW57" s="481"/>
      <c r="RAX57" s="481"/>
      <c r="RAY57" s="481"/>
      <c r="RAZ57" s="481"/>
      <c r="RBA57" s="481"/>
      <c r="RBB57" s="481"/>
      <c r="RBC57" s="481"/>
      <c r="RBD57" s="481"/>
      <c r="RBE57" s="481"/>
      <c r="RBF57" s="481"/>
      <c r="RBG57" s="481"/>
      <c r="RBH57" s="481"/>
      <c r="RBI57" s="481"/>
      <c r="RBJ57" s="481"/>
      <c r="RBK57" s="481"/>
      <c r="RBL57" s="481"/>
      <c r="RBM57" s="481"/>
      <c r="RBN57" s="481"/>
      <c r="RBO57" s="481"/>
      <c r="RBP57" s="481"/>
      <c r="RBQ57" s="481"/>
      <c r="RBR57" s="481"/>
      <c r="RBS57" s="481"/>
      <c r="RBT57" s="481"/>
      <c r="RBU57" s="481"/>
      <c r="RBV57" s="481"/>
      <c r="RBW57" s="481"/>
      <c r="RBX57" s="481"/>
      <c r="RBY57" s="481"/>
      <c r="RBZ57" s="481"/>
      <c r="RCA57" s="481"/>
      <c r="RCB57" s="481"/>
      <c r="RCC57" s="481"/>
      <c r="RCD57" s="481"/>
      <c r="RCE57" s="481"/>
      <c r="RCF57" s="481"/>
      <c r="RCG57" s="481"/>
      <c r="RCH57" s="481"/>
      <c r="RCI57" s="481"/>
      <c r="RCJ57" s="481"/>
      <c r="RCK57" s="481"/>
      <c r="RCL57" s="481"/>
      <c r="RCM57" s="481"/>
      <c r="RCN57" s="481"/>
      <c r="RCO57" s="481"/>
      <c r="RCP57" s="481"/>
      <c r="RCQ57" s="481"/>
      <c r="RCR57" s="481"/>
      <c r="RCS57" s="481"/>
      <c r="RCT57" s="481"/>
      <c r="RCU57" s="481"/>
      <c r="RCV57" s="481"/>
      <c r="RCW57" s="481"/>
      <c r="RCX57" s="481"/>
      <c r="RCY57" s="481"/>
      <c r="RCZ57" s="481"/>
      <c r="RDA57" s="481"/>
      <c r="RDB57" s="481"/>
      <c r="RDC57" s="481"/>
      <c r="RDD57" s="481"/>
      <c r="RDE57" s="481"/>
      <c r="RDF57" s="481"/>
      <c r="RDG57" s="481"/>
      <c r="RDH57" s="481"/>
      <c r="RDI57" s="481"/>
      <c r="RDJ57" s="481"/>
      <c r="RDK57" s="481"/>
      <c r="RDL57" s="481"/>
      <c r="RDM57" s="481"/>
      <c r="RDN57" s="481"/>
      <c r="RDO57" s="481"/>
      <c r="RDP57" s="481"/>
      <c r="RDQ57" s="481"/>
      <c r="RDR57" s="481"/>
      <c r="RDS57" s="481"/>
      <c r="RDT57" s="481"/>
      <c r="RDU57" s="481"/>
      <c r="RDV57" s="481"/>
      <c r="RDW57" s="481"/>
      <c r="RDX57" s="481"/>
      <c r="RDY57" s="481"/>
      <c r="RDZ57" s="481"/>
      <c r="REA57" s="481"/>
      <c r="REB57" s="481"/>
      <c r="REC57" s="481"/>
      <c r="RED57" s="481"/>
      <c r="REE57" s="481"/>
      <c r="REF57" s="481"/>
      <c r="REG57" s="481"/>
      <c r="REH57" s="481"/>
      <c r="REI57" s="481"/>
      <c r="REJ57" s="481"/>
      <c r="REK57" s="481"/>
      <c r="REL57" s="481"/>
      <c r="REM57" s="481"/>
      <c r="REN57" s="481"/>
      <c r="REO57" s="481"/>
      <c r="REP57" s="481"/>
      <c r="REQ57" s="481"/>
      <c r="RER57" s="481"/>
      <c r="RES57" s="481"/>
      <c r="RET57" s="481"/>
      <c r="REU57" s="481"/>
      <c r="REV57" s="481"/>
      <c r="REW57" s="481"/>
      <c r="REX57" s="481"/>
      <c r="REY57" s="481"/>
      <c r="REZ57" s="481"/>
      <c r="RFA57" s="481"/>
      <c r="RFB57" s="481"/>
      <c r="RFC57" s="481"/>
      <c r="RFD57" s="481"/>
      <c r="RFE57" s="481"/>
      <c r="RFF57" s="481"/>
      <c r="RFG57" s="481"/>
      <c r="RFH57" s="481"/>
      <c r="RFI57" s="481"/>
      <c r="RFJ57" s="481"/>
      <c r="RFK57" s="481"/>
      <c r="RFL57" s="481"/>
      <c r="RFM57" s="481"/>
      <c r="RFN57" s="481"/>
      <c r="RFO57" s="481"/>
      <c r="RFP57" s="481"/>
      <c r="RFQ57" s="481"/>
      <c r="RFR57" s="481"/>
      <c r="RFS57" s="481"/>
      <c r="RFT57" s="481"/>
      <c r="RFU57" s="481"/>
      <c r="RFV57" s="481"/>
      <c r="RFW57" s="481"/>
      <c r="RFX57" s="481"/>
      <c r="RFY57" s="481"/>
      <c r="RFZ57" s="481"/>
      <c r="RGA57" s="481"/>
      <c r="RGB57" s="481"/>
      <c r="RGC57" s="481"/>
      <c r="RGD57" s="481"/>
      <c r="RGE57" s="481"/>
      <c r="RGF57" s="481"/>
      <c r="RGG57" s="481"/>
      <c r="RGH57" s="481"/>
      <c r="RGI57" s="481"/>
      <c r="RGJ57" s="481"/>
      <c r="RGK57" s="481"/>
      <c r="RGL57" s="481"/>
      <c r="RGM57" s="481"/>
      <c r="RGN57" s="481"/>
      <c r="RGO57" s="481"/>
      <c r="RGP57" s="481"/>
      <c r="RGQ57" s="481"/>
      <c r="RGR57" s="481"/>
      <c r="RGS57" s="481"/>
      <c r="RGT57" s="481"/>
      <c r="RGU57" s="481"/>
      <c r="RGV57" s="481"/>
      <c r="RGW57" s="481"/>
      <c r="RGX57" s="481"/>
      <c r="RGY57" s="481"/>
      <c r="RGZ57" s="481"/>
      <c r="RHA57" s="481"/>
      <c r="RHB57" s="481"/>
      <c r="RHC57" s="481"/>
      <c r="RHD57" s="481"/>
      <c r="RHE57" s="481"/>
      <c r="RHF57" s="481"/>
      <c r="RHG57" s="481"/>
      <c r="RHH57" s="481"/>
      <c r="RHI57" s="481"/>
      <c r="RHJ57" s="481"/>
      <c r="RHK57" s="481"/>
      <c r="RHL57" s="481"/>
      <c r="RHM57" s="481"/>
      <c r="RHN57" s="481"/>
      <c r="RHO57" s="481"/>
      <c r="RHP57" s="481"/>
      <c r="RHQ57" s="481"/>
      <c r="RHR57" s="481"/>
      <c r="RHS57" s="481"/>
      <c r="RHT57" s="481"/>
      <c r="RHU57" s="481"/>
      <c r="RHV57" s="481"/>
      <c r="RHW57" s="481"/>
      <c r="RHX57" s="481"/>
      <c r="RHY57" s="481"/>
      <c r="RHZ57" s="481"/>
      <c r="RIA57" s="481"/>
      <c r="RIB57" s="481"/>
      <c r="RIC57" s="481"/>
      <c r="RID57" s="481"/>
      <c r="RIE57" s="481"/>
      <c r="RIF57" s="481"/>
      <c r="RIG57" s="481"/>
      <c r="RIH57" s="481"/>
      <c r="RII57" s="481"/>
      <c r="RIJ57" s="481"/>
      <c r="RIK57" s="481"/>
      <c r="RIL57" s="481"/>
      <c r="RIM57" s="481"/>
      <c r="RIN57" s="481"/>
      <c r="RIO57" s="481"/>
      <c r="RIP57" s="481"/>
      <c r="RIQ57" s="481"/>
      <c r="RIR57" s="481"/>
      <c r="RIS57" s="481"/>
      <c r="RIT57" s="481"/>
      <c r="RIU57" s="481"/>
      <c r="RIV57" s="481"/>
      <c r="RIW57" s="481"/>
      <c r="RIX57" s="481"/>
      <c r="RIY57" s="481"/>
      <c r="RIZ57" s="481"/>
      <c r="RJA57" s="481"/>
      <c r="RJB57" s="481"/>
      <c r="RJC57" s="481"/>
      <c r="RJD57" s="481"/>
      <c r="RJE57" s="481"/>
      <c r="RJF57" s="481"/>
      <c r="RJG57" s="481"/>
      <c r="RJH57" s="481"/>
      <c r="RJI57" s="481"/>
      <c r="RJJ57" s="481"/>
      <c r="RJK57" s="481"/>
      <c r="RJL57" s="481"/>
      <c r="RJM57" s="481"/>
      <c r="RJN57" s="481"/>
      <c r="RJO57" s="481"/>
      <c r="RJP57" s="481"/>
      <c r="RJQ57" s="481"/>
      <c r="RJR57" s="481"/>
      <c r="RJS57" s="481"/>
      <c r="RJT57" s="481"/>
      <c r="RJU57" s="481"/>
      <c r="RJV57" s="481"/>
      <c r="RJW57" s="481"/>
      <c r="RJX57" s="481"/>
      <c r="RJY57" s="481"/>
      <c r="RJZ57" s="481"/>
      <c r="RKA57" s="481"/>
      <c r="RKB57" s="481"/>
      <c r="RKC57" s="481"/>
      <c r="RKD57" s="481"/>
      <c r="RKE57" s="481"/>
      <c r="RKF57" s="481"/>
      <c r="RKG57" s="481"/>
      <c r="RKH57" s="481"/>
      <c r="RKI57" s="481"/>
      <c r="RKJ57" s="481"/>
      <c r="RKK57" s="481"/>
      <c r="RKL57" s="481"/>
      <c r="RKM57" s="481"/>
      <c r="RKN57" s="481"/>
      <c r="RKO57" s="481"/>
      <c r="RKP57" s="481"/>
      <c r="RKQ57" s="481"/>
      <c r="RKR57" s="481"/>
      <c r="RKS57" s="481"/>
      <c r="RKT57" s="481"/>
      <c r="RKU57" s="481"/>
      <c r="RKV57" s="481"/>
      <c r="RKW57" s="481"/>
      <c r="RKX57" s="481"/>
      <c r="RKY57" s="481"/>
      <c r="RKZ57" s="481"/>
      <c r="RLA57" s="481"/>
      <c r="RLB57" s="481"/>
      <c r="RLC57" s="481"/>
      <c r="RLD57" s="481"/>
      <c r="RLE57" s="481"/>
      <c r="RLF57" s="481"/>
      <c r="RLG57" s="481"/>
      <c r="RLH57" s="481"/>
      <c r="RLI57" s="481"/>
      <c r="RLJ57" s="481"/>
      <c r="RLK57" s="481"/>
      <c r="RLL57" s="481"/>
      <c r="RLM57" s="481"/>
      <c r="RLN57" s="481"/>
      <c r="RLO57" s="481"/>
      <c r="RLP57" s="481"/>
      <c r="RLQ57" s="481"/>
      <c r="RLR57" s="481"/>
      <c r="RLS57" s="481"/>
      <c r="RLT57" s="481"/>
      <c r="RLU57" s="481"/>
      <c r="RLV57" s="481"/>
      <c r="RLW57" s="481"/>
      <c r="RLX57" s="481"/>
      <c r="RLY57" s="481"/>
      <c r="RLZ57" s="481"/>
      <c r="RMA57" s="481"/>
      <c r="RMB57" s="481"/>
      <c r="RMC57" s="481"/>
      <c r="RMD57" s="481"/>
      <c r="RME57" s="481"/>
      <c r="RMF57" s="481"/>
      <c r="RMG57" s="481"/>
      <c r="RMH57" s="481"/>
      <c r="RMI57" s="481"/>
      <c r="RMJ57" s="481"/>
      <c r="RMK57" s="481"/>
      <c r="RML57" s="481"/>
      <c r="RMM57" s="481"/>
      <c r="RMN57" s="481"/>
      <c r="RMO57" s="481"/>
      <c r="RMP57" s="481"/>
      <c r="RMQ57" s="481"/>
      <c r="RMR57" s="481"/>
      <c r="RMS57" s="481"/>
      <c r="RMT57" s="481"/>
      <c r="RMU57" s="481"/>
      <c r="RMV57" s="481"/>
      <c r="RMW57" s="481"/>
      <c r="RMX57" s="481"/>
      <c r="RMY57" s="481"/>
      <c r="RMZ57" s="481"/>
      <c r="RNA57" s="481"/>
      <c r="RNB57" s="481"/>
      <c r="RNC57" s="481"/>
      <c r="RND57" s="481"/>
      <c r="RNE57" s="481"/>
      <c r="RNF57" s="481"/>
      <c r="RNG57" s="481"/>
      <c r="RNH57" s="481"/>
      <c r="RNI57" s="481"/>
      <c r="RNJ57" s="481"/>
      <c r="RNK57" s="481"/>
      <c r="RNL57" s="481"/>
      <c r="RNM57" s="481"/>
      <c r="RNN57" s="481"/>
      <c r="RNO57" s="481"/>
      <c r="RNP57" s="481"/>
      <c r="RNQ57" s="481"/>
      <c r="RNR57" s="481"/>
      <c r="RNS57" s="481"/>
      <c r="RNT57" s="481"/>
      <c r="RNU57" s="481"/>
      <c r="RNV57" s="481"/>
      <c r="RNW57" s="481"/>
      <c r="RNX57" s="481"/>
      <c r="RNY57" s="481"/>
      <c r="RNZ57" s="481"/>
      <c r="ROA57" s="481"/>
      <c r="ROB57" s="481"/>
      <c r="ROC57" s="481"/>
      <c r="ROD57" s="481"/>
      <c r="ROE57" s="481"/>
      <c r="ROF57" s="481"/>
      <c r="ROG57" s="481"/>
      <c r="ROH57" s="481"/>
      <c r="ROI57" s="481"/>
      <c r="ROJ57" s="481"/>
      <c r="ROK57" s="481"/>
      <c r="ROL57" s="481"/>
      <c r="ROM57" s="481"/>
      <c r="RON57" s="481"/>
      <c r="ROO57" s="481"/>
      <c r="ROP57" s="481"/>
      <c r="ROQ57" s="481"/>
      <c r="ROR57" s="481"/>
      <c r="ROS57" s="481"/>
      <c r="ROT57" s="481"/>
      <c r="ROU57" s="481"/>
      <c r="ROV57" s="481"/>
      <c r="ROW57" s="481"/>
      <c r="ROX57" s="481"/>
      <c r="ROY57" s="481"/>
      <c r="ROZ57" s="481"/>
      <c r="RPA57" s="481"/>
      <c r="RPB57" s="481"/>
      <c r="RPC57" s="481"/>
      <c r="RPD57" s="481"/>
      <c r="RPE57" s="481"/>
      <c r="RPF57" s="481"/>
      <c r="RPG57" s="481"/>
      <c r="RPH57" s="481"/>
      <c r="RPI57" s="481"/>
      <c r="RPJ57" s="481"/>
      <c r="RPK57" s="481"/>
      <c r="RPL57" s="481"/>
      <c r="RPM57" s="481"/>
      <c r="RPN57" s="481"/>
      <c r="RPO57" s="481"/>
      <c r="RPP57" s="481"/>
      <c r="RPQ57" s="481"/>
      <c r="RPR57" s="481"/>
      <c r="RPS57" s="481"/>
      <c r="RPT57" s="481"/>
      <c r="RPU57" s="481"/>
      <c r="RPV57" s="481"/>
      <c r="RPW57" s="481"/>
      <c r="RPX57" s="481"/>
      <c r="RPY57" s="481"/>
      <c r="RPZ57" s="481"/>
      <c r="RQA57" s="481"/>
      <c r="RQB57" s="481"/>
      <c r="RQC57" s="481"/>
      <c r="RQD57" s="481"/>
      <c r="RQE57" s="481"/>
      <c r="RQF57" s="481"/>
      <c r="RQG57" s="481"/>
      <c r="RQH57" s="481"/>
      <c r="RQI57" s="481"/>
      <c r="RQJ57" s="481"/>
      <c r="RQK57" s="481"/>
      <c r="RQL57" s="481"/>
      <c r="RQM57" s="481"/>
      <c r="RQN57" s="481"/>
      <c r="RQO57" s="481"/>
      <c r="RQP57" s="481"/>
      <c r="RQQ57" s="481"/>
      <c r="RQR57" s="481"/>
      <c r="RQS57" s="481"/>
      <c r="RQT57" s="481"/>
      <c r="RQU57" s="481"/>
      <c r="RQV57" s="481"/>
      <c r="RQW57" s="481"/>
      <c r="RQX57" s="481"/>
      <c r="RQY57" s="481"/>
      <c r="RQZ57" s="481"/>
      <c r="RRA57" s="481"/>
      <c r="RRB57" s="481"/>
      <c r="RRC57" s="481"/>
      <c r="RRD57" s="481"/>
      <c r="RRE57" s="481"/>
      <c r="RRF57" s="481"/>
      <c r="RRG57" s="481"/>
      <c r="RRH57" s="481"/>
      <c r="RRI57" s="481"/>
      <c r="RRJ57" s="481"/>
      <c r="RRK57" s="481"/>
      <c r="RRL57" s="481"/>
      <c r="RRM57" s="481"/>
      <c r="RRN57" s="481"/>
      <c r="RRO57" s="481"/>
      <c r="RRP57" s="481"/>
      <c r="RRQ57" s="481"/>
      <c r="RRR57" s="481"/>
      <c r="RRS57" s="481"/>
      <c r="RRT57" s="481"/>
      <c r="RRU57" s="481"/>
      <c r="RRV57" s="481"/>
      <c r="RRW57" s="481"/>
      <c r="RRX57" s="481"/>
      <c r="RRY57" s="481"/>
      <c r="RRZ57" s="481"/>
      <c r="RSA57" s="481"/>
      <c r="RSB57" s="481"/>
      <c r="RSC57" s="481"/>
      <c r="RSD57" s="481"/>
      <c r="RSE57" s="481"/>
      <c r="RSF57" s="481"/>
      <c r="RSG57" s="481"/>
      <c r="RSH57" s="481"/>
      <c r="RSI57" s="481"/>
      <c r="RSJ57" s="481"/>
      <c r="RSK57" s="481"/>
      <c r="RSL57" s="481"/>
      <c r="RSM57" s="481"/>
      <c r="RSN57" s="481"/>
      <c r="RSO57" s="481"/>
      <c r="RSP57" s="481"/>
      <c r="RSQ57" s="481"/>
      <c r="RSR57" s="481"/>
      <c r="RSS57" s="481"/>
      <c r="RST57" s="481"/>
      <c r="RSU57" s="481"/>
      <c r="RSV57" s="481"/>
      <c r="RSW57" s="481"/>
      <c r="RSX57" s="481"/>
      <c r="RSY57" s="481"/>
      <c r="RSZ57" s="481"/>
      <c r="RTA57" s="481"/>
      <c r="RTB57" s="481"/>
      <c r="RTC57" s="481"/>
      <c r="RTD57" s="481"/>
      <c r="RTE57" s="481"/>
      <c r="RTF57" s="481"/>
      <c r="RTG57" s="481"/>
      <c r="RTH57" s="481"/>
      <c r="RTI57" s="481"/>
      <c r="RTJ57" s="481"/>
      <c r="RTK57" s="481"/>
      <c r="RTL57" s="481"/>
      <c r="RTM57" s="481"/>
      <c r="RTN57" s="481"/>
      <c r="RTO57" s="481"/>
      <c r="RTP57" s="481"/>
      <c r="RTQ57" s="481"/>
      <c r="RTR57" s="481"/>
      <c r="RTS57" s="481"/>
      <c r="RTT57" s="481"/>
      <c r="RTU57" s="481"/>
      <c r="RTV57" s="481"/>
      <c r="RTW57" s="481"/>
      <c r="RTX57" s="481"/>
      <c r="RTY57" s="481"/>
      <c r="RTZ57" s="481"/>
      <c r="RUA57" s="481"/>
      <c r="RUB57" s="481"/>
      <c r="RUC57" s="481"/>
      <c r="RUD57" s="481"/>
      <c r="RUE57" s="481"/>
      <c r="RUF57" s="481"/>
      <c r="RUG57" s="481"/>
      <c r="RUH57" s="481"/>
      <c r="RUI57" s="481"/>
      <c r="RUJ57" s="481"/>
      <c r="RUK57" s="481"/>
      <c r="RUL57" s="481"/>
      <c r="RUM57" s="481"/>
      <c r="RUN57" s="481"/>
      <c r="RUO57" s="481"/>
      <c r="RUP57" s="481"/>
      <c r="RUQ57" s="481"/>
      <c r="RUR57" s="481"/>
      <c r="RUS57" s="481"/>
      <c r="RUT57" s="481"/>
      <c r="RUU57" s="481"/>
      <c r="RUV57" s="481"/>
      <c r="RUW57" s="481"/>
      <c r="RUX57" s="481"/>
      <c r="RUY57" s="481"/>
      <c r="RUZ57" s="481"/>
      <c r="RVA57" s="481"/>
      <c r="RVB57" s="481"/>
      <c r="RVC57" s="481"/>
      <c r="RVD57" s="481"/>
      <c r="RVE57" s="481"/>
      <c r="RVF57" s="481"/>
      <c r="RVG57" s="481"/>
      <c r="RVH57" s="481"/>
      <c r="RVI57" s="481"/>
      <c r="RVJ57" s="481"/>
      <c r="RVK57" s="481"/>
      <c r="RVL57" s="481"/>
      <c r="RVM57" s="481"/>
      <c r="RVN57" s="481"/>
      <c r="RVO57" s="481"/>
      <c r="RVP57" s="481"/>
      <c r="RVQ57" s="481"/>
      <c r="RVR57" s="481"/>
      <c r="RVS57" s="481"/>
      <c r="RVT57" s="481"/>
      <c r="RVU57" s="481"/>
      <c r="RVV57" s="481"/>
      <c r="RVW57" s="481"/>
      <c r="RVX57" s="481"/>
      <c r="RVY57" s="481"/>
      <c r="RVZ57" s="481"/>
      <c r="RWA57" s="481"/>
      <c r="RWB57" s="481"/>
      <c r="RWC57" s="481"/>
      <c r="RWD57" s="481"/>
      <c r="RWE57" s="481"/>
      <c r="RWF57" s="481"/>
      <c r="RWG57" s="481"/>
      <c r="RWH57" s="481"/>
      <c r="RWI57" s="481"/>
      <c r="RWJ57" s="481"/>
      <c r="RWK57" s="481"/>
      <c r="RWL57" s="481"/>
      <c r="RWM57" s="481"/>
      <c r="RWN57" s="481"/>
      <c r="RWO57" s="481"/>
      <c r="RWP57" s="481"/>
      <c r="RWQ57" s="481"/>
      <c r="RWR57" s="481"/>
      <c r="RWS57" s="481"/>
      <c r="RWT57" s="481"/>
      <c r="RWU57" s="481"/>
      <c r="RWV57" s="481"/>
      <c r="RWW57" s="481"/>
      <c r="RWX57" s="481"/>
      <c r="RWY57" s="481"/>
      <c r="RWZ57" s="481"/>
      <c r="RXA57" s="481"/>
      <c r="RXB57" s="481"/>
      <c r="RXC57" s="481"/>
      <c r="RXD57" s="481"/>
      <c r="RXE57" s="481"/>
      <c r="RXF57" s="481"/>
      <c r="RXG57" s="481"/>
      <c r="RXH57" s="481"/>
      <c r="RXI57" s="481"/>
      <c r="RXJ57" s="481"/>
      <c r="RXK57" s="481"/>
      <c r="RXL57" s="481"/>
      <c r="RXM57" s="481"/>
      <c r="RXN57" s="481"/>
      <c r="RXO57" s="481"/>
      <c r="RXP57" s="481"/>
      <c r="RXQ57" s="481"/>
      <c r="RXR57" s="481"/>
      <c r="RXS57" s="481"/>
      <c r="RXT57" s="481"/>
      <c r="RXU57" s="481"/>
      <c r="RXV57" s="481"/>
      <c r="RXW57" s="481"/>
      <c r="RXX57" s="481"/>
      <c r="RXY57" s="481"/>
      <c r="RXZ57" s="481"/>
      <c r="RYA57" s="481"/>
      <c r="RYB57" s="481"/>
      <c r="RYC57" s="481"/>
      <c r="RYD57" s="481"/>
      <c r="RYE57" s="481"/>
      <c r="RYF57" s="481"/>
      <c r="RYG57" s="481"/>
      <c r="RYH57" s="481"/>
      <c r="RYI57" s="481"/>
      <c r="RYJ57" s="481"/>
      <c r="RYK57" s="481"/>
      <c r="RYL57" s="481"/>
      <c r="RYM57" s="481"/>
      <c r="RYN57" s="481"/>
      <c r="RYO57" s="481"/>
      <c r="RYP57" s="481"/>
      <c r="RYQ57" s="481"/>
      <c r="RYR57" s="481"/>
      <c r="RYS57" s="481"/>
      <c r="RYT57" s="481"/>
      <c r="RYU57" s="481"/>
      <c r="RYV57" s="481"/>
      <c r="RYW57" s="481"/>
      <c r="RYX57" s="481"/>
      <c r="RYY57" s="481"/>
      <c r="RYZ57" s="481"/>
      <c r="RZA57" s="481"/>
      <c r="RZB57" s="481"/>
      <c r="RZC57" s="481"/>
      <c r="RZD57" s="481"/>
      <c r="RZE57" s="481"/>
      <c r="RZF57" s="481"/>
      <c r="RZG57" s="481"/>
      <c r="RZH57" s="481"/>
      <c r="RZI57" s="481"/>
      <c r="RZJ57" s="481"/>
      <c r="RZK57" s="481"/>
      <c r="RZL57" s="481"/>
      <c r="RZM57" s="481"/>
      <c r="RZN57" s="481"/>
      <c r="RZO57" s="481"/>
      <c r="RZP57" s="481"/>
      <c r="RZQ57" s="481"/>
      <c r="RZR57" s="481"/>
      <c r="RZS57" s="481"/>
      <c r="RZT57" s="481"/>
      <c r="RZU57" s="481"/>
      <c r="RZV57" s="481"/>
      <c r="RZW57" s="481"/>
      <c r="RZX57" s="481"/>
      <c r="RZY57" s="481"/>
      <c r="RZZ57" s="481"/>
      <c r="SAA57" s="481"/>
      <c r="SAB57" s="481"/>
      <c r="SAC57" s="481"/>
      <c r="SAD57" s="481"/>
      <c r="SAE57" s="481"/>
      <c r="SAF57" s="481"/>
      <c r="SAG57" s="481"/>
      <c r="SAH57" s="481"/>
      <c r="SAI57" s="481"/>
      <c r="SAJ57" s="481"/>
      <c r="SAK57" s="481"/>
      <c r="SAL57" s="481"/>
      <c r="SAM57" s="481"/>
      <c r="SAN57" s="481"/>
      <c r="SAO57" s="481"/>
      <c r="SAP57" s="481"/>
      <c r="SAQ57" s="481"/>
      <c r="SAR57" s="481"/>
      <c r="SAS57" s="481"/>
      <c r="SAT57" s="481"/>
      <c r="SAU57" s="481"/>
      <c r="SAV57" s="481"/>
      <c r="SAW57" s="481"/>
      <c r="SAX57" s="481"/>
      <c r="SAY57" s="481"/>
      <c r="SAZ57" s="481"/>
      <c r="SBA57" s="481"/>
      <c r="SBB57" s="481"/>
      <c r="SBC57" s="481"/>
      <c r="SBD57" s="481"/>
      <c r="SBE57" s="481"/>
      <c r="SBF57" s="481"/>
      <c r="SBG57" s="481"/>
      <c r="SBH57" s="481"/>
      <c r="SBI57" s="481"/>
      <c r="SBJ57" s="481"/>
      <c r="SBK57" s="481"/>
      <c r="SBL57" s="481"/>
      <c r="SBM57" s="481"/>
      <c r="SBN57" s="481"/>
      <c r="SBO57" s="481"/>
      <c r="SBP57" s="481"/>
      <c r="SBQ57" s="481"/>
      <c r="SBR57" s="481"/>
      <c r="SBS57" s="481"/>
      <c r="SBT57" s="481"/>
      <c r="SBU57" s="481"/>
      <c r="SBV57" s="481"/>
      <c r="SBW57" s="481"/>
      <c r="SBX57" s="481"/>
      <c r="SBY57" s="481"/>
      <c r="SBZ57" s="481"/>
      <c r="SCA57" s="481"/>
      <c r="SCB57" s="481"/>
      <c r="SCC57" s="481"/>
      <c r="SCD57" s="481"/>
      <c r="SCE57" s="481"/>
      <c r="SCF57" s="481"/>
      <c r="SCG57" s="481"/>
      <c r="SCH57" s="481"/>
      <c r="SCI57" s="481"/>
      <c r="SCJ57" s="481"/>
      <c r="SCK57" s="481"/>
      <c r="SCL57" s="481"/>
      <c r="SCM57" s="481"/>
      <c r="SCN57" s="481"/>
      <c r="SCO57" s="481"/>
      <c r="SCP57" s="481"/>
      <c r="SCQ57" s="481"/>
      <c r="SCR57" s="481"/>
      <c r="SCS57" s="481"/>
      <c r="SCT57" s="481"/>
      <c r="SCU57" s="481"/>
      <c r="SCV57" s="481"/>
      <c r="SCW57" s="481"/>
      <c r="SCX57" s="481"/>
      <c r="SCY57" s="481"/>
      <c r="SCZ57" s="481"/>
      <c r="SDA57" s="481"/>
      <c r="SDB57" s="481"/>
      <c r="SDC57" s="481"/>
      <c r="SDD57" s="481"/>
      <c r="SDE57" s="481"/>
      <c r="SDF57" s="481"/>
      <c r="SDG57" s="481"/>
      <c r="SDH57" s="481"/>
      <c r="SDI57" s="481"/>
      <c r="SDJ57" s="481"/>
      <c r="SDK57" s="481"/>
      <c r="SDL57" s="481"/>
      <c r="SDM57" s="481"/>
      <c r="SDN57" s="481"/>
      <c r="SDO57" s="481"/>
      <c r="SDP57" s="481"/>
      <c r="SDQ57" s="481"/>
      <c r="SDR57" s="481"/>
      <c r="SDS57" s="481"/>
      <c r="SDT57" s="481"/>
      <c r="SDU57" s="481"/>
      <c r="SDV57" s="481"/>
      <c r="SDW57" s="481"/>
      <c r="SDX57" s="481"/>
      <c r="SDY57" s="481"/>
      <c r="SDZ57" s="481"/>
      <c r="SEA57" s="481"/>
      <c r="SEB57" s="481"/>
      <c r="SEC57" s="481"/>
      <c r="SED57" s="481"/>
      <c r="SEE57" s="481"/>
      <c r="SEF57" s="481"/>
      <c r="SEG57" s="481"/>
      <c r="SEH57" s="481"/>
      <c r="SEI57" s="481"/>
      <c r="SEJ57" s="481"/>
      <c r="SEK57" s="481"/>
      <c r="SEL57" s="481"/>
      <c r="SEM57" s="481"/>
      <c r="SEN57" s="481"/>
      <c r="SEO57" s="481"/>
      <c r="SEP57" s="481"/>
      <c r="SEQ57" s="481"/>
      <c r="SER57" s="481"/>
      <c r="SES57" s="481"/>
      <c r="SET57" s="481"/>
      <c r="SEU57" s="481"/>
      <c r="SEV57" s="481"/>
      <c r="SEW57" s="481"/>
      <c r="SEX57" s="481"/>
      <c r="SEY57" s="481"/>
      <c r="SEZ57" s="481"/>
      <c r="SFA57" s="481"/>
      <c r="SFB57" s="481"/>
      <c r="SFC57" s="481"/>
      <c r="SFD57" s="481"/>
      <c r="SFE57" s="481"/>
      <c r="SFF57" s="481"/>
      <c r="SFG57" s="481"/>
      <c r="SFH57" s="481"/>
      <c r="SFI57" s="481"/>
      <c r="SFJ57" s="481"/>
      <c r="SFK57" s="481"/>
      <c r="SFL57" s="481"/>
      <c r="SFM57" s="481"/>
      <c r="SFN57" s="481"/>
      <c r="SFO57" s="481"/>
      <c r="SFP57" s="481"/>
      <c r="SFQ57" s="481"/>
      <c r="SFR57" s="481"/>
      <c r="SFS57" s="481"/>
      <c r="SFT57" s="481"/>
      <c r="SFU57" s="481"/>
      <c r="SFV57" s="481"/>
      <c r="SFW57" s="481"/>
      <c r="SFX57" s="481"/>
      <c r="SFY57" s="481"/>
      <c r="SFZ57" s="481"/>
      <c r="SGA57" s="481"/>
      <c r="SGB57" s="481"/>
      <c r="SGC57" s="481"/>
      <c r="SGD57" s="481"/>
      <c r="SGE57" s="481"/>
      <c r="SGF57" s="481"/>
      <c r="SGG57" s="481"/>
      <c r="SGH57" s="481"/>
      <c r="SGI57" s="481"/>
      <c r="SGJ57" s="481"/>
      <c r="SGK57" s="481"/>
      <c r="SGL57" s="481"/>
      <c r="SGM57" s="481"/>
      <c r="SGN57" s="481"/>
      <c r="SGO57" s="481"/>
      <c r="SGP57" s="481"/>
      <c r="SGQ57" s="481"/>
      <c r="SGR57" s="481"/>
      <c r="SGS57" s="481"/>
      <c r="SGT57" s="481"/>
      <c r="SGU57" s="481"/>
      <c r="SGV57" s="481"/>
      <c r="SGW57" s="481"/>
      <c r="SGX57" s="481"/>
      <c r="SGY57" s="481"/>
      <c r="SGZ57" s="481"/>
      <c r="SHA57" s="481"/>
      <c r="SHB57" s="481"/>
      <c r="SHC57" s="481"/>
      <c r="SHD57" s="481"/>
      <c r="SHE57" s="481"/>
      <c r="SHF57" s="481"/>
      <c r="SHG57" s="481"/>
      <c r="SHH57" s="481"/>
      <c r="SHI57" s="481"/>
      <c r="SHJ57" s="481"/>
      <c r="SHK57" s="481"/>
      <c r="SHL57" s="481"/>
      <c r="SHM57" s="481"/>
      <c r="SHN57" s="481"/>
      <c r="SHO57" s="481"/>
      <c r="SHP57" s="481"/>
      <c r="SHQ57" s="481"/>
      <c r="SHR57" s="481"/>
      <c r="SHS57" s="481"/>
      <c r="SHT57" s="481"/>
      <c r="SHU57" s="481"/>
      <c r="SHV57" s="481"/>
      <c r="SHW57" s="481"/>
      <c r="SHX57" s="481"/>
      <c r="SHY57" s="481"/>
      <c r="SHZ57" s="481"/>
      <c r="SIA57" s="481"/>
      <c r="SIB57" s="481"/>
      <c r="SIC57" s="481"/>
      <c r="SID57" s="481"/>
      <c r="SIE57" s="481"/>
      <c r="SIF57" s="481"/>
      <c r="SIG57" s="481"/>
      <c r="SIH57" s="481"/>
      <c r="SII57" s="481"/>
      <c r="SIJ57" s="481"/>
      <c r="SIK57" s="481"/>
      <c r="SIL57" s="481"/>
      <c r="SIM57" s="481"/>
      <c r="SIN57" s="481"/>
      <c r="SIO57" s="481"/>
      <c r="SIP57" s="481"/>
      <c r="SIQ57" s="481"/>
      <c r="SIR57" s="481"/>
      <c r="SIS57" s="481"/>
      <c r="SIT57" s="481"/>
      <c r="SIU57" s="481"/>
      <c r="SIV57" s="481"/>
      <c r="SIW57" s="481"/>
      <c r="SIX57" s="481"/>
      <c r="SIY57" s="481"/>
      <c r="SIZ57" s="481"/>
      <c r="SJA57" s="481"/>
      <c r="SJB57" s="481"/>
      <c r="SJC57" s="481"/>
      <c r="SJD57" s="481"/>
      <c r="SJE57" s="481"/>
      <c r="SJF57" s="481"/>
      <c r="SJG57" s="481"/>
      <c r="SJH57" s="481"/>
      <c r="SJI57" s="481"/>
      <c r="SJJ57" s="481"/>
      <c r="SJK57" s="481"/>
      <c r="SJL57" s="481"/>
      <c r="SJM57" s="481"/>
      <c r="SJN57" s="481"/>
      <c r="SJO57" s="481"/>
      <c r="SJP57" s="481"/>
      <c r="SJQ57" s="481"/>
      <c r="SJR57" s="481"/>
      <c r="SJS57" s="481"/>
      <c r="SJT57" s="481"/>
      <c r="SJU57" s="481"/>
      <c r="SJV57" s="481"/>
      <c r="SJW57" s="481"/>
      <c r="SJX57" s="481"/>
      <c r="SJY57" s="481"/>
      <c r="SJZ57" s="481"/>
      <c r="SKA57" s="481"/>
      <c r="SKB57" s="481"/>
      <c r="SKC57" s="481"/>
      <c r="SKD57" s="481"/>
      <c r="SKE57" s="481"/>
      <c r="SKF57" s="481"/>
      <c r="SKG57" s="481"/>
      <c r="SKH57" s="481"/>
      <c r="SKI57" s="481"/>
      <c r="SKJ57" s="481"/>
      <c r="SKK57" s="481"/>
      <c r="SKL57" s="481"/>
      <c r="SKM57" s="481"/>
      <c r="SKN57" s="481"/>
      <c r="SKO57" s="481"/>
      <c r="SKP57" s="481"/>
      <c r="SKQ57" s="481"/>
      <c r="SKR57" s="481"/>
      <c r="SKS57" s="481"/>
      <c r="SKT57" s="481"/>
      <c r="SKU57" s="481"/>
      <c r="SKV57" s="481"/>
      <c r="SKW57" s="481"/>
      <c r="SKX57" s="481"/>
      <c r="SKY57" s="481"/>
      <c r="SKZ57" s="481"/>
      <c r="SLA57" s="481"/>
      <c r="SLB57" s="481"/>
      <c r="SLC57" s="481"/>
      <c r="SLD57" s="481"/>
      <c r="SLE57" s="481"/>
      <c r="SLF57" s="481"/>
      <c r="SLG57" s="481"/>
      <c r="SLH57" s="481"/>
      <c r="SLI57" s="481"/>
      <c r="SLJ57" s="481"/>
      <c r="SLK57" s="481"/>
      <c r="SLL57" s="481"/>
      <c r="SLM57" s="481"/>
      <c r="SLN57" s="481"/>
      <c r="SLO57" s="481"/>
      <c r="SLP57" s="481"/>
      <c r="SLQ57" s="481"/>
      <c r="SLR57" s="481"/>
      <c r="SLS57" s="481"/>
      <c r="SLT57" s="481"/>
      <c r="SLU57" s="481"/>
      <c r="SLV57" s="481"/>
      <c r="SLW57" s="481"/>
      <c r="SLX57" s="481"/>
      <c r="SLY57" s="481"/>
      <c r="SLZ57" s="481"/>
      <c r="SMA57" s="481"/>
      <c r="SMB57" s="481"/>
      <c r="SMC57" s="481"/>
      <c r="SMD57" s="481"/>
      <c r="SME57" s="481"/>
      <c r="SMF57" s="481"/>
      <c r="SMG57" s="481"/>
      <c r="SMH57" s="481"/>
      <c r="SMI57" s="481"/>
      <c r="SMJ57" s="481"/>
      <c r="SMK57" s="481"/>
      <c r="SML57" s="481"/>
      <c r="SMM57" s="481"/>
      <c r="SMN57" s="481"/>
      <c r="SMO57" s="481"/>
      <c r="SMP57" s="481"/>
      <c r="SMQ57" s="481"/>
      <c r="SMR57" s="481"/>
      <c r="SMS57" s="481"/>
      <c r="SMT57" s="481"/>
      <c r="SMU57" s="481"/>
      <c r="SMV57" s="481"/>
      <c r="SMW57" s="481"/>
      <c r="SMX57" s="481"/>
      <c r="SMY57" s="481"/>
      <c r="SMZ57" s="481"/>
      <c r="SNA57" s="481"/>
      <c r="SNB57" s="481"/>
      <c r="SNC57" s="481"/>
      <c r="SND57" s="481"/>
      <c r="SNE57" s="481"/>
      <c r="SNF57" s="481"/>
      <c r="SNG57" s="481"/>
      <c r="SNH57" s="481"/>
      <c r="SNI57" s="481"/>
      <c r="SNJ57" s="481"/>
      <c r="SNK57" s="481"/>
      <c r="SNL57" s="481"/>
      <c r="SNM57" s="481"/>
      <c r="SNN57" s="481"/>
      <c r="SNO57" s="481"/>
      <c r="SNP57" s="481"/>
      <c r="SNQ57" s="481"/>
      <c r="SNR57" s="481"/>
      <c r="SNS57" s="481"/>
      <c r="SNT57" s="481"/>
      <c r="SNU57" s="481"/>
      <c r="SNV57" s="481"/>
      <c r="SNW57" s="481"/>
      <c r="SNX57" s="481"/>
      <c r="SNY57" s="481"/>
      <c r="SNZ57" s="481"/>
      <c r="SOA57" s="481"/>
      <c r="SOB57" s="481"/>
      <c r="SOC57" s="481"/>
      <c r="SOD57" s="481"/>
      <c r="SOE57" s="481"/>
      <c r="SOF57" s="481"/>
      <c r="SOG57" s="481"/>
      <c r="SOH57" s="481"/>
      <c r="SOI57" s="481"/>
      <c r="SOJ57" s="481"/>
      <c r="SOK57" s="481"/>
      <c r="SOL57" s="481"/>
      <c r="SOM57" s="481"/>
      <c r="SON57" s="481"/>
      <c r="SOO57" s="481"/>
      <c r="SOP57" s="481"/>
      <c r="SOQ57" s="481"/>
      <c r="SOR57" s="481"/>
      <c r="SOS57" s="481"/>
      <c r="SOT57" s="481"/>
      <c r="SOU57" s="481"/>
      <c r="SOV57" s="481"/>
      <c r="SOW57" s="481"/>
      <c r="SOX57" s="481"/>
      <c r="SOY57" s="481"/>
      <c r="SOZ57" s="481"/>
      <c r="SPA57" s="481"/>
      <c r="SPB57" s="481"/>
      <c r="SPC57" s="481"/>
      <c r="SPD57" s="481"/>
      <c r="SPE57" s="481"/>
      <c r="SPF57" s="481"/>
      <c r="SPG57" s="481"/>
      <c r="SPH57" s="481"/>
      <c r="SPI57" s="481"/>
      <c r="SPJ57" s="481"/>
      <c r="SPK57" s="481"/>
      <c r="SPL57" s="481"/>
      <c r="SPM57" s="481"/>
      <c r="SPN57" s="481"/>
      <c r="SPO57" s="481"/>
      <c r="SPP57" s="481"/>
      <c r="SPQ57" s="481"/>
      <c r="SPR57" s="481"/>
      <c r="SPS57" s="481"/>
      <c r="SPT57" s="481"/>
      <c r="SPU57" s="481"/>
      <c r="SPV57" s="481"/>
      <c r="SPW57" s="481"/>
      <c r="SPX57" s="481"/>
      <c r="SPY57" s="481"/>
      <c r="SPZ57" s="481"/>
      <c r="SQA57" s="481"/>
      <c r="SQB57" s="481"/>
      <c r="SQC57" s="481"/>
      <c r="SQD57" s="481"/>
      <c r="SQE57" s="481"/>
      <c r="SQF57" s="481"/>
      <c r="SQG57" s="481"/>
      <c r="SQH57" s="481"/>
      <c r="SQI57" s="481"/>
      <c r="SQJ57" s="481"/>
      <c r="SQK57" s="481"/>
      <c r="SQL57" s="481"/>
      <c r="SQM57" s="481"/>
      <c r="SQN57" s="481"/>
      <c r="SQO57" s="481"/>
      <c r="SQP57" s="481"/>
      <c r="SQQ57" s="481"/>
      <c r="SQR57" s="481"/>
      <c r="SQS57" s="481"/>
      <c r="SQT57" s="481"/>
      <c r="SQU57" s="481"/>
      <c r="SQV57" s="481"/>
      <c r="SQW57" s="481"/>
      <c r="SQX57" s="481"/>
      <c r="SQY57" s="481"/>
      <c r="SQZ57" s="481"/>
      <c r="SRA57" s="481"/>
      <c r="SRB57" s="481"/>
      <c r="SRC57" s="481"/>
      <c r="SRD57" s="481"/>
      <c r="SRE57" s="481"/>
      <c r="SRF57" s="481"/>
      <c r="SRG57" s="481"/>
      <c r="SRH57" s="481"/>
      <c r="SRI57" s="481"/>
      <c r="SRJ57" s="481"/>
      <c r="SRK57" s="481"/>
      <c r="SRL57" s="481"/>
      <c r="SRM57" s="481"/>
      <c r="SRN57" s="481"/>
      <c r="SRO57" s="481"/>
      <c r="SRP57" s="481"/>
      <c r="SRQ57" s="481"/>
      <c r="SRR57" s="481"/>
      <c r="SRS57" s="481"/>
      <c r="SRT57" s="481"/>
      <c r="SRU57" s="481"/>
      <c r="SRV57" s="481"/>
      <c r="SRW57" s="481"/>
      <c r="SRX57" s="481"/>
      <c r="SRY57" s="481"/>
      <c r="SRZ57" s="481"/>
      <c r="SSA57" s="481"/>
      <c r="SSB57" s="481"/>
      <c r="SSC57" s="481"/>
      <c r="SSD57" s="481"/>
      <c r="SSE57" s="481"/>
      <c r="SSF57" s="481"/>
      <c r="SSG57" s="481"/>
      <c r="SSH57" s="481"/>
      <c r="SSI57" s="481"/>
      <c r="SSJ57" s="481"/>
      <c r="SSK57" s="481"/>
      <c r="SSL57" s="481"/>
      <c r="SSM57" s="481"/>
      <c r="SSN57" s="481"/>
      <c r="SSO57" s="481"/>
      <c r="SSP57" s="481"/>
      <c r="SSQ57" s="481"/>
      <c r="SSR57" s="481"/>
      <c r="SSS57" s="481"/>
      <c r="SST57" s="481"/>
      <c r="SSU57" s="481"/>
      <c r="SSV57" s="481"/>
      <c r="SSW57" s="481"/>
      <c r="SSX57" s="481"/>
      <c r="SSY57" s="481"/>
      <c r="SSZ57" s="481"/>
      <c r="STA57" s="481"/>
      <c r="STB57" s="481"/>
      <c r="STC57" s="481"/>
      <c r="STD57" s="481"/>
      <c r="STE57" s="481"/>
      <c r="STF57" s="481"/>
      <c r="STG57" s="481"/>
      <c r="STH57" s="481"/>
      <c r="STI57" s="481"/>
      <c r="STJ57" s="481"/>
      <c r="STK57" s="481"/>
      <c r="STL57" s="481"/>
      <c r="STM57" s="481"/>
      <c r="STN57" s="481"/>
      <c r="STO57" s="481"/>
      <c r="STP57" s="481"/>
      <c r="STQ57" s="481"/>
      <c r="STR57" s="481"/>
      <c r="STS57" s="481"/>
      <c r="STT57" s="481"/>
      <c r="STU57" s="481"/>
      <c r="STV57" s="481"/>
      <c r="STW57" s="481"/>
      <c r="STX57" s="481"/>
      <c r="STY57" s="481"/>
      <c r="STZ57" s="481"/>
      <c r="SUA57" s="481"/>
      <c r="SUB57" s="481"/>
      <c r="SUC57" s="481"/>
      <c r="SUD57" s="481"/>
      <c r="SUE57" s="481"/>
      <c r="SUF57" s="481"/>
      <c r="SUG57" s="481"/>
      <c r="SUH57" s="481"/>
      <c r="SUI57" s="481"/>
      <c r="SUJ57" s="481"/>
      <c r="SUK57" s="481"/>
      <c r="SUL57" s="481"/>
      <c r="SUM57" s="481"/>
      <c r="SUN57" s="481"/>
      <c r="SUO57" s="481"/>
      <c r="SUP57" s="481"/>
      <c r="SUQ57" s="481"/>
      <c r="SUR57" s="481"/>
      <c r="SUS57" s="481"/>
      <c r="SUT57" s="481"/>
      <c r="SUU57" s="481"/>
      <c r="SUV57" s="481"/>
      <c r="SUW57" s="481"/>
      <c r="SUX57" s="481"/>
      <c r="SUY57" s="481"/>
      <c r="SUZ57" s="481"/>
      <c r="SVA57" s="481"/>
      <c r="SVB57" s="481"/>
      <c r="SVC57" s="481"/>
      <c r="SVD57" s="481"/>
      <c r="SVE57" s="481"/>
      <c r="SVF57" s="481"/>
      <c r="SVG57" s="481"/>
      <c r="SVH57" s="481"/>
      <c r="SVI57" s="481"/>
      <c r="SVJ57" s="481"/>
      <c r="SVK57" s="481"/>
      <c r="SVL57" s="481"/>
      <c r="SVM57" s="481"/>
      <c r="SVN57" s="481"/>
      <c r="SVO57" s="481"/>
      <c r="SVP57" s="481"/>
      <c r="SVQ57" s="481"/>
      <c r="SVR57" s="481"/>
      <c r="SVS57" s="481"/>
      <c r="SVT57" s="481"/>
      <c r="SVU57" s="481"/>
      <c r="SVV57" s="481"/>
      <c r="SVW57" s="481"/>
      <c r="SVX57" s="481"/>
      <c r="SVY57" s="481"/>
      <c r="SVZ57" s="481"/>
      <c r="SWA57" s="481"/>
      <c r="SWB57" s="481"/>
      <c r="SWC57" s="481"/>
      <c r="SWD57" s="481"/>
      <c r="SWE57" s="481"/>
      <c r="SWF57" s="481"/>
      <c r="SWG57" s="481"/>
      <c r="SWH57" s="481"/>
      <c r="SWI57" s="481"/>
      <c r="SWJ57" s="481"/>
      <c r="SWK57" s="481"/>
      <c r="SWL57" s="481"/>
      <c r="SWM57" s="481"/>
      <c r="SWN57" s="481"/>
      <c r="SWO57" s="481"/>
      <c r="SWP57" s="481"/>
      <c r="SWQ57" s="481"/>
      <c r="SWR57" s="481"/>
      <c r="SWS57" s="481"/>
      <c r="SWT57" s="481"/>
      <c r="SWU57" s="481"/>
      <c r="SWV57" s="481"/>
      <c r="SWW57" s="481"/>
      <c r="SWX57" s="481"/>
      <c r="SWY57" s="481"/>
      <c r="SWZ57" s="481"/>
      <c r="SXA57" s="481"/>
      <c r="SXB57" s="481"/>
      <c r="SXC57" s="481"/>
      <c r="SXD57" s="481"/>
      <c r="SXE57" s="481"/>
      <c r="SXF57" s="481"/>
      <c r="SXG57" s="481"/>
      <c r="SXH57" s="481"/>
      <c r="SXI57" s="481"/>
      <c r="SXJ57" s="481"/>
      <c r="SXK57" s="481"/>
      <c r="SXL57" s="481"/>
      <c r="SXM57" s="481"/>
      <c r="SXN57" s="481"/>
      <c r="SXO57" s="481"/>
      <c r="SXP57" s="481"/>
      <c r="SXQ57" s="481"/>
      <c r="SXR57" s="481"/>
      <c r="SXS57" s="481"/>
      <c r="SXT57" s="481"/>
      <c r="SXU57" s="481"/>
      <c r="SXV57" s="481"/>
      <c r="SXW57" s="481"/>
      <c r="SXX57" s="481"/>
      <c r="SXY57" s="481"/>
      <c r="SXZ57" s="481"/>
      <c r="SYA57" s="481"/>
      <c r="SYB57" s="481"/>
      <c r="SYC57" s="481"/>
      <c r="SYD57" s="481"/>
      <c r="SYE57" s="481"/>
      <c r="SYF57" s="481"/>
      <c r="SYG57" s="481"/>
      <c r="SYH57" s="481"/>
      <c r="SYI57" s="481"/>
      <c r="SYJ57" s="481"/>
      <c r="SYK57" s="481"/>
      <c r="SYL57" s="481"/>
      <c r="SYM57" s="481"/>
      <c r="SYN57" s="481"/>
      <c r="SYO57" s="481"/>
      <c r="SYP57" s="481"/>
      <c r="SYQ57" s="481"/>
      <c r="SYR57" s="481"/>
      <c r="SYS57" s="481"/>
      <c r="SYT57" s="481"/>
      <c r="SYU57" s="481"/>
      <c r="SYV57" s="481"/>
      <c r="SYW57" s="481"/>
      <c r="SYX57" s="481"/>
      <c r="SYY57" s="481"/>
      <c r="SYZ57" s="481"/>
      <c r="SZA57" s="481"/>
      <c r="SZB57" s="481"/>
      <c r="SZC57" s="481"/>
      <c r="SZD57" s="481"/>
      <c r="SZE57" s="481"/>
      <c r="SZF57" s="481"/>
      <c r="SZG57" s="481"/>
      <c r="SZH57" s="481"/>
      <c r="SZI57" s="481"/>
      <c r="SZJ57" s="481"/>
      <c r="SZK57" s="481"/>
      <c r="SZL57" s="481"/>
      <c r="SZM57" s="481"/>
      <c r="SZN57" s="481"/>
      <c r="SZO57" s="481"/>
      <c r="SZP57" s="481"/>
      <c r="SZQ57" s="481"/>
      <c r="SZR57" s="481"/>
      <c r="SZS57" s="481"/>
      <c r="SZT57" s="481"/>
      <c r="SZU57" s="481"/>
      <c r="SZV57" s="481"/>
      <c r="SZW57" s="481"/>
      <c r="SZX57" s="481"/>
      <c r="SZY57" s="481"/>
      <c r="SZZ57" s="481"/>
      <c r="TAA57" s="481"/>
      <c r="TAB57" s="481"/>
      <c r="TAC57" s="481"/>
      <c r="TAD57" s="481"/>
      <c r="TAE57" s="481"/>
      <c r="TAF57" s="481"/>
      <c r="TAG57" s="481"/>
      <c r="TAH57" s="481"/>
      <c r="TAI57" s="481"/>
      <c r="TAJ57" s="481"/>
      <c r="TAK57" s="481"/>
      <c r="TAL57" s="481"/>
      <c r="TAM57" s="481"/>
      <c r="TAN57" s="481"/>
      <c r="TAO57" s="481"/>
      <c r="TAP57" s="481"/>
      <c r="TAQ57" s="481"/>
      <c r="TAR57" s="481"/>
      <c r="TAS57" s="481"/>
      <c r="TAT57" s="481"/>
      <c r="TAU57" s="481"/>
      <c r="TAV57" s="481"/>
      <c r="TAW57" s="481"/>
      <c r="TAX57" s="481"/>
      <c r="TAY57" s="481"/>
      <c r="TAZ57" s="481"/>
      <c r="TBA57" s="481"/>
      <c r="TBB57" s="481"/>
      <c r="TBC57" s="481"/>
      <c r="TBD57" s="481"/>
      <c r="TBE57" s="481"/>
      <c r="TBF57" s="481"/>
      <c r="TBG57" s="481"/>
      <c r="TBH57" s="481"/>
      <c r="TBI57" s="481"/>
      <c r="TBJ57" s="481"/>
      <c r="TBK57" s="481"/>
      <c r="TBL57" s="481"/>
      <c r="TBM57" s="481"/>
      <c r="TBN57" s="481"/>
      <c r="TBO57" s="481"/>
      <c r="TBP57" s="481"/>
      <c r="TBQ57" s="481"/>
      <c r="TBR57" s="481"/>
      <c r="TBS57" s="481"/>
      <c r="TBT57" s="481"/>
      <c r="TBU57" s="481"/>
      <c r="TBV57" s="481"/>
      <c r="TBW57" s="481"/>
      <c r="TBX57" s="481"/>
      <c r="TBY57" s="481"/>
      <c r="TBZ57" s="481"/>
      <c r="TCA57" s="481"/>
      <c r="TCB57" s="481"/>
      <c r="TCC57" s="481"/>
      <c r="TCD57" s="481"/>
      <c r="TCE57" s="481"/>
      <c r="TCF57" s="481"/>
      <c r="TCG57" s="481"/>
      <c r="TCH57" s="481"/>
      <c r="TCI57" s="481"/>
      <c r="TCJ57" s="481"/>
      <c r="TCK57" s="481"/>
      <c r="TCL57" s="481"/>
      <c r="TCM57" s="481"/>
      <c r="TCN57" s="481"/>
      <c r="TCO57" s="481"/>
      <c r="TCP57" s="481"/>
      <c r="TCQ57" s="481"/>
      <c r="TCR57" s="481"/>
      <c r="TCS57" s="481"/>
      <c r="TCT57" s="481"/>
      <c r="TCU57" s="481"/>
      <c r="TCV57" s="481"/>
      <c r="TCW57" s="481"/>
      <c r="TCX57" s="481"/>
      <c r="TCY57" s="481"/>
      <c r="TCZ57" s="481"/>
      <c r="TDA57" s="481"/>
      <c r="TDB57" s="481"/>
      <c r="TDC57" s="481"/>
      <c r="TDD57" s="481"/>
      <c r="TDE57" s="481"/>
      <c r="TDF57" s="481"/>
      <c r="TDG57" s="481"/>
      <c r="TDH57" s="481"/>
      <c r="TDI57" s="481"/>
      <c r="TDJ57" s="481"/>
      <c r="TDK57" s="481"/>
      <c r="TDL57" s="481"/>
      <c r="TDM57" s="481"/>
      <c r="TDN57" s="481"/>
      <c r="TDO57" s="481"/>
      <c r="TDP57" s="481"/>
      <c r="TDQ57" s="481"/>
      <c r="TDR57" s="481"/>
      <c r="TDS57" s="481"/>
      <c r="TDT57" s="481"/>
      <c r="TDU57" s="481"/>
      <c r="TDV57" s="481"/>
      <c r="TDW57" s="481"/>
      <c r="TDX57" s="481"/>
      <c r="TDY57" s="481"/>
      <c r="TDZ57" s="481"/>
      <c r="TEA57" s="481"/>
      <c r="TEB57" s="481"/>
      <c r="TEC57" s="481"/>
      <c r="TED57" s="481"/>
      <c r="TEE57" s="481"/>
      <c r="TEF57" s="481"/>
      <c r="TEG57" s="481"/>
      <c r="TEH57" s="481"/>
      <c r="TEI57" s="481"/>
      <c r="TEJ57" s="481"/>
      <c r="TEK57" s="481"/>
      <c r="TEL57" s="481"/>
      <c r="TEM57" s="481"/>
      <c r="TEN57" s="481"/>
      <c r="TEO57" s="481"/>
      <c r="TEP57" s="481"/>
      <c r="TEQ57" s="481"/>
      <c r="TER57" s="481"/>
      <c r="TES57" s="481"/>
      <c r="TET57" s="481"/>
      <c r="TEU57" s="481"/>
      <c r="TEV57" s="481"/>
      <c r="TEW57" s="481"/>
      <c r="TEX57" s="481"/>
      <c r="TEY57" s="481"/>
      <c r="TEZ57" s="481"/>
      <c r="TFA57" s="481"/>
      <c r="TFB57" s="481"/>
      <c r="TFC57" s="481"/>
      <c r="TFD57" s="481"/>
      <c r="TFE57" s="481"/>
      <c r="TFF57" s="481"/>
      <c r="TFG57" s="481"/>
      <c r="TFH57" s="481"/>
      <c r="TFI57" s="481"/>
      <c r="TFJ57" s="481"/>
      <c r="TFK57" s="481"/>
      <c r="TFL57" s="481"/>
      <c r="TFM57" s="481"/>
      <c r="TFN57" s="481"/>
      <c r="TFO57" s="481"/>
      <c r="TFP57" s="481"/>
      <c r="TFQ57" s="481"/>
      <c r="TFR57" s="481"/>
      <c r="TFS57" s="481"/>
      <c r="TFT57" s="481"/>
      <c r="TFU57" s="481"/>
      <c r="TFV57" s="481"/>
      <c r="TFW57" s="481"/>
      <c r="TFX57" s="481"/>
      <c r="TFY57" s="481"/>
      <c r="TFZ57" s="481"/>
      <c r="TGA57" s="481"/>
      <c r="TGB57" s="481"/>
      <c r="TGC57" s="481"/>
      <c r="TGD57" s="481"/>
      <c r="TGE57" s="481"/>
      <c r="TGF57" s="481"/>
      <c r="TGG57" s="481"/>
      <c r="TGH57" s="481"/>
      <c r="TGI57" s="481"/>
      <c r="TGJ57" s="481"/>
      <c r="TGK57" s="481"/>
      <c r="TGL57" s="481"/>
      <c r="TGM57" s="481"/>
      <c r="TGN57" s="481"/>
      <c r="TGO57" s="481"/>
      <c r="TGP57" s="481"/>
      <c r="TGQ57" s="481"/>
      <c r="TGR57" s="481"/>
      <c r="TGS57" s="481"/>
      <c r="TGT57" s="481"/>
      <c r="TGU57" s="481"/>
      <c r="TGV57" s="481"/>
      <c r="TGW57" s="481"/>
      <c r="TGX57" s="481"/>
      <c r="TGY57" s="481"/>
      <c r="TGZ57" s="481"/>
      <c r="THA57" s="481"/>
      <c r="THB57" s="481"/>
      <c r="THC57" s="481"/>
      <c r="THD57" s="481"/>
      <c r="THE57" s="481"/>
      <c r="THF57" s="481"/>
      <c r="THG57" s="481"/>
      <c r="THH57" s="481"/>
      <c r="THI57" s="481"/>
      <c r="THJ57" s="481"/>
      <c r="THK57" s="481"/>
      <c r="THL57" s="481"/>
      <c r="THM57" s="481"/>
      <c r="THN57" s="481"/>
      <c r="THO57" s="481"/>
      <c r="THP57" s="481"/>
      <c r="THQ57" s="481"/>
      <c r="THR57" s="481"/>
      <c r="THS57" s="481"/>
      <c r="THT57" s="481"/>
      <c r="THU57" s="481"/>
      <c r="THV57" s="481"/>
      <c r="THW57" s="481"/>
      <c r="THX57" s="481"/>
      <c r="THY57" s="481"/>
      <c r="THZ57" s="481"/>
      <c r="TIA57" s="481"/>
      <c r="TIB57" s="481"/>
      <c r="TIC57" s="481"/>
      <c r="TID57" s="481"/>
      <c r="TIE57" s="481"/>
      <c r="TIF57" s="481"/>
      <c r="TIG57" s="481"/>
      <c r="TIH57" s="481"/>
      <c r="TII57" s="481"/>
      <c r="TIJ57" s="481"/>
      <c r="TIK57" s="481"/>
      <c r="TIL57" s="481"/>
      <c r="TIM57" s="481"/>
      <c r="TIN57" s="481"/>
      <c r="TIO57" s="481"/>
      <c r="TIP57" s="481"/>
      <c r="TIQ57" s="481"/>
      <c r="TIR57" s="481"/>
      <c r="TIS57" s="481"/>
      <c r="TIT57" s="481"/>
      <c r="TIU57" s="481"/>
      <c r="TIV57" s="481"/>
      <c r="TIW57" s="481"/>
      <c r="TIX57" s="481"/>
      <c r="TIY57" s="481"/>
      <c r="TIZ57" s="481"/>
      <c r="TJA57" s="481"/>
      <c r="TJB57" s="481"/>
      <c r="TJC57" s="481"/>
      <c r="TJD57" s="481"/>
      <c r="TJE57" s="481"/>
      <c r="TJF57" s="481"/>
      <c r="TJG57" s="481"/>
      <c r="TJH57" s="481"/>
      <c r="TJI57" s="481"/>
      <c r="TJJ57" s="481"/>
      <c r="TJK57" s="481"/>
      <c r="TJL57" s="481"/>
      <c r="TJM57" s="481"/>
      <c r="TJN57" s="481"/>
      <c r="TJO57" s="481"/>
      <c r="TJP57" s="481"/>
      <c r="TJQ57" s="481"/>
      <c r="TJR57" s="481"/>
      <c r="TJS57" s="481"/>
      <c r="TJT57" s="481"/>
      <c r="TJU57" s="481"/>
      <c r="TJV57" s="481"/>
      <c r="TJW57" s="481"/>
      <c r="TJX57" s="481"/>
      <c r="TJY57" s="481"/>
      <c r="TJZ57" s="481"/>
      <c r="TKA57" s="481"/>
      <c r="TKB57" s="481"/>
      <c r="TKC57" s="481"/>
      <c r="TKD57" s="481"/>
      <c r="TKE57" s="481"/>
      <c r="TKF57" s="481"/>
      <c r="TKG57" s="481"/>
      <c r="TKH57" s="481"/>
      <c r="TKI57" s="481"/>
      <c r="TKJ57" s="481"/>
      <c r="TKK57" s="481"/>
      <c r="TKL57" s="481"/>
      <c r="TKM57" s="481"/>
      <c r="TKN57" s="481"/>
      <c r="TKO57" s="481"/>
      <c r="TKP57" s="481"/>
      <c r="TKQ57" s="481"/>
      <c r="TKR57" s="481"/>
      <c r="TKS57" s="481"/>
      <c r="TKT57" s="481"/>
      <c r="TKU57" s="481"/>
      <c r="TKV57" s="481"/>
      <c r="TKW57" s="481"/>
      <c r="TKX57" s="481"/>
      <c r="TKY57" s="481"/>
      <c r="TKZ57" s="481"/>
      <c r="TLA57" s="481"/>
      <c r="TLB57" s="481"/>
      <c r="TLC57" s="481"/>
      <c r="TLD57" s="481"/>
      <c r="TLE57" s="481"/>
      <c r="TLF57" s="481"/>
      <c r="TLG57" s="481"/>
      <c r="TLH57" s="481"/>
      <c r="TLI57" s="481"/>
      <c r="TLJ57" s="481"/>
      <c r="TLK57" s="481"/>
      <c r="TLL57" s="481"/>
      <c r="TLM57" s="481"/>
      <c r="TLN57" s="481"/>
      <c r="TLO57" s="481"/>
      <c r="TLP57" s="481"/>
      <c r="TLQ57" s="481"/>
      <c r="TLR57" s="481"/>
      <c r="TLS57" s="481"/>
      <c r="TLT57" s="481"/>
      <c r="TLU57" s="481"/>
      <c r="TLV57" s="481"/>
      <c r="TLW57" s="481"/>
      <c r="TLX57" s="481"/>
      <c r="TLY57" s="481"/>
      <c r="TLZ57" s="481"/>
      <c r="TMA57" s="481"/>
      <c r="TMB57" s="481"/>
      <c r="TMC57" s="481"/>
      <c r="TMD57" s="481"/>
      <c r="TME57" s="481"/>
      <c r="TMF57" s="481"/>
      <c r="TMG57" s="481"/>
      <c r="TMH57" s="481"/>
      <c r="TMI57" s="481"/>
      <c r="TMJ57" s="481"/>
      <c r="TMK57" s="481"/>
      <c r="TML57" s="481"/>
      <c r="TMM57" s="481"/>
      <c r="TMN57" s="481"/>
      <c r="TMO57" s="481"/>
      <c r="TMP57" s="481"/>
      <c r="TMQ57" s="481"/>
      <c r="TMR57" s="481"/>
      <c r="TMS57" s="481"/>
      <c r="TMT57" s="481"/>
      <c r="TMU57" s="481"/>
      <c r="TMV57" s="481"/>
      <c r="TMW57" s="481"/>
      <c r="TMX57" s="481"/>
      <c r="TMY57" s="481"/>
      <c r="TMZ57" s="481"/>
      <c r="TNA57" s="481"/>
      <c r="TNB57" s="481"/>
      <c r="TNC57" s="481"/>
      <c r="TND57" s="481"/>
      <c r="TNE57" s="481"/>
      <c r="TNF57" s="481"/>
      <c r="TNG57" s="481"/>
      <c r="TNH57" s="481"/>
      <c r="TNI57" s="481"/>
      <c r="TNJ57" s="481"/>
      <c r="TNK57" s="481"/>
      <c r="TNL57" s="481"/>
      <c r="TNM57" s="481"/>
      <c r="TNN57" s="481"/>
      <c r="TNO57" s="481"/>
      <c r="TNP57" s="481"/>
      <c r="TNQ57" s="481"/>
      <c r="TNR57" s="481"/>
      <c r="TNS57" s="481"/>
      <c r="TNT57" s="481"/>
      <c r="TNU57" s="481"/>
      <c r="TNV57" s="481"/>
      <c r="TNW57" s="481"/>
      <c r="TNX57" s="481"/>
      <c r="TNY57" s="481"/>
      <c r="TNZ57" s="481"/>
      <c r="TOA57" s="481"/>
      <c r="TOB57" s="481"/>
      <c r="TOC57" s="481"/>
      <c r="TOD57" s="481"/>
      <c r="TOE57" s="481"/>
      <c r="TOF57" s="481"/>
      <c r="TOG57" s="481"/>
      <c r="TOH57" s="481"/>
      <c r="TOI57" s="481"/>
      <c r="TOJ57" s="481"/>
      <c r="TOK57" s="481"/>
      <c r="TOL57" s="481"/>
      <c r="TOM57" s="481"/>
      <c r="TON57" s="481"/>
      <c r="TOO57" s="481"/>
      <c r="TOP57" s="481"/>
      <c r="TOQ57" s="481"/>
      <c r="TOR57" s="481"/>
      <c r="TOS57" s="481"/>
      <c r="TOT57" s="481"/>
      <c r="TOU57" s="481"/>
      <c r="TOV57" s="481"/>
      <c r="TOW57" s="481"/>
      <c r="TOX57" s="481"/>
      <c r="TOY57" s="481"/>
      <c r="TOZ57" s="481"/>
      <c r="TPA57" s="481"/>
      <c r="TPB57" s="481"/>
      <c r="TPC57" s="481"/>
      <c r="TPD57" s="481"/>
      <c r="TPE57" s="481"/>
      <c r="TPF57" s="481"/>
      <c r="TPG57" s="481"/>
      <c r="TPH57" s="481"/>
      <c r="TPI57" s="481"/>
      <c r="TPJ57" s="481"/>
      <c r="TPK57" s="481"/>
      <c r="TPL57" s="481"/>
      <c r="TPM57" s="481"/>
      <c r="TPN57" s="481"/>
      <c r="TPO57" s="481"/>
      <c r="TPP57" s="481"/>
      <c r="TPQ57" s="481"/>
      <c r="TPR57" s="481"/>
      <c r="TPS57" s="481"/>
      <c r="TPT57" s="481"/>
      <c r="TPU57" s="481"/>
      <c r="TPV57" s="481"/>
      <c r="TPW57" s="481"/>
      <c r="TPX57" s="481"/>
      <c r="TPY57" s="481"/>
      <c r="TPZ57" s="481"/>
      <c r="TQA57" s="481"/>
      <c r="TQB57" s="481"/>
      <c r="TQC57" s="481"/>
      <c r="TQD57" s="481"/>
      <c r="TQE57" s="481"/>
      <c r="TQF57" s="481"/>
      <c r="TQG57" s="481"/>
      <c r="TQH57" s="481"/>
      <c r="TQI57" s="481"/>
      <c r="TQJ57" s="481"/>
      <c r="TQK57" s="481"/>
      <c r="TQL57" s="481"/>
      <c r="TQM57" s="481"/>
      <c r="TQN57" s="481"/>
      <c r="TQO57" s="481"/>
      <c r="TQP57" s="481"/>
      <c r="TQQ57" s="481"/>
      <c r="TQR57" s="481"/>
      <c r="TQS57" s="481"/>
      <c r="TQT57" s="481"/>
      <c r="TQU57" s="481"/>
      <c r="TQV57" s="481"/>
      <c r="TQW57" s="481"/>
      <c r="TQX57" s="481"/>
      <c r="TQY57" s="481"/>
      <c r="TQZ57" s="481"/>
      <c r="TRA57" s="481"/>
      <c r="TRB57" s="481"/>
      <c r="TRC57" s="481"/>
      <c r="TRD57" s="481"/>
      <c r="TRE57" s="481"/>
      <c r="TRF57" s="481"/>
      <c r="TRG57" s="481"/>
      <c r="TRH57" s="481"/>
      <c r="TRI57" s="481"/>
      <c r="TRJ57" s="481"/>
      <c r="TRK57" s="481"/>
      <c r="TRL57" s="481"/>
      <c r="TRM57" s="481"/>
      <c r="TRN57" s="481"/>
      <c r="TRO57" s="481"/>
      <c r="TRP57" s="481"/>
      <c r="TRQ57" s="481"/>
      <c r="TRR57" s="481"/>
      <c r="TRS57" s="481"/>
      <c r="TRT57" s="481"/>
      <c r="TRU57" s="481"/>
      <c r="TRV57" s="481"/>
      <c r="TRW57" s="481"/>
      <c r="TRX57" s="481"/>
      <c r="TRY57" s="481"/>
      <c r="TRZ57" s="481"/>
      <c r="TSA57" s="481"/>
      <c r="TSB57" s="481"/>
      <c r="TSC57" s="481"/>
      <c r="TSD57" s="481"/>
      <c r="TSE57" s="481"/>
      <c r="TSF57" s="481"/>
      <c r="TSG57" s="481"/>
      <c r="TSH57" s="481"/>
      <c r="TSI57" s="481"/>
      <c r="TSJ57" s="481"/>
      <c r="TSK57" s="481"/>
      <c r="TSL57" s="481"/>
      <c r="TSM57" s="481"/>
      <c r="TSN57" s="481"/>
      <c r="TSO57" s="481"/>
      <c r="TSP57" s="481"/>
      <c r="TSQ57" s="481"/>
      <c r="TSR57" s="481"/>
      <c r="TSS57" s="481"/>
      <c r="TST57" s="481"/>
      <c r="TSU57" s="481"/>
      <c r="TSV57" s="481"/>
      <c r="TSW57" s="481"/>
      <c r="TSX57" s="481"/>
      <c r="TSY57" s="481"/>
      <c r="TSZ57" s="481"/>
      <c r="TTA57" s="481"/>
      <c r="TTB57" s="481"/>
      <c r="TTC57" s="481"/>
      <c r="TTD57" s="481"/>
      <c r="TTE57" s="481"/>
      <c r="TTF57" s="481"/>
      <c r="TTG57" s="481"/>
      <c r="TTH57" s="481"/>
      <c r="TTI57" s="481"/>
      <c r="TTJ57" s="481"/>
      <c r="TTK57" s="481"/>
      <c r="TTL57" s="481"/>
      <c r="TTM57" s="481"/>
      <c r="TTN57" s="481"/>
      <c r="TTO57" s="481"/>
      <c r="TTP57" s="481"/>
      <c r="TTQ57" s="481"/>
      <c r="TTR57" s="481"/>
      <c r="TTS57" s="481"/>
      <c r="TTT57" s="481"/>
      <c r="TTU57" s="481"/>
      <c r="TTV57" s="481"/>
      <c r="TTW57" s="481"/>
      <c r="TTX57" s="481"/>
      <c r="TTY57" s="481"/>
      <c r="TTZ57" s="481"/>
      <c r="TUA57" s="481"/>
      <c r="TUB57" s="481"/>
      <c r="TUC57" s="481"/>
      <c r="TUD57" s="481"/>
      <c r="TUE57" s="481"/>
      <c r="TUF57" s="481"/>
      <c r="TUG57" s="481"/>
      <c r="TUH57" s="481"/>
      <c r="TUI57" s="481"/>
      <c r="TUJ57" s="481"/>
      <c r="TUK57" s="481"/>
      <c r="TUL57" s="481"/>
      <c r="TUM57" s="481"/>
      <c r="TUN57" s="481"/>
      <c r="TUO57" s="481"/>
      <c r="TUP57" s="481"/>
      <c r="TUQ57" s="481"/>
      <c r="TUR57" s="481"/>
      <c r="TUS57" s="481"/>
      <c r="TUT57" s="481"/>
      <c r="TUU57" s="481"/>
      <c r="TUV57" s="481"/>
      <c r="TUW57" s="481"/>
      <c r="TUX57" s="481"/>
      <c r="TUY57" s="481"/>
      <c r="TUZ57" s="481"/>
      <c r="TVA57" s="481"/>
      <c r="TVB57" s="481"/>
      <c r="TVC57" s="481"/>
      <c r="TVD57" s="481"/>
      <c r="TVE57" s="481"/>
      <c r="TVF57" s="481"/>
      <c r="TVG57" s="481"/>
      <c r="TVH57" s="481"/>
      <c r="TVI57" s="481"/>
      <c r="TVJ57" s="481"/>
      <c r="TVK57" s="481"/>
      <c r="TVL57" s="481"/>
      <c r="TVM57" s="481"/>
      <c r="TVN57" s="481"/>
      <c r="TVO57" s="481"/>
      <c r="TVP57" s="481"/>
      <c r="TVQ57" s="481"/>
      <c r="TVR57" s="481"/>
      <c r="TVS57" s="481"/>
      <c r="TVT57" s="481"/>
      <c r="TVU57" s="481"/>
      <c r="TVV57" s="481"/>
      <c r="TVW57" s="481"/>
      <c r="TVX57" s="481"/>
      <c r="TVY57" s="481"/>
      <c r="TVZ57" s="481"/>
      <c r="TWA57" s="481"/>
      <c r="TWB57" s="481"/>
      <c r="TWC57" s="481"/>
      <c r="TWD57" s="481"/>
      <c r="TWE57" s="481"/>
      <c r="TWF57" s="481"/>
      <c r="TWG57" s="481"/>
      <c r="TWH57" s="481"/>
      <c r="TWI57" s="481"/>
      <c r="TWJ57" s="481"/>
      <c r="TWK57" s="481"/>
      <c r="TWL57" s="481"/>
      <c r="TWM57" s="481"/>
      <c r="TWN57" s="481"/>
      <c r="TWO57" s="481"/>
      <c r="TWP57" s="481"/>
      <c r="TWQ57" s="481"/>
      <c r="TWR57" s="481"/>
      <c r="TWS57" s="481"/>
      <c r="TWT57" s="481"/>
      <c r="TWU57" s="481"/>
      <c r="TWV57" s="481"/>
      <c r="TWW57" s="481"/>
      <c r="TWX57" s="481"/>
      <c r="TWY57" s="481"/>
      <c r="TWZ57" s="481"/>
      <c r="TXA57" s="481"/>
      <c r="TXB57" s="481"/>
      <c r="TXC57" s="481"/>
      <c r="TXD57" s="481"/>
      <c r="TXE57" s="481"/>
      <c r="TXF57" s="481"/>
      <c r="TXG57" s="481"/>
      <c r="TXH57" s="481"/>
      <c r="TXI57" s="481"/>
      <c r="TXJ57" s="481"/>
      <c r="TXK57" s="481"/>
      <c r="TXL57" s="481"/>
      <c r="TXM57" s="481"/>
      <c r="TXN57" s="481"/>
      <c r="TXO57" s="481"/>
      <c r="TXP57" s="481"/>
      <c r="TXQ57" s="481"/>
      <c r="TXR57" s="481"/>
      <c r="TXS57" s="481"/>
      <c r="TXT57" s="481"/>
      <c r="TXU57" s="481"/>
      <c r="TXV57" s="481"/>
      <c r="TXW57" s="481"/>
      <c r="TXX57" s="481"/>
      <c r="TXY57" s="481"/>
      <c r="TXZ57" s="481"/>
      <c r="TYA57" s="481"/>
      <c r="TYB57" s="481"/>
      <c r="TYC57" s="481"/>
      <c r="TYD57" s="481"/>
      <c r="TYE57" s="481"/>
      <c r="TYF57" s="481"/>
      <c r="TYG57" s="481"/>
      <c r="TYH57" s="481"/>
      <c r="TYI57" s="481"/>
      <c r="TYJ57" s="481"/>
      <c r="TYK57" s="481"/>
      <c r="TYL57" s="481"/>
      <c r="TYM57" s="481"/>
      <c r="TYN57" s="481"/>
      <c r="TYO57" s="481"/>
      <c r="TYP57" s="481"/>
      <c r="TYQ57" s="481"/>
      <c r="TYR57" s="481"/>
      <c r="TYS57" s="481"/>
      <c r="TYT57" s="481"/>
      <c r="TYU57" s="481"/>
      <c r="TYV57" s="481"/>
      <c r="TYW57" s="481"/>
      <c r="TYX57" s="481"/>
      <c r="TYY57" s="481"/>
      <c r="TYZ57" s="481"/>
      <c r="TZA57" s="481"/>
      <c r="TZB57" s="481"/>
      <c r="TZC57" s="481"/>
      <c r="TZD57" s="481"/>
      <c r="TZE57" s="481"/>
      <c r="TZF57" s="481"/>
      <c r="TZG57" s="481"/>
      <c r="TZH57" s="481"/>
      <c r="TZI57" s="481"/>
      <c r="TZJ57" s="481"/>
      <c r="TZK57" s="481"/>
      <c r="TZL57" s="481"/>
      <c r="TZM57" s="481"/>
      <c r="TZN57" s="481"/>
      <c r="TZO57" s="481"/>
      <c r="TZP57" s="481"/>
      <c r="TZQ57" s="481"/>
      <c r="TZR57" s="481"/>
      <c r="TZS57" s="481"/>
      <c r="TZT57" s="481"/>
      <c r="TZU57" s="481"/>
      <c r="TZV57" s="481"/>
      <c r="TZW57" s="481"/>
      <c r="TZX57" s="481"/>
      <c r="TZY57" s="481"/>
      <c r="TZZ57" s="481"/>
      <c r="UAA57" s="481"/>
      <c r="UAB57" s="481"/>
      <c r="UAC57" s="481"/>
      <c r="UAD57" s="481"/>
      <c r="UAE57" s="481"/>
      <c r="UAF57" s="481"/>
      <c r="UAG57" s="481"/>
      <c r="UAH57" s="481"/>
      <c r="UAI57" s="481"/>
      <c r="UAJ57" s="481"/>
      <c r="UAK57" s="481"/>
      <c r="UAL57" s="481"/>
      <c r="UAM57" s="481"/>
      <c r="UAN57" s="481"/>
      <c r="UAO57" s="481"/>
      <c r="UAP57" s="481"/>
      <c r="UAQ57" s="481"/>
      <c r="UAR57" s="481"/>
      <c r="UAS57" s="481"/>
      <c r="UAT57" s="481"/>
      <c r="UAU57" s="481"/>
      <c r="UAV57" s="481"/>
      <c r="UAW57" s="481"/>
      <c r="UAX57" s="481"/>
      <c r="UAY57" s="481"/>
      <c r="UAZ57" s="481"/>
      <c r="UBA57" s="481"/>
      <c r="UBB57" s="481"/>
      <c r="UBC57" s="481"/>
      <c r="UBD57" s="481"/>
      <c r="UBE57" s="481"/>
      <c r="UBF57" s="481"/>
      <c r="UBG57" s="481"/>
      <c r="UBH57" s="481"/>
      <c r="UBI57" s="481"/>
      <c r="UBJ57" s="481"/>
      <c r="UBK57" s="481"/>
      <c r="UBL57" s="481"/>
      <c r="UBM57" s="481"/>
      <c r="UBN57" s="481"/>
      <c r="UBO57" s="481"/>
      <c r="UBP57" s="481"/>
      <c r="UBQ57" s="481"/>
      <c r="UBR57" s="481"/>
      <c r="UBS57" s="481"/>
      <c r="UBT57" s="481"/>
      <c r="UBU57" s="481"/>
      <c r="UBV57" s="481"/>
      <c r="UBW57" s="481"/>
      <c r="UBX57" s="481"/>
      <c r="UBY57" s="481"/>
      <c r="UBZ57" s="481"/>
      <c r="UCA57" s="481"/>
      <c r="UCB57" s="481"/>
      <c r="UCC57" s="481"/>
      <c r="UCD57" s="481"/>
      <c r="UCE57" s="481"/>
      <c r="UCF57" s="481"/>
      <c r="UCG57" s="481"/>
      <c r="UCH57" s="481"/>
      <c r="UCI57" s="481"/>
      <c r="UCJ57" s="481"/>
      <c r="UCK57" s="481"/>
      <c r="UCL57" s="481"/>
      <c r="UCM57" s="481"/>
      <c r="UCN57" s="481"/>
      <c r="UCO57" s="481"/>
      <c r="UCP57" s="481"/>
      <c r="UCQ57" s="481"/>
      <c r="UCR57" s="481"/>
      <c r="UCS57" s="481"/>
      <c r="UCT57" s="481"/>
      <c r="UCU57" s="481"/>
      <c r="UCV57" s="481"/>
      <c r="UCW57" s="481"/>
      <c r="UCX57" s="481"/>
      <c r="UCY57" s="481"/>
      <c r="UCZ57" s="481"/>
      <c r="UDA57" s="481"/>
      <c r="UDB57" s="481"/>
      <c r="UDC57" s="481"/>
      <c r="UDD57" s="481"/>
      <c r="UDE57" s="481"/>
      <c r="UDF57" s="481"/>
      <c r="UDG57" s="481"/>
      <c r="UDH57" s="481"/>
      <c r="UDI57" s="481"/>
      <c r="UDJ57" s="481"/>
      <c r="UDK57" s="481"/>
      <c r="UDL57" s="481"/>
      <c r="UDM57" s="481"/>
      <c r="UDN57" s="481"/>
      <c r="UDO57" s="481"/>
      <c r="UDP57" s="481"/>
      <c r="UDQ57" s="481"/>
      <c r="UDR57" s="481"/>
      <c r="UDS57" s="481"/>
      <c r="UDT57" s="481"/>
      <c r="UDU57" s="481"/>
      <c r="UDV57" s="481"/>
      <c r="UDW57" s="481"/>
      <c r="UDX57" s="481"/>
      <c r="UDY57" s="481"/>
      <c r="UDZ57" s="481"/>
      <c r="UEA57" s="481"/>
      <c r="UEB57" s="481"/>
      <c r="UEC57" s="481"/>
      <c r="UED57" s="481"/>
      <c r="UEE57" s="481"/>
      <c r="UEF57" s="481"/>
      <c r="UEG57" s="481"/>
      <c r="UEH57" s="481"/>
      <c r="UEI57" s="481"/>
      <c r="UEJ57" s="481"/>
      <c r="UEK57" s="481"/>
      <c r="UEL57" s="481"/>
      <c r="UEM57" s="481"/>
      <c r="UEN57" s="481"/>
      <c r="UEO57" s="481"/>
      <c r="UEP57" s="481"/>
      <c r="UEQ57" s="481"/>
      <c r="UER57" s="481"/>
      <c r="UES57" s="481"/>
      <c r="UET57" s="481"/>
      <c r="UEU57" s="481"/>
      <c r="UEV57" s="481"/>
      <c r="UEW57" s="481"/>
      <c r="UEX57" s="481"/>
      <c r="UEY57" s="481"/>
      <c r="UEZ57" s="481"/>
      <c r="UFA57" s="481"/>
      <c r="UFB57" s="481"/>
      <c r="UFC57" s="481"/>
      <c r="UFD57" s="481"/>
      <c r="UFE57" s="481"/>
      <c r="UFF57" s="481"/>
      <c r="UFG57" s="481"/>
      <c r="UFH57" s="481"/>
      <c r="UFI57" s="481"/>
      <c r="UFJ57" s="481"/>
      <c r="UFK57" s="481"/>
      <c r="UFL57" s="481"/>
      <c r="UFM57" s="481"/>
      <c r="UFN57" s="481"/>
      <c r="UFO57" s="481"/>
      <c r="UFP57" s="481"/>
      <c r="UFQ57" s="481"/>
      <c r="UFR57" s="481"/>
      <c r="UFS57" s="481"/>
      <c r="UFT57" s="481"/>
      <c r="UFU57" s="481"/>
      <c r="UFV57" s="481"/>
      <c r="UFW57" s="481"/>
      <c r="UFX57" s="481"/>
      <c r="UFY57" s="481"/>
      <c r="UFZ57" s="481"/>
      <c r="UGA57" s="481"/>
      <c r="UGB57" s="481"/>
      <c r="UGC57" s="481"/>
      <c r="UGD57" s="481"/>
      <c r="UGE57" s="481"/>
      <c r="UGF57" s="481"/>
      <c r="UGG57" s="481"/>
      <c r="UGH57" s="481"/>
      <c r="UGI57" s="481"/>
      <c r="UGJ57" s="481"/>
      <c r="UGK57" s="481"/>
      <c r="UGL57" s="481"/>
      <c r="UGM57" s="481"/>
      <c r="UGN57" s="481"/>
      <c r="UGO57" s="481"/>
      <c r="UGP57" s="481"/>
      <c r="UGQ57" s="481"/>
      <c r="UGR57" s="481"/>
      <c r="UGS57" s="481"/>
      <c r="UGT57" s="481"/>
      <c r="UGU57" s="481"/>
      <c r="UGV57" s="481"/>
      <c r="UGW57" s="481"/>
      <c r="UGX57" s="481"/>
      <c r="UGY57" s="481"/>
      <c r="UGZ57" s="481"/>
      <c r="UHA57" s="481"/>
      <c r="UHB57" s="481"/>
      <c r="UHC57" s="481"/>
      <c r="UHD57" s="481"/>
      <c r="UHE57" s="481"/>
      <c r="UHF57" s="481"/>
      <c r="UHG57" s="481"/>
      <c r="UHH57" s="481"/>
      <c r="UHI57" s="481"/>
      <c r="UHJ57" s="481"/>
      <c r="UHK57" s="481"/>
      <c r="UHL57" s="481"/>
      <c r="UHM57" s="481"/>
      <c r="UHN57" s="481"/>
      <c r="UHO57" s="481"/>
      <c r="UHP57" s="481"/>
      <c r="UHQ57" s="481"/>
      <c r="UHR57" s="481"/>
      <c r="UHS57" s="481"/>
      <c r="UHT57" s="481"/>
      <c r="UHU57" s="481"/>
      <c r="UHV57" s="481"/>
      <c r="UHW57" s="481"/>
      <c r="UHX57" s="481"/>
      <c r="UHY57" s="481"/>
      <c r="UHZ57" s="481"/>
      <c r="UIA57" s="481"/>
      <c r="UIB57" s="481"/>
      <c r="UIC57" s="481"/>
      <c r="UID57" s="481"/>
      <c r="UIE57" s="481"/>
      <c r="UIF57" s="481"/>
      <c r="UIG57" s="481"/>
      <c r="UIH57" s="481"/>
      <c r="UII57" s="481"/>
      <c r="UIJ57" s="481"/>
      <c r="UIK57" s="481"/>
      <c r="UIL57" s="481"/>
      <c r="UIM57" s="481"/>
      <c r="UIN57" s="481"/>
      <c r="UIO57" s="481"/>
      <c r="UIP57" s="481"/>
      <c r="UIQ57" s="481"/>
      <c r="UIR57" s="481"/>
      <c r="UIS57" s="481"/>
      <c r="UIT57" s="481"/>
      <c r="UIU57" s="481"/>
      <c r="UIV57" s="481"/>
      <c r="UIW57" s="481"/>
      <c r="UIX57" s="481"/>
      <c r="UIY57" s="481"/>
      <c r="UIZ57" s="481"/>
      <c r="UJA57" s="481"/>
      <c r="UJB57" s="481"/>
      <c r="UJC57" s="481"/>
      <c r="UJD57" s="481"/>
      <c r="UJE57" s="481"/>
      <c r="UJF57" s="481"/>
      <c r="UJG57" s="481"/>
      <c r="UJH57" s="481"/>
      <c r="UJI57" s="481"/>
      <c r="UJJ57" s="481"/>
      <c r="UJK57" s="481"/>
      <c r="UJL57" s="481"/>
      <c r="UJM57" s="481"/>
      <c r="UJN57" s="481"/>
      <c r="UJO57" s="481"/>
      <c r="UJP57" s="481"/>
      <c r="UJQ57" s="481"/>
      <c r="UJR57" s="481"/>
      <c r="UJS57" s="481"/>
      <c r="UJT57" s="481"/>
      <c r="UJU57" s="481"/>
      <c r="UJV57" s="481"/>
      <c r="UJW57" s="481"/>
      <c r="UJX57" s="481"/>
      <c r="UJY57" s="481"/>
      <c r="UJZ57" s="481"/>
      <c r="UKA57" s="481"/>
      <c r="UKB57" s="481"/>
      <c r="UKC57" s="481"/>
      <c r="UKD57" s="481"/>
      <c r="UKE57" s="481"/>
      <c r="UKF57" s="481"/>
      <c r="UKG57" s="481"/>
      <c r="UKH57" s="481"/>
      <c r="UKI57" s="481"/>
      <c r="UKJ57" s="481"/>
      <c r="UKK57" s="481"/>
      <c r="UKL57" s="481"/>
      <c r="UKM57" s="481"/>
      <c r="UKN57" s="481"/>
      <c r="UKO57" s="481"/>
      <c r="UKP57" s="481"/>
      <c r="UKQ57" s="481"/>
      <c r="UKR57" s="481"/>
      <c r="UKS57" s="481"/>
      <c r="UKT57" s="481"/>
      <c r="UKU57" s="481"/>
      <c r="UKV57" s="481"/>
      <c r="UKW57" s="481"/>
      <c r="UKX57" s="481"/>
      <c r="UKY57" s="481"/>
      <c r="UKZ57" s="481"/>
      <c r="ULA57" s="481"/>
      <c r="ULB57" s="481"/>
      <c r="ULC57" s="481"/>
      <c r="ULD57" s="481"/>
      <c r="ULE57" s="481"/>
      <c r="ULF57" s="481"/>
      <c r="ULG57" s="481"/>
      <c r="ULH57" s="481"/>
      <c r="ULI57" s="481"/>
      <c r="ULJ57" s="481"/>
      <c r="ULK57" s="481"/>
      <c r="ULL57" s="481"/>
      <c r="ULM57" s="481"/>
      <c r="ULN57" s="481"/>
      <c r="ULO57" s="481"/>
      <c r="ULP57" s="481"/>
      <c r="ULQ57" s="481"/>
      <c r="ULR57" s="481"/>
      <c r="ULS57" s="481"/>
      <c r="ULT57" s="481"/>
      <c r="ULU57" s="481"/>
      <c r="ULV57" s="481"/>
      <c r="ULW57" s="481"/>
      <c r="ULX57" s="481"/>
      <c r="ULY57" s="481"/>
      <c r="ULZ57" s="481"/>
      <c r="UMA57" s="481"/>
      <c r="UMB57" s="481"/>
      <c r="UMC57" s="481"/>
      <c r="UMD57" s="481"/>
      <c r="UME57" s="481"/>
      <c r="UMF57" s="481"/>
      <c r="UMG57" s="481"/>
      <c r="UMH57" s="481"/>
      <c r="UMI57" s="481"/>
      <c r="UMJ57" s="481"/>
      <c r="UMK57" s="481"/>
      <c r="UML57" s="481"/>
      <c r="UMM57" s="481"/>
      <c r="UMN57" s="481"/>
      <c r="UMO57" s="481"/>
      <c r="UMP57" s="481"/>
      <c r="UMQ57" s="481"/>
      <c r="UMR57" s="481"/>
      <c r="UMS57" s="481"/>
      <c r="UMT57" s="481"/>
      <c r="UMU57" s="481"/>
      <c r="UMV57" s="481"/>
      <c r="UMW57" s="481"/>
      <c r="UMX57" s="481"/>
      <c r="UMY57" s="481"/>
      <c r="UMZ57" s="481"/>
      <c r="UNA57" s="481"/>
      <c r="UNB57" s="481"/>
      <c r="UNC57" s="481"/>
      <c r="UND57" s="481"/>
      <c r="UNE57" s="481"/>
      <c r="UNF57" s="481"/>
      <c r="UNG57" s="481"/>
      <c r="UNH57" s="481"/>
      <c r="UNI57" s="481"/>
      <c r="UNJ57" s="481"/>
      <c r="UNK57" s="481"/>
      <c r="UNL57" s="481"/>
      <c r="UNM57" s="481"/>
      <c r="UNN57" s="481"/>
      <c r="UNO57" s="481"/>
      <c r="UNP57" s="481"/>
      <c r="UNQ57" s="481"/>
      <c r="UNR57" s="481"/>
      <c r="UNS57" s="481"/>
      <c r="UNT57" s="481"/>
      <c r="UNU57" s="481"/>
      <c r="UNV57" s="481"/>
      <c r="UNW57" s="481"/>
      <c r="UNX57" s="481"/>
      <c r="UNY57" s="481"/>
      <c r="UNZ57" s="481"/>
      <c r="UOA57" s="481"/>
      <c r="UOB57" s="481"/>
      <c r="UOC57" s="481"/>
      <c r="UOD57" s="481"/>
      <c r="UOE57" s="481"/>
      <c r="UOF57" s="481"/>
      <c r="UOG57" s="481"/>
      <c r="UOH57" s="481"/>
      <c r="UOI57" s="481"/>
      <c r="UOJ57" s="481"/>
      <c r="UOK57" s="481"/>
      <c r="UOL57" s="481"/>
      <c r="UOM57" s="481"/>
      <c r="UON57" s="481"/>
      <c r="UOO57" s="481"/>
      <c r="UOP57" s="481"/>
      <c r="UOQ57" s="481"/>
      <c r="UOR57" s="481"/>
      <c r="UOS57" s="481"/>
      <c r="UOT57" s="481"/>
      <c r="UOU57" s="481"/>
      <c r="UOV57" s="481"/>
      <c r="UOW57" s="481"/>
      <c r="UOX57" s="481"/>
      <c r="UOY57" s="481"/>
      <c r="UOZ57" s="481"/>
      <c r="UPA57" s="481"/>
      <c r="UPB57" s="481"/>
      <c r="UPC57" s="481"/>
      <c r="UPD57" s="481"/>
      <c r="UPE57" s="481"/>
      <c r="UPF57" s="481"/>
      <c r="UPG57" s="481"/>
      <c r="UPH57" s="481"/>
      <c r="UPI57" s="481"/>
      <c r="UPJ57" s="481"/>
      <c r="UPK57" s="481"/>
      <c r="UPL57" s="481"/>
      <c r="UPM57" s="481"/>
      <c r="UPN57" s="481"/>
      <c r="UPO57" s="481"/>
      <c r="UPP57" s="481"/>
      <c r="UPQ57" s="481"/>
      <c r="UPR57" s="481"/>
      <c r="UPS57" s="481"/>
      <c r="UPT57" s="481"/>
      <c r="UPU57" s="481"/>
      <c r="UPV57" s="481"/>
      <c r="UPW57" s="481"/>
      <c r="UPX57" s="481"/>
      <c r="UPY57" s="481"/>
      <c r="UPZ57" s="481"/>
      <c r="UQA57" s="481"/>
      <c r="UQB57" s="481"/>
      <c r="UQC57" s="481"/>
      <c r="UQD57" s="481"/>
      <c r="UQE57" s="481"/>
      <c r="UQF57" s="481"/>
      <c r="UQG57" s="481"/>
      <c r="UQH57" s="481"/>
      <c r="UQI57" s="481"/>
      <c r="UQJ57" s="481"/>
      <c r="UQK57" s="481"/>
      <c r="UQL57" s="481"/>
      <c r="UQM57" s="481"/>
      <c r="UQN57" s="481"/>
      <c r="UQO57" s="481"/>
      <c r="UQP57" s="481"/>
      <c r="UQQ57" s="481"/>
      <c r="UQR57" s="481"/>
      <c r="UQS57" s="481"/>
      <c r="UQT57" s="481"/>
      <c r="UQU57" s="481"/>
      <c r="UQV57" s="481"/>
      <c r="UQW57" s="481"/>
      <c r="UQX57" s="481"/>
      <c r="UQY57" s="481"/>
      <c r="UQZ57" s="481"/>
      <c r="URA57" s="481"/>
      <c r="URB57" s="481"/>
      <c r="URC57" s="481"/>
      <c r="URD57" s="481"/>
      <c r="URE57" s="481"/>
      <c r="URF57" s="481"/>
      <c r="URG57" s="481"/>
      <c r="URH57" s="481"/>
      <c r="URI57" s="481"/>
      <c r="URJ57" s="481"/>
      <c r="URK57" s="481"/>
      <c r="URL57" s="481"/>
      <c r="URM57" s="481"/>
      <c r="URN57" s="481"/>
      <c r="URO57" s="481"/>
      <c r="URP57" s="481"/>
      <c r="URQ57" s="481"/>
      <c r="URR57" s="481"/>
      <c r="URS57" s="481"/>
      <c r="URT57" s="481"/>
      <c r="URU57" s="481"/>
      <c r="URV57" s="481"/>
      <c r="URW57" s="481"/>
      <c r="URX57" s="481"/>
      <c r="URY57" s="481"/>
      <c r="URZ57" s="481"/>
      <c r="USA57" s="481"/>
      <c r="USB57" s="481"/>
      <c r="USC57" s="481"/>
      <c r="USD57" s="481"/>
      <c r="USE57" s="481"/>
      <c r="USF57" s="481"/>
      <c r="USG57" s="481"/>
      <c r="USH57" s="481"/>
      <c r="USI57" s="481"/>
      <c r="USJ57" s="481"/>
      <c r="USK57" s="481"/>
      <c r="USL57" s="481"/>
      <c r="USM57" s="481"/>
      <c r="USN57" s="481"/>
      <c r="USO57" s="481"/>
      <c r="USP57" s="481"/>
      <c r="USQ57" s="481"/>
      <c r="USR57" s="481"/>
      <c r="USS57" s="481"/>
      <c r="UST57" s="481"/>
      <c r="USU57" s="481"/>
      <c r="USV57" s="481"/>
      <c r="USW57" s="481"/>
      <c r="USX57" s="481"/>
      <c r="USY57" s="481"/>
      <c r="USZ57" s="481"/>
      <c r="UTA57" s="481"/>
      <c r="UTB57" s="481"/>
      <c r="UTC57" s="481"/>
      <c r="UTD57" s="481"/>
      <c r="UTE57" s="481"/>
      <c r="UTF57" s="481"/>
      <c r="UTG57" s="481"/>
      <c r="UTH57" s="481"/>
      <c r="UTI57" s="481"/>
      <c r="UTJ57" s="481"/>
      <c r="UTK57" s="481"/>
      <c r="UTL57" s="481"/>
      <c r="UTM57" s="481"/>
      <c r="UTN57" s="481"/>
      <c r="UTO57" s="481"/>
      <c r="UTP57" s="481"/>
      <c r="UTQ57" s="481"/>
      <c r="UTR57" s="481"/>
      <c r="UTS57" s="481"/>
      <c r="UTT57" s="481"/>
      <c r="UTU57" s="481"/>
      <c r="UTV57" s="481"/>
      <c r="UTW57" s="481"/>
      <c r="UTX57" s="481"/>
      <c r="UTY57" s="481"/>
      <c r="UTZ57" s="481"/>
      <c r="UUA57" s="481"/>
      <c r="UUB57" s="481"/>
      <c r="UUC57" s="481"/>
      <c r="UUD57" s="481"/>
      <c r="UUE57" s="481"/>
      <c r="UUF57" s="481"/>
      <c r="UUG57" s="481"/>
      <c r="UUH57" s="481"/>
      <c r="UUI57" s="481"/>
      <c r="UUJ57" s="481"/>
      <c r="UUK57" s="481"/>
      <c r="UUL57" s="481"/>
      <c r="UUM57" s="481"/>
      <c r="UUN57" s="481"/>
      <c r="UUO57" s="481"/>
      <c r="UUP57" s="481"/>
      <c r="UUQ57" s="481"/>
      <c r="UUR57" s="481"/>
      <c r="UUS57" s="481"/>
      <c r="UUT57" s="481"/>
      <c r="UUU57" s="481"/>
      <c r="UUV57" s="481"/>
      <c r="UUW57" s="481"/>
      <c r="UUX57" s="481"/>
      <c r="UUY57" s="481"/>
      <c r="UUZ57" s="481"/>
      <c r="UVA57" s="481"/>
      <c r="UVB57" s="481"/>
      <c r="UVC57" s="481"/>
      <c r="UVD57" s="481"/>
      <c r="UVE57" s="481"/>
      <c r="UVF57" s="481"/>
      <c r="UVG57" s="481"/>
      <c r="UVH57" s="481"/>
      <c r="UVI57" s="481"/>
      <c r="UVJ57" s="481"/>
      <c r="UVK57" s="481"/>
      <c r="UVL57" s="481"/>
      <c r="UVM57" s="481"/>
      <c r="UVN57" s="481"/>
      <c r="UVO57" s="481"/>
      <c r="UVP57" s="481"/>
      <c r="UVQ57" s="481"/>
      <c r="UVR57" s="481"/>
      <c r="UVS57" s="481"/>
      <c r="UVT57" s="481"/>
      <c r="UVU57" s="481"/>
      <c r="UVV57" s="481"/>
      <c r="UVW57" s="481"/>
      <c r="UVX57" s="481"/>
      <c r="UVY57" s="481"/>
      <c r="UVZ57" s="481"/>
      <c r="UWA57" s="481"/>
      <c r="UWB57" s="481"/>
      <c r="UWC57" s="481"/>
      <c r="UWD57" s="481"/>
      <c r="UWE57" s="481"/>
      <c r="UWF57" s="481"/>
      <c r="UWG57" s="481"/>
      <c r="UWH57" s="481"/>
      <c r="UWI57" s="481"/>
      <c r="UWJ57" s="481"/>
      <c r="UWK57" s="481"/>
      <c r="UWL57" s="481"/>
      <c r="UWM57" s="481"/>
      <c r="UWN57" s="481"/>
      <c r="UWO57" s="481"/>
      <c r="UWP57" s="481"/>
      <c r="UWQ57" s="481"/>
      <c r="UWR57" s="481"/>
      <c r="UWS57" s="481"/>
      <c r="UWT57" s="481"/>
      <c r="UWU57" s="481"/>
      <c r="UWV57" s="481"/>
      <c r="UWW57" s="481"/>
      <c r="UWX57" s="481"/>
      <c r="UWY57" s="481"/>
      <c r="UWZ57" s="481"/>
      <c r="UXA57" s="481"/>
      <c r="UXB57" s="481"/>
      <c r="UXC57" s="481"/>
      <c r="UXD57" s="481"/>
      <c r="UXE57" s="481"/>
      <c r="UXF57" s="481"/>
      <c r="UXG57" s="481"/>
      <c r="UXH57" s="481"/>
      <c r="UXI57" s="481"/>
      <c r="UXJ57" s="481"/>
      <c r="UXK57" s="481"/>
      <c r="UXL57" s="481"/>
      <c r="UXM57" s="481"/>
      <c r="UXN57" s="481"/>
      <c r="UXO57" s="481"/>
      <c r="UXP57" s="481"/>
      <c r="UXQ57" s="481"/>
      <c r="UXR57" s="481"/>
      <c r="UXS57" s="481"/>
      <c r="UXT57" s="481"/>
      <c r="UXU57" s="481"/>
      <c r="UXV57" s="481"/>
      <c r="UXW57" s="481"/>
      <c r="UXX57" s="481"/>
      <c r="UXY57" s="481"/>
      <c r="UXZ57" s="481"/>
      <c r="UYA57" s="481"/>
      <c r="UYB57" s="481"/>
      <c r="UYC57" s="481"/>
      <c r="UYD57" s="481"/>
      <c r="UYE57" s="481"/>
      <c r="UYF57" s="481"/>
      <c r="UYG57" s="481"/>
      <c r="UYH57" s="481"/>
      <c r="UYI57" s="481"/>
      <c r="UYJ57" s="481"/>
      <c r="UYK57" s="481"/>
      <c r="UYL57" s="481"/>
      <c r="UYM57" s="481"/>
      <c r="UYN57" s="481"/>
      <c r="UYO57" s="481"/>
      <c r="UYP57" s="481"/>
      <c r="UYQ57" s="481"/>
      <c r="UYR57" s="481"/>
      <c r="UYS57" s="481"/>
      <c r="UYT57" s="481"/>
      <c r="UYU57" s="481"/>
      <c r="UYV57" s="481"/>
      <c r="UYW57" s="481"/>
      <c r="UYX57" s="481"/>
      <c r="UYY57" s="481"/>
      <c r="UYZ57" s="481"/>
      <c r="UZA57" s="481"/>
      <c r="UZB57" s="481"/>
      <c r="UZC57" s="481"/>
      <c r="UZD57" s="481"/>
      <c r="UZE57" s="481"/>
      <c r="UZF57" s="481"/>
      <c r="UZG57" s="481"/>
      <c r="UZH57" s="481"/>
      <c r="UZI57" s="481"/>
      <c r="UZJ57" s="481"/>
      <c r="UZK57" s="481"/>
      <c r="UZL57" s="481"/>
      <c r="UZM57" s="481"/>
      <c r="UZN57" s="481"/>
      <c r="UZO57" s="481"/>
      <c r="UZP57" s="481"/>
      <c r="UZQ57" s="481"/>
      <c r="UZR57" s="481"/>
      <c r="UZS57" s="481"/>
      <c r="UZT57" s="481"/>
      <c r="UZU57" s="481"/>
      <c r="UZV57" s="481"/>
      <c r="UZW57" s="481"/>
      <c r="UZX57" s="481"/>
      <c r="UZY57" s="481"/>
      <c r="UZZ57" s="481"/>
      <c r="VAA57" s="481"/>
      <c r="VAB57" s="481"/>
      <c r="VAC57" s="481"/>
      <c r="VAD57" s="481"/>
      <c r="VAE57" s="481"/>
      <c r="VAF57" s="481"/>
      <c r="VAG57" s="481"/>
      <c r="VAH57" s="481"/>
      <c r="VAI57" s="481"/>
      <c r="VAJ57" s="481"/>
      <c r="VAK57" s="481"/>
      <c r="VAL57" s="481"/>
      <c r="VAM57" s="481"/>
      <c r="VAN57" s="481"/>
      <c r="VAO57" s="481"/>
      <c r="VAP57" s="481"/>
      <c r="VAQ57" s="481"/>
      <c r="VAR57" s="481"/>
      <c r="VAS57" s="481"/>
      <c r="VAT57" s="481"/>
      <c r="VAU57" s="481"/>
      <c r="VAV57" s="481"/>
      <c r="VAW57" s="481"/>
      <c r="VAX57" s="481"/>
      <c r="VAY57" s="481"/>
      <c r="VAZ57" s="481"/>
      <c r="VBA57" s="481"/>
      <c r="VBB57" s="481"/>
      <c r="VBC57" s="481"/>
      <c r="VBD57" s="481"/>
      <c r="VBE57" s="481"/>
      <c r="VBF57" s="481"/>
      <c r="VBG57" s="481"/>
      <c r="VBH57" s="481"/>
      <c r="VBI57" s="481"/>
      <c r="VBJ57" s="481"/>
      <c r="VBK57" s="481"/>
      <c r="VBL57" s="481"/>
      <c r="VBM57" s="481"/>
      <c r="VBN57" s="481"/>
      <c r="VBO57" s="481"/>
      <c r="VBP57" s="481"/>
      <c r="VBQ57" s="481"/>
      <c r="VBR57" s="481"/>
      <c r="VBS57" s="481"/>
      <c r="VBT57" s="481"/>
      <c r="VBU57" s="481"/>
      <c r="VBV57" s="481"/>
      <c r="VBW57" s="481"/>
      <c r="VBX57" s="481"/>
      <c r="VBY57" s="481"/>
      <c r="VBZ57" s="481"/>
      <c r="VCA57" s="481"/>
      <c r="VCB57" s="481"/>
      <c r="VCC57" s="481"/>
      <c r="VCD57" s="481"/>
      <c r="VCE57" s="481"/>
      <c r="VCF57" s="481"/>
      <c r="VCG57" s="481"/>
      <c r="VCH57" s="481"/>
      <c r="VCI57" s="481"/>
      <c r="VCJ57" s="481"/>
      <c r="VCK57" s="481"/>
      <c r="VCL57" s="481"/>
      <c r="VCM57" s="481"/>
      <c r="VCN57" s="481"/>
      <c r="VCO57" s="481"/>
      <c r="VCP57" s="481"/>
      <c r="VCQ57" s="481"/>
      <c r="VCR57" s="481"/>
      <c r="VCS57" s="481"/>
      <c r="VCT57" s="481"/>
      <c r="VCU57" s="481"/>
      <c r="VCV57" s="481"/>
      <c r="VCW57" s="481"/>
      <c r="VCX57" s="481"/>
      <c r="VCY57" s="481"/>
      <c r="VCZ57" s="481"/>
      <c r="VDA57" s="481"/>
      <c r="VDB57" s="481"/>
      <c r="VDC57" s="481"/>
      <c r="VDD57" s="481"/>
      <c r="VDE57" s="481"/>
      <c r="VDF57" s="481"/>
      <c r="VDG57" s="481"/>
      <c r="VDH57" s="481"/>
      <c r="VDI57" s="481"/>
      <c r="VDJ57" s="481"/>
      <c r="VDK57" s="481"/>
      <c r="VDL57" s="481"/>
      <c r="VDM57" s="481"/>
      <c r="VDN57" s="481"/>
      <c r="VDO57" s="481"/>
      <c r="VDP57" s="481"/>
      <c r="VDQ57" s="481"/>
      <c r="VDR57" s="481"/>
      <c r="VDS57" s="481"/>
      <c r="VDT57" s="481"/>
      <c r="VDU57" s="481"/>
      <c r="VDV57" s="481"/>
      <c r="VDW57" s="481"/>
      <c r="VDX57" s="481"/>
      <c r="VDY57" s="481"/>
      <c r="VDZ57" s="481"/>
      <c r="VEA57" s="481"/>
      <c r="VEB57" s="481"/>
      <c r="VEC57" s="481"/>
      <c r="VED57" s="481"/>
      <c r="VEE57" s="481"/>
      <c r="VEF57" s="481"/>
      <c r="VEG57" s="481"/>
      <c r="VEH57" s="481"/>
      <c r="VEI57" s="481"/>
      <c r="VEJ57" s="481"/>
      <c r="VEK57" s="481"/>
      <c r="VEL57" s="481"/>
      <c r="VEM57" s="481"/>
      <c r="VEN57" s="481"/>
      <c r="VEO57" s="481"/>
      <c r="VEP57" s="481"/>
      <c r="VEQ57" s="481"/>
      <c r="VER57" s="481"/>
      <c r="VES57" s="481"/>
      <c r="VET57" s="481"/>
      <c r="VEU57" s="481"/>
      <c r="VEV57" s="481"/>
      <c r="VEW57" s="481"/>
      <c r="VEX57" s="481"/>
      <c r="VEY57" s="481"/>
      <c r="VEZ57" s="481"/>
      <c r="VFA57" s="481"/>
      <c r="VFB57" s="481"/>
      <c r="VFC57" s="481"/>
      <c r="VFD57" s="481"/>
      <c r="VFE57" s="481"/>
      <c r="VFF57" s="481"/>
      <c r="VFG57" s="481"/>
      <c r="VFH57" s="481"/>
      <c r="VFI57" s="481"/>
      <c r="VFJ57" s="481"/>
      <c r="VFK57" s="481"/>
      <c r="VFL57" s="481"/>
      <c r="VFM57" s="481"/>
      <c r="VFN57" s="481"/>
      <c r="VFO57" s="481"/>
      <c r="VFP57" s="481"/>
      <c r="VFQ57" s="481"/>
      <c r="VFR57" s="481"/>
      <c r="VFS57" s="481"/>
      <c r="VFT57" s="481"/>
      <c r="VFU57" s="481"/>
      <c r="VFV57" s="481"/>
      <c r="VFW57" s="481"/>
      <c r="VFX57" s="481"/>
      <c r="VFY57" s="481"/>
      <c r="VFZ57" s="481"/>
      <c r="VGA57" s="481"/>
      <c r="VGB57" s="481"/>
      <c r="VGC57" s="481"/>
      <c r="VGD57" s="481"/>
      <c r="VGE57" s="481"/>
      <c r="VGF57" s="481"/>
      <c r="VGG57" s="481"/>
      <c r="VGH57" s="481"/>
      <c r="VGI57" s="481"/>
      <c r="VGJ57" s="481"/>
      <c r="VGK57" s="481"/>
      <c r="VGL57" s="481"/>
      <c r="VGM57" s="481"/>
      <c r="VGN57" s="481"/>
      <c r="VGO57" s="481"/>
      <c r="VGP57" s="481"/>
      <c r="VGQ57" s="481"/>
      <c r="VGR57" s="481"/>
      <c r="VGS57" s="481"/>
      <c r="VGT57" s="481"/>
      <c r="VGU57" s="481"/>
      <c r="VGV57" s="481"/>
      <c r="VGW57" s="481"/>
      <c r="VGX57" s="481"/>
      <c r="VGY57" s="481"/>
      <c r="VGZ57" s="481"/>
      <c r="VHA57" s="481"/>
      <c r="VHB57" s="481"/>
      <c r="VHC57" s="481"/>
      <c r="VHD57" s="481"/>
      <c r="VHE57" s="481"/>
      <c r="VHF57" s="481"/>
      <c r="VHG57" s="481"/>
      <c r="VHH57" s="481"/>
      <c r="VHI57" s="481"/>
      <c r="VHJ57" s="481"/>
      <c r="VHK57" s="481"/>
      <c r="VHL57" s="481"/>
      <c r="VHM57" s="481"/>
      <c r="VHN57" s="481"/>
      <c r="VHO57" s="481"/>
      <c r="VHP57" s="481"/>
      <c r="VHQ57" s="481"/>
      <c r="VHR57" s="481"/>
      <c r="VHS57" s="481"/>
      <c r="VHT57" s="481"/>
      <c r="VHU57" s="481"/>
      <c r="VHV57" s="481"/>
      <c r="VHW57" s="481"/>
      <c r="VHX57" s="481"/>
      <c r="VHY57" s="481"/>
      <c r="VHZ57" s="481"/>
      <c r="VIA57" s="481"/>
      <c r="VIB57" s="481"/>
      <c r="VIC57" s="481"/>
      <c r="VID57" s="481"/>
      <c r="VIE57" s="481"/>
      <c r="VIF57" s="481"/>
      <c r="VIG57" s="481"/>
      <c r="VIH57" s="481"/>
      <c r="VII57" s="481"/>
      <c r="VIJ57" s="481"/>
      <c r="VIK57" s="481"/>
      <c r="VIL57" s="481"/>
      <c r="VIM57" s="481"/>
      <c r="VIN57" s="481"/>
      <c r="VIO57" s="481"/>
      <c r="VIP57" s="481"/>
      <c r="VIQ57" s="481"/>
      <c r="VIR57" s="481"/>
      <c r="VIS57" s="481"/>
      <c r="VIT57" s="481"/>
      <c r="VIU57" s="481"/>
      <c r="VIV57" s="481"/>
      <c r="VIW57" s="481"/>
      <c r="VIX57" s="481"/>
      <c r="VIY57" s="481"/>
      <c r="VIZ57" s="481"/>
      <c r="VJA57" s="481"/>
      <c r="VJB57" s="481"/>
      <c r="VJC57" s="481"/>
      <c r="VJD57" s="481"/>
      <c r="VJE57" s="481"/>
      <c r="VJF57" s="481"/>
      <c r="VJG57" s="481"/>
      <c r="VJH57" s="481"/>
      <c r="VJI57" s="481"/>
      <c r="VJJ57" s="481"/>
      <c r="VJK57" s="481"/>
      <c r="VJL57" s="481"/>
      <c r="VJM57" s="481"/>
      <c r="VJN57" s="481"/>
      <c r="VJO57" s="481"/>
      <c r="VJP57" s="481"/>
      <c r="VJQ57" s="481"/>
      <c r="VJR57" s="481"/>
      <c r="VJS57" s="481"/>
      <c r="VJT57" s="481"/>
      <c r="VJU57" s="481"/>
      <c r="VJV57" s="481"/>
      <c r="VJW57" s="481"/>
      <c r="VJX57" s="481"/>
      <c r="VJY57" s="481"/>
      <c r="VJZ57" s="481"/>
      <c r="VKA57" s="481"/>
      <c r="VKB57" s="481"/>
      <c r="VKC57" s="481"/>
      <c r="VKD57" s="481"/>
      <c r="VKE57" s="481"/>
      <c r="VKF57" s="481"/>
      <c r="VKG57" s="481"/>
      <c r="VKH57" s="481"/>
      <c r="VKI57" s="481"/>
      <c r="VKJ57" s="481"/>
      <c r="VKK57" s="481"/>
      <c r="VKL57" s="481"/>
      <c r="VKM57" s="481"/>
      <c r="VKN57" s="481"/>
      <c r="VKO57" s="481"/>
      <c r="VKP57" s="481"/>
      <c r="VKQ57" s="481"/>
      <c r="VKR57" s="481"/>
      <c r="VKS57" s="481"/>
      <c r="VKT57" s="481"/>
      <c r="VKU57" s="481"/>
      <c r="VKV57" s="481"/>
      <c r="VKW57" s="481"/>
      <c r="VKX57" s="481"/>
      <c r="VKY57" s="481"/>
      <c r="VKZ57" s="481"/>
      <c r="VLA57" s="481"/>
      <c r="VLB57" s="481"/>
      <c r="VLC57" s="481"/>
      <c r="VLD57" s="481"/>
      <c r="VLE57" s="481"/>
      <c r="VLF57" s="481"/>
      <c r="VLG57" s="481"/>
      <c r="VLH57" s="481"/>
      <c r="VLI57" s="481"/>
      <c r="VLJ57" s="481"/>
      <c r="VLK57" s="481"/>
      <c r="VLL57" s="481"/>
      <c r="VLM57" s="481"/>
      <c r="VLN57" s="481"/>
      <c r="VLO57" s="481"/>
      <c r="VLP57" s="481"/>
      <c r="VLQ57" s="481"/>
      <c r="VLR57" s="481"/>
      <c r="VLS57" s="481"/>
      <c r="VLT57" s="481"/>
      <c r="VLU57" s="481"/>
      <c r="VLV57" s="481"/>
      <c r="VLW57" s="481"/>
      <c r="VLX57" s="481"/>
      <c r="VLY57" s="481"/>
      <c r="VLZ57" s="481"/>
      <c r="VMA57" s="481"/>
      <c r="VMB57" s="481"/>
      <c r="VMC57" s="481"/>
      <c r="VMD57" s="481"/>
      <c r="VME57" s="481"/>
      <c r="VMF57" s="481"/>
      <c r="VMG57" s="481"/>
      <c r="VMH57" s="481"/>
      <c r="VMI57" s="481"/>
      <c r="VMJ57" s="481"/>
      <c r="VMK57" s="481"/>
      <c r="VML57" s="481"/>
      <c r="VMM57" s="481"/>
      <c r="VMN57" s="481"/>
      <c r="VMO57" s="481"/>
      <c r="VMP57" s="481"/>
      <c r="VMQ57" s="481"/>
      <c r="VMR57" s="481"/>
      <c r="VMS57" s="481"/>
      <c r="VMT57" s="481"/>
      <c r="VMU57" s="481"/>
      <c r="VMV57" s="481"/>
      <c r="VMW57" s="481"/>
      <c r="VMX57" s="481"/>
      <c r="VMY57" s="481"/>
      <c r="VMZ57" s="481"/>
      <c r="VNA57" s="481"/>
      <c r="VNB57" s="481"/>
      <c r="VNC57" s="481"/>
      <c r="VND57" s="481"/>
      <c r="VNE57" s="481"/>
      <c r="VNF57" s="481"/>
      <c r="VNG57" s="481"/>
      <c r="VNH57" s="481"/>
      <c r="VNI57" s="481"/>
      <c r="VNJ57" s="481"/>
      <c r="VNK57" s="481"/>
      <c r="VNL57" s="481"/>
      <c r="VNM57" s="481"/>
      <c r="VNN57" s="481"/>
      <c r="VNO57" s="481"/>
      <c r="VNP57" s="481"/>
      <c r="VNQ57" s="481"/>
      <c r="VNR57" s="481"/>
      <c r="VNS57" s="481"/>
      <c r="VNT57" s="481"/>
      <c r="VNU57" s="481"/>
      <c r="VNV57" s="481"/>
      <c r="VNW57" s="481"/>
      <c r="VNX57" s="481"/>
      <c r="VNY57" s="481"/>
      <c r="VNZ57" s="481"/>
      <c r="VOA57" s="481"/>
      <c r="VOB57" s="481"/>
      <c r="VOC57" s="481"/>
      <c r="VOD57" s="481"/>
      <c r="VOE57" s="481"/>
      <c r="VOF57" s="481"/>
      <c r="VOG57" s="481"/>
      <c r="VOH57" s="481"/>
      <c r="VOI57" s="481"/>
      <c r="VOJ57" s="481"/>
      <c r="VOK57" s="481"/>
      <c r="VOL57" s="481"/>
      <c r="VOM57" s="481"/>
      <c r="VON57" s="481"/>
      <c r="VOO57" s="481"/>
      <c r="VOP57" s="481"/>
      <c r="VOQ57" s="481"/>
      <c r="VOR57" s="481"/>
      <c r="VOS57" s="481"/>
      <c r="VOT57" s="481"/>
      <c r="VOU57" s="481"/>
      <c r="VOV57" s="481"/>
      <c r="VOW57" s="481"/>
      <c r="VOX57" s="481"/>
      <c r="VOY57" s="481"/>
      <c r="VOZ57" s="481"/>
      <c r="VPA57" s="481"/>
      <c r="VPB57" s="481"/>
      <c r="VPC57" s="481"/>
      <c r="VPD57" s="481"/>
      <c r="VPE57" s="481"/>
      <c r="VPF57" s="481"/>
      <c r="VPG57" s="481"/>
      <c r="VPH57" s="481"/>
      <c r="VPI57" s="481"/>
      <c r="VPJ57" s="481"/>
      <c r="VPK57" s="481"/>
      <c r="VPL57" s="481"/>
      <c r="VPM57" s="481"/>
      <c r="VPN57" s="481"/>
      <c r="VPO57" s="481"/>
      <c r="VPP57" s="481"/>
      <c r="VPQ57" s="481"/>
      <c r="VPR57" s="481"/>
      <c r="VPS57" s="481"/>
      <c r="VPT57" s="481"/>
      <c r="VPU57" s="481"/>
      <c r="VPV57" s="481"/>
      <c r="VPW57" s="481"/>
      <c r="VPX57" s="481"/>
      <c r="VPY57" s="481"/>
      <c r="VPZ57" s="481"/>
      <c r="VQA57" s="481"/>
      <c r="VQB57" s="481"/>
      <c r="VQC57" s="481"/>
      <c r="VQD57" s="481"/>
      <c r="VQE57" s="481"/>
      <c r="VQF57" s="481"/>
      <c r="VQG57" s="481"/>
      <c r="VQH57" s="481"/>
      <c r="VQI57" s="481"/>
      <c r="VQJ57" s="481"/>
      <c r="VQK57" s="481"/>
      <c r="VQL57" s="481"/>
      <c r="VQM57" s="481"/>
      <c r="VQN57" s="481"/>
      <c r="VQO57" s="481"/>
      <c r="VQP57" s="481"/>
      <c r="VQQ57" s="481"/>
      <c r="VQR57" s="481"/>
      <c r="VQS57" s="481"/>
      <c r="VQT57" s="481"/>
      <c r="VQU57" s="481"/>
      <c r="VQV57" s="481"/>
      <c r="VQW57" s="481"/>
      <c r="VQX57" s="481"/>
      <c r="VQY57" s="481"/>
      <c r="VQZ57" s="481"/>
      <c r="VRA57" s="481"/>
      <c r="VRB57" s="481"/>
      <c r="VRC57" s="481"/>
      <c r="VRD57" s="481"/>
      <c r="VRE57" s="481"/>
      <c r="VRF57" s="481"/>
      <c r="VRG57" s="481"/>
      <c r="VRH57" s="481"/>
      <c r="VRI57" s="481"/>
      <c r="VRJ57" s="481"/>
      <c r="VRK57" s="481"/>
      <c r="VRL57" s="481"/>
      <c r="VRM57" s="481"/>
      <c r="VRN57" s="481"/>
      <c r="VRO57" s="481"/>
      <c r="VRP57" s="481"/>
      <c r="VRQ57" s="481"/>
      <c r="VRR57" s="481"/>
      <c r="VRS57" s="481"/>
      <c r="VRT57" s="481"/>
      <c r="VRU57" s="481"/>
      <c r="VRV57" s="481"/>
      <c r="VRW57" s="481"/>
      <c r="VRX57" s="481"/>
      <c r="VRY57" s="481"/>
      <c r="VRZ57" s="481"/>
      <c r="VSA57" s="481"/>
      <c r="VSB57" s="481"/>
      <c r="VSC57" s="481"/>
      <c r="VSD57" s="481"/>
      <c r="VSE57" s="481"/>
      <c r="VSF57" s="481"/>
      <c r="VSG57" s="481"/>
      <c r="VSH57" s="481"/>
      <c r="VSI57" s="481"/>
      <c r="VSJ57" s="481"/>
      <c r="VSK57" s="481"/>
      <c r="VSL57" s="481"/>
      <c r="VSM57" s="481"/>
      <c r="VSN57" s="481"/>
      <c r="VSO57" s="481"/>
      <c r="VSP57" s="481"/>
      <c r="VSQ57" s="481"/>
      <c r="VSR57" s="481"/>
      <c r="VSS57" s="481"/>
      <c r="VST57" s="481"/>
      <c r="VSU57" s="481"/>
      <c r="VSV57" s="481"/>
      <c r="VSW57" s="481"/>
      <c r="VSX57" s="481"/>
      <c r="VSY57" s="481"/>
      <c r="VSZ57" s="481"/>
      <c r="VTA57" s="481"/>
      <c r="VTB57" s="481"/>
      <c r="VTC57" s="481"/>
      <c r="VTD57" s="481"/>
      <c r="VTE57" s="481"/>
      <c r="VTF57" s="481"/>
      <c r="VTG57" s="481"/>
      <c r="VTH57" s="481"/>
      <c r="VTI57" s="481"/>
      <c r="VTJ57" s="481"/>
      <c r="VTK57" s="481"/>
      <c r="VTL57" s="481"/>
      <c r="VTM57" s="481"/>
      <c r="VTN57" s="481"/>
      <c r="VTO57" s="481"/>
      <c r="VTP57" s="481"/>
      <c r="VTQ57" s="481"/>
      <c r="VTR57" s="481"/>
      <c r="VTS57" s="481"/>
      <c r="VTT57" s="481"/>
      <c r="VTU57" s="481"/>
      <c r="VTV57" s="481"/>
      <c r="VTW57" s="481"/>
      <c r="VTX57" s="481"/>
      <c r="VTY57" s="481"/>
      <c r="VTZ57" s="481"/>
      <c r="VUA57" s="481"/>
      <c r="VUB57" s="481"/>
      <c r="VUC57" s="481"/>
      <c r="VUD57" s="481"/>
      <c r="VUE57" s="481"/>
      <c r="VUF57" s="481"/>
      <c r="VUG57" s="481"/>
      <c r="VUH57" s="481"/>
      <c r="VUI57" s="481"/>
      <c r="VUJ57" s="481"/>
      <c r="VUK57" s="481"/>
      <c r="VUL57" s="481"/>
      <c r="VUM57" s="481"/>
      <c r="VUN57" s="481"/>
      <c r="VUO57" s="481"/>
      <c r="VUP57" s="481"/>
      <c r="VUQ57" s="481"/>
      <c r="VUR57" s="481"/>
      <c r="VUS57" s="481"/>
      <c r="VUT57" s="481"/>
      <c r="VUU57" s="481"/>
      <c r="VUV57" s="481"/>
      <c r="VUW57" s="481"/>
      <c r="VUX57" s="481"/>
      <c r="VUY57" s="481"/>
      <c r="VUZ57" s="481"/>
      <c r="VVA57" s="481"/>
      <c r="VVB57" s="481"/>
      <c r="VVC57" s="481"/>
      <c r="VVD57" s="481"/>
      <c r="VVE57" s="481"/>
      <c r="VVF57" s="481"/>
      <c r="VVG57" s="481"/>
      <c r="VVH57" s="481"/>
      <c r="VVI57" s="481"/>
      <c r="VVJ57" s="481"/>
      <c r="VVK57" s="481"/>
      <c r="VVL57" s="481"/>
      <c r="VVM57" s="481"/>
      <c r="VVN57" s="481"/>
      <c r="VVO57" s="481"/>
      <c r="VVP57" s="481"/>
      <c r="VVQ57" s="481"/>
      <c r="VVR57" s="481"/>
      <c r="VVS57" s="481"/>
      <c r="VVT57" s="481"/>
      <c r="VVU57" s="481"/>
      <c r="VVV57" s="481"/>
      <c r="VVW57" s="481"/>
      <c r="VVX57" s="481"/>
      <c r="VVY57" s="481"/>
      <c r="VVZ57" s="481"/>
      <c r="VWA57" s="481"/>
      <c r="VWB57" s="481"/>
      <c r="VWC57" s="481"/>
      <c r="VWD57" s="481"/>
      <c r="VWE57" s="481"/>
      <c r="VWF57" s="481"/>
      <c r="VWG57" s="481"/>
      <c r="VWH57" s="481"/>
      <c r="VWI57" s="481"/>
      <c r="VWJ57" s="481"/>
      <c r="VWK57" s="481"/>
      <c r="VWL57" s="481"/>
      <c r="VWM57" s="481"/>
      <c r="VWN57" s="481"/>
      <c r="VWO57" s="481"/>
      <c r="VWP57" s="481"/>
      <c r="VWQ57" s="481"/>
      <c r="VWR57" s="481"/>
      <c r="VWS57" s="481"/>
      <c r="VWT57" s="481"/>
      <c r="VWU57" s="481"/>
      <c r="VWV57" s="481"/>
      <c r="VWW57" s="481"/>
      <c r="VWX57" s="481"/>
      <c r="VWY57" s="481"/>
      <c r="VWZ57" s="481"/>
      <c r="VXA57" s="481"/>
      <c r="VXB57" s="481"/>
      <c r="VXC57" s="481"/>
      <c r="VXD57" s="481"/>
      <c r="VXE57" s="481"/>
      <c r="VXF57" s="481"/>
      <c r="VXG57" s="481"/>
      <c r="VXH57" s="481"/>
      <c r="VXI57" s="481"/>
      <c r="VXJ57" s="481"/>
      <c r="VXK57" s="481"/>
      <c r="VXL57" s="481"/>
      <c r="VXM57" s="481"/>
      <c r="VXN57" s="481"/>
      <c r="VXO57" s="481"/>
      <c r="VXP57" s="481"/>
      <c r="VXQ57" s="481"/>
      <c r="VXR57" s="481"/>
      <c r="VXS57" s="481"/>
      <c r="VXT57" s="481"/>
      <c r="VXU57" s="481"/>
      <c r="VXV57" s="481"/>
      <c r="VXW57" s="481"/>
      <c r="VXX57" s="481"/>
      <c r="VXY57" s="481"/>
      <c r="VXZ57" s="481"/>
      <c r="VYA57" s="481"/>
      <c r="VYB57" s="481"/>
      <c r="VYC57" s="481"/>
      <c r="VYD57" s="481"/>
      <c r="VYE57" s="481"/>
      <c r="VYF57" s="481"/>
      <c r="VYG57" s="481"/>
      <c r="VYH57" s="481"/>
      <c r="VYI57" s="481"/>
      <c r="VYJ57" s="481"/>
      <c r="VYK57" s="481"/>
      <c r="VYL57" s="481"/>
      <c r="VYM57" s="481"/>
      <c r="VYN57" s="481"/>
      <c r="VYO57" s="481"/>
      <c r="VYP57" s="481"/>
      <c r="VYQ57" s="481"/>
      <c r="VYR57" s="481"/>
      <c r="VYS57" s="481"/>
      <c r="VYT57" s="481"/>
      <c r="VYU57" s="481"/>
      <c r="VYV57" s="481"/>
      <c r="VYW57" s="481"/>
      <c r="VYX57" s="481"/>
      <c r="VYY57" s="481"/>
      <c r="VYZ57" s="481"/>
      <c r="VZA57" s="481"/>
      <c r="VZB57" s="481"/>
      <c r="VZC57" s="481"/>
      <c r="VZD57" s="481"/>
      <c r="VZE57" s="481"/>
      <c r="VZF57" s="481"/>
      <c r="VZG57" s="481"/>
      <c r="VZH57" s="481"/>
      <c r="VZI57" s="481"/>
      <c r="VZJ57" s="481"/>
      <c r="VZK57" s="481"/>
      <c r="VZL57" s="481"/>
      <c r="VZM57" s="481"/>
      <c r="VZN57" s="481"/>
      <c r="VZO57" s="481"/>
      <c r="VZP57" s="481"/>
      <c r="VZQ57" s="481"/>
      <c r="VZR57" s="481"/>
      <c r="VZS57" s="481"/>
      <c r="VZT57" s="481"/>
      <c r="VZU57" s="481"/>
      <c r="VZV57" s="481"/>
      <c r="VZW57" s="481"/>
      <c r="VZX57" s="481"/>
      <c r="VZY57" s="481"/>
      <c r="VZZ57" s="481"/>
      <c r="WAA57" s="481"/>
      <c r="WAB57" s="481"/>
      <c r="WAC57" s="481"/>
      <c r="WAD57" s="481"/>
      <c r="WAE57" s="481"/>
      <c r="WAF57" s="481"/>
      <c r="WAG57" s="481"/>
      <c r="WAH57" s="481"/>
      <c r="WAI57" s="481"/>
      <c r="WAJ57" s="481"/>
      <c r="WAK57" s="481"/>
      <c r="WAL57" s="481"/>
      <c r="WAM57" s="481"/>
      <c r="WAN57" s="481"/>
      <c r="WAO57" s="481"/>
      <c r="WAP57" s="481"/>
      <c r="WAQ57" s="481"/>
      <c r="WAR57" s="481"/>
      <c r="WAS57" s="481"/>
      <c r="WAT57" s="481"/>
      <c r="WAU57" s="481"/>
      <c r="WAV57" s="481"/>
      <c r="WAW57" s="481"/>
      <c r="WAX57" s="481"/>
      <c r="WAY57" s="481"/>
      <c r="WAZ57" s="481"/>
      <c r="WBA57" s="481"/>
      <c r="WBB57" s="481"/>
      <c r="WBC57" s="481"/>
      <c r="WBD57" s="481"/>
      <c r="WBE57" s="481"/>
      <c r="WBF57" s="481"/>
      <c r="WBG57" s="481"/>
      <c r="WBH57" s="481"/>
      <c r="WBI57" s="481"/>
      <c r="WBJ57" s="481"/>
      <c r="WBK57" s="481"/>
      <c r="WBL57" s="481"/>
      <c r="WBM57" s="481"/>
      <c r="WBN57" s="481"/>
      <c r="WBO57" s="481"/>
      <c r="WBP57" s="481"/>
      <c r="WBQ57" s="481"/>
      <c r="WBR57" s="481"/>
      <c r="WBS57" s="481"/>
      <c r="WBT57" s="481"/>
      <c r="WBU57" s="481"/>
      <c r="WBV57" s="481"/>
      <c r="WBW57" s="481"/>
      <c r="WBX57" s="481"/>
      <c r="WBY57" s="481"/>
      <c r="WBZ57" s="481"/>
      <c r="WCA57" s="481"/>
      <c r="WCB57" s="481"/>
      <c r="WCC57" s="481"/>
      <c r="WCD57" s="481"/>
      <c r="WCE57" s="481"/>
      <c r="WCF57" s="481"/>
      <c r="WCG57" s="481"/>
      <c r="WCH57" s="481"/>
      <c r="WCI57" s="481"/>
      <c r="WCJ57" s="481"/>
      <c r="WCK57" s="481"/>
      <c r="WCL57" s="481"/>
      <c r="WCM57" s="481"/>
      <c r="WCN57" s="481"/>
      <c r="WCO57" s="481"/>
      <c r="WCP57" s="481"/>
      <c r="WCQ57" s="481"/>
      <c r="WCR57" s="481"/>
      <c r="WCS57" s="481"/>
      <c r="WCT57" s="481"/>
      <c r="WCU57" s="481"/>
      <c r="WCV57" s="481"/>
      <c r="WCW57" s="481"/>
      <c r="WCX57" s="481"/>
      <c r="WCY57" s="481"/>
      <c r="WCZ57" s="481"/>
      <c r="WDA57" s="481"/>
      <c r="WDB57" s="481"/>
      <c r="WDC57" s="481"/>
      <c r="WDD57" s="481"/>
      <c r="WDE57" s="481"/>
      <c r="WDF57" s="481"/>
      <c r="WDG57" s="481"/>
      <c r="WDH57" s="481"/>
      <c r="WDI57" s="481"/>
      <c r="WDJ57" s="481"/>
      <c r="WDK57" s="481"/>
      <c r="WDL57" s="481"/>
      <c r="WDM57" s="481"/>
      <c r="WDN57" s="481"/>
      <c r="WDO57" s="481"/>
      <c r="WDP57" s="481"/>
      <c r="WDQ57" s="481"/>
      <c r="WDR57" s="481"/>
      <c r="WDS57" s="481"/>
      <c r="WDT57" s="481"/>
      <c r="WDU57" s="481"/>
      <c r="WDV57" s="481"/>
      <c r="WDW57" s="481"/>
      <c r="WDX57" s="481"/>
      <c r="WDY57" s="481"/>
      <c r="WDZ57" s="481"/>
      <c r="WEA57" s="481"/>
      <c r="WEB57" s="481"/>
      <c r="WEC57" s="481"/>
      <c r="WED57" s="481"/>
      <c r="WEE57" s="481"/>
      <c r="WEF57" s="481"/>
      <c r="WEG57" s="481"/>
      <c r="WEH57" s="481"/>
      <c r="WEI57" s="481"/>
      <c r="WEJ57" s="481"/>
      <c r="WEK57" s="481"/>
      <c r="WEL57" s="481"/>
      <c r="WEM57" s="481"/>
      <c r="WEN57" s="481"/>
      <c r="WEO57" s="481"/>
      <c r="WEP57" s="481"/>
      <c r="WEQ57" s="481"/>
      <c r="WER57" s="481"/>
      <c r="WES57" s="481"/>
      <c r="WET57" s="481"/>
      <c r="WEU57" s="481"/>
      <c r="WEV57" s="481"/>
      <c r="WEW57" s="481"/>
      <c r="WEX57" s="481"/>
      <c r="WEY57" s="481"/>
      <c r="WEZ57" s="481"/>
      <c r="WFA57" s="481"/>
      <c r="WFB57" s="481"/>
      <c r="WFC57" s="481"/>
      <c r="WFD57" s="481"/>
      <c r="WFE57" s="481"/>
      <c r="WFF57" s="481"/>
      <c r="WFG57" s="481"/>
      <c r="WFH57" s="481"/>
      <c r="WFI57" s="481"/>
      <c r="WFJ57" s="481"/>
      <c r="WFK57" s="481"/>
      <c r="WFL57" s="481"/>
      <c r="WFM57" s="481"/>
      <c r="WFN57" s="481"/>
      <c r="WFO57" s="481"/>
      <c r="WFP57" s="481"/>
      <c r="WFQ57" s="481"/>
      <c r="WFR57" s="481"/>
      <c r="WFS57" s="481"/>
      <c r="WFT57" s="481"/>
      <c r="WFU57" s="481"/>
      <c r="WFV57" s="481"/>
      <c r="WFW57" s="481"/>
      <c r="WFX57" s="481"/>
      <c r="WFY57" s="481"/>
      <c r="WFZ57" s="481"/>
      <c r="WGA57" s="481"/>
      <c r="WGB57" s="481"/>
      <c r="WGC57" s="481"/>
      <c r="WGD57" s="481"/>
      <c r="WGE57" s="481"/>
      <c r="WGF57" s="481"/>
      <c r="WGG57" s="481"/>
      <c r="WGH57" s="481"/>
      <c r="WGI57" s="481"/>
      <c r="WGJ57" s="481"/>
      <c r="WGK57" s="481"/>
      <c r="WGL57" s="481"/>
      <c r="WGM57" s="481"/>
      <c r="WGN57" s="481"/>
      <c r="WGO57" s="481"/>
      <c r="WGP57" s="481"/>
      <c r="WGQ57" s="481"/>
      <c r="WGR57" s="481"/>
      <c r="WGS57" s="481"/>
      <c r="WGT57" s="481"/>
      <c r="WGU57" s="481"/>
      <c r="WGV57" s="481"/>
      <c r="WGW57" s="481"/>
      <c r="WGX57" s="481"/>
      <c r="WGY57" s="481"/>
      <c r="WGZ57" s="481"/>
      <c r="WHA57" s="481"/>
      <c r="WHB57" s="481"/>
      <c r="WHC57" s="481"/>
      <c r="WHD57" s="481"/>
      <c r="WHE57" s="481"/>
      <c r="WHF57" s="481"/>
      <c r="WHG57" s="481"/>
      <c r="WHH57" s="481"/>
      <c r="WHI57" s="481"/>
      <c r="WHJ57" s="481"/>
      <c r="WHK57" s="481"/>
      <c r="WHL57" s="481"/>
      <c r="WHM57" s="481"/>
      <c r="WHN57" s="481"/>
      <c r="WHO57" s="481"/>
      <c r="WHP57" s="481"/>
      <c r="WHQ57" s="481"/>
      <c r="WHR57" s="481"/>
      <c r="WHS57" s="481"/>
      <c r="WHT57" s="481"/>
      <c r="WHU57" s="481"/>
      <c r="WHV57" s="481"/>
      <c r="WHW57" s="481"/>
      <c r="WHX57" s="481"/>
      <c r="WHY57" s="481"/>
      <c r="WHZ57" s="481"/>
      <c r="WIA57" s="481"/>
      <c r="WIB57" s="481"/>
      <c r="WIC57" s="481"/>
      <c r="WID57" s="481"/>
      <c r="WIE57" s="481"/>
      <c r="WIF57" s="481"/>
      <c r="WIG57" s="481"/>
      <c r="WIH57" s="481"/>
      <c r="WII57" s="481"/>
      <c r="WIJ57" s="481"/>
      <c r="WIK57" s="481"/>
      <c r="WIL57" s="481"/>
      <c r="WIM57" s="481"/>
      <c r="WIN57" s="481"/>
      <c r="WIO57" s="481"/>
      <c r="WIP57" s="481"/>
      <c r="WIQ57" s="481"/>
      <c r="WIR57" s="481"/>
      <c r="WIS57" s="481"/>
      <c r="WIT57" s="481"/>
      <c r="WIU57" s="481"/>
      <c r="WIV57" s="481"/>
      <c r="WIW57" s="481"/>
      <c r="WIX57" s="481"/>
      <c r="WIY57" s="481"/>
      <c r="WIZ57" s="481"/>
      <c r="WJA57" s="481"/>
      <c r="WJB57" s="481"/>
      <c r="WJC57" s="481"/>
      <c r="WJD57" s="481"/>
      <c r="WJE57" s="481"/>
      <c r="WJF57" s="481"/>
      <c r="WJG57" s="481"/>
      <c r="WJH57" s="481"/>
      <c r="WJI57" s="481"/>
      <c r="WJJ57" s="481"/>
      <c r="WJK57" s="481"/>
      <c r="WJL57" s="481"/>
      <c r="WJM57" s="481"/>
      <c r="WJN57" s="481"/>
      <c r="WJO57" s="481"/>
      <c r="WJP57" s="481"/>
      <c r="WJQ57" s="481"/>
      <c r="WJR57" s="481"/>
      <c r="WJS57" s="481"/>
      <c r="WJT57" s="481"/>
      <c r="WJU57" s="481"/>
      <c r="WJV57" s="481"/>
      <c r="WJW57" s="481"/>
      <c r="WJX57" s="481"/>
      <c r="WJY57" s="481"/>
      <c r="WJZ57" s="481"/>
      <c r="WKA57" s="481"/>
      <c r="WKB57" s="481"/>
      <c r="WKC57" s="481"/>
      <c r="WKD57" s="481"/>
      <c r="WKE57" s="481"/>
      <c r="WKF57" s="481"/>
      <c r="WKG57" s="481"/>
      <c r="WKH57" s="481"/>
      <c r="WKI57" s="481"/>
      <c r="WKJ57" s="481"/>
      <c r="WKK57" s="481"/>
      <c r="WKL57" s="481"/>
      <c r="WKM57" s="481"/>
      <c r="WKN57" s="481"/>
      <c r="WKO57" s="481"/>
      <c r="WKP57" s="481"/>
      <c r="WKQ57" s="481"/>
      <c r="WKR57" s="481"/>
      <c r="WKS57" s="481"/>
      <c r="WKT57" s="481"/>
      <c r="WKU57" s="481"/>
      <c r="WKV57" s="481"/>
      <c r="WKW57" s="481"/>
      <c r="WKX57" s="481"/>
      <c r="WKY57" s="481"/>
      <c r="WKZ57" s="481"/>
      <c r="WLA57" s="481"/>
      <c r="WLB57" s="481"/>
      <c r="WLC57" s="481"/>
      <c r="WLD57" s="481"/>
      <c r="WLE57" s="481"/>
      <c r="WLF57" s="481"/>
      <c r="WLG57" s="481"/>
      <c r="WLH57" s="481"/>
      <c r="WLI57" s="481"/>
      <c r="WLJ57" s="481"/>
      <c r="WLK57" s="481"/>
      <c r="WLL57" s="481"/>
      <c r="WLM57" s="481"/>
      <c r="WLN57" s="481"/>
      <c r="WLO57" s="481"/>
      <c r="WLP57" s="481"/>
      <c r="WLQ57" s="481"/>
      <c r="WLR57" s="481"/>
      <c r="WLS57" s="481"/>
      <c r="WLT57" s="481"/>
      <c r="WLU57" s="481"/>
      <c r="WLV57" s="481"/>
      <c r="WLW57" s="481"/>
      <c r="WLX57" s="481"/>
      <c r="WLY57" s="481"/>
      <c r="WLZ57" s="481"/>
      <c r="WMA57" s="481"/>
      <c r="WMB57" s="481"/>
      <c r="WMC57" s="481"/>
      <c r="WMD57" s="481"/>
      <c r="WME57" s="481"/>
      <c r="WMF57" s="481"/>
      <c r="WMG57" s="481"/>
      <c r="WMH57" s="481"/>
      <c r="WMI57" s="481"/>
      <c r="WMJ57" s="481"/>
      <c r="WMK57" s="481"/>
      <c r="WML57" s="481"/>
      <c r="WMM57" s="481"/>
      <c r="WMN57" s="481"/>
      <c r="WMO57" s="481"/>
      <c r="WMP57" s="481"/>
      <c r="WMQ57" s="481"/>
      <c r="WMR57" s="481"/>
      <c r="WMS57" s="481"/>
      <c r="WMT57" s="481"/>
      <c r="WMU57" s="481"/>
      <c r="WMV57" s="481"/>
      <c r="WMW57" s="481"/>
      <c r="WMX57" s="481"/>
      <c r="WMY57" s="481"/>
      <c r="WMZ57" s="481"/>
      <c r="WNA57" s="481"/>
      <c r="WNB57" s="481"/>
      <c r="WNC57" s="481"/>
      <c r="WND57" s="481"/>
      <c r="WNE57" s="481"/>
      <c r="WNF57" s="481"/>
      <c r="WNG57" s="481"/>
      <c r="WNH57" s="481"/>
      <c r="WNI57" s="481"/>
      <c r="WNJ57" s="481"/>
      <c r="WNK57" s="481"/>
      <c r="WNL57" s="481"/>
      <c r="WNM57" s="481"/>
      <c r="WNN57" s="481"/>
      <c r="WNO57" s="481"/>
      <c r="WNP57" s="481"/>
      <c r="WNQ57" s="481"/>
      <c r="WNR57" s="481"/>
      <c r="WNS57" s="481"/>
      <c r="WNT57" s="481"/>
      <c r="WNU57" s="481"/>
      <c r="WNV57" s="481"/>
      <c r="WNW57" s="481"/>
      <c r="WNX57" s="481"/>
      <c r="WNY57" s="481"/>
      <c r="WNZ57" s="481"/>
      <c r="WOA57" s="481"/>
      <c r="WOB57" s="481"/>
      <c r="WOC57" s="481"/>
      <c r="WOD57" s="481"/>
      <c r="WOE57" s="481"/>
      <c r="WOF57" s="481"/>
      <c r="WOG57" s="481"/>
      <c r="WOH57" s="481"/>
      <c r="WOI57" s="481"/>
      <c r="WOJ57" s="481"/>
      <c r="WOK57" s="481"/>
      <c r="WOL57" s="481"/>
      <c r="WOM57" s="481"/>
      <c r="WON57" s="481"/>
      <c r="WOO57" s="481"/>
      <c r="WOP57" s="481"/>
      <c r="WOQ57" s="481"/>
      <c r="WOR57" s="481"/>
      <c r="WOS57" s="481"/>
      <c r="WOT57" s="481"/>
      <c r="WOU57" s="481"/>
      <c r="WOV57" s="481"/>
      <c r="WOW57" s="481"/>
      <c r="WOX57" s="481"/>
      <c r="WOY57" s="481"/>
      <c r="WOZ57" s="481"/>
      <c r="WPA57" s="481"/>
      <c r="WPB57" s="481"/>
      <c r="WPC57" s="481"/>
      <c r="WPD57" s="481"/>
      <c r="WPE57" s="481"/>
      <c r="WPF57" s="481"/>
      <c r="WPG57" s="481"/>
      <c r="WPH57" s="481"/>
      <c r="WPI57" s="481"/>
      <c r="WPJ57" s="481"/>
      <c r="WPK57" s="481"/>
      <c r="WPL57" s="481"/>
      <c r="WPM57" s="481"/>
      <c r="WPN57" s="481"/>
      <c r="WPO57" s="481"/>
      <c r="WPP57" s="481"/>
      <c r="WPQ57" s="481"/>
      <c r="WPR57" s="481"/>
      <c r="WPS57" s="481"/>
      <c r="WPT57" s="481"/>
      <c r="WPU57" s="481"/>
      <c r="WPV57" s="481"/>
      <c r="WPW57" s="481"/>
      <c r="WPX57" s="481"/>
      <c r="WPY57" s="481"/>
      <c r="WPZ57" s="481"/>
      <c r="WQA57" s="481"/>
      <c r="WQB57" s="481"/>
      <c r="WQC57" s="481"/>
      <c r="WQD57" s="481"/>
      <c r="WQE57" s="481"/>
      <c r="WQF57" s="481"/>
      <c r="WQG57" s="481"/>
      <c r="WQH57" s="481"/>
      <c r="WQI57" s="481"/>
      <c r="WQJ57" s="481"/>
      <c r="WQK57" s="481"/>
      <c r="WQL57" s="481"/>
      <c r="WQM57" s="481"/>
      <c r="WQN57" s="481"/>
      <c r="WQO57" s="481"/>
      <c r="WQP57" s="481"/>
      <c r="WQQ57" s="481"/>
      <c r="WQR57" s="481"/>
      <c r="WQS57" s="481"/>
      <c r="WQT57" s="481"/>
      <c r="WQU57" s="481"/>
      <c r="WQV57" s="481"/>
      <c r="WQW57" s="481"/>
      <c r="WQX57" s="481"/>
      <c r="WQY57" s="481"/>
      <c r="WQZ57" s="481"/>
      <c r="WRA57" s="481"/>
      <c r="WRB57" s="481"/>
      <c r="WRC57" s="481"/>
      <c r="WRD57" s="481"/>
      <c r="WRE57" s="481"/>
      <c r="WRF57" s="481"/>
      <c r="WRG57" s="481"/>
      <c r="WRH57" s="481"/>
      <c r="WRI57" s="481"/>
      <c r="WRJ57" s="481"/>
      <c r="WRK57" s="481"/>
      <c r="WRL57" s="481"/>
      <c r="WRM57" s="481"/>
      <c r="WRN57" s="481"/>
      <c r="WRO57" s="481"/>
      <c r="WRP57" s="481"/>
      <c r="WRQ57" s="481"/>
      <c r="WRR57" s="481"/>
      <c r="WRS57" s="481"/>
      <c r="WRT57" s="481"/>
      <c r="WRU57" s="481"/>
      <c r="WRV57" s="481"/>
      <c r="WRW57" s="481"/>
      <c r="WRX57" s="481"/>
      <c r="WRY57" s="481"/>
      <c r="WRZ57" s="481"/>
      <c r="WSA57" s="481"/>
      <c r="WSB57" s="481"/>
      <c r="WSC57" s="481"/>
      <c r="WSD57" s="481"/>
      <c r="WSE57" s="481"/>
      <c r="WSF57" s="481"/>
      <c r="WSG57" s="481"/>
      <c r="WSH57" s="481"/>
      <c r="WSI57" s="481"/>
      <c r="WSJ57" s="481"/>
      <c r="WSK57" s="481"/>
      <c r="WSL57" s="481"/>
      <c r="WSM57" s="481"/>
      <c r="WSN57" s="481"/>
      <c r="WSO57" s="481"/>
      <c r="WSP57" s="481"/>
      <c r="WSQ57" s="481"/>
      <c r="WSR57" s="481"/>
      <c r="WSS57" s="481"/>
      <c r="WST57" s="481"/>
      <c r="WSU57" s="481"/>
      <c r="WSV57" s="481"/>
      <c r="WSW57" s="481"/>
      <c r="WSX57" s="481"/>
      <c r="WSY57" s="481"/>
      <c r="WSZ57" s="481"/>
      <c r="WTA57" s="481"/>
      <c r="WTB57" s="481"/>
      <c r="WTC57" s="481"/>
      <c r="WTD57" s="481"/>
      <c r="WTE57" s="481"/>
      <c r="WTF57" s="481"/>
      <c r="WTG57" s="481"/>
      <c r="WTH57" s="481"/>
      <c r="WTI57" s="481"/>
      <c r="WTJ57" s="481"/>
      <c r="WTK57" s="481"/>
      <c r="WTL57" s="481"/>
      <c r="WTM57" s="481"/>
      <c r="WTN57" s="481"/>
      <c r="WTO57" s="481"/>
      <c r="WTP57" s="481"/>
      <c r="WTQ57" s="481"/>
      <c r="WTR57" s="481"/>
      <c r="WTS57" s="481"/>
      <c r="WTT57" s="481"/>
      <c r="WTU57" s="481"/>
      <c r="WTV57" s="481"/>
      <c r="WTW57" s="481"/>
      <c r="WTX57" s="481"/>
      <c r="WTY57" s="481"/>
      <c r="WTZ57" s="481"/>
      <c r="WUA57" s="481"/>
      <c r="WUB57" s="481"/>
      <c r="WUC57" s="481"/>
      <c r="WUD57" s="481"/>
      <c r="WUE57" s="481"/>
      <c r="WUF57" s="481"/>
      <c r="WUG57" s="481"/>
      <c r="WUH57" s="481"/>
      <c r="WUI57" s="481"/>
      <c r="WUJ57" s="481"/>
      <c r="WUK57" s="481"/>
      <c r="WUL57" s="481"/>
      <c r="WUM57" s="481"/>
      <c r="WUN57" s="481"/>
      <c r="WUO57" s="481"/>
      <c r="WUP57" s="481"/>
      <c r="WUQ57" s="481"/>
      <c r="WUR57" s="481"/>
      <c r="WUS57" s="481"/>
      <c r="WUT57" s="481"/>
      <c r="WUU57" s="481"/>
      <c r="WUV57" s="481"/>
      <c r="WUW57" s="481"/>
      <c r="WUX57" s="481"/>
      <c r="WUY57" s="481"/>
      <c r="WUZ57" s="481"/>
      <c r="WVA57" s="481"/>
      <c r="WVB57" s="481"/>
      <c r="WVC57" s="481"/>
      <c r="WVD57" s="481"/>
      <c r="WVE57" s="481"/>
      <c r="WVF57" s="481"/>
      <c r="WVG57" s="481"/>
      <c r="WVH57" s="481"/>
      <c r="WVI57" s="481"/>
      <c r="WVJ57" s="481"/>
      <c r="WVK57" s="481"/>
      <c r="WVL57" s="481"/>
      <c r="WVM57" s="481"/>
      <c r="WVN57" s="481"/>
      <c r="WVO57" s="481"/>
      <c r="WVP57" s="481"/>
      <c r="WVQ57" s="481"/>
      <c r="WVR57" s="481"/>
      <c r="WVS57" s="481"/>
      <c r="WVT57" s="481"/>
      <c r="WVU57" s="481"/>
      <c r="WVV57" s="481"/>
      <c r="WVW57" s="481"/>
      <c r="WVX57" s="481"/>
      <c r="WVY57" s="481"/>
      <c r="WVZ57" s="481"/>
      <c r="WWA57" s="481"/>
      <c r="WWB57" s="481"/>
      <c r="WWC57" s="481"/>
      <c r="WWD57" s="481"/>
      <c r="WWE57" s="481"/>
      <c r="WWF57" s="481"/>
      <c r="WWG57" s="481"/>
      <c r="WWH57" s="481"/>
      <c r="WWI57" s="481"/>
      <c r="WWJ57" s="481"/>
      <c r="WWK57" s="481"/>
      <c r="WWL57" s="481"/>
      <c r="WWM57" s="481"/>
      <c r="WWN57" s="481"/>
      <c r="WWO57" s="481"/>
      <c r="WWP57" s="481"/>
      <c r="WWQ57" s="481"/>
      <c r="WWR57" s="481"/>
      <c r="WWS57" s="481"/>
      <c r="WWT57" s="481"/>
      <c r="WWU57" s="481"/>
      <c r="WWV57" s="481"/>
      <c r="WWW57" s="481"/>
      <c r="WWX57" s="481"/>
      <c r="WWY57" s="481"/>
      <c r="WWZ57" s="481"/>
      <c r="WXA57" s="481"/>
      <c r="WXB57" s="481"/>
      <c r="WXC57" s="481"/>
      <c r="WXD57" s="481"/>
      <c r="WXE57" s="481"/>
      <c r="WXF57" s="481"/>
      <c r="WXG57" s="481"/>
      <c r="WXH57" s="481"/>
      <c r="WXI57" s="481"/>
      <c r="WXJ57" s="481"/>
      <c r="WXK57" s="481"/>
      <c r="WXL57" s="481"/>
      <c r="WXM57" s="481"/>
      <c r="WXN57" s="481"/>
      <c r="WXO57" s="481"/>
      <c r="WXP57" s="481"/>
      <c r="WXQ57" s="481"/>
      <c r="WXR57" s="481"/>
      <c r="WXS57" s="481"/>
      <c r="WXT57" s="481"/>
      <c r="WXU57" s="481"/>
      <c r="WXV57" s="481"/>
      <c r="WXW57" s="481"/>
      <c r="WXX57" s="481"/>
      <c r="WXY57" s="481"/>
      <c r="WXZ57" s="481"/>
      <c r="WYA57" s="481"/>
      <c r="WYB57" s="481"/>
      <c r="WYC57" s="481"/>
      <c r="WYD57" s="481"/>
      <c r="WYE57" s="481"/>
      <c r="WYF57" s="481"/>
      <c r="WYG57" s="481"/>
      <c r="WYH57" s="481"/>
      <c r="WYI57" s="481"/>
      <c r="WYJ57" s="481"/>
      <c r="WYK57" s="481"/>
      <c r="WYL57" s="481"/>
      <c r="WYM57" s="481"/>
      <c r="WYN57" s="481"/>
      <c r="WYO57" s="481"/>
      <c r="WYP57" s="481"/>
      <c r="WYQ57" s="481"/>
      <c r="WYR57" s="481"/>
      <c r="WYS57" s="481"/>
      <c r="WYT57" s="481"/>
      <c r="WYU57" s="481"/>
      <c r="WYV57" s="481"/>
      <c r="WYW57" s="481"/>
      <c r="WYX57" s="481"/>
      <c r="WYY57" s="481"/>
      <c r="WYZ57" s="481"/>
      <c r="WZA57" s="481"/>
      <c r="WZB57" s="481"/>
      <c r="WZC57" s="481"/>
      <c r="WZD57" s="481"/>
      <c r="WZE57" s="481"/>
      <c r="WZF57" s="481"/>
      <c r="WZG57" s="481"/>
      <c r="WZH57" s="481"/>
      <c r="WZI57" s="481"/>
      <c r="WZJ57" s="481"/>
      <c r="WZK57" s="481"/>
      <c r="WZL57" s="481"/>
      <c r="WZM57" s="481"/>
      <c r="WZN57" s="481"/>
      <c r="WZO57" s="481"/>
      <c r="WZP57" s="481"/>
      <c r="WZQ57" s="481"/>
      <c r="WZR57" s="481"/>
      <c r="WZS57" s="481"/>
      <c r="WZT57" s="481"/>
      <c r="WZU57" s="481"/>
      <c r="WZV57" s="481"/>
      <c r="WZW57" s="481"/>
      <c r="WZX57" s="481"/>
      <c r="WZY57" s="481"/>
      <c r="WZZ57" s="481"/>
      <c r="XAA57" s="481"/>
      <c r="XAB57" s="481"/>
      <c r="XAC57" s="481"/>
      <c r="XAD57" s="481"/>
      <c r="XAE57" s="481"/>
      <c r="XAF57" s="481"/>
      <c r="XAG57" s="481"/>
      <c r="XAH57" s="481"/>
      <c r="XAI57" s="481"/>
      <c r="XAJ57" s="481"/>
      <c r="XAK57" s="481"/>
      <c r="XAL57" s="481"/>
      <c r="XAM57" s="481"/>
      <c r="XAN57" s="481"/>
      <c r="XAO57" s="481"/>
      <c r="XAP57" s="481"/>
      <c r="XAQ57" s="481"/>
      <c r="XAR57" s="481"/>
      <c r="XAS57" s="481"/>
      <c r="XAT57" s="481"/>
      <c r="XAU57" s="481"/>
      <c r="XAV57" s="481"/>
      <c r="XAW57" s="481"/>
      <c r="XAX57" s="481"/>
      <c r="XAY57" s="481"/>
      <c r="XAZ57" s="481"/>
      <c r="XBA57" s="481"/>
      <c r="XBB57" s="481"/>
      <c r="XBC57" s="481"/>
      <c r="XBD57" s="481"/>
      <c r="XBE57" s="481"/>
      <c r="XBF57" s="481"/>
      <c r="XBG57" s="481"/>
      <c r="XBH57" s="481"/>
      <c r="XBI57" s="481"/>
      <c r="XBJ57" s="481"/>
      <c r="XBK57" s="481"/>
      <c r="XBL57" s="481"/>
      <c r="XBM57" s="481"/>
      <c r="XBN57" s="481"/>
      <c r="XBO57" s="481"/>
      <c r="XBP57" s="481"/>
      <c r="XBQ57" s="481"/>
      <c r="XBR57" s="481"/>
      <c r="XBS57" s="481"/>
      <c r="XBT57" s="481"/>
      <c r="XBU57" s="481"/>
      <c r="XBV57" s="481"/>
      <c r="XBW57" s="481"/>
      <c r="XBX57" s="481"/>
      <c r="XBY57" s="481"/>
      <c r="XBZ57" s="481"/>
      <c r="XCA57" s="481"/>
      <c r="XCB57" s="481"/>
      <c r="XCC57" s="481"/>
      <c r="XCD57" s="481"/>
      <c r="XCE57" s="481"/>
      <c r="XCF57" s="481"/>
      <c r="XCG57" s="481"/>
      <c r="XCH57" s="481"/>
      <c r="XCI57" s="481"/>
      <c r="XCJ57" s="481"/>
      <c r="XCK57" s="481"/>
      <c r="XCL57" s="481"/>
      <c r="XCM57" s="481"/>
      <c r="XCN57" s="481"/>
      <c r="XCO57" s="481"/>
      <c r="XCP57" s="481"/>
      <c r="XCQ57" s="481"/>
      <c r="XCR57" s="481"/>
      <c r="XCS57" s="481"/>
      <c r="XCT57" s="481"/>
      <c r="XCU57" s="481"/>
      <c r="XCV57" s="481"/>
      <c r="XCW57" s="481"/>
      <c r="XCX57" s="481"/>
      <c r="XCY57" s="481"/>
      <c r="XCZ57" s="481"/>
      <c r="XDA57" s="481"/>
      <c r="XDB57" s="481"/>
      <c r="XDC57" s="481"/>
      <c r="XDD57" s="481"/>
      <c r="XDE57" s="481"/>
      <c r="XDF57" s="481"/>
      <c r="XDG57" s="481"/>
      <c r="XDH57" s="481"/>
      <c r="XDI57" s="481"/>
      <c r="XDJ57" s="481"/>
      <c r="XDK57" s="481"/>
      <c r="XDL57" s="481"/>
      <c r="XDM57" s="481"/>
      <c r="XDN57" s="481"/>
      <c r="XDO57" s="481"/>
      <c r="XDP57" s="481"/>
      <c r="XDQ57" s="481"/>
      <c r="XDR57" s="481"/>
      <c r="XDS57" s="481"/>
      <c r="XDT57" s="481"/>
      <c r="XDU57" s="481"/>
      <c r="XDV57" s="481"/>
      <c r="XDW57" s="481"/>
      <c r="XDX57" s="481"/>
      <c r="XDY57" s="481"/>
      <c r="XDZ57" s="481"/>
      <c r="XEA57" s="481"/>
      <c r="XEB57" s="481"/>
      <c r="XEC57" s="481"/>
      <c r="XED57" s="481"/>
      <c r="XEE57" s="481"/>
      <c r="XEF57" s="481"/>
      <c r="XEG57" s="481"/>
      <c r="XEH57" s="481"/>
      <c r="XEI57" s="481"/>
      <c r="XEJ57" s="481"/>
      <c r="XEK57" s="481"/>
      <c r="XEL57" s="481"/>
      <c r="XEM57" s="481"/>
      <c r="XEN57" s="481"/>
      <c r="XEO57" s="481"/>
      <c r="XEP57" s="481"/>
      <c r="XEQ57" s="481"/>
      <c r="XER57" s="481"/>
      <c r="XES57" s="481"/>
      <c r="XET57" s="481"/>
      <c r="XEU57" s="481"/>
      <c r="XEV57" s="481"/>
      <c r="XEW57" s="481"/>
      <c r="XEX57" s="481"/>
      <c r="XEY57" s="481"/>
      <c r="XEZ57" s="481"/>
      <c r="XFA57" s="481"/>
      <c r="XFB57" s="481"/>
      <c r="XFC57" s="481"/>
      <c r="XFD57" s="481"/>
    </row>
    <row r="58" customHeight="1" spans="1:16384">
      <c r="A58" s="388" t="str">
        <f t="shared" si="28"/>
        <v>ZU18-1</v>
      </c>
      <c r="B58" s="389">
        <f t="shared" si="4"/>
        <v>569.5</v>
      </c>
      <c r="C58" s="389">
        <f t="shared" si="5"/>
        <v>589.5</v>
      </c>
      <c r="D58" s="390">
        <f t="shared" si="6"/>
        <v>20</v>
      </c>
      <c r="E58" s="391">
        <f t="shared" si="7"/>
        <v>3.348</v>
      </c>
      <c r="F58" s="391">
        <f t="shared" si="8"/>
        <v>3.348</v>
      </c>
      <c r="G58" s="391">
        <f t="shared" si="9"/>
        <v>-0.13081</v>
      </c>
      <c r="H58" s="391">
        <f t="shared" si="10"/>
        <v>0.42651</v>
      </c>
      <c r="I58" s="391">
        <f t="shared" si="11"/>
        <v>3.47881</v>
      </c>
      <c r="J58" s="383">
        <f t="shared" si="12"/>
        <v>2.92149</v>
      </c>
      <c r="K58" s="423">
        <f t="shared" si="13"/>
        <v>0.5</v>
      </c>
      <c r="L58" s="415">
        <f>LOOKUP(MAX(J58,I58),{0,3,4,5,6.5,7.5,9,10},{0.3,0.4,0.5,0.6,0.7,0.8,0.9})</f>
        <v>0.4</v>
      </c>
      <c r="M58" s="423">
        <f t="shared" si="14"/>
        <v>13.3</v>
      </c>
      <c r="N58" s="423">
        <f t="shared" si="15"/>
        <v>13.424</v>
      </c>
      <c r="O58" s="424">
        <f t="shared" si="16"/>
        <v>2.34342</v>
      </c>
      <c r="P58" s="425">
        <f t="shared" si="17"/>
        <v>2.2861</v>
      </c>
      <c r="Q58" s="425">
        <f t="shared" si="18"/>
        <v>1.75</v>
      </c>
      <c r="R58" s="390">
        <f t="shared" si="19"/>
        <v>1.75</v>
      </c>
      <c r="S58" s="462">
        <f t="shared" si="20"/>
        <v>0</v>
      </c>
      <c r="T58" s="463">
        <f t="shared" si="21"/>
        <v>2.99328</v>
      </c>
      <c r="U58" s="416">
        <f t="shared" si="22"/>
        <v>3.08319</v>
      </c>
      <c r="V58" s="424">
        <f t="shared" si="23"/>
        <v>0.45</v>
      </c>
      <c r="W58" s="463">
        <f t="shared" si="24"/>
        <v>0.45</v>
      </c>
      <c r="X58" s="464">
        <f t="shared" si="25"/>
        <v>0</v>
      </c>
      <c r="Y58" s="447">
        <f t="shared" si="26"/>
        <v>0</v>
      </c>
      <c r="Z58" s="447">
        <f t="shared" si="27"/>
        <v>0</v>
      </c>
      <c r="AB58" s="349"/>
      <c r="AC58" s="349"/>
      <c r="XFC58" s="342"/>
      <c r="XFD58" s="342"/>
    </row>
    <row r="59" customHeight="1" spans="1:16384">
      <c r="A59" s="388" t="str">
        <f t="shared" si="28"/>
        <v>ZU19-1</v>
      </c>
      <c r="B59" s="389">
        <f t="shared" si="4"/>
        <v>589.53</v>
      </c>
      <c r="C59" s="389">
        <f t="shared" si="5"/>
        <v>605.0005</v>
      </c>
      <c r="D59" s="390">
        <f t="shared" si="6"/>
        <v>15.4705</v>
      </c>
      <c r="E59" s="391">
        <f t="shared" si="7"/>
        <v>3.348</v>
      </c>
      <c r="F59" s="391">
        <f t="shared" si="8"/>
        <v>3.348</v>
      </c>
      <c r="G59" s="391">
        <f t="shared" si="9"/>
        <v>0.42735</v>
      </c>
      <c r="H59" s="391">
        <f t="shared" si="10"/>
        <v>0.85846</v>
      </c>
      <c r="I59" s="391">
        <f t="shared" si="11"/>
        <v>2.92065</v>
      </c>
      <c r="J59" s="383">
        <f t="shared" si="12"/>
        <v>2.48954</v>
      </c>
      <c r="K59" s="423">
        <f t="shared" si="13"/>
        <v>0.4</v>
      </c>
      <c r="L59" s="415">
        <f>LOOKUP(MAX(J59,I59),{0,3,4,5,6.5,7.5,9,10},{0.3,0.4,0.5,0.6,0.7,0.8,0.9})</f>
        <v>0.3</v>
      </c>
      <c r="M59" s="423">
        <f t="shared" si="14"/>
        <v>13.226</v>
      </c>
      <c r="N59" s="423">
        <f t="shared" si="15"/>
        <v>14.194</v>
      </c>
      <c r="O59" s="424">
        <f t="shared" si="16"/>
        <v>2.28601</v>
      </c>
      <c r="P59" s="425">
        <f t="shared" si="17"/>
        <v>2.2</v>
      </c>
      <c r="Q59" s="425">
        <f t="shared" si="18"/>
        <v>1.75</v>
      </c>
      <c r="R59" s="390">
        <f t="shared" si="19"/>
        <v>1.75</v>
      </c>
      <c r="S59" s="462">
        <f t="shared" si="20"/>
        <v>0</v>
      </c>
      <c r="T59" s="463">
        <f t="shared" si="21"/>
        <v>3.08315</v>
      </c>
      <c r="U59" s="416">
        <f t="shared" si="22"/>
        <v>3</v>
      </c>
      <c r="V59" s="424">
        <f t="shared" si="23"/>
        <v>0.45</v>
      </c>
      <c r="W59" s="463">
        <f t="shared" si="24"/>
        <v>0.45</v>
      </c>
      <c r="X59" s="464">
        <f t="shared" si="25"/>
        <v>0</v>
      </c>
      <c r="Y59" s="447">
        <f t="shared" si="26"/>
        <v>0</v>
      </c>
      <c r="Z59" s="447">
        <f t="shared" si="27"/>
        <v>0</v>
      </c>
      <c r="AB59" s="349"/>
      <c r="AC59" s="349"/>
      <c r="XFC59" s="342"/>
      <c r="XFD59" s="342"/>
    </row>
    <row r="60" s="348" customFormat="1" customHeight="1" spans="1:16384">
      <c r="A60" s="392" t="str">
        <f t="shared" si="28"/>
        <v>东U10</v>
      </c>
      <c r="B60" s="393">
        <f t="shared" si="4"/>
        <v>594.2491</v>
      </c>
      <c r="C60" s="393">
        <f t="shared" si="5"/>
        <v>614.2491</v>
      </c>
      <c r="D60" s="394">
        <f t="shared" si="6"/>
        <v>20</v>
      </c>
      <c r="E60" s="395">
        <f t="shared" si="7"/>
        <v>3.914</v>
      </c>
      <c r="F60" s="395">
        <f t="shared" si="8"/>
        <v>3.914</v>
      </c>
      <c r="G60" s="395">
        <f t="shared" si="9"/>
        <v>2.27743</v>
      </c>
      <c r="H60" s="395">
        <f t="shared" si="10"/>
        <v>2.65934</v>
      </c>
      <c r="I60" s="395">
        <f t="shared" si="11"/>
        <v>1.63657</v>
      </c>
      <c r="J60" s="395">
        <f t="shared" si="12"/>
        <v>1.25466</v>
      </c>
      <c r="K60" s="422">
        <f t="shared" si="13"/>
        <v>0.4</v>
      </c>
      <c r="L60" s="422">
        <f>LOOKUP(MAX(J60,I60),{0,3.5,4,5,6.5,7.5,9,10},{0.3,0.4,0.5,0.6,0.7,0.8,0.9})</f>
        <v>0.3</v>
      </c>
      <c r="M60" s="422">
        <f t="shared" si="14"/>
        <v>8.6</v>
      </c>
      <c r="N60" s="422">
        <f t="shared" si="15"/>
        <v>8.6</v>
      </c>
      <c r="O60" s="426">
        <f t="shared" si="16"/>
        <v>1.12115</v>
      </c>
      <c r="P60" s="427">
        <f t="shared" si="17"/>
        <v>1.21711</v>
      </c>
      <c r="Q60" s="427">
        <f t="shared" si="18"/>
        <v>1.75</v>
      </c>
      <c r="R60" s="394">
        <f t="shared" si="19"/>
        <v>1.75</v>
      </c>
      <c r="S60" s="465">
        <f t="shared" si="20"/>
        <v>1</v>
      </c>
      <c r="T60" s="466">
        <f t="shared" si="21"/>
        <v>1.89652</v>
      </c>
      <c r="U60" s="467">
        <f t="shared" ref="U60:U72" si="29">Q24-J24</f>
        <v>1.01711</v>
      </c>
      <c r="V60" s="467">
        <f t="shared" si="23"/>
        <v>0.45</v>
      </c>
      <c r="W60" s="466">
        <f t="shared" si="24"/>
        <v>0.45</v>
      </c>
      <c r="X60" s="468">
        <f t="shared" si="25"/>
        <v>0</v>
      </c>
      <c r="Y60" s="483">
        <f t="shared" si="26"/>
        <v>2.0459775</v>
      </c>
      <c r="Z60" s="483">
        <f t="shared" si="27"/>
        <v>0</v>
      </c>
      <c r="AA60" s="484"/>
      <c r="AB60" s="485"/>
      <c r="AC60" s="485"/>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484"/>
      <c r="BS60" s="484"/>
      <c r="BT60" s="484"/>
      <c r="BU60" s="484"/>
      <c r="BV60" s="484"/>
      <c r="BW60" s="484"/>
      <c r="BX60" s="484"/>
      <c r="BY60" s="484"/>
      <c r="BZ60" s="484"/>
      <c r="CA60" s="484"/>
      <c r="CB60" s="484"/>
      <c r="CC60" s="484"/>
      <c r="CD60" s="484"/>
      <c r="CE60" s="484"/>
      <c r="CF60" s="484"/>
      <c r="CG60" s="484"/>
      <c r="CH60" s="484"/>
      <c r="CI60" s="484"/>
      <c r="CJ60" s="484"/>
      <c r="CK60" s="484"/>
      <c r="CL60" s="484"/>
      <c r="CM60" s="484"/>
      <c r="CN60" s="484"/>
      <c r="CO60" s="484"/>
      <c r="CP60" s="484"/>
      <c r="CQ60" s="484"/>
      <c r="CR60" s="484"/>
      <c r="CS60" s="484"/>
      <c r="CT60" s="484"/>
      <c r="CU60" s="484"/>
      <c r="CV60" s="484"/>
      <c r="CW60" s="484"/>
      <c r="CX60" s="484"/>
      <c r="CY60" s="484"/>
      <c r="CZ60" s="484"/>
      <c r="DA60" s="484"/>
      <c r="DB60" s="484"/>
      <c r="DC60" s="484"/>
      <c r="DD60" s="484"/>
      <c r="DE60" s="484"/>
      <c r="DF60" s="484"/>
      <c r="DG60" s="484"/>
      <c r="DH60" s="484"/>
      <c r="DI60" s="484"/>
      <c r="DJ60" s="484"/>
      <c r="DK60" s="484"/>
      <c r="DL60" s="484"/>
      <c r="DM60" s="484"/>
      <c r="DN60" s="484"/>
      <c r="DO60" s="484"/>
      <c r="DP60" s="484"/>
      <c r="DQ60" s="484"/>
      <c r="DR60" s="484"/>
      <c r="DS60" s="484"/>
      <c r="DT60" s="484"/>
      <c r="DU60" s="484"/>
      <c r="DV60" s="484"/>
      <c r="DW60" s="484"/>
      <c r="DX60" s="484"/>
      <c r="DY60" s="484"/>
      <c r="DZ60" s="484"/>
      <c r="EA60" s="484"/>
      <c r="EB60" s="484"/>
      <c r="EC60" s="484"/>
      <c r="ED60" s="484"/>
      <c r="EE60" s="484"/>
      <c r="EF60" s="484"/>
      <c r="EG60" s="484"/>
      <c r="EH60" s="484"/>
      <c r="EI60" s="484"/>
      <c r="EJ60" s="484"/>
      <c r="EK60" s="484"/>
      <c r="EL60" s="484"/>
      <c r="EM60" s="484"/>
      <c r="EN60" s="484"/>
      <c r="EO60" s="484"/>
      <c r="EP60" s="484"/>
      <c r="EQ60" s="484"/>
      <c r="ER60" s="484"/>
      <c r="ES60" s="484"/>
      <c r="ET60" s="484"/>
      <c r="EU60" s="484"/>
      <c r="EV60" s="484"/>
      <c r="EW60" s="484"/>
      <c r="EX60" s="484"/>
      <c r="EY60" s="484"/>
      <c r="EZ60" s="484"/>
      <c r="FA60" s="484"/>
      <c r="FB60" s="484"/>
      <c r="FC60" s="484"/>
      <c r="FD60" s="484"/>
      <c r="FE60" s="484"/>
      <c r="FF60" s="484"/>
      <c r="FG60" s="484"/>
      <c r="FH60" s="484"/>
      <c r="FI60" s="484"/>
      <c r="FJ60" s="484"/>
      <c r="FK60" s="484"/>
      <c r="FL60" s="484"/>
      <c r="FM60" s="484"/>
      <c r="FN60" s="484"/>
      <c r="FO60" s="484"/>
      <c r="FP60" s="484"/>
      <c r="FQ60" s="484"/>
      <c r="FR60" s="484"/>
      <c r="FS60" s="484"/>
      <c r="FT60" s="484"/>
      <c r="FU60" s="484"/>
      <c r="FV60" s="484"/>
      <c r="FW60" s="484"/>
      <c r="FX60" s="484"/>
      <c r="FY60" s="484"/>
      <c r="FZ60" s="484"/>
      <c r="GA60" s="484"/>
      <c r="GB60" s="484"/>
      <c r="GC60" s="484"/>
      <c r="GD60" s="484"/>
      <c r="GE60" s="484"/>
      <c r="GF60" s="484"/>
      <c r="GG60" s="484"/>
      <c r="GH60" s="484"/>
      <c r="GI60" s="484"/>
      <c r="GJ60" s="484"/>
      <c r="GK60" s="484"/>
      <c r="GL60" s="484"/>
      <c r="GM60" s="484"/>
      <c r="GN60" s="484"/>
      <c r="GO60" s="484"/>
      <c r="GP60" s="484"/>
      <c r="GQ60" s="484"/>
      <c r="GR60" s="484"/>
      <c r="GS60" s="484"/>
      <c r="GT60" s="484"/>
      <c r="GU60" s="484"/>
      <c r="GV60" s="484"/>
      <c r="GW60" s="484"/>
      <c r="GX60" s="484"/>
      <c r="GY60" s="484"/>
      <c r="GZ60" s="484"/>
      <c r="HA60" s="484"/>
      <c r="HB60" s="484"/>
      <c r="HC60" s="484"/>
      <c r="HD60" s="484"/>
      <c r="HE60" s="484"/>
      <c r="HF60" s="484"/>
      <c r="HG60" s="484"/>
      <c r="HH60" s="484"/>
      <c r="HI60" s="484"/>
      <c r="HJ60" s="484"/>
      <c r="HK60" s="484"/>
      <c r="HL60" s="484"/>
      <c r="HM60" s="484"/>
      <c r="HN60" s="484"/>
      <c r="HO60" s="484"/>
      <c r="HP60" s="484"/>
      <c r="HQ60" s="484"/>
      <c r="HR60" s="484"/>
      <c r="HS60" s="484"/>
      <c r="HT60" s="484"/>
      <c r="HU60" s="484"/>
      <c r="HV60" s="484"/>
      <c r="HW60" s="484"/>
      <c r="HX60" s="484"/>
      <c r="HY60" s="484"/>
      <c r="HZ60" s="484"/>
      <c r="IA60" s="484"/>
      <c r="IB60" s="484"/>
      <c r="IC60" s="484"/>
      <c r="ID60" s="484"/>
      <c r="IE60" s="484"/>
      <c r="IF60" s="484"/>
      <c r="IG60" s="484"/>
      <c r="IH60" s="484"/>
      <c r="II60" s="484"/>
      <c r="IJ60" s="484"/>
      <c r="IK60" s="484"/>
      <c r="IL60" s="484"/>
      <c r="IM60" s="484"/>
      <c r="IN60" s="484"/>
      <c r="IO60" s="484"/>
      <c r="IP60" s="484"/>
      <c r="IQ60" s="484"/>
      <c r="IR60" s="484"/>
      <c r="IS60" s="484"/>
      <c r="IT60" s="484"/>
      <c r="IU60" s="484"/>
      <c r="IV60" s="484"/>
      <c r="IW60" s="484"/>
      <c r="IX60" s="484"/>
      <c r="IY60" s="484"/>
      <c r="IZ60" s="484"/>
      <c r="JA60" s="484"/>
      <c r="JB60" s="484"/>
      <c r="JC60" s="484"/>
      <c r="JD60" s="484"/>
      <c r="JE60" s="484"/>
      <c r="JF60" s="484"/>
      <c r="JG60" s="484"/>
      <c r="JH60" s="484"/>
      <c r="JI60" s="484"/>
      <c r="JJ60" s="484"/>
      <c r="JK60" s="484"/>
      <c r="JL60" s="484"/>
      <c r="JM60" s="484"/>
      <c r="JN60" s="484"/>
      <c r="JO60" s="484"/>
      <c r="JP60" s="484"/>
      <c r="JQ60" s="484"/>
      <c r="JR60" s="484"/>
      <c r="JS60" s="484"/>
      <c r="JT60" s="484"/>
      <c r="JU60" s="484"/>
      <c r="JV60" s="484"/>
      <c r="JW60" s="484"/>
      <c r="JX60" s="484"/>
      <c r="JY60" s="484"/>
      <c r="JZ60" s="484"/>
      <c r="KA60" s="484"/>
      <c r="KB60" s="484"/>
      <c r="KC60" s="484"/>
      <c r="KD60" s="484"/>
      <c r="KE60" s="484"/>
      <c r="KF60" s="484"/>
      <c r="KG60" s="484"/>
      <c r="KH60" s="484"/>
      <c r="KI60" s="484"/>
      <c r="KJ60" s="484"/>
      <c r="KK60" s="484"/>
      <c r="KL60" s="484"/>
      <c r="KM60" s="484"/>
      <c r="KN60" s="484"/>
      <c r="KO60" s="484"/>
      <c r="KP60" s="484"/>
      <c r="KQ60" s="484"/>
      <c r="KR60" s="484"/>
      <c r="KS60" s="484"/>
      <c r="KT60" s="484"/>
      <c r="KU60" s="484"/>
      <c r="KV60" s="484"/>
      <c r="KW60" s="484"/>
      <c r="KX60" s="484"/>
      <c r="KY60" s="484"/>
      <c r="KZ60" s="484"/>
      <c r="LA60" s="484"/>
      <c r="LB60" s="484"/>
      <c r="LC60" s="484"/>
      <c r="LD60" s="484"/>
      <c r="LE60" s="484"/>
      <c r="LF60" s="484"/>
      <c r="LG60" s="484"/>
      <c r="LH60" s="484"/>
      <c r="LI60" s="484"/>
      <c r="LJ60" s="484"/>
      <c r="LK60" s="484"/>
      <c r="LL60" s="484"/>
      <c r="LM60" s="484"/>
      <c r="LN60" s="484"/>
      <c r="LO60" s="484"/>
      <c r="LP60" s="484"/>
      <c r="LQ60" s="484"/>
      <c r="LR60" s="484"/>
      <c r="LS60" s="484"/>
      <c r="LT60" s="484"/>
      <c r="LU60" s="484"/>
      <c r="LV60" s="484"/>
      <c r="LW60" s="484"/>
      <c r="LX60" s="484"/>
      <c r="LY60" s="484"/>
      <c r="LZ60" s="484"/>
      <c r="MA60" s="484"/>
      <c r="MB60" s="484"/>
      <c r="MC60" s="484"/>
      <c r="MD60" s="484"/>
      <c r="ME60" s="484"/>
      <c r="MF60" s="484"/>
      <c r="MG60" s="484"/>
      <c r="MH60" s="484"/>
      <c r="MI60" s="484"/>
      <c r="MJ60" s="484"/>
      <c r="MK60" s="484"/>
      <c r="ML60" s="484"/>
      <c r="MM60" s="484"/>
      <c r="MN60" s="484"/>
      <c r="MO60" s="484"/>
      <c r="MP60" s="484"/>
      <c r="MQ60" s="484"/>
      <c r="MR60" s="484"/>
      <c r="MS60" s="484"/>
      <c r="MT60" s="484"/>
      <c r="MU60" s="484"/>
      <c r="MV60" s="484"/>
      <c r="MW60" s="484"/>
      <c r="MX60" s="484"/>
      <c r="MY60" s="484"/>
      <c r="MZ60" s="484"/>
      <c r="NA60" s="484"/>
      <c r="NB60" s="484"/>
      <c r="NC60" s="484"/>
      <c r="ND60" s="484"/>
      <c r="NE60" s="484"/>
      <c r="NF60" s="484"/>
      <c r="NG60" s="484"/>
      <c r="NH60" s="484"/>
      <c r="NI60" s="484"/>
      <c r="NJ60" s="484"/>
      <c r="NK60" s="484"/>
      <c r="NL60" s="484"/>
      <c r="NM60" s="484"/>
      <c r="NN60" s="484"/>
      <c r="NO60" s="484"/>
      <c r="NP60" s="484"/>
      <c r="NQ60" s="484"/>
      <c r="NR60" s="484"/>
      <c r="NS60" s="484"/>
      <c r="NT60" s="484"/>
      <c r="NU60" s="484"/>
      <c r="NV60" s="484"/>
      <c r="NW60" s="484"/>
      <c r="NX60" s="484"/>
      <c r="NY60" s="484"/>
      <c r="NZ60" s="484"/>
      <c r="OA60" s="484"/>
      <c r="OB60" s="484"/>
      <c r="OC60" s="484"/>
      <c r="OD60" s="484"/>
      <c r="OE60" s="484"/>
      <c r="OF60" s="484"/>
      <c r="OG60" s="484"/>
      <c r="OH60" s="484"/>
      <c r="OI60" s="484"/>
      <c r="OJ60" s="484"/>
      <c r="OK60" s="484"/>
      <c r="OL60" s="484"/>
      <c r="OM60" s="484"/>
      <c r="ON60" s="484"/>
      <c r="OO60" s="484"/>
      <c r="OP60" s="484"/>
      <c r="OQ60" s="484"/>
      <c r="OR60" s="484"/>
      <c r="OS60" s="484"/>
      <c r="OT60" s="484"/>
      <c r="OU60" s="484"/>
      <c r="OV60" s="484"/>
      <c r="OW60" s="484"/>
      <c r="OX60" s="484"/>
      <c r="OY60" s="484"/>
      <c r="OZ60" s="484"/>
      <c r="PA60" s="484"/>
      <c r="PB60" s="484"/>
      <c r="PC60" s="484"/>
      <c r="PD60" s="484"/>
      <c r="PE60" s="484"/>
      <c r="PF60" s="484"/>
      <c r="PG60" s="484"/>
      <c r="PH60" s="484"/>
      <c r="PI60" s="484"/>
      <c r="PJ60" s="484"/>
      <c r="PK60" s="484"/>
      <c r="PL60" s="484"/>
      <c r="PM60" s="484"/>
      <c r="PN60" s="484"/>
      <c r="PO60" s="484"/>
      <c r="PP60" s="484"/>
      <c r="PQ60" s="484"/>
      <c r="PR60" s="484"/>
      <c r="PS60" s="484"/>
      <c r="PT60" s="484"/>
      <c r="PU60" s="484"/>
      <c r="PV60" s="484"/>
      <c r="PW60" s="484"/>
      <c r="PX60" s="484"/>
      <c r="PY60" s="484"/>
      <c r="PZ60" s="484"/>
      <c r="QA60" s="484"/>
      <c r="QB60" s="484"/>
      <c r="QC60" s="484"/>
      <c r="QD60" s="484"/>
      <c r="QE60" s="484"/>
      <c r="QF60" s="484"/>
      <c r="QG60" s="484"/>
      <c r="QH60" s="484"/>
      <c r="QI60" s="484"/>
      <c r="QJ60" s="484"/>
      <c r="QK60" s="484"/>
      <c r="QL60" s="484"/>
      <c r="QM60" s="484"/>
      <c r="QN60" s="484"/>
      <c r="QO60" s="484"/>
      <c r="QP60" s="484"/>
      <c r="QQ60" s="484"/>
      <c r="QR60" s="484"/>
      <c r="QS60" s="484"/>
      <c r="QT60" s="484"/>
      <c r="QU60" s="484"/>
      <c r="QV60" s="484"/>
      <c r="QW60" s="484"/>
      <c r="QX60" s="484"/>
      <c r="QY60" s="484"/>
      <c r="QZ60" s="484"/>
      <c r="RA60" s="484"/>
      <c r="RB60" s="484"/>
      <c r="RC60" s="484"/>
      <c r="RD60" s="484"/>
      <c r="RE60" s="484"/>
      <c r="RF60" s="484"/>
      <c r="RG60" s="484"/>
      <c r="RH60" s="484"/>
      <c r="RI60" s="484"/>
      <c r="RJ60" s="484"/>
      <c r="RK60" s="484"/>
      <c r="RL60" s="484"/>
      <c r="RM60" s="484"/>
      <c r="RN60" s="484"/>
      <c r="RO60" s="484"/>
      <c r="RP60" s="484"/>
      <c r="RQ60" s="484"/>
      <c r="RR60" s="484"/>
      <c r="RS60" s="484"/>
      <c r="RT60" s="484"/>
      <c r="RU60" s="484"/>
      <c r="RV60" s="484"/>
      <c r="RW60" s="484"/>
      <c r="RX60" s="484"/>
      <c r="RY60" s="484"/>
      <c r="RZ60" s="484"/>
      <c r="SA60" s="484"/>
      <c r="SB60" s="484"/>
      <c r="SC60" s="484"/>
      <c r="SD60" s="484"/>
      <c r="SE60" s="484"/>
      <c r="SF60" s="484"/>
      <c r="SG60" s="484"/>
      <c r="SH60" s="484"/>
      <c r="SI60" s="484"/>
      <c r="SJ60" s="484"/>
      <c r="SK60" s="484"/>
      <c r="SL60" s="484"/>
      <c r="SM60" s="484"/>
      <c r="SN60" s="484"/>
      <c r="SO60" s="484"/>
      <c r="SP60" s="484"/>
      <c r="SQ60" s="484"/>
      <c r="SR60" s="484"/>
      <c r="SS60" s="484"/>
      <c r="ST60" s="484"/>
      <c r="SU60" s="484"/>
      <c r="SV60" s="484"/>
      <c r="SW60" s="484"/>
      <c r="SX60" s="484"/>
      <c r="SY60" s="484"/>
      <c r="SZ60" s="484"/>
      <c r="TA60" s="484"/>
      <c r="TB60" s="484"/>
      <c r="TC60" s="484"/>
      <c r="TD60" s="484"/>
      <c r="TE60" s="484"/>
      <c r="TF60" s="484"/>
      <c r="TG60" s="484"/>
      <c r="TH60" s="484"/>
      <c r="TI60" s="484"/>
      <c r="TJ60" s="484"/>
      <c r="TK60" s="484"/>
      <c r="TL60" s="484"/>
      <c r="TM60" s="484"/>
      <c r="TN60" s="484"/>
      <c r="TO60" s="484"/>
      <c r="TP60" s="484"/>
      <c r="TQ60" s="484"/>
      <c r="TR60" s="484"/>
      <c r="TS60" s="484"/>
      <c r="TT60" s="484"/>
      <c r="TU60" s="484"/>
      <c r="TV60" s="484"/>
      <c r="TW60" s="484"/>
      <c r="TX60" s="484"/>
      <c r="TY60" s="484"/>
      <c r="TZ60" s="484"/>
      <c r="UA60" s="484"/>
      <c r="UB60" s="484"/>
      <c r="UC60" s="484"/>
      <c r="UD60" s="484"/>
      <c r="UE60" s="484"/>
      <c r="UF60" s="484"/>
      <c r="UG60" s="484"/>
      <c r="UH60" s="484"/>
      <c r="UI60" s="484"/>
      <c r="UJ60" s="484"/>
      <c r="UK60" s="484"/>
      <c r="UL60" s="484"/>
      <c r="UM60" s="484"/>
      <c r="UN60" s="484"/>
      <c r="UO60" s="484"/>
      <c r="UP60" s="484"/>
      <c r="UQ60" s="484"/>
      <c r="UR60" s="484"/>
      <c r="US60" s="484"/>
      <c r="UT60" s="484"/>
      <c r="UU60" s="484"/>
      <c r="UV60" s="484"/>
      <c r="UW60" s="484"/>
      <c r="UX60" s="484"/>
      <c r="UY60" s="484"/>
      <c r="UZ60" s="484"/>
      <c r="VA60" s="484"/>
      <c r="VB60" s="484"/>
      <c r="VC60" s="484"/>
      <c r="VD60" s="484"/>
      <c r="VE60" s="484"/>
      <c r="VF60" s="484"/>
      <c r="VG60" s="484"/>
      <c r="VH60" s="484"/>
      <c r="VI60" s="484"/>
      <c r="VJ60" s="484"/>
      <c r="VK60" s="484"/>
      <c r="VL60" s="484"/>
      <c r="VM60" s="484"/>
      <c r="VN60" s="484"/>
      <c r="VO60" s="484"/>
      <c r="VP60" s="484"/>
      <c r="VQ60" s="484"/>
      <c r="VR60" s="484"/>
      <c r="VS60" s="484"/>
      <c r="VT60" s="484"/>
      <c r="VU60" s="484"/>
      <c r="VV60" s="484"/>
      <c r="VW60" s="484"/>
      <c r="VX60" s="484"/>
      <c r="VY60" s="484"/>
      <c r="VZ60" s="484"/>
      <c r="WA60" s="484"/>
      <c r="WB60" s="484"/>
      <c r="WC60" s="484"/>
      <c r="WD60" s="484"/>
      <c r="WE60" s="484"/>
      <c r="WF60" s="484"/>
      <c r="WG60" s="484"/>
      <c r="WH60" s="484"/>
      <c r="WI60" s="484"/>
      <c r="WJ60" s="484"/>
      <c r="WK60" s="484"/>
      <c r="WL60" s="484"/>
      <c r="WM60" s="484"/>
      <c r="WN60" s="484"/>
      <c r="WO60" s="484"/>
      <c r="WP60" s="484"/>
      <c r="WQ60" s="484"/>
      <c r="WR60" s="484"/>
      <c r="WS60" s="484"/>
      <c r="WT60" s="484"/>
      <c r="WU60" s="484"/>
      <c r="WV60" s="484"/>
      <c r="WW60" s="484"/>
      <c r="WX60" s="484"/>
      <c r="WY60" s="484"/>
      <c r="WZ60" s="484"/>
      <c r="XA60" s="484"/>
      <c r="XB60" s="484"/>
      <c r="XC60" s="484"/>
      <c r="XD60" s="484"/>
      <c r="XE60" s="484"/>
      <c r="XF60" s="484"/>
      <c r="XG60" s="484"/>
      <c r="XH60" s="484"/>
      <c r="XI60" s="484"/>
      <c r="XJ60" s="484"/>
      <c r="XK60" s="484"/>
      <c r="XL60" s="484"/>
      <c r="XM60" s="484"/>
      <c r="XN60" s="484"/>
      <c r="XO60" s="484"/>
      <c r="XP60" s="484"/>
      <c r="XQ60" s="484"/>
      <c r="XR60" s="484"/>
      <c r="XS60" s="484"/>
      <c r="XT60" s="484"/>
      <c r="XU60" s="484"/>
      <c r="XV60" s="484"/>
      <c r="XW60" s="484"/>
      <c r="XX60" s="484"/>
      <c r="XY60" s="484"/>
      <c r="XZ60" s="484"/>
      <c r="YA60" s="484"/>
      <c r="YB60" s="484"/>
      <c r="YC60" s="484"/>
      <c r="YD60" s="484"/>
      <c r="YE60" s="484"/>
      <c r="YF60" s="484"/>
      <c r="YG60" s="484"/>
      <c r="YH60" s="484"/>
      <c r="YI60" s="484"/>
      <c r="YJ60" s="484"/>
      <c r="YK60" s="484"/>
      <c r="YL60" s="484"/>
      <c r="YM60" s="484"/>
      <c r="YN60" s="484"/>
      <c r="YO60" s="484"/>
      <c r="YP60" s="484"/>
      <c r="YQ60" s="484"/>
      <c r="YR60" s="484"/>
      <c r="YS60" s="484"/>
      <c r="YT60" s="484"/>
      <c r="YU60" s="484"/>
      <c r="YV60" s="484"/>
      <c r="YW60" s="484"/>
      <c r="YX60" s="484"/>
      <c r="YY60" s="484"/>
      <c r="YZ60" s="484"/>
      <c r="ZA60" s="484"/>
      <c r="ZB60" s="484"/>
      <c r="ZC60" s="484"/>
      <c r="ZD60" s="484"/>
      <c r="ZE60" s="484"/>
      <c r="ZF60" s="484"/>
      <c r="ZG60" s="484"/>
      <c r="ZH60" s="484"/>
      <c r="ZI60" s="484"/>
      <c r="ZJ60" s="484"/>
      <c r="ZK60" s="484"/>
      <c r="ZL60" s="484"/>
      <c r="ZM60" s="484"/>
      <c r="ZN60" s="484"/>
      <c r="ZO60" s="484"/>
      <c r="ZP60" s="484"/>
      <c r="ZQ60" s="484"/>
      <c r="ZR60" s="484"/>
      <c r="ZS60" s="484"/>
      <c r="ZT60" s="484"/>
      <c r="ZU60" s="484"/>
      <c r="ZV60" s="484"/>
      <c r="ZW60" s="484"/>
      <c r="ZX60" s="484"/>
      <c r="ZY60" s="484"/>
      <c r="ZZ60" s="484"/>
      <c r="AAA60" s="484"/>
      <c r="AAB60" s="484"/>
      <c r="AAC60" s="484"/>
      <c r="AAD60" s="484"/>
      <c r="AAE60" s="484"/>
      <c r="AAF60" s="484"/>
      <c r="AAG60" s="484"/>
      <c r="AAH60" s="484"/>
      <c r="AAI60" s="484"/>
      <c r="AAJ60" s="484"/>
      <c r="AAK60" s="484"/>
      <c r="AAL60" s="484"/>
      <c r="AAM60" s="484"/>
      <c r="AAN60" s="484"/>
      <c r="AAO60" s="484"/>
      <c r="AAP60" s="484"/>
      <c r="AAQ60" s="484"/>
      <c r="AAR60" s="484"/>
      <c r="AAS60" s="484"/>
      <c r="AAT60" s="484"/>
      <c r="AAU60" s="484"/>
      <c r="AAV60" s="484"/>
      <c r="AAW60" s="484"/>
      <c r="AAX60" s="484"/>
      <c r="AAY60" s="484"/>
      <c r="AAZ60" s="484"/>
      <c r="ABA60" s="484"/>
      <c r="ABB60" s="484"/>
      <c r="ABC60" s="484"/>
      <c r="ABD60" s="484"/>
      <c r="ABE60" s="484"/>
      <c r="ABF60" s="484"/>
      <c r="ABG60" s="484"/>
      <c r="ABH60" s="484"/>
      <c r="ABI60" s="484"/>
      <c r="ABJ60" s="484"/>
      <c r="ABK60" s="484"/>
      <c r="ABL60" s="484"/>
      <c r="ABM60" s="484"/>
      <c r="ABN60" s="484"/>
      <c r="ABO60" s="484"/>
      <c r="ABP60" s="484"/>
      <c r="ABQ60" s="484"/>
      <c r="ABR60" s="484"/>
      <c r="ABS60" s="484"/>
      <c r="ABT60" s="484"/>
      <c r="ABU60" s="484"/>
      <c r="ABV60" s="484"/>
      <c r="ABW60" s="484"/>
      <c r="ABX60" s="484"/>
      <c r="ABY60" s="484"/>
      <c r="ABZ60" s="484"/>
      <c r="ACA60" s="484"/>
      <c r="ACB60" s="484"/>
      <c r="ACC60" s="484"/>
      <c r="ACD60" s="484"/>
      <c r="ACE60" s="484"/>
      <c r="ACF60" s="484"/>
      <c r="ACG60" s="484"/>
      <c r="ACH60" s="484"/>
      <c r="ACI60" s="484"/>
      <c r="ACJ60" s="484"/>
      <c r="ACK60" s="484"/>
      <c r="ACL60" s="484"/>
      <c r="ACM60" s="484"/>
      <c r="ACN60" s="484"/>
      <c r="ACO60" s="484"/>
      <c r="ACP60" s="484"/>
      <c r="ACQ60" s="484"/>
      <c r="ACR60" s="484"/>
      <c r="ACS60" s="484"/>
      <c r="ACT60" s="484"/>
      <c r="ACU60" s="484"/>
      <c r="ACV60" s="484"/>
      <c r="ACW60" s="484"/>
      <c r="ACX60" s="484"/>
      <c r="ACY60" s="484"/>
      <c r="ACZ60" s="484"/>
      <c r="ADA60" s="484"/>
      <c r="ADB60" s="484"/>
      <c r="ADC60" s="484"/>
      <c r="ADD60" s="484"/>
      <c r="ADE60" s="484"/>
      <c r="ADF60" s="484"/>
      <c r="ADG60" s="484"/>
      <c r="ADH60" s="484"/>
      <c r="ADI60" s="484"/>
      <c r="ADJ60" s="484"/>
      <c r="ADK60" s="484"/>
      <c r="ADL60" s="484"/>
      <c r="ADM60" s="484"/>
      <c r="ADN60" s="484"/>
      <c r="ADO60" s="484"/>
      <c r="ADP60" s="484"/>
      <c r="ADQ60" s="484"/>
      <c r="ADR60" s="484"/>
      <c r="ADS60" s="484"/>
      <c r="ADT60" s="484"/>
      <c r="ADU60" s="484"/>
      <c r="ADV60" s="484"/>
      <c r="ADW60" s="484"/>
      <c r="ADX60" s="484"/>
      <c r="ADY60" s="484"/>
      <c r="ADZ60" s="484"/>
      <c r="AEA60" s="484"/>
      <c r="AEB60" s="484"/>
      <c r="AEC60" s="484"/>
      <c r="AED60" s="484"/>
      <c r="AEE60" s="484"/>
      <c r="AEF60" s="484"/>
      <c r="AEG60" s="484"/>
      <c r="AEH60" s="484"/>
      <c r="AEI60" s="484"/>
      <c r="AEJ60" s="484"/>
      <c r="AEK60" s="484"/>
      <c r="AEL60" s="484"/>
      <c r="AEM60" s="484"/>
      <c r="AEN60" s="484"/>
      <c r="AEO60" s="484"/>
      <c r="AEP60" s="484"/>
      <c r="AEQ60" s="484"/>
      <c r="AER60" s="484"/>
      <c r="AES60" s="484"/>
      <c r="AET60" s="484"/>
      <c r="AEU60" s="484"/>
      <c r="AEV60" s="484"/>
      <c r="AEW60" s="484"/>
      <c r="AEX60" s="484"/>
      <c r="AEY60" s="484"/>
      <c r="AEZ60" s="484"/>
      <c r="AFA60" s="484"/>
      <c r="AFB60" s="484"/>
      <c r="AFC60" s="484"/>
      <c r="AFD60" s="484"/>
      <c r="AFE60" s="484"/>
      <c r="AFF60" s="484"/>
      <c r="AFG60" s="484"/>
      <c r="AFH60" s="484"/>
      <c r="AFI60" s="484"/>
      <c r="AFJ60" s="484"/>
      <c r="AFK60" s="484"/>
      <c r="AFL60" s="484"/>
      <c r="AFM60" s="484"/>
      <c r="AFN60" s="484"/>
      <c r="AFO60" s="484"/>
      <c r="AFP60" s="484"/>
      <c r="AFQ60" s="484"/>
      <c r="AFR60" s="484"/>
      <c r="AFS60" s="484"/>
      <c r="AFT60" s="484"/>
      <c r="AFU60" s="484"/>
      <c r="AFV60" s="484"/>
      <c r="AFW60" s="484"/>
      <c r="AFX60" s="484"/>
      <c r="AFY60" s="484"/>
      <c r="AFZ60" s="484"/>
      <c r="AGA60" s="484"/>
      <c r="AGB60" s="484"/>
      <c r="AGC60" s="484"/>
      <c r="AGD60" s="484"/>
      <c r="AGE60" s="484"/>
      <c r="AGF60" s="484"/>
      <c r="AGG60" s="484"/>
      <c r="AGH60" s="484"/>
      <c r="AGI60" s="484"/>
      <c r="AGJ60" s="484"/>
      <c r="AGK60" s="484"/>
      <c r="AGL60" s="484"/>
      <c r="AGM60" s="484"/>
      <c r="AGN60" s="484"/>
      <c r="AGO60" s="484"/>
      <c r="AGP60" s="484"/>
      <c r="AGQ60" s="484"/>
      <c r="AGR60" s="484"/>
      <c r="AGS60" s="484"/>
      <c r="AGT60" s="484"/>
      <c r="AGU60" s="484"/>
      <c r="AGV60" s="484"/>
      <c r="AGW60" s="484"/>
      <c r="AGX60" s="484"/>
      <c r="AGY60" s="484"/>
      <c r="AGZ60" s="484"/>
      <c r="AHA60" s="484"/>
      <c r="AHB60" s="484"/>
      <c r="AHC60" s="484"/>
      <c r="AHD60" s="484"/>
      <c r="AHE60" s="484"/>
      <c r="AHF60" s="484"/>
      <c r="AHG60" s="484"/>
      <c r="AHH60" s="484"/>
      <c r="AHI60" s="484"/>
      <c r="AHJ60" s="484"/>
      <c r="AHK60" s="484"/>
      <c r="AHL60" s="484"/>
      <c r="AHM60" s="484"/>
      <c r="AHN60" s="484"/>
      <c r="AHO60" s="484"/>
      <c r="AHP60" s="484"/>
      <c r="AHQ60" s="484"/>
      <c r="AHR60" s="484"/>
      <c r="AHS60" s="484"/>
      <c r="AHT60" s="484"/>
      <c r="AHU60" s="484"/>
      <c r="AHV60" s="484"/>
      <c r="AHW60" s="484"/>
      <c r="AHX60" s="484"/>
      <c r="AHY60" s="484"/>
      <c r="AHZ60" s="484"/>
      <c r="AIA60" s="484"/>
      <c r="AIB60" s="484"/>
      <c r="AIC60" s="484"/>
      <c r="AID60" s="484"/>
      <c r="AIE60" s="484"/>
      <c r="AIF60" s="484"/>
      <c r="AIG60" s="484"/>
      <c r="AIH60" s="484"/>
      <c r="AII60" s="484"/>
      <c r="AIJ60" s="484"/>
      <c r="AIK60" s="484"/>
      <c r="AIL60" s="484"/>
      <c r="AIM60" s="484"/>
      <c r="AIN60" s="484"/>
      <c r="AIO60" s="484"/>
      <c r="AIP60" s="484"/>
      <c r="AIQ60" s="484"/>
      <c r="AIR60" s="484"/>
      <c r="AIS60" s="484"/>
      <c r="AIT60" s="484"/>
      <c r="AIU60" s="484"/>
      <c r="AIV60" s="484"/>
      <c r="AIW60" s="484"/>
      <c r="AIX60" s="484"/>
      <c r="AIY60" s="484"/>
      <c r="AIZ60" s="484"/>
      <c r="AJA60" s="484"/>
      <c r="AJB60" s="484"/>
      <c r="AJC60" s="484"/>
      <c r="AJD60" s="484"/>
      <c r="AJE60" s="484"/>
      <c r="AJF60" s="484"/>
      <c r="AJG60" s="484"/>
      <c r="AJH60" s="484"/>
      <c r="AJI60" s="484"/>
      <c r="AJJ60" s="484"/>
      <c r="AJK60" s="484"/>
      <c r="AJL60" s="484"/>
      <c r="AJM60" s="484"/>
      <c r="AJN60" s="484"/>
      <c r="AJO60" s="484"/>
      <c r="AJP60" s="484"/>
      <c r="AJQ60" s="484"/>
      <c r="AJR60" s="484"/>
      <c r="AJS60" s="484"/>
      <c r="AJT60" s="484"/>
      <c r="AJU60" s="484"/>
      <c r="AJV60" s="484"/>
      <c r="AJW60" s="484"/>
      <c r="AJX60" s="484"/>
      <c r="AJY60" s="484"/>
      <c r="AJZ60" s="484"/>
      <c r="AKA60" s="484"/>
      <c r="AKB60" s="484"/>
      <c r="AKC60" s="484"/>
      <c r="AKD60" s="484"/>
      <c r="AKE60" s="484"/>
      <c r="AKF60" s="484"/>
      <c r="AKG60" s="484"/>
      <c r="AKH60" s="484"/>
      <c r="AKI60" s="484"/>
      <c r="AKJ60" s="484"/>
      <c r="AKK60" s="484"/>
      <c r="AKL60" s="484"/>
      <c r="AKM60" s="484"/>
      <c r="AKN60" s="484"/>
      <c r="AKO60" s="484"/>
      <c r="AKP60" s="484"/>
      <c r="AKQ60" s="484"/>
      <c r="AKR60" s="484"/>
      <c r="AKS60" s="484"/>
      <c r="AKT60" s="484"/>
      <c r="AKU60" s="484"/>
      <c r="AKV60" s="484"/>
      <c r="AKW60" s="484"/>
      <c r="AKX60" s="484"/>
      <c r="AKY60" s="484"/>
      <c r="AKZ60" s="484"/>
      <c r="ALA60" s="484"/>
      <c r="ALB60" s="484"/>
      <c r="ALC60" s="484"/>
      <c r="ALD60" s="484"/>
      <c r="ALE60" s="484"/>
      <c r="ALF60" s="484"/>
      <c r="ALG60" s="484"/>
      <c r="ALH60" s="484"/>
      <c r="ALI60" s="484"/>
      <c r="ALJ60" s="484"/>
      <c r="ALK60" s="484"/>
      <c r="ALL60" s="484"/>
      <c r="ALM60" s="484"/>
      <c r="ALN60" s="484"/>
      <c r="ALO60" s="484"/>
      <c r="ALP60" s="484"/>
      <c r="ALQ60" s="484"/>
      <c r="ALR60" s="484"/>
      <c r="ALS60" s="484"/>
      <c r="ALT60" s="484"/>
      <c r="ALU60" s="484"/>
      <c r="ALV60" s="484"/>
      <c r="ALW60" s="484"/>
      <c r="ALX60" s="484"/>
      <c r="ALY60" s="484"/>
      <c r="ALZ60" s="484"/>
      <c r="AMA60" s="484"/>
      <c r="AMB60" s="484"/>
      <c r="AMC60" s="484"/>
      <c r="AMD60" s="484"/>
      <c r="AME60" s="484"/>
      <c r="AMF60" s="484"/>
      <c r="AMG60" s="484"/>
      <c r="AMH60" s="484"/>
      <c r="AMI60" s="484"/>
      <c r="AMJ60" s="484"/>
      <c r="AMK60" s="484"/>
      <c r="AML60" s="484"/>
      <c r="AMM60" s="484"/>
      <c r="AMN60" s="484"/>
      <c r="AMO60" s="484"/>
      <c r="AMP60" s="484"/>
      <c r="AMQ60" s="484"/>
      <c r="AMR60" s="484"/>
      <c r="AMS60" s="484"/>
      <c r="AMT60" s="484"/>
      <c r="AMU60" s="484"/>
      <c r="AMV60" s="484"/>
      <c r="AMW60" s="484"/>
      <c r="AMX60" s="484"/>
      <c r="AMY60" s="484"/>
      <c r="AMZ60" s="484"/>
      <c r="ANA60" s="484"/>
      <c r="ANB60" s="484"/>
      <c r="ANC60" s="484"/>
      <c r="AND60" s="484"/>
      <c r="ANE60" s="484"/>
      <c r="ANF60" s="484"/>
      <c r="ANG60" s="484"/>
      <c r="ANH60" s="484"/>
      <c r="ANI60" s="484"/>
      <c r="ANJ60" s="484"/>
      <c r="ANK60" s="484"/>
      <c r="ANL60" s="484"/>
      <c r="ANM60" s="484"/>
      <c r="ANN60" s="484"/>
      <c r="ANO60" s="484"/>
      <c r="ANP60" s="484"/>
      <c r="ANQ60" s="484"/>
      <c r="ANR60" s="484"/>
      <c r="ANS60" s="484"/>
      <c r="ANT60" s="484"/>
      <c r="ANU60" s="484"/>
      <c r="ANV60" s="484"/>
      <c r="ANW60" s="484"/>
      <c r="ANX60" s="484"/>
      <c r="ANY60" s="484"/>
      <c r="ANZ60" s="484"/>
      <c r="AOA60" s="484"/>
      <c r="AOB60" s="484"/>
      <c r="AOC60" s="484"/>
      <c r="AOD60" s="484"/>
      <c r="AOE60" s="484"/>
      <c r="AOF60" s="484"/>
      <c r="AOG60" s="484"/>
      <c r="AOH60" s="484"/>
      <c r="AOI60" s="484"/>
      <c r="AOJ60" s="484"/>
      <c r="AOK60" s="484"/>
      <c r="AOL60" s="484"/>
      <c r="AOM60" s="484"/>
      <c r="AON60" s="484"/>
      <c r="AOO60" s="484"/>
      <c r="AOP60" s="484"/>
      <c r="AOQ60" s="484"/>
      <c r="AOR60" s="484"/>
      <c r="AOS60" s="484"/>
      <c r="AOT60" s="484"/>
      <c r="AOU60" s="484"/>
      <c r="AOV60" s="484"/>
      <c r="AOW60" s="484"/>
      <c r="AOX60" s="484"/>
      <c r="AOY60" s="484"/>
      <c r="AOZ60" s="484"/>
      <c r="APA60" s="484"/>
      <c r="APB60" s="484"/>
      <c r="APC60" s="484"/>
      <c r="APD60" s="484"/>
      <c r="APE60" s="484"/>
      <c r="APF60" s="484"/>
      <c r="APG60" s="484"/>
      <c r="APH60" s="484"/>
      <c r="API60" s="484"/>
      <c r="APJ60" s="484"/>
      <c r="APK60" s="484"/>
      <c r="APL60" s="484"/>
      <c r="APM60" s="484"/>
      <c r="APN60" s="484"/>
      <c r="APO60" s="484"/>
      <c r="APP60" s="484"/>
      <c r="APQ60" s="484"/>
      <c r="APR60" s="484"/>
      <c r="APS60" s="484"/>
      <c r="APT60" s="484"/>
      <c r="APU60" s="484"/>
      <c r="APV60" s="484"/>
      <c r="APW60" s="484"/>
      <c r="APX60" s="484"/>
      <c r="APY60" s="484"/>
      <c r="APZ60" s="484"/>
      <c r="AQA60" s="484"/>
      <c r="AQB60" s="484"/>
      <c r="AQC60" s="484"/>
      <c r="AQD60" s="484"/>
      <c r="AQE60" s="484"/>
      <c r="AQF60" s="484"/>
      <c r="AQG60" s="484"/>
      <c r="AQH60" s="484"/>
      <c r="AQI60" s="484"/>
      <c r="AQJ60" s="484"/>
      <c r="AQK60" s="484"/>
      <c r="AQL60" s="484"/>
      <c r="AQM60" s="484"/>
      <c r="AQN60" s="484"/>
      <c r="AQO60" s="484"/>
      <c r="AQP60" s="484"/>
      <c r="AQQ60" s="484"/>
      <c r="AQR60" s="484"/>
      <c r="AQS60" s="484"/>
      <c r="AQT60" s="484"/>
      <c r="AQU60" s="484"/>
      <c r="AQV60" s="484"/>
      <c r="AQW60" s="484"/>
      <c r="AQX60" s="484"/>
      <c r="AQY60" s="484"/>
      <c r="AQZ60" s="484"/>
      <c r="ARA60" s="484"/>
      <c r="ARB60" s="484"/>
      <c r="ARC60" s="484"/>
      <c r="ARD60" s="484"/>
      <c r="ARE60" s="484"/>
      <c r="ARF60" s="484"/>
      <c r="ARG60" s="484"/>
      <c r="ARH60" s="484"/>
      <c r="ARI60" s="484"/>
      <c r="ARJ60" s="484"/>
      <c r="ARK60" s="484"/>
      <c r="ARL60" s="484"/>
      <c r="ARM60" s="484"/>
      <c r="ARN60" s="484"/>
      <c r="ARO60" s="484"/>
      <c r="ARP60" s="484"/>
      <c r="ARQ60" s="484"/>
      <c r="ARR60" s="484"/>
      <c r="ARS60" s="484"/>
      <c r="ART60" s="484"/>
      <c r="ARU60" s="484"/>
      <c r="ARV60" s="484"/>
      <c r="ARW60" s="484"/>
      <c r="ARX60" s="484"/>
      <c r="ARY60" s="484"/>
      <c r="ARZ60" s="484"/>
      <c r="ASA60" s="484"/>
      <c r="ASB60" s="484"/>
      <c r="ASC60" s="484"/>
      <c r="ASD60" s="484"/>
      <c r="ASE60" s="484"/>
      <c r="ASF60" s="484"/>
      <c r="ASG60" s="484"/>
      <c r="ASH60" s="484"/>
      <c r="ASI60" s="484"/>
      <c r="ASJ60" s="484"/>
      <c r="ASK60" s="484"/>
      <c r="ASL60" s="484"/>
      <c r="ASM60" s="484"/>
      <c r="ASN60" s="484"/>
      <c r="ASO60" s="484"/>
      <c r="ASP60" s="484"/>
      <c r="ASQ60" s="484"/>
      <c r="ASR60" s="484"/>
      <c r="ASS60" s="484"/>
      <c r="AST60" s="484"/>
      <c r="ASU60" s="484"/>
      <c r="ASV60" s="484"/>
      <c r="ASW60" s="484"/>
      <c r="ASX60" s="484"/>
      <c r="ASY60" s="484"/>
      <c r="ASZ60" s="484"/>
      <c r="ATA60" s="484"/>
      <c r="ATB60" s="484"/>
      <c r="ATC60" s="484"/>
      <c r="ATD60" s="484"/>
      <c r="ATE60" s="484"/>
      <c r="ATF60" s="484"/>
      <c r="ATG60" s="484"/>
      <c r="ATH60" s="484"/>
      <c r="ATI60" s="484"/>
      <c r="ATJ60" s="484"/>
      <c r="ATK60" s="484"/>
      <c r="ATL60" s="484"/>
      <c r="ATM60" s="484"/>
      <c r="ATN60" s="484"/>
      <c r="ATO60" s="484"/>
      <c r="ATP60" s="484"/>
      <c r="ATQ60" s="484"/>
      <c r="ATR60" s="484"/>
      <c r="ATS60" s="484"/>
      <c r="ATT60" s="484"/>
      <c r="ATU60" s="484"/>
      <c r="ATV60" s="484"/>
      <c r="ATW60" s="484"/>
      <c r="ATX60" s="484"/>
      <c r="ATY60" s="484"/>
      <c r="ATZ60" s="484"/>
      <c r="AUA60" s="484"/>
      <c r="AUB60" s="484"/>
      <c r="AUC60" s="484"/>
      <c r="AUD60" s="484"/>
      <c r="AUE60" s="484"/>
      <c r="AUF60" s="484"/>
      <c r="AUG60" s="484"/>
      <c r="AUH60" s="484"/>
      <c r="AUI60" s="484"/>
      <c r="AUJ60" s="484"/>
      <c r="AUK60" s="484"/>
      <c r="AUL60" s="484"/>
      <c r="AUM60" s="484"/>
      <c r="AUN60" s="484"/>
      <c r="AUO60" s="484"/>
      <c r="AUP60" s="484"/>
      <c r="AUQ60" s="484"/>
      <c r="AUR60" s="484"/>
      <c r="AUS60" s="484"/>
      <c r="AUT60" s="484"/>
      <c r="AUU60" s="484"/>
      <c r="AUV60" s="484"/>
      <c r="AUW60" s="484"/>
      <c r="AUX60" s="484"/>
      <c r="AUY60" s="484"/>
      <c r="AUZ60" s="484"/>
      <c r="AVA60" s="484"/>
      <c r="AVB60" s="484"/>
      <c r="AVC60" s="484"/>
      <c r="AVD60" s="484"/>
      <c r="AVE60" s="484"/>
      <c r="AVF60" s="484"/>
      <c r="AVG60" s="484"/>
      <c r="AVH60" s="484"/>
      <c r="AVI60" s="484"/>
      <c r="AVJ60" s="484"/>
      <c r="AVK60" s="484"/>
      <c r="AVL60" s="484"/>
      <c r="AVM60" s="484"/>
      <c r="AVN60" s="484"/>
      <c r="AVO60" s="484"/>
      <c r="AVP60" s="484"/>
      <c r="AVQ60" s="484"/>
      <c r="AVR60" s="484"/>
      <c r="AVS60" s="484"/>
      <c r="AVT60" s="484"/>
      <c r="AVU60" s="484"/>
      <c r="AVV60" s="484"/>
      <c r="AVW60" s="484"/>
      <c r="AVX60" s="484"/>
      <c r="AVY60" s="484"/>
      <c r="AVZ60" s="484"/>
      <c r="AWA60" s="484"/>
      <c r="AWB60" s="484"/>
      <c r="AWC60" s="484"/>
      <c r="AWD60" s="484"/>
      <c r="AWE60" s="484"/>
      <c r="AWF60" s="484"/>
      <c r="AWG60" s="484"/>
      <c r="AWH60" s="484"/>
      <c r="AWI60" s="484"/>
      <c r="AWJ60" s="484"/>
      <c r="AWK60" s="484"/>
      <c r="AWL60" s="484"/>
      <c r="AWM60" s="484"/>
      <c r="AWN60" s="484"/>
      <c r="AWO60" s="484"/>
      <c r="AWP60" s="484"/>
      <c r="AWQ60" s="484"/>
      <c r="AWR60" s="484"/>
      <c r="AWS60" s="484"/>
      <c r="AWT60" s="484"/>
      <c r="AWU60" s="484"/>
      <c r="AWV60" s="484"/>
      <c r="AWW60" s="484"/>
      <c r="AWX60" s="484"/>
      <c r="AWY60" s="484"/>
      <c r="AWZ60" s="484"/>
      <c r="AXA60" s="484"/>
      <c r="AXB60" s="484"/>
      <c r="AXC60" s="484"/>
      <c r="AXD60" s="484"/>
      <c r="AXE60" s="484"/>
      <c r="AXF60" s="484"/>
      <c r="AXG60" s="484"/>
      <c r="AXH60" s="484"/>
      <c r="AXI60" s="484"/>
      <c r="AXJ60" s="484"/>
      <c r="AXK60" s="484"/>
      <c r="AXL60" s="484"/>
      <c r="AXM60" s="484"/>
      <c r="AXN60" s="484"/>
      <c r="AXO60" s="484"/>
      <c r="AXP60" s="484"/>
      <c r="AXQ60" s="484"/>
      <c r="AXR60" s="484"/>
      <c r="AXS60" s="484"/>
      <c r="AXT60" s="484"/>
      <c r="AXU60" s="484"/>
      <c r="AXV60" s="484"/>
      <c r="AXW60" s="484"/>
      <c r="AXX60" s="484"/>
      <c r="AXY60" s="484"/>
      <c r="AXZ60" s="484"/>
      <c r="AYA60" s="484"/>
      <c r="AYB60" s="484"/>
      <c r="AYC60" s="484"/>
      <c r="AYD60" s="484"/>
      <c r="AYE60" s="484"/>
      <c r="AYF60" s="484"/>
      <c r="AYG60" s="484"/>
      <c r="AYH60" s="484"/>
      <c r="AYI60" s="484"/>
      <c r="AYJ60" s="484"/>
      <c r="AYK60" s="484"/>
      <c r="AYL60" s="484"/>
      <c r="AYM60" s="484"/>
      <c r="AYN60" s="484"/>
      <c r="AYO60" s="484"/>
      <c r="AYP60" s="484"/>
      <c r="AYQ60" s="484"/>
      <c r="AYR60" s="484"/>
      <c r="AYS60" s="484"/>
      <c r="AYT60" s="484"/>
      <c r="AYU60" s="484"/>
      <c r="AYV60" s="484"/>
      <c r="AYW60" s="484"/>
      <c r="AYX60" s="484"/>
      <c r="AYY60" s="484"/>
      <c r="AYZ60" s="484"/>
      <c r="AZA60" s="484"/>
      <c r="AZB60" s="484"/>
      <c r="AZC60" s="484"/>
      <c r="AZD60" s="484"/>
      <c r="AZE60" s="484"/>
      <c r="AZF60" s="484"/>
      <c r="AZG60" s="484"/>
      <c r="AZH60" s="484"/>
      <c r="AZI60" s="484"/>
      <c r="AZJ60" s="484"/>
      <c r="AZK60" s="484"/>
      <c r="AZL60" s="484"/>
      <c r="AZM60" s="484"/>
      <c r="AZN60" s="484"/>
      <c r="AZO60" s="484"/>
      <c r="AZP60" s="484"/>
      <c r="AZQ60" s="484"/>
      <c r="AZR60" s="484"/>
      <c r="AZS60" s="484"/>
      <c r="AZT60" s="484"/>
      <c r="AZU60" s="484"/>
      <c r="AZV60" s="484"/>
      <c r="AZW60" s="484"/>
      <c r="AZX60" s="484"/>
      <c r="AZY60" s="484"/>
      <c r="AZZ60" s="484"/>
      <c r="BAA60" s="484"/>
      <c r="BAB60" s="484"/>
      <c r="BAC60" s="484"/>
      <c r="BAD60" s="484"/>
      <c r="BAE60" s="484"/>
      <c r="BAF60" s="484"/>
      <c r="BAG60" s="484"/>
      <c r="BAH60" s="484"/>
      <c r="BAI60" s="484"/>
      <c r="BAJ60" s="484"/>
      <c r="BAK60" s="484"/>
      <c r="BAL60" s="484"/>
      <c r="BAM60" s="484"/>
      <c r="BAN60" s="484"/>
      <c r="BAO60" s="484"/>
      <c r="BAP60" s="484"/>
      <c r="BAQ60" s="484"/>
      <c r="BAR60" s="484"/>
      <c r="BAS60" s="484"/>
      <c r="BAT60" s="484"/>
      <c r="BAU60" s="484"/>
      <c r="BAV60" s="484"/>
      <c r="BAW60" s="484"/>
      <c r="BAX60" s="484"/>
      <c r="BAY60" s="484"/>
      <c r="BAZ60" s="484"/>
      <c r="BBA60" s="484"/>
      <c r="BBB60" s="484"/>
      <c r="BBC60" s="484"/>
      <c r="BBD60" s="484"/>
      <c r="BBE60" s="484"/>
      <c r="BBF60" s="484"/>
      <c r="BBG60" s="484"/>
      <c r="BBH60" s="484"/>
      <c r="BBI60" s="484"/>
      <c r="BBJ60" s="484"/>
      <c r="BBK60" s="484"/>
      <c r="BBL60" s="484"/>
      <c r="BBM60" s="484"/>
      <c r="BBN60" s="484"/>
      <c r="BBO60" s="484"/>
      <c r="BBP60" s="484"/>
      <c r="BBQ60" s="484"/>
      <c r="BBR60" s="484"/>
      <c r="BBS60" s="484"/>
      <c r="BBT60" s="484"/>
      <c r="BBU60" s="484"/>
      <c r="BBV60" s="484"/>
      <c r="BBW60" s="484"/>
      <c r="BBX60" s="484"/>
      <c r="BBY60" s="484"/>
      <c r="BBZ60" s="484"/>
      <c r="BCA60" s="484"/>
      <c r="BCB60" s="484"/>
      <c r="BCC60" s="484"/>
      <c r="BCD60" s="484"/>
      <c r="BCE60" s="484"/>
      <c r="BCF60" s="484"/>
      <c r="BCG60" s="484"/>
      <c r="BCH60" s="484"/>
      <c r="BCI60" s="484"/>
      <c r="BCJ60" s="484"/>
      <c r="BCK60" s="484"/>
      <c r="BCL60" s="484"/>
      <c r="BCM60" s="484"/>
      <c r="BCN60" s="484"/>
      <c r="BCO60" s="484"/>
      <c r="BCP60" s="484"/>
      <c r="BCQ60" s="484"/>
      <c r="BCR60" s="484"/>
      <c r="BCS60" s="484"/>
      <c r="BCT60" s="484"/>
      <c r="BCU60" s="484"/>
      <c r="BCV60" s="484"/>
      <c r="BCW60" s="484"/>
      <c r="BCX60" s="484"/>
      <c r="BCY60" s="484"/>
      <c r="BCZ60" s="484"/>
      <c r="BDA60" s="484"/>
      <c r="BDB60" s="484"/>
      <c r="BDC60" s="484"/>
      <c r="BDD60" s="484"/>
      <c r="BDE60" s="484"/>
      <c r="BDF60" s="484"/>
      <c r="BDG60" s="484"/>
      <c r="BDH60" s="484"/>
      <c r="BDI60" s="484"/>
      <c r="BDJ60" s="484"/>
      <c r="BDK60" s="484"/>
      <c r="BDL60" s="484"/>
      <c r="BDM60" s="484"/>
      <c r="BDN60" s="484"/>
      <c r="BDO60" s="484"/>
      <c r="BDP60" s="484"/>
      <c r="BDQ60" s="484"/>
      <c r="BDR60" s="484"/>
      <c r="BDS60" s="484"/>
      <c r="BDT60" s="484"/>
      <c r="BDU60" s="484"/>
      <c r="BDV60" s="484"/>
      <c r="BDW60" s="484"/>
      <c r="BDX60" s="484"/>
      <c r="BDY60" s="484"/>
      <c r="BDZ60" s="484"/>
      <c r="BEA60" s="484"/>
      <c r="BEB60" s="484"/>
      <c r="BEC60" s="484"/>
      <c r="BED60" s="484"/>
      <c r="BEE60" s="484"/>
      <c r="BEF60" s="484"/>
      <c r="BEG60" s="484"/>
      <c r="BEH60" s="484"/>
      <c r="BEI60" s="484"/>
      <c r="BEJ60" s="484"/>
      <c r="BEK60" s="484"/>
      <c r="BEL60" s="484"/>
      <c r="BEM60" s="484"/>
      <c r="BEN60" s="484"/>
      <c r="BEO60" s="484"/>
      <c r="BEP60" s="484"/>
      <c r="BEQ60" s="484"/>
      <c r="BER60" s="484"/>
      <c r="BES60" s="484"/>
      <c r="BET60" s="484"/>
      <c r="BEU60" s="484"/>
      <c r="BEV60" s="484"/>
      <c r="BEW60" s="484"/>
      <c r="BEX60" s="484"/>
      <c r="BEY60" s="484"/>
      <c r="BEZ60" s="484"/>
      <c r="BFA60" s="484"/>
      <c r="BFB60" s="484"/>
      <c r="BFC60" s="484"/>
      <c r="BFD60" s="484"/>
      <c r="BFE60" s="484"/>
      <c r="BFF60" s="484"/>
      <c r="BFG60" s="484"/>
      <c r="BFH60" s="484"/>
      <c r="BFI60" s="484"/>
      <c r="BFJ60" s="484"/>
      <c r="BFK60" s="484"/>
      <c r="BFL60" s="484"/>
      <c r="BFM60" s="484"/>
      <c r="BFN60" s="484"/>
      <c r="BFO60" s="484"/>
      <c r="BFP60" s="484"/>
      <c r="BFQ60" s="484"/>
      <c r="BFR60" s="484"/>
      <c r="BFS60" s="484"/>
      <c r="BFT60" s="484"/>
      <c r="BFU60" s="484"/>
      <c r="BFV60" s="484"/>
      <c r="BFW60" s="484"/>
      <c r="BFX60" s="484"/>
      <c r="BFY60" s="484"/>
      <c r="BFZ60" s="484"/>
      <c r="BGA60" s="484"/>
      <c r="BGB60" s="484"/>
      <c r="BGC60" s="484"/>
      <c r="BGD60" s="484"/>
      <c r="BGE60" s="484"/>
      <c r="BGF60" s="484"/>
      <c r="BGG60" s="484"/>
      <c r="BGH60" s="484"/>
      <c r="BGI60" s="484"/>
      <c r="BGJ60" s="484"/>
      <c r="BGK60" s="484"/>
      <c r="BGL60" s="484"/>
      <c r="BGM60" s="484"/>
      <c r="BGN60" s="484"/>
      <c r="BGO60" s="484"/>
      <c r="BGP60" s="484"/>
      <c r="BGQ60" s="484"/>
      <c r="BGR60" s="484"/>
      <c r="BGS60" s="484"/>
      <c r="BGT60" s="484"/>
      <c r="BGU60" s="484"/>
      <c r="BGV60" s="484"/>
      <c r="BGW60" s="484"/>
      <c r="BGX60" s="484"/>
      <c r="BGY60" s="484"/>
      <c r="BGZ60" s="484"/>
      <c r="BHA60" s="484"/>
      <c r="BHB60" s="484"/>
      <c r="BHC60" s="484"/>
      <c r="BHD60" s="484"/>
      <c r="BHE60" s="484"/>
      <c r="BHF60" s="484"/>
      <c r="BHG60" s="484"/>
      <c r="BHH60" s="484"/>
      <c r="BHI60" s="484"/>
      <c r="BHJ60" s="484"/>
      <c r="BHK60" s="484"/>
      <c r="BHL60" s="484"/>
      <c r="BHM60" s="484"/>
      <c r="BHN60" s="484"/>
      <c r="BHO60" s="484"/>
      <c r="BHP60" s="484"/>
      <c r="BHQ60" s="484"/>
      <c r="BHR60" s="484"/>
      <c r="BHS60" s="484"/>
      <c r="BHT60" s="484"/>
      <c r="BHU60" s="484"/>
      <c r="BHV60" s="484"/>
      <c r="BHW60" s="484"/>
      <c r="BHX60" s="484"/>
      <c r="BHY60" s="484"/>
      <c r="BHZ60" s="484"/>
      <c r="BIA60" s="484"/>
      <c r="BIB60" s="484"/>
      <c r="BIC60" s="484"/>
      <c r="BID60" s="484"/>
      <c r="BIE60" s="484"/>
      <c r="BIF60" s="484"/>
      <c r="BIG60" s="484"/>
      <c r="BIH60" s="484"/>
      <c r="BII60" s="484"/>
      <c r="BIJ60" s="484"/>
      <c r="BIK60" s="484"/>
      <c r="BIL60" s="484"/>
      <c r="BIM60" s="484"/>
      <c r="BIN60" s="484"/>
      <c r="BIO60" s="484"/>
      <c r="BIP60" s="484"/>
      <c r="BIQ60" s="484"/>
      <c r="BIR60" s="484"/>
      <c r="BIS60" s="484"/>
      <c r="BIT60" s="484"/>
      <c r="BIU60" s="484"/>
      <c r="BIV60" s="484"/>
      <c r="BIW60" s="484"/>
      <c r="BIX60" s="484"/>
      <c r="BIY60" s="484"/>
      <c r="BIZ60" s="484"/>
      <c r="BJA60" s="484"/>
      <c r="BJB60" s="484"/>
      <c r="BJC60" s="484"/>
      <c r="BJD60" s="484"/>
      <c r="BJE60" s="484"/>
      <c r="BJF60" s="484"/>
      <c r="BJG60" s="484"/>
      <c r="BJH60" s="484"/>
      <c r="BJI60" s="484"/>
      <c r="BJJ60" s="484"/>
      <c r="BJK60" s="484"/>
      <c r="BJL60" s="484"/>
      <c r="BJM60" s="484"/>
      <c r="BJN60" s="484"/>
      <c r="BJO60" s="484"/>
      <c r="BJP60" s="484"/>
      <c r="BJQ60" s="484"/>
      <c r="BJR60" s="484"/>
      <c r="BJS60" s="484"/>
      <c r="BJT60" s="484"/>
      <c r="BJU60" s="484"/>
      <c r="BJV60" s="484"/>
      <c r="BJW60" s="484"/>
      <c r="BJX60" s="484"/>
      <c r="BJY60" s="484"/>
      <c r="BJZ60" s="484"/>
      <c r="BKA60" s="484"/>
      <c r="BKB60" s="484"/>
      <c r="BKC60" s="484"/>
      <c r="BKD60" s="484"/>
      <c r="BKE60" s="484"/>
      <c r="BKF60" s="484"/>
      <c r="BKG60" s="484"/>
      <c r="BKH60" s="484"/>
      <c r="BKI60" s="484"/>
      <c r="BKJ60" s="484"/>
      <c r="BKK60" s="484"/>
      <c r="BKL60" s="484"/>
      <c r="BKM60" s="484"/>
      <c r="BKN60" s="484"/>
      <c r="BKO60" s="484"/>
      <c r="BKP60" s="484"/>
      <c r="BKQ60" s="484"/>
      <c r="BKR60" s="484"/>
      <c r="BKS60" s="484"/>
      <c r="BKT60" s="484"/>
      <c r="BKU60" s="484"/>
      <c r="BKV60" s="484"/>
      <c r="BKW60" s="484"/>
      <c r="BKX60" s="484"/>
      <c r="BKY60" s="484"/>
      <c r="BKZ60" s="484"/>
      <c r="BLA60" s="484"/>
      <c r="BLB60" s="484"/>
      <c r="BLC60" s="484"/>
      <c r="BLD60" s="484"/>
      <c r="BLE60" s="484"/>
      <c r="BLF60" s="484"/>
      <c r="BLG60" s="484"/>
      <c r="BLH60" s="484"/>
      <c r="BLI60" s="484"/>
      <c r="BLJ60" s="484"/>
      <c r="BLK60" s="484"/>
      <c r="BLL60" s="484"/>
      <c r="BLM60" s="484"/>
      <c r="BLN60" s="484"/>
      <c r="BLO60" s="484"/>
      <c r="BLP60" s="484"/>
      <c r="BLQ60" s="484"/>
      <c r="BLR60" s="484"/>
      <c r="BLS60" s="484"/>
      <c r="BLT60" s="484"/>
      <c r="BLU60" s="484"/>
      <c r="BLV60" s="484"/>
      <c r="BLW60" s="484"/>
      <c r="BLX60" s="484"/>
      <c r="BLY60" s="484"/>
      <c r="BLZ60" s="484"/>
      <c r="BMA60" s="484"/>
      <c r="BMB60" s="484"/>
      <c r="BMC60" s="484"/>
      <c r="BMD60" s="484"/>
      <c r="BME60" s="484"/>
      <c r="BMF60" s="484"/>
      <c r="BMG60" s="484"/>
      <c r="BMH60" s="484"/>
      <c r="BMI60" s="484"/>
      <c r="BMJ60" s="484"/>
      <c r="BMK60" s="484"/>
      <c r="BML60" s="484"/>
      <c r="BMM60" s="484"/>
      <c r="BMN60" s="484"/>
      <c r="BMO60" s="484"/>
      <c r="BMP60" s="484"/>
      <c r="BMQ60" s="484"/>
      <c r="BMR60" s="484"/>
      <c r="BMS60" s="484"/>
      <c r="BMT60" s="484"/>
      <c r="BMU60" s="484"/>
      <c r="BMV60" s="484"/>
      <c r="BMW60" s="484"/>
      <c r="BMX60" s="484"/>
      <c r="BMY60" s="484"/>
      <c r="BMZ60" s="484"/>
      <c r="BNA60" s="484"/>
      <c r="BNB60" s="484"/>
      <c r="BNC60" s="484"/>
      <c r="BND60" s="484"/>
      <c r="BNE60" s="484"/>
      <c r="BNF60" s="484"/>
      <c r="BNG60" s="484"/>
      <c r="BNH60" s="484"/>
      <c r="BNI60" s="484"/>
      <c r="BNJ60" s="484"/>
      <c r="BNK60" s="484"/>
      <c r="BNL60" s="484"/>
      <c r="BNM60" s="484"/>
      <c r="BNN60" s="484"/>
      <c r="BNO60" s="484"/>
      <c r="BNP60" s="484"/>
      <c r="BNQ60" s="484"/>
      <c r="BNR60" s="484"/>
      <c r="BNS60" s="484"/>
      <c r="BNT60" s="484"/>
      <c r="BNU60" s="484"/>
      <c r="BNV60" s="484"/>
      <c r="BNW60" s="484"/>
      <c r="BNX60" s="484"/>
      <c r="BNY60" s="484"/>
      <c r="BNZ60" s="484"/>
      <c r="BOA60" s="484"/>
      <c r="BOB60" s="484"/>
      <c r="BOC60" s="484"/>
      <c r="BOD60" s="484"/>
      <c r="BOE60" s="484"/>
      <c r="BOF60" s="484"/>
      <c r="BOG60" s="484"/>
      <c r="BOH60" s="484"/>
      <c r="BOI60" s="484"/>
      <c r="BOJ60" s="484"/>
      <c r="BOK60" s="484"/>
      <c r="BOL60" s="484"/>
      <c r="BOM60" s="484"/>
      <c r="BON60" s="484"/>
      <c r="BOO60" s="484"/>
      <c r="BOP60" s="484"/>
      <c r="BOQ60" s="484"/>
      <c r="BOR60" s="484"/>
      <c r="BOS60" s="484"/>
      <c r="BOT60" s="484"/>
      <c r="BOU60" s="484"/>
      <c r="BOV60" s="484"/>
      <c r="BOW60" s="484"/>
      <c r="BOX60" s="484"/>
      <c r="BOY60" s="484"/>
      <c r="BOZ60" s="484"/>
      <c r="BPA60" s="484"/>
      <c r="BPB60" s="484"/>
      <c r="BPC60" s="484"/>
      <c r="BPD60" s="484"/>
      <c r="BPE60" s="484"/>
      <c r="BPF60" s="484"/>
      <c r="BPG60" s="484"/>
      <c r="BPH60" s="484"/>
      <c r="BPI60" s="484"/>
      <c r="BPJ60" s="484"/>
      <c r="BPK60" s="484"/>
      <c r="BPL60" s="484"/>
      <c r="BPM60" s="484"/>
      <c r="BPN60" s="484"/>
      <c r="BPO60" s="484"/>
      <c r="BPP60" s="484"/>
      <c r="BPQ60" s="484"/>
      <c r="BPR60" s="484"/>
      <c r="BPS60" s="484"/>
      <c r="BPT60" s="484"/>
      <c r="BPU60" s="484"/>
      <c r="BPV60" s="484"/>
      <c r="BPW60" s="484"/>
      <c r="BPX60" s="484"/>
      <c r="BPY60" s="484"/>
      <c r="BPZ60" s="484"/>
      <c r="BQA60" s="484"/>
      <c r="BQB60" s="484"/>
      <c r="BQC60" s="484"/>
      <c r="BQD60" s="484"/>
      <c r="BQE60" s="484"/>
      <c r="BQF60" s="484"/>
      <c r="BQG60" s="484"/>
      <c r="BQH60" s="484"/>
      <c r="BQI60" s="484"/>
      <c r="BQJ60" s="484"/>
      <c r="BQK60" s="484"/>
      <c r="BQL60" s="484"/>
      <c r="BQM60" s="484"/>
      <c r="BQN60" s="484"/>
      <c r="BQO60" s="484"/>
      <c r="BQP60" s="484"/>
      <c r="BQQ60" s="484"/>
      <c r="BQR60" s="484"/>
      <c r="BQS60" s="484"/>
      <c r="BQT60" s="484"/>
      <c r="BQU60" s="484"/>
      <c r="BQV60" s="484"/>
      <c r="BQW60" s="484"/>
      <c r="BQX60" s="484"/>
      <c r="BQY60" s="484"/>
      <c r="BQZ60" s="484"/>
      <c r="BRA60" s="484"/>
      <c r="BRB60" s="484"/>
      <c r="BRC60" s="484"/>
      <c r="BRD60" s="484"/>
      <c r="BRE60" s="484"/>
      <c r="BRF60" s="484"/>
      <c r="BRG60" s="484"/>
      <c r="BRH60" s="484"/>
      <c r="BRI60" s="484"/>
      <c r="BRJ60" s="484"/>
      <c r="BRK60" s="484"/>
      <c r="BRL60" s="484"/>
      <c r="BRM60" s="484"/>
      <c r="BRN60" s="484"/>
      <c r="BRO60" s="484"/>
      <c r="BRP60" s="484"/>
      <c r="BRQ60" s="484"/>
      <c r="BRR60" s="484"/>
      <c r="BRS60" s="484"/>
      <c r="BRT60" s="484"/>
      <c r="BRU60" s="484"/>
      <c r="BRV60" s="484"/>
      <c r="BRW60" s="484"/>
      <c r="BRX60" s="484"/>
      <c r="BRY60" s="484"/>
      <c r="BRZ60" s="484"/>
      <c r="BSA60" s="484"/>
      <c r="BSB60" s="484"/>
      <c r="BSC60" s="484"/>
      <c r="BSD60" s="484"/>
      <c r="BSE60" s="484"/>
      <c r="BSF60" s="484"/>
      <c r="BSG60" s="484"/>
      <c r="BSH60" s="484"/>
      <c r="BSI60" s="484"/>
      <c r="BSJ60" s="484"/>
      <c r="BSK60" s="484"/>
      <c r="BSL60" s="484"/>
      <c r="BSM60" s="484"/>
      <c r="BSN60" s="484"/>
      <c r="BSO60" s="484"/>
      <c r="BSP60" s="484"/>
      <c r="BSQ60" s="484"/>
      <c r="BSR60" s="484"/>
      <c r="BSS60" s="484"/>
      <c r="BST60" s="484"/>
      <c r="BSU60" s="484"/>
      <c r="BSV60" s="484"/>
      <c r="BSW60" s="484"/>
      <c r="BSX60" s="484"/>
      <c r="BSY60" s="484"/>
      <c r="BSZ60" s="484"/>
      <c r="BTA60" s="484"/>
      <c r="BTB60" s="484"/>
      <c r="BTC60" s="484"/>
      <c r="BTD60" s="484"/>
      <c r="BTE60" s="484"/>
      <c r="BTF60" s="484"/>
      <c r="BTG60" s="484"/>
      <c r="BTH60" s="484"/>
      <c r="BTI60" s="484"/>
      <c r="BTJ60" s="484"/>
      <c r="BTK60" s="484"/>
      <c r="BTL60" s="484"/>
      <c r="BTM60" s="484"/>
      <c r="BTN60" s="484"/>
      <c r="BTO60" s="484"/>
      <c r="BTP60" s="484"/>
      <c r="BTQ60" s="484"/>
      <c r="BTR60" s="484"/>
      <c r="BTS60" s="484"/>
      <c r="BTT60" s="484"/>
      <c r="BTU60" s="484"/>
      <c r="BTV60" s="484"/>
      <c r="BTW60" s="484"/>
      <c r="BTX60" s="484"/>
      <c r="BTY60" s="484"/>
      <c r="BTZ60" s="484"/>
      <c r="BUA60" s="484"/>
      <c r="BUB60" s="484"/>
      <c r="BUC60" s="484"/>
      <c r="BUD60" s="484"/>
      <c r="BUE60" s="484"/>
      <c r="BUF60" s="484"/>
      <c r="BUG60" s="484"/>
      <c r="BUH60" s="484"/>
      <c r="BUI60" s="484"/>
      <c r="BUJ60" s="484"/>
      <c r="BUK60" s="484"/>
      <c r="BUL60" s="484"/>
      <c r="BUM60" s="484"/>
      <c r="BUN60" s="484"/>
      <c r="BUO60" s="484"/>
      <c r="BUP60" s="484"/>
      <c r="BUQ60" s="484"/>
      <c r="BUR60" s="484"/>
      <c r="BUS60" s="484"/>
      <c r="BUT60" s="484"/>
      <c r="BUU60" s="484"/>
      <c r="BUV60" s="484"/>
      <c r="BUW60" s="484"/>
      <c r="BUX60" s="484"/>
      <c r="BUY60" s="484"/>
      <c r="BUZ60" s="484"/>
      <c r="BVA60" s="484"/>
      <c r="BVB60" s="484"/>
      <c r="BVC60" s="484"/>
      <c r="BVD60" s="484"/>
      <c r="BVE60" s="484"/>
      <c r="BVF60" s="484"/>
      <c r="BVG60" s="484"/>
      <c r="BVH60" s="484"/>
      <c r="BVI60" s="484"/>
      <c r="BVJ60" s="484"/>
      <c r="BVK60" s="484"/>
      <c r="BVL60" s="484"/>
      <c r="BVM60" s="484"/>
      <c r="BVN60" s="484"/>
      <c r="BVO60" s="484"/>
      <c r="BVP60" s="484"/>
      <c r="BVQ60" s="484"/>
      <c r="BVR60" s="484"/>
      <c r="BVS60" s="484"/>
      <c r="BVT60" s="484"/>
      <c r="BVU60" s="484"/>
      <c r="BVV60" s="484"/>
      <c r="BVW60" s="484"/>
      <c r="BVX60" s="484"/>
      <c r="BVY60" s="484"/>
      <c r="BVZ60" s="484"/>
      <c r="BWA60" s="484"/>
      <c r="BWB60" s="484"/>
      <c r="BWC60" s="484"/>
      <c r="BWD60" s="484"/>
      <c r="BWE60" s="484"/>
      <c r="BWF60" s="484"/>
      <c r="BWG60" s="484"/>
      <c r="BWH60" s="484"/>
      <c r="BWI60" s="484"/>
      <c r="BWJ60" s="484"/>
      <c r="BWK60" s="484"/>
      <c r="BWL60" s="484"/>
      <c r="BWM60" s="484"/>
      <c r="BWN60" s="484"/>
      <c r="BWO60" s="484"/>
      <c r="BWP60" s="484"/>
      <c r="BWQ60" s="484"/>
      <c r="BWR60" s="484"/>
      <c r="BWS60" s="484"/>
      <c r="BWT60" s="484"/>
      <c r="BWU60" s="484"/>
      <c r="BWV60" s="484"/>
      <c r="BWW60" s="484"/>
      <c r="BWX60" s="484"/>
      <c r="BWY60" s="484"/>
      <c r="BWZ60" s="484"/>
      <c r="BXA60" s="484"/>
      <c r="BXB60" s="484"/>
      <c r="BXC60" s="484"/>
      <c r="BXD60" s="484"/>
      <c r="BXE60" s="484"/>
      <c r="BXF60" s="484"/>
      <c r="BXG60" s="484"/>
      <c r="BXH60" s="484"/>
      <c r="BXI60" s="484"/>
      <c r="BXJ60" s="484"/>
      <c r="BXK60" s="484"/>
      <c r="BXL60" s="484"/>
      <c r="BXM60" s="484"/>
      <c r="BXN60" s="484"/>
      <c r="BXO60" s="484"/>
      <c r="BXP60" s="484"/>
      <c r="BXQ60" s="484"/>
      <c r="BXR60" s="484"/>
      <c r="BXS60" s="484"/>
      <c r="BXT60" s="484"/>
      <c r="BXU60" s="484"/>
      <c r="BXV60" s="484"/>
      <c r="BXW60" s="484"/>
      <c r="BXX60" s="484"/>
      <c r="BXY60" s="484"/>
      <c r="BXZ60" s="484"/>
      <c r="BYA60" s="484"/>
      <c r="BYB60" s="484"/>
      <c r="BYC60" s="484"/>
      <c r="BYD60" s="484"/>
      <c r="BYE60" s="484"/>
      <c r="BYF60" s="484"/>
      <c r="BYG60" s="484"/>
      <c r="BYH60" s="484"/>
      <c r="BYI60" s="484"/>
      <c r="BYJ60" s="484"/>
      <c r="BYK60" s="484"/>
      <c r="BYL60" s="484"/>
      <c r="BYM60" s="484"/>
      <c r="BYN60" s="484"/>
      <c r="BYO60" s="484"/>
      <c r="BYP60" s="484"/>
      <c r="BYQ60" s="484"/>
      <c r="BYR60" s="484"/>
      <c r="BYS60" s="484"/>
      <c r="BYT60" s="484"/>
      <c r="BYU60" s="484"/>
      <c r="BYV60" s="484"/>
      <c r="BYW60" s="484"/>
      <c r="BYX60" s="484"/>
      <c r="BYY60" s="484"/>
      <c r="BYZ60" s="484"/>
      <c r="BZA60" s="484"/>
      <c r="BZB60" s="484"/>
      <c r="BZC60" s="484"/>
      <c r="BZD60" s="484"/>
      <c r="BZE60" s="484"/>
      <c r="BZF60" s="484"/>
      <c r="BZG60" s="484"/>
      <c r="BZH60" s="484"/>
      <c r="BZI60" s="484"/>
      <c r="BZJ60" s="484"/>
      <c r="BZK60" s="484"/>
      <c r="BZL60" s="484"/>
      <c r="BZM60" s="484"/>
      <c r="BZN60" s="484"/>
      <c r="BZO60" s="484"/>
      <c r="BZP60" s="484"/>
      <c r="BZQ60" s="484"/>
      <c r="BZR60" s="484"/>
      <c r="BZS60" s="484"/>
      <c r="BZT60" s="484"/>
      <c r="BZU60" s="484"/>
      <c r="BZV60" s="484"/>
      <c r="BZW60" s="484"/>
      <c r="BZX60" s="484"/>
      <c r="BZY60" s="484"/>
      <c r="BZZ60" s="484"/>
      <c r="CAA60" s="484"/>
      <c r="CAB60" s="484"/>
      <c r="CAC60" s="484"/>
      <c r="CAD60" s="484"/>
      <c r="CAE60" s="484"/>
      <c r="CAF60" s="484"/>
      <c r="CAG60" s="484"/>
      <c r="CAH60" s="484"/>
      <c r="CAI60" s="484"/>
      <c r="CAJ60" s="484"/>
      <c r="CAK60" s="484"/>
      <c r="CAL60" s="484"/>
      <c r="CAM60" s="484"/>
      <c r="CAN60" s="484"/>
      <c r="CAO60" s="484"/>
      <c r="CAP60" s="484"/>
      <c r="CAQ60" s="484"/>
      <c r="CAR60" s="484"/>
      <c r="CAS60" s="484"/>
      <c r="CAT60" s="484"/>
      <c r="CAU60" s="484"/>
      <c r="CAV60" s="484"/>
      <c r="CAW60" s="484"/>
      <c r="CAX60" s="484"/>
      <c r="CAY60" s="484"/>
      <c r="CAZ60" s="484"/>
      <c r="CBA60" s="484"/>
      <c r="CBB60" s="484"/>
      <c r="CBC60" s="484"/>
      <c r="CBD60" s="484"/>
      <c r="CBE60" s="484"/>
      <c r="CBF60" s="484"/>
      <c r="CBG60" s="484"/>
      <c r="CBH60" s="484"/>
      <c r="CBI60" s="484"/>
      <c r="CBJ60" s="484"/>
      <c r="CBK60" s="484"/>
      <c r="CBL60" s="484"/>
      <c r="CBM60" s="484"/>
      <c r="CBN60" s="484"/>
      <c r="CBO60" s="484"/>
      <c r="CBP60" s="484"/>
      <c r="CBQ60" s="484"/>
      <c r="CBR60" s="484"/>
      <c r="CBS60" s="484"/>
      <c r="CBT60" s="484"/>
      <c r="CBU60" s="484"/>
      <c r="CBV60" s="484"/>
      <c r="CBW60" s="484"/>
      <c r="CBX60" s="484"/>
      <c r="CBY60" s="484"/>
      <c r="CBZ60" s="484"/>
      <c r="CCA60" s="484"/>
      <c r="CCB60" s="484"/>
      <c r="CCC60" s="484"/>
      <c r="CCD60" s="484"/>
      <c r="CCE60" s="484"/>
      <c r="CCF60" s="484"/>
      <c r="CCG60" s="484"/>
      <c r="CCH60" s="484"/>
      <c r="CCI60" s="484"/>
      <c r="CCJ60" s="484"/>
      <c r="CCK60" s="484"/>
      <c r="CCL60" s="484"/>
      <c r="CCM60" s="484"/>
      <c r="CCN60" s="484"/>
      <c r="CCO60" s="484"/>
      <c r="CCP60" s="484"/>
      <c r="CCQ60" s="484"/>
      <c r="CCR60" s="484"/>
      <c r="CCS60" s="484"/>
      <c r="CCT60" s="484"/>
      <c r="CCU60" s="484"/>
      <c r="CCV60" s="484"/>
      <c r="CCW60" s="484"/>
      <c r="CCX60" s="484"/>
      <c r="CCY60" s="484"/>
      <c r="CCZ60" s="484"/>
      <c r="CDA60" s="484"/>
      <c r="CDB60" s="484"/>
      <c r="CDC60" s="484"/>
      <c r="CDD60" s="484"/>
      <c r="CDE60" s="484"/>
      <c r="CDF60" s="484"/>
      <c r="CDG60" s="484"/>
      <c r="CDH60" s="484"/>
      <c r="CDI60" s="484"/>
      <c r="CDJ60" s="484"/>
      <c r="CDK60" s="484"/>
      <c r="CDL60" s="484"/>
      <c r="CDM60" s="484"/>
      <c r="CDN60" s="484"/>
      <c r="CDO60" s="484"/>
      <c r="CDP60" s="484"/>
      <c r="CDQ60" s="484"/>
      <c r="CDR60" s="484"/>
      <c r="CDS60" s="484"/>
      <c r="CDT60" s="484"/>
      <c r="CDU60" s="484"/>
      <c r="CDV60" s="484"/>
      <c r="CDW60" s="484"/>
      <c r="CDX60" s="484"/>
      <c r="CDY60" s="484"/>
      <c r="CDZ60" s="484"/>
      <c r="CEA60" s="484"/>
      <c r="CEB60" s="484"/>
      <c r="CEC60" s="484"/>
      <c r="CED60" s="484"/>
      <c r="CEE60" s="484"/>
      <c r="CEF60" s="484"/>
      <c r="CEG60" s="484"/>
      <c r="CEH60" s="484"/>
      <c r="CEI60" s="484"/>
      <c r="CEJ60" s="484"/>
      <c r="CEK60" s="484"/>
      <c r="CEL60" s="484"/>
      <c r="CEM60" s="484"/>
      <c r="CEN60" s="484"/>
      <c r="CEO60" s="484"/>
      <c r="CEP60" s="484"/>
      <c r="CEQ60" s="484"/>
      <c r="CER60" s="484"/>
      <c r="CES60" s="484"/>
      <c r="CET60" s="484"/>
      <c r="CEU60" s="484"/>
      <c r="CEV60" s="484"/>
      <c r="CEW60" s="484"/>
      <c r="CEX60" s="484"/>
      <c r="CEY60" s="484"/>
      <c r="CEZ60" s="484"/>
      <c r="CFA60" s="484"/>
      <c r="CFB60" s="484"/>
      <c r="CFC60" s="484"/>
      <c r="CFD60" s="484"/>
      <c r="CFE60" s="484"/>
      <c r="CFF60" s="484"/>
      <c r="CFG60" s="484"/>
      <c r="CFH60" s="484"/>
      <c r="CFI60" s="484"/>
      <c r="CFJ60" s="484"/>
      <c r="CFK60" s="484"/>
      <c r="CFL60" s="484"/>
      <c r="CFM60" s="484"/>
      <c r="CFN60" s="484"/>
      <c r="CFO60" s="484"/>
      <c r="CFP60" s="484"/>
      <c r="CFQ60" s="484"/>
      <c r="CFR60" s="484"/>
      <c r="CFS60" s="484"/>
      <c r="CFT60" s="484"/>
      <c r="CFU60" s="484"/>
      <c r="CFV60" s="484"/>
      <c r="CFW60" s="484"/>
      <c r="CFX60" s="484"/>
      <c r="CFY60" s="484"/>
      <c r="CFZ60" s="484"/>
      <c r="CGA60" s="484"/>
      <c r="CGB60" s="484"/>
      <c r="CGC60" s="484"/>
      <c r="CGD60" s="484"/>
      <c r="CGE60" s="484"/>
      <c r="CGF60" s="484"/>
      <c r="CGG60" s="484"/>
      <c r="CGH60" s="484"/>
      <c r="CGI60" s="484"/>
      <c r="CGJ60" s="484"/>
      <c r="CGK60" s="484"/>
      <c r="CGL60" s="484"/>
      <c r="CGM60" s="484"/>
      <c r="CGN60" s="484"/>
      <c r="CGO60" s="484"/>
      <c r="CGP60" s="484"/>
      <c r="CGQ60" s="484"/>
      <c r="CGR60" s="484"/>
      <c r="CGS60" s="484"/>
      <c r="CGT60" s="484"/>
      <c r="CGU60" s="484"/>
      <c r="CGV60" s="484"/>
      <c r="CGW60" s="484"/>
      <c r="CGX60" s="484"/>
      <c r="CGY60" s="484"/>
      <c r="CGZ60" s="484"/>
      <c r="CHA60" s="484"/>
      <c r="CHB60" s="484"/>
      <c r="CHC60" s="484"/>
      <c r="CHD60" s="484"/>
      <c r="CHE60" s="484"/>
      <c r="CHF60" s="484"/>
      <c r="CHG60" s="484"/>
      <c r="CHH60" s="484"/>
      <c r="CHI60" s="484"/>
      <c r="CHJ60" s="484"/>
      <c r="CHK60" s="484"/>
      <c r="CHL60" s="484"/>
      <c r="CHM60" s="484"/>
      <c r="CHN60" s="484"/>
      <c r="CHO60" s="484"/>
      <c r="CHP60" s="484"/>
      <c r="CHQ60" s="484"/>
      <c r="CHR60" s="484"/>
      <c r="CHS60" s="484"/>
      <c r="CHT60" s="484"/>
      <c r="CHU60" s="484"/>
      <c r="CHV60" s="484"/>
      <c r="CHW60" s="484"/>
      <c r="CHX60" s="484"/>
      <c r="CHY60" s="484"/>
      <c r="CHZ60" s="484"/>
      <c r="CIA60" s="484"/>
      <c r="CIB60" s="484"/>
      <c r="CIC60" s="484"/>
      <c r="CID60" s="484"/>
      <c r="CIE60" s="484"/>
      <c r="CIF60" s="484"/>
      <c r="CIG60" s="484"/>
      <c r="CIH60" s="484"/>
      <c r="CII60" s="484"/>
      <c r="CIJ60" s="484"/>
      <c r="CIK60" s="484"/>
      <c r="CIL60" s="484"/>
      <c r="CIM60" s="484"/>
      <c r="CIN60" s="484"/>
      <c r="CIO60" s="484"/>
      <c r="CIP60" s="484"/>
      <c r="CIQ60" s="484"/>
      <c r="CIR60" s="484"/>
      <c r="CIS60" s="484"/>
      <c r="CIT60" s="484"/>
      <c r="CIU60" s="484"/>
      <c r="CIV60" s="484"/>
      <c r="CIW60" s="484"/>
      <c r="CIX60" s="484"/>
      <c r="CIY60" s="484"/>
      <c r="CIZ60" s="484"/>
      <c r="CJA60" s="484"/>
      <c r="CJB60" s="484"/>
      <c r="CJC60" s="484"/>
      <c r="CJD60" s="484"/>
      <c r="CJE60" s="484"/>
      <c r="CJF60" s="484"/>
      <c r="CJG60" s="484"/>
      <c r="CJH60" s="484"/>
      <c r="CJI60" s="484"/>
      <c r="CJJ60" s="484"/>
      <c r="CJK60" s="484"/>
      <c r="CJL60" s="484"/>
      <c r="CJM60" s="484"/>
      <c r="CJN60" s="484"/>
      <c r="CJO60" s="484"/>
      <c r="CJP60" s="484"/>
      <c r="CJQ60" s="484"/>
      <c r="CJR60" s="484"/>
      <c r="CJS60" s="484"/>
      <c r="CJT60" s="484"/>
      <c r="CJU60" s="484"/>
      <c r="CJV60" s="484"/>
      <c r="CJW60" s="484"/>
      <c r="CJX60" s="484"/>
      <c r="CJY60" s="484"/>
      <c r="CJZ60" s="484"/>
      <c r="CKA60" s="484"/>
      <c r="CKB60" s="484"/>
      <c r="CKC60" s="484"/>
      <c r="CKD60" s="484"/>
      <c r="CKE60" s="484"/>
      <c r="CKF60" s="484"/>
      <c r="CKG60" s="484"/>
      <c r="CKH60" s="484"/>
      <c r="CKI60" s="484"/>
      <c r="CKJ60" s="484"/>
      <c r="CKK60" s="484"/>
      <c r="CKL60" s="484"/>
      <c r="CKM60" s="484"/>
      <c r="CKN60" s="484"/>
      <c r="CKO60" s="484"/>
      <c r="CKP60" s="484"/>
      <c r="CKQ60" s="484"/>
      <c r="CKR60" s="484"/>
      <c r="CKS60" s="484"/>
      <c r="CKT60" s="484"/>
      <c r="CKU60" s="484"/>
      <c r="CKV60" s="484"/>
      <c r="CKW60" s="484"/>
      <c r="CKX60" s="484"/>
      <c r="CKY60" s="484"/>
      <c r="CKZ60" s="484"/>
      <c r="CLA60" s="484"/>
      <c r="CLB60" s="484"/>
      <c r="CLC60" s="484"/>
      <c r="CLD60" s="484"/>
      <c r="CLE60" s="484"/>
      <c r="CLF60" s="484"/>
      <c r="CLG60" s="484"/>
      <c r="CLH60" s="484"/>
      <c r="CLI60" s="484"/>
      <c r="CLJ60" s="484"/>
      <c r="CLK60" s="484"/>
      <c r="CLL60" s="484"/>
      <c r="CLM60" s="484"/>
      <c r="CLN60" s="484"/>
      <c r="CLO60" s="484"/>
      <c r="CLP60" s="484"/>
      <c r="CLQ60" s="484"/>
      <c r="CLR60" s="484"/>
      <c r="CLS60" s="484"/>
      <c r="CLT60" s="484"/>
      <c r="CLU60" s="484"/>
      <c r="CLV60" s="484"/>
      <c r="CLW60" s="484"/>
      <c r="CLX60" s="484"/>
      <c r="CLY60" s="484"/>
      <c r="CLZ60" s="484"/>
      <c r="CMA60" s="484"/>
      <c r="CMB60" s="484"/>
      <c r="CMC60" s="484"/>
      <c r="CMD60" s="484"/>
      <c r="CME60" s="484"/>
      <c r="CMF60" s="484"/>
      <c r="CMG60" s="484"/>
      <c r="CMH60" s="484"/>
      <c r="CMI60" s="484"/>
      <c r="CMJ60" s="484"/>
      <c r="CMK60" s="484"/>
      <c r="CML60" s="484"/>
      <c r="CMM60" s="484"/>
      <c r="CMN60" s="484"/>
      <c r="CMO60" s="484"/>
      <c r="CMP60" s="484"/>
      <c r="CMQ60" s="484"/>
      <c r="CMR60" s="484"/>
      <c r="CMS60" s="484"/>
      <c r="CMT60" s="484"/>
      <c r="CMU60" s="484"/>
      <c r="CMV60" s="484"/>
      <c r="CMW60" s="484"/>
      <c r="CMX60" s="484"/>
      <c r="CMY60" s="484"/>
      <c r="CMZ60" s="484"/>
      <c r="CNA60" s="484"/>
      <c r="CNB60" s="484"/>
      <c r="CNC60" s="484"/>
      <c r="CND60" s="484"/>
      <c r="CNE60" s="484"/>
      <c r="CNF60" s="484"/>
      <c r="CNG60" s="484"/>
      <c r="CNH60" s="484"/>
      <c r="CNI60" s="484"/>
      <c r="CNJ60" s="484"/>
      <c r="CNK60" s="484"/>
      <c r="CNL60" s="484"/>
      <c r="CNM60" s="484"/>
      <c r="CNN60" s="484"/>
      <c r="CNO60" s="484"/>
      <c r="CNP60" s="484"/>
      <c r="CNQ60" s="484"/>
      <c r="CNR60" s="484"/>
      <c r="CNS60" s="484"/>
      <c r="CNT60" s="484"/>
      <c r="CNU60" s="484"/>
      <c r="CNV60" s="484"/>
      <c r="CNW60" s="484"/>
      <c r="CNX60" s="484"/>
      <c r="CNY60" s="484"/>
      <c r="CNZ60" s="484"/>
      <c r="COA60" s="484"/>
      <c r="COB60" s="484"/>
      <c r="COC60" s="484"/>
      <c r="COD60" s="484"/>
      <c r="COE60" s="484"/>
      <c r="COF60" s="484"/>
      <c r="COG60" s="484"/>
      <c r="COH60" s="484"/>
      <c r="COI60" s="484"/>
      <c r="COJ60" s="484"/>
      <c r="COK60" s="484"/>
      <c r="COL60" s="484"/>
      <c r="COM60" s="484"/>
      <c r="CON60" s="484"/>
      <c r="COO60" s="484"/>
      <c r="COP60" s="484"/>
      <c r="COQ60" s="484"/>
      <c r="COR60" s="484"/>
      <c r="COS60" s="484"/>
      <c r="COT60" s="484"/>
      <c r="COU60" s="484"/>
      <c r="COV60" s="484"/>
      <c r="COW60" s="484"/>
      <c r="COX60" s="484"/>
      <c r="COY60" s="484"/>
      <c r="COZ60" s="484"/>
      <c r="CPA60" s="484"/>
      <c r="CPB60" s="484"/>
      <c r="CPC60" s="484"/>
      <c r="CPD60" s="484"/>
      <c r="CPE60" s="484"/>
      <c r="CPF60" s="484"/>
      <c r="CPG60" s="484"/>
      <c r="CPH60" s="484"/>
      <c r="CPI60" s="484"/>
      <c r="CPJ60" s="484"/>
      <c r="CPK60" s="484"/>
      <c r="CPL60" s="484"/>
      <c r="CPM60" s="484"/>
      <c r="CPN60" s="484"/>
      <c r="CPO60" s="484"/>
      <c r="CPP60" s="484"/>
      <c r="CPQ60" s="484"/>
      <c r="CPR60" s="484"/>
      <c r="CPS60" s="484"/>
      <c r="CPT60" s="484"/>
      <c r="CPU60" s="484"/>
      <c r="CPV60" s="484"/>
      <c r="CPW60" s="484"/>
      <c r="CPX60" s="484"/>
      <c r="CPY60" s="484"/>
      <c r="CPZ60" s="484"/>
      <c r="CQA60" s="484"/>
      <c r="CQB60" s="484"/>
      <c r="CQC60" s="484"/>
      <c r="CQD60" s="484"/>
      <c r="CQE60" s="484"/>
      <c r="CQF60" s="484"/>
      <c r="CQG60" s="484"/>
      <c r="CQH60" s="484"/>
      <c r="CQI60" s="484"/>
      <c r="CQJ60" s="484"/>
      <c r="CQK60" s="484"/>
      <c r="CQL60" s="484"/>
      <c r="CQM60" s="484"/>
      <c r="CQN60" s="484"/>
      <c r="CQO60" s="484"/>
      <c r="CQP60" s="484"/>
      <c r="CQQ60" s="484"/>
      <c r="CQR60" s="484"/>
      <c r="CQS60" s="484"/>
      <c r="CQT60" s="484"/>
      <c r="CQU60" s="484"/>
      <c r="CQV60" s="484"/>
      <c r="CQW60" s="484"/>
      <c r="CQX60" s="484"/>
      <c r="CQY60" s="484"/>
      <c r="CQZ60" s="484"/>
      <c r="CRA60" s="484"/>
      <c r="CRB60" s="484"/>
      <c r="CRC60" s="484"/>
      <c r="CRD60" s="484"/>
      <c r="CRE60" s="484"/>
      <c r="CRF60" s="484"/>
      <c r="CRG60" s="484"/>
      <c r="CRH60" s="484"/>
      <c r="CRI60" s="484"/>
      <c r="CRJ60" s="484"/>
      <c r="CRK60" s="484"/>
      <c r="CRL60" s="484"/>
      <c r="CRM60" s="484"/>
      <c r="CRN60" s="484"/>
      <c r="CRO60" s="484"/>
      <c r="CRP60" s="484"/>
      <c r="CRQ60" s="484"/>
      <c r="CRR60" s="484"/>
      <c r="CRS60" s="484"/>
      <c r="CRT60" s="484"/>
      <c r="CRU60" s="484"/>
      <c r="CRV60" s="484"/>
      <c r="CRW60" s="484"/>
      <c r="CRX60" s="484"/>
      <c r="CRY60" s="484"/>
      <c r="CRZ60" s="484"/>
      <c r="CSA60" s="484"/>
      <c r="CSB60" s="484"/>
      <c r="CSC60" s="484"/>
      <c r="CSD60" s="484"/>
      <c r="CSE60" s="484"/>
      <c r="CSF60" s="484"/>
      <c r="CSG60" s="484"/>
      <c r="CSH60" s="484"/>
      <c r="CSI60" s="484"/>
      <c r="CSJ60" s="484"/>
      <c r="CSK60" s="484"/>
      <c r="CSL60" s="484"/>
      <c r="CSM60" s="484"/>
      <c r="CSN60" s="484"/>
      <c r="CSO60" s="484"/>
      <c r="CSP60" s="484"/>
      <c r="CSQ60" s="484"/>
      <c r="CSR60" s="484"/>
      <c r="CSS60" s="484"/>
      <c r="CST60" s="484"/>
      <c r="CSU60" s="484"/>
      <c r="CSV60" s="484"/>
      <c r="CSW60" s="484"/>
      <c r="CSX60" s="484"/>
      <c r="CSY60" s="484"/>
      <c r="CSZ60" s="484"/>
      <c r="CTA60" s="484"/>
      <c r="CTB60" s="484"/>
      <c r="CTC60" s="484"/>
      <c r="CTD60" s="484"/>
      <c r="CTE60" s="484"/>
      <c r="CTF60" s="484"/>
      <c r="CTG60" s="484"/>
      <c r="CTH60" s="484"/>
      <c r="CTI60" s="484"/>
      <c r="CTJ60" s="484"/>
      <c r="CTK60" s="484"/>
      <c r="CTL60" s="484"/>
      <c r="CTM60" s="484"/>
      <c r="CTN60" s="484"/>
      <c r="CTO60" s="484"/>
      <c r="CTP60" s="484"/>
      <c r="CTQ60" s="484"/>
      <c r="CTR60" s="484"/>
      <c r="CTS60" s="484"/>
      <c r="CTT60" s="484"/>
      <c r="CTU60" s="484"/>
      <c r="CTV60" s="484"/>
      <c r="CTW60" s="484"/>
      <c r="CTX60" s="484"/>
      <c r="CTY60" s="484"/>
      <c r="CTZ60" s="484"/>
      <c r="CUA60" s="484"/>
      <c r="CUB60" s="484"/>
      <c r="CUC60" s="484"/>
      <c r="CUD60" s="484"/>
      <c r="CUE60" s="484"/>
      <c r="CUF60" s="484"/>
      <c r="CUG60" s="484"/>
      <c r="CUH60" s="484"/>
      <c r="CUI60" s="484"/>
      <c r="CUJ60" s="484"/>
      <c r="CUK60" s="484"/>
      <c r="CUL60" s="484"/>
      <c r="CUM60" s="484"/>
      <c r="CUN60" s="484"/>
      <c r="CUO60" s="484"/>
      <c r="CUP60" s="484"/>
      <c r="CUQ60" s="484"/>
      <c r="CUR60" s="484"/>
      <c r="CUS60" s="484"/>
      <c r="CUT60" s="484"/>
      <c r="CUU60" s="484"/>
      <c r="CUV60" s="484"/>
      <c r="CUW60" s="484"/>
      <c r="CUX60" s="484"/>
      <c r="CUY60" s="484"/>
      <c r="CUZ60" s="484"/>
      <c r="CVA60" s="484"/>
      <c r="CVB60" s="484"/>
      <c r="CVC60" s="484"/>
      <c r="CVD60" s="484"/>
      <c r="CVE60" s="484"/>
      <c r="CVF60" s="484"/>
      <c r="CVG60" s="484"/>
      <c r="CVH60" s="484"/>
      <c r="CVI60" s="484"/>
      <c r="CVJ60" s="484"/>
      <c r="CVK60" s="484"/>
      <c r="CVL60" s="484"/>
      <c r="CVM60" s="484"/>
      <c r="CVN60" s="484"/>
      <c r="CVO60" s="484"/>
      <c r="CVP60" s="484"/>
      <c r="CVQ60" s="484"/>
      <c r="CVR60" s="484"/>
      <c r="CVS60" s="484"/>
      <c r="CVT60" s="484"/>
      <c r="CVU60" s="484"/>
      <c r="CVV60" s="484"/>
      <c r="CVW60" s="484"/>
      <c r="CVX60" s="484"/>
      <c r="CVY60" s="484"/>
      <c r="CVZ60" s="484"/>
      <c r="CWA60" s="484"/>
      <c r="CWB60" s="484"/>
      <c r="CWC60" s="484"/>
      <c r="CWD60" s="484"/>
      <c r="CWE60" s="484"/>
      <c r="CWF60" s="484"/>
      <c r="CWG60" s="484"/>
      <c r="CWH60" s="484"/>
      <c r="CWI60" s="484"/>
      <c r="CWJ60" s="484"/>
      <c r="CWK60" s="484"/>
      <c r="CWL60" s="484"/>
      <c r="CWM60" s="484"/>
      <c r="CWN60" s="484"/>
      <c r="CWO60" s="484"/>
      <c r="CWP60" s="484"/>
      <c r="CWQ60" s="484"/>
      <c r="CWR60" s="484"/>
      <c r="CWS60" s="484"/>
      <c r="CWT60" s="484"/>
      <c r="CWU60" s="484"/>
      <c r="CWV60" s="484"/>
      <c r="CWW60" s="484"/>
      <c r="CWX60" s="484"/>
      <c r="CWY60" s="484"/>
      <c r="CWZ60" s="484"/>
      <c r="CXA60" s="484"/>
      <c r="CXB60" s="484"/>
      <c r="CXC60" s="484"/>
      <c r="CXD60" s="484"/>
      <c r="CXE60" s="484"/>
      <c r="CXF60" s="484"/>
      <c r="CXG60" s="484"/>
      <c r="CXH60" s="484"/>
      <c r="CXI60" s="484"/>
      <c r="CXJ60" s="484"/>
      <c r="CXK60" s="484"/>
      <c r="CXL60" s="484"/>
      <c r="CXM60" s="484"/>
      <c r="CXN60" s="484"/>
      <c r="CXO60" s="484"/>
      <c r="CXP60" s="484"/>
      <c r="CXQ60" s="484"/>
      <c r="CXR60" s="484"/>
      <c r="CXS60" s="484"/>
      <c r="CXT60" s="484"/>
      <c r="CXU60" s="484"/>
      <c r="CXV60" s="484"/>
      <c r="CXW60" s="484"/>
      <c r="CXX60" s="484"/>
      <c r="CXY60" s="484"/>
      <c r="CXZ60" s="484"/>
      <c r="CYA60" s="484"/>
      <c r="CYB60" s="484"/>
      <c r="CYC60" s="484"/>
      <c r="CYD60" s="484"/>
      <c r="CYE60" s="484"/>
      <c r="CYF60" s="484"/>
      <c r="CYG60" s="484"/>
      <c r="CYH60" s="484"/>
      <c r="CYI60" s="484"/>
      <c r="CYJ60" s="484"/>
      <c r="CYK60" s="484"/>
      <c r="CYL60" s="484"/>
      <c r="CYM60" s="484"/>
      <c r="CYN60" s="484"/>
      <c r="CYO60" s="484"/>
      <c r="CYP60" s="484"/>
      <c r="CYQ60" s="484"/>
      <c r="CYR60" s="484"/>
      <c r="CYS60" s="484"/>
      <c r="CYT60" s="484"/>
      <c r="CYU60" s="484"/>
      <c r="CYV60" s="484"/>
      <c r="CYW60" s="484"/>
      <c r="CYX60" s="484"/>
      <c r="CYY60" s="484"/>
      <c r="CYZ60" s="484"/>
      <c r="CZA60" s="484"/>
      <c r="CZB60" s="484"/>
      <c r="CZC60" s="484"/>
      <c r="CZD60" s="484"/>
      <c r="CZE60" s="484"/>
      <c r="CZF60" s="484"/>
      <c r="CZG60" s="484"/>
      <c r="CZH60" s="484"/>
      <c r="CZI60" s="484"/>
      <c r="CZJ60" s="484"/>
      <c r="CZK60" s="484"/>
      <c r="CZL60" s="484"/>
      <c r="CZM60" s="484"/>
      <c r="CZN60" s="484"/>
      <c r="CZO60" s="484"/>
      <c r="CZP60" s="484"/>
      <c r="CZQ60" s="484"/>
      <c r="CZR60" s="484"/>
      <c r="CZS60" s="484"/>
      <c r="CZT60" s="484"/>
      <c r="CZU60" s="484"/>
      <c r="CZV60" s="484"/>
      <c r="CZW60" s="484"/>
      <c r="CZX60" s="484"/>
      <c r="CZY60" s="484"/>
      <c r="CZZ60" s="484"/>
      <c r="DAA60" s="484"/>
      <c r="DAB60" s="484"/>
      <c r="DAC60" s="484"/>
      <c r="DAD60" s="484"/>
      <c r="DAE60" s="484"/>
      <c r="DAF60" s="484"/>
      <c r="DAG60" s="484"/>
      <c r="DAH60" s="484"/>
      <c r="DAI60" s="484"/>
      <c r="DAJ60" s="484"/>
      <c r="DAK60" s="484"/>
      <c r="DAL60" s="484"/>
      <c r="DAM60" s="484"/>
      <c r="DAN60" s="484"/>
      <c r="DAO60" s="484"/>
      <c r="DAP60" s="484"/>
      <c r="DAQ60" s="484"/>
      <c r="DAR60" s="484"/>
      <c r="DAS60" s="484"/>
      <c r="DAT60" s="484"/>
      <c r="DAU60" s="484"/>
      <c r="DAV60" s="484"/>
      <c r="DAW60" s="484"/>
      <c r="DAX60" s="484"/>
      <c r="DAY60" s="484"/>
      <c r="DAZ60" s="484"/>
      <c r="DBA60" s="484"/>
      <c r="DBB60" s="484"/>
      <c r="DBC60" s="484"/>
      <c r="DBD60" s="484"/>
      <c r="DBE60" s="484"/>
      <c r="DBF60" s="484"/>
      <c r="DBG60" s="484"/>
      <c r="DBH60" s="484"/>
      <c r="DBI60" s="484"/>
      <c r="DBJ60" s="484"/>
      <c r="DBK60" s="484"/>
      <c r="DBL60" s="484"/>
      <c r="DBM60" s="484"/>
      <c r="DBN60" s="484"/>
      <c r="DBO60" s="484"/>
      <c r="DBP60" s="484"/>
      <c r="DBQ60" s="484"/>
      <c r="DBR60" s="484"/>
      <c r="DBS60" s="484"/>
      <c r="DBT60" s="484"/>
      <c r="DBU60" s="484"/>
      <c r="DBV60" s="484"/>
      <c r="DBW60" s="484"/>
      <c r="DBX60" s="484"/>
      <c r="DBY60" s="484"/>
      <c r="DBZ60" s="484"/>
      <c r="DCA60" s="484"/>
      <c r="DCB60" s="484"/>
      <c r="DCC60" s="484"/>
      <c r="DCD60" s="484"/>
      <c r="DCE60" s="484"/>
      <c r="DCF60" s="484"/>
      <c r="DCG60" s="484"/>
      <c r="DCH60" s="484"/>
      <c r="DCI60" s="484"/>
      <c r="DCJ60" s="484"/>
      <c r="DCK60" s="484"/>
      <c r="DCL60" s="484"/>
      <c r="DCM60" s="484"/>
      <c r="DCN60" s="484"/>
      <c r="DCO60" s="484"/>
      <c r="DCP60" s="484"/>
      <c r="DCQ60" s="484"/>
      <c r="DCR60" s="484"/>
      <c r="DCS60" s="484"/>
      <c r="DCT60" s="484"/>
      <c r="DCU60" s="484"/>
      <c r="DCV60" s="484"/>
      <c r="DCW60" s="484"/>
      <c r="DCX60" s="484"/>
      <c r="DCY60" s="484"/>
      <c r="DCZ60" s="484"/>
      <c r="DDA60" s="484"/>
      <c r="DDB60" s="484"/>
      <c r="DDC60" s="484"/>
      <c r="DDD60" s="484"/>
      <c r="DDE60" s="484"/>
      <c r="DDF60" s="484"/>
      <c r="DDG60" s="484"/>
      <c r="DDH60" s="484"/>
      <c r="DDI60" s="484"/>
      <c r="DDJ60" s="484"/>
      <c r="DDK60" s="484"/>
      <c r="DDL60" s="484"/>
      <c r="DDM60" s="484"/>
      <c r="DDN60" s="484"/>
      <c r="DDO60" s="484"/>
      <c r="DDP60" s="484"/>
      <c r="DDQ60" s="484"/>
      <c r="DDR60" s="484"/>
      <c r="DDS60" s="484"/>
      <c r="DDT60" s="484"/>
      <c r="DDU60" s="484"/>
      <c r="DDV60" s="484"/>
      <c r="DDW60" s="484"/>
      <c r="DDX60" s="484"/>
      <c r="DDY60" s="484"/>
      <c r="DDZ60" s="484"/>
      <c r="DEA60" s="484"/>
      <c r="DEB60" s="484"/>
      <c r="DEC60" s="484"/>
      <c r="DED60" s="484"/>
      <c r="DEE60" s="484"/>
      <c r="DEF60" s="484"/>
      <c r="DEG60" s="484"/>
      <c r="DEH60" s="484"/>
      <c r="DEI60" s="484"/>
      <c r="DEJ60" s="484"/>
      <c r="DEK60" s="484"/>
      <c r="DEL60" s="484"/>
      <c r="DEM60" s="484"/>
      <c r="DEN60" s="484"/>
      <c r="DEO60" s="484"/>
      <c r="DEP60" s="484"/>
      <c r="DEQ60" s="484"/>
      <c r="DER60" s="484"/>
      <c r="DES60" s="484"/>
      <c r="DET60" s="484"/>
      <c r="DEU60" s="484"/>
      <c r="DEV60" s="484"/>
      <c r="DEW60" s="484"/>
      <c r="DEX60" s="484"/>
      <c r="DEY60" s="484"/>
      <c r="DEZ60" s="484"/>
      <c r="DFA60" s="484"/>
      <c r="DFB60" s="484"/>
      <c r="DFC60" s="484"/>
      <c r="DFD60" s="484"/>
      <c r="DFE60" s="484"/>
      <c r="DFF60" s="484"/>
      <c r="DFG60" s="484"/>
      <c r="DFH60" s="484"/>
      <c r="DFI60" s="484"/>
      <c r="DFJ60" s="484"/>
      <c r="DFK60" s="484"/>
      <c r="DFL60" s="484"/>
      <c r="DFM60" s="484"/>
      <c r="DFN60" s="484"/>
      <c r="DFO60" s="484"/>
      <c r="DFP60" s="484"/>
      <c r="DFQ60" s="484"/>
      <c r="DFR60" s="484"/>
      <c r="DFS60" s="484"/>
      <c r="DFT60" s="484"/>
      <c r="DFU60" s="484"/>
      <c r="DFV60" s="484"/>
      <c r="DFW60" s="484"/>
      <c r="DFX60" s="484"/>
      <c r="DFY60" s="484"/>
      <c r="DFZ60" s="484"/>
      <c r="DGA60" s="484"/>
      <c r="DGB60" s="484"/>
      <c r="DGC60" s="484"/>
      <c r="DGD60" s="484"/>
      <c r="DGE60" s="484"/>
      <c r="DGF60" s="484"/>
      <c r="DGG60" s="484"/>
      <c r="DGH60" s="484"/>
      <c r="DGI60" s="484"/>
      <c r="DGJ60" s="484"/>
      <c r="DGK60" s="484"/>
      <c r="DGL60" s="484"/>
      <c r="DGM60" s="484"/>
      <c r="DGN60" s="484"/>
      <c r="DGO60" s="484"/>
      <c r="DGP60" s="484"/>
      <c r="DGQ60" s="484"/>
      <c r="DGR60" s="484"/>
      <c r="DGS60" s="484"/>
      <c r="DGT60" s="484"/>
      <c r="DGU60" s="484"/>
      <c r="DGV60" s="484"/>
      <c r="DGW60" s="484"/>
      <c r="DGX60" s="484"/>
      <c r="DGY60" s="484"/>
      <c r="DGZ60" s="484"/>
      <c r="DHA60" s="484"/>
      <c r="DHB60" s="484"/>
      <c r="DHC60" s="484"/>
      <c r="DHD60" s="484"/>
      <c r="DHE60" s="484"/>
      <c r="DHF60" s="484"/>
      <c r="DHG60" s="484"/>
      <c r="DHH60" s="484"/>
      <c r="DHI60" s="484"/>
      <c r="DHJ60" s="484"/>
      <c r="DHK60" s="484"/>
      <c r="DHL60" s="484"/>
      <c r="DHM60" s="484"/>
      <c r="DHN60" s="484"/>
      <c r="DHO60" s="484"/>
      <c r="DHP60" s="484"/>
      <c r="DHQ60" s="484"/>
      <c r="DHR60" s="484"/>
      <c r="DHS60" s="484"/>
      <c r="DHT60" s="484"/>
      <c r="DHU60" s="484"/>
      <c r="DHV60" s="484"/>
      <c r="DHW60" s="484"/>
      <c r="DHX60" s="484"/>
      <c r="DHY60" s="484"/>
      <c r="DHZ60" s="484"/>
      <c r="DIA60" s="484"/>
      <c r="DIB60" s="484"/>
      <c r="DIC60" s="484"/>
      <c r="DID60" s="484"/>
      <c r="DIE60" s="484"/>
      <c r="DIF60" s="484"/>
      <c r="DIG60" s="484"/>
      <c r="DIH60" s="484"/>
      <c r="DII60" s="484"/>
      <c r="DIJ60" s="484"/>
      <c r="DIK60" s="484"/>
      <c r="DIL60" s="484"/>
      <c r="DIM60" s="484"/>
      <c r="DIN60" s="484"/>
      <c r="DIO60" s="484"/>
      <c r="DIP60" s="484"/>
      <c r="DIQ60" s="484"/>
      <c r="DIR60" s="484"/>
      <c r="DIS60" s="484"/>
      <c r="DIT60" s="484"/>
      <c r="DIU60" s="484"/>
      <c r="DIV60" s="484"/>
      <c r="DIW60" s="484"/>
      <c r="DIX60" s="484"/>
      <c r="DIY60" s="484"/>
      <c r="DIZ60" s="484"/>
      <c r="DJA60" s="484"/>
      <c r="DJB60" s="484"/>
      <c r="DJC60" s="484"/>
      <c r="DJD60" s="484"/>
      <c r="DJE60" s="484"/>
      <c r="DJF60" s="484"/>
      <c r="DJG60" s="484"/>
      <c r="DJH60" s="484"/>
      <c r="DJI60" s="484"/>
      <c r="DJJ60" s="484"/>
      <c r="DJK60" s="484"/>
      <c r="DJL60" s="484"/>
      <c r="DJM60" s="484"/>
      <c r="DJN60" s="484"/>
      <c r="DJO60" s="484"/>
      <c r="DJP60" s="484"/>
      <c r="DJQ60" s="484"/>
      <c r="DJR60" s="484"/>
      <c r="DJS60" s="484"/>
      <c r="DJT60" s="484"/>
      <c r="DJU60" s="484"/>
      <c r="DJV60" s="484"/>
      <c r="DJW60" s="484"/>
      <c r="DJX60" s="484"/>
      <c r="DJY60" s="484"/>
      <c r="DJZ60" s="484"/>
      <c r="DKA60" s="484"/>
      <c r="DKB60" s="484"/>
      <c r="DKC60" s="484"/>
      <c r="DKD60" s="484"/>
      <c r="DKE60" s="484"/>
      <c r="DKF60" s="484"/>
      <c r="DKG60" s="484"/>
      <c r="DKH60" s="484"/>
      <c r="DKI60" s="484"/>
      <c r="DKJ60" s="484"/>
      <c r="DKK60" s="484"/>
      <c r="DKL60" s="484"/>
      <c r="DKM60" s="484"/>
      <c r="DKN60" s="484"/>
      <c r="DKO60" s="484"/>
      <c r="DKP60" s="484"/>
      <c r="DKQ60" s="484"/>
      <c r="DKR60" s="484"/>
      <c r="DKS60" s="484"/>
      <c r="DKT60" s="484"/>
      <c r="DKU60" s="484"/>
      <c r="DKV60" s="484"/>
      <c r="DKW60" s="484"/>
      <c r="DKX60" s="484"/>
      <c r="DKY60" s="484"/>
      <c r="DKZ60" s="484"/>
      <c r="DLA60" s="484"/>
      <c r="DLB60" s="484"/>
      <c r="DLC60" s="484"/>
      <c r="DLD60" s="484"/>
      <c r="DLE60" s="484"/>
      <c r="DLF60" s="484"/>
      <c r="DLG60" s="484"/>
      <c r="DLH60" s="484"/>
      <c r="DLI60" s="484"/>
      <c r="DLJ60" s="484"/>
      <c r="DLK60" s="484"/>
      <c r="DLL60" s="484"/>
      <c r="DLM60" s="484"/>
      <c r="DLN60" s="484"/>
      <c r="DLO60" s="484"/>
      <c r="DLP60" s="484"/>
      <c r="DLQ60" s="484"/>
      <c r="DLR60" s="484"/>
      <c r="DLS60" s="484"/>
      <c r="DLT60" s="484"/>
      <c r="DLU60" s="484"/>
      <c r="DLV60" s="484"/>
      <c r="DLW60" s="484"/>
      <c r="DLX60" s="484"/>
      <c r="DLY60" s="484"/>
      <c r="DLZ60" s="484"/>
      <c r="DMA60" s="484"/>
      <c r="DMB60" s="484"/>
      <c r="DMC60" s="484"/>
      <c r="DMD60" s="484"/>
      <c r="DME60" s="484"/>
      <c r="DMF60" s="484"/>
      <c r="DMG60" s="484"/>
      <c r="DMH60" s="484"/>
      <c r="DMI60" s="484"/>
      <c r="DMJ60" s="484"/>
      <c r="DMK60" s="484"/>
      <c r="DML60" s="484"/>
      <c r="DMM60" s="484"/>
      <c r="DMN60" s="484"/>
      <c r="DMO60" s="484"/>
      <c r="DMP60" s="484"/>
      <c r="DMQ60" s="484"/>
      <c r="DMR60" s="484"/>
      <c r="DMS60" s="484"/>
      <c r="DMT60" s="484"/>
      <c r="DMU60" s="484"/>
      <c r="DMV60" s="484"/>
      <c r="DMW60" s="484"/>
      <c r="DMX60" s="484"/>
      <c r="DMY60" s="484"/>
      <c r="DMZ60" s="484"/>
      <c r="DNA60" s="484"/>
      <c r="DNB60" s="484"/>
      <c r="DNC60" s="484"/>
      <c r="DND60" s="484"/>
      <c r="DNE60" s="484"/>
      <c r="DNF60" s="484"/>
      <c r="DNG60" s="484"/>
      <c r="DNH60" s="484"/>
      <c r="DNI60" s="484"/>
      <c r="DNJ60" s="484"/>
      <c r="DNK60" s="484"/>
      <c r="DNL60" s="484"/>
      <c r="DNM60" s="484"/>
      <c r="DNN60" s="484"/>
      <c r="DNO60" s="484"/>
      <c r="DNP60" s="484"/>
      <c r="DNQ60" s="484"/>
      <c r="DNR60" s="484"/>
      <c r="DNS60" s="484"/>
      <c r="DNT60" s="484"/>
      <c r="DNU60" s="484"/>
      <c r="DNV60" s="484"/>
      <c r="DNW60" s="484"/>
      <c r="DNX60" s="484"/>
      <c r="DNY60" s="484"/>
      <c r="DNZ60" s="484"/>
      <c r="DOA60" s="484"/>
      <c r="DOB60" s="484"/>
      <c r="DOC60" s="484"/>
      <c r="DOD60" s="484"/>
      <c r="DOE60" s="484"/>
      <c r="DOF60" s="484"/>
      <c r="DOG60" s="484"/>
      <c r="DOH60" s="484"/>
      <c r="DOI60" s="484"/>
      <c r="DOJ60" s="484"/>
      <c r="DOK60" s="484"/>
      <c r="DOL60" s="484"/>
      <c r="DOM60" s="484"/>
      <c r="DON60" s="484"/>
      <c r="DOO60" s="484"/>
      <c r="DOP60" s="484"/>
      <c r="DOQ60" s="484"/>
      <c r="DOR60" s="484"/>
      <c r="DOS60" s="484"/>
      <c r="DOT60" s="484"/>
      <c r="DOU60" s="484"/>
      <c r="DOV60" s="484"/>
      <c r="DOW60" s="484"/>
      <c r="DOX60" s="484"/>
      <c r="DOY60" s="484"/>
      <c r="DOZ60" s="484"/>
      <c r="DPA60" s="484"/>
      <c r="DPB60" s="484"/>
      <c r="DPC60" s="484"/>
      <c r="DPD60" s="484"/>
      <c r="DPE60" s="484"/>
      <c r="DPF60" s="484"/>
      <c r="DPG60" s="484"/>
      <c r="DPH60" s="484"/>
      <c r="DPI60" s="484"/>
      <c r="DPJ60" s="484"/>
      <c r="DPK60" s="484"/>
      <c r="DPL60" s="484"/>
      <c r="DPM60" s="484"/>
      <c r="DPN60" s="484"/>
      <c r="DPO60" s="484"/>
      <c r="DPP60" s="484"/>
      <c r="DPQ60" s="484"/>
      <c r="DPR60" s="484"/>
      <c r="DPS60" s="484"/>
      <c r="DPT60" s="484"/>
      <c r="DPU60" s="484"/>
      <c r="DPV60" s="484"/>
      <c r="DPW60" s="484"/>
      <c r="DPX60" s="484"/>
      <c r="DPY60" s="484"/>
      <c r="DPZ60" s="484"/>
      <c r="DQA60" s="484"/>
      <c r="DQB60" s="484"/>
      <c r="DQC60" s="484"/>
      <c r="DQD60" s="484"/>
      <c r="DQE60" s="484"/>
      <c r="DQF60" s="484"/>
      <c r="DQG60" s="484"/>
      <c r="DQH60" s="484"/>
      <c r="DQI60" s="484"/>
      <c r="DQJ60" s="484"/>
      <c r="DQK60" s="484"/>
      <c r="DQL60" s="484"/>
      <c r="DQM60" s="484"/>
      <c r="DQN60" s="484"/>
      <c r="DQO60" s="484"/>
      <c r="DQP60" s="484"/>
      <c r="DQQ60" s="484"/>
      <c r="DQR60" s="484"/>
      <c r="DQS60" s="484"/>
      <c r="DQT60" s="484"/>
      <c r="DQU60" s="484"/>
      <c r="DQV60" s="484"/>
      <c r="DQW60" s="484"/>
      <c r="DQX60" s="484"/>
      <c r="DQY60" s="484"/>
      <c r="DQZ60" s="484"/>
      <c r="DRA60" s="484"/>
      <c r="DRB60" s="484"/>
      <c r="DRC60" s="484"/>
      <c r="DRD60" s="484"/>
      <c r="DRE60" s="484"/>
      <c r="DRF60" s="484"/>
      <c r="DRG60" s="484"/>
      <c r="DRH60" s="484"/>
      <c r="DRI60" s="484"/>
      <c r="DRJ60" s="484"/>
      <c r="DRK60" s="484"/>
      <c r="DRL60" s="484"/>
      <c r="DRM60" s="484"/>
      <c r="DRN60" s="484"/>
      <c r="DRO60" s="484"/>
      <c r="DRP60" s="484"/>
      <c r="DRQ60" s="484"/>
      <c r="DRR60" s="484"/>
      <c r="DRS60" s="484"/>
      <c r="DRT60" s="484"/>
      <c r="DRU60" s="484"/>
      <c r="DRV60" s="484"/>
      <c r="DRW60" s="484"/>
      <c r="DRX60" s="484"/>
      <c r="DRY60" s="484"/>
      <c r="DRZ60" s="484"/>
      <c r="DSA60" s="484"/>
      <c r="DSB60" s="484"/>
      <c r="DSC60" s="484"/>
      <c r="DSD60" s="484"/>
      <c r="DSE60" s="484"/>
      <c r="DSF60" s="484"/>
      <c r="DSG60" s="484"/>
      <c r="DSH60" s="484"/>
      <c r="DSI60" s="484"/>
      <c r="DSJ60" s="484"/>
      <c r="DSK60" s="484"/>
      <c r="DSL60" s="484"/>
      <c r="DSM60" s="484"/>
      <c r="DSN60" s="484"/>
      <c r="DSO60" s="484"/>
      <c r="DSP60" s="484"/>
      <c r="DSQ60" s="484"/>
      <c r="DSR60" s="484"/>
      <c r="DSS60" s="484"/>
      <c r="DST60" s="484"/>
      <c r="DSU60" s="484"/>
      <c r="DSV60" s="484"/>
      <c r="DSW60" s="484"/>
      <c r="DSX60" s="484"/>
      <c r="DSY60" s="484"/>
      <c r="DSZ60" s="484"/>
      <c r="DTA60" s="484"/>
      <c r="DTB60" s="484"/>
      <c r="DTC60" s="484"/>
      <c r="DTD60" s="484"/>
      <c r="DTE60" s="484"/>
      <c r="DTF60" s="484"/>
      <c r="DTG60" s="484"/>
      <c r="DTH60" s="484"/>
      <c r="DTI60" s="484"/>
      <c r="DTJ60" s="484"/>
      <c r="DTK60" s="484"/>
      <c r="DTL60" s="484"/>
      <c r="DTM60" s="484"/>
      <c r="DTN60" s="484"/>
      <c r="DTO60" s="484"/>
      <c r="DTP60" s="484"/>
      <c r="DTQ60" s="484"/>
      <c r="DTR60" s="484"/>
      <c r="DTS60" s="484"/>
      <c r="DTT60" s="484"/>
      <c r="DTU60" s="484"/>
      <c r="DTV60" s="484"/>
      <c r="DTW60" s="484"/>
      <c r="DTX60" s="484"/>
      <c r="DTY60" s="484"/>
      <c r="DTZ60" s="484"/>
      <c r="DUA60" s="484"/>
      <c r="DUB60" s="484"/>
      <c r="DUC60" s="484"/>
      <c r="DUD60" s="484"/>
      <c r="DUE60" s="484"/>
      <c r="DUF60" s="484"/>
      <c r="DUG60" s="484"/>
      <c r="DUH60" s="484"/>
      <c r="DUI60" s="484"/>
      <c r="DUJ60" s="484"/>
      <c r="DUK60" s="484"/>
      <c r="DUL60" s="484"/>
      <c r="DUM60" s="484"/>
      <c r="DUN60" s="484"/>
      <c r="DUO60" s="484"/>
      <c r="DUP60" s="484"/>
      <c r="DUQ60" s="484"/>
      <c r="DUR60" s="484"/>
      <c r="DUS60" s="484"/>
      <c r="DUT60" s="484"/>
      <c r="DUU60" s="484"/>
      <c r="DUV60" s="484"/>
      <c r="DUW60" s="484"/>
      <c r="DUX60" s="484"/>
      <c r="DUY60" s="484"/>
      <c r="DUZ60" s="484"/>
      <c r="DVA60" s="484"/>
      <c r="DVB60" s="484"/>
      <c r="DVC60" s="484"/>
      <c r="DVD60" s="484"/>
      <c r="DVE60" s="484"/>
      <c r="DVF60" s="484"/>
      <c r="DVG60" s="484"/>
      <c r="DVH60" s="484"/>
      <c r="DVI60" s="484"/>
      <c r="DVJ60" s="484"/>
      <c r="DVK60" s="484"/>
      <c r="DVL60" s="484"/>
      <c r="DVM60" s="484"/>
      <c r="DVN60" s="484"/>
      <c r="DVO60" s="484"/>
      <c r="DVP60" s="484"/>
      <c r="DVQ60" s="484"/>
      <c r="DVR60" s="484"/>
      <c r="DVS60" s="484"/>
      <c r="DVT60" s="484"/>
      <c r="DVU60" s="484"/>
      <c r="DVV60" s="484"/>
      <c r="DVW60" s="484"/>
      <c r="DVX60" s="484"/>
      <c r="DVY60" s="484"/>
      <c r="DVZ60" s="484"/>
      <c r="DWA60" s="484"/>
      <c r="DWB60" s="484"/>
      <c r="DWC60" s="484"/>
      <c r="DWD60" s="484"/>
      <c r="DWE60" s="484"/>
      <c r="DWF60" s="484"/>
      <c r="DWG60" s="484"/>
      <c r="DWH60" s="484"/>
      <c r="DWI60" s="484"/>
      <c r="DWJ60" s="484"/>
      <c r="DWK60" s="484"/>
      <c r="DWL60" s="484"/>
      <c r="DWM60" s="484"/>
      <c r="DWN60" s="484"/>
      <c r="DWO60" s="484"/>
      <c r="DWP60" s="484"/>
      <c r="DWQ60" s="484"/>
      <c r="DWR60" s="484"/>
      <c r="DWS60" s="484"/>
      <c r="DWT60" s="484"/>
      <c r="DWU60" s="484"/>
      <c r="DWV60" s="484"/>
      <c r="DWW60" s="484"/>
      <c r="DWX60" s="484"/>
      <c r="DWY60" s="484"/>
      <c r="DWZ60" s="484"/>
      <c r="DXA60" s="484"/>
      <c r="DXB60" s="484"/>
      <c r="DXC60" s="484"/>
      <c r="DXD60" s="484"/>
      <c r="DXE60" s="484"/>
      <c r="DXF60" s="484"/>
      <c r="DXG60" s="484"/>
      <c r="DXH60" s="484"/>
      <c r="DXI60" s="484"/>
      <c r="DXJ60" s="484"/>
      <c r="DXK60" s="484"/>
      <c r="DXL60" s="484"/>
      <c r="DXM60" s="484"/>
      <c r="DXN60" s="484"/>
      <c r="DXO60" s="484"/>
      <c r="DXP60" s="484"/>
      <c r="DXQ60" s="484"/>
      <c r="DXR60" s="484"/>
      <c r="DXS60" s="484"/>
      <c r="DXT60" s="484"/>
      <c r="DXU60" s="484"/>
      <c r="DXV60" s="484"/>
      <c r="DXW60" s="484"/>
      <c r="DXX60" s="484"/>
      <c r="DXY60" s="484"/>
      <c r="DXZ60" s="484"/>
      <c r="DYA60" s="484"/>
      <c r="DYB60" s="484"/>
      <c r="DYC60" s="484"/>
      <c r="DYD60" s="484"/>
      <c r="DYE60" s="484"/>
      <c r="DYF60" s="484"/>
      <c r="DYG60" s="484"/>
      <c r="DYH60" s="484"/>
      <c r="DYI60" s="484"/>
      <c r="DYJ60" s="484"/>
      <c r="DYK60" s="484"/>
      <c r="DYL60" s="484"/>
      <c r="DYM60" s="484"/>
      <c r="DYN60" s="484"/>
      <c r="DYO60" s="484"/>
      <c r="DYP60" s="484"/>
      <c r="DYQ60" s="484"/>
      <c r="DYR60" s="484"/>
      <c r="DYS60" s="484"/>
      <c r="DYT60" s="484"/>
      <c r="DYU60" s="484"/>
      <c r="DYV60" s="484"/>
      <c r="DYW60" s="484"/>
      <c r="DYX60" s="484"/>
      <c r="DYY60" s="484"/>
      <c r="DYZ60" s="484"/>
      <c r="DZA60" s="484"/>
      <c r="DZB60" s="484"/>
      <c r="DZC60" s="484"/>
      <c r="DZD60" s="484"/>
      <c r="DZE60" s="484"/>
      <c r="DZF60" s="484"/>
      <c r="DZG60" s="484"/>
      <c r="DZH60" s="484"/>
      <c r="DZI60" s="484"/>
      <c r="DZJ60" s="484"/>
      <c r="DZK60" s="484"/>
      <c r="DZL60" s="484"/>
      <c r="DZM60" s="484"/>
      <c r="DZN60" s="484"/>
      <c r="DZO60" s="484"/>
      <c r="DZP60" s="484"/>
      <c r="DZQ60" s="484"/>
      <c r="DZR60" s="484"/>
      <c r="DZS60" s="484"/>
      <c r="DZT60" s="484"/>
      <c r="DZU60" s="484"/>
      <c r="DZV60" s="484"/>
      <c r="DZW60" s="484"/>
      <c r="DZX60" s="484"/>
      <c r="DZY60" s="484"/>
      <c r="DZZ60" s="484"/>
      <c r="EAA60" s="484"/>
      <c r="EAB60" s="484"/>
      <c r="EAC60" s="484"/>
      <c r="EAD60" s="484"/>
      <c r="EAE60" s="484"/>
      <c r="EAF60" s="484"/>
      <c r="EAG60" s="484"/>
      <c r="EAH60" s="484"/>
      <c r="EAI60" s="484"/>
      <c r="EAJ60" s="484"/>
      <c r="EAK60" s="484"/>
      <c r="EAL60" s="484"/>
      <c r="EAM60" s="484"/>
      <c r="EAN60" s="484"/>
      <c r="EAO60" s="484"/>
      <c r="EAP60" s="484"/>
      <c r="EAQ60" s="484"/>
      <c r="EAR60" s="484"/>
      <c r="EAS60" s="484"/>
      <c r="EAT60" s="484"/>
      <c r="EAU60" s="484"/>
      <c r="EAV60" s="484"/>
      <c r="EAW60" s="484"/>
      <c r="EAX60" s="484"/>
      <c r="EAY60" s="484"/>
      <c r="EAZ60" s="484"/>
      <c r="EBA60" s="484"/>
      <c r="EBB60" s="484"/>
      <c r="EBC60" s="484"/>
      <c r="EBD60" s="484"/>
      <c r="EBE60" s="484"/>
      <c r="EBF60" s="484"/>
      <c r="EBG60" s="484"/>
      <c r="EBH60" s="484"/>
      <c r="EBI60" s="484"/>
      <c r="EBJ60" s="484"/>
      <c r="EBK60" s="484"/>
      <c r="EBL60" s="484"/>
      <c r="EBM60" s="484"/>
      <c r="EBN60" s="484"/>
      <c r="EBO60" s="484"/>
      <c r="EBP60" s="484"/>
      <c r="EBQ60" s="484"/>
      <c r="EBR60" s="484"/>
      <c r="EBS60" s="484"/>
      <c r="EBT60" s="484"/>
      <c r="EBU60" s="484"/>
      <c r="EBV60" s="484"/>
      <c r="EBW60" s="484"/>
      <c r="EBX60" s="484"/>
      <c r="EBY60" s="484"/>
      <c r="EBZ60" s="484"/>
      <c r="ECA60" s="484"/>
      <c r="ECB60" s="484"/>
      <c r="ECC60" s="484"/>
      <c r="ECD60" s="484"/>
      <c r="ECE60" s="484"/>
      <c r="ECF60" s="484"/>
      <c r="ECG60" s="484"/>
      <c r="ECH60" s="484"/>
      <c r="ECI60" s="484"/>
      <c r="ECJ60" s="484"/>
      <c r="ECK60" s="484"/>
      <c r="ECL60" s="484"/>
      <c r="ECM60" s="484"/>
      <c r="ECN60" s="484"/>
      <c r="ECO60" s="484"/>
      <c r="ECP60" s="484"/>
      <c r="ECQ60" s="484"/>
      <c r="ECR60" s="484"/>
      <c r="ECS60" s="484"/>
      <c r="ECT60" s="484"/>
      <c r="ECU60" s="484"/>
      <c r="ECV60" s="484"/>
      <c r="ECW60" s="484"/>
      <c r="ECX60" s="484"/>
      <c r="ECY60" s="484"/>
      <c r="ECZ60" s="484"/>
      <c r="EDA60" s="484"/>
      <c r="EDB60" s="484"/>
      <c r="EDC60" s="484"/>
      <c r="EDD60" s="484"/>
      <c r="EDE60" s="484"/>
      <c r="EDF60" s="484"/>
      <c r="EDG60" s="484"/>
      <c r="EDH60" s="484"/>
      <c r="EDI60" s="484"/>
      <c r="EDJ60" s="484"/>
      <c r="EDK60" s="484"/>
      <c r="EDL60" s="484"/>
      <c r="EDM60" s="484"/>
      <c r="EDN60" s="484"/>
      <c r="EDO60" s="484"/>
      <c r="EDP60" s="484"/>
      <c r="EDQ60" s="484"/>
      <c r="EDR60" s="484"/>
      <c r="EDS60" s="484"/>
      <c r="EDT60" s="484"/>
      <c r="EDU60" s="484"/>
      <c r="EDV60" s="484"/>
      <c r="EDW60" s="484"/>
      <c r="EDX60" s="484"/>
      <c r="EDY60" s="484"/>
      <c r="EDZ60" s="484"/>
      <c r="EEA60" s="484"/>
      <c r="EEB60" s="484"/>
      <c r="EEC60" s="484"/>
      <c r="EED60" s="484"/>
      <c r="EEE60" s="484"/>
      <c r="EEF60" s="484"/>
      <c r="EEG60" s="484"/>
      <c r="EEH60" s="484"/>
      <c r="EEI60" s="484"/>
      <c r="EEJ60" s="484"/>
      <c r="EEK60" s="484"/>
      <c r="EEL60" s="484"/>
      <c r="EEM60" s="484"/>
      <c r="EEN60" s="484"/>
      <c r="EEO60" s="484"/>
      <c r="EEP60" s="484"/>
      <c r="EEQ60" s="484"/>
      <c r="EER60" s="484"/>
      <c r="EES60" s="484"/>
      <c r="EET60" s="484"/>
      <c r="EEU60" s="484"/>
      <c r="EEV60" s="484"/>
      <c r="EEW60" s="484"/>
      <c r="EEX60" s="484"/>
      <c r="EEY60" s="484"/>
      <c r="EEZ60" s="484"/>
      <c r="EFA60" s="484"/>
      <c r="EFB60" s="484"/>
      <c r="EFC60" s="484"/>
      <c r="EFD60" s="484"/>
      <c r="EFE60" s="484"/>
      <c r="EFF60" s="484"/>
      <c r="EFG60" s="484"/>
      <c r="EFH60" s="484"/>
      <c r="EFI60" s="484"/>
      <c r="EFJ60" s="484"/>
      <c r="EFK60" s="484"/>
      <c r="EFL60" s="484"/>
      <c r="EFM60" s="484"/>
      <c r="EFN60" s="484"/>
      <c r="EFO60" s="484"/>
      <c r="EFP60" s="484"/>
      <c r="EFQ60" s="484"/>
      <c r="EFR60" s="484"/>
      <c r="EFS60" s="484"/>
      <c r="EFT60" s="484"/>
      <c r="EFU60" s="484"/>
      <c r="EFV60" s="484"/>
      <c r="EFW60" s="484"/>
      <c r="EFX60" s="484"/>
      <c r="EFY60" s="484"/>
      <c r="EFZ60" s="484"/>
      <c r="EGA60" s="484"/>
      <c r="EGB60" s="484"/>
      <c r="EGC60" s="484"/>
      <c r="EGD60" s="484"/>
      <c r="EGE60" s="484"/>
      <c r="EGF60" s="484"/>
      <c r="EGG60" s="484"/>
      <c r="EGH60" s="484"/>
      <c r="EGI60" s="484"/>
      <c r="EGJ60" s="484"/>
      <c r="EGK60" s="484"/>
      <c r="EGL60" s="484"/>
      <c r="EGM60" s="484"/>
      <c r="EGN60" s="484"/>
      <c r="EGO60" s="484"/>
      <c r="EGP60" s="484"/>
      <c r="EGQ60" s="484"/>
      <c r="EGR60" s="484"/>
      <c r="EGS60" s="484"/>
      <c r="EGT60" s="484"/>
      <c r="EGU60" s="484"/>
      <c r="EGV60" s="484"/>
      <c r="EGW60" s="484"/>
      <c r="EGX60" s="484"/>
      <c r="EGY60" s="484"/>
      <c r="EGZ60" s="484"/>
      <c r="EHA60" s="484"/>
      <c r="EHB60" s="484"/>
      <c r="EHC60" s="484"/>
      <c r="EHD60" s="484"/>
      <c r="EHE60" s="484"/>
      <c r="EHF60" s="484"/>
      <c r="EHG60" s="484"/>
      <c r="EHH60" s="484"/>
      <c r="EHI60" s="484"/>
      <c r="EHJ60" s="484"/>
      <c r="EHK60" s="484"/>
      <c r="EHL60" s="484"/>
      <c r="EHM60" s="484"/>
      <c r="EHN60" s="484"/>
      <c r="EHO60" s="484"/>
      <c r="EHP60" s="484"/>
      <c r="EHQ60" s="484"/>
      <c r="EHR60" s="484"/>
      <c r="EHS60" s="484"/>
      <c r="EHT60" s="484"/>
      <c r="EHU60" s="484"/>
      <c r="EHV60" s="484"/>
      <c r="EHW60" s="484"/>
      <c r="EHX60" s="484"/>
      <c r="EHY60" s="484"/>
      <c r="EHZ60" s="484"/>
      <c r="EIA60" s="484"/>
      <c r="EIB60" s="484"/>
      <c r="EIC60" s="484"/>
      <c r="EID60" s="484"/>
      <c r="EIE60" s="484"/>
      <c r="EIF60" s="484"/>
      <c r="EIG60" s="484"/>
      <c r="EIH60" s="484"/>
      <c r="EII60" s="484"/>
      <c r="EIJ60" s="484"/>
      <c r="EIK60" s="484"/>
      <c r="EIL60" s="484"/>
      <c r="EIM60" s="484"/>
      <c r="EIN60" s="484"/>
      <c r="EIO60" s="484"/>
      <c r="EIP60" s="484"/>
      <c r="EIQ60" s="484"/>
      <c r="EIR60" s="484"/>
      <c r="EIS60" s="484"/>
      <c r="EIT60" s="484"/>
      <c r="EIU60" s="484"/>
      <c r="EIV60" s="484"/>
      <c r="EIW60" s="484"/>
      <c r="EIX60" s="484"/>
      <c r="EIY60" s="484"/>
      <c r="EIZ60" s="484"/>
      <c r="EJA60" s="484"/>
      <c r="EJB60" s="484"/>
      <c r="EJC60" s="484"/>
      <c r="EJD60" s="484"/>
      <c r="EJE60" s="484"/>
      <c r="EJF60" s="484"/>
      <c r="EJG60" s="484"/>
      <c r="EJH60" s="484"/>
      <c r="EJI60" s="484"/>
      <c r="EJJ60" s="484"/>
      <c r="EJK60" s="484"/>
      <c r="EJL60" s="484"/>
      <c r="EJM60" s="484"/>
      <c r="EJN60" s="484"/>
      <c r="EJO60" s="484"/>
      <c r="EJP60" s="484"/>
      <c r="EJQ60" s="484"/>
      <c r="EJR60" s="484"/>
      <c r="EJS60" s="484"/>
      <c r="EJT60" s="484"/>
      <c r="EJU60" s="484"/>
      <c r="EJV60" s="484"/>
      <c r="EJW60" s="484"/>
      <c r="EJX60" s="484"/>
      <c r="EJY60" s="484"/>
      <c r="EJZ60" s="484"/>
      <c r="EKA60" s="484"/>
      <c r="EKB60" s="484"/>
      <c r="EKC60" s="484"/>
      <c r="EKD60" s="484"/>
      <c r="EKE60" s="484"/>
      <c r="EKF60" s="484"/>
      <c r="EKG60" s="484"/>
      <c r="EKH60" s="484"/>
      <c r="EKI60" s="484"/>
      <c r="EKJ60" s="484"/>
      <c r="EKK60" s="484"/>
      <c r="EKL60" s="484"/>
      <c r="EKM60" s="484"/>
      <c r="EKN60" s="484"/>
      <c r="EKO60" s="484"/>
      <c r="EKP60" s="484"/>
      <c r="EKQ60" s="484"/>
      <c r="EKR60" s="484"/>
      <c r="EKS60" s="484"/>
      <c r="EKT60" s="484"/>
      <c r="EKU60" s="484"/>
      <c r="EKV60" s="484"/>
      <c r="EKW60" s="484"/>
      <c r="EKX60" s="484"/>
      <c r="EKY60" s="484"/>
      <c r="EKZ60" s="484"/>
      <c r="ELA60" s="484"/>
      <c r="ELB60" s="484"/>
      <c r="ELC60" s="484"/>
      <c r="ELD60" s="484"/>
      <c r="ELE60" s="484"/>
      <c r="ELF60" s="484"/>
      <c r="ELG60" s="484"/>
      <c r="ELH60" s="484"/>
      <c r="ELI60" s="484"/>
      <c r="ELJ60" s="484"/>
      <c r="ELK60" s="484"/>
      <c r="ELL60" s="484"/>
      <c r="ELM60" s="484"/>
      <c r="ELN60" s="484"/>
      <c r="ELO60" s="484"/>
      <c r="ELP60" s="484"/>
      <c r="ELQ60" s="484"/>
      <c r="ELR60" s="484"/>
      <c r="ELS60" s="484"/>
      <c r="ELT60" s="484"/>
      <c r="ELU60" s="484"/>
      <c r="ELV60" s="484"/>
      <c r="ELW60" s="484"/>
      <c r="ELX60" s="484"/>
      <c r="ELY60" s="484"/>
      <c r="ELZ60" s="484"/>
      <c r="EMA60" s="484"/>
      <c r="EMB60" s="484"/>
      <c r="EMC60" s="484"/>
      <c r="EMD60" s="484"/>
      <c r="EME60" s="484"/>
      <c r="EMF60" s="484"/>
      <c r="EMG60" s="484"/>
      <c r="EMH60" s="484"/>
      <c r="EMI60" s="484"/>
      <c r="EMJ60" s="484"/>
      <c r="EMK60" s="484"/>
      <c r="EML60" s="484"/>
      <c r="EMM60" s="484"/>
      <c r="EMN60" s="484"/>
      <c r="EMO60" s="484"/>
      <c r="EMP60" s="484"/>
      <c r="EMQ60" s="484"/>
      <c r="EMR60" s="484"/>
      <c r="EMS60" s="484"/>
      <c r="EMT60" s="484"/>
      <c r="EMU60" s="484"/>
      <c r="EMV60" s="484"/>
      <c r="EMW60" s="484"/>
      <c r="EMX60" s="484"/>
      <c r="EMY60" s="484"/>
      <c r="EMZ60" s="484"/>
      <c r="ENA60" s="484"/>
      <c r="ENB60" s="484"/>
      <c r="ENC60" s="484"/>
      <c r="END60" s="484"/>
      <c r="ENE60" s="484"/>
      <c r="ENF60" s="484"/>
      <c r="ENG60" s="484"/>
      <c r="ENH60" s="484"/>
      <c r="ENI60" s="484"/>
      <c r="ENJ60" s="484"/>
      <c r="ENK60" s="484"/>
      <c r="ENL60" s="484"/>
      <c r="ENM60" s="484"/>
      <c r="ENN60" s="484"/>
      <c r="ENO60" s="484"/>
      <c r="ENP60" s="484"/>
      <c r="ENQ60" s="484"/>
      <c r="ENR60" s="484"/>
      <c r="ENS60" s="484"/>
      <c r="ENT60" s="484"/>
      <c r="ENU60" s="484"/>
      <c r="ENV60" s="484"/>
      <c r="ENW60" s="484"/>
      <c r="ENX60" s="484"/>
      <c r="ENY60" s="484"/>
      <c r="ENZ60" s="484"/>
      <c r="EOA60" s="484"/>
      <c r="EOB60" s="484"/>
      <c r="EOC60" s="484"/>
      <c r="EOD60" s="484"/>
      <c r="EOE60" s="484"/>
      <c r="EOF60" s="484"/>
      <c r="EOG60" s="484"/>
      <c r="EOH60" s="484"/>
      <c r="EOI60" s="484"/>
      <c r="EOJ60" s="484"/>
      <c r="EOK60" s="484"/>
      <c r="EOL60" s="484"/>
      <c r="EOM60" s="484"/>
      <c r="EON60" s="484"/>
      <c r="EOO60" s="484"/>
      <c r="EOP60" s="484"/>
      <c r="EOQ60" s="484"/>
      <c r="EOR60" s="484"/>
      <c r="EOS60" s="484"/>
      <c r="EOT60" s="484"/>
      <c r="EOU60" s="484"/>
      <c r="EOV60" s="484"/>
      <c r="EOW60" s="484"/>
      <c r="EOX60" s="484"/>
      <c r="EOY60" s="484"/>
      <c r="EOZ60" s="484"/>
      <c r="EPA60" s="484"/>
      <c r="EPB60" s="484"/>
      <c r="EPC60" s="484"/>
      <c r="EPD60" s="484"/>
      <c r="EPE60" s="484"/>
      <c r="EPF60" s="484"/>
      <c r="EPG60" s="484"/>
      <c r="EPH60" s="484"/>
      <c r="EPI60" s="484"/>
      <c r="EPJ60" s="484"/>
      <c r="EPK60" s="484"/>
      <c r="EPL60" s="484"/>
      <c r="EPM60" s="484"/>
      <c r="EPN60" s="484"/>
      <c r="EPO60" s="484"/>
      <c r="EPP60" s="484"/>
      <c r="EPQ60" s="484"/>
      <c r="EPR60" s="484"/>
      <c r="EPS60" s="484"/>
      <c r="EPT60" s="484"/>
      <c r="EPU60" s="484"/>
      <c r="EPV60" s="484"/>
      <c r="EPW60" s="484"/>
      <c r="EPX60" s="484"/>
      <c r="EPY60" s="484"/>
      <c r="EPZ60" s="484"/>
      <c r="EQA60" s="484"/>
      <c r="EQB60" s="484"/>
      <c r="EQC60" s="484"/>
      <c r="EQD60" s="484"/>
      <c r="EQE60" s="484"/>
      <c r="EQF60" s="484"/>
      <c r="EQG60" s="484"/>
      <c r="EQH60" s="484"/>
      <c r="EQI60" s="484"/>
      <c r="EQJ60" s="484"/>
      <c r="EQK60" s="484"/>
      <c r="EQL60" s="484"/>
      <c r="EQM60" s="484"/>
      <c r="EQN60" s="484"/>
      <c r="EQO60" s="484"/>
      <c r="EQP60" s="484"/>
      <c r="EQQ60" s="484"/>
      <c r="EQR60" s="484"/>
      <c r="EQS60" s="484"/>
      <c r="EQT60" s="484"/>
      <c r="EQU60" s="484"/>
      <c r="EQV60" s="484"/>
      <c r="EQW60" s="484"/>
      <c r="EQX60" s="484"/>
      <c r="EQY60" s="484"/>
      <c r="EQZ60" s="484"/>
      <c r="ERA60" s="484"/>
      <c r="ERB60" s="484"/>
      <c r="ERC60" s="484"/>
      <c r="ERD60" s="484"/>
      <c r="ERE60" s="484"/>
      <c r="ERF60" s="484"/>
      <c r="ERG60" s="484"/>
      <c r="ERH60" s="484"/>
      <c r="ERI60" s="484"/>
      <c r="ERJ60" s="484"/>
      <c r="ERK60" s="484"/>
      <c r="ERL60" s="484"/>
      <c r="ERM60" s="484"/>
      <c r="ERN60" s="484"/>
      <c r="ERO60" s="484"/>
      <c r="ERP60" s="484"/>
      <c r="ERQ60" s="484"/>
      <c r="ERR60" s="484"/>
      <c r="ERS60" s="484"/>
      <c r="ERT60" s="484"/>
      <c r="ERU60" s="484"/>
      <c r="ERV60" s="484"/>
      <c r="ERW60" s="484"/>
      <c r="ERX60" s="484"/>
      <c r="ERY60" s="484"/>
      <c r="ERZ60" s="484"/>
      <c r="ESA60" s="484"/>
      <c r="ESB60" s="484"/>
      <c r="ESC60" s="484"/>
      <c r="ESD60" s="484"/>
      <c r="ESE60" s="484"/>
      <c r="ESF60" s="484"/>
      <c r="ESG60" s="484"/>
      <c r="ESH60" s="484"/>
      <c r="ESI60" s="484"/>
      <c r="ESJ60" s="484"/>
      <c r="ESK60" s="484"/>
      <c r="ESL60" s="484"/>
      <c r="ESM60" s="484"/>
      <c r="ESN60" s="484"/>
      <c r="ESO60" s="484"/>
      <c r="ESP60" s="484"/>
      <c r="ESQ60" s="484"/>
      <c r="ESR60" s="484"/>
      <c r="ESS60" s="484"/>
      <c r="EST60" s="484"/>
      <c r="ESU60" s="484"/>
      <c r="ESV60" s="484"/>
      <c r="ESW60" s="484"/>
      <c r="ESX60" s="484"/>
      <c r="ESY60" s="484"/>
      <c r="ESZ60" s="484"/>
      <c r="ETA60" s="484"/>
      <c r="ETB60" s="484"/>
      <c r="ETC60" s="484"/>
      <c r="ETD60" s="484"/>
      <c r="ETE60" s="484"/>
      <c r="ETF60" s="484"/>
      <c r="ETG60" s="484"/>
      <c r="ETH60" s="484"/>
      <c r="ETI60" s="484"/>
      <c r="ETJ60" s="484"/>
      <c r="ETK60" s="484"/>
      <c r="ETL60" s="484"/>
      <c r="ETM60" s="484"/>
      <c r="ETN60" s="484"/>
      <c r="ETO60" s="484"/>
      <c r="ETP60" s="484"/>
      <c r="ETQ60" s="484"/>
      <c r="ETR60" s="484"/>
      <c r="ETS60" s="484"/>
      <c r="ETT60" s="484"/>
      <c r="ETU60" s="484"/>
      <c r="ETV60" s="484"/>
      <c r="ETW60" s="484"/>
      <c r="ETX60" s="484"/>
      <c r="ETY60" s="484"/>
      <c r="ETZ60" s="484"/>
      <c r="EUA60" s="484"/>
      <c r="EUB60" s="484"/>
      <c r="EUC60" s="484"/>
      <c r="EUD60" s="484"/>
      <c r="EUE60" s="484"/>
      <c r="EUF60" s="484"/>
      <c r="EUG60" s="484"/>
      <c r="EUH60" s="484"/>
      <c r="EUI60" s="484"/>
      <c r="EUJ60" s="484"/>
      <c r="EUK60" s="484"/>
      <c r="EUL60" s="484"/>
      <c r="EUM60" s="484"/>
      <c r="EUN60" s="484"/>
      <c r="EUO60" s="484"/>
      <c r="EUP60" s="484"/>
      <c r="EUQ60" s="484"/>
      <c r="EUR60" s="484"/>
      <c r="EUS60" s="484"/>
      <c r="EUT60" s="484"/>
      <c r="EUU60" s="484"/>
      <c r="EUV60" s="484"/>
      <c r="EUW60" s="484"/>
      <c r="EUX60" s="484"/>
      <c r="EUY60" s="484"/>
      <c r="EUZ60" s="484"/>
      <c r="EVA60" s="484"/>
      <c r="EVB60" s="484"/>
      <c r="EVC60" s="484"/>
      <c r="EVD60" s="484"/>
      <c r="EVE60" s="484"/>
      <c r="EVF60" s="484"/>
      <c r="EVG60" s="484"/>
      <c r="EVH60" s="484"/>
      <c r="EVI60" s="484"/>
      <c r="EVJ60" s="484"/>
      <c r="EVK60" s="484"/>
      <c r="EVL60" s="484"/>
      <c r="EVM60" s="484"/>
      <c r="EVN60" s="484"/>
      <c r="EVO60" s="484"/>
      <c r="EVP60" s="484"/>
      <c r="EVQ60" s="484"/>
      <c r="EVR60" s="484"/>
      <c r="EVS60" s="484"/>
      <c r="EVT60" s="484"/>
      <c r="EVU60" s="484"/>
      <c r="EVV60" s="484"/>
      <c r="EVW60" s="484"/>
      <c r="EVX60" s="484"/>
      <c r="EVY60" s="484"/>
      <c r="EVZ60" s="484"/>
      <c r="EWA60" s="484"/>
      <c r="EWB60" s="484"/>
      <c r="EWC60" s="484"/>
      <c r="EWD60" s="484"/>
      <c r="EWE60" s="484"/>
      <c r="EWF60" s="484"/>
      <c r="EWG60" s="484"/>
      <c r="EWH60" s="484"/>
      <c r="EWI60" s="484"/>
      <c r="EWJ60" s="484"/>
      <c r="EWK60" s="484"/>
      <c r="EWL60" s="484"/>
      <c r="EWM60" s="484"/>
      <c r="EWN60" s="484"/>
      <c r="EWO60" s="484"/>
      <c r="EWP60" s="484"/>
      <c r="EWQ60" s="484"/>
      <c r="EWR60" s="484"/>
      <c r="EWS60" s="484"/>
      <c r="EWT60" s="484"/>
      <c r="EWU60" s="484"/>
      <c r="EWV60" s="484"/>
      <c r="EWW60" s="484"/>
      <c r="EWX60" s="484"/>
      <c r="EWY60" s="484"/>
      <c r="EWZ60" s="484"/>
      <c r="EXA60" s="484"/>
      <c r="EXB60" s="484"/>
      <c r="EXC60" s="484"/>
      <c r="EXD60" s="484"/>
      <c r="EXE60" s="484"/>
      <c r="EXF60" s="484"/>
      <c r="EXG60" s="484"/>
      <c r="EXH60" s="484"/>
      <c r="EXI60" s="484"/>
      <c r="EXJ60" s="484"/>
      <c r="EXK60" s="484"/>
      <c r="EXL60" s="484"/>
      <c r="EXM60" s="484"/>
      <c r="EXN60" s="484"/>
      <c r="EXO60" s="484"/>
      <c r="EXP60" s="484"/>
      <c r="EXQ60" s="484"/>
      <c r="EXR60" s="484"/>
      <c r="EXS60" s="484"/>
      <c r="EXT60" s="484"/>
      <c r="EXU60" s="484"/>
      <c r="EXV60" s="484"/>
      <c r="EXW60" s="484"/>
      <c r="EXX60" s="484"/>
      <c r="EXY60" s="484"/>
      <c r="EXZ60" s="484"/>
      <c r="EYA60" s="484"/>
      <c r="EYB60" s="484"/>
      <c r="EYC60" s="484"/>
      <c r="EYD60" s="484"/>
      <c r="EYE60" s="484"/>
      <c r="EYF60" s="484"/>
      <c r="EYG60" s="484"/>
      <c r="EYH60" s="484"/>
      <c r="EYI60" s="484"/>
      <c r="EYJ60" s="484"/>
      <c r="EYK60" s="484"/>
      <c r="EYL60" s="484"/>
      <c r="EYM60" s="484"/>
      <c r="EYN60" s="484"/>
      <c r="EYO60" s="484"/>
      <c r="EYP60" s="484"/>
      <c r="EYQ60" s="484"/>
      <c r="EYR60" s="484"/>
      <c r="EYS60" s="484"/>
      <c r="EYT60" s="484"/>
      <c r="EYU60" s="484"/>
      <c r="EYV60" s="484"/>
      <c r="EYW60" s="484"/>
      <c r="EYX60" s="484"/>
      <c r="EYY60" s="484"/>
      <c r="EYZ60" s="484"/>
      <c r="EZA60" s="484"/>
      <c r="EZB60" s="484"/>
      <c r="EZC60" s="484"/>
      <c r="EZD60" s="484"/>
      <c r="EZE60" s="484"/>
      <c r="EZF60" s="484"/>
      <c r="EZG60" s="484"/>
      <c r="EZH60" s="484"/>
      <c r="EZI60" s="484"/>
      <c r="EZJ60" s="484"/>
      <c r="EZK60" s="484"/>
      <c r="EZL60" s="484"/>
      <c r="EZM60" s="484"/>
      <c r="EZN60" s="484"/>
      <c r="EZO60" s="484"/>
      <c r="EZP60" s="484"/>
      <c r="EZQ60" s="484"/>
      <c r="EZR60" s="484"/>
      <c r="EZS60" s="484"/>
      <c r="EZT60" s="484"/>
      <c r="EZU60" s="484"/>
      <c r="EZV60" s="484"/>
      <c r="EZW60" s="484"/>
      <c r="EZX60" s="484"/>
      <c r="EZY60" s="484"/>
      <c r="EZZ60" s="484"/>
      <c r="FAA60" s="484"/>
      <c r="FAB60" s="484"/>
      <c r="FAC60" s="484"/>
      <c r="FAD60" s="484"/>
      <c r="FAE60" s="484"/>
      <c r="FAF60" s="484"/>
      <c r="FAG60" s="484"/>
      <c r="FAH60" s="484"/>
      <c r="FAI60" s="484"/>
      <c r="FAJ60" s="484"/>
      <c r="FAK60" s="484"/>
      <c r="FAL60" s="484"/>
      <c r="FAM60" s="484"/>
      <c r="FAN60" s="484"/>
      <c r="FAO60" s="484"/>
      <c r="FAP60" s="484"/>
      <c r="FAQ60" s="484"/>
      <c r="FAR60" s="484"/>
      <c r="FAS60" s="484"/>
      <c r="FAT60" s="484"/>
      <c r="FAU60" s="484"/>
      <c r="FAV60" s="484"/>
      <c r="FAW60" s="484"/>
      <c r="FAX60" s="484"/>
      <c r="FAY60" s="484"/>
      <c r="FAZ60" s="484"/>
      <c r="FBA60" s="484"/>
      <c r="FBB60" s="484"/>
      <c r="FBC60" s="484"/>
      <c r="FBD60" s="484"/>
      <c r="FBE60" s="484"/>
      <c r="FBF60" s="484"/>
      <c r="FBG60" s="484"/>
      <c r="FBH60" s="484"/>
      <c r="FBI60" s="484"/>
      <c r="FBJ60" s="484"/>
      <c r="FBK60" s="484"/>
      <c r="FBL60" s="484"/>
      <c r="FBM60" s="484"/>
      <c r="FBN60" s="484"/>
      <c r="FBO60" s="484"/>
      <c r="FBP60" s="484"/>
      <c r="FBQ60" s="484"/>
      <c r="FBR60" s="484"/>
      <c r="FBS60" s="484"/>
      <c r="FBT60" s="484"/>
      <c r="FBU60" s="484"/>
      <c r="FBV60" s="484"/>
      <c r="FBW60" s="484"/>
      <c r="FBX60" s="484"/>
      <c r="FBY60" s="484"/>
      <c r="FBZ60" s="484"/>
      <c r="FCA60" s="484"/>
      <c r="FCB60" s="484"/>
      <c r="FCC60" s="484"/>
      <c r="FCD60" s="484"/>
      <c r="FCE60" s="484"/>
      <c r="FCF60" s="484"/>
      <c r="FCG60" s="484"/>
      <c r="FCH60" s="484"/>
      <c r="FCI60" s="484"/>
      <c r="FCJ60" s="484"/>
      <c r="FCK60" s="484"/>
      <c r="FCL60" s="484"/>
      <c r="FCM60" s="484"/>
      <c r="FCN60" s="484"/>
      <c r="FCO60" s="484"/>
      <c r="FCP60" s="484"/>
      <c r="FCQ60" s="484"/>
      <c r="FCR60" s="484"/>
      <c r="FCS60" s="484"/>
      <c r="FCT60" s="484"/>
      <c r="FCU60" s="484"/>
      <c r="FCV60" s="484"/>
      <c r="FCW60" s="484"/>
      <c r="FCX60" s="484"/>
      <c r="FCY60" s="484"/>
      <c r="FCZ60" s="484"/>
      <c r="FDA60" s="484"/>
      <c r="FDB60" s="484"/>
      <c r="FDC60" s="484"/>
      <c r="FDD60" s="484"/>
      <c r="FDE60" s="484"/>
      <c r="FDF60" s="484"/>
      <c r="FDG60" s="484"/>
      <c r="FDH60" s="484"/>
      <c r="FDI60" s="484"/>
      <c r="FDJ60" s="484"/>
      <c r="FDK60" s="484"/>
      <c r="FDL60" s="484"/>
      <c r="FDM60" s="484"/>
      <c r="FDN60" s="484"/>
      <c r="FDO60" s="484"/>
      <c r="FDP60" s="484"/>
      <c r="FDQ60" s="484"/>
      <c r="FDR60" s="484"/>
      <c r="FDS60" s="484"/>
      <c r="FDT60" s="484"/>
      <c r="FDU60" s="484"/>
      <c r="FDV60" s="484"/>
      <c r="FDW60" s="484"/>
      <c r="FDX60" s="484"/>
      <c r="FDY60" s="484"/>
      <c r="FDZ60" s="484"/>
      <c r="FEA60" s="484"/>
      <c r="FEB60" s="484"/>
      <c r="FEC60" s="484"/>
      <c r="FED60" s="484"/>
      <c r="FEE60" s="484"/>
      <c r="FEF60" s="484"/>
      <c r="FEG60" s="484"/>
      <c r="FEH60" s="484"/>
      <c r="FEI60" s="484"/>
      <c r="FEJ60" s="484"/>
      <c r="FEK60" s="484"/>
      <c r="FEL60" s="484"/>
      <c r="FEM60" s="484"/>
      <c r="FEN60" s="484"/>
      <c r="FEO60" s="484"/>
      <c r="FEP60" s="484"/>
      <c r="FEQ60" s="484"/>
      <c r="FER60" s="484"/>
      <c r="FES60" s="484"/>
      <c r="FET60" s="484"/>
      <c r="FEU60" s="484"/>
      <c r="FEV60" s="484"/>
      <c r="FEW60" s="484"/>
      <c r="FEX60" s="484"/>
      <c r="FEY60" s="484"/>
      <c r="FEZ60" s="484"/>
      <c r="FFA60" s="484"/>
      <c r="FFB60" s="484"/>
      <c r="FFC60" s="484"/>
      <c r="FFD60" s="484"/>
      <c r="FFE60" s="484"/>
      <c r="FFF60" s="484"/>
      <c r="FFG60" s="484"/>
      <c r="FFH60" s="484"/>
      <c r="FFI60" s="484"/>
      <c r="FFJ60" s="484"/>
      <c r="FFK60" s="484"/>
      <c r="FFL60" s="484"/>
      <c r="FFM60" s="484"/>
      <c r="FFN60" s="484"/>
      <c r="FFO60" s="484"/>
      <c r="FFP60" s="484"/>
      <c r="FFQ60" s="484"/>
      <c r="FFR60" s="484"/>
      <c r="FFS60" s="484"/>
      <c r="FFT60" s="484"/>
      <c r="FFU60" s="484"/>
      <c r="FFV60" s="484"/>
      <c r="FFW60" s="484"/>
      <c r="FFX60" s="484"/>
      <c r="FFY60" s="484"/>
      <c r="FFZ60" s="484"/>
      <c r="FGA60" s="484"/>
      <c r="FGB60" s="484"/>
      <c r="FGC60" s="484"/>
      <c r="FGD60" s="484"/>
      <c r="FGE60" s="484"/>
      <c r="FGF60" s="484"/>
      <c r="FGG60" s="484"/>
      <c r="FGH60" s="484"/>
      <c r="FGI60" s="484"/>
      <c r="FGJ60" s="484"/>
      <c r="FGK60" s="484"/>
      <c r="FGL60" s="484"/>
      <c r="FGM60" s="484"/>
      <c r="FGN60" s="484"/>
      <c r="FGO60" s="484"/>
      <c r="FGP60" s="484"/>
      <c r="FGQ60" s="484"/>
      <c r="FGR60" s="484"/>
      <c r="FGS60" s="484"/>
      <c r="FGT60" s="484"/>
      <c r="FGU60" s="484"/>
      <c r="FGV60" s="484"/>
      <c r="FGW60" s="484"/>
      <c r="FGX60" s="484"/>
      <c r="FGY60" s="484"/>
      <c r="FGZ60" s="484"/>
      <c r="FHA60" s="484"/>
      <c r="FHB60" s="484"/>
      <c r="FHC60" s="484"/>
      <c r="FHD60" s="484"/>
      <c r="FHE60" s="484"/>
      <c r="FHF60" s="484"/>
      <c r="FHG60" s="484"/>
      <c r="FHH60" s="484"/>
      <c r="FHI60" s="484"/>
      <c r="FHJ60" s="484"/>
      <c r="FHK60" s="484"/>
      <c r="FHL60" s="484"/>
      <c r="FHM60" s="484"/>
      <c r="FHN60" s="484"/>
      <c r="FHO60" s="484"/>
      <c r="FHP60" s="484"/>
      <c r="FHQ60" s="484"/>
      <c r="FHR60" s="484"/>
      <c r="FHS60" s="484"/>
      <c r="FHT60" s="484"/>
      <c r="FHU60" s="484"/>
      <c r="FHV60" s="484"/>
      <c r="FHW60" s="484"/>
      <c r="FHX60" s="484"/>
      <c r="FHY60" s="484"/>
      <c r="FHZ60" s="484"/>
      <c r="FIA60" s="484"/>
      <c r="FIB60" s="484"/>
      <c r="FIC60" s="484"/>
      <c r="FID60" s="484"/>
      <c r="FIE60" s="484"/>
      <c r="FIF60" s="484"/>
      <c r="FIG60" s="484"/>
      <c r="FIH60" s="484"/>
      <c r="FII60" s="484"/>
      <c r="FIJ60" s="484"/>
      <c r="FIK60" s="484"/>
      <c r="FIL60" s="484"/>
      <c r="FIM60" s="484"/>
      <c r="FIN60" s="484"/>
      <c r="FIO60" s="484"/>
      <c r="FIP60" s="484"/>
      <c r="FIQ60" s="484"/>
      <c r="FIR60" s="484"/>
      <c r="FIS60" s="484"/>
      <c r="FIT60" s="484"/>
      <c r="FIU60" s="484"/>
      <c r="FIV60" s="484"/>
      <c r="FIW60" s="484"/>
      <c r="FIX60" s="484"/>
      <c r="FIY60" s="484"/>
      <c r="FIZ60" s="484"/>
      <c r="FJA60" s="484"/>
      <c r="FJB60" s="484"/>
      <c r="FJC60" s="484"/>
      <c r="FJD60" s="484"/>
      <c r="FJE60" s="484"/>
      <c r="FJF60" s="484"/>
      <c r="FJG60" s="484"/>
      <c r="FJH60" s="484"/>
      <c r="FJI60" s="484"/>
      <c r="FJJ60" s="484"/>
      <c r="FJK60" s="484"/>
      <c r="FJL60" s="484"/>
      <c r="FJM60" s="484"/>
      <c r="FJN60" s="484"/>
      <c r="FJO60" s="484"/>
      <c r="FJP60" s="484"/>
      <c r="FJQ60" s="484"/>
      <c r="FJR60" s="484"/>
      <c r="FJS60" s="484"/>
      <c r="FJT60" s="484"/>
      <c r="FJU60" s="484"/>
      <c r="FJV60" s="484"/>
      <c r="FJW60" s="484"/>
      <c r="FJX60" s="484"/>
      <c r="FJY60" s="484"/>
      <c r="FJZ60" s="484"/>
      <c r="FKA60" s="484"/>
      <c r="FKB60" s="484"/>
      <c r="FKC60" s="484"/>
      <c r="FKD60" s="484"/>
      <c r="FKE60" s="484"/>
      <c r="FKF60" s="484"/>
      <c r="FKG60" s="484"/>
      <c r="FKH60" s="484"/>
      <c r="FKI60" s="484"/>
      <c r="FKJ60" s="484"/>
      <c r="FKK60" s="484"/>
      <c r="FKL60" s="484"/>
      <c r="FKM60" s="484"/>
      <c r="FKN60" s="484"/>
      <c r="FKO60" s="484"/>
      <c r="FKP60" s="484"/>
      <c r="FKQ60" s="484"/>
      <c r="FKR60" s="484"/>
      <c r="FKS60" s="484"/>
      <c r="FKT60" s="484"/>
      <c r="FKU60" s="484"/>
      <c r="FKV60" s="484"/>
      <c r="FKW60" s="484"/>
      <c r="FKX60" s="484"/>
      <c r="FKY60" s="484"/>
      <c r="FKZ60" s="484"/>
      <c r="FLA60" s="484"/>
      <c r="FLB60" s="484"/>
      <c r="FLC60" s="484"/>
      <c r="FLD60" s="484"/>
      <c r="FLE60" s="484"/>
      <c r="FLF60" s="484"/>
      <c r="FLG60" s="484"/>
      <c r="FLH60" s="484"/>
      <c r="FLI60" s="484"/>
      <c r="FLJ60" s="484"/>
      <c r="FLK60" s="484"/>
      <c r="FLL60" s="484"/>
      <c r="FLM60" s="484"/>
      <c r="FLN60" s="484"/>
      <c r="FLO60" s="484"/>
      <c r="FLP60" s="484"/>
      <c r="FLQ60" s="484"/>
      <c r="FLR60" s="484"/>
      <c r="FLS60" s="484"/>
      <c r="FLT60" s="484"/>
      <c r="FLU60" s="484"/>
      <c r="FLV60" s="484"/>
      <c r="FLW60" s="484"/>
      <c r="FLX60" s="484"/>
      <c r="FLY60" s="484"/>
      <c r="FLZ60" s="484"/>
      <c r="FMA60" s="484"/>
      <c r="FMB60" s="484"/>
      <c r="FMC60" s="484"/>
      <c r="FMD60" s="484"/>
      <c r="FME60" s="484"/>
      <c r="FMF60" s="484"/>
      <c r="FMG60" s="484"/>
      <c r="FMH60" s="484"/>
      <c r="FMI60" s="484"/>
      <c r="FMJ60" s="484"/>
      <c r="FMK60" s="484"/>
      <c r="FML60" s="484"/>
      <c r="FMM60" s="484"/>
      <c r="FMN60" s="484"/>
      <c r="FMO60" s="484"/>
      <c r="FMP60" s="484"/>
      <c r="FMQ60" s="484"/>
      <c r="FMR60" s="484"/>
      <c r="FMS60" s="484"/>
      <c r="FMT60" s="484"/>
      <c r="FMU60" s="484"/>
      <c r="FMV60" s="484"/>
      <c r="FMW60" s="484"/>
      <c r="FMX60" s="484"/>
      <c r="FMY60" s="484"/>
      <c r="FMZ60" s="484"/>
      <c r="FNA60" s="484"/>
      <c r="FNB60" s="484"/>
      <c r="FNC60" s="484"/>
      <c r="FND60" s="484"/>
      <c r="FNE60" s="484"/>
      <c r="FNF60" s="484"/>
      <c r="FNG60" s="484"/>
      <c r="FNH60" s="484"/>
      <c r="FNI60" s="484"/>
      <c r="FNJ60" s="484"/>
      <c r="FNK60" s="484"/>
      <c r="FNL60" s="484"/>
      <c r="FNM60" s="484"/>
      <c r="FNN60" s="484"/>
      <c r="FNO60" s="484"/>
      <c r="FNP60" s="484"/>
      <c r="FNQ60" s="484"/>
      <c r="FNR60" s="484"/>
      <c r="FNS60" s="484"/>
      <c r="FNT60" s="484"/>
      <c r="FNU60" s="484"/>
      <c r="FNV60" s="484"/>
      <c r="FNW60" s="484"/>
      <c r="FNX60" s="484"/>
      <c r="FNY60" s="484"/>
      <c r="FNZ60" s="484"/>
      <c r="FOA60" s="484"/>
      <c r="FOB60" s="484"/>
      <c r="FOC60" s="484"/>
      <c r="FOD60" s="484"/>
      <c r="FOE60" s="484"/>
      <c r="FOF60" s="484"/>
      <c r="FOG60" s="484"/>
      <c r="FOH60" s="484"/>
      <c r="FOI60" s="484"/>
      <c r="FOJ60" s="484"/>
      <c r="FOK60" s="484"/>
      <c r="FOL60" s="484"/>
      <c r="FOM60" s="484"/>
      <c r="FON60" s="484"/>
      <c r="FOO60" s="484"/>
      <c r="FOP60" s="484"/>
      <c r="FOQ60" s="484"/>
      <c r="FOR60" s="484"/>
      <c r="FOS60" s="484"/>
      <c r="FOT60" s="484"/>
      <c r="FOU60" s="484"/>
      <c r="FOV60" s="484"/>
      <c r="FOW60" s="484"/>
      <c r="FOX60" s="484"/>
      <c r="FOY60" s="484"/>
      <c r="FOZ60" s="484"/>
      <c r="FPA60" s="484"/>
      <c r="FPB60" s="484"/>
      <c r="FPC60" s="484"/>
      <c r="FPD60" s="484"/>
      <c r="FPE60" s="484"/>
      <c r="FPF60" s="484"/>
      <c r="FPG60" s="484"/>
      <c r="FPH60" s="484"/>
      <c r="FPI60" s="484"/>
      <c r="FPJ60" s="484"/>
      <c r="FPK60" s="484"/>
      <c r="FPL60" s="484"/>
      <c r="FPM60" s="484"/>
      <c r="FPN60" s="484"/>
      <c r="FPO60" s="484"/>
      <c r="FPP60" s="484"/>
      <c r="FPQ60" s="484"/>
      <c r="FPR60" s="484"/>
      <c r="FPS60" s="484"/>
      <c r="FPT60" s="484"/>
      <c r="FPU60" s="484"/>
      <c r="FPV60" s="484"/>
      <c r="FPW60" s="484"/>
      <c r="FPX60" s="484"/>
      <c r="FPY60" s="484"/>
      <c r="FPZ60" s="484"/>
      <c r="FQA60" s="484"/>
      <c r="FQB60" s="484"/>
      <c r="FQC60" s="484"/>
      <c r="FQD60" s="484"/>
      <c r="FQE60" s="484"/>
      <c r="FQF60" s="484"/>
      <c r="FQG60" s="484"/>
      <c r="FQH60" s="484"/>
      <c r="FQI60" s="484"/>
      <c r="FQJ60" s="484"/>
      <c r="FQK60" s="484"/>
      <c r="FQL60" s="484"/>
      <c r="FQM60" s="484"/>
      <c r="FQN60" s="484"/>
      <c r="FQO60" s="484"/>
      <c r="FQP60" s="484"/>
      <c r="FQQ60" s="484"/>
      <c r="FQR60" s="484"/>
      <c r="FQS60" s="484"/>
      <c r="FQT60" s="484"/>
      <c r="FQU60" s="484"/>
      <c r="FQV60" s="484"/>
      <c r="FQW60" s="484"/>
      <c r="FQX60" s="484"/>
      <c r="FQY60" s="484"/>
      <c r="FQZ60" s="484"/>
      <c r="FRA60" s="484"/>
      <c r="FRB60" s="484"/>
      <c r="FRC60" s="484"/>
      <c r="FRD60" s="484"/>
      <c r="FRE60" s="484"/>
      <c r="FRF60" s="484"/>
      <c r="FRG60" s="484"/>
      <c r="FRH60" s="484"/>
      <c r="FRI60" s="484"/>
      <c r="FRJ60" s="484"/>
      <c r="FRK60" s="484"/>
      <c r="FRL60" s="484"/>
      <c r="FRM60" s="484"/>
      <c r="FRN60" s="484"/>
      <c r="FRO60" s="484"/>
      <c r="FRP60" s="484"/>
      <c r="FRQ60" s="484"/>
      <c r="FRR60" s="484"/>
      <c r="FRS60" s="484"/>
      <c r="FRT60" s="484"/>
      <c r="FRU60" s="484"/>
      <c r="FRV60" s="484"/>
      <c r="FRW60" s="484"/>
      <c r="FRX60" s="484"/>
      <c r="FRY60" s="484"/>
      <c r="FRZ60" s="484"/>
      <c r="FSA60" s="484"/>
      <c r="FSB60" s="484"/>
      <c r="FSC60" s="484"/>
      <c r="FSD60" s="484"/>
      <c r="FSE60" s="484"/>
      <c r="FSF60" s="484"/>
      <c r="FSG60" s="484"/>
      <c r="FSH60" s="484"/>
      <c r="FSI60" s="484"/>
      <c r="FSJ60" s="484"/>
      <c r="FSK60" s="484"/>
      <c r="FSL60" s="484"/>
      <c r="FSM60" s="484"/>
      <c r="FSN60" s="484"/>
      <c r="FSO60" s="484"/>
      <c r="FSP60" s="484"/>
      <c r="FSQ60" s="484"/>
      <c r="FSR60" s="484"/>
      <c r="FSS60" s="484"/>
      <c r="FST60" s="484"/>
      <c r="FSU60" s="484"/>
      <c r="FSV60" s="484"/>
      <c r="FSW60" s="484"/>
      <c r="FSX60" s="484"/>
      <c r="FSY60" s="484"/>
      <c r="FSZ60" s="484"/>
      <c r="FTA60" s="484"/>
      <c r="FTB60" s="484"/>
      <c r="FTC60" s="484"/>
      <c r="FTD60" s="484"/>
      <c r="FTE60" s="484"/>
      <c r="FTF60" s="484"/>
      <c r="FTG60" s="484"/>
      <c r="FTH60" s="484"/>
      <c r="FTI60" s="484"/>
      <c r="FTJ60" s="484"/>
      <c r="FTK60" s="484"/>
      <c r="FTL60" s="484"/>
      <c r="FTM60" s="484"/>
      <c r="FTN60" s="484"/>
      <c r="FTO60" s="484"/>
      <c r="FTP60" s="484"/>
      <c r="FTQ60" s="484"/>
      <c r="FTR60" s="484"/>
      <c r="FTS60" s="484"/>
      <c r="FTT60" s="484"/>
      <c r="FTU60" s="484"/>
      <c r="FTV60" s="484"/>
      <c r="FTW60" s="484"/>
      <c r="FTX60" s="484"/>
      <c r="FTY60" s="484"/>
      <c r="FTZ60" s="484"/>
      <c r="FUA60" s="484"/>
      <c r="FUB60" s="484"/>
      <c r="FUC60" s="484"/>
      <c r="FUD60" s="484"/>
      <c r="FUE60" s="484"/>
      <c r="FUF60" s="484"/>
      <c r="FUG60" s="484"/>
      <c r="FUH60" s="484"/>
      <c r="FUI60" s="484"/>
      <c r="FUJ60" s="484"/>
      <c r="FUK60" s="484"/>
      <c r="FUL60" s="484"/>
      <c r="FUM60" s="484"/>
      <c r="FUN60" s="484"/>
      <c r="FUO60" s="484"/>
      <c r="FUP60" s="484"/>
      <c r="FUQ60" s="484"/>
      <c r="FUR60" s="484"/>
      <c r="FUS60" s="484"/>
      <c r="FUT60" s="484"/>
      <c r="FUU60" s="484"/>
      <c r="FUV60" s="484"/>
      <c r="FUW60" s="484"/>
      <c r="FUX60" s="484"/>
      <c r="FUY60" s="484"/>
      <c r="FUZ60" s="484"/>
      <c r="FVA60" s="484"/>
      <c r="FVB60" s="484"/>
      <c r="FVC60" s="484"/>
      <c r="FVD60" s="484"/>
      <c r="FVE60" s="484"/>
      <c r="FVF60" s="484"/>
      <c r="FVG60" s="484"/>
      <c r="FVH60" s="484"/>
      <c r="FVI60" s="484"/>
      <c r="FVJ60" s="484"/>
      <c r="FVK60" s="484"/>
      <c r="FVL60" s="484"/>
      <c r="FVM60" s="484"/>
      <c r="FVN60" s="484"/>
      <c r="FVO60" s="484"/>
      <c r="FVP60" s="484"/>
      <c r="FVQ60" s="484"/>
      <c r="FVR60" s="484"/>
      <c r="FVS60" s="484"/>
      <c r="FVT60" s="484"/>
      <c r="FVU60" s="484"/>
      <c r="FVV60" s="484"/>
      <c r="FVW60" s="484"/>
      <c r="FVX60" s="484"/>
      <c r="FVY60" s="484"/>
      <c r="FVZ60" s="484"/>
      <c r="FWA60" s="484"/>
      <c r="FWB60" s="484"/>
      <c r="FWC60" s="484"/>
      <c r="FWD60" s="484"/>
      <c r="FWE60" s="484"/>
      <c r="FWF60" s="484"/>
      <c r="FWG60" s="484"/>
      <c r="FWH60" s="484"/>
      <c r="FWI60" s="484"/>
      <c r="FWJ60" s="484"/>
      <c r="FWK60" s="484"/>
      <c r="FWL60" s="484"/>
      <c r="FWM60" s="484"/>
      <c r="FWN60" s="484"/>
      <c r="FWO60" s="484"/>
      <c r="FWP60" s="484"/>
      <c r="FWQ60" s="484"/>
      <c r="FWR60" s="484"/>
      <c r="FWS60" s="484"/>
      <c r="FWT60" s="484"/>
      <c r="FWU60" s="484"/>
      <c r="FWV60" s="484"/>
      <c r="FWW60" s="484"/>
      <c r="FWX60" s="484"/>
      <c r="FWY60" s="484"/>
      <c r="FWZ60" s="484"/>
      <c r="FXA60" s="484"/>
      <c r="FXB60" s="484"/>
      <c r="FXC60" s="484"/>
      <c r="FXD60" s="484"/>
      <c r="FXE60" s="484"/>
      <c r="FXF60" s="484"/>
      <c r="FXG60" s="484"/>
      <c r="FXH60" s="484"/>
      <c r="FXI60" s="484"/>
      <c r="FXJ60" s="484"/>
      <c r="FXK60" s="484"/>
      <c r="FXL60" s="484"/>
      <c r="FXM60" s="484"/>
      <c r="FXN60" s="484"/>
      <c r="FXO60" s="484"/>
      <c r="FXP60" s="484"/>
      <c r="FXQ60" s="484"/>
      <c r="FXR60" s="484"/>
      <c r="FXS60" s="484"/>
      <c r="FXT60" s="484"/>
      <c r="FXU60" s="484"/>
      <c r="FXV60" s="484"/>
      <c r="FXW60" s="484"/>
      <c r="FXX60" s="484"/>
      <c r="FXY60" s="484"/>
      <c r="FXZ60" s="484"/>
      <c r="FYA60" s="484"/>
      <c r="FYB60" s="484"/>
      <c r="FYC60" s="484"/>
      <c r="FYD60" s="484"/>
      <c r="FYE60" s="484"/>
      <c r="FYF60" s="484"/>
      <c r="FYG60" s="484"/>
      <c r="FYH60" s="484"/>
      <c r="FYI60" s="484"/>
      <c r="FYJ60" s="484"/>
      <c r="FYK60" s="484"/>
      <c r="FYL60" s="484"/>
      <c r="FYM60" s="484"/>
      <c r="FYN60" s="484"/>
      <c r="FYO60" s="484"/>
      <c r="FYP60" s="484"/>
      <c r="FYQ60" s="484"/>
      <c r="FYR60" s="484"/>
      <c r="FYS60" s="484"/>
      <c r="FYT60" s="484"/>
      <c r="FYU60" s="484"/>
      <c r="FYV60" s="484"/>
      <c r="FYW60" s="484"/>
      <c r="FYX60" s="484"/>
      <c r="FYY60" s="484"/>
      <c r="FYZ60" s="484"/>
      <c r="FZA60" s="484"/>
      <c r="FZB60" s="484"/>
      <c r="FZC60" s="484"/>
      <c r="FZD60" s="484"/>
      <c r="FZE60" s="484"/>
      <c r="FZF60" s="484"/>
      <c r="FZG60" s="484"/>
      <c r="FZH60" s="484"/>
      <c r="FZI60" s="484"/>
      <c r="FZJ60" s="484"/>
      <c r="FZK60" s="484"/>
      <c r="FZL60" s="484"/>
      <c r="FZM60" s="484"/>
      <c r="FZN60" s="484"/>
      <c r="FZO60" s="484"/>
      <c r="FZP60" s="484"/>
      <c r="FZQ60" s="484"/>
      <c r="FZR60" s="484"/>
      <c r="FZS60" s="484"/>
      <c r="FZT60" s="484"/>
      <c r="FZU60" s="484"/>
      <c r="FZV60" s="484"/>
      <c r="FZW60" s="484"/>
      <c r="FZX60" s="484"/>
      <c r="FZY60" s="484"/>
      <c r="FZZ60" s="484"/>
      <c r="GAA60" s="484"/>
      <c r="GAB60" s="484"/>
      <c r="GAC60" s="484"/>
      <c r="GAD60" s="484"/>
      <c r="GAE60" s="484"/>
      <c r="GAF60" s="484"/>
      <c r="GAG60" s="484"/>
      <c r="GAH60" s="484"/>
      <c r="GAI60" s="484"/>
      <c r="GAJ60" s="484"/>
      <c r="GAK60" s="484"/>
      <c r="GAL60" s="484"/>
      <c r="GAM60" s="484"/>
      <c r="GAN60" s="484"/>
      <c r="GAO60" s="484"/>
      <c r="GAP60" s="484"/>
      <c r="GAQ60" s="484"/>
      <c r="GAR60" s="484"/>
      <c r="GAS60" s="484"/>
      <c r="GAT60" s="484"/>
      <c r="GAU60" s="484"/>
      <c r="GAV60" s="484"/>
      <c r="GAW60" s="484"/>
      <c r="GAX60" s="484"/>
      <c r="GAY60" s="484"/>
      <c r="GAZ60" s="484"/>
      <c r="GBA60" s="484"/>
      <c r="GBB60" s="484"/>
      <c r="GBC60" s="484"/>
      <c r="GBD60" s="484"/>
      <c r="GBE60" s="484"/>
      <c r="GBF60" s="484"/>
      <c r="GBG60" s="484"/>
      <c r="GBH60" s="484"/>
      <c r="GBI60" s="484"/>
      <c r="GBJ60" s="484"/>
      <c r="GBK60" s="484"/>
      <c r="GBL60" s="484"/>
      <c r="GBM60" s="484"/>
      <c r="GBN60" s="484"/>
      <c r="GBO60" s="484"/>
      <c r="GBP60" s="484"/>
      <c r="GBQ60" s="484"/>
      <c r="GBR60" s="484"/>
      <c r="GBS60" s="484"/>
      <c r="GBT60" s="484"/>
      <c r="GBU60" s="484"/>
      <c r="GBV60" s="484"/>
      <c r="GBW60" s="484"/>
      <c r="GBX60" s="484"/>
      <c r="GBY60" s="484"/>
      <c r="GBZ60" s="484"/>
      <c r="GCA60" s="484"/>
      <c r="GCB60" s="484"/>
      <c r="GCC60" s="484"/>
      <c r="GCD60" s="484"/>
      <c r="GCE60" s="484"/>
      <c r="GCF60" s="484"/>
      <c r="GCG60" s="484"/>
      <c r="GCH60" s="484"/>
      <c r="GCI60" s="484"/>
      <c r="GCJ60" s="484"/>
      <c r="GCK60" s="484"/>
      <c r="GCL60" s="484"/>
      <c r="GCM60" s="484"/>
      <c r="GCN60" s="484"/>
      <c r="GCO60" s="484"/>
      <c r="GCP60" s="484"/>
      <c r="GCQ60" s="484"/>
      <c r="GCR60" s="484"/>
      <c r="GCS60" s="484"/>
      <c r="GCT60" s="484"/>
      <c r="GCU60" s="484"/>
      <c r="GCV60" s="484"/>
      <c r="GCW60" s="484"/>
      <c r="GCX60" s="484"/>
      <c r="GCY60" s="484"/>
      <c r="GCZ60" s="484"/>
      <c r="GDA60" s="484"/>
      <c r="GDB60" s="484"/>
      <c r="GDC60" s="484"/>
      <c r="GDD60" s="484"/>
      <c r="GDE60" s="484"/>
      <c r="GDF60" s="484"/>
      <c r="GDG60" s="484"/>
      <c r="GDH60" s="484"/>
      <c r="GDI60" s="484"/>
      <c r="GDJ60" s="484"/>
      <c r="GDK60" s="484"/>
      <c r="GDL60" s="484"/>
      <c r="GDM60" s="484"/>
      <c r="GDN60" s="484"/>
      <c r="GDO60" s="484"/>
      <c r="GDP60" s="484"/>
      <c r="GDQ60" s="484"/>
      <c r="GDR60" s="484"/>
      <c r="GDS60" s="484"/>
      <c r="GDT60" s="484"/>
      <c r="GDU60" s="484"/>
      <c r="GDV60" s="484"/>
      <c r="GDW60" s="484"/>
      <c r="GDX60" s="484"/>
      <c r="GDY60" s="484"/>
      <c r="GDZ60" s="484"/>
      <c r="GEA60" s="484"/>
      <c r="GEB60" s="484"/>
      <c r="GEC60" s="484"/>
      <c r="GED60" s="484"/>
      <c r="GEE60" s="484"/>
      <c r="GEF60" s="484"/>
      <c r="GEG60" s="484"/>
      <c r="GEH60" s="484"/>
      <c r="GEI60" s="484"/>
      <c r="GEJ60" s="484"/>
      <c r="GEK60" s="484"/>
      <c r="GEL60" s="484"/>
      <c r="GEM60" s="484"/>
      <c r="GEN60" s="484"/>
      <c r="GEO60" s="484"/>
      <c r="GEP60" s="484"/>
      <c r="GEQ60" s="484"/>
      <c r="GER60" s="484"/>
      <c r="GES60" s="484"/>
      <c r="GET60" s="484"/>
      <c r="GEU60" s="484"/>
      <c r="GEV60" s="484"/>
      <c r="GEW60" s="484"/>
      <c r="GEX60" s="484"/>
      <c r="GEY60" s="484"/>
      <c r="GEZ60" s="484"/>
      <c r="GFA60" s="484"/>
      <c r="GFB60" s="484"/>
      <c r="GFC60" s="484"/>
      <c r="GFD60" s="484"/>
      <c r="GFE60" s="484"/>
      <c r="GFF60" s="484"/>
      <c r="GFG60" s="484"/>
      <c r="GFH60" s="484"/>
      <c r="GFI60" s="484"/>
      <c r="GFJ60" s="484"/>
      <c r="GFK60" s="484"/>
      <c r="GFL60" s="484"/>
      <c r="GFM60" s="484"/>
      <c r="GFN60" s="484"/>
      <c r="GFO60" s="484"/>
      <c r="GFP60" s="484"/>
      <c r="GFQ60" s="484"/>
      <c r="GFR60" s="484"/>
      <c r="GFS60" s="484"/>
      <c r="GFT60" s="484"/>
      <c r="GFU60" s="484"/>
      <c r="GFV60" s="484"/>
      <c r="GFW60" s="484"/>
      <c r="GFX60" s="484"/>
      <c r="GFY60" s="484"/>
      <c r="GFZ60" s="484"/>
      <c r="GGA60" s="484"/>
      <c r="GGB60" s="484"/>
      <c r="GGC60" s="484"/>
      <c r="GGD60" s="484"/>
      <c r="GGE60" s="484"/>
      <c r="GGF60" s="484"/>
      <c r="GGG60" s="484"/>
      <c r="GGH60" s="484"/>
      <c r="GGI60" s="484"/>
      <c r="GGJ60" s="484"/>
      <c r="GGK60" s="484"/>
      <c r="GGL60" s="484"/>
      <c r="GGM60" s="484"/>
      <c r="GGN60" s="484"/>
      <c r="GGO60" s="484"/>
      <c r="GGP60" s="484"/>
      <c r="GGQ60" s="484"/>
      <c r="GGR60" s="484"/>
      <c r="GGS60" s="484"/>
      <c r="GGT60" s="484"/>
      <c r="GGU60" s="484"/>
      <c r="GGV60" s="484"/>
      <c r="GGW60" s="484"/>
      <c r="GGX60" s="484"/>
      <c r="GGY60" s="484"/>
      <c r="GGZ60" s="484"/>
      <c r="GHA60" s="484"/>
      <c r="GHB60" s="484"/>
      <c r="GHC60" s="484"/>
      <c r="GHD60" s="484"/>
      <c r="GHE60" s="484"/>
      <c r="GHF60" s="484"/>
      <c r="GHG60" s="484"/>
      <c r="GHH60" s="484"/>
      <c r="GHI60" s="484"/>
      <c r="GHJ60" s="484"/>
      <c r="GHK60" s="484"/>
      <c r="GHL60" s="484"/>
      <c r="GHM60" s="484"/>
      <c r="GHN60" s="484"/>
      <c r="GHO60" s="484"/>
      <c r="GHP60" s="484"/>
      <c r="GHQ60" s="484"/>
      <c r="GHR60" s="484"/>
      <c r="GHS60" s="484"/>
      <c r="GHT60" s="484"/>
      <c r="GHU60" s="484"/>
      <c r="GHV60" s="484"/>
      <c r="GHW60" s="484"/>
      <c r="GHX60" s="484"/>
      <c r="GHY60" s="484"/>
      <c r="GHZ60" s="484"/>
      <c r="GIA60" s="484"/>
      <c r="GIB60" s="484"/>
      <c r="GIC60" s="484"/>
      <c r="GID60" s="484"/>
      <c r="GIE60" s="484"/>
      <c r="GIF60" s="484"/>
      <c r="GIG60" s="484"/>
      <c r="GIH60" s="484"/>
      <c r="GII60" s="484"/>
      <c r="GIJ60" s="484"/>
      <c r="GIK60" s="484"/>
      <c r="GIL60" s="484"/>
      <c r="GIM60" s="484"/>
      <c r="GIN60" s="484"/>
      <c r="GIO60" s="484"/>
      <c r="GIP60" s="484"/>
      <c r="GIQ60" s="484"/>
      <c r="GIR60" s="484"/>
      <c r="GIS60" s="484"/>
      <c r="GIT60" s="484"/>
      <c r="GIU60" s="484"/>
      <c r="GIV60" s="484"/>
      <c r="GIW60" s="484"/>
      <c r="GIX60" s="484"/>
      <c r="GIY60" s="484"/>
      <c r="GIZ60" s="484"/>
      <c r="GJA60" s="484"/>
      <c r="GJB60" s="484"/>
      <c r="GJC60" s="484"/>
      <c r="GJD60" s="484"/>
      <c r="GJE60" s="484"/>
      <c r="GJF60" s="484"/>
      <c r="GJG60" s="484"/>
      <c r="GJH60" s="484"/>
      <c r="GJI60" s="484"/>
      <c r="GJJ60" s="484"/>
      <c r="GJK60" s="484"/>
      <c r="GJL60" s="484"/>
      <c r="GJM60" s="484"/>
      <c r="GJN60" s="484"/>
      <c r="GJO60" s="484"/>
      <c r="GJP60" s="484"/>
      <c r="GJQ60" s="484"/>
      <c r="GJR60" s="484"/>
      <c r="GJS60" s="484"/>
      <c r="GJT60" s="484"/>
      <c r="GJU60" s="484"/>
      <c r="GJV60" s="484"/>
      <c r="GJW60" s="484"/>
      <c r="GJX60" s="484"/>
      <c r="GJY60" s="484"/>
      <c r="GJZ60" s="484"/>
      <c r="GKA60" s="484"/>
      <c r="GKB60" s="484"/>
      <c r="GKC60" s="484"/>
      <c r="GKD60" s="484"/>
      <c r="GKE60" s="484"/>
      <c r="GKF60" s="484"/>
      <c r="GKG60" s="484"/>
      <c r="GKH60" s="484"/>
      <c r="GKI60" s="484"/>
      <c r="GKJ60" s="484"/>
      <c r="GKK60" s="484"/>
      <c r="GKL60" s="484"/>
      <c r="GKM60" s="484"/>
      <c r="GKN60" s="484"/>
      <c r="GKO60" s="484"/>
      <c r="GKP60" s="484"/>
      <c r="GKQ60" s="484"/>
      <c r="GKR60" s="484"/>
      <c r="GKS60" s="484"/>
      <c r="GKT60" s="484"/>
      <c r="GKU60" s="484"/>
      <c r="GKV60" s="484"/>
      <c r="GKW60" s="484"/>
      <c r="GKX60" s="484"/>
      <c r="GKY60" s="484"/>
      <c r="GKZ60" s="484"/>
      <c r="GLA60" s="484"/>
      <c r="GLB60" s="484"/>
      <c r="GLC60" s="484"/>
      <c r="GLD60" s="484"/>
      <c r="GLE60" s="484"/>
      <c r="GLF60" s="484"/>
      <c r="GLG60" s="484"/>
      <c r="GLH60" s="484"/>
      <c r="GLI60" s="484"/>
      <c r="GLJ60" s="484"/>
      <c r="GLK60" s="484"/>
      <c r="GLL60" s="484"/>
      <c r="GLM60" s="484"/>
      <c r="GLN60" s="484"/>
      <c r="GLO60" s="484"/>
      <c r="GLP60" s="484"/>
      <c r="GLQ60" s="484"/>
      <c r="GLR60" s="484"/>
      <c r="GLS60" s="484"/>
      <c r="GLT60" s="484"/>
      <c r="GLU60" s="484"/>
      <c r="GLV60" s="484"/>
      <c r="GLW60" s="484"/>
      <c r="GLX60" s="484"/>
      <c r="GLY60" s="484"/>
      <c r="GLZ60" s="484"/>
      <c r="GMA60" s="484"/>
      <c r="GMB60" s="484"/>
      <c r="GMC60" s="484"/>
      <c r="GMD60" s="484"/>
      <c r="GME60" s="484"/>
      <c r="GMF60" s="484"/>
      <c r="GMG60" s="484"/>
      <c r="GMH60" s="484"/>
      <c r="GMI60" s="484"/>
      <c r="GMJ60" s="484"/>
      <c r="GMK60" s="484"/>
      <c r="GML60" s="484"/>
      <c r="GMM60" s="484"/>
      <c r="GMN60" s="484"/>
      <c r="GMO60" s="484"/>
      <c r="GMP60" s="484"/>
      <c r="GMQ60" s="484"/>
      <c r="GMR60" s="484"/>
      <c r="GMS60" s="484"/>
      <c r="GMT60" s="484"/>
      <c r="GMU60" s="484"/>
      <c r="GMV60" s="484"/>
      <c r="GMW60" s="484"/>
      <c r="GMX60" s="484"/>
      <c r="GMY60" s="484"/>
      <c r="GMZ60" s="484"/>
      <c r="GNA60" s="484"/>
      <c r="GNB60" s="484"/>
      <c r="GNC60" s="484"/>
      <c r="GND60" s="484"/>
      <c r="GNE60" s="484"/>
      <c r="GNF60" s="484"/>
      <c r="GNG60" s="484"/>
      <c r="GNH60" s="484"/>
      <c r="GNI60" s="484"/>
      <c r="GNJ60" s="484"/>
      <c r="GNK60" s="484"/>
      <c r="GNL60" s="484"/>
      <c r="GNM60" s="484"/>
      <c r="GNN60" s="484"/>
      <c r="GNO60" s="484"/>
      <c r="GNP60" s="484"/>
      <c r="GNQ60" s="484"/>
      <c r="GNR60" s="484"/>
      <c r="GNS60" s="484"/>
      <c r="GNT60" s="484"/>
      <c r="GNU60" s="484"/>
      <c r="GNV60" s="484"/>
      <c r="GNW60" s="484"/>
      <c r="GNX60" s="484"/>
      <c r="GNY60" s="484"/>
      <c r="GNZ60" s="484"/>
      <c r="GOA60" s="484"/>
      <c r="GOB60" s="484"/>
      <c r="GOC60" s="484"/>
      <c r="GOD60" s="484"/>
      <c r="GOE60" s="484"/>
      <c r="GOF60" s="484"/>
      <c r="GOG60" s="484"/>
      <c r="GOH60" s="484"/>
      <c r="GOI60" s="484"/>
      <c r="GOJ60" s="484"/>
      <c r="GOK60" s="484"/>
      <c r="GOL60" s="484"/>
      <c r="GOM60" s="484"/>
      <c r="GON60" s="484"/>
      <c r="GOO60" s="484"/>
      <c r="GOP60" s="484"/>
      <c r="GOQ60" s="484"/>
      <c r="GOR60" s="484"/>
      <c r="GOS60" s="484"/>
      <c r="GOT60" s="484"/>
      <c r="GOU60" s="484"/>
      <c r="GOV60" s="484"/>
      <c r="GOW60" s="484"/>
      <c r="GOX60" s="484"/>
      <c r="GOY60" s="484"/>
      <c r="GOZ60" s="484"/>
      <c r="GPA60" s="484"/>
      <c r="GPB60" s="484"/>
      <c r="GPC60" s="484"/>
      <c r="GPD60" s="484"/>
      <c r="GPE60" s="484"/>
      <c r="GPF60" s="484"/>
      <c r="GPG60" s="484"/>
      <c r="GPH60" s="484"/>
      <c r="GPI60" s="484"/>
      <c r="GPJ60" s="484"/>
      <c r="GPK60" s="484"/>
      <c r="GPL60" s="484"/>
      <c r="GPM60" s="484"/>
      <c r="GPN60" s="484"/>
      <c r="GPO60" s="484"/>
      <c r="GPP60" s="484"/>
      <c r="GPQ60" s="484"/>
      <c r="GPR60" s="484"/>
      <c r="GPS60" s="484"/>
      <c r="GPT60" s="484"/>
      <c r="GPU60" s="484"/>
      <c r="GPV60" s="484"/>
      <c r="GPW60" s="484"/>
      <c r="GPX60" s="484"/>
      <c r="GPY60" s="484"/>
      <c r="GPZ60" s="484"/>
      <c r="GQA60" s="484"/>
      <c r="GQB60" s="484"/>
      <c r="GQC60" s="484"/>
      <c r="GQD60" s="484"/>
      <c r="GQE60" s="484"/>
      <c r="GQF60" s="484"/>
      <c r="GQG60" s="484"/>
      <c r="GQH60" s="484"/>
      <c r="GQI60" s="484"/>
      <c r="GQJ60" s="484"/>
      <c r="GQK60" s="484"/>
      <c r="GQL60" s="484"/>
      <c r="GQM60" s="484"/>
      <c r="GQN60" s="484"/>
      <c r="GQO60" s="484"/>
      <c r="GQP60" s="484"/>
      <c r="GQQ60" s="484"/>
      <c r="GQR60" s="484"/>
      <c r="GQS60" s="484"/>
      <c r="GQT60" s="484"/>
      <c r="GQU60" s="484"/>
      <c r="GQV60" s="484"/>
      <c r="GQW60" s="484"/>
      <c r="GQX60" s="484"/>
      <c r="GQY60" s="484"/>
      <c r="GQZ60" s="484"/>
      <c r="GRA60" s="484"/>
      <c r="GRB60" s="484"/>
      <c r="GRC60" s="484"/>
      <c r="GRD60" s="484"/>
      <c r="GRE60" s="484"/>
      <c r="GRF60" s="484"/>
      <c r="GRG60" s="484"/>
      <c r="GRH60" s="484"/>
      <c r="GRI60" s="484"/>
      <c r="GRJ60" s="484"/>
      <c r="GRK60" s="484"/>
      <c r="GRL60" s="484"/>
      <c r="GRM60" s="484"/>
      <c r="GRN60" s="484"/>
      <c r="GRO60" s="484"/>
      <c r="GRP60" s="484"/>
      <c r="GRQ60" s="484"/>
      <c r="GRR60" s="484"/>
      <c r="GRS60" s="484"/>
      <c r="GRT60" s="484"/>
      <c r="GRU60" s="484"/>
      <c r="GRV60" s="484"/>
      <c r="GRW60" s="484"/>
      <c r="GRX60" s="484"/>
      <c r="GRY60" s="484"/>
      <c r="GRZ60" s="484"/>
      <c r="GSA60" s="484"/>
      <c r="GSB60" s="484"/>
      <c r="GSC60" s="484"/>
      <c r="GSD60" s="484"/>
      <c r="GSE60" s="484"/>
      <c r="GSF60" s="484"/>
      <c r="GSG60" s="484"/>
      <c r="GSH60" s="484"/>
      <c r="GSI60" s="484"/>
      <c r="GSJ60" s="484"/>
      <c r="GSK60" s="484"/>
      <c r="GSL60" s="484"/>
      <c r="GSM60" s="484"/>
      <c r="GSN60" s="484"/>
      <c r="GSO60" s="484"/>
      <c r="GSP60" s="484"/>
      <c r="GSQ60" s="484"/>
      <c r="GSR60" s="484"/>
      <c r="GSS60" s="484"/>
      <c r="GST60" s="484"/>
      <c r="GSU60" s="484"/>
      <c r="GSV60" s="484"/>
      <c r="GSW60" s="484"/>
      <c r="GSX60" s="484"/>
      <c r="GSY60" s="484"/>
      <c r="GSZ60" s="484"/>
      <c r="GTA60" s="484"/>
      <c r="GTB60" s="484"/>
      <c r="GTC60" s="484"/>
      <c r="GTD60" s="484"/>
      <c r="GTE60" s="484"/>
      <c r="GTF60" s="484"/>
      <c r="GTG60" s="484"/>
      <c r="GTH60" s="484"/>
      <c r="GTI60" s="484"/>
      <c r="GTJ60" s="484"/>
      <c r="GTK60" s="484"/>
      <c r="GTL60" s="484"/>
      <c r="GTM60" s="484"/>
      <c r="GTN60" s="484"/>
      <c r="GTO60" s="484"/>
      <c r="GTP60" s="484"/>
      <c r="GTQ60" s="484"/>
      <c r="GTR60" s="484"/>
      <c r="GTS60" s="484"/>
      <c r="GTT60" s="484"/>
      <c r="GTU60" s="484"/>
      <c r="GTV60" s="484"/>
      <c r="GTW60" s="484"/>
      <c r="GTX60" s="484"/>
      <c r="GTY60" s="484"/>
      <c r="GTZ60" s="484"/>
      <c r="GUA60" s="484"/>
      <c r="GUB60" s="484"/>
      <c r="GUC60" s="484"/>
      <c r="GUD60" s="484"/>
      <c r="GUE60" s="484"/>
      <c r="GUF60" s="484"/>
      <c r="GUG60" s="484"/>
      <c r="GUH60" s="484"/>
      <c r="GUI60" s="484"/>
      <c r="GUJ60" s="484"/>
      <c r="GUK60" s="484"/>
      <c r="GUL60" s="484"/>
      <c r="GUM60" s="484"/>
      <c r="GUN60" s="484"/>
      <c r="GUO60" s="484"/>
      <c r="GUP60" s="484"/>
      <c r="GUQ60" s="484"/>
      <c r="GUR60" s="484"/>
      <c r="GUS60" s="484"/>
      <c r="GUT60" s="484"/>
      <c r="GUU60" s="484"/>
      <c r="GUV60" s="484"/>
      <c r="GUW60" s="484"/>
      <c r="GUX60" s="484"/>
      <c r="GUY60" s="484"/>
      <c r="GUZ60" s="484"/>
      <c r="GVA60" s="484"/>
      <c r="GVB60" s="484"/>
      <c r="GVC60" s="484"/>
      <c r="GVD60" s="484"/>
      <c r="GVE60" s="484"/>
      <c r="GVF60" s="484"/>
      <c r="GVG60" s="484"/>
      <c r="GVH60" s="484"/>
      <c r="GVI60" s="484"/>
      <c r="GVJ60" s="484"/>
      <c r="GVK60" s="484"/>
      <c r="GVL60" s="484"/>
      <c r="GVM60" s="484"/>
      <c r="GVN60" s="484"/>
      <c r="GVO60" s="484"/>
      <c r="GVP60" s="484"/>
      <c r="GVQ60" s="484"/>
      <c r="GVR60" s="484"/>
      <c r="GVS60" s="484"/>
      <c r="GVT60" s="484"/>
      <c r="GVU60" s="484"/>
      <c r="GVV60" s="484"/>
      <c r="GVW60" s="484"/>
      <c r="GVX60" s="484"/>
      <c r="GVY60" s="484"/>
      <c r="GVZ60" s="484"/>
      <c r="GWA60" s="484"/>
      <c r="GWB60" s="484"/>
      <c r="GWC60" s="484"/>
      <c r="GWD60" s="484"/>
      <c r="GWE60" s="484"/>
      <c r="GWF60" s="484"/>
      <c r="GWG60" s="484"/>
      <c r="GWH60" s="484"/>
      <c r="GWI60" s="484"/>
      <c r="GWJ60" s="484"/>
      <c r="GWK60" s="484"/>
      <c r="GWL60" s="484"/>
      <c r="GWM60" s="484"/>
      <c r="GWN60" s="484"/>
      <c r="GWO60" s="484"/>
      <c r="GWP60" s="484"/>
      <c r="GWQ60" s="484"/>
      <c r="GWR60" s="484"/>
      <c r="GWS60" s="484"/>
      <c r="GWT60" s="484"/>
      <c r="GWU60" s="484"/>
      <c r="GWV60" s="484"/>
      <c r="GWW60" s="484"/>
      <c r="GWX60" s="484"/>
      <c r="GWY60" s="484"/>
      <c r="GWZ60" s="484"/>
      <c r="GXA60" s="484"/>
      <c r="GXB60" s="484"/>
      <c r="GXC60" s="484"/>
      <c r="GXD60" s="484"/>
      <c r="GXE60" s="484"/>
      <c r="GXF60" s="484"/>
      <c r="GXG60" s="484"/>
      <c r="GXH60" s="484"/>
      <c r="GXI60" s="484"/>
      <c r="GXJ60" s="484"/>
      <c r="GXK60" s="484"/>
      <c r="GXL60" s="484"/>
      <c r="GXM60" s="484"/>
      <c r="GXN60" s="484"/>
      <c r="GXO60" s="484"/>
      <c r="GXP60" s="484"/>
      <c r="GXQ60" s="484"/>
      <c r="GXR60" s="484"/>
      <c r="GXS60" s="484"/>
      <c r="GXT60" s="484"/>
      <c r="GXU60" s="484"/>
      <c r="GXV60" s="484"/>
      <c r="GXW60" s="484"/>
      <c r="GXX60" s="484"/>
      <c r="GXY60" s="484"/>
      <c r="GXZ60" s="484"/>
      <c r="GYA60" s="484"/>
      <c r="GYB60" s="484"/>
      <c r="GYC60" s="484"/>
      <c r="GYD60" s="484"/>
      <c r="GYE60" s="484"/>
      <c r="GYF60" s="484"/>
      <c r="GYG60" s="484"/>
      <c r="GYH60" s="484"/>
      <c r="GYI60" s="484"/>
      <c r="GYJ60" s="484"/>
      <c r="GYK60" s="484"/>
      <c r="GYL60" s="484"/>
      <c r="GYM60" s="484"/>
      <c r="GYN60" s="484"/>
      <c r="GYO60" s="484"/>
      <c r="GYP60" s="484"/>
      <c r="GYQ60" s="484"/>
      <c r="GYR60" s="484"/>
      <c r="GYS60" s="484"/>
      <c r="GYT60" s="484"/>
      <c r="GYU60" s="484"/>
      <c r="GYV60" s="484"/>
      <c r="GYW60" s="484"/>
      <c r="GYX60" s="484"/>
      <c r="GYY60" s="484"/>
      <c r="GYZ60" s="484"/>
      <c r="GZA60" s="484"/>
      <c r="GZB60" s="484"/>
      <c r="GZC60" s="484"/>
      <c r="GZD60" s="484"/>
      <c r="GZE60" s="484"/>
      <c r="GZF60" s="484"/>
      <c r="GZG60" s="484"/>
      <c r="GZH60" s="484"/>
      <c r="GZI60" s="484"/>
      <c r="GZJ60" s="484"/>
      <c r="GZK60" s="484"/>
      <c r="GZL60" s="484"/>
      <c r="GZM60" s="484"/>
      <c r="GZN60" s="484"/>
      <c r="GZO60" s="484"/>
      <c r="GZP60" s="484"/>
      <c r="GZQ60" s="484"/>
      <c r="GZR60" s="484"/>
      <c r="GZS60" s="484"/>
      <c r="GZT60" s="484"/>
      <c r="GZU60" s="484"/>
      <c r="GZV60" s="484"/>
      <c r="GZW60" s="484"/>
      <c r="GZX60" s="484"/>
      <c r="GZY60" s="484"/>
      <c r="GZZ60" s="484"/>
      <c r="HAA60" s="484"/>
      <c r="HAB60" s="484"/>
      <c r="HAC60" s="484"/>
      <c r="HAD60" s="484"/>
      <c r="HAE60" s="484"/>
      <c r="HAF60" s="484"/>
      <c r="HAG60" s="484"/>
      <c r="HAH60" s="484"/>
      <c r="HAI60" s="484"/>
      <c r="HAJ60" s="484"/>
      <c r="HAK60" s="484"/>
      <c r="HAL60" s="484"/>
      <c r="HAM60" s="484"/>
      <c r="HAN60" s="484"/>
      <c r="HAO60" s="484"/>
      <c r="HAP60" s="484"/>
      <c r="HAQ60" s="484"/>
      <c r="HAR60" s="484"/>
      <c r="HAS60" s="484"/>
      <c r="HAT60" s="484"/>
      <c r="HAU60" s="484"/>
      <c r="HAV60" s="484"/>
      <c r="HAW60" s="484"/>
      <c r="HAX60" s="484"/>
      <c r="HAY60" s="484"/>
      <c r="HAZ60" s="484"/>
      <c r="HBA60" s="484"/>
      <c r="HBB60" s="484"/>
      <c r="HBC60" s="484"/>
      <c r="HBD60" s="484"/>
      <c r="HBE60" s="484"/>
      <c r="HBF60" s="484"/>
      <c r="HBG60" s="484"/>
      <c r="HBH60" s="484"/>
      <c r="HBI60" s="484"/>
      <c r="HBJ60" s="484"/>
      <c r="HBK60" s="484"/>
      <c r="HBL60" s="484"/>
      <c r="HBM60" s="484"/>
      <c r="HBN60" s="484"/>
      <c r="HBO60" s="484"/>
      <c r="HBP60" s="484"/>
      <c r="HBQ60" s="484"/>
      <c r="HBR60" s="484"/>
      <c r="HBS60" s="484"/>
      <c r="HBT60" s="484"/>
      <c r="HBU60" s="484"/>
      <c r="HBV60" s="484"/>
      <c r="HBW60" s="484"/>
      <c r="HBX60" s="484"/>
      <c r="HBY60" s="484"/>
      <c r="HBZ60" s="484"/>
      <c r="HCA60" s="484"/>
      <c r="HCB60" s="484"/>
      <c r="HCC60" s="484"/>
      <c r="HCD60" s="484"/>
      <c r="HCE60" s="484"/>
      <c r="HCF60" s="484"/>
      <c r="HCG60" s="484"/>
      <c r="HCH60" s="484"/>
      <c r="HCI60" s="484"/>
      <c r="HCJ60" s="484"/>
      <c r="HCK60" s="484"/>
      <c r="HCL60" s="484"/>
      <c r="HCM60" s="484"/>
      <c r="HCN60" s="484"/>
      <c r="HCO60" s="484"/>
      <c r="HCP60" s="484"/>
      <c r="HCQ60" s="484"/>
      <c r="HCR60" s="484"/>
      <c r="HCS60" s="484"/>
      <c r="HCT60" s="484"/>
      <c r="HCU60" s="484"/>
      <c r="HCV60" s="484"/>
      <c r="HCW60" s="484"/>
      <c r="HCX60" s="484"/>
      <c r="HCY60" s="484"/>
      <c r="HCZ60" s="484"/>
      <c r="HDA60" s="484"/>
      <c r="HDB60" s="484"/>
      <c r="HDC60" s="484"/>
      <c r="HDD60" s="484"/>
      <c r="HDE60" s="484"/>
      <c r="HDF60" s="484"/>
      <c r="HDG60" s="484"/>
      <c r="HDH60" s="484"/>
      <c r="HDI60" s="484"/>
      <c r="HDJ60" s="484"/>
      <c r="HDK60" s="484"/>
      <c r="HDL60" s="484"/>
      <c r="HDM60" s="484"/>
      <c r="HDN60" s="484"/>
      <c r="HDO60" s="484"/>
      <c r="HDP60" s="484"/>
      <c r="HDQ60" s="484"/>
      <c r="HDR60" s="484"/>
      <c r="HDS60" s="484"/>
      <c r="HDT60" s="484"/>
      <c r="HDU60" s="484"/>
      <c r="HDV60" s="484"/>
      <c r="HDW60" s="484"/>
      <c r="HDX60" s="484"/>
      <c r="HDY60" s="484"/>
      <c r="HDZ60" s="484"/>
      <c r="HEA60" s="484"/>
      <c r="HEB60" s="484"/>
      <c r="HEC60" s="484"/>
      <c r="HED60" s="484"/>
      <c r="HEE60" s="484"/>
      <c r="HEF60" s="484"/>
      <c r="HEG60" s="484"/>
      <c r="HEH60" s="484"/>
      <c r="HEI60" s="484"/>
      <c r="HEJ60" s="484"/>
      <c r="HEK60" s="484"/>
      <c r="HEL60" s="484"/>
      <c r="HEM60" s="484"/>
      <c r="HEN60" s="484"/>
      <c r="HEO60" s="484"/>
      <c r="HEP60" s="484"/>
      <c r="HEQ60" s="484"/>
      <c r="HER60" s="484"/>
      <c r="HES60" s="484"/>
      <c r="HET60" s="484"/>
      <c r="HEU60" s="484"/>
      <c r="HEV60" s="484"/>
      <c r="HEW60" s="484"/>
      <c r="HEX60" s="484"/>
      <c r="HEY60" s="484"/>
      <c r="HEZ60" s="484"/>
      <c r="HFA60" s="484"/>
      <c r="HFB60" s="484"/>
      <c r="HFC60" s="484"/>
      <c r="HFD60" s="484"/>
      <c r="HFE60" s="484"/>
      <c r="HFF60" s="484"/>
      <c r="HFG60" s="484"/>
      <c r="HFH60" s="484"/>
      <c r="HFI60" s="484"/>
      <c r="HFJ60" s="484"/>
      <c r="HFK60" s="484"/>
      <c r="HFL60" s="484"/>
      <c r="HFM60" s="484"/>
      <c r="HFN60" s="484"/>
      <c r="HFO60" s="484"/>
      <c r="HFP60" s="484"/>
      <c r="HFQ60" s="484"/>
      <c r="HFR60" s="484"/>
      <c r="HFS60" s="484"/>
      <c r="HFT60" s="484"/>
      <c r="HFU60" s="484"/>
      <c r="HFV60" s="484"/>
      <c r="HFW60" s="484"/>
      <c r="HFX60" s="484"/>
      <c r="HFY60" s="484"/>
      <c r="HFZ60" s="484"/>
      <c r="HGA60" s="484"/>
      <c r="HGB60" s="484"/>
      <c r="HGC60" s="484"/>
      <c r="HGD60" s="484"/>
      <c r="HGE60" s="484"/>
      <c r="HGF60" s="484"/>
      <c r="HGG60" s="484"/>
      <c r="HGH60" s="484"/>
      <c r="HGI60" s="484"/>
      <c r="HGJ60" s="484"/>
      <c r="HGK60" s="484"/>
      <c r="HGL60" s="484"/>
      <c r="HGM60" s="484"/>
      <c r="HGN60" s="484"/>
      <c r="HGO60" s="484"/>
      <c r="HGP60" s="484"/>
      <c r="HGQ60" s="484"/>
      <c r="HGR60" s="484"/>
      <c r="HGS60" s="484"/>
      <c r="HGT60" s="484"/>
      <c r="HGU60" s="484"/>
      <c r="HGV60" s="484"/>
      <c r="HGW60" s="484"/>
      <c r="HGX60" s="484"/>
      <c r="HGY60" s="484"/>
      <c r="HGZ60" s="484"/>
      <c r="HHA60" s="484"/>
      <c r="HHB60" s="484"/>
      <c r="HHC60" s="484"/>
      <c r="HHD60" s="484"/>
      <c r="HHE60" s="484"/>
      <c r="HHF60" s="484"/>
      <c r="HHG60" s="484"/>
      <c r="HHH60" s="484"/>
      <c r="HHI60" s="484"/>
      <c r="HHJ60" s="484"/>
      <c r="HHK60" s="484"/>
      <c r="HHL60" s="484"/>
      <c r="HHM60" s="484"/>
      <c r="HHN60" s="484"/>
      <c r="HHO60" s="484"/>
      <c r="HHP60" s="484"/>
      <c r="HHQ60" s="484"/>
      <c r="HHR60" s="484"/>
      <c r="HHS60" s="484"/>
      <c r="HHT60" s="484"/>
      <c r="HHU60" s="484"/>
      <c r="HHV60" s="484"/>
      <c r="HHW60" s="484"/>
      <c r="HHX60" s="484"/>
      <c r="HHY60" s="484"/>
      <c r="HHZ60" s="484"/>
      <c r="HIA60" s="484"/>
      <c r="HIB60" s="484"/>
      <c r="HIC60" s="484"/>
      <c r="HID60" s="484"/>
      <c r="HIE60" s="484"/>
      <c r="HIF60" s="484"/>
      <c r="HIG60" s="484"/>
      <c r="HIH60" s="484"/>
      <c r="HII60" s="484"/>
      <c r="HIJ60" s="484"/>
      <c r="HIK60" s="484"/>
      <c r="HIL60" s="484"/>
      <c r="HIM60" s="484"/>
      <c r="HIN60" s="484"/>
      <c r="HIO60" s="484"/>
      <c r="HIP60" s="484"/>
      <c r="HIQ60" s="484"/>
      <c r="HIR60" s="484"/>
      <c r="HIS60" s="484"/>
      <c r="HIT60" s="484"/>
      <c r="HIU60" s="484"/>
      <c r="HIV60" s="484"/>
      <c r="HIW60" s="484"/>
      <c r="HIX60" s="484"/>
      <c r="HIY60" s="484"/>
      <c r="HIZ60" s="484"/>
      <c r="HJA60" s="484"/>
      <c r="HJB60" s="484"/>
      <c r="HJC60" s="484"/>
      <c r="HJD60" s="484"/>
      <c r="HJE60" s="484"/>
      <c r="HJF60" s="484"/>
      <c r="HJG60" s="484"/>
      <c r="HJH60" s="484"/>
      <c r="HJI60" s="484"/>
      <c r="HJJ60" s="484"/>
      <c r="HJK60" s="484"/>
      <c r="HJL60" s="484"/>
      <c r="HJM60" s="484"/>
      <c r="HJN60" s="484"/>
      <c r="HJO60" s="484"/>
      <c r="HJP60" s="484"/>
      <c r="HJQ60" s="484"/>
      <c r="HJR60" s="484"/>
      <c r="HJS60" s="484"/>
      <c r="HJT60" s="484"/>
      <c r="HJU60" s="484"/>
      <c r="HJV60" s="484"/>
      <c r="HJW60" s="484"/>
      <c r="HJX60" s="484"/>
      <c r="HJY60" s="484"/>
      <c r="HJZ60" s="484"/>
      <c r="HKA60" s="484"/>
      <c r="HKB60" s="484"/>
      <c r="HKC60" s="484"/>
      <c r="HKD60" s="484"/>
      <c r="HKE60" s="484"/>
      <c r="HKF60" s="484"/>
      <c r="HKG60" s="484"/>
      <c r="HKH60" s="484"/>
      <c r="HKI60" s="484"/>
      <c r="HKJ60" s="484"/>
      <c r="HKK60" s="484"/>
      <c r="HKL60" s="484"/>
      <c r="HKM60" s="484"/>
      <c r="HKN60" s="484"/>
      <c r="HKO60" s="484"/>
      <c r="HKP60" s="484"/>
      <c r="HKQ60" s="484"/>
      <c r="HKR60" s="484"/>
      <c r="HKS60" s="484"/>
      <c r="HKT60" s="484"/>
      <c r="HKU60" s="484"/>
      <c r="HKV60" s="484"/>
      <c r="HKW60" s="484"/>
      <c r="HKX60" s="484"/>
      <c r="HKY60" s="484"/>
      <c r="HKZ60" s="484"/>
      <c r="HLA60" s="484"/>
      <c r="HLB60" s="484"/>
      <c r="HLC60" s="484"/>
      <c r="HLD60" s="484"/>
      <c r="HLE60" s="484"/>
      <c r="HLF60" s="484"/>
      <c r="HLG60" s="484"/>
      <c r="HLH60" s="484"/>
      <c r="HLI60" s="484"/>
      <c r="HLJ60" s="484"/>
      <c r="HLK60" s="484"/>
      <c r="HLL60" s="484"/>
      <c r="HLM60" s="484"/>
      <c r="HLN60" s="484"/>
      <c r="HLO60" s="484"/>
      <c r="HLP60" s="484"/>
      <c r="HLQ60" s="484"/>
      <c r="HLR60" s="484"/>
      <c r="HLS60" s="484"/>
      <c r="HLT60" s="484"/>
      <c r="HLU60" s="484"/>
      <c r="HLV60" s="484"/>
      <c r="HLW60" s="484"/>
      <c r="HLX60" s="484"/>
      <c r="HLY60" s="484"/>
      <c r="HLZ60" s="484"/>
      <c r="HMA60" s="484"/>
      <c r="HMB60" s="484"/>
      <c r="HMC60" s="484"/>
      <c r="HMD60" s="484"/>
      <c r="HME60" s="484"/>
      <c r="HMF60" s="484"/>
      <c r="HMG60" s="484"/>
      <c r="HMH60" s="484"/>
      <c r="HMI60" s="484"/>
      <c r="HMJ60" s="484"/>
      <c r="HMK60" s="484"/>
      <c r="HML60" s="484"/>
      <c r="HMM60" s="484"/>
      <c r="HMN60" s="484"/>
      <c r="HMO60" s="484"/>
      <c r="HMP60" s="484"/>
      <c r="HMQ60" s="484"/>
      <c r="HMR60" s="484"/>
      <c r="HMS60" s="484"/>
      <c r="HMT60" s="484"/>
      <c r="HMU60" s="484"/>
      <c r="HMV60" s="484"/>
      <c r="HMW60" s="484"/>
      <c r="HMX60" s="484"/>
      <c r="HMY60" s="484"/>
      <c r="HMZ60" s="484"/>
      <c r="HNA60" s="484"/>
      <c r="HNB60" s="484"/>
      <c r="HNC60" s="484"/>
      <c r="HND60" s="484"/>
      <c r="HNE60" s="484"/>
      <c r="HNF60" s="484"/>
      <c r="HNG60" s="484"/>
      <c r="HNH60" s="484"/>
      <c r="HNI60" s="484"/>
      <c r="HNJ60" s="484"/>
      <c r="HNK60" s="484"/>
      <c r="HNL60" s="484"/>
      <c r="HNM60" s="484"/>
      <c r="HNN60" s="484"/>
      <c r="HNO60" s="484"/>
      <c r="HNP60" s="484"/>
      <c r="HNQ60" s="484"/>
      <c r="HNR60" s="484"/>
      <c r="HNS60" s="484"/>
      <c r="HNT60" s="484"/>
      <c r="HNU60" s="484"/>
      <c r="HNV60" s="484"/>
      <c r="HNW60" s="484"/>
      <c r="HNX60" s="484"/>
      <c r="HNY60" s="484"/>
      <c r="HNZ60" s="484"/>
      <c r="HOA60" s="484"/>
      <c r="HOB60" s="484"/>
      <c r="HOC60" s="484"/>
      <c r="HOD60" s="484"/>
      <c r="HOE60" s="484"/>
      <c r="HOF60" s="484"/>
      <c r="HOG60" s="484"/>
      <c r="HOH60" s="484"/>
      <c r="HOI60" s="484"/>
      <c r="HOJ60" s="484"/>
      <c r="HOK60" s="484"/>
      <c r="HOL60" s="484"/>
      <c r="HOM60" s="484"/>
      <c r="HON60" s="484"/>
      <c r="HOO60" s="484"/>
      <c r="HOP60" s="484"/>
      <c r="HOQ60" s="484"/>
      <c r="HOR60" s="484"/>
      <c r="HOS60" s="484"/>
      <c r="HOT60" s="484"/>
      <c r="HOU60" s="484"/>
      <c r="HOV60" s="484"/>
      <c r="HOW60" s="484"/>
      <c r="HOX60" s="484"/>
      <c r="HOY60" s="484"/>
      <c r="HOZ60" s="484"/>
      <c r="HPA60" s="484"/>
      <c r="HPB60" s="484"/>
      <c r="HPC60" s="484"/>
      <c r="HPD60" s="484"/>
      <c r="HPE60" s="484"/>
      <c r="HPF60" s="484"/>
      <c r="HPG60" s="484"/>
      <c r="HPH60" s="484"/>
      <c r="HPI60" s="484"/>
      <c r="HPJ60" s="484"/>
      <c r="HPK60" s="484"/>
      <c r="HPL60" s="484"/>
      <c r="HPM60" s="484"/>
      <c r="HPN60" s="484"/>
      <c r="HPO60" s="484"/>
      <c r="HPP60" s="484"/>
      <c r="HPQ60" s="484"/>
      <c r="HPR60" s="484"/>
      <c r="HPS60" s="484"/>
      <c r="HPT60" s="484"/>
      <c r="HPU60" s="484"/>
      <c r="HPV60" s="484"/>
      <c r="HPW60" s="484"/>
      <c r="HPX60" s="484"/>
      <c r="HPY60" s="484"/>
      <c r="HPZ60" s="484"/>
      <c r="HQA60" s="484"/>
      <c r="HQB60" s="484"/>
      <c r="HQC60" s="484"/>
      <c r="HQD60" s="484"/>
      <c r="HQE60" s="484"/>
      <c r="HQF60" s="484"/>
      <c r="HQG60" s="484"/>
      <c r="HQH60" s="484"/>
      <c r="HQI60" s="484"/>
      <c r="HQJ60" s="484"/>
      <c r="HQK60" s="484"/>
      <c r="HQL60" s="484"/>
      <c r="HQM60" s="484"/>
      <c r="HQN60" s="484"/>
      <c r="HQO60" s="484"/>
      <c r="HQP60" s="484"/>
      <c r="HQQ60" s="484"/>
      <c r="HQR60" s="484"/>
      <c r="HQS60" s="484"/>
      <c r="HQT60" s="484"/>
      <c r="HQU60" s="484"/>
      <c r="HQV60" s="484"/>
      <c r="HQW60" s="484"/>
      <c r="HQX60" s="484"/>
      <c r="HQY60" s="484"/>
      <c r="HQZ60" s="484"/>
      <c r="HRA60" s="484"/>
      <c r="HRB60" s="484"/>
      <c r="HRC60" s="484"/>
      <c r="HRD60" s="484"/>
      <c r="HRE60" s="484"/>
      <c r="HRF60" s="484"/>
      <c r="HRG60" s="484"/>
      <c r="HRH60" s="484"/>
      <c r="HRI60" s="484"/>
      <c r="HRJ60" s="484"/>
      <c r="HRK60" s="484"/>
      <c r="HRL60" s="484"/>
      <c r="HRM60" s="484"/>
      <c r="HRN60" s="484"/>
      <c r="HRO60" s="484"/>
      <c r="HRP60" s="484"/>
      <c r="HRQ60" s="484"/>
      <c r="HRR60" s="484"/>
      <c r="HRS60" s="484"/>
      <c r="HRT60" s="484"/>
      <c r="HRU60" s="484"/>
      <c r="HRV60" s="484"/>
      <c r="HRW60" s="484"/>
      <c r="HRX60" s="484"/>
      <c r="HRY60" s="484"/>
      <c r="HRZ60" s="484"/>
      <c r="HSA60" s="484"/>
      <c r="HSB60" s="484"/>
      <c r="HSC60" s="484"/>
      <c r="HSD60" s="484"/>
      <c r="HSE60" s="484"/>
      <c r="HSF60" s="484"/>
      <c r="HSG60" s="484"/>
      <c r="HSH60" s="484"/>
      <c r="HSI60" s="484"/>
      <c r="HSJ60" s="484"/>
      <c r="HSK60" s="484"/>
      <c r="HSL60" s="484"/>
      <c r="HSM60" s="484"/>
      <c r="HSN60" s="484"/>
      <c r="HSO60" s="484"/>
      <c r="HSP60" s="484"/>
      <c r="HSQ60" s="484"/>
      <c r="HSR60" s="484"/>
      <c r="HSS60" s="484"/>
      <c r="HST60" s="484"/>
      <c r="HSU60" s="484"/>
      <c r="HSV60" s="484"/>
      <c r="HSW60" s="484"/>
      <c r="HSX60" s="484"/>
      <c r="HSY60" s="484"/>
      <c r="HSZ60" s="484"/>
      <c r="HTA60" s="484"/>
      <c r="HTB60" s="484"/>
      <c r="HTC60" s="484"/>
      <c r="HTD60" s="484"/>
      <c r="HTE60" s="484"/>
      <c r="HTF60" s="484"/>
      <c r="HTG60" s="484"/>
      <c r="HTH60" s="484"/>
      <c r="HTI60" s="484"/>
      <c r="HTJ60" s="484"/>
      <c r="HTK60" s="484"/>
      <c r="HTL60" s="484"/>
      <c r="HTM60" s="484"/>
      <c r="HTN60" s="484"/>
      <c r="HTO60" s="484"/>
      <c r="HTP60" s="484"/>
      <c r="HTQ60" s="484"/>
      <c r="HTR60" s="484"/>
      <c r="HTS60" s="484"/>
      <c r="HTT60" s="484"/>
      <c r="HTU60" s="484"/>
      <c r="HTV60" s="484"/>
      <c r="HTW60" s="484"/>
      <c r="HTX60" s="484"/>
      <c r="HTY60" s="484"/>
      <c r="HTZ60" s="484"/>
      <c r="HUA60" s="484"/>
      <c r="HUB60" s="484"/>
      <c r="HUC60" s="484"/>
      <c r="HUD60" s="484"/>
      <c r="HUE60" s="484"/>
      <c r="HUF60" s="484"/>
      <c r="HUG60" s="484"/>
      <c r="HUH60" s="484"/>
      <c r="HUI60" s="484"/>
      <c r="HUJ60" s="484"/>
      <c r="HUK60" s="484"/>
      <c r="HUL60" s="484"/>
      <c r="HUM60" s="484"/>
      <c r="HUN60" s="484"/>
      <c r="HUO60" s="484"/>
      <c r="HUP60" s="484"/>
      <c r="HUQ60" s="484"/>
      <c r="HUR60" s="484"/>
      <c r="HUS60" s="484"/>
      <c r="HUT60" s="484"/>
      <c r="HUU60" s="484"/>
      <c r="HUV60" s="484"/>
      <c r="HUW60" s="484"/>
      <c r="HUX60" s="484"/>
      <c r="HUY60" s="484"/>
      <c r="HUZ60" s="484"/>
      <c r="HVA60" s="484"/>
      <c r="HVB60" s="484"/>
      <c r="HVC60" s="484"/>
      <c r="HVD60" s="484"/>
      <c r="HVE60" s="484"/>
      <c r="HVF60" s="484"/>
      <c r="HVG60" s="484"/>
      <c r="HVH60" s="484"/>
      <c r="HVI60" s="484"/>
      <c r="HVJ60" s="484"/>
      <c r="HVK60" s="484"/>
      <c r="HVL60" s="484"/>
      <c r="HVM60" s="484"/>
      <c r="HVN60" s="484"/>
      <c r="HVO60" s="484"/>
      <c r="HVP60" s="484"/>
      <c r="HVQ60" s="484"/>
      <c r="HVR60" s="484"/>
      <c r="HVS60" s="484"/>
      <c r="HVT60" s="484"/>
      <c r="HVU60" s="484"/>
      <c r="HVV60" s="484"/>
      <c r="HVW60" s="484"/>
      <c r="HVX60" s="484"/>
      <c r="HVY60" s="484"/>
      <c r="HVZ60" s="484"/>
      <c r="HWA60" s="484"/>
      <c r="HWB60" s="484"/>
      <c r="HWC60" s="484"/>
      <c r="HWD60" s="484"/>
      <c r="HWE60" s="484"/>
      <c r="HWF60" s="484"/>
      <c r="HWG60" s="484"/>
      <c r="HWH60" s="484"/>
      <c r="HWI60" s="484"/>
      <c r="HWJ60" s="484"/>
      <c r="HWK60" s="484"/>
      <c r="HWL60" s="484"/>
      <c r="HWM60" s="484"/>
      <c r="HWN60" s="484"/>
      <c r="HWO60" s="484"/>
      <c r="HWP60" s="484"/>
      <c r="HWQ60" s="484"/>
      <c r="HWR60" s="484"/>
      <c r="HWS60" s="484"/>
      <c r="HWT60" s="484"/>
      <c r="HWU60" s="484"/>
      <c r="HWV60" s="484"/>
      <c r="HWW60" s="484"/>
      <c r="HWX60" s="484"/>
      <c r="HWY60" s="484"/>
      <c r="HWZ60" s="484"/>
      <c r="HXA60" s="484"/>
      <c r="HXB60" s="484"/>
      <c r="HXC60" s="484"/>
      <c r="HXD60" s="484"/>
      <c r="HXE60" s="484"/>
      <c r="HXF60" s="484"/>
      <c r="HXG60" s="484"/>
      <c r="HXH60" s="484"/>
      <c r="HXI60" s="484"/>
      <c r="HXJ60" s="484"/>
      <c r="HXK60" s="484"/>
      <c r="HXL60" s="484"/>
      <c r="HXM60" s="484"/>
      <c r="HXN60" s="484"/>
      <c r="HXO60" s="484"/>
      <c r="HXP60" s="484"/>
      <c r="HXQ60" s="484"/>
      <c r="HXR60" s="484"/>
      <c r="HXS60" s="484"/>
      <c r="HXT60" s="484"/>
      <c r="HXU60" s="484"/>
      <c r="HXV60" s="484"/>
      <c r="HXW60" s="484"/>
      <c r="HXX60" s="484"/>
      <c r="HXY60" s="484"/>
      <c r="HXZ60" s="484"/>
      <c r="HYA60" s="484"/>
      <c r="HYB60" s="484"/>
      <c r="HYC60" s="484"/>
      <c r="HYD60" s="484"/>
      <c r="HYE60" s="484"/>
      <c r="HYF60" s="484"/>
      <c r="HYG60" s="484"/>
      <c r="HYH60" s="484"/>
      <c r="HYI60" s="484"/>
      <c r="HYJ60" s="484"/>
      <c r="HYK60" s="484"/>
      <c r="HYL60" s="484"/>
      <c r="HYM60" s="484"/>
      <c r="HYN60" s="484"/>
      <c r="HYO60" s="484"/>
      <c r="HYP60" s="484"/>
      <c r="HYQ60" s="484"/>
      <c r="HYR60" s="484"/>
      <c r="HYS60" s="484"/>
      <c r="HYT60" s="484"/>
      <c r="HYU60" s="484"/>
      <c r="HYV60" s="484"/>
      <c r="HYW60" s="484"/>
      <c r="HYX60" s="484"/>
      <c r="HYY60" s="484"/>
      <c r="HYZ60" s="484"/>
      <c r="HZA60" s="484"/>
      <c r="HZB60" s="484"/>
      <c r="HZC60" s="484"/>
      <c r="HZD60" s="484"/>
      <c r="HZE60" s="484"/>
      <c r="HZF60" s="484"/>
      <c r="HZG60" s="484"/>
      <c r="HZH60" s="484"/>
      <c r="HZI60" s="484"/>
      <c r="HZJ60" s="484"/>
      <c r="HZK60" s="484"/>
      <c r="HZL60" s="484"/>
      <c r="HZM60" s="484"/>
      <c r="HZN60" s="484"/>
      <c r="HZO60" s="484"/>
      <c r="HZP60" s="484"/>
      <c r="HZQ60" s="484"/>
      <c r="HZR60" s="484"/>
      <c r="HZS60" s="484"/>
      <c r="HZT60" s="484"/>
      <c r="HZU60" s="484"/>
      <c r="HZV60" s="484"/>
      <c r="HZW60" s="484"/>
      <c r="HZX60" s="484"/>
      <c r="HZY60" s="484"/>
      <c r="HZZ60" s="484"/>
      <c r="IAA60" s="484"/>
      <c r="IAB60" s="484"/>
      <c r="IAC60" s="484"/>
      <c r="IAD60" s="484"/>
      <c r="IAE60" s="484"/>
      <c r="IAF60" s="484"/>
      <c r="IAG60" s="484"/>
      <c r="IAH60" s="484"/>
      <c r="IAI60" s="484"/>
      <c r="IAJ60" s="484"/>
      <c r="IAK60" s="484"/>
      <c r="IAL60" s="484"/>
      <c r="IAM60" s="484"/>
      <c r="IAN60" s="484"/>
      <c r="IAO60" s="484"/>
      <c r="IAP60" s="484"/>
      <c r="IAQ60" s="484"/>
      <c r="IAR60" s="484"/>
      <c r="IAS60" s="484"/>
      <c r="IAT60" s="484"/>
      <c r="IAU60" s="484"/>
      <c r="IAV60" s="484"/>
      <c r="IAW60" s="484"/>
      <c r="IAX60" s="484"/>
      <c r="IAY60" s="484"/>
      <c r="IAZ60" s="484"/>
      <c r="IBA60" s="484"/>
      <c r="IBB60" s="484"/>
      <c r="IBC60" s="484"/>
      <c r="IBD60" s="484"/>
      <c r="IBE60" s="484"/>
      <c r="IBF60" s="484"/>
      <c r="IBG60" s="484"/>
      <c r="IBH60" s="484"/>
      <c r="IBI60" s="484"/>
      <c r="IBJ60" s="484"/>
      <c r="IBK60" s="484"/>
      <c r="IBL60" s="484"/>
      <c r="IBM60" s="484"/>
      <c r="IBN60" s="484"/>
      <c r="IBO60" s="484"/>
      <c r="IBP60" s="484"/>
      <c r="IBQ60" s="484"/>
      <c r="IBR60" s="484"/>
      <c r="IBS60" s="484"/>
      <c r="IBT60" s="484"/>
      <c r="IBU60" s="484"/>
      <c r="IBV60" s="484"/>
      <c r="IBW60" s="484"/>
      <c r="IBX60" s="484"/>
      <c r="IBY60" s="484"/>
      <c r="IBZ60" s="484"/>
      <c r="ICA60" s="484"/>
      <c r="ICB60" s="484"/>
      <c r="ICC60" s="484"/>
      <c r="ICD60" s="484"/>
      <c r="ICE60" s="484"/>
      <c r="ICF60" s="484"/>
      <c r="ICG60" s="484"/>
      <c r="ICH60" s="484"/>
      <c r="ICI60" s="484"/>
      <c r="ICJ60" s="484"/>
      <c r="ICK60" s="484"/>
      <c r="ICL60" s="484"/>
      <c r="ICM60" s="484"/>
      <c r="ICN60" s="484"/>
      <c r="ICO60" s="484"/>
      <c r="ICP60" s="484"/>
      <c r="ICQ60" s="484"/>
      <c r="ICR60" s="484"/>
      <c r="ICS60" s="484"/>
      <c r="ICT60" s="484"/>
      <c r="ICU60" s="484"/>
      <c r="ICV60" s="484"/>
      <c r="ICW60" s="484"/>
      <c r="ICX60" s="484"/>
      <c r="ICY60" s="484"/>
      <c r="ICZ60" s="484"/>
      <c r="IDA60" s="484"/>
      <c r="IDB60" s="484"/>
      <c r="IDC60" s="484"/>
      <c r="IDD60" s="484"/>
      <c r="IDE60" s="484"/>
      <c r="IDF60" s="484"/>
      <c r="IDG60" s="484"/>
      <c r="IDH60" s="484"/>
      <c r="IDI60" s="484"/>
      <c r="IDJ60" s="484"/>
      <c r="IDK60" s="484"/>
      <c r="IDL60" s="484"/>
      <c r="IDM60" s="484"/>
      <c r="IDN60" s="484"/>
      <c r="IDO60" s="484"/>
      <c r="IDP60" s="484"/>
      <c r="IDQ60" s="484"/>
      <c r="IDR60" s="484"/>
      <c r="IDS60" s="484"/>
      <c r="IDT60" s="484"/>
      <c r="IDU60" s="484"/>
      <c r="IDV60" s="484"/>
      <c r="IDW60" s="484"/>
      <c r="IDX60" s="484"/>
      <c r="IDY60" s="484"/>
      <c r="IDZ60" s="484"/>
      <c r="IEA60" s="484"/>
      <c r="IEB60" s="484"/>
      <c r="IEC60" s="484"/>
      <c r="IED60" s="484"/>
      <c r="IEE60" s="484"/>
      <c r="IEF60" s="484"/>
      <c r="IEG60" s="484"/>
      <c r="IEH60" s="484"/>
      <c r="IEI60" s="484"/>
      <c r="IEJ60" s="484"/>
      <c r="IEK60" s="484"/>
      <c r="IEL60" s="484"/>
      <c r="IEM60" s="484"/>
      <c r="IEN60" s="484"/>
      <c r="IEO60" s="484"/>
      <c r="IEP60" s="484"/>
      <c r="IEQ60" s="484"/>
      <c r="IER60" s="484"/>
      <c r="IES60" s="484"/>
      <c r="IET60" s="484"/>
      <c r="IEU60" s="484"/>
      <c r="IEV60" s="484"/>
      <c r="IEW60" s="484"/>
      <c r="IEX60" s="484"/>
      <c r="IEY60" s="484"/>
      <c r="IEZ60" s="484"/>
      <c r="IFA60" s="484"/>
      <c r="IFB60" s="484"/>
      <c r="IFC60" s="484"/>
      <c r="IFD60" s="484"/>
      <c r="IFE60" s="484"/>
      <c r="IFF60" s="484"/>
      <c r="IFG60" s="484"/>
      <c r="IFH60" s="484"/>
      <c r="IFI60" s="484"/>
      <c r="IFJ60" s="484"/>
      <c r="IFK60" s="484"/>
      <c r="IFL60" s="484"/>
      <c r="IFM60" s="484"/>
      <c r="IFN60" s="484"/>
      <c r="IFO60" s="484"/>
      <c r="IFP60" s="484"/>
      <c r="IFQ60" s="484"/>
      <c r="IFR60" s="484"/>
      <c r="IFS60" s="484"/>
      <c r="IFT60" s="484"/>
      <c r="IFU60" s="484"/>
      <c r="IFV60" s="484"/>
      <c r="IFW60" s="484"/>
      <c r="IFX60" s="484"/>
      <c r="IFY60" s="484"/>
      <c r="IFZ60" s="484"/>
      <c r="IGA60" s="484"/>
      <c r="IGB60" s="484"/>
      <c r="IGC60" s="484"/>
      <c r="IGD60" s="484"/>
      <c r="IGE60" s="484"/>
      <c r="IGF60" s="484"/>
      <c r="IGG60" s="484"/>
      <c r="IGH60" s="484"/>
      <c r="IGI60" s="484"/>
      <c r="IGJ60" s="484"/>
      <c r="IGK60" s="484"/>
      <c r="IGL60" s="484"/>
      <c r="IGM60" s="484"/>
      <c r="IGN60" s="484"/>
      <c r="IGO60" s="484"/>
      <c r="IGP60" s="484"/>
      <c r="IGQ60" s="484"/>
      <c r="IGR60" s="484"/>
      <c r="IGS60" s="484"/>
      <c r="IGT60" s="484"/>
      <c r="IGU60" s="484"/>
      <c r="IGV60" s="484"/>
      <c r="IGW60" s="484"/>
      <c r="IGX60" s="484"/>
      <c r="IGY60" s="484"/>
      <c r="IGZ60" s="484"/>
      <c r="IHA60" s="484"/>
      <c r="IHB60" s="484"/>
      <c r="IHC60" s="484"/>
      <c r="IHD60" s="484"/>
      <c r="IHE60" s="484"/>
      <c r="IHF60" s="484"/>
      <c r="IHG60" s="484"/>
      <c r="IHH60" s="484"/>
      <c r="IHI60" s="484"/>
      <c r="IHJ60" s="484"/>
      <c r="IHK60" s="484"/>
      <c r="IHL60" s="484"/>
      <c r="IHM60" s="484"/>
      <c r="IHN60" s="484"/>
      <c r="IHO60" s="484"/>
      <c r="IHP60" s="484"/>
      <c r="IHQ60" s="484"/>
      <c r="IHR60" s="484"/>
      <c r="IHS60" s="484"/>
      <c r="IHT60" s="484"/>
      <c r="IHU60" s="484"/>
      <c r="IHV60" s="484"/>
      <c r="IHW60" s="484"/>
      <c r="IHX60" s="484"/>
      <c r="IHY60" s="484"/>
      <c r="IHZ60" s="484"/>
      <c r="IIA60" s="484"/>
      <c r="IIB60" s="484"/>
      <c r="IIC60" s="484"/>
      <c r="IID60" s="484"/>
      <c r="IIE60" s="484"/>
      <c r="IIF60" s="484"/>
      <c r="IIG60" s="484"/>
      <c r="IIH60" s="484"/>
      <c r="III60" s="484"/>
      <c r="IIJ60" s="484"/>
      <c r="IIK60" s="484"/>
      <c r="IIL60" s="484"/>
      <c r="IIM60" s="484"/>
      <c r="IIN60" s="484"/>
      <c r="IIO60" s="484"/>
      <c r="IIP60" s="484"/>
      <c r="IIQ60" s="484"/>
      <c r="IIR60" s="484"/>
      <c r="IIS60" s="484"/>
      <c r="IIT60" s="484"/>
      <c r="IIU60" s="484"/>
      <c r="IIV60" s="484"/>
      <c r="IIW60" s="484"/>
      <c r="IIX60" s="484"/>
      <c r="IIY60" s="484"/>
      <c r="IIZ60" s="484"/>
      <c r="IJA60" s="484"/>
      <c r="IJB60" s="484"/>
      <c r="IJC60" s="484"/>
      <c r="IJD60" s="484"/>
      <c r="IJE60" s="484"/>
      <c r="IJF60" s="484"/>
      <c r="IJG60" s="484"/>
      <c r="IJH60" s="484"/>
      <c r="IJI60" s="484"/>
      <c r="IJJ60" s="484"/>
      <c r="IJK60" s="484"/>
      <c r="IJL60" s="484"/>
      <c r="IJM60" s="484"/>
      <c r="IJN60" s="484"/>
      <c r="IJO60" s="484"/>
      <c r="IJP60" s="484"/>
      <c r="IJQ60" s="484"/>
      <c r="IJR60" s="484"/>
      <c r="IJS60" s="484"/>
      <c r="IJT60" s="484"/>
      <c r="IJU60" s="484"/>
      <c r="IJV60" s="484"/>
      <c r="IJW60" s="484"/>
      <c r="IJX60" s="484"/>
      <c r="IJY60" s="484"/>
      <c r="IJZ60" s="484"/>
      <c r="IKA60" s="484"/>
      <c r="IKB60" s="484"/>
      <c r="IKC60" s="484"/>
      <c r="IKD60" s="484"/>
      <c r="IKE60" s="484"/>
      <c r="IKF60" s="484"/>
      <c r="IKG60" s="484"/>
      <c r="IKH60" s="484"/>
      <c r="IKI60" s="484"/>
      <c r="IKJ60" s="484"/>
      <c r="IKK60" s="484"/>
      <c r="IKL60" s="484"/>
      <c r="IKM60" s="484"/>
      <c r="IKN60" s="484"/>
      <c r="IKO60" s="484"/>
      <c r="IKP60" s="484"/>
      <c r="IKQ60" s="484"/>
      <c r="IKR60" s="484"/>
      <c r="IKS60" s="484"/>
      <c r="IKT60" s="484"/>
      <c r="IKU60" s="484"/>
      <c r="IKV60" s="484"/>
      <c r="IKW60" s="484"/>
      <c r="IKX60" s="484"/>
      <c r="IKY60" s="484"/>
      <c r="IKZ60" s="484"/>
      <c r="ILA60" s="484"/>
      <c r="ILB60" s="484"/>
      <c r="ILC60" s="484"/>
      <c r="ILD60" s="484"/>
      <c r="ILE60" s="484"/>
      <c r="ILF60" s="484"/>
      <c r="ILG60" s="484"/>
      <c r="ILH60" s="484"/>
      <c r="ILI60" s="484"/>
      <c r="ILJ60" s="484"/>
      <c r="ILK60" s="484"/>
      <c r="ILL60" s="484"/>
      <c r="ILM60" s="484"/>
      <c r="ILN60" s="484"/>
      <c r="ILO60" s="484"/>
      <c r="ILP60" s="484"/>
      <c r="ILQ60" s="484"/>
      <c r="ILR60" s="484"/>
      <c r="ILS60" s="484"/>
      <c r="ILT60" s="484"/>
      <c r="ILU60" s="484"/>
      <c r="ILV60" s="484"/>
      <c r="ILW60" s="484"/>
      <c r="ILX60" s="484"/>
      <c r="ILY60" s="484"/>
      <c r="ILZ60" s="484"/>
      <c r="IMA60" s="484"/>
      <c r="IMB60" s="484"/>
      <c r="IMC60" s="484"/>
      <c r="IMD60" s="484"/>
      <c r="IME60" s="484"/>
      <c r="IMF60" s="484"/>
      <c r="IMG60" s="484"/>
      <c r="IMH60" s="484"/>
      <c r="IMI60" s="484"/>
      <c r="IMJ60" s="484"/>
      <c r="IMK60" s="484"/>
      <c r="IML60" s="484"/>
      <c r="IMM60" s="484"/>
      <c r="IMN60" s="484"/>
      <c r="IMO60" s="484"/>
      <c r="IMP60" s="484"/>
      <c r="IMQ60" s="484"/>
      <c r="IMR60" s="484"/>
      <c r="IMS60" s="484"/>
      <c r="IMT60" s="484"/>
      <c r="IMU60" s="484"/>
      <c r="IMV60" s="484"/>
      <c r="IMW60" s="484"/>
      <c r="IMX60" s="484"/>
      <c r="IMY60" s="484"/>
      <c r="IMZ60" s="484"/>
      <c r="INA60" s="484"/>
      <c r="INB60" s="484"/>
      <c r="INC60" s="484"/>
      <c r="IND60" s="484"/>
      <c r="INE60" s="484"/>
      <c r="INF60" s="484"/>
      <c r="ING60" s="484"/>
      <c r="INH60" s="484"/>
      <c r="INI60" s="484"/>
      <c r="INJ60" s="484"/>
      <c r="INK60" s="484"/>
      <c r="INL60" s="484"/>
      <c r="INM60" s="484"/>
      <c r="INN60" s="484"/>
      <c r="INO60" s="484"/>
      <c r="INP60" s="484"/>
      <c r="INQ60" s="484"/>
      <c r="INR60" s="484"/>
      <c r="INS60" s="484"/>
      <c r="INT60" s="484"/>
      <c r="INU60" s="484"/>
      <c r="INV60" s="484"/>
      <c r="INW60" s="484"/>
      <c r="INX60" s="484"/>
      <c r="INY60" s="484"/>
      <c r="INZ60" s="484"/>
      <c r="IOA60" s="484"/>
      <c r="IOB60" s="484"/>
      <c r="IOC60" s="484"/>
      <c r="IOD60" s="484"/>
      <c r="IOE60" s="484"/>
      <c r="IOF60" s="484"/>
      <c r="IOG60" s="484"/>
      <c r="IOH60" s="484"/>
      <c r="IOI60" s="484"/>
      <c r="IOJ60" s="484"/>
      <c r="IOK60" s="484"/>
      <c r="IOL60" s="484"/>
      <c r="IOM60" s="484"/>
      <c r="ION60" s="484"/>
      <c r="IOO60" s="484"/>
      <c r="IOP60" s="484"/>
      <c r="IOQ60" s="484"/>
      <c r="IOR60" s="484"/>
      <c r="IOS60" s="484"/>
      <c r="IOT60" s="484"/>
      <c r="IOU60" s="484"/>
      <c r="IOV60" s="484"/>
      <c r="IOW60" s="484"/>
      <c r="IOX60" s="484"/>
      <c r="IOY60" s="484"/>
      <c r="IOZ60" s="484"/>
      <c r="IPA60" s="484"/>
      <c r="IPB60" s="484"/>
      <c r="IPC60" s="484"/>
      <c r="IPD60" s="484"/>
      <c r="IPE60" s="484"/>
      <c r="IPF60" s="484"/>
      <c r="IPG60" s="484"/>
      <c r="IPH60" s="484"/>
      <c r="IPI60" s="484"/>
      <c r="IPJ60" s="484"/>
      <c r="IPK60" s="484"/>
      <c r="IPL60" s="484"/>
      <c r="IPM60" s="484"/>
      <c r="IPN60" s="484"/>
      <c r="IPO60" s="484"/>
      <c r="IPP60" s="484"/>
      <c r="IPQ60" s="484"/>
      <c r="IPR60" s="484"/>
      <c r="IPS60" s="484"/>
      <c r="IPT60" s="484"/>
      <c r="IPU60" s="484"/>
      <c r="IPV60" s="484"/>
      <c r="IPW60" s="484"/>
      <c r="IPX60" s="484"/>
      <c r="IPY60" s="484"/>
      <c r="IPZ60" s="484"/>
      <c r="IQA60" s="484"/>
      <c r="IQB60" s="484"/>
      <c r="IQC60" s="484"/>
      <c r="IQD60" s="484"/>
      <c r="IQE60" s="484"/>
      <c r="IQF60" s="484"/>
      <c r="IQG60" s="484"/>
      <c r="IQH60" s="484"/>
      <c r="IQI60" s="484"/>
      <c r="IQJ60" s="484"/>
      <c r="IQK60" s="484"/>
      <c r="IQL60" s="484"/>
      <c r="IQM60" s="484"/>
      <c r="IQN60" s="484"/>
      <c r="IQO60" s="484"/>
      <c r="IQP60" s="484"/>
      <c r="IQQ60" s="484"/>
      <c r="IQR60" s="484"/>
      <c r="IQS60" s="484"/>
      <c r="IQT60" s="484"/>
      <c r="IQU60" s="484"/>
      <c r="IQV60" s="484"/>
      <c r="IQW60" s="484"/>
      <c r="IQX60" s="484"/>
      <c r="IQY60" s="484"/>
      <c r="IQZ60" s="484"/>
      <c r="IRA60" s="484"/>
      <c r="IRB60" s="484"/>
      <c r="IRC60" s="484"/>
      <c r="IRD60" s="484"/>
      <c r="IRE60" s="484"/>
      <c r="IRF60" s="484"/>
      <c r="IRG60" s="484"/>
      <c r="IRH60" s="484"/>
      <c r="IRI60" s="484"/>
      <c r="IRJ60" s="484"/>
      <c r="IRK60" s="484"/>
      <c r="IRL60" s="484"/>
      <c r="IRM60" s="484"/>
      <c r="IRN60" s="484"/>
      <c r="IRO60" s="484"/>
      <c r="IRP60" s="484"/>
      <c r="IRQ60" s="484"/>
      <c r="IRR60" s="484"/>
      <c r="IRS60" s="484"/>
      <c r="IRT60" s="484"/>
      <c r="IRU60" s="484"/>
      <c r="IRV60" s="484"/>
      <c r="IRW60" s="484"/>
      <c r="IRX60" s="484"/>
      <c r="IRY60" s="484"/>
      <c r="IRZ60" s="484"/>
      <c r="ISA60" s="484"/>
      <c r="ISB60" s="484"/>
      <c r="ISC60" s="484"/>
      <c r="ISD60" s="484"/>
      <c r="ISE60" s="484"/>
      <c r="ISF60" s="484"/>
      <c r="ISG60" s="484"/>
      <c r="ISH60" s="484"/>
      <c r="ISI60" s="484"/>
      <c r="ISJ60" s="484"/>
      <c r="ISK60" s="484"/>
      <c r="ISL60" s="484"/>
      <c r="ISM60" s="484"/>
      <c r="ISN60" s="484"/>
      <c r="ISO60" s="484"/>
      <c r="ISP60" s="484"/>
      <c r="ISQ60" s="484"/>
      <c r="ISR60" s="484"/>
      <c r="ISS60" s="484"/>
      <c r="IST60" s="484"/>
      <c r="ISU60" s="484"/>
      <c r="ISV60" s="484"/>
      <c r="ISW60" s="484"/>
      <c r="ISX60" s="484"/>
      <c r="ISY60" s="484"/>
      <c r="ISZ60" s="484"/>
      <c r="ITA60" s="484"/>
      <c r="ITB60" s="484"/>
      <c r="ITC60" s="484"/>
      <c r="ITD60" s="484"/>
      <c r="ITE60" s="484"/>
      <c r="ITF60" s="484"/>
      <c r="ITG60" s="484"/>
      <c r="ITH60" s="484"/>
      <c r="ITI60" s="484"/>
      <c r="ITJ60" s="484"/>
      <c r="ITK60" s="484"/>
      <c r="ITL60" s="484"/>
      <c r="ITM60" s="484"/>
      <c r="ITN60" s="484"/>
      <c r="ITO60" s="484"/>
      <c r="ITP60" s="484"/>
      <c r="ITQ60" s="484"/>
      <c r="ITR60" s="484"/>
      <c r="ITS60" s="484"/>
      <c r="ITT60" s="484"/>
      <c r="ITU60" s="484"/>
      <c r="ITV60" s="484"/>
      <c r="ITW60" s="484"/>
      <c r="ITX60" s="484"/>
      <c r="ITY60" s="484"/>
      <c r="ITZ60" s="484"/>
      <c r="IUA60" s="484"/>
      <c r="IUB60" s="484"/>
      <c r="IUC60" s="484"/>
      <c r="IUD60" s="484"/>
      <c r="IUE60" s="484"/>
      <c r="IUF60" s="484"/>
      <c r="IUG60" s="484"/>
      <c r="IUH60" s="484"/>
      <c r="IUI60" s="484"/>
      <c r="IUJ60" s="484"/>
      <c r="IUK60" s="484"/>
      <c r="IUL60" s="484"/>
      <c r="IUM60" s="484"/>
      <c r="IUN60" s="484"/>
      <c r="IUO60" s="484"/>
      <c r="IUP60" s="484"/>
      <c r="IUQ60" s="484"/>
      <c r="IUR60" s="484"/>
      <c r="IUS60" s="484"/>
      <c r="IUT60" s="484"/>
      <c r="IUU60" s="484"/>
      <c r="IUV60" s="484"/>
      <c r="IUW60" s="484"/>
      <c r="IUX60" s="484"/>
      <c r="IUY60" s="484"/>
      <c r="IUZ60" s="484"/>
      <c r="IVA60" s="484"/>
      <c r="IVB60" s="484"/>
      <c r="IVC60" s="484"/>
      <c r="IVD60" s="484"/>
      <c r="IVE60" s="484"/>
      <c r="IVF60" s="484"/>
      <c r="IVG60" s="484"/>
      <c r="IVH60" s="484"/>
      <c r="IVI60" s="484"/>
      <c r="IVJ60" s="484"/>
      <c r="IVK60" s="484"/>
      <c r="IVL60" s="484"/>
      <c r="IVM60" s="484"/>
      <c r="IVN60" s="484"/>
      <c r="IVO60" s="484"/>
      <c r="IVP60" s="484"/>
      <c r="IVQ60" s="484"/>
      <c r="IVR60" s="484"/>
      <c r="IVS60" s="484"/>
      <c r="IVT60" s="484"/>
      <c r="IVU60" s="484"/>
      <c r="IVV60" s="484"/>
      <c r="IVW60" s="484"/>
      <c r="IVX60" s="484"/>
      <c r="IVY60" s="484"/>
      <c r="IVZ60" s="484"/>
      <c r="IWA60" s="484"/>
      <c r="IWB60" s="484"/>
      <c r="IWC60" s="484"/>
      <c r="IWD60" s="484"/>
      <c r="IWE60" s="484"/>
      <c r="IWF60" s="484"/>
      <c r="IWG60" s="484"/>
      <c r="IWH60" s="484"/>
      <c r="IWI60" s="484"/>
      <c r="IWJ60" s="484"/>
      <c r="IWK60" s="484"/>
      <c r="IWL60" s="484"/>
      <c r="IWM60" s="484"/>
      <c r="IWN60" s="484"/>
      <c r="IWO60" s="484"/>
      <c r="IWP60" s="484"/>
      <c r="IWQ60" s="484"/>
      <c r="IWR60" s="484"/>
      <c r="IWS60" s="484"/>
      <c r="IWT60" s="484"/>
      <c r="IWU60" s="484"/>
      <c r="IWV60" s="484"/>
      <c r="IWW60" s="484"/>
      <c r="IWX60" s="484"/>
      <c r="IWY60" s="484"/>
      <c r="IWZ60" s="484"/>
      <c r="IXA60" s="484"/>
      <c r="IXB60" s="484"/>
      <c r="IXC60" s="484"/>
      <c r="IXD60" s="484"/>
      <c r="IXE60" s="484"/>
      <c r="IXF60" s="484"/>
      <c r="IXG60" s="484"/>
      <c r="IXH60" s="484"/>
      <c r="IXI60" s="484"/>
      <c r="IXJ60" s="484"/>
      <c r="IXK60" s="484"/>
      <c r="IXL60" s="484"/>
      <c r="IXM60" s="484"/>
      <c r="IXN60" s="484"/>
      <c r="IXO60" s="484"/>
      <c r="IXP60" s="484"/>
      <c r="IXQ60" s="484"/>
      <c r="IXR60" s="484"/>
      <c r="IXS60" s="484"/>
      <c r="IXT60" s="484"/>
      <c r="IXU60" s="484"/>
      <c r="IXV60" s="484"/>
      <c r="IXW60" s="484"/>
      <c r="IXX60" s="484"/>
      <c r="IXY60" s="484"/>
      <c r="IXZ60" s="484"/>
      <c r="IYA60" s="484"/>
      <c r="IYB60" s="484"/>
      <c r="IYC60" s="484"/>
      <c r="IYD60" s="484"/>
      <c r="IYE60" s="484"/>
      <c r="IYF60" s="484"/>
      <c r="IYG60" s="484"/>
      <c r="IYH60" s="484"/>
      <c r="IYI60" s="484"/>
      <c r="IYJ60" s="484"/>
      <c r="IYK60" s="484"/>
      <c r="IYL60" s="484"/>
      <c r="IYM60" s="484"/>
      <c r="IYN60" s="484"/>
      <c r="IYO60" s="484"/>
      <c r="IYP60" s="484"/>
      <c r="IYQ60" s="484"/>
      <c r="IYR60" s="484"/>
      <c r="IYS60" s="484"/>
      <c r="IYT60" s="484"/>
      <c r="IYU60" s="484"/>
      <c r="IYV60" s="484"/>
      <c r="IYW60" s="484"/>
      <c r="IYX60" s="484"/>
      <c r="IYY60" s="484"/>
      <c r="IYZ60" s="484"/>
      <c r="IZA60" s="484"/>
      <c r="IZB60" s="484"/>
      <c r="IZC60" s="484"/>
      <c r="IZD60" s="484"/>
      <c r="IZE60" s="484"/>
      <c r="IZF60" s="484"/>
      <c r="IZG60" s="484"/>
      <c r="IZH60" s="484"/>
      <c r="IZI60" s="484"/>
      <c r="IZJ60" s="484"/>
      <c r="IZK60" s="484"/>
      <c r="IZL60" s="484"/>
      <c r="IZM60" s="484"/>
      <c r="IZN60" s="484"/>
      <c r="IZO60" s="484"/>
      <c r="IZP60" s="484"/>
      <c r="IZQ60" s="484"/>
      <c r="IZR60" s="484"/>
      <c r="IZS60" s="484"/>
      <c r="IZT60" s="484"/>
      <c r="IZU60" s="484"/>
      <c r="IZV60" s="484"/>
      <c r="IZW60" s="484"/>
      <c r="IZX60" s="484"/>
      <c r="IZY60" s="484"/>
      <c r="IZZ60" s="484"/>
      <c r="JAA60" s="484"/>
      <c r="JAB60" s="484"/>
      <c r="JAC60" s="484"/>
      <c r="JAD60" s="484"/>
      <c r="JAE60" s="484"/>
      <c r="JAF60" s="484"/>
      <c r="JAG60" s="484"/>
      <c r="JAH60" s="484"/>
      <c r="JAI60" s="484"/>
      <c r="JAJ60" s="484"/>
      <c r="JAK60" s="484"/>
      <c r="JAL60" s="484"/>
      <c r="JAM60" s="484"/>
      <c r="JAN60" s="484"/>
      <c r="JAO60" s="484"/>
      <c r="JAP60" s="484"/>
      <c r="JAQ60" s="484"/>
      <c r="JAR60" s="484"/>
      <c r="JAS60" s="484"/>
      <c r="JAT60" s="484"/>
      <c r="JAU60" s="484"/>
      <c r="JAV60" s="484"/>
      <c r="JAW60" s="484"/>
      <c r="JAX60" s="484"/>
      <c r="JAY60" s="484"/>
      <c r="JAZ60" s="484"/>
      <c r="JBA60" s="484"/>
      <c r="JBB60" s="484"/>
      <c r="JBC60" s="484"/>
      <c r="JBD60" s="484"/>
      <c r="JBE60" s="484"/>
      <c r="JBF60" s="484"/>
      <c r="JBG60" s="484"/>
      <c r="JBH60" s="484"/>
      <c r="JBI60" s="484"/>
      <c r="JBJ60" s="484"/>
      <c r="JBK60" s="484"/>
      <c r="JBL60" s="484"/>
      <c r="JBM60" s="484"/>
      <c r="JBN60" s="484"/>
      <c r="JBO60" s="484"/>
      <c r="JBP60" s="484"/>
      <c r="JBQ60" s="484"/>
      <c r="JBR60" s="484"/>
      <c r="JBS60" s="484"/>
      <c r="JBT60" s="484"/>
      <c r="JBU60" s="484"/>
      <c r="JBV60" s="484"/>
      <c r="JBW60" s="484"/>
      <c r="JBX60" s="484"/>
      <c r="JBY60" s="484"/>
      <c r="JBZ60" s="484"/>
      <c r="JCA60" s="484"/>
      <c r="JCB60" s="484"/>
      <c r="JCC60" s="484"/>
      <c r="JCD60" s="484"/>
      <c r="JCE60" s="484"/>
      <c r="JCF60" s="484"/>
      <c r="JCG60" s="484"/>
      <c r="JCH60" s="484"/>
      <c r="JCI60" s="484"/>
      <c r="JCJ60" s="484"/>
      <c r="JCK60" s="484"/>
      <c r="JCL60" s="484"/>
      <c r="JCM60" s="484"/>
      <c r="JCN60" s="484"/>
      <c r="JCO60" s="484"/>
      <c r="JCP60" s="484"/>
      <c r="JCQ60" s="484"/>
      <c r="JCR60" s="484"/>
      <c r="JCS60" s="484"/>
      <c r="JCT60" s="484"/>
      <c r="JCU60" s="484"/>
      <c r="JCV60" s="484"/>
      <c r="JCW60" s="484"/>
      <c r="JCX60" s="484"/>
      <c r="JCY60" s="484"/>
      <c r="JCZ60" s="484"/>
      <c r="JDA60" s="484"/>
      <c r="JDB60" s="484"/>
      <c r="JDC60" s="484"/>
      <c r="JDD60" s="484"/>
      <c r="JDE60" s="484"/>
      <c r="JDF60" s="484"/>
      <c r="JDG60" s="484"/>
      <c r="JDH60" s="484"/>
      <c r="JDI60" s="484"/>
      <c r="JDJ60" s="484"/>
      <c r="JDK60" s="484"/>
      <c r="JDL60" s="484"/>
      <c r="JDM60" s="484"/>
      <c r="JDN60" s="484"/>
      <c r="JDO60" s="484"/>
      <c r="JDP60" s="484"/>
      <c r="JDQ60" s="484"/>
      <c r="JDR60" s="484"/>
      <c r="JDS60" s="484"/>
      <c r="JDT60" s="484"/>
      <c r="JDU60" s="484"/>
      <c r="JDV60" s="484"/>
      <c r="JDW60" s="484"/>
      <c r="JDX60" s="484"/>
      <c r="JDY60" s="484"/>
      <c r="JDZ60" s="484"/>
      <c r="JEA60" s="484"/>
      <c r="JEB60" s="484"/>
      <c r="JEC60" s="484"/>
      <c r="JED60" s="484"/>
      <c r="JEE60" s="484"/>
      <c r="JEF60" s="484"/>
      <c r="JEG60" s="484"/>
      <c r="JEH60" s="484"/>
      <c r="JEI60" s="484"/>
      <c r="JEJ60" s="484"/>
      <c r="JEK60" s="484"/>
      <c r="JEL60" s="484"/>
      <c r="JEM60" s="484"/>
      <c r="JEN60" s="484"/>
      <c r="JEO60" s="484"/>
      <c r="JEP60" s="484"/>
      <c r="JEQ60" s="484"/>
      <c r="JER60" s="484"/>
      <c r="JES60" s="484"/>
      <c r="JET60" s="484"/>
      <c r="JEU60" s="484"/>
      <c r="JEV60" s="484"/>
      <c r="JEW60" s="484"/>
      <c r="JEX60" s="484"/>
      <c r="JEY60" s="484"/>
      <c r="JEZ60" s="484"/>
      <c r="JFA60" s="484"/>
      <c r="JFB60" s="484"/>
      <c r="JFC60" s="484"/>
      <c r="JFD60" s="484"/>
      <c r="JFE60" s="484"/>
      <c r="JFF60" s="484"/>
      <c r="JFG60" s="484"/>
      <c r="JFH60" s="484"/>
      <c r="JFI60" s="484"/>
      <c r="JFJ60" s="484"/>
      <c r="JFK60" s="484"/>
      <c r="JFL60" s="484"/>
      <c r="JFM60" s="484"/>
      <c r="JFN60" s="484"/>
      <c r="JFO60" s="484"/>
      <c r="JFP60" s="484"/>
      <c r="JFQ60" s="484"/>
      <c r="JFR60" s="484"/>
      <c r="JFS60" s="484"/>
      <c r="JFT60" s="484"/>
      <c r="JFU60" s="484"/>
      <c r="JFV60" s="484"/>
      <c r="JFW60" s="484"/>
      <c r="JFX60" s="484"/>
      <c r="JFY60" s="484"/>
      <c r="JFZ60" s="484"/>
      <c r="JGA60" s="484"/>
      <c r="JGB60" s="484"/>
      <c r="JGC60" s="484"/>
      <c r="JGD60" s="484"/>
      <c r="JGE60" s="484"/>
      <c r="JGF60" s="484"/>
      <c r="JGG60" s="484"/>
      <c r="JGH60" s="484"/>
      <c r="JGI60" s="484"/>
      <c r="JGJ60" s="484"/>
      <c r="JGK60" s="484"/>
      <c r="JGL60" s="484"/>
      <c r="JGM60" s="484"/>
      <c r="JGN60" s="484"/>
      <c r="JGO60" s="484"/>
      <c r="JGP60" s="484"/>
      <c r="JGQ60" s="484"/>
      <c r="JGR60" s="484"/>
      <c r="JGS60" s="484"/>
      <c r="JGT60" s="484"/>
      <c r="JGU60" s="484"/>
      <c r="JGV60" s="484"/>
      <c r="JGW60" s="484"/>
      <c r="JGX60" s="484"/>
      <c r="JGY60" s="484"/>
      <c r="JGZ60" s="484"/>
      <c r="JHA60" s="484"/>
      <c r="JHB60" s="484"/>
      <c r="JHC60" s="484"/>
      <c r="JHD60" s="484"/>
      <c r="JHE60" s="484"/>
      <c r="JHF60" s="484"/>
      <c r="JHG60" s="484"/>
      <c r="JHH60" s="484"/>
      <c r="JHI60" s="484"/>
      <c r="JHJ60" s="484"/>
      <c r="JHK60" s="484"/>
      <c r="JHL60" s="484"/>
      <c r="JHM60" s="484"/>
      <c r="JHN60" s="484"/>
      <c r="JHO60" s="484"/>
      <c r="JHP60" s="484"/>
      <c r="JHQ60" s="484"/>
      <c r="JHR60" s="484"/>
      <c r="JHS60" s="484"/>
      <c r="JHT60" s="484"/>
      <c r="JHU60" s="484"/>
      <c r="JHV60" s="484"/>
      <c r="JHW60" s="484"/>
      <c r="JHX60" s="484"/>
      <c r="JHY60" s="484"/>
      <c r="JHZ60" s="484"/>
      <c r="JIA60" s="484"/>
      <c r="JIB60" s="484"/>
      <c r="JIC60" s="484"/>
      <c r="JID60" s="484"/>
      <c r="JIE60" s="484"/>
      <c r="JIF60" s="484"/>
      <c r="JIG60" s="484"/>
      <c r="JIH60" s="484"/>
      <c r="JII60" s="484"/>
      <c r="JIJ60" s="484"/>
      <c r="JIK60" s="484"/>
      <c r="JIL60" s="484"/>
      <c r="JIM60" s="484"/>
      <c r="JIN60" s="484"/>
      <c r="JIO60" s="484"/>
      <c r="JIP60" s="484"/>
      <c r="JIQ60" s="484"/>
      <c r="JIR60" s="484"/>
      <c r="JIS60" s="484"/>
      <c r="JIT60" s="484"/>
      <c r="JIU60" s="484"/>
      <c r="JIV60" s="484"/>
      <c r="JIW60" s="484"/>
      <c r="JIX60" s="484"/>
      <c r="JIY60" s="484"/>
      <c r="JIZ60" s="484"/>
      <c r="JJA60" s="484"/>
      <c r="JJB60" s="484"/>
      <c r="JJC60" s="484"/>
      <c r="JJD60" s="484"/>
      <c r="JJE60" s="484"/>
      <c r="JJF60" s="484"/>
      <c r="JJG60" s="484"/>
      <c r="JJH60" s="484"/>
      <c r="JJI60" s="484"/>
      <c r="JJJ60" s="484"/>
      <c r="JJK60" s="484"/>
      <c r="JJL60" s="484"/>
      <c r="JJM60" s="484"/>
      <c r="JJN60" s="484"/>
      <c r="JJO60" s="484"/>
      <c r="JJP60" s="484"/>
      <c r="JJQ60" s="484"/>
      <c r="JJR60" s="484"/>
      <c r="JJS60" s="484"/>
      <c r="JJT60" s="484"/>
      <c r="JJU60" s="484"/>
      <c r="JJV60" s="484"/>
      <c r="JJW60" s="484"/>
      <c r="JJX60" s="484"/>
      <c r="JJY60" s="484"/>
      <c r="JJZ60" s="484"/>
      <c r="JKA60" s="484"/>
      <c r="JKB60" s="484"/>
      <c r="JKC60" s="484"/>
      <c r="JKD60" s="484"/>
      <c r="JKE60" s="484"/>
      <c r="JKF60" s="484"/>
      <c r="JKG60" s="484"/>
      <c r="JKH60" s="484"/>
      <c r="JKI60" s="484"/>
      <c r="JKJ60" s="484"/>
      <c r="JKK60" s="484"/>
      <c r="JKL60" s="484"/>
      <c r="JKM60" s="484"/>
      <c r="JKN60" s="484"/>
      <c r="JKO60" s="484"/>
      <c r="JKP60" s="484"/>
      <c r="JKQ60" s="484"/>
      <c r="JKR60" s="484"/>
      <c r="JKS60" s="484"/>
      <c r="JKT60" s="484"/>
      <c r="JKU60" s="484"/>
      <c r="JKV60" s="484"/>
      <c r="JKW60" s="484"/>
      <c r="JKX60" s="484"/>
      <c r="JKY60" s="484"/>
      <c r="JKZ60" s="484"/>
      <c r="JLA60" s="484"/>
      <c r="JLB60" s="484"/>
      <c r="JLC60" s="484"/>
      <c r="JLD60" s="484"/>
      <c r="JLE60" s="484"/>
      <c r="JLF60" s="484"/>
      <c r="JLG60" s="484"/>
      <c r="JLH60" s="484"/>
      <c r="JLI60" s="484"/>
      <c r="JLJ60" s="484"/>
      <c r="JLK60" s="484"/>
      <c r="JLL60" s="484"/>
      <c r="JLM60" s="484"/>
      <c r="JLN60" s="484"/>
      <c r="JLO60" s="484"/>
      <c r="JLP60" s="484"/>
      <c r="JLQ60" s="484"/>
      <c r="JLR60" s="484"/>
      <c r="JLS60" s="484"/>
      <c r="JLT60" s="484"/>
      <c r="JLU60" s="484"/>
      <c r="JLV60" s="484"/>
      <c r="JLW60" s="484"/>
      <c r="JLX60" s="484"/>
      <c r="JLY60" s="484"/>
      <c r="JLZ60" s="484"/>
      <c r="JMA60" s="484"/>
      <c r="JMB60" s="484"/>
      <c r="JMC60" s="484"/>
      <c r="JMD60" s="484"/>
      <c r="JME60" s="484"/>
      <c r="JMF60" s="484"/>
      <c r="JMG60" s="484"/>
      <c r="JMH60" s="484"/>
      <c r="JMI60" s="484"/>
      <c r="JMJ60" s="484"/>
      <c r="JMK60" s="484"/>
      <c r="JML60" s="484"/>
      <c r="JMM60" s="484"/>
      <c r="JMN60" s="484"/>
      <c r="JMO60" s="484"/>
      <c r="JMP60" s="484"/>
      <c r="JMQ60" s="484"/>
      <c r="JMR60" s="484"/>
      <c r="JMS60" s="484"/>
      <c r="JMT60" s="484"/>
      <c r="JMU60" s="484"/>
      <c r="JMV60" s="484"/>
      <c r="JMW60" s="484"/>
      <c r="JMX60" s="484"/>
      <c r="JMY60" s="484"/>
      <c r="JMZ60" s="484"/>
      <c r="JNA60" s="484"/>
      <c r="JNB60" s="484"/>
      <c r="JNC60" s="484"/>
      <c r="JND60" s="484"/>
      <c r="JNE60" s="484"/>
      <c r="JNF60" s="484"/>
      <c r="JNG60" s="484"/>
      <c r="JNH60" s="484"/>
      <c r="JNI60" s="484"/>
      <c r="JNJ60" s="484"/>
      <c r="JNK60" s="484"/>
      <c r="JNL60" s="484"/>
      <c r="JNM60" s="484"/>
      <c r="JNN60" s="484"/>
      <c r="JNO60" s="484"/>
      <c r="JNP60" s="484"/>
      <c r="JNQ60" s="484"/>
      <c r="JNR60" s="484"/>
      <c r="JNS60" s="484"/>
      <c r="JNT60" s="484"/>
      <c r="JNU60" s="484"/>
      <c r="JNV60" s="484"/>
      <c r="JNW60" s="484"/>
      <c r="JNX60" s="484"/>
      <c r="JNY60" s="484"/>
      <c r="JNZ60" s="484"/>
      <c r="JOA60" s="484"/>
      <c r="JOB60" s="484"/>
      <c r="JOC60" s="484"/>
      <c r="JOD60" s="484"/>
      <c r="JOE60" s="484"/>
      <c r="JOF60" s="484"/>
      <c r="JOG60" s="484"/>
      <c r="JOH60" s="484"/>
      <c r="JOI60" s="484"/>
      <c r="JOJ60" s="484"/>
      <c r="JOK60" s="484"/>
      <c r="JOL60" s="484"/>
      <c r="JOM60" s="484"/>
      <c r="JON60" s="484"/>
      <c r="JOO60" s="484"/>
      <c r="JOP60" s="484"/>
      <c r="JOQ60" s="484"/>
      <c r="JOR60" s="484"/>
      <c r="JOS60" s="484"/>
      <c r="JOT60" s="484"/>
      <c r="JOU60" s="484"/>
      <c r="JOV60" s="484"/>
      <c r="JOW60" s="484"/>
      <c r="JOX60" s="484"/>
      <c r="JOY60" s="484"/>
      <c r="JOZ60" s="484"/>
      <c r="JPA60" s="484"/>
      <c r="JPB60" s="484"/>
      <c r="JPC60" s="484"/>
      <c r="JPD60" s="484"/>
      <c r="JPE60" s="484"/>
      <c r="JPF60" s="484"/>
      <c r="JPG60" s="484"/>
      <c r="JPH60" s="484"/>
      <c r="JPI60" s="484"/>
      <c r="JPJ60" s="484"/>
      <c r="JPK60" s="484"/>
      <c r="JPL60" s="484"/>
      <c r="JPM60" s="484"/>
      <c r="JPN60" s="484"/>
      <c r="JPO60" s="484"/>
      <c r="JPP60" s="484"/>
      <c r="JPQ60" s="484"/>
      <c r="JPR60" s="484"/>
      <c r="JPS60" s="484"/>
      <c r="JPT60" s="484"/>
      <c r="JPU60" s="484"/>
      <c r="JPV60" s="484"/>
      <c r="JPW60" s="484"/>
      <c r="JPX60" s="484"/>
      <c r="JPY60" s="484"/>
      <c r="JPZ60" s="484"/>
      <c r="JQA60" s="484"/>
      <c r="JQB60" s="484"/>
      <c r="JQC60" s="484"/>
      <c r="JQD60" s="484"/>
      <c r="JQE60" s="484"/>
      <c r="JQF60" s="484"/>
      <c r="JQG60" s="484"/>
      <c r="JQH60" s="484"/>
      <c r="JQI60" s="484"/>
      <c r="JQJ60" s="484"/>
      <c r="JQK60" s="484"/>
      <c r="JQL60" s="484"/>
      <c r="JQM60" s="484"/>
      <c r="JQN60" s="484"/>
      <c r="JQO60" s="484"/>
      <c r="JQP60" s="484"/>
      <c r="JQQ60" s="484"/>
      <c r="JQR60" s="484"/>
      <c r="JQS60" s="484"/>
      <c r="JQT60" s="484"/>
      <c r="JQU60" s="484"/>
      <c r="JQV60" s="484"/>
      <c r="JQW60" s="484"/>
      <c r="JQX60" s="484"/>
      <c r="JQY60" s="484"/>
      <c r="JQZ60" s="484"/>
      <c r="JRA60" s="484"/>
      <c r="JRB60" s="484"/>
      <c r="JRC60" s="484"/>
      <c r="JRD60" s="484"/>
      <c r="JRE60" s="484"/>
      <c r="JRF60" s="484"/>
      <c r="JRG60" s="484"/>
      <c r="JRH60" s="484"/>
      <c r="JRI60" s="484"/>
      <c r="JRJ60" s="484"/>
      <c r="JRK60" s="484"/>
      <c r="JRL60" s="484"/>
      <c r="JRM60" s="484"/>
      <c r="JRN60" s="484"/>
      <c r="JRO60" s="484"/>
      <c r="JRP60" s="484"/>
      <c r="JRQ60" s="484"/>
      <c r="JRR60" s="484"/>
      <c r="JRS60" s="484"/>
      <c r="JRT60" s="484"/>
      <c r="JRU60" s="484"/>
      <c r="JRV60" s="484"/>
      <c r="JRW60" s="484"/>
      <c r="JRX60" s="484"/>
      <c r="JRY60" s="484"/>
      <c r="JRZ60" s="484"/>
      <c r="JSA60" s="484"/>
      <c r="JSB60" s="484"/>
      <c r="JSC60" s="484"/>
      <c r="JSD60" s="484"/>
      <c r="JSE60" s="484"/>
      <c r="JSF60" s="484"/>
      <c r="JSG60" s="484"/>
      <c r="JSH60" s="484"/>
      <c r="JSI60" s="484"/>
      <c r="JSJ60" s="484"/>
      <c r="JSK60" s="484"/>
      <c r="JSL60" s="484"/>
      <c r="JSM60" s="484"/>
      <c r="JSN60" s="484"/>
      <c r="JSO60" s="484"/>
      <c r="JSP60" s="484"/>
      <c r="JSQ60" s="484"/>
      <c r="JSR60" s="484"/>
      <c r="JSS60" s="484"/>
      <c r="JST60" s="484"/>
      <c r="JSU60" s="484"/>
      <c r="JSV60" s="484"/>
      <c r="JSW60" s="484"/>
      <c r="JSX60" s="484"/>
      <c r="JSY60" s="484"/>
      <c r="JSZ60" s="484"/>
      <c r="JTA60" s="484"/>
      <c r="JTB60" s="484"/>
      <c r="JTC60" s="484"/>
      <c r="JTD60" s="484"/>
      <c r="JTE60" s="484"/>
      <c r="JTF60" s="484"/>
      <c r="JTG60" s="484"/>
      <c r="JTH60" s="484"/>
      <c r="JTI60" s="484"/>
      <c r="JTJ60" s="484"/>
      <c r="JTK60" s="484"/>
      <c r="JTL60" s="484"/>
      <c r="JTM60" s="484"/>
      <c r="JTN60" s="484"/>
      <c r="JTO60" s="484"/>
      <c r="JTP60" s="484"/>
      <c r="JTQ60" s="484"/>
      <c r="JTR60" s="484"/>
      <c r="JTS60" s="484"/>
      <c r="JTT60" s="484"/>
      <c r="JTU60" s="484"/>
      <c r="JTV60" s="484"/>
      <c r="JTW60" s="484"/>
      <c r="JTX60" s="484"/>
      <c r="JTY60" s="484"/>
      <c r="JTZ60" s="484"/>
      <c r="JUA60" s="484"/>
      <c r="JUB60" s="484"/>
      <c r="JUC60" s="484"/>
      <c r="JUD60" s="484"/>
      <c r="JUE60" s="484"/>
      <c r="JUF60" s="484"/>
      <c r="JUG60" s="484"/>
      <c r="JUH60" s="484"/>
      <c r="JUI60" s="484"/>
      <c r="JUJ60" s="484"/>
      <c r="JUK60" s="484"/>
      <c r="JUL60" s="484"/>
      <c r="JUM60" s="484"/>
      <c r="JUN60" s="484"/>
      <c r="JUO60" s="484"/>
      <c r="JUP60" s="484"/>
      <c r="JUQ60" s="484"/>
      <c r="JUR60" s="484"/>
      <c r="JUS60" s="484"/>
      <c r="JUT60" s="484"/>
      <c r="JUU60" s="484"/>
      <c r="JUV60" s="484"/>
      <c r="JUW60" s="484"/>
      <c r="JUX60" s="484"/>
      <c r="JUY60" s="484"/>
      <c r="JUZ60" s="484"/>
      <c r="JVA60" s="484"/>
      <c r="JVB60" s="484"/>
      <c r="JVC60" s="484"/>
      <c r="JVD60" s="484"/>
      <c r="JVE60" s="484"/>
      <c r="JVF60" s="484"/>
      <c r="JVG60" s="484"/>
      <c r="JVH60" s="484"/>
      <c r="JVI60" s="484"/>
      <c r="JVJ60" s="484"/>
      <c r="JVK60" s="484"/>
      <c r="JVL60" s="484"/>
      <c r="JVM60" s="484"/>
      <c r="JVN60" s="484"/>
      <c r="JVO60" s="484"/>
      <c r="JVP60" s="484"/>
      <c r="JVQ60" s="484"/>
      <c r="JVR60" s="484"/>
      <c r="JVS60" s="484"/>
      <c r="JVT60" s="484"/>
      <c r="JVU60" s="484"/>
      <c r="JVV60" s="484"/>
      <c r="JVW60" s="484"/>
      <c r="JVX60" s="484"/>
      <c r="JVY60" s="484"/>
      <c r="JVZ60" s="484"/>
      <c r="JWA60" s="484"/>
      <c r="JWB60" s="484"/>
      <c r="JWC60" s="484"/>
      <c r="JWD60" s="484"/>
      <c r="JWE60" s="484"/>
      <c r="JWF60" s="484"/>
      <c r="JWG60" s="484"/>
      <c r="JWH60" s="484"/>
      <c r="JWI60" s="484"/>
      <c r="JWJ60" s="484"/>
      <c r="JWK60" s="484"/>
      <c r="JWL60" s="484"/>
      <c r="JWM60" s="484"/>
      <c r="JWN60" s="484"/>
      <c r="JWO60" s="484"/>
      <c r="JWP60" s="484"/>
      <c r="JWQ60" s="484"/>
      <c r="JWR60" s="484"/>
      <c r="JWS60" s="484"/>
      <c r="JWT60" s="484"/>
      <c r="JWU60" s="484"/>
      <c r="JWV60" s="484"/>
      <c r="JWW60" s="484"/>
      <c r="JWX60" s="484"/>
      <c r="JWY60" s="484"/>
      <c r="JWZ60" s="484"/>
      <c r="JXA60" s="484"/>
      <c r="JXB60" s="484"/>
      <c r="JXC60" s="484"/>
      <c r="JXD60" s="484"/>
      <c r="JXE60" s="484"/>
      <c r="JXF60" s="484"/>
      <c r="JXG60" s="484"/>
      <c r="JXH60" s="484"/>
      <c r="JXI60" s="484"/>
      <c r="JXJ60" s="484"/>
      <c r="JXK60" s="484"/>
      <c r="JXL60" s="484"/>
      <c r="JXM60" s="484"/>
      <c r="JXN60" s="484"/>
      <c r="JXO60" s="484"/>
      <c r="JXP60" s="484"/>
      <c r="JXQ60" s="484"/>
      <c r="JXR60" s="484"/>
      <c r="JXS60" s="484"/>
      <c r="JXT60" s="484"/>
      <c r="JXU60" s="484"/>
      <c r="JXV60" s="484"/>
      <c r="JXW60" s="484"/>
      <c r="JXX60" s="484"/>
      <c r="JXY60" s="484"/>
      <c r="JXZ60" s="484"/>
      <c r="JYA60" s="484"/>
      <c r="JYB60" s="484"/>
      <c r="JYC60" s="484"/>
      <c r="JYD60" s="484"/>
      <c r="JYE60" s="484"/>
      <c r="JYF60" s="484"/>
      <c r="JYG60" s="484"/>
      <c r="JYH60" s="484"/>
      <c r="JYI60" s="484"/>
      <c r="JYJ60" s="484"/>
      <c r="JYK60" s="484"/>
      <c r="JYL60" s="484"/>
      <c r="JYM60" s="484"/>
      <c r="JYN60" s="484"/>
      <c r="JYO60" s="484"/>
      <c r="JYP60" s="484"/>
      <c r="JYQ60" s="484"/>
      <c r="JYR60" s="484"/>
      <c r="JYS60" s="484"/>
      <c r="JYT60" s="484"/>
      <c r="JYU60" s="484"/>
      <c r="JYV60" s="484"/>
      <c r="JYW60" s="484"/>
      <c r="JYX60" s="484"/>
      <c r="JYY60" s="484"/>
      <c r="JYZ60" s="484"/>
      <c r="JZA60" s="484"/>
      <c r="JZB60" s="484"/>
      <c r="JZC60" s="484"/>
      <c r="JZD60" s="484"/>
      <c r="JZE60" s="484"/>
      <c r="JZF60" s="484"/>
      <c r="JZG60" s="484"/>
      <c r="JZH60" s="484"/>
      <c r="JZI60" s="484"/>
      <c r="JZJ60" s="484"/>
      <c r="JZK60" s="484"/>
      <c r="JZL60" s="484"/>
      <c r="JZM60" s="484"/>
      <c r="JZN60" s="484"/>
      <c r="JZO60" s="484"/>
      <c r="JZP60" s="484"/>
      <c r="JZQ60" s="484"/>
      <c r="JZR60" s="484"/>
      <c r="JZS60" s="484"/>
      <c r="JZT60" s="484"/>
      <c r="JZU60" s="484"/>
      <c r="JZV60" s="484"/>
      <c r="JZW60" s="484"/>
      <c r="JZX60" s="484"/>
      <c r="JZY60" s="484"/>
      <c r="JZZ60" s="484"/>
      <c r="KAA60" s="484"/>
      <c r="KAB60" s="484"/>
      <c r="KAC60" s="484"/>
      <c r="KAD60" s="484"/>
      <c r="KAE60" s="484"/>
      <c r="KAF60" s="484"/>
      <c r="KAG60" s="484"/>
      <c r="KAH60" s="484"/>
      <c r="KAI60" s="484"/>
      <c r="KAJ60" s="484"/>
      <c r="KAK60" s="484"/>
      <c r="KAL60" s="484"/>
      <c r="KAM60" s="484"/>
      <c r="KAN60" s="484"/>
      <c r="KAO60" s="484"/>
      <c r="KAP60" s="484"/>
      <c r="KAQ60" s="484"/>
      <c r="KAR60" s="484"/>
      <c r="KAS60" s="484"/>
      <c r="KAT60" s="484"/>
      <c r="KAU60" s="484"/>
      <c r="KAV60" s="484"/>
      <c r="KAW60" s="484"/>
      <c r="KAX60" s="484"/>
      <c r="KAY60" s="484"/>
      <c r="KAZ60" s="484"/>
      <c r="KBA60" s="484"/>
      <c r="KBB60" s="484"/>
      <c r="KBC60" s="484"/>
      <c r="KBD60" s="484"/>
      <c r="KBE60" s="484"/>
      <c r="KBF60" s="484"/>
      <c r="KBG60" s="484"/>
      <c r="KBH60" s="484"/>
      <c r="KBI60" s="484"/>
      <c r="KBJ60" s="484"/>
      <c r="KBK60" s="484"/>
      <c r="KBL60" s="484"/>
      <c r="KBM60" s="484"/>
      <c r="KBN60" s="484"/>
      <c r="KBO60" s="484"/>
      <c r="KBP60" s="484"/>
      <c r="KBQ60" s="484"/>
      <c r="KBR60" s="484"/>
      <c r="KBS60" s="484"/>
      <c r="KBT60" s="484"/>
      <c r="KBU60" s="484"/>
      <c r="KBV60" s="484"/>
      <c r="KBW60" s="484"/>
      <c r="KBX60" s="484"/>
      <c r="KBY60" s="484"/>
      <c r="KBZ60" s="484"/>
      <c r="KCA60" s="484"/>
      <c r="KCB60" s="484"/>
      <c r="KCC60" s="484"/>
      <c r="KCD60" s="484"/>
      <c r="KCE60" s="484"/>
      <c r="KCF60" s="484"/>
      <c r="KCG60" s="484"/>
      <c r="KCH60" s="484"/>
      <c r="KCI60" s="484"/>
      <c r="KCJ60" s="484"/>
      <c r="KCK60" s="484"/>
      <c r="KCL60" s="484"/>
      <c r="KCM60" s="484"/>
      <c r="KCN60" s="484"/>
      <c r="KCO60" s="484"/>
      <c r="KCP60" s="484"/>
      <c r="KCQ60" s="484"/>
      <c r="KCR60" s="484"/>
      <c r="KCS60" s="484"/>
      <c r="KCT60" s="484"/>
      <c r="KCU60" s="484"/>
      <c r="KCV60" s="484"/>
      <c r="KCW60" s="484"/>
      <c r="KCX60" s="484"/>
      <c r="KCY60" s="484"/>
      <c r="KCZ60" s="484"/>
      <c r="KDA60" s="484"/>
      <c r="KDB60" s="484"/>
      <c r="KDC60" s="484"/>
      <c r="KDD60" s="484"/>
      <c r="KDE60" s="484"/>
      <c r="KDF60" s="484"/>
      <c r="KDG60" s="484"/>
      <c r="KDH60" s="484"/>
      <c r="KDI60" s="484"/>
      <c r="KDJ60" s="484"/>
      <c r="KDK60" s="484"/>
      <c r="KDL60" s="484"/>
      <c r="KDM60" s="484"/>
      <c r="KDN60" s="484"/>
      <c r="KDO60" s="484"/>
      <c r="KDP60" s="484"/>
      <c r="KDQ60" s="484"/>
      <c r="KDR60" s="484"/>
      <c r="KDS60" s="484"/>
      <c r="KDT60" s="484"/>
      <c r="KDU60" s="484"/>
      <c r="KDV60" s="484"/>
      <c r="KDW60" s="484"/>
      <c r="KDX60" s="484"/>
      <c r="KDY60" s="484"/>
      <c r="KDZ60" s="484"/>
      <c r="KEA60" s="484"/>
      <c r="KEB60" s="484"/>
      <c r="KEC60" s="484"/>
      <c r="KED60" s="484"/>
      <c r="KEE60" s="484"/>
      <c r="KEF60" s="484"/>
      <c r="KEG60" s="484"/>
      <c r="KEH60" s="484"/>
      <c r="KEI60" s="484"/>
      <c r="KEJ60" s="484"/>
      <c r="KEK60" s="484"/>
      <c r="KEL60" s="484"/>
      <c r="KEM60" s="484"/>
      <c r="KEN60" s="484"/>
      <c r="KEO60" s="484"/>
      <c r="KEP60" s="484"/>
      <c r="KEQ60" s="484"/>
      <c r="KER60" s="484"/>
      <c r="KES60" s="484"/>
      <c r="KET60" s="484"/>
      <c r="KEU60" s="484"/>
      <c r="KEV60" s="484"/>
      <c r="KEW60" s="484"/>
      <c r="KEX60" s="484"/>
      <c r="KEY60" s="484"/>
      <c r="KEZ60" s="484"/>
      <c r="KFA60" s="484"/>
      <c r="KFB60" s="484"/>
      <c r="KFC60" s="484"/>
      <c r="KFD60" s="484"/>
      <c r="KFE60" s="484"/>
      <c r="KFF60" s="484"/>
      <c r="KFG60" s="484"/>
      <c r="KFH60" s="484"/>
      <c r="KFI60" s="484"/>
      <c r="KFJ60" s="484"/>
      <c r="KFK60" s="484"/>
      <c r="KFL60" s="484"/>
      <c r="KFM60" s="484"/>
      <c r="KFN60" s="484"/>
      <c r="KFO60" s="484"/>
      <c r="KFP60" s="484"/>
      <c r="KFQ60" s="484"/>
      <c r="KFR60" s="484"/>
      <c r="KFS60" s="484"/>
      <c r="KFT60" s="484"/>
      <c r="KFU60" s="484"/>
      <c r="KFV60" s="484"/>
      <c r="KFW60" s="484"/>
      <c r="KFX60" s="484"/>
      <c r="KFY60" s="484"/>
      <c r="KFZ60" s="484"/>
      <c r="KGA60" s="484"/>
      <c r="KGB60" s="484"/>
      <c r="KGC60" s="484"/>
      <c r="KGD60" s="484"/>
      <c r="KGE60" s="484"/>
      <c r="KGF60" s="484"/>
      <c r="KGG60" s="484"/>
      <c r="KGH60" s="484"/>
      <c r="KGI60" s="484"/>
      <c r="KGJ60" s="484"/>
      <c r="KGK60" s="484"/>
      <c r="KGL60" s="484"/>
      <c r="KGM60" s="484"/>
      <c r="KGN60" s="484"/>
      <c r="KGO60" s="484"/>
      <c r="KGP60" s="484"/>
      <c r="KGQ60" s="484"/>
      <c r="KGR60" s="484"/>
      <c r="KGS60" s="484"/>
      <c r="KGT60" s="484"/>
      <c r="KGU60" s="484"/>
      <c r="KGV60" s="484"/>
      <c r="KGW60" s="484"/>
      <c r="KGX60" s="484"/>
      <c r="KGY60" s="484"/>
      <c r="KGZ60" s="484"/>
      <c r="KHA60" s="484"/>
      <c r="KHB60" s="484"/>
      <c r="KHC60" s="484"/>
      <c r="KHD60" s="484"/>
      <c r="KHE60" s="484"/>
      <c r="KHF60" s="484"/>
      <c r="KHG60" s="484"/>
      <c r="KHH60" s="484"/>
      <c r="KHI60" s="484"/>
      <c r="KHJ60" s="484"/>
      <c r="KHK60" s="484"/>
      <c r="KHL60" s="484"/>
      <c r="KHM60" s="484"/>
      <c r="KHN60" s="484"/>
      <c r="KHO60" s="484"/>
      <c r="KHP60" s="484"/>
      <c r="KHQ60" s="484"/>
      <c r="KHR60" s="484"/>
      <c r="KHS60" s="484"/>
      <c r="KHT60" s="484"/>
      <c r="KHU60" s="484"/>
      <c r="KHV60" s="484"/>
      <c r="KHW60" s="484"/>
      <c r="KHX60" s="484"/>
      <c r="KHY60" s="484"/>
      <c r="KHZ60" s="484"/>
      <c r="KIA60" s="484"/>
      <c r="KIB60" s="484"/>
      <c r="KIC60" s="484"/>
      <c r="KID60" s="484"/>
      <c r="KIE60" s="484"/>
      <c r="KIF60" s="484"/>
      <c r="KIG60" s="484"/>
      <c r="KIH60" s="484"/>
      <c r="KII60" s="484"/>
      <c r="KIJ60" s="484"/>
      <c r="KIK60" s="484"/>
      <c r="KIL60" s="484"/>
      <c r="KIM60" s="484"/>
      <c r="KIN60" s="484"/>
      <c r="KIO60" s="484"/>
      <c r="KIP60" s="484"/>
      <c r="KIQ60" s="484"/>
      <c r="KIR60" s="484"/>
      <c r="KIS60" s="484"/>
      <c r="KIT60" s="484"/>
      <c r="KIU60" s="484"/>
      <c r="KIV60" s="484"/>
      <c r="KIW60" s="484"/>
      <c r="KIX60" s="484"/>
      <c r="KIY60" s="484"/>
      <c r="KIZ60" s="484"/>
      <c r="KJA60" s="484"/>
      <c r="KJB60" s="484"/>
      <c r="KJC60" s="484"/>
      <c r="KJD60" s="484"/>
      <c r="KJE60" s="484"/>
      <c r="KJF60" s="484"/>
      <c r="KJG60" s="484"/>
      <c r="KJH60" s="484"/>
      <c r="KJI60" s="484"/>
      <c r="KJJ60" s="484"/>
      <c r="KJK60" s="484"/>
      <c r="KJL60" s="484"/>
      <c r="KJM60" s="484"/>
      <c r="KJN60" s="484"/>
      <c r="KJO60" s="484"/>
      <c r="KJP60" s="484"/>
      <c r="KJQ60" s="484"/>
      <c r="KJR60" s="484"/>
      <c r="KJS60" s="484"/>
      <c r="KJT60" s="484"/>
      <c r="KJU60" s="484"/>
      <c r="KJV60" s="484"/>
      <c r="KJW60" s="484"/>
      <c r="KJX60" s="484"/>
      <c r="KJY60" s="484"/>
      <c r="KJZ60" s="484"/>
      <c r="KKA60" s="484"/>
      <c r="KKB60" s="484"/>
      <c r="KKC60" s="484"/>
      <c r="KKD60" s="484"/>
      <c r="KKE60" s="484"/>
      <c r="KKF60" s="484"/>
      <c r="KKG60" s="484"/>
      <c r="KKH60" s="484"/>
      <c r="KKI60" s="484"/>
      <c r="KKJ60" s="484"/>
      <c r="KKK60" s="484"/>
      <c r="KKL60" s="484"/>
      <c r="KKM60" s="484"/>
      <c r="KKN60" s="484"/>
      <c r="KKO60" s="484"/>
      <c r="KKP60" s="484"/>
      <c r="KKQ60" s="484"/>
      <c r="KKR60" s="484"/>
      <c r="KKS60" s="484"/>
      <c r="KKT60" s="484"/>
      <c r="KKU60" s="484"/>
      <c r="KKV60" s="484"/>
      <c r="KKW60" s="484"/>
      <c r="KKX60" s="484"/>
      <c r="KKY60" s="484"/>
      <c r="KKZ60" s="484"/>
      <c r="KLA60" s="484"/>
      <c r="KLB60" s="484"/>
      <c r="KLC60" s="484"/>
      <c r="KLD60" s="484"/>
      <c r="KLE60" s="484"/>
      <c r="KLF60" s="484"/>
      <c r="KLG60" s="484"/>
      <c r="KLH60" s="484"/>
      <c r="KLI60" s="484"/>
      <c r="KLJ60" s="484"/>
      <c r="KLK60" s="484"/>
      <c r="KLL60" s="484"/>
      <c r="KLM60" s="484"/>
      <c r="KLN60" s="484"/>
      <c r="KLO60" s="484"/>
      <c r="KLP60" s="484"/>
      <c r="KLQ60" s="484"/>
      <c r="KLR60" s="484"/>
      <c r="KLS60" s="484"/>
      <c r="KLT60" s="484"/>
      <c r="KLU60" s="484"/>
      <c r="KLV60" s="484"/>
      <c r="KLW60" s="484"/>
      <c r="KLX60" s="484"/>
      <c r="KLY60" s="484"/>
      <c r="KLZ60" s="484"/>
      <c r="KMA60" s="484"/>
      <c r="KMB60" s="484"/>
      <c r="KMC60" s="484"/>
      <c r="KMD60" s="484"/>
      <c r="KME60" s="484"/>
      <c r="KMF60" s="484"/>
      <c r="KMG60" s="484"/>
      <c r="KMH60" s="484"/>
      <c r="KMI60" s="484"/>
      <c r="KMJ60" s="484"/>
      <c r="KMK60" s="484"/>
      <c r="KML60" s="484"/>
      <c r="KMM60" s="484"/>
      <c r="KMN60" s="484"/>
      <c r="KMO60" s="484"/>
      <c r="KMP60" s="484"/>
      <c r="KMQ60" s="484"/>
      <c r="KMR60" s="484"/>
      <c r="KMS60" s="484"/>
      <c r="KMT60" s="484"/>
      <c r="KMU60" s="484"/>
      <c r="KMV60" s="484"/>
      <c r="KMW60" s="484"/>
      <c r="KMX60" s="484"/>
      <c r="KMY60" s="484"/>
      <c r="KMZ60" s="484"/>
      <c r="KNA60" s="484"/>
      <c r="KNB60" s="484"/>
      <c r="KNC60" s="484"/>
      <c r="KND60" s="484"/>
      <c r="KNE60" s="484"/>
      <c r="KNF60" s="484"/>
      <c r="KNG60" s="484"/>
      <c r="KNH60" s="484"/>
      <c r="KNI60" s="484"/>
      <c r="KNJ60" s="484"/>
      <c r="KNK60" s="484"/>
      <c r="KNL60" s="484"/>
      <c r="KNM60" s="484"/>
      <c r="KNN60" s="484"/>
      <c r="KNO60" s="484"/>
      <c r="KNP60" s="484"/>
      <c r="KNQ60" s="484"/>
      <c r="KNR60" s="484"/>
      <c r="KNS60" s="484"/>
      <c r="KNT60" s="484"/>
      <c r="KNU60" s="484"/>
      <c r="KNV60" s="484"/>
      <c r="KNW60" s="484"/>
      <c r="KNX60" s="484"/>
      <c r="KNY60" s="484"/>
      <c r="KNZ60" s="484"/>
      <c r="KOA60" s="484"/>
      <c r="KOB60" s="484"/>
      <c r="KOC60" s="484"/>
      <c r="KOD60" s="484"/>
      <c r="KOE60" s="484"/>
      <c r="KOF60" s="484"/>
      <c r="KOG60" s="484"/>
      <c r="KOH60" s="484"/>
      <c r="KOI60" s="484"/>
      <c r="KOJ60" s="484"/>
      <c r="KOK60" s="484"/>
      <c r="KOL60" s="484"/>
      <c r="KOM60" s="484"/>
      <c r="KON60" s="484"/>
      <c r="KOO60" s="484"/>
      <c r="KOP60" s="484"/>
      <c r="KOQ60" s="484"/>
      <c r="KOR60" s="484"/>
      <c r="KOS60" s="484"/>
      <c r="KOT60" s="484"/>
      <c r="KOU60" s="484"/>
      <c r="KOV60" s="484"/>
      <c r="KOW60" s="484"/>
      <c r="KOX60" s="484"/>
      <c r="KOY60" s="484"/>
      <c r="KOZ60" s="484"/>
      <c r="KPA60" s="484"/>
      <c r="KPB60" s="484"/>
      <c r="KPC60" s="484"/>
      <c r="KPD60" s="484"/>
      <c r="KPE60" s="484"/>
      <c r="KPF60" s="484"/>
      <c r="KPG60" s="484"/>
      <c r="KPH60" s="484"/>
      <c r="KPI60" s="484"/>
      <c r="KPJ60" s="484"/>
      <c r="KPK60" s="484"/>
      <c r="KPL60" s="484"/>
      <c r="KPM60" s="484"/>
      <c r="KPN60" s="484"/>
      <c r="KPO60" s="484"/>
      <c r="KPP60" s="484"/>
      <c r="KPQ60" s="484"/>
      <c r="KPR60" s="484"/>
      <c r="KPS60" s="484"/>
      <c r="KPT60" s="484"/>
      <c r="KPU60" s="484"/>
      <c r="KPV60" s="484"/>
      <c r="KPW60" s="484"/>
      <c r="KPX60" s="484"/>
      <c r="KPY60" s="484"/>
      <c r="KPZ60" s="484"/>
      <c r="KQA60" s="484"/>
      <c r="KQB60" s="484"/>
      <c r="KQC60" s="484"/>
      <c r="KQD60" s="484"/>
      <c r="KQE60" s="484"/>
      <c r="KQF60" s="484"/>
      <c r="KQG60" s="484"/>
      <c r="KQH60" s="484"/>
      <c r="KQI60" s="484"/>
      <c r="KQJ60" s="484"/>
      <c r="KQK60" s="484"/>
      <c r="KQL60" s="484"/>
      <c r="KQM60" s="484"/>
      <c r="KQN60" s="484"/>
      <c r="KQO60" s="484"/>
      <c r="KQP60" s="484"/>
      <c r="KQQ60" s="484"/>
      <c r="KQR60" s="484"/>
      <c r="KQS60" s="484"/>
      <c r="KQT60" s="484"/>
      <c r="KQU60" s="484"/>
      <c r="KQV60" s="484"/>
      <c r="KQW60" s="484"/>
      <c r="KQX60" s="484"/>
      <c r="KQY60" s="484"/>
      <c r="KQZ60" s="484"/>
      <c r="KRA60" s="484"/>
      <c r="KRB60" s="484"/>
      <c r="KRC60" s="484"/>
      <c r="KRD60" s="484"/>
      <c r="KRE60" s="484"/>
      <c r="KRF60" s="484"/>
      <c r="KRG60" s="484"/>
      <c r="KRH60" s="484"/>
      <c r="KRI60" s="484"/>
      <c r="KRJ60" s="484"/>
      <c r="KRK60" s="484"/>
      <c r="KRL60" s="484"/>
      <c r="KRM60" s="484"/>
      <c r="KRN60" s="484"/>
      <c r="KRO60" s="484"/>
      <c r="KRP60" s="484"/>
      <c r="KRQ60" s="484"/>
      <c r="KRR60" s="484"/>
      <c r="KRS60" s="484"/>
      <c r="KRT60" s="484"/>
      <c r="KRU60" s="484"/>
      <c r="KRV60" s="484"/>
      <c r="KRW60" s="484"/>
      <c r="KRX60" s="484"/>
      <c r="KRY60" s="484"/>
      <c r="KRZ60" s="484"/>
      <c r="KSA60" s="484"/>
      <c r="KSB60" s="484"/>
      <c r="KSC60" s="484"/>
      <c r="KSD60" s="484"/>
      <c r="KSE60" s="484"/>
      <c r="KSF60" s="484"/>
      <c r="KSG60" s="484"/>
      <c r="KSH60" s="484"/>
      <c r="KSI60" s="484"/>
      <c r="KSJ60" s="484"/>
      <c r="KSK60" s="484"/>
      <c r="KSL60" s="484"/>
      <c r="KSM60" s="484"/>
      <c r="KSN60" s="484"/>
      <c r="KSO60" s="484"/>
      <c r="KSP60" s="484"/>
      <c r="KSQ60" s="484"/>
      <c r="KSR60" s="484"/>
      <c r="KSS60" s="484"/>
      <c r="KST60" s="484"/>
      <c r="KSU60" s="484"/>
      <c r="KSV60" s="484"/>
      <c r="KSW60" s="484"/>
      <c r="KSX60" s="484"/>
      <c r="KSY60" s="484"/>
      <c r="KSZ60" s="484"/>
      <c r="KTA60" s="484"/>
      <c r="KTB60" s="484"/>
      <c r="KTC60" s="484"/>
      <c r="KTD60" s="484"/>
      <c r="KTE60" s="484"/>
      <c r="KTF60" s="484"/>
      <c r="KTG60" s="484"/>
      <c r="KTH60" s="484"/>
      <c r="KTI60" s="484"/>
      <c r="KTJ60" s="484"/>
      <c r="KTK60" s="484"/>
      <c r="KTL60" s="484"/>
      <c r="KTM60" s="484"/>
      <c r="KTN60" s="484"/>
      <c r="KTO60" s="484"/>
      <c r="KTP60" s="484"/>
      <c r="KTQ60" s="484"/>
      <c r="KTR60" s="484"/>
      <c r="KTS60" s="484"/>
      <c r="KTT60" s="484"/>
      <c r="KTU60" s="484"/>
      <c r="KTV60" s="484"/>
      <c r="KTW60" s="484"/>
      <c r="KTX60" s="484"/>
      <c r="KTY60" s="484"/>
      <c r="KTZ60" s="484"/>
      <c r="KUA60" s="484"/>
      <c r="KUB60" s="484"/>
      <c r="KUC60" s="484"/>
      <c r="KUD60" s="484"/>
      <c r="KUE60" s="484"/>
      <c r="KUF60" s="484"/>
      <c r="KUG60" s="484"/>
      <c r="KUH60" s="484"/>
      <c r="KUI60" s="484"/>
      <c r="KUJ60" s="484"/>
      <c r="KUK60" s="484"/>
      <c r="KUL60" s="484"/>
      <c r="KUM60" s="484"/>
      <c r="KUN60" s="484"/>
      <c r="KUO60" s="484"/>
      <c r="KUP60" s="484"/>
      <c r="KUQ60" s="484"/>
      <c r="KUR60" s="484"/>
      <c r="KUS60" s="484"/>
      <c r="KUT60" s="484"/>
      <c r="KUU60" s="484"/>
      <c r="KUV60" s="484"/>
      <c r="KUW60" s="484"/>
      <c r="KUX60" s="484"/>
      <c r="KUY60" s="484"/>
      <c r="KUZ60" s="484"/>
      <c r="KVA60" s="484"/>
      <c r="KVB60" s="484"/>
      <c r="KVC60" s="484"/>
      <c r="KVD60" s="484"/>
      <c r="KVE60" s="484"/>
      <c r="KVF60" s="484"/>
      <c r="KVG60" s="484"/>
      <c r="KVH60" s="484"/>
      <c r="KVI60" s="484"/>
      <c r="KVJ60" s="484"/>
      <c r="KVK60" s="484"/>
      <c r="KVL60" s="484"/>
      <c r="KVM60" s="484"/>
      <c r="KVN60" s="484"/>
      <c r="KVO60" s="484"/>
      <c r="KVP60" s="484"/>
      <c r="KVQ60" s="484"/>
      <c r="KVR60" s="484"/>
      <c r="KVS60" s="484"/>
      <c r="KVT60" s="484"/>
      <c r="KVU60" s="484"/>
      <c r="KVV60" s="484"/>
      <c r="KVW60" s="484"/>
      <c r="KVX60" s="484"/>
      <c r="KVY60" s="484"/>
      <c r="KVZ60" s="484"/>
      <c r="KWA60" s="484"/>
      <c r="KWB60" s="484"/>
      <c r="KWC60" s="484"/>
      <c r="KWD60" s="484"/>
      <c r="KWE60" s="484"/>
      <c r="KWF60" s="484"/>
      <c r="KWG60" s="484"/>
      <c r="KWH60" s="484"/>
      <c r="KWI60" s="484"/>
      <c r="KWJ60" s="484"/>
      <c r="KWK60" s="484"/>
      <c r="KWL60" s="484"/>
      <c r="KWM60" s="484"/>
      <c r="KWN60" s="484"/>
      <c r="KWO60" s="484"/>
      <c r="KWP60" s="484"/>
      <c r="KWQ60" s="484"/>
      <c r="KWR60" s="484"/>
      <c r="KWS60" s="484"/>
      <c r="KWT60" s="484"/>
      <c r="KWU60" s="484"/>
      <c r="KWV60" s="484"/>
      <c r="KWW60" s="484"/>
      <c r="KWX60" s="484"/>
      <c r="KWY60" s="484"/>
      <c r="KWZ60" s="484"/>
      <c r="KXA60" s="484"/>
      <c r="KXB60" s="484"/>
      <c r="KXC60" s="484"/>
      <c r="KXD60" s="484"/>
      <c r="KXE60" s="484"/>
      <c r="KXF60" s="484"/>
      <c r="KXG60" s="484"/>
      <c r="KXH60" s="484"/>
      <c r="KXI60" s="484"/>
      <c r="KXJ60" s="484"/>
      <c r="KXK60" s="484"/>
      <c r="KXL60" s="484"/>
      <c r="KXM60" s="484"/>
      <c r="KXN60" s="484"/>
      <c r="KXO60" s="484"/>
      <c r="KXP60" s="484"/>
      <c r="KXQ60" s="484"/>
      <c r="KXR60" s="484"/>
      <c r="KXS60" s="484"/>
      <c r="KXT60" s="484"/>
      <c r="KXU60" s="484"/>
      <c r="KXV60" s="484"/>
      <c r="KXW60" s="484"/>
      <c r="KXX60" s="484"/>
      <c r="KXY60" s="484"/>
      <c r="KXZ60" s="484"/>
      <c r="KYA60" s="484"/>
      <c r="KYB60" s="484"/>
      <c r="KYC60" s="484"/>
      <c r="KYD60" s="484"/>
      <c r="KYE60" s="484"/>
      <c r="KYF60" s="484"/>
      <c r="KYG60" s="484"/>
      <c r="KYH60" s="484"/>
      <c r="KYI60" s="484"/>
      <c r="KYJ60" s="484"/>
      <c r="KYK60" s="484"/>
      <c r="KYL60" s="484"/>
      <c r="KYM60" s="484"/>
      <c r="KYN60" s="484"/>
      <c r="KYO60" s="484"/>
      <c r="KYP60" s="484"/>
      <c r="KYQ60" s="484"/>
      <c r="KYR60" s="484"/>
      <c r="KYS60" s="484"/>
      <c r="KYT60" s="484"/>
      <c r="KYU60" s="484"/>
      <c r="KYV60" s="484"/>
      <c r="KYW60" s="484"/>
      <c r="KYX60" s="484"/>
      <c r="KYY60" s="484"/>
      <c r="KYZ60" s="484"/>
      <c r="KZA60" s="484"/>
      <c r="KZB60" s="484"/>
      <c r="KZC60" s="484"/>
      <c r="KZD60" s="484"/>
      <c r="KZE60" s="484"/>
      <c r="KZF60" s="484"/>
      <c r="KZG60" s="484"/>
      <c r="KZH60" s="484"/>
      <c r="KZI60" s="484"/>
      <c r="KZJ60" s="484"/>
      <c r="KZK60" s="484"/>
      <c r="KZL60" s="484"/>
      <c r="KZM60" s="484"/>
      <c r="KZN60" s="484"/>
      <c r="KZO60" s="484"/>
      <c r="KZP60" s="484"/>
      <c r="KZQ60" s="484"/>
      <c r="KZR60" s="484"/>
      <c r="KZS60" s="484"/>
      <c r="KZT60" s="484"/>
      <c r="KZU60" s="484"/>
      <c r="KZV60" s="484"/>
      <c r="KZW60" s="484"/>
      <c r="KZX60" s="484"/>
      <c r="KZY60" s="484"/>
      <c r="KZZ60" s="484"/>
      <c r="LAA60" s="484"/>
      <c r="LAB60" s="484"/>
      <c r="LAC60" s="484"/>
      <c r="LAD60" s="484"/>
      <c r="LAE60" s="484"/>
      <c r="LAF60" s="484"/>
      <c r="LAG60" s="484"/>
      <c r="LAH60" s="484"/>
      <c r="LAI60" s="484"/>
      <c r="LAJ60" s="484"/>
      <c r="LAK60" s="484"/>
      <c r="LAL60" s="484"/>
      <c r="LAM60" s="484"/>
      <c r="LAN60" s="484"/>
      <c r="LAO60" s="484"/>
      <c r="LAP60" s="484"/>
      <c r="LAQ60" s="484"/>
      <c r="LAR60" s="484"/>
      <c r="LAS60" s="484"/>
      <c r="LAT60" s="484"/>
      <c r="LAU60" s="484"/>
      <c r="LAV60" s="484"/>
      <c r="LAW60" s="484"/>
      <c r="LAX60" s="484"/>
      <c r="LAY60" s="484"/>
      <c r="LAZ60" s="484"/>
      <c r="LBA60" s="484"/>
      <c r="LBB60" s="484"/>
      <c r="LBC60" s="484"/>
      <c r="LBD60" s="484"/>
      <c r="LBE60" s="484"/>
      <c r="LBF60" s="484"/>
      <c r="LBG60" s="484"/>
      <c r="LBH60" s="484"/>
      <c r="LBI60" s="484"/>
      <c r="LBJ60" s="484"/>
      <c r="LBK60" s="484"/>
      <c r="LBL60" s="484"/>
      <c r="LBM60" s="484"/>
      <c r="LBN60" s="484"/>
      <c r="LBO60" s="484"/>
      <c r="LBP60" s="484"/>
      <c r="LBQ60" s="484"/>
      <c r="LBR60" s="484"/>
      <c r="LBS60" s="484"/>
      <c r="LBT60" s="484"/>
      <c r="LBU60" s="484"/>
      <c r="LBV60" s="484"/>
      <c r="LBW60" s="484"/>
      <c r="LBX60" s="484"/>
      <c r="LBY60" s="484"/>
      <c r="LBZ60" s="484"/>
      <c r="LCA60" s="484"/>
      <c r="LCB60" s="484"/>
      <c r="LCC60" s="484"/>
      <c r="LCD60" s="484"/>
      <c r="LCE60" s="484"/>
      <c r="LCF60" s="484"/>
      <c r="LCG60" s="484"/>
      <c r="LCH60" s="484"/>
      <c r="LCI60" s="484"/>
      <c r="LCJ60" s="484"/>
      <c r="LCK60" s="484"/>
      <c r="LCL60" s="484"/>
      <c r="LCM60" s="484"/>
      <c r="LCN60" s="484"/>
      <c r="LCO60" s="484"/>
      <c r="LCP60" s="484"/>
      <c r="LCQ60" s="484"/>
      <c r="LCR60" s="484"/>
      <c r="LCS60" s="484"/>
      <c r="LCT60" s="484"/>
      <c r="LCU60" s="484"/>
      <c r="LCV60" s="484"/>
      <c r="LCW60" s="484"/>
      <c r="LCX60" s="484"/>
      <c r="LCY60" s="484"/>
      <c r="LCZ60" s="484"/>
      <c r="LDA60" s="484"/>
      <c r="LDB60" s="484"/>
      <c r="LDC60" s="484"/>
      <c r="LDD60" s="484"/>
      <c r="LDE60" s="484"/>
      <c r="LDF60" s="484"/>
      <c r="LDG60" s="484"/>
      <c r="LDH60" s="484"/>
      <c r="LDI60" s="484"/>
      <c r="LDJ60" s="484"/>
      <c r="LDK60" s="484"/>
      <c r="LDL60" s="484"/>
      <c r="LDM60" s="484"/>
      <c r="LDN60" s="484"/>
      <c r="LDO60" s="484"/>
      <c r="LDP60" s="484"/>
      <c r="LDQ60" s="484"/>
      <c r="LDR60" s="484"/>
      <c r="LDS60" s="484"/>
      <c r="LDT60" s="484"/>
      <c r="LDU60" s="484"/>
      <c r="LDV60" s="484"/>
      <c r="LDW60" s="484"/>
      <c r="LDX60" s="484"/>
      <c r="LDY60" s="484"/>
      <c r="LDZ60" s="484"/>
      <c r="LEA60" s="484"/>
      <c r="LEB60" s="484"/>
      <c r="LEC60" s="484"/>
      <c r="LED60" s="484"/>
      <c r="LEE60" s="484"/>
      <c r="LEF60" s="484"/>
      <c r="LEG60" s="484"/>
      <c r="LEH60" s="484"/>
      <c r="LEI60" s="484"/>
      <c r="LEJ60" s="484"/>
      <c r="LEK60" s="484"/>
      <c r="LEL60" s="484"/>
      <c r="LEM60" s="484"/>
      <c r="LEN60" s="484"/>
      <c r="LEO60" s="484"/>
      <c r="LEP60" s="484"/>
      <c r="LEQ60" s="484"/>
      <c r="LER60" s="484"/>
      <c r="LES60" s="484"/>
      <c r="LET60" s="484"/>
      <c r="LEU60" s="484"/>
      <c r="LEV60" s="484"/>
      <c r="LEW60" s="484"/>
      <c r="LEX60" s="484"/>
      <c r="LEY60" s="484"/>
      <c r="LEZ60" s="484"/>
      <c r="LFA60" s="484"/>
      <c r="LFB60" s="484"/>
      <c r="LFC60" s="484"/>
      <c r="LFD60" s="484"/>
      <c r="LFE60" s="484"/>
      <c r="LFF60" s="484"/>
      <c r="LFG60" s="484"/>
      <c r="LFH60" s="484"/>
      <c r="LFI60" s="484"/>
      <c r="LFJ60" s="484"/>
      <c r="LFK60" s="484"/>
      <c r="LFL60" s="484"/>
      <c r="LFM60" s="484"/>
      <c r="LFN60" s="484"/>
      <c r="LFO60" s="484"/>
      <c r="LFP60" s="484"/>
      <c r="LFQ60" s="484"/>
      <c r="LFR60" s="484"/>
      <c r="LFS60" s="484"/>
      <c r="LFT60" s="484"/>
      <c r="LFU60" s="484"/>
      <c r="LFV60" s="484"/>
      <c r="LFW60" s="484"/>
      <c r="LFX60" s="484"/>
      <c r="LFY60" s="484"/>
      <c r="LFZ60" s="484"/>
      <c r="LGA60" s="484"/>
      <c r="LGB60" s="484"/>
      <c r="LGC60" s="484"/>
      <c r="LGD60" s="484"/>
      <c r="LGE60" s="484"/>
      <c r="LGF60" s="484"/>
      <c r="LGG60" s="484"/>
      <c r="LGH60" s="484"/>
      <c r="LGI60" s="484"/>
      <c r="LGJ60" s="484"/>
      <c r="LGK60" s="484"/>
      <c r="LGL60" s="484"/>
      <c r="LGM60" s="484"/>
      <c r="LGN60" s="484"/>
      <c r="LGO60" s="484"/>
      <c r="LGP60" s="484"/>
      <c r="LGQ60" s="484"/>
      <c r="LGR60" s="484"/>
      <c r="LGS60" s="484"/>
      <c r="LGT60" s="484"/>
      <c r="LGU60" s="484"/>
      <c r="LGV60" s="484"/>
      <c r="LGW60" s="484"/>
      <c r="LGX60" s="484"/>
      <c r="LGY60" s="484"/>
      <c r="LGZ60" s="484"/>
      <c r="LHA60" s="484"/>
      <c r="LHB60" s="484"/>
      <c r="LHC60" s="484"/>
      <c r="LHD60" s="484"/>
      <c r="LHE60" s="484"/>
      <c r="LHF60" s="484"/>
      <c r="LHG60" s="484"/>
      <c r="LHH60" s="484"/>
      <c r="LHI60" s="484"/>
      <c r="LHJ60" s="484"/>
      <c r="LHK60" s="484"/>
      <c r="LHL60" s="484"/>
      <c r="LHM60" s="484"/>
      <c r="LHN60" s="484"/>
      <c r="LHO60" s="484"/>
      <c r="LHP60" s="484"/>
      <c r="LHQ60" s="484"/>
      <c r="LHR60" s="484"/>
      <c r="LHS60" s="484"/>
      <c r="LHT60" s="484"/>
      <c r="LHU60" s="484"/>
      <c r="LHV60" s="484"/>
      <c r="LHW60" s="484"/>
      <c r="LHX60" s="484"/>
      <c r="LHY60" s="484"/>
      <c r="LHZ60" s="484"/>
      <c r="LIA60" s="484"/>
      <c r="LIB60" s="484"/>
      <c r="LIC60" s="484"/>
      <c r="LID60" s="484"/>
      <c r="LIE60" s="484"/>
      <c r="LIF60" s="484"/>
      <c r="LIG60" s="484"/>
      <c r="LIH60" s="484"/>
      <c r="LII60" s="484"/>
      <c r="LIJ60" s="484"/>
      <c r="LIK60" s="484"/>
      <c r="LIL60" s="484"/>
      <c r="LIM60" s="484"/>
      <c r="LIN60" s="484"/>
      <c r="LIO60" s="484"/>
      <c r="LIP60" s="484"/>
      <c r="LIQ60" s="484"/>
      <c r="LIR60" s="484"/>
      <c r="LIS60" s="484"/>
      <c r="LIT60" s="484"/>
      <c r="LIU60" s="484"/>
      <c r="LIV60" s="484"/>
      <c r="LIW60" s="484"/>
      <c r="LIX60" s="484"/>
      <c r="LIY60" s="484"/>
      <c r="LIZ60" s="484"/>
      <c r="LJA60" s="484"/>
      <c r="LJB60" s="484"/>
      <c r="LJC60" s="484"/>
      <c r="LJD60" s="484"/>
      <c r="LJE60" s="484"/>
      <c r="LJF60" s="484"/>
      <c r="LJG60" s="484"/>
      <c r="LJH60" s="484"/>
      <c r="LJI60" s="484"/>
      <c r="LJJ60" s="484"/>
      <c r="LJK60" s="484"/>
      <c r="LJL60" s="484"/>
      <c r="LJM60" s="484"/>
      <c r="LJN60" s="484"/>
      <c r="LJO60" s="484"/>
      <c r="LJP60" s="484"/>
      <c r="LJQ60" s="484"/>
      <c r="LJR60" s="484"/>
      <c r="LJS60" s="484"/>
      <c r="LJT60" s="484"/>
      <c r="LJU60" s="484"/>
      <c r="LJV60" s="484"/>
      <c r="LJW60" s="484"/>
      <c r="LJX60" s="484"/>
      <c r="LJY60" s="484"/>
      <c r="LJZ60" s="484"/>
      <c r="LKA60" s="484"/>
      <c r="LKB60" s="484"/>
      <c r="LKC60" s="484"/>
      <c r="LKD60" s="484"/>
      <c r="LKE60" s="484"/>
      <c r="LKF60" s="484"/>
      <c r="LKG60" s="484"/>
      <c r="LKH60" s="484"/>
      <c r="LKI60" s="484"/>
      <c r="LKJ60" s="484"/>
      <c r="LKK60" s="484"/>
      <c r="LKL60" s="484"/>
      <c r="LKM60" s="484"/>
      <c r="LKN60" s="484"/>
      <c r="LKO60" s="484"/>
      <c r="LKP60" s="484"/>
      <c r="LKQ60" s="484"/>
      <c r="LKR60" s="484"/>
      <c r="LKS60" s="484"/>
      <c r="LKT60" s="484"/>
      <c r="LKU60" s="484"/>
      <c r="LKV60" s="484"/>
      <c r="LKW60" s="484"/>
      <c r="LKX60" s="484"/>
      <c r="LKY60" s="484"/>
      <c r="LKZ60" s="484"/>
      <c r="LLA60" s="484"/>
      <c r="LLB60" s="484"/>
      <c r="LLC60" s="484"/>
      <c r="LLD60" s="484"/>
      <c r="LLE60" s="484"/>
      <c r="LLF60" s="484"/>
      <c r="LLG60" s="484"/>
      <c r="LLH60" s="484"/>
      <c r="LLI60" s="484"/>
      <c r="LLJ60" s="484"/>
      <c r="LLK60" s="484"/>
      <c r="LLL60" s="484"/>
      <c r="LLM60" s="484"/>
      <c r="LLN60" s="484"/>
      <c r="LLO60" s="484"/>
      <c r="LLP60" s="484"/>
      <c r="LLQ60" s="484"/>
      <c r="LLR60" s="484"/>
      <c r="LLS60" s="484"/>
      <c r="LLT60" s="484"/>
      <c r="LLU60" s="484"/>
      <c r="LLV60" s="484"/>
      <c r="LLW60" s="484"/>
      <c r="LLX60" s="484"/>
      <c r="LLY60" s="484"/>
      <c r="LLZ60" s="484"/>
      <c r="LMA60" s="484"/>
      <c r="LMB60" s="484"/>
      <c r="LMC60" s="484"/>
      <c r="LMD60" s="484"/>
      <c r="LME60" s="484"/>
      <c r="LMF60" s="484"/>
      <c r="LMG60" s="484"/>
      <c r="LMH60" s="484"/>
      <c r="LMI60" s="484"/>
      <c r="LMJ60" s="484"/>
      <c r="LMK60" s="484"/>
      <c r="LML60" s="484"/>
      <c r="LMM60" s="484"/>
      <c r="LMN60" s="484"/>
      <c r="LMO60" s="484"/>
      <c r="LMP60" s="484"/>
      <c r="LMQ60" s="484"/>
      <c r="LMR60" s="484"/>
      <c r="LMS60" s="484"/>
      <c r="LMT60" s="484"/>
      <c r="LMU60" s="484"/>
      <c r="LMV60" s="484"/>
      <c r="LMW60" s="484"/>
      <c r="LMX60" s="484"/>
      <c r="LMY60" s="484"/>
      <c r="LMZ60" s="484"/>
      <c r="LNA60" s="484"/>
      <c r="LNB60" s="484"/>
      <c r="LNC60" s="484"/>
      <c r="LND60" s="484"/>
      <c r="LNE60" s="484"/>
      <c r="LNF60" s="484"/>
      <c r="LNG60" s="484"/>
      <c r="LNH60" s="484"/>
      <c r="LNI60" s="484"/>
      <c r="LNJ60" s="484"/>
      <c r="LNK60" s="484"/>
      <c r="LNL60" s="484"/>
      <c r="LNM60" s="484"/>
      <c r="LNN60" s="484"/>
      <c r="LNO60" s="484"/>
      <c r="LNP60" s="484"/>
      <c r="LNQ60" s="484"/>
      <c r="LNR60" s="484"/>
      <c r="LNS60" s="484"/>
      <c r="LNT60" s="484"/>
      <c r="LNU60" s="484"/>
      <c r="LNV60" s="484"/>
      <c r="LNW60" s="484"/>
      <c r="LNX60" s="484"/>
      <c r="LNY60" s="484"/>
      <c r="LNZ60" s="484"/>
      <c r="LOA60" s="484"/>
      <c r="LOB60" s="484"/>
      <c r="LOC60" s="484"/>
      <c r="LOD60" s="484"/>
      <c r="LOE60" s="484"/>
      <c r="LOF60" s="484"/>
      <c r="LOG60" s="484"/>
      <c r="LOH60" s="484"/>
      <c r="LOI60" s="484"/>
      <c r="LOJ60" s="484"/>
      <c r="LOK60" s="484"/>
      <c r="LOL60" s="484"/>
      <c r="LOM60" s="484"/>
      <c r="LON60" s="484"/>
      <c r="LOO60" s="484"/>
      <c r="LOP60" s="484"/>
      <c r="LOQ60" s="484"/>
      <c r="LOR60" s="484"/>
      <c r="LOS60" s="484"/>
      <c r="LOT60" s="484"/>
      <c r="LOU60" s="484"/>
      <c r="LOV60" s="484"/>
      <c r="LOW60" s="484"/>
      <c r="LOX60" s="484"/>
      <c r="LOY60" s="484"/>
      <c r="LOZ60" s="484"/>
      <c r="LPA60" s="484"/>
      <c r="LPB60" s="484"/>
      <c r="LPC60" s="484"/>
      <c r="LPD60" s="484"/>
      <c r="LPE60" s="484"/>
      <c r="LPF60" s="484"/>
      <c r="LPG60" s="484"/>
      <c r="LPH60" s="484"/>
      <c r="LPI60" s="484"/>
      <c r="LPJ60" s="484"/>
      <c r="LPK60" s="484"/>
      <c r="LPL60" s="484"/>
      <c r="LPM60" s="484"/>
      <c r="LPN60" s="484"/>
      <c r="LPO60" s="484"/>
      <c r="LPP60" s="484"/>
      <c r="LPQ60" s="484"/>
      <c r="LPR60" s="484"/>
      <c r="LPS60" s="484"/>
      <c r="LPT60" s="484"/>
      <c r="LPU60" s="484"/>
      <c r="LPV60" s="484"/>
      <c r="LPW60" s="484"/>
      <c r="LPX60" s="484"/>
      <c r="LPY60" s="484"/>
      <c r="LPZ60" s="484"/>
      <c r="LQA60" s="484"/>
      <c r="LQB60" s="484"/>
      <c r="LQC60" s="484"/>
      <c r="LQD60" s="484"/>
      <c r="LQE60" s="484"/>
      <c r="LQF60" s="484"/>
      <c r="LQG60" s="484"/>
      <c r="LQH60" s="484"/>
      <c r="LQI60" s="484"/>
      <c r="LQJ60" s="484"/>
      <c r="LQK60" s="484"/>
      <c r="LQL60" s="484"/>
      <c r="LQM60" s="484"/>
      <c r="LQN60" s="484"/>
      <c r="LQO60" s="484"/>
      <c r="LQP60" s="484"/>
      <c r="LQQ60" s="484"/>
      <c r="LQR60" s="484"/>
      <c r="LQS60" s="484"/>
      <c r="LQT60" s="484"/>
      <c r="LQU60" s="484"/>
      <c r="LQV60" s="484"/>
      <c r="LQW60" s="484"/>
      <c r="LQX60" s="484"/>
      <c r="LQY60" s="484"/>
      <c r="LQZ60" s="484"/>
      <c r="LRA60" s="484"/>
      <c r="LRB60" s="484"/>
      <c r="LRC60" s="484"/>
      <c r="LRD60" s="484"/>
      <c r="LRE60" s="484"/>
      <c r="LRF60" s="484"/>
      <c r="LRG60" s="484"/>
      <c r="LRH60" s="484"/>
      <c r="LRI60" s="484"/>
      <c r="LRJ60" s="484"/>
      <c r="LRK60" s="484"/>
      <c r="LRL60" s="484"/>
      <c r="LRM60" s="484"/>
      <c r="LRN60" s="484"/>
      <c r="LRO60" s="484"/>
      <c r="LRP60" s="484"/>
      <c r="LRQ60" s="484"/>
      <c r="LRR60" s="484"/>
      <c r="LRS60" s="484"/>
      <c r="LRT60" s="484"/>
      <c r="LRU60" s="484"/>
      <c r="LRV60" s="484"/>
      <c r="LRW60" s="484"/>
      <c r="LRX60" s="484"/>
      <c r="LRY60" s="484"/>
      <c r="LRZ60" s="484"/>
      <c r="LSA60" s="484"/>
      <c r="LSB60" s="484"/>
      <c r="LSC60" s="484"/>
      <c r="LSD60" s="484"/>
      <c r="LSE60" s="484"/>
      <c r="LSF60" s="484"/>
      <c r="LSG60" s="484"/>
      <c r="LSH60" s="484"/>
      <c r="LSI60" s="484"/>
      <c r="LSJ60" s="484"/>
      <c r="LSK60" s="484"/>
      <c r="LSL60" s="484"/>
      <c r="LSM60" s="484"/>
      <c r="LSN60" s="484"/>
      <c r="LSO60" s="484"/>
      <c r="LSP60" s="484"/>
      <c r="LSQ60" s="484"/>
      <c r="LSR60" s="484"/>
      <c r="LSS60" s="484"/>
      <c r="LST60" s="484"/>
      <c r="LSU60" s="484"/>
      <c r="LSV60" s="484"/>
      <c r="LSW60" s="484"/>
      <c r="LSX60" s="484"/>
      <c r="LSY60" s="484"/>
      <c r="LSZ60" s="484"/>
      <c r="LTA60" s="484"/>
      <c r="LTB60" s="484"/>
      <c r="LTC60" s="484"/>
      <c r="LTD60" s="484"/>
      <c r="LTE60" s="484"/>
      <c r="LTF60" s="484"/>
      <c r="LTG60" s="484"/>
      <c r="LTH60" s="484"/>
      <c r="LTI60" s="484"/>
      <c r="LTJ60" s="484"/>
      <c r="LTK60" s="484"/>
      <c r="LTL60" s="484"/>
      <c r="LTM60" s="484"/>
      <c r="LTN60" s="484"/>
      <c r="LTO60" s="484"/>
      <c r="LTP60" s="484"/>
      <c r="LTQ60" s="484"/>
      <c r="LTR60" s="484"/>
      <c r="LTS60" s="484"/>
      <c r="LTT60" s="484"/>
      <c r="LTU60" s="484"/>
      <c r="LTV60" s="484"/>
      <c r="LTW60" s="484"/>
      <c r="LTX60" s="484"/>
      <c r="LTY60" s="484"/>
      <c r="LTZ60" s="484"/>
      <c r="LUA60" s="484"/>
      <c r="LUB60" s="484"/>
      <c r="LUC60" s="484"/>
      <c r="LUD60" s="484"/>
      <c r="LUE60" s="484"/>
      <c r="LUF60" s="484"/>
      <c r="LUG60" s="484"/>
      <c r="LUH60" s="484"/>
      <c r="LUI60" s="484"/>
      <c r="LUJ60" s="484"/>
      <c r="LUK60" s="484"/>
      <c r="LUL60" s="484"/>
      <c r="LUM60" s="484"/>
      <c r="LUN60" s="484"/>
      <c r="LUO60" s="484"/>
      <c r="LUP60" s="484"/>
      <c r="LUQ60" s="484"/>
      <c r="LUR60" s="484"/>
      <c r="LUS60" s="484"/>
      <c r="LUT60" s="484"/>
      <c r="LUU60" s="484"/>
      <c r="LUV60" s="484"/>
      <c r="LUW60" s="484"/>
      <c r="LUX60" s="484"/>
      <c r="LUY60" s="484"/>
      <c r="LUZ60" s="484"/>
      <c r="LVA60" s="484"/>
      <c r="LVB60" s="484"/>
      <c r="LVC60" s="484"/>
      <c r="LVD60" s="484"/>
      <c r="LVE60" s="484"/>
      <c r="LVF60" s="484"/>
      <c r="LVG60" s="484"/>
      <c r="LVH60" s="484"/>
      <c r="LVI60" s="484"/>
      <c r="LVJ60" s="484"/>
      <c r="LVK60" s="484"/>
      <c r="LVL60" s="484"/>
      <c r="LVM60" s="484"/>
      <c r="LVN60" s="484"/>
      <c r="LVO60" s="484"/>
      <c r="LVP60" s="484"/>
      <c r="LVQ60" s="484"/>
      <c r="LVR60" s="484"/>
      <c r="LVS60" s="484"/>
      <c r="LVT60" s="484"/>
      <c r="LVU60" s="484"/>
      <c r="LVV60" s="484"/>
      <c r="LVW60" s="484"/>
      <c r="LVX60" s="484"/>
      <c r="LVY60" s="484"/>
      <c r="LVZ60" s="484"/>
      <c r="LWA60" s="484"/>
      <c r="LWB60" s="484"/>
      <c r="LWC60" s="484"/>
      <c r="LWD60" s="484"/>
      <c r="LWE60" s="484"/>
      <c r="LWF60" s="484"/>
      <c r="LWG60" s="484"/>
      <c r="LWH60" s="484"/>
      <c r="LWI60" s="484"/>
      <c r="LWJ60" s="484"/>
      <c r="LWK60" s="484"/>
      <c r="LWL60" s="484"/>
      <c r="LWM60" s="484"/>
      <c r="LWN60" s="484"/>
      <c r="LWO60" s="484"/>
      <c r="LWP60" s="484"/>
      <c r="LWQ60" s="484"/>
      <c r="LWR60" s="484"/>
      <c r="LWS60" s="484"/>
      <c r="LWT60" s="484"/>
      <c r="LWU60" s="484"/>
      <c r="LWV60" s="484"/>
      <c r="LWW60" s="484"/>
      <c r="LWX60" s="484"/>
      <c r="LWY60" s="484"/>
      <c r="LWZ60" s="484"/>
      <c r="LXA60" s="484"/>
      <c r="LXB60" s="484"/>
      <c r="LXC60" s="484"/>
      <c r="LXD60" s="484"/>
      <c r="LXE60" s="484"/>
      <c r="LXF60" s="484"/>
      <c r="LXG60" s="484"/>
      <c r="LXH60" s="484"/>
      <c r="LXI60" s="484"/>
      <c r="LXJ60" s="484"/>
      <c r="LXK60" s="484"/>
      <c r="LXL60" s="484"/>
      <c r="LXM60" s="484"/>
      <c r="LXN60" s="484"/>
      <c r="LXO60" s="484"/>
      <c r="LXP60" s="484"/>
      <c r="LXQ60" s="484"/>
      <c r="LXR60" s="484"/>
      <c r="LXS60" s="484"/>
      <c r="LXT60" s="484"/>
      <c r="LXU60" s="484"/>
      <c r="LXV60" s="484"/>
      <c r="LXW60" s="484"/>
      <c r="LXX60" s="484"/>
      <c r="LXY60" s="484"/>
      <c r="LXZ60" s="484"/>
      <c r="LYA60" s="484"/>
      <c r="LYB60" s="484"/>
      <c r="LYC60" s="484"/>
      <c r="LYD60" s="484"/>
      <c r="LYE60" s="484"/>
      <c r="LYF60" s="484"/>
      <c r="LYG60" s="484"/>
      <c r="LYH60" s="484"/>
      <c r="LYI60" s="484"/>
      <c r="LYJ60" s="484"/>
      <c r="LYK60" s="484"/>
      <c r="LYL60" s="484"/>
      <c r="LYM60" s="484"/>
      <c r="LYN60" s="484"/>
      <c r="LYO60" s="484"/>
      <c r="LYP60" s="484"/>
      <c r="LYQ60" s="484"/>
      <c r="LYR60" s="484"/>
      <c r="LYS60" s="484"/>
      <c r="LYT60" s="484"/>
      <c r="LYU60" s="484"/>
      <c r="LYV60" s="484"/>
      <c r="LYW60" s="484"/>
      <c r="LYX60" s="484"/>
      <c r="LYY60" s="484"/>
      <c r="LYZ60" s="484"/>
      <c r="LZA60" s="484"/>
      <c r="LZB60" s="484"/>
      <c r="LZC60" s="484"/>
      <c r="LZD60" s="484"/>
      <c r="LZE60" s="484"/>
      <c r="LZF60" s="484"/>
      <c r="LZG60" s="484"/>
      <c r="LZH60" s="484"/>
      <c r="LZI60" s="484"/>
      <c r="LZJ60" s="484"/>
      <c r="LZK60" s="484"/>
      <c r="LZL60" s="484"/>
      <c r="LZM60" s="484"/>
      <c r="LZN60" s="484"/>
      <c r="LZO60" s="484"/>
      <c r="LZP60" s="484"/>
      <c r="LZQ60" s="484"/>
      <c r="LZR60" s="484"/>
      <c r="LZS60" s="484"/>
      <c r="LZT60" s="484"/>
      <c r="LZU60" s="484"/>
      <c r="LZV60" s="484"/>
      <c r="LZW60" s="484"/>
      <c r="LZX60" s="484"/>
      <c r="LZY60" s="484"/>
      <c r="LZZ60" s="484"/>
      <c r="MAA60" s="484"/>
      <c r="MAB60" s="484"/>
      <c r="MAC60" s="484"/>
      <c r="MAD60" s="484"/>
      <c r="MAE60" s="484"/>
      <c r="MAF60" s="484"/>
      <c r="MAG60" s="484"/>
      <c r="MAH60" s="484"/>
      <c r="MAI60" s="484"/>
      <c r="MAJ60" s="484"/>
      <c r="MAK60" s="484"/>
      <c r="MAL60" s="484"/>
      <c r="MAM60" s="484"/>
      <c r="MAN60" s="484"/>
      <c r="MAO60" s="484"/>
      <c r="MAP60" s="484"/>
      <c r="MAQ60" s="484"/>
      <c r="MAR60" s="484"/>
      <c r="MAS60" s="484"/>
      <c r="MAT60" s="484"/>
      <c r="MAU60" s="484"/>
      <c r="MAV60" s="484"/>
      <c r="MAW60" s="484"/>
      <c r="MAX60" s="484"/>
      <c r="MAY60" s="484"/>
      <c r="MAZ60" s="484"/>
      <c r="MBA60" s="484"/>
      <c r="MBB60" s="484"/>
      <c r="MBC60" s="484"/>
      <c r="MBD60" s="484"/>
      <c r="MBE60" s="484"/>
      <c r="MBF60" s="484"/>
      <c r="MBG60" s="484"/>
      <c r="MBH60" s="484"/>
      <c r="MBI60" s="484"/>
      <c r="MBJ60" s="484"/>
      <c r="MBK60" s="484"/>
      <c r="MBL60" s="484"/>
      <c r="MBM60" s="484"/>
      <c r="MBN60" s="484"/>
      <c r="MBO60" s="484"/>
      <c r="MBP60" s="484"/>
      <c r="MBQ60" s="484"/>
      <c r="MBR60" s="484"/>
      <c r="MBS60" s="484"/>
      <c r="MBT60" s="484"/>
      <c r="MBU60" s="484"/>
      <c r="MBV60" s="484"/>
      <c r="MBW60" s="484"/>
      <c r="MBX60" s="484"/>
      <c r="MBY60" s="484"/>
      <c r="MBZ60" s="484"/>
      <c r="MCA60" s="484"/>
      <c r="MCB60" s="484"/>
      <c r="MCC60" s="484"/>
      <c r="MCD60" s="484"/>
      <c r="MCE60" s="484"/>
      <c r="MCF60" s="484"/>
      <c r="MCG60" s="484"/>
      <c r="MCH60" s="484"/>
      <c r="MCI60" s="484"/>
      <c r="MCJ60" s="484"/>
      <c r="MCK60" s="484"/>
      <c r="MCL60" s="484"/>
      <c r="MCM60" s="484"/>
      <c r="MCN60" s="484"/>
      <c r="MCO60" s="484"/>
      <c r="MCP60" s="484"/>
      <c r="MCQ60" s="484"/>
      <c r="MCR60" s="484"/>
      <c r="MCS60" s="484"/>
      <c r="MCT60" s="484"/>
      <c r="MCU60" s="484"/>
      <c r="MCV60" s="484"/>
      <c r="MCW60" s="484"/>
      <c r="MCX60" s="484"/>
      <c r="MCY60" s="484"/>
      <c r="MCZ60" s="484"/>
      <c r="MDA60" s="484"/>
      <c r="MDB60" s="484"/>
      <c r="MDC60" s="484"/>
      <c r="MDD60" s="484"/>
      <c r="MDE60" s="484"/>
      <c r="MDF60" s="484"/>
      <c r="MDG60" s="484"/>
      <c r="MDH60" s="484"/>
      <c r="MDI60" s="484"/>
      <c r="MDJ60" s="484"/>
      <c r="MDK60" s="484"/>
      <c r="MDL60" s="484"/>
      <c r="MDM60" s="484"/>
      <c r="MDN60" s="484"/>
      <c r="MDO60" s="484"/>
      <c r="MDP60" s="484"/>
      <c r="MDQ60" s="484"/>
      <c r="MDR60" s="484"/>
      <c r="MDS60" s="484"/>
      <c r="MDT60" s="484"/>
      <c r="MDU60" s="484"/>
      <c r="MDV60" s="484"/>
      <c r="MDW60" s="484"/>
      <c r="MDX60" s="484"/>
      <c r="MDY60" s="484"/>
      <c r="MDZ60" s="484"/>
      <c r="MEA60" s="484"/>
      <c r="MEB60" s="484"/>
      <c r="MEC60" s="484"/>
      <c r="MED60" s="484"/>
      <c r="MEE60" s="484"/>
      <c r="MEF60" s="484"/>
      <c r="MEG60" s="484"/>
      <c r="MEH60" s="484"/>
      <c r="MEI60" s="484"/>
      <c r="MEJ60" s="484"/>
      <c r="MEK60" s="484"/>
      <c r="MEL60" s="484"/>
      <c r="MEM60" s="484"/>
      <c r="MEN60" s="484"/>
      <c r="MEO60" s="484"/>
      <c r="MEP60" s="484"/>
      <c r="MEQ60" s="484"/>
      <c r="MER60" s="484"/>
      <c r="MES60" s="484"/>
      <c r="MET60" s="484"/>
      <c r="MEU60" s="484"/>
      <c r="MEV60" s="484"/>
      <c r="MEW60" s="484"/>
      <c r="MEX60" s="484"/>
      <c r="MEY60" s="484"/>
      <c r="MEZ60" s="484"/>
      <c r="MFA60" s="484"/>
      <c r="MFB60" s="484"/>
      <c r="MFC60" s="484"/>
      <c r="MFD60" s="484"/>
      <c r="MFE60" s="484"/>
      <c r="MFF60" s="484"/>
      <c r="MFG60" s="484"/>
      <c r="MFH60" s="484"/>
      <c r="MFI60" s="484"/>
      <c r="MFJ60" s="484"/>
      <c r="MFK60" s="484"/>
      <c r="MFL60" s="484"/>
      <c r="MFM60" s="484"/>
      <c r="MFN60" s="484"/>
      <c r="MFO60" s="484"/>
      <c r="MFP60" s="484"/>
      <c r="MFQ60" s="484"/>
      <c r="MFR60" s="484"/>
      <c r="MFS60" s="484"/>
      <c r="MFT60" s="484"/>
      <c r="MFU60" s="484"/>
      <c r="MFV60" s="484"/>
      <c r="MFW60" s="484"/>
      <c r="MFX60" s="484"/>
      <c r="MFY60" s="484"/>
      <c r="MFZ60" s="484"/>
      <c r="MGA60" s="484"/>
      <c r="MGB60" s="484"/>
      <c r="MGC60" s="484"/>
      <c r="MGD60" s="484"/>
      <c r="MGE60" s="484"/>
      <c r="MGF60" s="484"/>
      <c r="MGG60" s="484"/>
      <c r="MGH60" s="484"/>
      <c r="MGI60" s="484"/>
      <c r="MGJ60" s="484"/>
      <c r="MGK60" s="484"/>
      <c r="MGL60" s="484"/>
      <c r="MGM60" s="484"/>
      <c r="MGN60" s="484"/>
      <c r="MGO60" s="484"/>
      <c r="MGP60" s="484"/>
      <c r="MGQ60" s="484"/>
      <c r="MGR60" s="484"/>
      <c r="MGS60" s="484"/>
      <c r="MGT60" s="484"/>
      <c r="MGU60" s="484"/>
      <c r="MGV60" s="484"/>
      <c r="MGW60" s="484"/>
      <c r="MGX60" s="484"/>
      <c r="MGY60" s="484"/>
      <c r="MGZ60" s="484"/>
      <c r="MHA60" s="484"/>
      <c r="MHB60" s="484"/>
      <c r="MHC60" s="484"/>
      <c r="MHD60" s="484"/>
      <c r="MHE60" s="484"/>
      <c r="MHF60" s="484"/>
      <c r="MHG60" s="484"/>
      <c r="MHH60" s="484"/>
      <c r="MHI60" s="484"/>
      <c r="MHJ60" s="484"/>
      <c r="MHK60" s="484"/>
      <c r="MHL60" s="484"/>
      <c r="MHM60" s="484"/>
      <c r="MHN60" s="484"/>
      <c r="MHO60" s="484"/>
      <c r="MHP60" s="484"/>
      <c r="MHQ60" s="484"/>
      <c r="MHR60" s="484"/>
      <c r="MHS60" s="484"/>
      <c r="MHT60" s="484"/>
      <c r="MHU60" s="484"/>
      <c r="MHV60" s="484"/>
      <c r="MHW60" s="484"/>
      <c r="MHX60" s="484"/>
      <c r="MHY60" s="484"/>
      <c r="MHZ60" s="484"/>
      <c r="MIA60" s="484"/>
      <c r="MIB60" s="484"/>
      <c r="MIC60" s="484"/>
      <c r="MID60" s="484"/>
      <c r="MIE60" s="484"/>
      <c r="MIF60" s="484"/>
      <c r="MIG60" s="484"/>
      <c r="MIH60" s="484"/>
      <c r="MII60" s="484"/>
      <c r="MIJ60" s="484"/>
      <c r="MIK60" s="484"/>
      <c r="MIL60" s="484"/>
      <c r="MIM60" s="484"/>
      <c r="MIN60" s="484"/>
      <c r="MIO60" s="484"/>
      <c r="MIP60" s="484"/>
      <c r="MIQ60" s="484"/>
      <c r="MIR60" s="484"/>
      <c r="MIS60" s="484"/>
      <c r="MIT60" s="484"/>
      <c r="MIU60" s="484"/>
      <c r="MIV60" s="484"/>
      <c r="MIW60" s="484"/>
      <c r="MIX60" s="484"/>
      <c r="MIY60" s="484"/>
      <c r="MIZ60" s="484"/>
      <c r="MJA60" s="484"/>
      <c r="MJB60" s="484"/>
      <c r="MJC60" s="484"/>
      <c r="MJD60" s="484"/>
      <c r="MJE60" s="484"/>
      <c r="MJF60" s="484"/>
      <c r="MJG60" s="484"/>
      <c r="MJH60" s="484"/>
      <c r="MJI60" s="484"/>
      <c r="MJJ60" s="484"/>
      <c r="MJK60" s="484"/>
      <c r="MJL60" s="484"/>
      <c r="MJM60" s="484"/>
      <c r="MJN60" s="484"/>
      <c r="MJO60" s="484"/>
      <c r="MJP60" s="484"/>
      <c r="MJQ60" s="484"/>
      <c r="MJR60" s="484"/>
      <c r="MJS60" s="484"/>
      <c r="MJT60" s="484"/>
      <c r="MJU60" s="484"/>
      <c r="MJV60" s="484"/>
      <c r="MJW60" s="484"/>
      <c r="MJX60" s="484"/>
      <c r="MJY60" s="484"/>
      <c r="MJZ60" s="484"/>
      <c r="MKA60" s="484"/>
      <c r="MKB60" s="484"/>
      <c r="MKC60" s="484"/>
      <c r="MKD60" s="484"/>
      <c r="MKE60" s="484"/>
      <c r="MKF60" s="484"/>
      <c r="MKG60" s="484"/>
      <c r="MKH60" s="484"/>
      <c r="MKI60" s="484"/>
      <c r="MKJ60" s="484"/>
      <c r="MKK60" s="484"/>
      <c r="MKL60" s="484"/>
      <c r="MKM60" s="484"/>
      <c r="MKN60" s="484"/>
      <c r="MKO60" s="484"/>
      <c r="MKP60" s="484"/>
      <c r="MKQ60" s="484"/>
      <c r="MKR60" s="484"/>
      <c r="MKS60" s="484"/>
      <c r="MKT60" s="484"/>
      <c r="MKU60" s="484"/>
      <c r="MKV60" s="484"/>
      <c r="MKW60" s="484"/>
      <c r="MKX60" s="484"/>
      <c r="MKY60" s="484"/>
      <c r="MKZ60" s="484"/>
      <c r="MLA60" s="484"/>
      <c r="MLB60" s="484"/>
      <c r="MLC60" s="484"/>
      <c r="MLD60" s="484"/>
      <c r="MLE60" s="484"/>
      <c r="MLF60" s="484"/>
      <c r="MLG60" s="484"/>
      <c r="MLH60" s="484"/>
      <c r="MLI60" s="484"/>
      <c r="MLJ60" s="484"/>
      <c r="MLK60" s="484"/>
      <c r="MLL60" s="484"/>
      <c r="MLM60" s="484"/>
      <c r="MLN60" s="484"/>
      <c r="MLO60" s="484"/>
      <c r="MLP60" s="484"/>
      <c r="MLQ60" s="484"/>
      <c r="MLR60" s="484"/>
      <c r="MLS60" s="484"/>
      <c r="MLT60" s="484"/>
      <c r="MLU60" s="484"/>
      <c r="MLV60" s="484"/>
      <c r="MLW60" s="484"/>
      <c r="MLX60" s="484"/>
      <c r="MLY60" s="484"/>
      <c r="MLZ60" s="484"/>
      <c r="MMA60" s="484"/>
      <c r="MMB60" s="484"/>
      <c r="MMC60" s="484"/>
      <c r="MMD60" s="484"/>
      <c r="MME60" s="484"/>
      <c r="MMF60" s="484"/>
      <c r="MMG60" s="484"/>
      <c r="MMH60" s="484"/>
      <c r="MMI60" s="484"/>
      <c r="MMJ60" s="484"/>
      <c r="MMK60" s="484"/>
      <c r="MML60" s="484"/>
      <c r="MMM60" s="484"/>
      <c r="MMN60" s="484"/>
      <c r="MMO60" s="484"/>
      <c r="MMP60" s="484"/>
      <c r="MMQ60" s="484"/>
      <c r="MMR60" s="484"/>
      <c r="MMS60" s="484"/>
      <c r="MMT60" s="484"/>
      <c r="MMU60" s="484"/>
      <c r="MMV60" s="484"/>
      <c r="MMW60" s="484"/>
      <c r="MMX60" s="484"/>
      <c r="MMY60" s="484"/>
      <c r="MMZ60" s="484"/>
      <c r="MNA60" s="484"/>
      <c r="MNB60" s="484"/>
      <c r="MNC60" s="484"/>
      <c r="MND60" s="484"/>
      <c r="MNE60" s="484"/>
      <c r="MNF60" s="484"/>
      <c r="MNG60" s="484"/>
      <c r="MNH60" s="484"/>
      <c r="MNI60" s="484"/>
      <c r="MNJ60" s="484"/>
      <c r="MNK60" s="484"/>
      <c r="MNL60" s="484"/>
      <c r="MNM60" s="484"/>
      <c r="MNN60" s="484"/>
      <c r="MNO60" s="484"/>
      <c r="MNP60" s="484"/>
      <c r="MNQ60" s="484"/>
      <c r="MNR60" s="484"/>
      <c r="MNS60" s="484"/>
      <c r="MNT60" s="484"/>
      <c r="MNU60" s="484"/>
      <c r="MNV60" s="484"/>
      <c r="MNW60" s="484"/>
      <c r="MNX60" s="484"/>
      <c r="MNY60" s="484"/>
      <c r="MNZ60" s="484"/>
      <c r="MOA60" s="484"/>
      <c r="MOB60" s="484"/>
      <c r="MOC60" s="484"/>
      <c r="MOD60" s="484"/>
      <c r="MOE60" s="484"/>
      <c r="MOF60" s="484"/>
      <c r="MOG60" s="484"/>
      <c r="MOH60" s="484"/>
      <c r="MOI60" s="484"/>
      <c r="MOJ60" s="484"/>
      <c r="MOK60" s="484"/>
      <c r="MOL60" s="484"/>
      <c r="MOM60" s="484"/>
      <c r="MON60" s="484"/>
      <c r="MOO60" s="484"/>
      <c r="MOP60" s="484"/>
      <c r="MOQ60" s="484"/>
      <c r="MOR60" s="484"/>
      <c r="MOS60" s="484"/>
      <c r="MOT60" s="484"/>
      <c r="MOU60" s="484"/>
      <c r="MOV60" s="484"/>
      <c r="MOW60" s="484"/>
      <c r="MOX60" s="484"/>
      <c r="MOY60" s="484"/>
      <c r="MOZ60" s="484"/>
      <c r="MPA60" s="484"/>
      <c r="MPB60" s="484"/>
      <c r="MPC60" s="484"/>
      <c r="MPD60" s="484"/>
      <c r="MPE60" s="484"/>
      <c r="MPF60" s="484"/>
      <c r="MPG60" s="484"/>
      <c r="MPH60" s="484"/>
      <c r="MPI60" s="484"/>
      <c r="MPJ60" s="484"/>
      <c r="MPK60" s="484"/>
      <c r="MPL60" s="484"/>
      <c r="MPM60" s="484"/>
      <c r="MPN60" s="484"/>
      <c r="MPO60" s="484"/>
      <c r="MPP60" s="484"/>
      <c r="MPQ60" s="484"/>
      <c r="MPR60" s="484"/>
      <c r="MPS60" s="484"/>
      <c r="MPT60" s="484"/>
      <c r="MPU60" s="484"/>
      <c r="MPV60" s="484"/>
      <c r="MPW60" s="484"/>
      <c r="MPX60" s="484"/>
      <c r="MPY60" s="484"/>
      <c r="MPZ60" s="484"/>
      <c r="MQA60" s="484"/>
      <c r="MQB60" s="484"/>
      <c r="MQC60" s="484"/>
      <c r="MQD60" s="484"/>
      <c r="MQE60" s="484"/>
      <c r="MQF60" s="484"/>
      <c r="MQG60" s="484"/>
      <c r="MQH60" s="484"/>
      <c r="MQI60" s="484"/>
      <c r="MQJ60" s="484"/>
      <c r="MQK60" s="484"/>
      <c r="MQL60" s="484"/>
      <c r="MQM60" s="484"/>
      <c r="MQN60" s="484"/>
      <c r="MQO60" s="484"/>
      <c r="MQP60" s="484"/>
      <c r="MQQ60" s="484"/>
      <c r="MQR60" s="484"/>
      <c r="MQS60" s="484"/>
      <c r="MQT60" s="484"/>
      <c r="MQU60" s="484"/>
      <c r="MQV60" s="484"/>
      <c r="MQW60" s="484"/>
      <c r="MQX60" s="484"/>
      <c r="MQY60" s="484"/>
      <c r="MQZ60" s="484"/>
      <c r="MRA60" s="484"/>
      <c r="MRB60" s="484"/>
      <c r="MRC60" s="484"/>
      <c r="MRD60" s="484"/>
      <c r="MRE60" s="484"/>
      <c r="MRF60" s="484"/>
      <c r="MRG60" s="484"/>
      <c r="MRH60" s="484"/>
      <c r="MRI60" s="484"/>
      <c r="MRJ60" s="484"/>
      <c r="MRK60" s="484"/>
      <c r="MRL60" s="484"/>
      <c r="MRM60" s="484"/>
      <c r="MRN60" s="484"/>
      <c r="MRO60" s="484"/>
      <c r="MRP60" s="484"/>
      <c r="MRQ60" s="484"/>
      <c r="MRR60" s="484"/>
      <c r="MRS60" s="484"/>
      <c r="MRT60" s="484"/>
      <c r="MRU60" s="484"/>
      <c r="MRV60" s="484"/>
      <c r="MRW60" s="484"/>
      <c r="MRX60" s="484"/>
      <c r="MRY60" s="484"/>
      <c r="MRZ60" s="484"/>
      <c r="MSA60" s="484"/>
      <c r="MSB60" s="484"/>
      <c r="MSC60" s="484"/>
      <c r="MSD60" s="484"/>
      <c r="MSE60" s="484"/>
      <c r="MSF60" s="484"/>
      <c r="MSG60" s="484"/>
      <c r="MSH60" s="484"/>
      <c r="MSI60" s="484"/>
      <c r="MSJ60" s="484"/>
      <c r="MSK60" s="484"/>
      <c r="MSL60" s="484"/>
      <c r="MSM60" s="484"/>
      <c r="MSN60" s="484"/>
      <c r="MSO60" s="484"/>
      <c r="MSP60" s="484"/>
      <c r="MSQ60" s="484"/>
      <c r="MSR60" s="484"/>
      <c r="MSS60" s="484"/>
      <c r="MST60" s="484"/>
      <c r="MSU60" s="484"/>
      <c r="MSV60" s="484"/>
      <c r="MSW60" s="484"/>
      <c r="MSX60" s="484"/>
      <c r="MSY60" s="484"/>
      <c r="MSZ60" s="484"/>
      <c r="MTA60" s="484"/>
      <c r="MTB60" s="484"/>
      <c r="MTC60" s="484"/>
      <c r="MTD60" s="484"/>
      <c r="MTE60" s="484"/>
      <c r="MTF60" s="484"/>
      <c r="MTG60" s="484"/>
      <c r="MTH60" s="484"/>
      <c r="MTI60" s="484"/>
      <c r="MTJ60" s="484"/>
      <c r="MTK60" s="484"/>
      <c r="MTL60" s="484"/>
      <c r="MTM60" s="484"/>
      <c r="MTN60" s="484"/>
      <c r="MTO60" s="484"/>
      <c r="MTP60" s="484"/>
      <c r="MTQ60" s="484"/>
      <c r="MTR60" s="484"/>
      <c r="MTS60" s="484"/>
      <c r="MTT60" s="484"/>
      <c r="MTU60" s="484"/>
      <c r="MTV60" s="484"/>
      <c r="MTW60" s="484"/>
      <c r="MTX60" s="484"/>
      <c r="MTY60" s="484"/>
      <c r="MTZ60" s="484"/>
      <c r="MUA60" s="484"/>
      <c r="MUB60" s="484"/>
      <c r="MUC60" s="484"/>
      <c r="MUD60" s="484"/>
      <c r="MUE60" s="484"/>
      <c r="MUF60" s="484"/>
      <c r="MUG60" s="484"/>
      <c r="MUH60" s="484"/>
      <c r="MUI60" s="484"/>
      <c r="MUJ60" s="484"/>
      <c r="MUK60" s="484"/>
      <c r="MUL60" s="484"/>
      <c r="MUM60" s="484"/>
      <c r="MUN60" s="484"/>
      <c r="MUO60" s="484"/>
      <c r="MUP60" s="484"/>
      <c r="MUQ60" s="484"/>
      <c r="MUR60" s="484"/>
      <c r="MUS60" s="484"/>
      <c r="MUT60" s="484"/>
      <c r="MUU60" s="484"/>
      <c r="MUV60" s="484"/>
      <c r="MUW60" s="484"/>
      <c r="MUX60" s="484"/>
      <c r="MUY60" s="484"/>
      <c r="MUZ60" s="484"/>
      <c r="MVA60" s="484"/>
      <c r="MVB60" s="484"/>
      <c r="MVC60" s="484"/>
      <c r="MVD60" s="484"/>
      <c r="MVE60" s="484"/>
      <c r="MVF60" s="484"/>
      <c r="MVG60" s="484"/>
      <c r="MVH60" s="484"/>
      <c r="MVI60" s="484"/>
      <c r="MVJ60" s="484"/>
      <c r="MVK60" s="484"/>
      <c r="MVL60" s="484"/>
      <c r="MVM60" s="484"/>
      <c r="MVN60" s="484"/>
      <c r="MVO60" s="484"/>
      <c r="MVP60" s="484"/>
      <c r="MVQ60" s="484"/>
      <c r="MVR60" s="484"/>
      <c r="MVS60" s="484"/>
      <c r="MVT60" s="484"/>
      <c r="MVU60" s="484"/>
      <c r="MVV60" s="484"/>
      <c r="MVW60" s="484"/>
      <c r="MVX60" s="484"/>
      <c r="MVY60" s="484"/>
      <c r="MVZ60" s="484"/>
      <c r="MWA60" s="484"/>
      <c r="MWB60" s="484"/>
      <c r="MWC60" s="484"/>
      <c r="MWD60" s="484"/>
      <c r="MWE60" s="484"/>
      <c r="MWF60" s="484"/>
      <c r="MWG60" s="484"/>
      <c r="MWH60" s="484"/>
      <c r="MWI60" s="484"/>
      <c r="MWJ60" s="484"/>
      <c r="MWK60" s="484"/>
      <c r="MWL60" s="484"/>
      <c r="MWM60" s="484"/>
      <c r="MWN60" s="484"/>
      <c r="MWO60" s="484"/>
      <c r="MWP60" s="484"/>
      <c r="MWQ60" s="484"/>
      <c r="MWR60" s="484"/>
      <c r="MWS60" s="484"/>
      <c r="MWT60" s="484"/>
      <c r="MWU60" s="484"/>
      <c r="MWV60" s="484"/>
      <c r="MWW60" s="484"/>
      <c r="MWX60" s="484"/>
      <c r="MWY60" s="484"/>
      <c r="MWZ60" s="484"/>
      <c r="MXA60" s="484"/>
      <c r="MXB60" s="484"/>
      <c r="MXC60" s="484"/>
      <c r="MXD60" s="484"/>
      <c r="MXE60" s="484"/>
      <c r="MXF60" s="484"/>
      <c r="MXG60" s="484"/>
      <c r="MXH60" s="484"/>
      <c r="MXI60" s="484"/>
      <c r="MXJ60" s="484"/>
      <c r="MXK60" s="484"/>
      <c r="MXL60" s="484"/>
      <c r="MXM60" s="484"/>
      <c r="MXN60" s="484"/>
      <c r="MXO60" s="484"/>
      <c r="MXP60" s="484"/>
      <c r="MXQ60" s="484"/>
      <c r="MXR60" s="484"/>
      <c r="MXS60" s="484"/>
      <c r="MXT60" s="484"/>
      <c r="MXU60" s="484"/>
      <c r="MXV60" s="484"/>
      <c r="MXW60" s="484"/>
      <c r="MXX60" s="484"/>
      <c r="MXY60" s="484"/>
      <c r="MXZ60" s="484"/>
      <c r="MYA60" s="484"/>
      <c r="MYB60" s="484"/>
      <c r="MYC60" s="484"/>
      <c r="MYD60" s="484"/>
      <c r="MYE60" s="484"/>
      <c r="MYF60" s="484"/>
      <c r="MYG60" s="484"/>
      <c r="MYH60" s="484"/>
      <c r="MYI60" s="484"/>
      <c r="MYJ60" s="484"/>
      <c r="MYK60" s="484"/>
      <c r="MYL60" s="484"/>
      <c r="MYM60" s="484"/>
      <c r="MYN60" s="484"/>
      <c r="MYO60" s="484"/>
      <c r="MYP60" s="484"/>
      <c r="MYQ60" s="484"/>
      <c r="MYR60" s="484"/>
      <c r="MYS60" s="484"/>
      <c r="MYT60" s="484"/>
      <c r="MYU60" s="484"/>
      <c r="MYV60" s="484"/>
      <c r="MYW60" s="484"/>
      <c r="MYX60" s="484"/>
      <c r="MYY60" s="484"/>
      <c r="MYZ60" s="484"/>
      <c r="MZA60" s="484"/>
      <c r="MZB60" s="484"/>
      <c r="MZC60" s="484"/>
      <c r="MZD60" s="484"/>
      <c r="MZE60" s="484"/>
      <c r="MZF60" s="484"/>
      <c r="MZG60" s="484"/>
      <c r="MZH60" s="484"/>
      <c r="MZI60" s="484"/>
      <c r="MZJ60" s="484"/>
      <c r="MZK60" s="484"/>
      <c r="MZL60" s="484"/>
      <c r="MZM60" s="484"/>
      <c r="MZN60" s="484"/>
      <c r="MZO60" s="484"/>
      <c r="MZP60" s="484"/>
      <c r="MZQ60" s="484"/>
      <c r="MZR60" s="484"/>
      <c r="MZS60" s="484"/>
      <c r="MZT60" s="484"/>
      <c r="MZU60" s="484"/>
      <c r="MZV60" s="484"/>
      <c r="MZW60" s="484"/>
      <c r="MZX60" s="484"/>
      <c r="MZY60" s="484"/>
      <c r="MZZ60" s="484"/>
      <c r="NAA60" s="484"/>
      <c r="NAB60" s="484"/>
      <c r="NAC60" s="484"/>
      <c r="NAD60" s="484"/>
      <c r="NAE60" s="484"/>
      <c r="NAF60" s="484"/>
      <c r="NAG60" s="484"/>
      <c r="NAH60" s="484"/>
      <c r="NAI60" s="484"/>
      <c r="NAJ60" s="484"/>
      <c r="NAK60" s="484"/>
      <c r="NAL60" s="484"/>
      <c r="NAM60" s="484"/>
      <c r="NAN60" s="484"/>
      <c r="NAO60" s="484"/>
      <c r="NAP60" s="484"/>
      <c r="NAQ60" s="484"/>
      <c r="NAR60" s="484"/>
      <c r="NAS60" s="484"/>
      <c r="NAT60" s="484"/>
      <c r="NAU60" s="484"/>
      <c r="NAV60" s="484"/>
      <c r="NAW60" s="484"/>
      <c r="NAX60" s="484"/>
      <c r="NAY60" s="484"/>
      <c r="NAZ60" s="484"/>
      <c r="NBA60" s="484"/>
      <c r="NBB60" s="484"/>
      <c r="NBC60" s="484"/>
      <c r="NBD60" s="484"/>
      <c r="NBE60" s="484"/>
      <c r="NBF60" s="484"/>
      <c r="NBG60" s="484"/>
      <c r="NBH60" s="484"/>
      <c r="NBI60" s="484"/>
      <c r="NBJ60" s="484"/>
      <c r="NBK60" s="484"/>
      <c r="NBL60" s="484"/>
      <c r="NBM60" s="484"/>
      <c r="NBN60" s="484"/>
      <c r="NBO60" s="484"/>
      <c r="NBP60" s="484"/>
      <c r="NBQ60" s="484"/>
      <c r="NBR60" s="484"/>
      <c r="NBS60" s="484"/>
      <c r="NBT60" s="484"/>
      <c r="NBU60" s="484"/>
      <c r="NBV60" s="484"/>
      <c r="NBW60" s="484"/>
      <c r="NBX60" s="484"/>
      <c r="NBY60" s="484"/>
      <c r="NBZ60" s="484"/>
      <c r="NCA60" s="484"/>
      <c r="NCB60" s="484"/>
      <c r="NCC60" s="484"/>
      <c r="NCD60" s="484"/>
      <c r="NCE60" s="484"/>
      <c r="NCF60" s="484"/>
      <c r="NCG60" s="484"/>
      <c r="NCH60" s="484"/>
      <c r="NCI60" s="484"/>
      <c r="NCJ60" s="484"/>
      <c r="NCK60" s="484"/>
      <c r="NCL60" s="484"/>
      <c r="NCM60" s="484"/>
      <c r="NCN60" s="484"/>
      <c r="NCO60" s="484"/>
      <c r="NCP60" s="484"/>
      <c r="NCQ60" s="484"/>
      <c r="NCR60" s="484"/>
      <c r="NCS60" s="484"/>
      <c r="NCT60" s="484"/>
      <c r="NCU60" s="484"/>
      <c r="NCV60" s="484"/>
      <c r="NCW60" s="484"/>
      <c r="NCX60" s="484"/>
      <c r="NCY60" s="484"/>
      <c r="NCZ60" s="484"/>
      <c r="NDA60" s="484"/>
      <c r="NDB60" s="484"/>
      <c r="NDC60" s="484"/>
      <c r="NDD60" s="484"/>
      <c r="NDE60" s="484"/>
      <c r="NDF60" s="484"/>
      <c r="NDG60" s="484"/>
      <c r="NDH60" s="484"/>
      <c r="NDI60" s="484"/>
      <c r="NDJ60" s="484"/>
      <c r="NDK60" s="484"/>
      <c r="NDL60" s="484"/>
      <c r="NDM60" s="484"/>
      <c r="NDN60" s="484"/>
      <c r="NDO60" s="484"/>
      <c r="NDP60" s="484"/>
      <c r="NDQ60" s="484"/>
      <c r="NDR60" s="484"/>
      <c r="NDS60" s="484"/>
      <c r="NDT60" s="484"/>
      <c r="NDU60" s="484"/>
      <c r="NDV60" s="484"/>
      <c r="NDW60" s="484"/>
      <c r="NDX60" s="484"/>
      <c r="NDY60" s="484"/>
      <c r="NDZ60" s="484"/>
      <c r="NEA60" s="484"/>
      <c r="NEB60" s="484"/>
      <c r="NEC60" s="484"/>
      <c r="NED60" s="484"/>
      <c r="NEE60" s="484"/>
      <c r="NEF60" s="484"/>
      <c r="NEG60" s="484"/>
      <c r="NEH60" s="484"/>
      <c r="NEI60" s="484"/>
      <c r="NEJ60" s="484"/>
      <c r="NEK60" s="484"/>
      <c r="NEL60" s="484"/>
      <c r="NEM60" s="484"/>
      <c r="NEN60" s="484"/>
      <c r="NEO60" s="484"/>
      <c r="NEP60" s="484"/>
      <c r="NEQ60" s="484"/>
      <c r="NER60" s="484"/>
      <c r="NES60" s="484"/>
      <c r="NET60" s="484"/>
      <c r="NEU60" s="484"/>
      <c r="NEV60" s="484"/>
      <c r="NEW60" s="484"/>
      <c r="NEX60" s="484"/>
      <c r="NEY60" s="484"/>
      <c r="NEZ60" s="484"/>
      <c r="NFA60" s="484"/>
      <c r="NFB60" s="484"/>
      <c r="NFC60" s="484"/>
      <c r="NFD60" s="484"/>
      <c r="NFE60" s="484"/>
      <c r="NFF60" s="484"/>
      <c r="NFG60" s="484"/>
      <c r="NFH60" s="484"/>
      <c r="NFI60" s="484"/>
      <c r="NFJ60" s="484"/>
      <c r="NFK60" s="484"/>
      <c r="NFL60" s="484"/>
      <c r="NFM60" s="484"/>
      <c r="NFN60" s="484"/>
      <c r="NFO60" s="484"/>
      <c r="NFP60" s="484"/>
      <c r="NFQ60" s="484"/>
      <c r="NFR60" s="484"/>
      <c r="NFS60" s="484"/>
      <c r="NFT60" s="484"/>
      <c r="NFU60" s="484"/>
      <c r="NFV60" s="484"/>
      <c r="NFW60" s="484"/>
      <c r="NFX60" s="484"/>
      <c r="NFY60" s="484"/>
      <c r="NFZ60" s="484"/>
      <c r="NGA60" s="484"/>
      <c r="NGB60" s="484"/>
      <c r="NGC60" s="484"/>
      <c r="NGD60" s="484"/>
      <c r="NGE60" s="484"/>
      <c r="NGF60" s="484"/>
      <c r="NGG60" s="484"/>
      <c r="NGH60" s="484"/>
      <c r="NGI60" s="484"/>
      <c r="NGJ60" s="484"/>
      <c r="NGK60" s="484"/>
      <c r="NGL60" s="484"/>
      <c r="NGM60" s="484"/>
      <c r="NGN60" s="484"/>
      <c r="NGO60" s="484"/>
      <c r="NGP60" s="484"/>
      <c r="NGQ60" s="484"/>
      <c r="NGR60" s="484"/>
      <c r="NGS60" s="484"/>
      <c r="NGT60" s="484"/>
      <c r="NGU60" s="484"/>
      <c r="NGV60" s="484"/>
      <c r="NGW60" s="484"/>
      <c r="NGX60" s="484"/>
      <c r="NGY60" s="484"/>
      <c r="NGZ60" s="484"/>
      <c r="NHA60" s="484"/>
      <c r="NHB60" s="484"/>
      <c r="NHC60" s="484"/>
      <c r="NHD60" s="484"/>
      <c r="NHE60" s="484"/>
      <c r="NHF60" s="484"/>
      <c r="NHG60" s="484"/>
      <c r="NHH60" s="484"/>
      <c r="NHI60" s="484"/>
      <c r="NHJ60" s="484"/>
      <c r="NHK60" s="484"/>
      <c r="NHL60" s="484"/>
      <c r="NHM60" s="484"/>
      <c r="NHN60" s="484"/>
      <c r="NHO60" s="484"/>
      <c r="NHP60" s="484"/>
      <c r="NHQ60" s="484"/>
      <c r="NHR60" s="484"/>
      <c r="NHS60" s="484"/>
      <c r="NHT60" s="484"/>
      <c r="NHU60" s="484"/>
      <c r="NHV60" s="484"/>
      <c r="NHW60" s="484"/>
      <c r="NHX60" s="484"/>
      <c r="NHY60" s="484"/>
      <c r="NHZ60" s="484"/>
      <c r="NIA60" s="484"/>
      <c r="NIB60" s="484"/>
      <c r="NIC60" s="484"/>
      <c r="NID60" s="484"/>
      <c r="NIE60" s="484"/>
      <c r="NIF60" s="484"/>
      <c r="NIG60" s="484"/>
      <c r="NIH60" s="484"/>
      <c r="NII60" s="484"/>
      <c r="NIJ60" s="484"/>
      <c r="NIK60" s="484"/>
      <c r="NIL60" s="484"/>
      <c r="NIM60" s="484"/>
      <c r="NIN60" s="484"/>
      <c r="NIO60" s="484"/>
      <c r="NIP60" s="484"/>
      <c r="NIQ60" s="484"/>
      <c r="NIR60" s="484"/>
      <c r="NIS60" s="484"/>
      <c r="NIT60" s="484"/>
      <c r="NIU60" s="484"/>
      <c r="NIV60" s="484"/>
      <c r="NIW60" s="484"/>
      <c r="NIX60" s="484"/>
      <c r="NIY60" s="484"/>
      <c r="NIZ60" s="484"/>
      <c r="NJA60" s="484"/>
      <c r="NJB60" s="484"/>
      <c r="NJC60" s="484"/>
      <c r="NJD60" s="484"/>
      <c r="NJE60" s="484"/>
      <c r="NJF60" s="484"/>
      <c r="NJG60" s="484"/>
      <c r="NJH60" s="484"/>
      <c r="NJI60" s="484"/>
      <c r="NJJ60" s="484"/>
      <c r="NJK60" s="484"/>
      <c r="NJL60" s="484"/>
      <c r="NJM60" s="484"/>
      <c r="NJN60" s="484"/>
      <c r="NJO60" s="484"/>
      <c r="NJP60" s="484"/>
      <c r="NJQ60" s="484"/>
      <c r="NJR60" s="484"/>
      <c r="NJS60" s="484"/>
      <c r="NJT60" s="484"/>
      <c r="NJU60" s="484"/>
      <c r="NJV60" s="484"/>
      <c r="NJW60" s="484"/>
      <c r="NJX60" s="484"/>
      <c r="NJY60" s="484"/>
      <c r="NJZ60" s="484"/>
      <c r="NKA60" s="484"/>
      <c r="NKB60" s="484"/>
      <c r="NKC60" s="484"/>
      <c r="NKD60" s="484"/>
      <c r="NKE60" s="484"/>
      <c r="NKF60" s="484"/>
      <c r="NKG60" s="484"/>
      <c r="NKH60" s="484"/>
      <c r="NKI60" s="484"/>
      <c r="NKJ60" s="484"/>
      <c r="NKK60" s="484"/>
      <c r="NKL60" s="484"/>
      <c r="NKM60" s="484"/>
      <c r="NKN60" s="484"/>
      <c r="NKO60" s="484"/>
      <c r="NKP60" s="484"/>
      <c r="NKQ60" s="484"/>
      <c r="NKR60" s="484"/>
      <c r="NKS60" s="484"/>
      <c r="NKT60" s="484"/>
      <c r="NKU60" s="484"/>
      <c r="NKV60" s="484"/>
      <c r="NKW60" s="484"/>
      <c r="NKX60" s="484"/>
      <c r="NKY60" s="484"/>
      <c r="NKZ60" s="484"/>
      <c r="NLA60" s="484"/>
      <c r="NLB60" s="484"/>
      <c r="NLC60" s="484"/>
      <c r="NLD60" s="484"/>
      <c r="NLE60" s="484"/>
      <c r="NLF60" s="484"/>
      <c r="NLG60" s="484"/>
      <c r="NLH60" s="484"/>
      <c r="NLI60" s="484"/>
      <c r="NLJ60" s="484"/>
      <c r="NLK60" s="484"/>
      <c r="NLL60" s="484"/>
      <c r="NLM60" s="484"/>
      <c r="NLN60" s="484"/>
      <c r="NLO60" s="484"/>
      <c r="NLP60" s="484"/>
      <c r="NLQ60" s="484"/>
      <c r="NLR60" s="484"/>
      <c r="NLS60" s="484"/>
      <c r="NLT60" s="484"/>
      <c r="NLU60" s="484"/>
      <c r="NLV60" s="484"/>
      <c r="NLW60" s="484"/>
      <c r="NLX60" s="484"/>
      <c r="NLY60" s="484"/>
      <c r="NLZ60" s="484"/>
      <c r="NMA60" s="484"/>
      <c r="NMB60" s="484"/>
      <c r="NMC60" s="484"/>
      <c r="NMD60" s="484"/>
      <c r="NME60" s="484"/>
      <c r="NMF60" s="484"/>
      <c r="NMG60" s="484"/>
      <c r="NMH60" s="484"/>
      <c r="NMI60" s="484"/>
      <c r="NMJ60" s="484"/>
      <c r="NMK60" s="484"/>
      <c r="NML60" s="484"/>
      <c r="NMM60" s="484"/>
      <c r="NMN60" s="484"/>
      <c r="NMO60" s="484"/>
      <c r="NMP60" s="484"/>
      <c r="NMQ60" s="484"/>
      <c r="NMR60" s="484"/>
      <c r="NMS60" s="484"/>
      <c r="NMT60" s="484"/>
      <c r="NMU60" s="484"/>
      <c r="NMV60" s="484"/>
      <c r="NMW60" s="484"/>
      <c r="NMX60" s="484"/>
      <c r="NMY60" s="484"/>
      <c r="NMZ60" s="484"/>
      <c r="NNA60" s="484"/>
      <c r="NNB60" s="484"/>
      <c r="NNC60" s="484"/>
      <c r="NND60" s="484"/>
      <c r="NNE60" s="484"/>
      <c r="NNF60" s="484"/>
      <c r="NNG60" s="484"/>
      <c r="NNH60" s="484"/>
      <c r="NNI60" s="484"/>
      <c r="NNJ60" s="484"/>
      <c r="NNK60" s="484"/>
      <c r="NNL60" s="484"/>
      <c r="NNM60" s="484"/>
      <c r="NNN60" s="484"/>
      <c r="NNO60" s="484"/>
      <c r="NNP60" s="484"/>
      <c r="NNQ60" s="484"/>
      <c r="NNR60" s="484"/>
      <c r="NNS60" s="484"/>
      <c r="NNT60" s="484"/>
      <c r="NNU60" s="484"/>
      <c r="NNV60" s="484"/>
      <c r="NNW60" s="484"/>
      <c r="NNX60" s="484"/>
      <c r="NNY60" s="484"/>
      <c r="NNZ60" s="484"/>
      <c r="NOA60" s="484"/>
      <c r="NOB60" s="484"/>
      <c r="NOC60" s="484"/>
      <c r="NOD60" s="484"/>
      <c r="NOE60" s="484"/>
      <c r="NOF60" s="484"/>
      <c r="NOG60" s="484"/>
      <c r="NOH60" s="484"/>
      <c r="NOI60" s="484"/>
      <c r="NOJ60" s="484"/>
      <c r="NOK60" s="484"/>
      <c r="NOL60" s="484"/>
      <c r="NOM60" s="484"/>
      <c r="NON60" s="484"/>
      <c r="NOO60" s="484"/>
      <c r="NOP60" s="484"/>
      <c r="NOQ60" s="484"/>
      <c r="NOR60" s="484"/>
      <c r="NOS60" s="484"/>
      <c r="NOT60" s="484"/>
      <c r="NOU60" s="484"/>
      <c r="NOV60" s="484"/>
      <c r="NOW60" s="484"/>
      <c r="NOX60" s="484"/>
      <c r="NOY60" s="484"/>
      <c r="NOZ60" s="484"/>
      <c r="NPA60" s="484"/>
      <c r="NPB60" s="484"/>
      <c r="NPC60" s="484"/>
      <c r="NPD60" s="484"/>
      <c r="NPE60" s="484"/>
      <c r="NPF60" s="484"/>
      <c r="NPG60" s="484"/>
      <c r="NPH60" s="484"/>
      <c r="NPI60" s="484"/>
      <c r="NPJ60" s="484"/>
      <c r="NPK60" s="484"/>
      <c r="NPL60" s="484"/>
      <c r="NPM60" s="484"/>
      <c r="NPN60" s="484"/>
      <c r="NPO60" s="484"/>
      <c r="NPP60" s="484"/>
      <c r="NPQ60" s="484"/>
      <c r="NPR60" s="484"/>
      <c r="NPS60" s="484"/>
      <c r="NPT60" s="484"/>
      <c r="NPU60" s="484"/>
      <c r="NPV60" s="484"/>
      <c r="NPW60" s="484"/>
      <c r="NPX60" s="484"/>
      <c r="NPY60" s="484"/>
      <c r="NPZ60" s="484"/>
      <c r="NQA60" s="484"/>
      <c r="NQB60" s="484"/>
      <c r="NQC60" s="484"/>
      <c r="NQD60" s="484"/>
      <c r="NQE60" s="484"/>
      <c r="NQF60" s="484"/>
      <c r="NQG60" s="484"/>
      <c r="NQH60" s="484"/>
      <c r="NQI60" s="484"/>
      <c r="NQJ60" s="484"/>
      <c r="NQK60" s="484"/>
      <c r="NQL60" s="484"/>
      <c r="NQM60" s="484"/>
      <c r="NQN60" s="484"/>
      <c r="NQO60" s="484"/>
      <c r="NQP60" s="484"/>
      <c r="NQQ60" s="484"/>
      <c r="NQR60" s="484"/>
      <c r="NQS60" s="484"/>
      <c r="NQT60" s="484"/>
      <c r="NQU60" s="484"/>
      <c r="NQV60" s="484"/>
      <c r="NQW60" s="484"/>
      <c r="NQX60" s="484"/>
      <c r="NQY60" s="484"/>
      <c r="NQZ60" s="484"/>
      <c r="NRA60" s="484"/>
      <c r="NRB60" s="484"/>
      <c r="NRC60" s="484"/>
      <c r="NRD60" s="484"/>
      <c r="NRE60" s="484"/>
      <c r="NRF60" s="484"/>
      <c r="NRG60" s="484"/>
      <c r="NRH60" s="484"/>
      <c r="NRI60" s="484"/>
      <c r="NRJ60" s="484"/>
      <c r="NRK60" s="484"/>
      <c r="NRL60" s="484"/>
      <c r="NRM60" s="484"/>
      <c r="NRN60" s="484"/>
      <c r="NRO60" s="484"/>
      <c r="NRP60" s="484"/>
      <c r="NRQ60" s="484"/>
      <c r="NRR60" s="484"/>
      <c r="NRS60" s="484"/>
      <c r="NRT60" s="484"/>
      <c r="NRU60" s="484"/>
      <c r="NRV60" s="484"/>
      <c r="NRW60" s="484"/>
      <c r="NRX60" s="484"/>
      <c r="NRY60" s="484"/>
      <c r="NRZ60" s="484"/>
      <c r="NSA60" s="484"/>
      <c r="NSB60" s="484"/>
      <c r="NSC60" s="484"/>
      <c r="NSD60" s="484"/>
      <c r="NSE60" s="484"/>
      <c r="NSF60" s="484"/>
      <c r="NSG60" s="484"/>
      <c r="NSH60" s="484"/>
      <c r="NSI60" s="484"/>
      <c r="NSJ60" s="484"/>
      <c r="NSK60" s="484"/>
      <c r="NSL60" s="484"/>
      <c r="NSM60" s="484"/>
      <c r="NSN60" s="484"/>
      <c r="NSO60" s="484"/>
      <c r="NSP60" s="484"/>
      <c r="NSQ60" s="484"/>
      <c r="NSR60" s="484"/>
      <c r="NSS60" s="484"/>
      <c r="NST60" s="484"/>
      <c r="NSU60" s="484"/>
      <c r="NSV60" s="484"/>
      <c r="NSW60" s="484"/>
      <c r="NSX60" s="484"/>
      <c r="NSY60" s="484"/>
      <c r="NSZ60" s="484"/>
      <c r="NTA60" s="484"/>
      <c r="NTB60" s="484"/>
      <c r="NTC60" s="484"/>
      <c r="NTD60" s="484"/>
      <c r="NTE60" s="484"/>
      <c r="NTF60" s="484"/>
      <c r="NTG60" s="484"/>
      <c r="NTH60" s="484"/>
      <c r="NTI60" s="484"/>
      <c r="NTJ60" s="484"/>
      <c r="NTK60" s="484"/>
      <c r="NTL60" s="484"/>
      <c r="NTM60" s="484"/>
      <c r="NTN60" s="484"/>
      <c r="NTO60" s="484"/>
      <c r="NTP60" s="484"/>
      <c r="NTQ60" s="484"/>
      <c r="NTR60" s="484"/>
      <c r="NTS60" s="484"/>
      <c r="NTT60" s="484"/>
      <c r="NTU60" s="484"/>
      <c r="NTV60" s="484"/>
      <c r="NTW60" s="484"/>
      <c r="NTX60" s="484"/>
      <c r="NTY60" s="484"/>
      <c r="NTZ60" s="484"/>
      <c r="NUA60" s="484"/>
      <c r="NUB60" s="484"/>
      <c r="NUC60" s="484"/>
      <c r="NUD60" s="484"/>
      <c r="NUE60" s="484"/>
      <c r="NUF60" s="484"/>
      <c r="NUG60" s="484"/>
      <c r="NUH60" s="484"/>
      <c r="NUI60" s="484"/>
      <c r="NUJ60" s="484"/>
      <c r="NUK60" s="484"/>
      <c r="NUL60" s="484"/>
      <c r="NUM60" s="484"/>
      <c r="NUN60" s="484"/>
      <c r="NUO60" s="484"/>
      <c r="NUP60" s="484"/>
      <c r="NUQ60" s="484"/>
      <c r="NUR60" s="484"/>
      <c r="NUS60" s="484"/>
      <c r="NUT60" s="484"/>
      <c r="NUU60" s="484"/>
      <c r="NUV60" s="484"/>
      <c r="NUW60" s="484"/>
      <c r="NUX60" s="484"/>
      <c r="NUY60" s="484"/>
      <c r="NUZ60" s="484"/>
      <c r="NVA60" s="484"/>
      <c r="NVB60" s="484"/>
      <c r="NVC60" s="484"/>
      <c r="NVD60" s="484"/>
      <c r="NVE60" s="484"/>
      <c r="NVF60" s="484"/>
      <c r="NVG60" s="484"/>
      <c r="NVH60" s="484"/>
      <c r="NVI60" s="484"/>
      <c r="NVJ60" s="484"/>
      <c r="NVK60" s="484"/>
      <c r="NVL60" s="484"/>
      <c r="NVM60" s="484"/>
      <c r="NVN60" s="484"/>
      <c r="NVO60" s="484"/>
      <c r="NVP60" s="484"/>
      <c r="NVQ60" s="484"/>
      <c r="NVR60" s="484"/>
      <c r="NVS60" s="484"/>
      <c r="NVT60" s="484"/>
      <c r="NVU60" s="484"/>
      <c r="NVV60" s="484"/>
      <c r="NVW60" s="484"/>
      <c r="NVX60" s="484"/>
      <c r="NVY60" s="484"/>
      <c r="NVZ60" s="484"/>
      <c r="NWA60" s="484"/>
      <c r="NWB60" s="484"/>
      <c r="NWC60" s="484"/>
      <c r="NWD60" s="484"/>
      <c r="NWE60" s="484"/>
      <c r="NWF60" s="484"/>
      <c r="NWG60" s="484"/>
      <c r="NWH60" s="484"/>
      <c r="NWI60" s="484"/>
      <c r="NWJ60" s="484"/>
      <c r="NWK60" s="484"/>
      <c r="NWL60" s="484"/>
      <c r="NWM60" s="484"/>
      <c r="NWN60" s="484"/>
      <c r="NWO60" s="484"/>
      <c r="NWP60" s="484"/>
      <c r="NWQ60" s="484"/>
      <c r="NWR60" s="484"/>
      <c r="NWS60" s="484"/>
      <c r="NWT60" s="484"/>
      <c r="NWU60" s="484"/>
      <c r="NWV60" s="484"/>
      <c r="NWW60" s="484"/>
      <c r="NWX60" s="484"/>
      <c r="NWY60" s="484"/>
      <c r="NWZ60" s="484"/>
      <c r="NXA60" s="484"/>
      <c r="NXB60" s="484"/>
      <c r="NXC60" s="484"/>
      <c r="NXD60" s="484"/>
      <c r="NXE60" s="484"/>
      <c r="NXF60" s="484"/>
      <c r="NXG60" s="484"/>
      <c r="NXH60" s="484"/>
      <c r="NXI60" s="484"/>
      <c r="NXJ60" s="484"/>
      <c r="NXK60" s="484"/>
      <c r="NXL60" s="484"/>
      <c r="NXM60" s="484"/>
      <c r="NXN60" s="484"/>
      <c r="NXO60" s="484"/>
      <c r="NXP60" s="484"/>
      <c r="NXQ60" s="484"/>
      <c r="NXR60" s="484"/>
      <c r="NXS60" s="484"/>
      <c r="NXT60" s="484"/>
      <c r="NXU60" s="484"/>
      <c r="NXV60" s="484"/>
      <c r="NXW60" s="484"/>
      <c r="NXX60" s="484"/>
      <c r="NXY60" s="484"/>
      <c r="NXZ60" s="484"/>
      <c r="NYA60" s="484"/>
      <c r="NYB60" s="484"/>
      <c r="NYC60" s="484"/>
      <c r="NYD60" s="484"/>
      <c r="NYE60" s="484"/>
      <c r="NYF60" s="484"/>
      <c r="NYG60" s="484"/>
      <c r="NYH60" s="484"/>
      <c r="NYI60" s="484"/>
      <c r="NYJ60" s="484"/>
      <c r="NYK60" s="484"/>
      <c r="NYL60" s="484"/>
      <c r="NYM60" s="484"/>
      <c r="NYN60" s="484"/>
      <c r="NYO60" s="484"/>
      <c r="NYP60" s="484"/>
      <c r="NYQ60" s="484"/>
      <c r="NYR60" s="484"/>
      <c r="NYS60" s="484"/>
      <c r="NYT60" s="484"/>
      <c r="NYU60" s="484"/>
      <c r="NYV60" s="484"/>
      <c r="NYW60" s="484"/>
      <c r="NYX60" s="484"/>
      <c r="NYY60" s="484"/>
      <c r="NYZ60" s="484"/>
      <c r="NZA60" s="484"/>
      <c r="NZB60" s="484"/>
      <c r="NZC60" s="484"/>
      <c r="NZD60" s="484"/>
      <c r="NZE60" s="484"/>
      <c r="NZF60" s="484"/>
      <c r="NZG60" s="484"/>
      <c r="NZH60" s="484"/>
      <c r="NZI60" s="484"/>
      <c r="NZJ60" s="484"/>
      <c r="NZK60" s="484"/>
      <c r="NZL60" s="484"/>
      <c r="NZM60" s="484"/>
      <c r="NZN60" s="484"/>
      <c r="NZO60" s="484"/>
      <c r="NZP60" s="484"/>
      <c r="NZQ60" s="484"/>
      <c r="NZR60" s="484"/>
      <c r="NZS60" s="484"/>
      <c r="NZT60" s="484"/>
      <c r="NZU60" s="484"/>
      <c r="NZV60" s="484"/>
      <c r="NZW60" s="484"/>
      <c r="NZX60" s="484"/>
      <c r="NZY60" s="484"/>
      <c r="NZZ60" s="484"/>
      <c r="OAA60" s="484"/>
      <c r="OAB60" s="484"/>
      <c r="OAC60" s="484"/>
      <c r="OAD60" s="484"/>
      <c r="OAE60" s="484"/>
      <c r="OAF60" s="484"/>
      <c r="OAG60" s="484"/>
      <c r="OAH60" s="484"/>
      <c r="OAI60" s="484"/>
      <c r="OAJ60" s="484"/>
      <c r="OAK60" s="484"/>
      <c r="OAL60" s="484"/>
      <c r="OAM60" s="484"/>
      <c r="OAN60" s="484"/>
      <c r="OAO60" s="484"/>
      <c r="OAP60" s="484"/>
      <c r="OAQ60" s="484"/>
      <c r="OAR60" s="484"/>
      <c r="OAS60" s="484"/>
      <c r="OAT60" s="484"/>
      <c r="OAU60" s="484"/>
      <c r="OAV60" s="484"/>
      <c r="OAW60" s="484"/>
      <c r="OAX60" s="484"/>
      <c r="OAY60" s="484"/>
      <c r="OAZ60" s="484"/>
      <c r="OBA60" s="484"/>
      <c r="OBB60" s="484"/>
      <c r="OBC60" s="484"/>
      <c r="OBD60" s="484"/>
      <c r="OBE60" s="484"/>
      <c r="OBF60" s="484"/>
      <c r="OBG60" s="484"/>
      <c r="OBH60" s="484"/>
      <c r="OBI60" s="484"/>
      <c r="OBJ60" s="484"/>
      <c r="OBK60" s="484"/>
      <c r="OBL60" s="484"/>
      <c r="OBM60" s="484"/>
      <c r="OBN60" s="484"/>
      <c r="OBO60" s="484"/>
      <c r="OBP60" s="484"/>
      <c r="OBQ60" s="484"/>
      <c r="OBR60" s="484"/>
      <c r="OBS60" s="484"/>
      <c r="OBT60" s="484"/>
      <c r="OBU60" s="484"/>
      <c r="OBV60" s="484"/>
      <c r="OBW60" s="484"/>
      <c r="OBX60" s="484"/>
      <c r="OBY60" s="484"/>
      <c r="OBZ60" s="484"/>
      <c r="OCA60" s="484"/>
      <c r="OCB60" s="484"/>
      <c r="OCC60" s="484"/>
      <c r="OCD60" s="484"/>
      <c r="OCE60" s="484"/>
      <c r="OCF60" s="484"/>
      <c r="OCG60" s="484"/>
      <c r="OCH60" s="484"/>
      <c r="OCI60" s="484"/>
      <c r="OCJ60" s="484"/>
      <c r="OCK60" s="484"/>
      <c r="OCL60" s="484"/>
      <c r="OCM60" s="484"/>
      <c r="OCN60" s="484"/>
      <c r="OCO60" s="484"/>
      <c r="OCP60" s="484"/>
      <c r="OCQ60" s="484"/>
      <c r="OCR60" s="484"/>
      <c r="OCS60" s="484"/>
      <c r="OCT60" s="484"/>
      <c r="OCU60" s="484"/>
      <c r="OCV60" s="484"/>
      <c r="OCW60" s="484"/>
      <c r="OCX60" s="484"/>
      <c r="OCY60" s="484"/>
      <c r="OCZ60" s="484"/>
      <c r="ODA60" s="484"/>
      <c r="ODB60" s="484"/>
      <c r="ODC60" s="484"/>
      <c r="ODD60" s="484"/>
      <c r="ODE60" s="484"/>
      <c r="ODF60" s="484"/>
      <c r="ODG60" s="484"/>
      <c r="ODH60" s="484"/>
      <c r="ODI60" s="484"/>
      <c r="ODJ60" s="484"/>
      <c r="ODK60" s="484"/>
      <c r="ODL60" s="484"/>
      <c r="ODM60" s="484"/>
      <c r="ODN60" s="484"/>
      <c r="ODO60" s="484"/>
      <c r="ODP60" s="484"/>
      <c r="ODQ60" s="484"/>
      <c r="ODR60" s="484"/>
      <c r="ODS60" s="484"/>
      <c r="ODT60" s="484"/>
      <c r="ODU60" s="484"/>
      <c r="ODV60" s="484"/>
      <c r="ODW60" s="484"/>
      <c r="ODX60" s="484"/>
      <c r="ODY60" s="484"/>
      <c r="ODZ60" s="484"/>
      <c r="OEA60" s="484"/>
      <c r="OEB60" s="484"/>
      <c r="OEC60" s="484"/>
      <c r="OED60" s="484"/>
      <c r="OEE60" s="484"/>
      <c r="OEF60" s="484"/>
      <c r="OEG60" s="484"/>
      <c r="OEH60" s="484"/>
      <c r="OEI60" s="484"/>
      <c r="OEJ60" s="484"/>
      <c r="OEK60" s="484"/>
      <c r="OEL60" s="484"/>
      <c r="OEM60" s="484"/>
      <c r="OEN60" s="484"/>
      <c r="OEO60" s="484"/>
      <c r="OEP60" s="484"/>
      <c r="OEQ60" s="484"/>
      <c r="OER60" s="484"/>
      <c r="OES60" s="484"/>
      <c r="OET60" s="484"/>
      <c r="OEU60" s="484"/>
      <c r="OEV60" s="484"/>
      <c r="OEW60" s="484"/>
      <c r="OEX60" s="484"/>
      <c r="OEY60" s="484"/>
      <c r="OEZ60" s="484"/>
      <c r="OFA60" s="484"/>
      <c r="OFB60" s="484"/>
      <c r="OFC60" s="484"/>
      <c r="OFD60" s="484"/>
      <c r="OFE60" s="484"/>
      <c r="OFF60" s="484"/>
      <c r="OFG60" s="484"/>
      <c r="OFH60" s="484"/>
      <c r="OFI60" s="484"/>
      <c r="OFJ60" s="484"/>
      <c r="OFK60" s="484"/>
      <c r="OFL60" s="484"/>
      <c r="OFM60" s="484"/>
      <c r="OFN60" s="484"/>
      <c r="OFO60" s="484"/>
      <c r="OFP60" s="484"/>
      <c r="OFQ60" s="484"/>
      <c r="OFR60" s="484"/>
      <c r="OFS60" s="484"/>
      <c r="OFT60" s="484"/>
      <c r="OFU60" s="484"/>
      <c r="OFV60" s="484"/>
      <c r="OFW60" s="484"/>
      <c r="OFX60" s="484"/>
      <c r="OFY60" s="484"/>
      <c r="OFZ60" s="484"/>
      <c r="OGA60" s="484"/>
      <c r="OGB60" s="484"/>
      <c r="OGC60" s="484"/>
      <c r="OGD60" s="484"/>
      <c r="OGE60" s="484"/>
      <c r="OGF60" s="484"/>
      <c r="OGG60" s="484"/>
      <c r="OGH60" s="484"/>
      <c r="OGI60" s="484"/>
      <c r="OGJ60" s="484"/>
      <c r="OGK60" s="484"/>
      <c r="OGL60" s="484"/>
      <c r="OGM60" s="484"/>
      <c r="OGN60" s="484"/>
      <c r="OGO60" s="484"/>
      <c r="OGP60" s="484"/>
      <c r="OGQ60" s="484"/>
      <c r="OGR60" s="484"/>
      <c r="OGS60" s="484"/>
      <c r="OGT60" s="484"/>
      <c r="OGU60" s="484"/>
      <c r="OGV60" s="484"/>
      <c r="OGW60" s="484"/>
      <c r="OGX60" s="484"/>
      <c r="OGY60" s="484"/>
      <c r="OGZ60" s="484"/>
      <c r="OHA60" s="484"/>
      <c r="OHB60" s="484"/>
      <c r="OHC60" s="484"/>
      <c r="OHD60" s="484"/>
      <c r="OHE60" s="484"/>
      <c r="OHF60" s="484"/>
      <c r="OHG60" s="484"/>
      <c r="OHH60" s="484"/>
      <c r="OHI60" s="484"/>
      <c r="OHJ60" s="484"/>
      <c r="OHK60" s="484"/>
      <c r="OHL60" s="484"/>
      <c r="OHM60" s="484"/>
      <c r="OHN60" s="484"/>
      <c r="OHO60" s="484"/>
      <c r="OHP60" s="484"/>
      <c r="OHQ60" s="484"/>
      <c r="OHR60" s="484"/>
      <c r="OHS60" s="484"/>
      <c r="OHT60" s="484"/>
      <c r="OHU60" s="484"/>
      <c r="OHV60" s="484"/>
      <c r="OHW60" s="484"/>
      <c r="OHX60" s="484"/>
      <c r="OHY60" s="484"/>
      <c r="OHZ60" s="484"/>
      <c r="OIA60" s="484"/>
      <c r="OIB60" s="484"/>
      <c r="OIC60" s="484"/>
      <c r="OID60" s="484"/>
      <c r="OIE60" s="484"/>
      <c r="OIF60" s="484"/>
      <c r="OIG60" s="484"/>
      <c r="OIH60" s="484"/>
      <c r="OII60" s="484"/>
      <c r="OIJ60" s="484"/>
      <c r="OIK60" s="484"/>
      <c r="OIL60" s="484"/>
      <c r="OIM60" s="484"/>
      <c r="OIN60" s="484"/>
      <c r="OIO60" s="484"/>
      <c r="OIP60" s="484"/>
      <c r="OIQ60" s="484"/>
      <c r="OIR60" s="484"/>
      <c r="OIS60" s="484"/>
      <c r="OIT60" s="484"/>
      <c r="OIU60" s="484"/>
      <c r="OIV60" s="484"/>
      <c r="OIW60" s="484"/>
      <c r="OIX60" s="484"/>
      <c r="OIY60" s="484"/>
      <c r="OIZ60" s="484"/>
      <c r="OJA60" s="484"/>
      <c r="OJB60" s="484"/>
      <c r="OJC60" s="484"/>
      <c r="OJD60" s="484"/>
      <c r="OJE60" s="484"/>
      <c r="OJF60" s="484"/>
      <c r="OJG60" s="484"/>
      <c r="OJH60" s="484"/>
      <c r="OJI60" s="484"/>
      <c r="OJJ60" s="484"/>
      <c r="OJK60" s="484"/>
      <c r="OJL60" s="484"/>
      <c r="OJM60" s="484"/>
      <c r="OJN60" s="484"/>
      <c r="OJO60" s="484"/>
      <c r="OJP60" s="484"/>
      <c r="OJQ60" s="484"/>
      <c r="OJR60" s="484"/>
      <c r="OJS60" s="484"/>
      <c r="OJT60" s="484"/>
      <c r="OJU60" s="484"/>
      <c r="OJV60" s="484"/>
      <c r="OJW60" s="484"/>
      <c r="OJX60" s="484"/>
      <c r="OJY60" s="484"/>
      <c r="OJZ60" s="484"/>
      <c r="OKA60" s="484"/>
      <c r="OKB60" s="484"/>
      <c r="OKC60" s="484"/>
      <c r="OKD60" s="484"/>
      <c r="OKE60" s="484"/>
      <c r="OKF60" s="484"/>
      <c r="OKG60" s="484"/>
      <c r="OKH60" s="484"/>
      <c r="OKI60" s="484"/>
      <c r="OKJ60" s="484"/>
      <c r="OKK60" s="484"/>
      <c r="OKL60" s="484"/>
      <c r="OKM60" s="484"/>
      <c r="OKN60" s="484"/>
      <c r="OKO60" s="484"/>
      <c r="OKP60" s="484"/>
      <c r="OKQ60" s="484"/>
      <c r="OKR60" s="484"/>
      <c r="OKS60" s="484"/>
      <c r="OKT60" s="484"/>
      <c r="OKU60" s="484"/>
      <c r="OKV60" s="484"/>
      <c r="OKW60" s="484"/>
      <c r="OKX60" s="484"/>
      <c r="OKY60" s="484"/>
      <c r="OKZ60" s="484"/>
      <c r="OLA60" s="484"/>
      <c r="OLB60" s="484"/>
      <c r="OLC60" s="484"/>
      <c r="OLD60" s="484"/>
      <c r="OLE60" s="484"/>
      <c r="OLF60" s="484"/>
      <c r="OLG60" s="484"/>
      <c r="OLH60" s="484"/>
      <c r="OLI60" s="484"/>
      <c r="OLJ60" s="484"/>
      <c r="OLK60" s="484"/>
      <c r="OLL60" s="484"/>
      <c r="OLM60" s="484"/>
      <c r="OLN60" s="484"/>
      <c r="OLO60" s="484"/>
      <c r="OLP60" s="484"/>
      <c r="OLQ60" s="484"/>
      <c r="OLR60" s="484"/>
      <c r="OLS60" s="484"/>
      <c r="OLT60" s="484"/>
      <c r="OLU60" s="484"/>
      <c r="OLV60" s="484"/>
      <c r="OLW60" s="484"/>
      <c r="OLX60" s="484"/>
      <c r="OLY60" s="484"/>
      <c r="OLZ60" s="484"/>
      <c r="OMA60" s="484"/>
      <c r="OMB60" s="484"/>
      <c r="OMC60" s="484"/>
      <c r="OMD60" s="484"/>
      <c r="OME60" s="484"/>
      <c r="OMF60" s="484"/>
      <c r="OMG60" s="484"/>
      <c r="OMH60" s="484"/>
      <c r="OMI60" s="484"/>
      <c r="OMJ60" s="484"/>
      <c r="OMK60" s="484"/>
      <c r="OML60" s="484"/>
      <c r="OMM60" s="484"/>
      <c r="OMN60" s="484"/>
      <c r="OMO60" s="484"/>
      <c r="OMP60" s="484"/>
      <c r="OMQ60" s="484"/>
      <c r="OMR60" s="484"/>
      <c r="OMS60" s="484"/>
      <c r="OMT60" s="484"/>
      <c r="OMU60" s="484"/>
      <c r="OMV60" s="484"/>
      <c r="OMW60" s="484"/>
      <c r="OMX60" s="484"/>
      <c r="OMY60" s="484"/>
      <c r="OMZ60" s="484"/>
      <c r="ONA60" s="484"/>
      <c r="ONB60" s="484"/>
      <c r="ONC60" s="484"/>
      <c r="OND60" s="484"/>
      <c r="ONE60" s="484"/>
      <c r="ONF60" s="484"/>
      <c r="ONG60" s="484"/>
      <c r="ONH60" s="484"/>
      <c r="ONI60" s="484"/>
      <c r="ONJ60" s="484"/>
      <c r="ONK60" s="484"/>
      <c r="ONL60" s="484"/>
      <c r="ONM60" s="484"/>
      <c r="ONN60" s="484"/>
      <c r="ONO60" s="484"/>
      <c r="ONP60" s="484"/>
      <c r="ONQ60" s="484"/>
      <c r="ONR60" s="484"/>
      <c r="ONS60" s="484"/>
      <c r="ONT60" s="484"/>
      <c r="ONU60" s="484"/>
      <c r="ONV60" s="484"/>
      <c r="ONW60" s="484"/>
      <c r="ONX60" s="484"/>
      <c r="ONY60" s="484"/>
      <c r="ONZ60" s="484"/>
      <c r="OOA60" s="484"/>
      <c r="OOB60" s="484"/>
      <c r="OOC60" s="484"/>
      <c r="OOD60" s="484"/>
      <c r="OOE60" s="484"/>
      <c r="OOF60" s="484"/>
      <c r="OOG60" s="484"/>
      <c r="OOH60" s="484"/>
      <c r="OOI60" s="484"/>
      <c r="OOJ60" s="484"/>
      <c r="OOK60" s="484"/>
      <c r="OOL60" s="484"/>
      <c r="OOM60" s="484"/>
      <c r="OON60" s="484"/>
      <c r="OOO60" s="484"/>
      <c r="OOP60" s="484"/>
      <c r="OOQ60" s="484"/>
      <c r="OOR60" s="484"/>
      <c r="OOS60" s="484"/>
      <c r="OOT60" s="484"/>
      <c r="OOU60" s="484"/>
      <c r="OOV60" s="484"/>
      <c r="OOW60" s="484"/>
      <c r="OOX60" s="484"/>
      <c r="OOY60" s="484"/>
      <c r="OOZ60" s="484"/>
      <c r="OPA60" s="484"/>
      <c r="OPB60" s="484"/>
      <c r="OPC60" s="484"/>
      <c r="OPD60" s="484"/>
      <c r="OPE60" s="484"/>
      <c r="OPF60" s="484"/>
      <c r="OPG60" s="484"/>
      <c r="OPH60" s="484"/>
      <c r="OPI60" s="484"/>
      <c r="OPJ60" s="484"/>
      <c r="OPK60" s="484"/>
      <c r="OPL60" s="484"/>
      <c r="OPM60" s="484"/>
      <c r="OPN60" s="484"/>
      <c r="OPO60" s="484"/>
      <c r="OPP60" s="484"/>
      <c r="OPQ60" s="484"/>
      <c r="OPR60" s="484"/>
      <c r="OPS60" s="484"/>
      <c r="OPT60" s="484"/>
      <c r="OPU60" s="484"/>
      <c r="OPV60" s="484"/>
      <c r="OPW60" s="484"/>
      <c r="OPX60" s="484"/>
      <c r="OPY60" s="484"/>
      <c r="OPZ60" s="484"/>
      <c r="OQA60" s="484"/>
      <c r="OQB60" s="484"/>
      <c r="OQC60" s="484"/>
      <c r="OQD60" s="484"/>
      <c r="OQE60" s="484"/>
      <c r="OQF60" s="484"/>
      <c r="OQG60" s="484"/>
      <c r="OQH60" s="484"/>
      <c r="OQI60" s="484"/>
      <c r="OQJ60" s="484"/>
      <c r="OQK60" s="484"/>
      <c r="OQL60" s="484"/>
      <c r="OQM60" s="484"/>
      <c r="OQN60" s="484"/>
      <c r="OQO60" s="484"/>
      <c r="OQP60" s="484"/>
      <c r="OQQ60" s="484"/>
      <c r="OQR60" s="484"/>
      <c r="OQS60" s="484"/>
      <c r="OQT60" s="484"/>
      <c r="OQU60" s="484"/>
      <c r="OQV60" s="484"/>
      <c r="OQW60" s="484"/>
      <c r="OQX60" s="484"/>
      <c r="OQY60" s="484"/>
      <c r="OQZ60" s="484"/>
      <c r="ORA60" s="484"/>
      <c r="ORB60" s="484"/>
      <c r="ORC60" s="484"/>
      <c r="ORD60" s="484"/>
      <c r="ORE60" s="484"/>
      <c r="ORF60" s="484"/>
      <c r="ORG60" s="484"/>
      <c r="ORH60" s="484"/>
      <c r="ORI60" s="484"/>
      <c r="ORJ60" s="484"/>
      <c r="ORK60" s="484"/>
      <c r="ORL60" s="484"/>
      <c r="ORM60" s="484"/>
      <c r="ORN60" s="484"/>
      <c r="ORO60" s="484"/>
      <c r="ORP60" s="484"/>
      <c r="ORQ60" s="484"/>
      <c r="ORR60" s="484"/>
      <c r="ORS60" s="484"/>
      <c r="ORT60" s="484"/>
      <c r="ORU60" s="484"/>
      <c r="ORV60" s="484"/>
      <c r="ORW60" s="484"/>
      <c r="ORX60" s="484"/>
      <c r="ORY60" s="484"/>
      <c r="ORZ60" s="484"/>
      <c r="OSA60" s="484"/>
      <c r="OSB60" s="484"/>
      <c r="OSC60" s="484"/>
      <c r="OSD60" s="484"/>
      <c r="OSE60" s="484"/>
      <c r="OSF60" s="484"/>
      <c r="OSG60" s="484"/>
      <c r="OSH60" s="484"/>
      <c r="OSI60" s="484"/>
      <c r="OSJ60" s="484"/>
      <c r="OSK60" s="484"/>
      <c r="OSL60" s="484"/>
      <c r="OSM60" s="484"/>
      <c r="OSN60" s="484"/>
      <c r="OSO60" s="484"/>
      <c r="OSP60" s="484"/>
      <c r="OSQ60" s="484"/>
      <c r="OSR60" s="484"/>
      <c r="OSS60" s="484"/>
      <c r="OST60" s="484"/>
      <c r="OSU60" s="484"/>
      <c r="OSV60" s="484"/>
      <c r="OSW60" s="484"/>
      <c r="OSX60" s="484"/>
      <c r="OSY60" s="484"/>
      <c r="OSZ60" s="484"/>
      <c r="OTA60" s="484"/>
      <c r="OTB60" s="484"/>
      <c r="OTC60" s="484"/>
      <c r="OTD60" s="484"/>
      <c r="OTE60" s="484"/>
      <c r="OTF60" s="484"/>
      <c r="OTG60" s="484"/>
      <c r="OTH60" s="484"/>
      <c r="OTI60" s="484"/>
      <c r="OTJ60" s="484"/>
      <c r="OTK60" s="484"/>
      <c r="OTL60" s="484"/>
      <c r="OTM60" s="484"/>
      <c r="OTN60" s="484"/>
      <c r="OTO60" s="484"/>
      <c r="OTP60" s="484"/>
      <c r="OTQ60" s="484"/>
      <c r="OTR60" s="484"/>
      <c r="OTS60" s="484"/>
      <c r="OTT60" s="484"/>
      <c r="OTU60" s="484"/>
      <c r="OTV60" s="484"/>
      <c r="OTW60" s="484"/>
      <c r="OTX60" s="484"/>
      <c r="OTY60" s="484"/>
      <c r="OTZ60" s="484"/>
      <c r="OUA60" s="484"/>
      <c r="OUB60" s="484"/>
      <c r="OUC60" s="484"/>
      <c r="OUD60" s="484"/>
      <c r="OUE60" s="484"/>
      <c r="OUF60" s="484"/>
      <c r="OUG60" s="484"/>
      <c r="OUH60" s="484"/>
      <c r="OUI60" s="484"/>
      <c r="OUJ60" s="484"/>
      <c r="OUK60" s="484"/>
      <c r="OUL60" s="484"/>
      <c r="OUM60" s="484"/>
      <c r="OUN60" s="484"/>
      <c r="OUO60" s="484"/>
      <c r="OUP60" s="484"/>
      <c r="OUQ60" s="484"/>
      <c r="OUR60" s="484"/>
      <c r="OUS60" s="484"/>
      <c r="OUT60" s="484"/>
      <c r="OUU60" s="484"/>
      <c r="OUV60" s="484"/>
      <c r="OUW60" s="484"/>
      <c r="OUX60" s="484"/>
      <c r="OUY60" s="484"/>
      <c r="OUZ60" s="484"/>
      <c r="OVA60" s="484"/>
      <c r="OVB60" s="484"/>
      <c r="OVC60" s="484"/>
      <c r="OVD60" s="484"/>
      <c r="OVE60" s="484"/>
      <c r="OVF60" s="484"/>
      <c r="OVG60" s="484"/>
      <c r="OVH60" s="484"/>
      <c r="OVI60" s="484"/>
      <c r="OVJ60" s="484"/>
      <c r="OVK60" s="484"/>
      <c r="OVL60" s="484"/>
      <c r="OVM60" s="484"/>
      <c r="OVN60" s="484"/>
      <c r="OVO60" s="484"/>
      <c r="OVP60" s="484"/>
      <c r="OVQ60" s="484"/>
      <c r="OVR60" s="484"/>
      <c r="OVS60" s="484"/>
      <c r="OVT60" s="484"/>
      <c r="OVU60" s="484"/>
      <c r="OVV60" s="484"/>
      <c r="OVW60" s="484"/>
      <c r="OVX60" s="484"/>
      <c r="OVY60" s="484"/>
      <c r="OVZ60" s="484"/>
      <c r="OWA60" s="484"/>
      <c r="OWB60" s="484"/>
      <c r="OWC60" s="484"/>
      <c r="OWD60" s="484"/>
      <c r="OWE60" s="484"/>
      <c r="OWF60" s="484"/>
      <c r="OWG60" s="484"/>
      <c r="OWH60" s="484"/>
      <c r="OWI60" s="484"/>
      <c r="OWJ60" s="484"/>
      <c r="OWK60" s="484"/>
      <c r="OWL60" s="484"/>
      <c r="OWM60" s="484"/>
      <c r="OWN60" s="484"/>
      <c r="OWO60" s="484"/>
      <c r="OWP60" s="484"/>
      <c r="OWQ60" s="484"/>
      <c r="OWR60" s="484"/>
      <c r="OWS60" s="484"/>
      <c r="OWT60" s="484"/>
      <c r="OWU60" s="484"/>
      <c r="OWV60" s="484"/>
      <c r="OWW60" s="484"/>
      <c r="OWX60" s="484"/>
      <c r="OWY60" s="484"/>
      <c r="OWZ60" s="484"/>
      <c r="OXA60" s="484"/>
      <c r="OXB60" s="484"/>
      <c r="OXC60" s="484"/>
      <c r="OXD60" s="484"/>
      <c r="OXE60" s="484"/>
      <c r="OXF60" s="484"/>
      <c r="OXG60" s="484"/>
      <c r="OXH60" s="484"/>
      <c r="OXI60" s="484"/>
      <c r="OXJ60" s="484"/>
      <c r="OXK60" s="484"/>
      <c r="OXL60" s="484"/>
      <c r="OXM60" s="484"/>
      <c r="OXN60" s="484"/>
      <c r="OXO60" s="484"/>
      <c r="OXP60" s="484"/>
      <c r="OXQ60" s="484"/>
      <c r="OXR60" s="484"/>
      <c r="OXS60" s="484"/>
      <c r="OXT60" s="484"/>
      <c r="OXU60" s="484"/>
      <c r="OXV60" s="484"/>
      <c r="OXW60" s="484"/>
      <c r="OXX60" s="484"/>
      <c r="OXY60" s="484"/>
      <c r="OXZ60" s="484"/>
      <c r="OYA60" s="484"/>
      <c r="OYB60" s="484"/>
      <c r="OYC60" s="484"/>
      <c r="OYD60" s="484"/>
      <c r="OYE60" s="484"/>
      <c r="OYF60" s="484"/>
      <c r="OYG60" s="484"/>
      <c r="OYH60" s="484"/>
      <c r="OYI60" s="484"/>
      <c r="OYJ60" s="484"/>
      <c r="OYK60" s="484"/>
      <c r="OYL60" s="484"/>
      <c r="OYM60" s="484"/>
      <c r="OYN60" s="484"/>
      <c r="OYO60" s="484"/>
      <c r="OYP60" s="484"/>
      <c r="OYQ60" s="484"/>
      <c r="OYR60" s="484"/>
      <c r="OYS60" s="484"/>
      <c r="OYT60" s="484"/>
      <c r="OYU60" s="484"/>
      <c r="OYV60" s="484"/>
      <c r="OYW60" s="484"/>
      <c r="OYX60" s="484"/>
      <c r="OYY60" s="484"/>
      <c r="OYZ60" s="484"/>
      <c r="OZA60" s="484"/>
      <c r="OZB60" s="484"/>
      <c r="OZC60" s="484"/>
      <c r="OZD60" s="484"/>
      <c r="OZE60" s="484"/>
      <c r="OZF60" s="484"/>
      <c r="OZG60" s="484"/>
      <c r="OZH60" s="484"/>
      <c r="OZI60" s="484"/>
      <c r="OZJ60" s="484"/>
      <c r="OZK60" s="484"/>
      <c r="OZL60" s="484"/>
      <c r="OZM60" s="484"/>
      <c r="OZN60" s="484"/>
      <c r="OZO60" s="484"/>
      <c r="OZP60" s="484"/>
      <c r="OZQ60" s="484"/>
      <c r="OZR60" s="484"/>
      <c r="OZS60" s="484"/>
      <c r="OZT60" s="484"/>
      <c r="OZU60" s="484"/>
      <c r="OZV60" s="484"/>
      <c r="OZW60" s="484"/>
      <c r="OZX60" s="484"/>
      <c r="OZY60" s="484"/>
      <c r="OZZ60" s="484"/>
      <c r="PAA60" s="484"/>
      <c r="PAB60" s="484"/>
      <c r="PAC60" s="484"/>
      <c r="PAD60" s="484"/>
      <c r="PAE60" s="484"/>
      <c r="PAF60" s="484"/>
      <c r="PAG60" s="484"/>
      <c r="PAH60" s="484"/>
      <c r="PAI60" s="484"/>
      <c r="PAJ60" s="484"/>
      <c r="PAK60" s="484"/>
      <c r="PAL60" s="484"/>
      <c r="PAM60" s="484"/>
      <c r="PAN60" s="484"/>
      <c r="PAO60" s="484"/>
      <c r="PAP60" s="484"/>
      <c r="PAQ60" s="484"/>
      <c r="PAR60" s="484"/>
      <c r="PAS60" s="484"/>
      <c r="PAT60" s="484"/>
      <c r="PAU60" s="484"/>
      <c r="PAV60" s="484"/>
      <c r="PAW60" s="484"/>
      <c r="PAX60" s="484"/>
      <c r="PAY60" s="484"/>
      <c r="PAZ60" s="484"/>
      <c r="PBA60" s="484"/>
      <c r="PBB60" s="484"/>
      <c r="PBC60" s="484"/>
      <c r="PBD60" s="484"/>
      <c r="PBE60" s="484"/>
      <c r="PBF60" s="484"/>
      <c r="PBG60" s="484"/>
      <c r="PBH60" s="484"/>
      <c r="PBI60" s="484"/>
      <c r="PBJ60" s="484"/>
      <c r="PBK60" s="484"/>
      <c r="PBL60" s="484"/>
      <c r="PBM60" s="484"/>
      <c r="PBN60" s="484"/>
      <c r="PBO60" s="484"/>
      <c r="PBP60" s="484"/>
      <c r="PBQ60" s="484"/>
      <c r="PBR60" s="484"/>
      <c r="PBS60" s="484"/>
      <c r="PBT60" s="484"/>
      <c r="PBU60" s="484"/>
      <c r="PBV60" s="484"/>
      <c r="PBW60" s="484"/>
      <c r="PBX60" s="484"/>
      <c r="PBY60" s="484"/>
      <c r="PBZ60" s="484"/>
      <c r="PCA60" s="484"/>
      <c r="PCB60" s="484"/>
      <c r="PCC60" s="484"/>
      <c r="PCD60" s="484"/>
      <c r="PCE60" s="484"/>
      <c r="PCF60" s="484"/>
      <c r="PCG60" s="484"/>
      <c r="PCH60" s="484"/>
      <c r="PCI60" s="484"/>
      <c r="PCJ60" s="484"/>
      <c r="PCK60" s="484"/>
      <c r="PCL60" s="484"/>
      <c r="PCM60" s="484"/>
      <c r="PCN60" s="484"/>
      <c r="PCO60" s="484"/>
      <c r="PCP60" s="484"/>
      <c r="PCQ60" s="484"/>
      <c r="PCR60" s="484"/>
      <c r="PCS60" s="484"/>
      <c r="PCT60" s="484"/>
      <c r="PCU60" s="484"/>
      <c r="PCV60" s="484"/>
      <c r="PCW60" s="484"/>
      <c r="PCX60" s="484"/>
      <c r="PCY60" s="484"/>
      <c r="PCZ60" s="484"/>
      <c r="PDA60" s="484"/>
      <c r="PDB60" s="484"/>
      <c r="PDC60" s="484"/>
      <c r="PDD60" s="484"/>
      <c r="PDE60" s="484"/>
      <c r="PDF60" s="484"/>
      <c r="PDG60" s="484"/>
      <c r="PDH60" s="484"/>
      <c r="PDI60" s="484"/>
      <c r="PDJ60" s="484"/>
      <c r="PDK60" s="484"/>
      <c r="PDL60" s="484"/>
      <c r="PDM60" s="484"/>
      <c r="PDN60" s="484"/>
      <c r="PDO60" s="484"/>
      <c r="PDP60" s="484"/>
      <c r="PDQ60" s="484"/>
      <c r="PDR60" s="484"/>
      <c r="PDS60" s="484"/>
      <c r="PDT60" s="484"/>
      <c r="PDU60" s="484"/>
      <c r="PDV60" s="484"/>
      <c r="PDW60" s="484"/>
      <c r="PDX60" s="484"/>
      <c r="PDY60" s="484"/>
      <c r="PDZ60" s="484"/>
      <c r="PEA60" s="484"/>
      <c r="PEB60" s="484"/>
      <c r="PEC60" s="484"/>
      <c r="PED60" s="484"/>
      <c r="PEE60" s="484"/>
      <c r="PEF60" s="484"/>
      <c r="PEG60" s="484"/>
      <c r="PEH60" s="484"/>
      <c r="PEI60" s="484"/>
      <c r="PEJ60" s="484"/>
      <c r="PEK60" s="484"/>
      <c r="PEL60" s="484"/>
      <c r="PEM60" s="484"/>
      <c r="PEN60" s="484"/>
      <c r="PEO60" s="484"/>
      <c r="PEP60" s="484"/>
      <c r="PEQ60" s="484"/>
      <c r="PER60" s="484"/>
      <c r="PES60" s="484"/>
      <c r="PET60" s="484"/>
      <c r="PEU60" s="484"/>
      <c r="PEV60" s="484"/>
      <c r="PEW60" s="484"/>
      <c r="PEX60" s="484"/>
      <c r="PEY60" s="484"/>
      <c r="PEZ60" s="484"/>
      <c r="PFA60" s="484"/>
      <c r="PFB60" s="484"/>
      <c r="PFC60" s="484"/>
      <c r="PFD60" s="484"/>
      <c r="PFE60" s="484"/>
      <c r="PFF60" s="484"/>
      <c r="PFG60" s="484"/>
      <c r="PFH60" s="484"/>
      <c r="PFI60" s="484"/>
      <c r="PFJ60" s="484"/>
      <c r="PFK60" s="484"/>
      <c r="PFL60" s="484"/>
      <c r="PFM60" s="484"/>
      <c r="PFN60" s="484"/>
      <c r="PFO60" s="484"/>
      <c r="PFP60" s="484"/>
      <c r="PFQ60" s="484"/>
      <c r="PFR60" s="484"/>
      <c r="PFS60" s="484"/>
      <c r="PFT60" s="484"/>
      <c r="PFU60" s="484"/>
      <c r="PFV60" s="484"/>
      <c r="PFW60" s="484"/>
      <c r="PFX60" s="484"/>
      <c r="PFY60" s="484"/>
      <c r="PFZ60" s="484"/>
      <c r="PGA60" s="484"/>
      <c r="PGB60" s="484"/>
      <c r="PGC60" s="484"/>
      <c r="PGD60" s="484"/>
      <c r="PGE60" s="484"/>
      <c r="PGF60" s="484"/>
      <c r="PGG60" s="484"/>
      <c r="PGH60" s="484"/>
      <c r="PGI60" s="484"/>
      <c r="PGJ60" s="484"/>
      <c r="PGK60" s="484"/>
      <c r="PGL60" s="484"/>
      <c r="PGM60" s="484"/>
      <c r="PGN60" s="484"/>
      <c r="PGO60" s="484"/>
      <c r="PGP60" s="484"/>
      <c r="PGQ60" s="484"/>
      <c r="PGR60" s="484"/>
      <c r="PGS60" s="484"/>
      <c r="PGT60" s="484"/>
      <c r="PGU60" s="484"/>
      <c r="PGV60" s="484"/>
      <c r="PGW60" s="484"/>
      <c r="PGX60" s="484"/>
      <c r="PGY60" s="484"/>
      <c r="PGZ60" s="484"/>
      <c r="PHA60" s="484"/>
      <c r="PHB60" s="484"/>
      <c r="PHC60" s="484"/>
      <c r="PHD60" s="484"/>
      <c r="PHE60" s="484"/>
      <c r="PHF60" s="484"/>
      <c r="PHG60" s="484"/>
      <c r="PHH60" s="484"/>
      <c r="PHI60" s="484"/>
      <c r="PHJ60" s="484"/>
      <c r="PHK60" s="484"/>
      <c r="PHL60" s="484"/>
      <c r="PHM60" s="484"/>
      <c r="PHN60" s="484"/>
      <c r="PHO60" s="484"/>
      <c r="PHP60" s="484"/>
      <c r="PHQ60" s="484"/>
      <c r="PHR60" s="484"/>
      <c r="PHS60" s="484"/>
      <c r="PHT60" s="484"/>
      <c r="PHU60" s="484"/>
      <c r="PHV60" s="484"/>
      <c r="PHW60" s="484"/>
      <c r="PHX60" s="484"/>
      <c r="PHY60" s="484"/>
      <c r="PHZ60" s="484"/>
      <c r="PIA60" s="484"/>
      <c r="PIB60" s="484"/>
      <c r="PIC60" s="484"/>
      <c r="PID60" s="484"/>
      <c r="PIE60" s="484"/>
      <c r="PIF60" s="484"/>
      <c r="PIG60" s="484"/>
      <c r="PIH60" s="484"/>
      <c r="PII60" s="484"/>
      <c r="PIJ60" s="484"/>
      <c r="PIK60" s="484"/>
      <c r="PIL60" s="484"/>
      <c r="PIM60" s="484"/>
      <c r="PIN60" s="484"/>
      <c r="PIO60" s="484"/>
      <c r="PIP60" s="484"/>
      <c r="PIQ60" s="484"/>
      <c r="PIR60" s="484"/>
      <c r="PIS60" s="484"/>
      <c r="PIT60" s="484"/>
      <c r="PIU60" s="484"/>
      <c r="PIV60" s="484"/>
      <c r="PIW60" s="484"/>
      <c r="PIX60" s="484"/>
      <c r="PIY60" s="484"/>
      <c r="PIZ60" s="484"/>
      <c r="PJA60" s="484"/>
      <c r="PJB60" s="484"/>
      <c r="PJC60" s="484"/>
      <c r="PJD60" s="484"/>
      <c r="PJE60" s="484"/>
      <c r="PJF60" s="484"/>
      <c r="PJG60" s="484"/>
      <c r="PJH60" s="484"/>
      <c r="PJI60" s="484"/>
      <c r="PJJ60" s="484"/>
      <c r="PJK60" s="484"/>
      <c r="PJL60" s="484"/>
      <c r="PJM60" s="484"/>
      <c r="PJN60" s="484"/>
      <c r="PJO60" s="484"/>
      <c r="PJP60" s="484"/>
      <c r="PJQ60" s="484"/>
      <c r="PJR60" s="484"/>
      <c r="PJS60" s="484"/>
      <c r="PJT60" s="484"/>
      <c r="PJU60" s="484"/>
      <c r="PJV60" s="484"/>
      <c r="PJW60" s="484"/>
      <c r="PJX60" s="484"/>
      <c r="PJY60" s="484"/>
      <c r="PJZ60" s="484"/>
      <c r="PKA60" s="484"/>
      <c r="PKB60" s="484"/>
      <c r="PKC60" s="484"/>
      <c r="PKD60" s="484"/>
      <c r="PKE60" s="484"/>
      <c r="PKF60" s="484"/>
      <c r="PKG60" s="484"/>
      <c r="PKH60" s="484"/>
      <c r="PKI60" s="484"/>
      <c r="PKJ60" s="484"/>
      <c r="PKK60" s="484"/>
      <c r="PKL60" s="484"/>
      <c r="PKM60" s="484"/>
      <c r="PKN60" s="484"/>
      <c r="PKO60" s="484"/>
      <c r="PKP60" s="484"/>
      <c r="PKQ60" s="484"/>
      <c r="PKR60" s="484"/>
      <c r="PKS60" s="484"/>
      <c r="PKT60" s="484"/>
      <c r="PKU60" s="484"/>
      <c r="PKV60" s="484"/>
      <c r="PKW60" s="484"/>
      <c r="PKX60" s="484"/>
      <c r="PKY60" s="484"/>
      <c r="PKZ60" s="484"/>
      <c r="PLA60" s="484"/>
      <c r="PLB60" s="484"/>
      <c r="PLC60" s="484"/>
      <c r="PLD60" s="484"/>
      <c r="PLE60" s="484"/>
      <c r="PLF60" s="484"/>
      <c r="PLG60" s="484"/>
      <c r="PLH60" s="484"/>
      <c r="PLI60" s="484"/>
      <c r="PLJ60" s="484"/>
      <c r="PLK60" s="484"/>
      <c r="PLL60" s="484"/>
      <c r="PLM60" s="484"/>
      <c r="PLN60" s="484"/>
      <c r="PLO60" s="484"/>
      <c r="PLP60" s="484"/>
      <c r="PLQ60" s="484"/>
      <c r="PLR60" s="484"/>
      <c r="PLS60" s="484"/>
      <c r="PLT60" s="484"/>
      <c r="PLU60" s="484"/>
      <c r="PLV60" s="484"/>
      <c r="PLW60" s="484"/>
      <c r="PLX60" s="484"/>
      <c r="PLY60" s="484"/>
      <c r="PLZ60" s="484"/>
      <c r="PMA60" s="484"/>
      <c r="PMB60" s="484"/>
      <c r="PMC60" s="484"/>
      <c r="PMD60" s="484"/>
      <c r="PME60" s="484"/>
      <c r="PMF60" s="484"/>
      <c r="PMG60" s="484"/>
      <c r="PMH60" s="484"/>
      <c r="PMI60" s="484"/>
      <c r="PMJ60" s="484"/>
      <c r="PMK60" s="484"/>
      <c r="PML60" s="484"/>
      <c r="PMM60" s="484"/>
      <c r="PMN60" s="484"/>
      <c r="PMO60" s="484"/>
      <c r="PMP60" s="484"/>
      <c r="PMQ60" s="484"/>
      <c r="PMR60" s="484"/>
      <c r="PMS60" s="484"/>
      <c r="PMT60" s="484"/>
      <c r="PMU60" s="484"/>
      <c r="PMV60" s="484"/>
      <c r="PMW60" s="484"/>
      <c r="PMX60" s="484"/>
      <c r="PMY60" s="484"/>
      <c r="PMZ60" s="484"/>
      <c r="PNA60" s="484"/>
      <c r="PNB60" s="484"/>
      <c r="PNC60" s="484"/>
      <c r="PND60" s="484"/>
      <c r="PNE60" s="484"/>
      <c r="PNF60" s="484"/>
      <c r="PNG60" s="484"/>
      <c r="PNH60" s="484"/>
      <c r="PNI60" s="484"/>
      <c r="PNJ60" s="484"/>
      <c r="PNK60" s="484"/>
      <c r="PNL60" s="484"/>
      <c r="PNM60" s="484"/>
      <c r="PNN60" s="484"/>
      <c r="PNO60" s="484"/>
      <c r="PNP60" s="484"/>
      <c r="PNQ60" s="484"/>
      <c r="PNR60" s="484"/>
      <c r="PNS60" s="484"/>
      <c r="PNT60" s="484"/>
      <c r="PNU60" s="484"/>
      <c r="PNV60" s="484"/>
      <c r="PNW60" s="484"/>
      <c r="PNX60" s="484"/>
      <c r="PNY60" s="484"/>
      <c r="PNZ60" s="484"/>
      <c r="POA60" s="484"/>
      <c r="POB60" s="484"/>
      <c r="POC60" s="484"/>
      <c r="POD60" s="484"/>
      <c r="POE60" s="484"/>
      <c r="POF60" s="484"/>
      <c r="POG60" s="484"/>
      <c r="POH60" s="484"/>
      <c r="POI60" s="484"/>
      <c r="POJ60" s="484"/>
      <c r="POK60" s="484"/>
      <c r="POL60" s="484"/>
      <c r="POM60" s="484"/>
      <c r="PON60" s="484"/>
      <c r="POO60" s="484"/>
      <c r="POP60" s="484"/>
      <c r="POQ60" s="484"/>
      <c r="POR60" s="484"/>
      <c r="POS60" s="484"/>
      <c r="POT60" s="484"/>
      <c r="POU60" s="484"/>
      <c r="POV60" s="484"/>
      <c r="POW60" s="484"/>
      <c r="POX60" s="484"/>
      <c r="POY60" s="484"/>
      <c r="POZ60" s="484"/>
      <c r="PPA60" s="484"/>
      <c r="PPB60" s="484"/>
      <c r="PPC60" s="484"/>
      <c r="PPD60" s="484"/>
      <c r="PPE60" s="484"/>
      <c r="PPF60" s="484"/>
      <c r="PPG60" s="484"/>
      <c r="PPH60" s="484"/>
      <c r="PPI60" s="484"/>
      <c r="PPJ60" s="484"/>
      <c r="PPK60" s="484"/>
      <c r="PPL60" s="484"/>
      <c r="PPM60" s="484"/>
      <c r="PPN60" s="484"/>
      <c r="PPO60" s="484"/>
      <c r="PPP60" s="484"/>
      <c r="PPQ60" s="484"/>
      <c r="PPR60" s="484"/>
      <c r="PPS60" s="484"/>
      <c r="PPT60" s="484"/>
      <c r="PPU60" s="484"/>
      <c r="PPV60" s="484"/>
      <c r="PPW60" s="484"/>
      <c r="PPX60" s="484"/>
      <c r="PPY60" s="484"/>
      <c r="PPZ60" s="484"/>
      <c r="PQA60" s="484"/>
      <c r="PQB60" s="484"/>
      <c r="PQC60" s="484"/>
      <c r="PQD60" s="484"/>
      <c r="PQE60" s="484"/>
      <c r="PQF60" s="484"/>
      <c r="PQG60" s="484"/>
      <c r="PQH60" s="484"/>
      <c r="PQI60" s="484"/>
      <c r="PQJ60" s="484"/>
      <c r="PQK60" s="484"/>
      <c r="PQL60" s="484"/>
      <c r="PQM60" s="484"/>
      <c r="PQN60" s="484"/>
      <c r="PQO60" s="484"/>
      <c r="PQP60" s="484"/>
      <c r="PQQ60" s="484"/>
      <c r="PQR60" s="484"/>
      <c r="PQS60" s="484"/>
      <c r="PQT60" s="484"/>
      <c r="PQU60" s="484"/>
      <c r="PQV60" s="484"/>
      <c r="PQW60" s="484"/>
      <c r="PQX60" s="484"/>
      <c r="PQY60" s="484"/>
      <c r="PQZ60" s="484"/>
      <c r="PRA60" s="484"/>
      <c r="PRB60" s="484"/>
      <c r="PRC60" s="484"/>
      <c r="PRD60" s="484"/>
      <c r="PRE60" s="484"/>
      <c r="PRF60" s="484"/>
      <c r="PRG60" s="484"/>
      <c r="PRH60" s="484"/>
      <c r="PRI60" s="484"/>
      <c r="PRJ60" s="484"/>
      <c r="PRK60" s="484"/>
      <c r="PRL60" s="484"/>
      <c r="PRM60" s="484"/>
      <c r="PRN60" s="484"/>
      <c r="PRO60" s="484"/>
      <c r="PRP60" s="484"/>
      <c r="PRQ60" s="484"/>
      <c r="PRR60" s="484"/>
      <c r="PRS60" s="484"/>
      <c r="PRT60" s="484"/>
      <c r="PRU60" s="484"/>
      <c r="PRV60" s="484"/>
      <c r="PRW60" s="484"/>
      <c r="PRX60" s="484"/>
      <c r="PRY60" s="484"/>
      <c r="PRZ60" s="484"/>
      <c r="PSA60" s="484"/>
      <c r="PSB60" s="484"/>
      <c r="PSC60" s="484"/>
      <c r="PSD60" s="484"/>
      <c r="PSE60" s="484"/>
      <c r="PSF60" s="484"/>
      <c r="PSG60" s="484"/>
      <c r="PSH60" s="484"/>
      <c r="PSI60" s="484"/>
      <c r="PSJ60" s="484"/>
      <c r="PSK60" s="484"/>
      <c r="PSL60" s="484"/>
      <c r="PSM60" s="484"/>
      <c r="PSN60" s="484"/>
      <c r="PSO60" s="484"/>
      <c r="PSP60" s="484"/>
      <c r="PSQ60" s="484"/>
      <c r="PSR60" s="484"/>
      <c r="PSS60" s="484"/>
      <c r="PST60" s="484"/>
      <c r="PSU60" s="484"/>
      <c r="PSV60" s="484"/>
      <c r="PSW60" s="484"/>
      <c r="PSX60" s="484"/>
      <c r="PSY60" s="484"/>
      <c r="PSZ60" s="484"/>
      <c r="PTA60" s="484"/>
      <c r="PTB60" s="484"/>
      <c r="PTC60" s="484"/>
      <c r="PTD60" s="484"/>
      <c r="PTE60" s="484"/>
      <c r="PTF60" s="484"/>
      <c r="PTG60" s="484"/>
      <c r="PTH60" s="484"/>
      <c r="PTI60" s="484"/>
      <c r="PTJ60" s="484"/>
      <c r="PTK60" s="484"/>
      <c r="PTL60" s="484"/>
      <c r="PTM60" s="484"/>
      <c r="PTN60" s="484"/>
      <c r="PTO60" s="484"/>
      <c r="PTP60" s="484"/>
      <c r="PTQ60" s="484"/>
      <c r="PTR60" s="484"/>
      <c r="PTS60" s="484"/>
      <c r="PTT60" s="484"/>
      <c r="PTU60" s="484"/>
      <c r="PTV60" s="484"/>
      <c r="PTW60" s="484"/>
      <c r="PTX60" s="484"/>
      <c r="PTY60" s="484"/>
      <c r="PTZ60" s="484"/>
      <c r="PUA60" s="484"/>
      <c r="PUB60" s="484"/>
      <c r="PUC60" s="484"/>
      <c r="PUD60" s="484"/>
      <c r="PUE60" s="484"/>
      <c r="PUF60" s="484"/>
      <c r="PUG60" s="484"/>
      <c r="PUH60" s="484"/>
      <c r="PUI60" s="484"/>
      <c r="PUJ60" s="484"/>
      <c r="PUK60" s="484"/>
      <c r="PUL60" s="484"/>
      <c r="PUM60" s="484"/>
      <c r="PUN60" s="484"/>
      <c r="PUO60" s="484"/>
      <c r="PUP60" s="484"/>
      <c r="PUQ60" s="484"/>
      <c r="PUR60" s="484"/>
      <c r="PUS60" s="484"/>
      <c r="PUT60" s="484"/>
      <c r="PUU60" s="484"/>
      <c r="PUV60" s="484"/>
      <c r="PUW60" s="484"/>
      <c r="PUX60" s="484"/>
      <c r="PUY60" s="484"/>
      <c r="PUZ60" s="484"/>
      <c r="PVA60" s="484"/>
      <c r="PVB60" s="484"/>
      <c r="PVC60" s="484"/>
      <c r="PVD60" s="484"/>
      <c r="PVE60" s="484"/>
      <c r="PVF60" s="484"/>
      <c r="PVG60" s="484"/>
      <c r="PVH60" s="484"/>
      <c r="PVI60" s="484"/>
      <c r="PVJ60" s="484"/>
      <c r="PVK60" s="484"/>
      <c r="PVL60" s="484"/>
      <c r="PVM60" s="484"/>
      <c r="PVN60" s="484"/>
      <c r="PVO60" s="484"/>
      <c r="PVP60" s="484"/>
      <c r="PVQ60" s="484"/>
      <c r="PVR60" s="484"/>
      <c r="PVS60" s="484"/>
      <c r="PVT60" s="484"/>
      <c r="PVU60" s="484"/>
      <c r="PVV60" s="484"/>
      <c r="PVW60" s="484"/>
      <c r="PVX60" s="484"/>
      <c r="PVY60" s="484"/>
      <c r="PVZ60" s="484"/>
      <c r="PWA60" s="484"/>
      <c r="PWB60" s="484"/>
      <c r="PWC60" s="484"/>
      <c r="PWD60" s="484"/>
      <c r="PWE60" s="484"/>
      <c r="PWF60" s="484"/>
      <c r="PWG60" s="484"/>
      <c r="PWH60" s="484"/>
      <c r="PWI60" s="484"/>
      <c r="PWJ60" s="484"/>
      <c r="PWK60" s="484"/>
      <c r="PWL60" s="484"/>
      <c r="PWM60" s="484"/>
      <c r="PWN60" s="484"/>
      <c r="PWO60" s="484"/>
      <c r="PWP60" s="484"/>
      <c r="PWQ60" s="484"/>
      <c r="PWR60" s="484"/>
      <c r="PWS60" s="484"/>
      <c r="PWT60" s="484"/>
      <c r="PWU60" s="484"/>
      <c r="PWV60" s="484"/>
      <c r="PWW60" s="484"/>
      <c r="PWX60" s="484"/>
      <c r="PWY60" s="484"/>
      <c r="PWZ60" s="484"/>
      <c r="PXA60" s="484"/>
      <c r="PXB60" s="484"/>
      <c r="PXC60" s="484"/>
      <c r="PXD60" s="484"/>
      <c r="PXE60" s="484"/>
      <c r="PXF60" s="484"/>
      <c r="PXG60" s="484"/>
      <c r="PXH60" s="484"/>
      <c r="PXI60" s="484"/>
      <c r="PXJ60" s="484"/>
      <c r="PXK60" s="484"/>
      <c r="PXL60" s="484"/>
      <c r="PXM60" s="484"/>
      <c r="PXN60" s="484"/>
      <c r="PXO60" s="484"/>
      <c r="PXP60" s="484"/>
      <c r="PXQ60" s="484"/>
      <c r="PXR60" s="484"/>
      <c r="PXS60" s="484"/>
      <c r="PXT60" s="484"/>
      <c r="PXU60" s="484"/>
      <c r="PXV60" s="484"/>
      <c r="PXW60" s="484"/>
      <c r="PXX60" s="484"/>
      <c r="PXY60" s="484"/>
      <c r="PXZ60" s="484"/>
      <c r="PYA60" s="484"/>
      <c r="PYB60" s="484"/>
      <c r="PYC60" s="484"/>
      <c r="PYD60" s="484"/>
      <c r="PYE60" s="484"/>
      <c r="PYF60" s="484"/>
      <c r="PYG60" s="484"/>
      <c r="PYH60" s="484"/>
      <c r="PYI60" s="484"/>
      <c r="PYJ60" s="484"/>
      <c r="PYK60" s="484"/>
      <c r="PYL60" s="484"/>
      <c r="PYM60" s="484"/>
      <c r="PYN60" s="484"/>
      <c r="PYO60" s="484"/>
      <c r="PYP60" s="484"/>
      <c r="PYQ60" s="484"/>
      <c r="PYR60" s="484"/>
      <c r="PYS60" s="484"/>
      <c r="PYT60" s="484"/>
      <c r="PYU60" s="484"/>
      <c r="PYV60" s="484"/>
      <c r="PYW60" s="484"/>
      <c r="PYX60" s="484"/>
      <c r="PYY60" s="484"/>
      <c r="PYZ60" s="484"/>
      <c r="PZA60" s="484"/>
      <c r="PZB60" s="484"/>
      <c r="PZC60" s="484"/>
      <c r="PZD60" s="484"/>
      <c r="PZE60" s="484"/>
      <c r="PZF60" s="484"/>
      <c r="PZG60" s="484"/>
      <c r="PZH60" s="484"/>
      <c r="PZI60" s="484"/>
      <c r="PZJ60" s="484"/>
      <c r="PZK60" s="484"/>
      <c r="PZL60" s="484"/>
      <c r="PZM60" s="484"/>
      <c r="PZN60" s="484"/>
      <c r="PZO60" s="484"/>
      <c r="PZP60" s="484"/>
      <c r="PZQ60" s="484"/>
      <c r="PZR60" s="484"/>
      <c r="PZS60" s="484"/>
      <c r="PZT60" s="484"/>
      <c r="PZU60" s="484"/>
      <c r="PZV60" s="484"/>
      <c r="PZW60" s="484"/>
      <c r="PZX60" s="484"/>
      <c r="PZY60" s="484"/>
      <c r="PZZ60" s="484"/>
      <c r="QAA60" s="484"/>
      <c r="QAB60" s="484"/>
      <c r="QAC60" s="484"/>
      <c r="QAD60" s="484"/>
      <c r="QAE60" s="484"/>
      <c r="QAF60" s="484"/>
      <c r="QAG60" s="484"/>
      <c r="QAH60" s="484"/>
      <c r="QAI60" s="484"/>
      <c r="QAJ60" s="484"/>
      <c r="QAK60" s="484"/>
      <c r="QAL60" s="484"/>
      <c r="QAM60" s="484"/>
      <c r="QAN60" s="484"/>
      <c r="QAO60" s="484"/>
      <c r="QAP60" s="484"/>
      <c r="QAQ60" s="484"/>
      <c r="QAR60" s="484"/>
      <c r="QAS60" s="484"/>
      <c r="QAT60" s="484"/>
      <c r="QAU60" s="484"/>
      <c r="QAV60" s="484"/>
      <c r="QAW60" s="484"/>
      <c r="QAX60" s="484"/>
      <c r="QAY60" s="484"/>
      <c r="QAZ60" s="484"/>
      <c r="QBA60" s="484"/>
      <c r="QBB60" s="484"/>
      <c r="QBC60" s="484"/>
      <c r="QBD60" s="484"/>
      <c r="QBE60" s="484"/>
      <c r="QBF60" s="484"/>
      <c r="QBG60" s="484"/>
      <c r="QBH60" s="484"/>
      <c r="QBI60" s="484"/>
      <c r="QBJ60" s="484"/>
      <c r="QBK60" s="484"/>
      <c r="QBL60" s="484"/>
      <c r="QBM60" s="484"/>
      <c r="QBN60" s="484"/>
      <c r="QBO60" s="484"/>
      <c r="QBP60" s="484"/>
      <c r="QBQ60" s="484"/>
      <c r="QBR60" s="484"/>
      <c r="QBS60" s="484"/>
      <c r="QBT60" s="484"/>
      <c r="QBU60" s="484"/>
      <c r="QBV60" s="484"/>
      <c r="QBW60" s="484"/>
      <c r="QBX60" s="484"/>
      <c r="QBY60" s="484"/>
      <c r="QBZ60" s="484"/>
      <c r="QCA60" s="484"/>
      <c r="QCB60" s="484"/>
      <c r="QCC60" s="484"/>
      <c r="QCD60" s="484"/>
      <c r="QCE60" s="484"/>
      <c r="QCF60" s="484"/>
      <c r="QCG60" s="484"/>
      <c r="QCH60" s="484"/>
      <c r="QCI60" s="484"/>
      <c r="QCJ60" s="484"/>
      <c r="QCK60" s="484"/>
      <c r="QCL60" s="484"/>
      <c r="QCM60" s="484"/>
      <c r="QCN60" s="484"/>
      <c r="QCO60" s="484"/>
      <c r="QCP60" s="484"/>
      <c r="QCQ60" s="484"/>
      <c r="QCR60" s="484"/>
      <c r="QCS60" s="484"/>
      <c r="QCT60" s="484"/>
      <c r="QCU60" s="484"/>
      <c r="QCV60" s="484"/>
      <c r="QCW60" s="484"/>
      <c r="QCX60" s="484"/>
      <c r="QCY60" s="484"/>
      <c r="QCZ60" s="484"/>
      <c r="QDA60" s="484"/>
      <c r="QDB60" s="484"/>
      <c r="QDC60" s="484"/>
      <c r="QDD60" s="484"/>
      <c r="QDE60" s="484"/>
      <c r="QDF60" s="484"/>
      <c r="QDG60" s="484"/>
      <c r="QDH60" s="484"/>
      <c r="QDI60" s="484"/>
      <c r="QDJ60" s="484"/>
      <c r="QDK60" s="484"/>
      <c r="QDL60" s="484"/>
      <c r="QDM60" s="484"/>
      <c r="QDN60" s="484"/>
      <c r="QDO60" s="484"/>
      <c r="QDP60" s="484"/>
      <c r="QDQ60" s="484"/>
      <c r="QDR60" s="484"/>
      <c r="QDS60" s="484"/>
      <c r="QDT60" s="484"/>
      <c r="QDU60" s="484"/>
      <c r="QDV60" s="484"/>
      <c r="QDW60" s="484"/>
      <c r="QDX60" s="484"/>
      <c r="QDY60" s="484"/>
      <c r="QDZ60" s="484"/>
      <c r="QEA60" s="484"/>
      <c r="QEB60" s="484"/>
      <c r="QEC60" s="484"/>
      <c r="QED60" s="484"/>
      <c r="QEE60" s="484"/>
      <c r="QEF60" s="484"/>
      <c r="QEG60" s="484"/>
      <c r="QEH60" s="484"/>
      <c r="QEI60" s="484"/>
      <c r="QEJ60" s="484"/>
      <c r="QEK60" s="484"/>
      <c r="QEL60" s="484"/>
      <c r="QEM60" s="484"/>
      <c r="QEN60" s="484"/>
      <c r="QEO60" s="484"/>
      <c r="QEP60" s="484"/>
      <c r="QEQ60" s="484"/>
      <c r="QER60" s="484"/>
      <c r="QES60" s="484"/>
      <c r="QET60" s="484"/>
      <c r="QEU60" s="484"/>
      <c r="QEV60" s="484"/>
      <c r="QEW60" s="484"/>
      <c r="QEX60" s="484"/>
      <c r="QEY60" s="484"/>
      <c r="QEZ60" s="484"/>
      <c r="QFA60" s="484"/>
      <c r="QFB60" s="484"/>
      <c r="QFC60" s="484"/>
      <c r="QFD60" s="484"/>
      <c r="QFE60" s="484"/>
      <c r="QFF60" s="484"/>
      <c r="QFG60" s="484"/>
      <c r="QFH60" s="484"/>
      <c r="QFI60" s="484"/>
      <c r="QFJ60" s="484"/>
      <c r="QFK60" s="484"/>
      <c r="QFL60" s="484"/>
      <c r="QFM60" s="484"/>
      <c r="QFN60" s="484"/>
      <c r="QFO60" s="484"/>
      <c r="QFP60" s="484"/>
      <c r="QFQ60" s="484"/>
      <c r="QFR60" s="484"/>
      <c r="QFS60" s="484"/>
      <c r="QFT60" s="484"/>
      <c r="QFU60" s="484"/>
      <c r="QFV60" s="484"/>
      <c r="QFW60" s="484"/>
      <c r="QFX60" s="484"/>
      <c r="QFY60" s="484"/>
      <c r="QFZ60" s="484"/>
      <c r="QGA60" s="484"/>
      <c r="QGB60" s="484"/>
      <c r="QGC60" s="484"/>
      <c r="QGD60" s="484"/>
      <c r="QGE60" s="484"/>
      <c r="QGF60" s="484"/>
      <c r="QGG60" s="484"/>
      <c r="QGH60" s="484"/>
      <c r="QGI60" s="484"/>
      <c r="QGJ60" s="484"/>
      <c r="QGK60" s="484"/>
      <c r="QGL60" s="484"/>
      <c r="QGM60" s="484"/>
      <c r="QGN60" s="484"/>
      <c r="QGO60" s="484"/>
      <c r="QGP60" s="484"/>
      <c r="QGQ60" s="484"/>
      <c r="QGR60" s="484"/>
      <c r="QGS60" s="484"/>
      <c r="QGT60" s="484"/>
      <c r="QGU60" s="484"/>
      <c r="QGV60" s="484"/>
      <c r="QGW60" s="484"/>
      <c r="QGX60" s="484"/>
      <c r="QGY60" s="484"/>
      <c r="QGZ60" s="484"/>
      <c r="QHA60" s="484"/>
      <c r="QHB60" s="484"/>
      <c r="QHC60" s="484"/>
      <c r="QHD60" s="484"/>
      <c r="QHE60" s="484"/>
      <c r="QHF60" s="484"/>
      <c r="QHG60" s="484"/>
      <c r="QHH60" s="484"/>
      <c r="QHI60" s="484"/>
      <c r="QHJ60" s="484"/>
      <c r="QHK60" s="484"/>
      <c r="QHL60" s="484"/>
      <c r="QHM60" s="484"/>
      <c r="QHN60" s="484"/>
      <c r="QHO60" s="484"/>
      <c r="QHP60" s="484"/>
      <c r="QHQ60" s="484"/>
      <c r="QHR60" s="484"/>
      <c r="QHS60" s="484"/>
      <c r="QHT60" s="484"/>
      <c r="QHU60" s="484"/>
      <c r="QHV60" s="484"/>
      <c r="QHW60" s="484"/>
      <c r="QHX60" s="484"/>
      <c r="QHY60" s="484"/>
      <c r="QHZ60" s="484"/>
      <c r="QIA60" s="484"/>
      <c r="QIB60" s="484"/>
      <c r="QIC60" s="484"/>
      <c r="QID60" s="484"/>
      <c r="QIE60" s="484"/>
      <c r="QIF60" s="484"/>
      <c r="QIG60" s="484"/>
      <c r="QIH60" s="484"/>
      <c r="QII60" s="484"/>
      <c r="QIJ60" s="484"/>
      <c r="QIK60" s="484"/>
      <c r="QIL60" s="484"/>
      <c r="QIM60" s="484"/>
      <c r="QIN60" s="484"/>
      <c r="QIO60" s="484"/>
      <c r="QIP60" s="484"/>
      <c r="QIQ60" s="484"/>
      <c r="QIR60" s="484"/>
      <c r="QIS60" s="484"/>
      <c r="QIT60" s="484"/>
      <c r="QIU60" s="484"/>
      <c r="QIV60" s="484"/>
      <c r="QIW60" s="484"/>
      <c r="QIX60" s="484"/>
      <c r="QIY60" s="484"/>
      <c r="QIZ60" s="484"/>
      <c r="QJA60" s="484"/>
      <c r="QJB60" s="484"/>
      <c r="QJC60" s="484"/>
      <c r="QJD60" s="484"/>
      <c r="QJE60" s="484"/>
      <c r="QJF60" s="484"/>
      <c r="QJG60" s="484"/>
      <c r="QJH60" s="484"/>
      <c r="QJI60" s="484"/>
      <c r="QJJ60" s="484"/>
      <c r="QJK60" s="484"/>
      <c r="QJL60" s="484"/>
      <c r="QJM60" s="484"/>
      <c r="QJN60" s="484"/>
      <c r="QJO60" s="484"/>
      <c r="QJP60" s="484"/>
      <c r="QJQ60" s="484"/>
      <c r="QJR60" s="484"/>
      <c r="QJS60" s="484"/>
      <c r="QJT60" s="484"/>
      <c r="QJU60" s="484"/>
      <c r="QJV60" s="484"/>
      <c r="QJW60" s="484"/>
      <c r="QJX60" s="484"/>
      <c r="QJY60" s="484"/>
      <c r="QJZ60" s="484"/>
      <c r="QKA60" s="484"/>
      <c r="QKB60" s="484"/>
      <c r="QKC60" s="484"/>
      <c r="QKD60" s="484"/>
      <c r="QKE60" s="484"/>
      <c r="QKF60" s="484"/>
      <c r="QKG60" s="484"/>
      <c r="QKH60" s="484"/>
      <c r="QKI60" s="484"/>
      <c r="QKJ60" s="484"/>
      <c r="QKK60" s="484"/>
      <c r="QKL60" s="484"/>
      <c r="QKM60" s="484"/>
      <c r="QKN60" s="484"/>
      <c r="QKO60" s="484"/>
      <c r="QKP60" s="484"/>
      <c r="QKQ60" s="484"/>
      <c r="QKR60" s="484"/>
      <c r="QKS60" s="484"/>
      <c r="QKT60" s="484"/>
      <c r="QKU60" s="484"/>
      <c r="QKV60" s="484"/>
      <c r="QKW60" s="484"/>
      <c r="QKX60" s="484"/>
      <c r="QKY60" s="484"/>
      <c r="QKZ60" s="484"/>
      <c r="QLA60" s="484"/>
      <c r="QLB60" s="484"/>
      <c r="QLC60" s="484"/>
      <c r="QLD60" s="484"/>
      <c r="QLE60" s="484"/>
      <c r="QLF60" s="484"/>
      <c r="QLG60" s="484"/>
      <c r="QLH60" s="484"/>
      <c r="QLI60" s="484"/>
      <c r="QLJ60" s="484"/>
      <c r="QLK60" s="484"/>
      <c r="QLL60" s="484"/>
      <c r="QLM60" s="484"/>
      <c r="QLN60" s="484"/>
      <c r="QLO60" s="484"/>
      <c r="QLP60" s="484"/>
      <c r="QLQ60" s="484"/>
      <c r="QLR60" s="484"/>
      <c r="QLS60" s="484"/>
      <c r="QLT60" s="484"/>
      <c r="QLU60" s="484"/>
      <c r="QLV60" s="484"/>
      <c r="QLW60" s="484"/>
      <c r="QLX60" s="484"/>
      <c r="QLY60" s="484"/>
      <c r="QLZ60" s="484"/>
      <c r="QMA60" s="484"/>
      <c r="QMB60" s="484"/>
      <c r="QMC60" s="484"/>
      <c r="QMD60" s="484"/>
      <c r="QME60" s="484"/>
      <c r="QMF60" s="484"/>
      <c r="QMG60" s="484"/>
      <c r="QMH60" s="484"/>
      <c r="QMI60" s="484"/>
      <c r="QMJ60" s="484"/>
      <c r="QMK60" s="484"/>
      <c r="QML60" s="484"/>
      <c r="QMM60" s="484"/>
      <c r="QMN60" s="484"/>
      <c r="QMO60" s="484"/>
      <c r="QMP60" s="484"/>
      <c r="QMQ60" s="484"/>
      <c r="QMR60" s="484"/>
      <c r="QMS60" s="484"/>
      <c r="QMT60" s="484"/>
      <c r="QMU60" s="484"/>
      <c r="QMV60" s="484"/>
      <c r="QMW60" s="484"/>
      <c r="QMX60" s="484"/>
      <c r="QMY60" s="484"/>
      <c r="QMZ60" s="484"/>
      <c r="QNA60" s="484"/>
      <c r="QNB60" s="484"/>
      <c r="QNC60" s="484"/>
      <c r="QND60" s="484"/>
      <c r="QNE60" s="484"/>
      <c r="QNF60" s="484"/>
      <c r="QNG60" s="484"/>
      <c r="QNH60" s="484"/>
      <c r="QNI60" s="484"/>
      <c r="QNJ60" s="484"/>
      <c r="QNK60" s="484"/>
      <c r="QNL60" s="484"/>
      <c r="QNM60" s="484"/>
      <c r="QNN60" s="484"/>
      <c r="QNO60" s="484"/>
      <c r="QNP60" s="484"/>
      <c r="QNQ60" s="484"/>
      <c r="QNR60" s="484"/>
      <c r="QNS60" s="484"/>
      <c r="QNT60" s="484"/>
      <c r="QNU60" s="484"/>
      <c r="QNV60" s="484"/>
      <c r="QNW60" s="484"/>
      <c r="QNX60" s="484"/>
      <c r="QNY60" s="484"/>
      <c r="QNZ60" s="484"/>
      <c r="QOA60" s="484"/>
      <c r="QOB60" s="484"/>
      <c r="QOC60" s="484"/>
      <c r="QOD60" s="484"/>
      <c r="QOE60" s="484"/>
      <c r="QOF60" s="484"/>
      <c r="QOG60" s="484"/>
      <c r="QOH60" s="484"/>
      <c r="QOI60" s="484"/>
      <c r="QOJ60" s="484"/>
      <c r="QOK60" s="484"/>
      <c r="QOL60" s="484"/>
      <c r="QOM60" s="484"/>
      <c r="QON60" s="484"/>
      <c r="QOO60" s="484"/>
      <c r="QOP60" s="484"/>
      <c r="QOQ60" s="484"/>
      <c r="QOR60" s="484"/>
      <c r="QOS60" s="484"/>
      <c r="QOT60" s="484"/>
      <c r="QOU60" s="484"/>
      <c r="QOV60" s="484"/>
      <c r="QOW60" s="484"/>
      <c r="QOX60" s="484"/>
      <c r="QOY60" s="484"/>
      <c r="QOZ60" s="484"/>
      <c r="QPA60" s="484"/>
      <c r="QPB60" s="484"/>
      <c r="QPC60" s="484"/>
      <c r="QPD60" s="484"/>
      <c r="QPE60" s="484"/>
      <c r="QPF60" s="484"/>
      <c r="QPG60" s="484"/>
      <c r="QPH60" s="484"/>
      <c r="QPI60" s="484"/>
      <c r="QPJ60" s="484"/>
      <c r="QPK60" s="484"/>
      <c r="QPL60" s="484"/>
      <c r="QPM60" s="484"/>
      <c r="QPN60" s="484"/>
      <c r="QPO60" s="484"/>
      <c r="QPP60" s="484"/>
      <c r="QPQ60" s="484"/>
      <c r="QPR60" s="484"/>
      <c r="QPS60" s="484"/>
      <c r="QPT60" s="484"/>
      <c r="QPU60" s="484"/>
      <c r="QPV60" s="484"/>
      <c r="QPW60" s="484"/>
      <c r="QPX60" s="484"/>
      <c r="QPY60" s="484"/>
      <c r="QPZ60" s="484"/>
      <c r="QQA60" s="484"/>
      <c r="QQB60" s="484"/>
      <c r="QQC60" s="484"/>
      <c r="QQD60" s="484"/>
      <c r="QQE60" s="484"/>
      <c r="QQF60" s="484"/>
      <c r="QQG60" s="484"/>
      <c r="QQH60" s="484"/>
      <c r="QQI60" s="484"/>
      <c r="QQJ60" s="484"/>
      <c r="QQK60" s="484"/>
      <c r="QQL60" s="484"/>
      <c r="QQM60" s="484"/>
      <c r="QQN60" s="484"/>
      <c r="QQO60" s="484"/>
      <c r="QQP60" s="484"/>
      <c r="QQQ60" s="484"/>
      <c r="QQR60" s="484"/>
      <c r="QQS60" s="484"/>
      <c r="QQT60" s="484"/>
      <c r="QQU60" s="484"/>
      <c r="QQV60" s="484"/>
      <c r="QQW60" s="484"/>
      <c r="QQX60" s="484"/>
      <c r="QQY60" s="484"/>
      <c r="QQZ60" s="484"/>
      <c r="QRA60" s="484"/>
      <c r="QRB60" s="484"/>
      <c r="QRC60" s="484"/>
      <c r="QRD60" s="484"/>
      <c r="QRE60" s="484"/>
      <c r="QRF60" s="484"/>
      <c r="QRG60" s="484"/>
      <c r="QRH60" s="484"/>
      <c r="QRI60" s="484"/>
      <c r="QRJ60" s="484"/>
      <c r="QRK60" s="484"/>
      <c r="QRL60" s="484"/>
      <c r="QRM60" s="484"/>
      <c r="QRN60" s="484"/>
      <c r="QRO60" s="484"/>
      <c r="QRP60" s="484"/>
      <c r="QRQ60" s="484"/>
      <c r="QRR60" s="484"/>
      <c r="QRS60" s="484"/>
      <c r="QRT60" s="484"/>
      <c r="QRU60" s="484"/>
      <c r="QRV60" s="484"/>
      <c r="QRW60" s="484"/>
      <c r="QRX60" s="484"/>
      <c r="QRY60" s="484"/>
      <c r="QRZ60" s="484"/>
      <c r="QSA60" s="484"/>
      <c r="QSB60" s="484"/>
      <c r="QSC60" s="484"/>
      <c r="QSD60" s="484"/>
      <c r="QSE60" s="484"/>
      <c r="QSF60" s="484"/>
      <c r="QSG60" s="484"/>
      <c r="QSH60" s="484"/>
      <c r="QSI60" s="484"/>
      <c r="QSJ60" s="484"/>
      <c r="QSK60" s="484"/>
      <c r="QSL60" s="484"/>
      <c r="QSM60" s="484"/>
      <c r="QSN60" s="484"/>
      <c r="QSO60" s="484"/>
      <c r="QSP60" s="484"/>
      <c r="QSQ60" s="484"/>
      <c r="QSR60" s="484"/>
      <c r="QSS60" s="484"/>
      <c r="QST60" s="484"/>
      <c r="QSU60" s="484"/>
      <c r="QSV60" s="484"/>
      <c r="QSW60" s="484"/>
      <c r="QSX60" s="484"/>
      <c r="QSY60" s="484"/>
      <c r="QSZ60" s="484"/>
      <c r="QTA60" s="484"/>
      <c r="QTB60" s="484"/>
      <c r="QTC60" s="484"/>
      <c r="QTD60" s="484"/>
      <c r="QTE60" s="484"/>
      <c r="QTF60" s="484"/>
      <c r="QTG60" s="484"/>
      <c r="QTH60" s="484"/>
      <c r="QTI60" s="484"/>
      <c r="QTJ60" s="484"/>
      <c r="QTK60" s="484"/>
      <c r="QTL60" s="484"/>
      <c r="QTM60" s="484"/>
      <c r="QTN60" s="484"/>
      <c r="QTO60" s="484"/>
      <c r="QTP60" s="484"/>
      <c r="QTQ60" s="484"/>
      <c r="QTR60" s="484"/>
      <c r="QTS60" s="484"/>
      <c r="QTT60" s="484"/>
      <c r="QTU60" s="484"/>
      <c r="QTV60" s="484"/>
      <c r="QTW60" s="484"/>
      <c r="QTX60" s="484"/>
      <c r="QTY60" s="484"/>
      <c r="QTZ60" s="484"/>
      <c r="QUA60" s="484"/>
      <c r="QUB60" s="484"/>
      <c r="QUC60" s="484"/>
      <c r="QUD60" s="484"/>
      <c r="QUE60" s="484"/>
      <c r="QUF60" s="484"/>
      <c r="QUG60" s="484"/>
      <c r="QUH60" s="484"/>
      <c r="QUI60" s="484"/>
      <c r="QUJ60" s="484"/>
      <c r="QUK60" s="484"/>
      <c r="QUL60" s="484"/>
      <c r="QUM60" s="484"/>
      <c r="QUN60" s="484"/>
      <c r="QUO60" s="484"/>
      <c r="QUP60" s="484"/>
      <c r="QUQ60" s="484"/>
      <c r="QUR60" s="484"/>
      <c r="QUS60" s="484"/>
      <c r="QUT60" s="484"/>
      <c r="QUU60" s="484"/>
      <c r="QUV60" s="484"/>
      <c r="QUW60" s="484"/>
      <c r="QUX60" s="484"/>
      <c r="QUY60" s="484"/>
      <c r="QUZ60" s="484"/>
      <c r="QVA60" s="484"/>
      <c r="QVB60" s="484"/>
      <c r="QVC60" s="484"/>
      <c r="QVD60" s="484"/>
      <c r="QVE60" s="484"/>
      <c r="QVF60" s="484"/>
      <c r="QVG60" s="484"/>
      <c r="QVH60" s="484"/>
      <c r="QVI60" s="484"/>
      <c r="QVJ60" s="484"/>
      <c r="QVK60" s="484"/>
      <c r="QVL60" s="484"/>
      <c r="QVM60" s="484"/>
      <c r="QVN60" s="484"/>
      <c r="QVO60" s="484"/>
      <c r="QVP60" s="484"/>
      <c r="QVQ60" s="484"/>
      <c r="QVR60" s="484"/>
      <c r="QVS60" s="484"/>
      <c r="QVT60" s="484"/>
      <c r="QVU60" s="484"/>
      <c r="QVV60" s="484"/>
      <c r="QVW60" s="484"/>
      <c r="QVX60" s="484"/>
      <c r="QVY60" s="484"/>
      <c r="QVZ60" s="484"/>
      <c r="QWA60" s="484"/>
      <c r="QWB60" s="484"/>
      <c r="QWC60" s="484"/>
      <c r="QWD60" s="484"/>
      <c r="QWE60" s="484"/>
      <c r="QWF60" s="484"/>
      <c r="QWG60" s="484"/>
      <c r="QWH60" s="484"/>
      <c r="QWI60" s="484"/>
      <c r="QWJ60" s="484"/>
      <c r="QWK60" s="484"/>
      <c r="QWL60" s="484"/>
      <c r="QWM60" s="484"/>
      <c r="QWN60" s="484"/>
      <c r="QWO60" s="484"/>
      <c r="QWP60" s="484"/>
      <c r="QWQ60" s="484"/>
      <c r="QWR60" s="484"/>
      <c r="QWS60" s="484"/>
      <c r="QWT60" s="484"/>
      <c r="QWU60" s="484"/>
      <c r="QWV60" s="484"/>
      <c r="QWW60" s="484"/>
      <c r="QWX60" s="484"/>
      <c r="QWY60" s="484"/>
      <c r="QWZ60" s="484"/>
      <c r="QXA60" s="484"/>
      <c r="QXB60" s="484"/>
      <c r="QXC60" s="484"/>
      <c r="QXD60" s="484"/>
      <c r="QXE60" s="484"/>
      <c r="QXF60" s="484"/>
      <c r="QXG60" s="484"/>
      <c r="QXH60" s="484"/>
      <c r="QXI60" s="484"/>
      <c r="QXJ60" s="484"/>
      <c r="QXK60" s="484"/>
      <c r="QXL60" s="484"/>
      <c r="QXM60" s="484"/>
      <c r="QXN60" s="484"/>
      <c r="QXO60" s="484"/>
      <c r="QXP60" s="484"/>
      <c r="QXQ60" s="484"/>
      <c r="QXR60" s="484"/>
      <c r="QXS60" s="484"/>
      <c r="QXT60" s="484"/>
      <c r="QXU60" s="484"/>
      <c r="QXV60" s="484"/>
      <c r="QXW60" s="484"/>
      <c r="QXX60" s="484"/>
      <c r="QXY60" s="484"/>
      <c r="QXZ60" s="484"/>
      <c r="QYA60" s="484"/>
      <c r="QYB60" s="484"/>
      <c r="QYC60" s="484"/>
      <c r="QYD60" s="484"/>
      <c r="QYE60" s="484"/>
      <c r="QYF60" s="484"/>
      <c r="QYG60" s="484"/>
      <c r="QYH60" s="484"/>
      <c r="QYI60" s="484"/>
      <c r="QYJ60" s="484"/>
      <c r="QYK60" s="484"/>
      <c r="QYL60" s="484"/>
      <c r="QYM60" s="484"/>
      <c r="QYN60" s="484"/>
      <c r="QYO60" s="484"/>
      <c r="QYP60" s="484"/>
      <c r="QYQ60" s="484"/>
      <c r="QYR60" s="484"/>
      <c r="QYS60" s="484"/>
      <c r="QYT60" s="484"/>
      <c r="QYU60" s="484"/>
      <c r="QYV60" s="484"/>
      <c r="QYW60" s="484"/>
      <c r="QYX60" s="484"/>
      <c r="QYY60" s="484"/>
      <c r="QYZ60" s="484"/>
      <c r="QZA60" s="484"/>
      <c r="QZB60" s="484"/>
      <c r="QZC60" s="484"/>
      <c r="QZD60" s="484"/>
      <c r="QZE60" s="484"/>
      <c r="QZF60" s="484"/>
      <c r="QZG60" s="484"/>
      <c r="QZH60" s="484"/>
      <c r="QZI60" s="484"/>
      <c r="QZJ60" s="484"/>
      <c r="QZK60" s="484"/>
      <c r="QZL60" s="484"/>
      <c r="QZM60" s="484"/>
      <c r="QZN60" s="484"/>
      <c r="QZO60" s="484"/>
      <c r="QZP60" s="484"/>
      <c r="QZQ60" s="484"/>
      <c r="QZR60" s="484"/>
      <c r="QZS60" s="484"/>
      <c r="QZT60" s="484"/>
      <c r="QZU60" s="484"/>
      <c r="QZV60" s="484"/>
      <c r="QZW60" s="484"/>
      <c r="QZX60" s="484"/>
      <c r="QZY60" s="484"/>
      <c r="QZZ60" s="484"/>
      <c r="RAA60" s="484"/>
      <c r="RAB60" s="484"/>
      <c r="RAC60" s="484"/>
      <c r="RAD60" s="484"/>
      <c r="RAE60" s="484"/>
      <c r="RAF60" s="484"/>
      <c r="RAG60" s="484"/>
      <c r="RAH60" s="484"/>
      <c r="RAI60" s="484"/>
      <c r="RAJ60" s="484"/>
      <c r="RAK60" s="484"/>
      <c r="RAL60" s="484"/>
      <c r="RAM60" s="484"/>
      <c r="RAN60" s="484"/>
      <c r="RAO60" s="484"/>
      <c r="RAP60" s="484"/>
      <c r="RAQ60" s="484"/>
      <c r="RAR60" s="484"/>
      <c r="RAS60" s="484"/>
      <c r="RAT60" s="484"/>
      <c r="RAU60" s="484"/>
      <c r="RAV60" s="484"/>
      <c r="RAW60" s="484"/>
      <c r="RAX60" s="484"/>
      <c r="RAY60" s="484"/>
      <c r="RAZ60" s="484"/>
      <c r="RBA60" s="484"/>
      <c r="RBB60" s="484"/>
      <c r="RBC60" s="484"/>
      <c r="RBD60" s="484"/>
      <c r="RBE60" s="484"/>
      <c r="RBF60" s="484"/>
      <c r="RBG60" s="484"/>
      <c r="RBH60" s="484"/>
      <c r="RBI60" s="484"/>
      <c r="RBJ60" s="484"/>
      <c r="RBK60" s="484"/>
      <c r="RBL60" s="484"/>
      <c r="RBM60" s="484"/>
      <c r="RBN60" s="484"/>
      <c r="RBO60" s="484"/>
      <c r="RBP60" s="484"/>
      <c r="RBQ60" s="484"/>
      <c r="RBR60" s="484"/>
      <c r="RBS60" s="484"/>
      <c r="RBT60" s="484"/>
      <c r="RBU60" s="484"/>
      <c r="RBV60" s="484"/>
      <c r="RBW60" s="484"/>
      <c r="RBX60" s="484"/>
      <c r="RBY60" s="484"/>
      <c r="RBZ60" s="484"/>
      <c r="RCA60" s="484"/>
      <c r="RCB60" s="484"/>
      <c r="RCC60" s="484"/>
      <c r="RCD60" s="484"/>
      <c r="RCE60" s="484"/>
      <c r="RCF60" s="484"/>
      <c r="RCG60" s="484"/>
      <c r="RCH60" s="484"/>
      <c r="RCI60" s="484"/>
      <c r="RCJ60" s="484"/>
      <c r="RCK60" s="484"/>
      <c r="RCL60" s="484"/>
      <c r="RCM60" s="484"/>
      <c r="RCN60" s="484"/>
      <c r="RCO60" s="484"/>
      <c r="RCP60" s="484"/>
      <c r="RCQ60" s="484"/>
      <c r="RCR60" s="484"/>
      <c r="RCS60" s="484"/>
      <c r="RCT60" s="484"/>
      <c r="RCU60" s="484"/>
      <c r="RCV60" s="484"/>
      <c r="RCW60" s="484"/>
      <c r="RCX60" s="484"/>
      <c r="RCY60" s="484"/>
      <c r="RCZ60" s="484"/>
      <c r="RDA60" s="484"/>
      <c r="RDB60" s="484"/>
      <c r="RDC60" s="484"/>
      <c r="RDD60" s="484"/>
      <c r="RDE60" s="484"/>
      <c r="RDF60" s="484"/>
      <c r="RDG60" s="484"/>
      <c r="RDH60" s="484"/>
      <c r="RDI60" s="484"/>
      <c r="RDJ60" s="484"/>
      <c r="RDK60" s="484"/>
      <c r="RDL60" s="484"/>
      <c r="RDM60" s="484"/>
      <c r="RDN60" s="484"/>
      <c r="RDO60" s="484"/>
      <c r="RDP60" s="484"/>
      <c r="RDQ60" s="484"/>
      <c r="RDR60" s="484"/>
      <c r="RDS60" s="484"/>
      <c r="RDT60" s="484"/>
      <c r="RDU60" s="484"/>
      <c r="RDV60" s="484"/>
      <c r="RDW60" s="484"/>
      <c r="RDX60" s="484"/>
      <c r="RDY60" s="484"/>
      <c r="RDZ60" s="484"/>
      <c r="REA60" s="484"/>
      <c r="REB60" s="484"/>
      <c r="REC60" s="484"/>
      <c r="RED60" s="484"/>
      <c r="REE60" s="484"/>
      <c r="REF60" s="484"/>
      <c r="REG60" s="484"/>
      <c r="REH60" s="484"/>
      <c r="REI60" s="484"/>
      <c r="REJ60" s="484"/>
      <c r="REK60" s="484"/>
      <c r="REL60" s="484"/>
      <c r="REM60" s="484"/>
      <c r="REN60" s="484"/>
      <c r="REO60" s="484"/>
      <c r="REP60" s="484"/>
      <c r="REQ60" s="484"/>
      <c r="RER60" s="484"/>
      <c r="RES60" s="484"/>
      <c r="RET60" s="484"/>
      <c r="REU60" s="484"/>
      <c r="REV60" s="484"/>
      <c r="REW60" s="484"/>
      <c r="REX60" s="484"/>
      <c r="REY60" s="484"/>
      <c r="REZ60" s="484"/>
      <c r="RFA60" s="484"/>
      <c r="RFB60" s="484"/>
      <c r="RFC60" s="484"/>
      <c r="RFD60" s="484"/>
      <c r="RFE60" s="484"/>
      <c r="RFF60" s="484"/>
      <c r="RFG60" s="484"/>
      <c r="RFH60" s="484"/>
      <c r="RFI60" s="484"/>
      <c r="RFJ60" s="484"/>
      <c r="RFK60" s="484"/>
      <c r="RFL60" s="484"/>
      <c r="RFM60" s="484"/>
      <c r="RFN60" s="484"/>
      <c r="RFO60" s="484"/>
      <c r="RFP60" s="484"/>
      <c r="RFQ60" s="484"/>
      <c r="RFR60" s="484"/>
      <c r="RFS60" s="484"/>
      <c r="RFT60" s="484"/>
      <c r="RFU60" s="484"/>
      <c r="RFV60" s="484"/>
      <c r="RFW60" s="484"/>
      <c r="RFX60" s="484"/>
      <c r="RFY60" s="484"/>
      <c r="RFZ60" s="484"/>
      <c r="RGA60" s="484"/>
      <c r="RGB60" s="484"/>
      <c r="RGC60" s="484"/>
      <c r="RGD60" s="484"/>
      <c r="RGE60" s="484"/>
      <c r="RGF60" s="484"/>
      <c r="RGG60" s="484"/>
      <c r="RGH60" s="484"/>
      <c r="RGI60" s="484"/>
      <c r="RGJ60" s="484"/>
      <c r="RGK60" s="484"/>
      <c r="RGL60" s="484"/>
      <c r="RGM60" s="484"/>
      <c r="RGN60" s="484"/>
      <c r="RGO60" s="484"/>
      <c r="RGP60" s="484"/>
      <c r="RGQ60" s="484"/>
      <c r="RGR60" s="484"/>
      <c r="RGS60" s="484"/>
      <c r="RGT60" s="484"/>
      <c r="RGU60" s="484"/>
      <c r="RGV60" s="484"/>
      <c r="RGW60" s="484"/>
      <c r="RGX60" s="484"/>
      <c r="RGY60" s="484"/>
      <c r="RGZ60" s="484"/>
      <c r="RHA60" s="484"/>
      <c r="RHB60" s="484"/>
      <c r="RHC60" s="484"/>
      <c r="RHD60" s="484"/>
      <c r="RHE60" s="484"/>
      <c r="RHF60" s="484"/>
      <c r="RHG60" s="484"/>
      <c r="RHH60" s="484"/>
      <c r="RHI60" s="484"/>
      <c r="RHJ60" s="484"/>
      <c r="RHK60" s="484"/>
      <c r="RHL60" s="484"/>
      <c r="RHM60" s="484"/>
      <c r="RHN60" s="484"/>
      <c r="RHO60" s="484"/>
      <c r="RHP60" s="484"/>
      <c r="RHQ60" s="484"/>
      <c r="RHR60" s="484"/>
      <c r="RHS60" s="484"/>
      <c r="RHT60" s="484"/>
      <c r="RHU60" s="484"/>
      <c r="RHV60" s="484"/>
      <c r="RHW60" s="484"/>
      <c r="RHX60" s="484"/>
      <c r="RHY60" s="484"/>
      <c r="RHZ60" s="484"/>
      <c r="RIA60" s="484"/>
      <c r="RIB60" s="484"/>
      <c r="RIC60" s="484"/>
      <c r="RID60" s="484"/>
      <c r="RIE60" s="484"/>
      <c r="RIF60" s="484"/>
      <c r="RIG60" s="484"/>
      <c r="RIH60" s="484"/>
      <c r="RII60" s="484"/>
      <c r="RIJ60" s="484"/>
      <c r="RIK60" s="484"/>
      <c r="RIL60" s="484"/>
      <c r="RIM60" s="484"/>
      <c r="RIN60" s="484"/>
      <c r="RIO60" s="484"/>
      <c r="RIP60" s="484"/>
      <c r="RIQ60" s="484"/>
      <c r="RIR60" s="484"/>
      <c r="RIS60" s="484"/>
      <c r="RIT60" s="484"/>
      <c r="RIU60" s="484"/>
      <c r="RIV60" s="484"/>
      <c r="RIW60" s="484"/>
      <c r="RIX60" s="484"/>
      <c r="RIY60" s="484"/>
      <c r="RIZ60" s="484"/>
      <c r="RJA60" s="484"/>
      <c r="RJB60" s="484"/>
      <c r="RJC60" s="484"/>
      <c r="RJD60" s="484"/>
      <c r="RJE60" s="484"/>
      <c r="RJF60" s="484"/>
      <c r="RJG60" s="484"/>
      <c r="RJH60" s="484"/>
      <c r="RJI60" s="484"/>
      <c r="RJJ60" s="484"/>
      <c r="RJK60" s="484"/>
      <c r="RJL60" s="484"/>
      <c r="RJM60" s="484"/>
      <c r="RJN60" s="484"/>
      <c r="RJO60" s="484"/>
      <c r="RJP60" s="484"/>
      <c r="RJQ60" s="484"/>
      <c r="RJR60" s="484"/>
      <c r="RJS60" s="484"/>
      <c r="RJT60" s="484"/>
      <c r="RJU60" s="484"/>
      <c r="RJV60" s="484"/>
      <c r="RJW60" s="484"/>
      <c r="RJX60" s="484"/>
      <c r="RJY60" s="484"/>
      <c r="RJZ60" s="484"/>
      <c r="RKA60" s="484"/>
      <c r="RKB60" s="484"/>
      <c r="RKC60" s="484"/>
      <c r="RKD60" s="484"/>
      <c r="RKE60" s="484"/>
      <c r="RKF60" s="484"/>
      <c r="RKG60" s="484"/>
      <c r="RKH60" s="484"/>
      <c r="RKI60" s="484"/>
      <c r="RKJ60" s="484"/>
      <c r="RKK60" s="484"/>
      <c r="RKL60" s="484"/>
      <c r="RKM60" s="484"/>
      <c r="RKN60" s="484"/>
      <c r="RKO60" s="484"/>
      <c r="RKP60" s="484"/>
      <c r="RKQ60" s="484"/>
      <c r="RKR60" s="484"/>
      <c r="RKS60" s="484"/>
      <c r="RKT60" s="484"/>
      <c r="RKU60" s="484"/>
      <c r="RKV60" s="484"/>
      <c r="RKW60" s="484"/>
      <c r="RKX60" s="484"/>
      <c r="RKY60" s="484"/>
      <c r="RKZ60" s="484"/>
      <c r="RLA60" s="484"/>
      <c r="RLB60" s="484"/>
      <c r="RLC60" s="484"/>
      <c r="RLD60" s="484"/>
      <c r="RLE60" s="484"/>
      <c r="RLF60" s="484"/>
      <c r="RLG60" s="484"/>
      <c r="RLH60" s="484"/>
      <c r="RLI60" s="484"/>
      <c r="RLJ60" s="484"/>
      <c r="RLK60" s="484"/>
      <c r="RLL60" s="484"/>
      <c r="RLM60" s="484"/>
      <c r="RLN60" s="484"/>
      <c r="RLO60" s="484"/>
      <c r="RLP60" s="484"/>
      <c r="RLQ60" s="484"/>
      <c r="RLR60" s="484"/>
      <c r="RLS60" s="484"/>
      <c r="RLT60" s="484"/>
      <c r="RLU60" s="484"/>
      <c r="RLV60" s="484"/>
      <c r="RLW60" s="484"/>
      <c r="RLX60" s="484"/>
      <c r="RLY60" s="484"/>
      <c r="RLZ60" s="484"/>
      <c r="RMA60" s="484"/>
      <c r="RMB60" s="484"/>
      <c r="RMC60" s="484"/>
      <c r="RMD60" s="484"/>
      <c r="RME60" s="484"/>
      <c r="RMF60" s="484"/>
      <c r="RMG60" s="484"/>
      <c r="RMH60" s="484"/>
      <c r="RMI60" s="484"/>
      <c r="RMJ60" s="484"/>
      <c r="RMK60" s="484"/>
      <c r="RML60" s="484"/>
      <c r="RMM60" s="484"/>
      <c r="RMN60" s="484"/>
      <c r="RMO60" s="484"/>
      <c r="RMP60" s="484"/>
      <c r="RMQ60" s="484"/>
      <c r="RMR60" s="484"/>
      <c r="RMS60" s="484"/>
      <c r="RMT60" s="484"/>
      <c r="RMU60" s="484"/>
      <c r="RMV60" s="484"/>
      <c r="RMW60" s="484"/>
      <c r="RMX60" s="484"/>
      <c r="RMY60" s="484"/>
      <c r="RMZ60" s="484"/>
      <c r="RNA60" s="484"/>
      <c r="RNB60" s="484"/>
      <c r="RNC60" s="484"/>
      <c r="RND60" s="484"/>
      <c r="RNE60" s="484"/>
      <c r="RNF60" s="484"/>
      <c r="RNG60" s="484"/>
      <c r="RNH60" s="484"/>
      <c r="RNI60" s="484"/>
      <c r="RNJ60" s="484"/>
      <c r="RNK60" s="484"/>
      <c r="RNL60" s="484"/>
      <c r="RNM60" s="484"/>
      <c r="RNN60" s="484"/>
      <c r="RNO60" s="484"/>
      <c r="RNP60" s="484"/>
      <c r="RNQ60" s="484"/>
      <c r="RNR60" s="484"/>
      <c r="RNS60" s="484"/>
      <c r="RNT60" s="484"/>
      <c r="RNU60" s="484"/>
      <c r="RNV60" s="484"/>
      <c r="RNW60" s="484"/>
      <c r="RNX60" s="484"/>
      <c r="RNY60" s="484"/>
      <c r="RNZ60" s="484"/>
      <c r="ROA60" s="484"/>
      <c r="ROB60" s="484"/>
      <c r="ROC60" s="484"/>
      <c r="ROD60" s="484"/>
      <c r="ROE60" s="484"/>
      <c r="ROF60" s="484"/>
      <c r="ROG60" s="484"/>
      <c r="ROH60" s="484"/>
      <c r="ROI60" s="484"/>
      <c r="ROJ60" s="484"/>
      <c r="ROK60" s="484"/>
      <c r="ROL60" s="484"/>
      <c r="ROM60" s="484"/>
      <c r="RON60" s="484"/>
      <c r="ROO60" s="484"/>
      <c r="ROP60" s="484"/>
      <c r="ROQ60" s="484"/>
      <c r="ROR60" s="484"/>
      <c r="ROS60" s="484"/>
      <c r="ROT60" s="484"/>
      <c r="ROU60" s="484"/>
      <c r="ROV60" s="484"/>
      <c r="ROW60" s="484"/>
      <c r="ROX60" s="484"/>
      <c r="ROY60" s="484"/>
      <c r="ROZ60" s="484"/>
      <c r="RPA60" s="484"/>
      <c r="RPB60" s="484"/>
      <c r="RPC60" s="484"/>
      <c r="RPD60" s="484"/>
      <c r="RPE60" s="484"/>
      <c r="RPF60" s="484"/>
      <c r="RPG60" s="484"/>
      <c r="RPH60" s="484"/>
      <c r="RPI60" s="484"/>
      <c r="RPJ60" s="484"/>
      <c r="RPK60" s="484"/>
      <c r="RPL60" s="484"/>
      <c r="RPM60" s="484"/>
      <c r="RPN60" s="484"/>
      <c r="RPO60" s="484"/>
      <c r="RPP60" s="484"/>
      <c r="RPQ60" s="484"/>
      <c r="RPR60" s="484"/>
      <c r="RPS60" s="484"/>
      <c r="RPT60" s="484"/>
      <c r="RPU60" s="484"/>
      <c r="RPV60" s="484"/>
      <c r="RPW60" s="484"/>
      <c r="RPX60" s="484"/>
      <c r="RPY60" s="484"/>
      <c r="RPZ60" s="484"/>
      <c r="RQA60" s="484"/>
      <c r="RQB60" s="484"/>
      <c r="RQC60" s="484"/>
      <c r="RQD60" s="484"/>
      <c r="RQE60" s="484"/>
      <c r="RQF60" s="484"/>
      <c r="RQG60" s="484"/>
      <c r="RQH60" s="484"/>
      <c r="RQI60" s="484"/>
      <c r="RQJ60" s="484"/>
      <c r="RQK60" s="484"/>
      <c r="RQL60" s="484"/>
      <c r="RQM60" s="484"/>
      <c r="RQN60" s="484"/>
      <c r="RQO60" s="484"/>
      <c r="RQP60" s="484"/>
      <c r="RQQ60" s="484"/>
      <c r="RQR60" s="484"/>
      <c r="RQS60" s="484"/>
      <c r="RQT60" s="484"/>
      <c r="RQU60" s="484"/>
      <c r="RQV60" s="484"/>
      <c r="RQW60" s="484"/>
      <c r="RQX60" s="484"/>
      <c r="RQY60" s="484"/>
      <c r="RQZ60" s="484"/>
      <c r="RRA60" s="484"/>
      <c r="RRB60" s="484"/>
      <c r="RRC60" s="484"/>
      <c r="RRD60" s="484"/>
      <c r="RRE60" s="484"/>
      <c r="RRF60" s="484"/>
      <c r="RRG60" s="484"/>
      <c r="RRH60" s="484"/>
      <c r="RRI60" s="484"/>
      <c r="RRJ60" s="484"/>
      <c r="RRK60" s="484"/>
      <c r="RRL60" s="484"/>
      <c r="RRM60" s="484"/>
      <c r="RRN60" s="484"/>
      <c r="RRO60" s="484"/>
      <c r="RRP60" s="484"/>
      <c r="RRQ60" s="484"/>
      <c r="RRR60" s="484"/>
      <c r="RRS60" s="484"/>
      <c r="RRT60" s="484"/>
      <c r="RRU60" s="484"/>
      <c r="RRV60" s="484"/>
      <c r="RRW60" s="484"/>
      <c r="RRX60" s="484"/>
      <c r="RRY60" s="484"/>
      <c r="RRZ60" s="484"/>
      <c r="RSA60" s="484"/>
      <c r="RSB60" s="484"/>
      <c r="RSC60" s="484"/>
      <c r="RSD60" s="484"/>
      <c r="RSE60" s="484"/>
      <c r="RSF60" s="484"/>
      <c r="RSG60" s="484"/>
      <c r="RSH60" s="484"/>
      <c r="RSI60" s="484"/>
      <c r="RSJ60" s="484"/>
      <c r="RSK60" s="484"/>
      <c r="RSL60" s="484"/>
      <c r="RSM60" s="484"/>
      <c r="RSN60" s="484"/>
      <c r="RSO60" s="484"/>
      <c r="RSP60" s="484"/>
      <c r="RSQ60" s="484"/>
      <c r="RSR60" s="484"/>
      <c r="RSS60" s="484"/>
      <c r="RST60" s="484"/>
      <c r="RSU60" s="484"/>
      <c r="RSV60" s="484"/>
      <c r="RSW60" s="484"/>
      <c r="RSX60" s="484"/>
      <c r="RSY60" s="484"/>
      <c r="RSZ60" s="484"/>
      <c r="RTA60" s="484"/>
      <c r="RTB60" s="484"/>
      <c r="RTC60" s="484"/>
      <c r="RTD60" s="484"/>
      <c r="RTE60" s="484"/>
      <c r="RTF60" s="484"/>
      <c r="RTG60" s="484"/>
      <c r="RTH60" s="484"/>
      <c r="RTI60" s="484"/>
      <c r="RTJ60" s="484"/>
      <c r="RTK60" s="484"/>
      <c r="RTL60" s="484"/>
      <c r="RTM60" s="484"/>
      <c r="RTN60" s="484"/>
      <c r="RTO60" s="484"/>
      <c r="RTP60" s="484"/>
      <c r="RTQ60" s="484"/>
      <c r="RTR60" s="484"/>
      <c r="RTS60" s="484"/>
      <c r="RTT60" s="484"/>
      <c r="RTU60" s="484"/>
      <c r="RTV60" s="484"/>
      <c r="RTW60" s="484"/>
      <c r="RTX60" s="484"/>
      <c r="RTY60" s="484"/>
      <c r="RTZ60" s="484"/>
      <c r="RUA60" s="484"/>
      <c r="RUB60" s="484"/>
      <c r="RUC60" s="484"/>
      <c r="RUD60" s="484"/>
      <c r="RUE60" s="484"/>
      <c r="RUF60" s="484"/>
      <c r="RUG60" s="484"/>
      <c r="RUH60" s="484"/>
      <c r="RUI60" s="484"/>
      <c r="RUJ60" s="484"/>
      <c r="RUK60" s="484"/>
      <c r="RUL60" s="484"/>
      <c r="RUM60" s="484"/>
      <c r="RUN60" s="484"/>
      <c r="RUO60" s="484"/>
      <c r="RUP60" s="484"/>
      <c r="RUQ60" s="484"/>
      <c r="RUR60" s="484"/>
      <c r="RUS60" s="484"/>
      <c r="RUT60" s="484"/>
      <c r="RUU60" s="484"/>
      <c r="RUV60" s="484"/>
      <c r="RUW60" s="484"/>
      <c r="RUX60" s="484"/>
      <c r="RUY60" s="484"/>
      <c r="RUZ60" s="484"/>
      <c r="RVA60" s="484"/>
      <c r="RVB60" s="484"/>
      <c r="RVC60" s="484"/>
      <c r="RVD60" s="484"/>
      <c r="RVE60" s="484"/>
      <c r="RVF60" s="484"/>
      <c r="RVG60" s="484"/>
      <c r="RVH60" s="484"/>
      <c r="RVI60" s="484"/>
      <c r="RVJ60" s="484"/>
      <c r="RVK60" s="484"/>
      <c r="RVL60" s="484"/>
      <c r="RVM60" s="484"/>
      <c r="RVN60" s="484"/>
      <c r="RVO60" s="484"/>
      <c r="RVP60" s="484"/>
      <c r="RVQ60" s="484"/>
      <c r="RVR60" s="484"/>
      <c r="RVS60" s="484"/>
      <c r="RVT60" s="484"/>
      <c r="RVU60" s="484"/>
      <c r="RVV60" s="484"/>
      <c r="RVW60" s="484"/>
      <c r="RVX60" s="484"/>
      <c r="RVY60" s="484"/>
      <c r="RVZ60" s="484"/>
      <c r="RWA60" s="484"/>
      <c r="RWB60" s="484"/>
      <c r="RWC60" s="484"/>
      <c r="RWD60" s="484"/>
      <c r="RWE60" s="484"/>
      <c r="RWF60" s="484"/>
      <c r="RWG60" s="484"/>
      <c r="RWH60" s="484"/>
      <c r="RWI60" s="484"/>
      <c r="RWJ60" s="484"/>
      <c r="RWK60" s="484"/>
      <c r="RWL60" s="484"/>
      <c r="RWM60" s="484"/>
      <c r="RWN60" s="484"/>
      <c r="RWO60" s="484"/>
      <c r="RWP60" s="484"/>
      <c r="RWQ60" s="484"/>
      <c r="RWR60" s="484"/>
      <c r="RWS60" s="484"/>
      <c r="RWT60" s="484"/>
      <c r="RWU60" s="484"/>
      <c r="RWV60" s="484"/>
      <c r="RWW60" s="484"/>
      <c r="RWX60" s="484"/>
      <c r="RWY60" s="484"/>
      <c r="RWZ60" s="484"/>
      <c r="RXA60" s="484"/>
      <c r="RXB60" s="484"/>
      <c r="RXC60" s="484"/>
      <c r="RXD60" s="484"/>
      <c r="RXE60" s="484"/>
      <c r="RXF60" s="484"/>
      <c r="RXG60" s="484"/>
      <c r="RXH60" s="484"/>
      <c r="RXI60" s="484"/>
      <c r="RXJ60" s="484"/>
      <c r="RXK60" s="484"/>
      <c r="RXL60" s="484"/>
      <c r="RXM60" s="484"/>
      <c r="RXN60" s="484"/>
      <c r="RXO60" s="484"/>
      <c r="RXP60" s="484"/>
      <c r="RXQ60" s="484"/>
      <c r="RXR60" s="484"/>
      <c r="RXS60" s="484"/>
      <c r="RXT60" s="484"/>
      <c r="RXU60" s="484"/>
      <c r="RXV60" s="484"/>
      <c r="RXW60" s="484"/>
      <c r="RXX60" s="484"/>
      <c r="RXY60" s="484"/>
      <c r="RXZ60" s="484"/>
      <c r="RYA60" s="484"/>
      <c r="RYB60" s="484"/>
      <c r="RYC60" s="484"/>
      <c r="RYD60" s="484"/>
      <c r="RYE60" s="484"/>
      <c r="RYF60" s="484"/>
      <c r="RYG60" s="484"/>
      <c r="RYH60" s="484"/>
      <c r="RYI60" s="484"/>
      <c r="RYJ60" s="484"/>
      <c r="RYK60" s="484"/>
      <c r="RYL60" s="484"/>
      <c r="RYM60" s="484"/>
      <c r="RYN60" s="484"/>
      <c r="RYO60" s="484"/>
      <c r="RYP60" s="484"/>
      <c r="RYQ60" s="484"/>
      <c r="RYR60" s="484"/>
      <c r="RYS60" s="484"/>
      <c r="RYT60" s="484"/>
      <c r="RYU60" s="484"/>
      <c r="RYV60" s="484"/>
      <c r="RYW60" s="484"/>
      <c r="RYX60" s="484"/>
      <c r="RYY60" s="484"/>
      <c r="RYZ60" s="484"/>
      <c r="RZA60" s="484"/>
      <c r="RZB60" s="484"/>
      <c r="RZC60" s="484"/>
      <c r="RZD60" s="484"/>
      <c r="RZE60" s="484"/>
      <c r="RZF60" s="484"/>
      <c r="RZG60" s="484"/>
      <c r="RZH60" s="484"/>
      <c r="RZI60" s="484"/>
      <c r="RZJ60" s="484"/>
      <c r="RZK60" s="484"/>
      <c r="RZL60" s="484"/>
      <c r="RZM60" s="484"/>
      <c r="RZN60" s="484"/>
      <c r="RZO60" s="484"/>
      <c r="RZP60" s="484"/>
      <c r="RZQ60" s="484"/>
      <c r="RZR60" s="484"/>
      <c r="RZS60" s="484"/>
      <c r="RZT60" s="484"/>
      <c r="RZU60" s="484"/>
      <c r="RZV60" s="484"/>
      <c r="RZW60" s="484"/>
      <c r="RZX60" s="484"/>
      <c r="RZY60" s="484"/>
      <c r="RZZ60" s="484"/>
      <c r="SAA60" s="484"/>
      <c r="SAB60" s="484"/>
      <c r="SAC60" s="484"/>
      <c r="SAD60" s="484"/>
      <c r="SAE60" s="484"/>
      <c r="SAF60" s="484"/>
      <c r="SAG60" s="484"/>
      <c r="SAH60" s="484"/>
      <c r="SAI60" s="484"/>
      <c r="SAJ60" s="484"/>
      <c r="SAK60" s="484"/>
      <c r="SAL60" s="484"/>
      <c r="SAM60" s="484"/>
      <c r="SAN60" s="484"/>
      <c r="SAO60" s="484"/>
      <c r="SAP60" s="484"/>
      <c r="SAQ60" s="484"/>
      <c r="SAR60" s="484"/>
      <c r="SAS60" s="484"/>
      <c r="SAT60" s="484"/>
      <c r="SAU60" s="484"/>
      <c r="SAV60" s="484"/>
      <c r="SAW60" s="484"/>
      <c r="SAX60" s="484"/>
      <c r="SAY60" s="484"/>
      <c r="SAZ60" s="484"/>
      <c r="SBA60" s="484"/>
      <c r="SBB60" s="484"/>
      <c r="SBC60" s="484"/>
      <c r="SBD60" s="484"/>
      <c r="SBE60" s="484"/>
      <c r="SBF60" s="484"/>
      <c r="SBG60" s="484"/>
      <c r="SBH60" s="484"/>
      <c r="SBI60" s="484"/>
      <c r="SBJ60" s="484"/>
      <c r="SBK60" s="484"/>
      <c r="SBL60" s="484"/>
      <c r="SBM60" s="484"/>
      <c r="SBN60" s="484"/>
      <c r="SBO60" s="484"/>
      <c r="SBP60" s="484"/>
      <c r="SBQ60" s="484"/>
      <c r="SBR60" s="484"/>
      <c r="SBS60" s="484"/>
      <c r="SBT60" s="484"/>
      <c r="SBU60" s="484"/>
      <c r="SBV60" s="484"/>
      <c r="SBW60" s="484"/>
      <c r="SBX60" s="484"/>
      <c r="SBY60" s="484"/>
      <c r="SBZ60" s="484"/>
      <c r="SCA60" s="484"/>
      <c r="SCB60" s="484"/>
      <c r="SCC60" s="484"/>
      <c r="SCD60" s="484"/>
      <c r="SCE60" s="484"/>
      <c r="SCF60" s="484"/>
      <c r="SCG60" s="484"/>
      <c r="SCH60" s="484"/>
      <c r="SCI60" s="484"/>
      <c r="SCJ60" s="484"/>
      <c r="SCK60" s="484"/>
      <c r="SCL60" s="484"/>
      <c r="SCM60" s="484"/>
      <c r="SCN60" s="484"/>
      <c r="SCO60" s="484"/>
      <c r="SCP60" s="484"/>
      <c r="SCQ60" s="484"/>
      <c r="SCR60" s="484"/>
      <c r="SCS60" s="484"/>
      <c r="SCT60" s="484"/>
      <c r="SCU60" s="484"/>
      <c r="SCV60" s="484"/>
      <c r="SCW60" s="484"/>
      <c r="SCX60" s="484"/>
      <c r="SCY60" s="484"/>
      <c r="SCZ60" s="484"/>
      <c r="SDA60" s="484"/>
      <c r="SDB60" s="484"/>
      <c r="SDC60" s="484"/>
      <c r="SDD60" s="484"/>
      <c r="SDE60" s="484"/>
      <c r="SDF60" s="484"/>
      <c r="SDG60" s="484"/>
      <c r="SDH60" s="484"/>
      <c r="SDI60" s="484"/>
      <c r="SDJ60" s="484"/>
      <c r="SDK60" s="484"/>
      <c r="SDL60" s="484"/>
      <c r="SDM60" s="484"/>
      <c r="SDN60" s="484"/>
      <c r="SDO60" s="484"/>
      <c r="SDP60" s="484"/>
      <c r="SDQ60" s="484"/>
      <c r="SDR60" s="484"/>
      <c r="SDS60" s="484"/>
      <c r="SDT60" s="484"/>
      <c r="SDU60" s="484"/>
      <c r="SDV60" s="484"/>
      <c r="SDW60" s="484"/>
      <c r="SDX60" s="484"/>
      <c r="SDY60" s="484"/>
      <c r="SDZ60" s="484"/>
      <c r="SEA60" s="484"/>
      <c r="SEB60" s="484"/>
      <c r="SEC60" s="484"/>
      <c r="SED60" s="484"/>
      <c r="SEE60" s="484"/>
      <c r="SEF60" s="484"/>
      <c r="SEG60" s="484"/>
      <c r="SEH60" s="484"/>
      <c r="SEI60" s="484"/>
      <c r="SEJ60" s="484"/>
      <c r="SEK60" s="484"/>
      <c r="SEL60" s="484"/>
      <c r="SEM60" s="484"/>
      <c r="SEN60" s="484"/>
      <c r="SEO60" s="484"/>
      <c r="SEP60" s="484"/>
      <c r="SEQ60" s="484"/>
      <c r="SER60" s="484"/>
      <c r="SES60" s="484"/>
      <c r="SET60" s="484"/>
      <c r="SEU60" s="484"/>
      <c r="SEV60" s="484"/>
      <c r="SEW60" s="484"/>
      <c r="SEX60" s="484"/>
      <c r="SEY60" s="484"/>
      <c r="SEZ60" s="484"/>
      <c r="SFA60" s="484"/>
      <c r="SFB60" s="484"/>
      <c r="SFC60" s="484"/>
      <c r="SFD60" s="484"/>
      <c r="SFE60" s="484"/>
      <c r="SFF60" s="484"/>
      <c r="SFG60" s="484"/>
      <c r="SFH60" s="484"/>
      <c r="SFI60" s="484"/>
      <c r="SFJ60" s="484"/>
      <c r="SFK60" s="484"/>
      <c r="SFL60" s="484"/>
      <c r="SFM60" s="484"/>
      <c r="SFN60" s="484"/>
      <c r="SFO60" s="484"/>
      <c r="SFP60" s="484"/>
      <c r="SFQ60" s="484"/>
      <c r="SFR60" s="484"/>
      <c r="SFS60" s="484"/>
      <c r="SFT60" s="484"/>
      <c r="SFU60" s="484"/>
      <c r="SFV60" s="484"/>
      <c r="SFW60" s="484"/>
      <c r="SFX60" s="484"/>
      <c r="SFY60" s="484"/>
      <c r="SFZ60" s="484"/>
      <c r="SGA60" s="484"/>
      <c r="SGB60" s="484"/>
      <c r="SGC60" s="484"/>
      <c r="SGD60" s="484"/>
      <c r="SGE60" s="484"/>
      <c r="SGF60" s="484"/>
      <c r="SGG60" s="484"/>
      <c r="SGH60" s="484"/>
      <c r="SGI60" s="484"/>
      <c r="SGJ60" s="484"/>
      <c r="SGK60" s="484"/>
      <c r="SGL60" s="484"/>
      <c r="SGM60" s="484"/>
      <c r="SGN60" s="484"/>
      <c r="SGO60" s="484"/>
      <c r="SGP60" s="484"/>
      <c r="SGQ60" s="484"/>
      <c r="SGR60" s="484"/>
      <c r="SGS60" s="484"/>
      <c r="SGT60" s="484"/>
      <c r="SGU60" s="484"/>
      <c r="SGV60" s="484"/>
      <c r="SGW60" s="484"/>
      <c r="SGX60" s="484"/>
      <c r="SGY60" s="484"/>
      <c r="SGZ60" s="484"/>
      <c r="SHA60" s="484"/>
      <c r="SHB60" s="484"/>
      <c r="SHC60" s="484"/>
      <c r="SHD60" s="484"/>
      <c r="SHE60" s="484"/>
      <c r="SHF60" s="484"/>
      <c r="SHG60" s="484"/>
      <c r="SHH60" s="484"/>
      <c r="SHI60" s="484"/>
      <c r="SHJ60" s="484"/>
      <c r="SHK60" s="484"/>
      <c r="SHL60" s="484"/>
      <c r="SHM60" s="484"/>
      <c r="SHN60" s="484"/>
      <c r="SHO60" s="484"/>
      <c r="SHP60" s="484"/>
      <c r="SHQ60" s="484"/>
      <c r="SHR60" s="484"/>
      <c r="SHS60" s="484"/>
      <c r="SHT60" s="484"/>
      <c r="SHU60" s="484"/>
      <c r="SHV60" s="484"/>
      <c r="SHW60" s="484"/>
      <c r="SHX60" s="484"/>
      <c r="SHY60" s="484"/>
      <c r="SHZ60" s="484"/>
      <c r="SIA60" s="484"/>
      <c r="SIB60" s="484"/>
      <c r="SIC60" s="484"/>
      <c r="SID60" s="484"/>
      <c r="SIE60" s="484"/>
      <c r="SIF60" s="484"/>
      <c r="SIG60" s="484"/>
      <c r="SIH60" s="484"/>
      <c r="SII60" s="484"/>
      <c r="SIJ60" s="484"/>
      <c r="SIK60" s="484"/>
      <c r="SIL60" s="484"/>
      <c r="SIM60" s="484"/>
      <c r="SIN60" s="484"/>
      <c r="SIO60" s="484"/>
      <c r="SIP60" s="484"/>
      <c r="SIQ60" s="484"/>
      <c r="SIR60" s="484"/>
      <c r="SIS60" s="484"/>
      <c r="SIT60" s="484"/>
      <c r="SIU60" s="484"/>
      <c r="SIV60" s="484"/>
      <c r="SIW60" s="484"/>
      <c r="SIX60" s="484"/>
      <c r="SIY60" s="484"/>
      <c r="SIZ60" s="484"/>
      <c r="SJA60" s="484"/>
      <c r="SJB60" s="484"/>
      <c r="SJC60" s="484"/>
      <c r="SJD60" s="484"/>
      <c r="SJE60" s="484"/>
      <c r="SJF60" s="484"/>
      <c r="SJG60" s="484"/>
      <c r="SJH60" s="484"/>
      <c r="SJI60" s="484"/>
      <c r="SJJ60" s="484"/>
      <c r="SJK60" s="484"/>
      <c r="SJL60" s="484"/>
      <c r="SJM60" s="484"/>
      <c r="SJN60" s="484"/>
      <c r="SJO60" s="484"/>
      <c r="SJP60" s="484"/>
      <c r="SJQ60" s="484"/>
      <c r="SJR60" s="484"/>
      <c r="SJS60" s="484"/>
      <c r="SJT60" s="484"/>
      <c r="SJU60" s="484"/>
      <c r="SJV60" s="484"/>
      <c r="SJW60" s="484"/>
      <c r="SJX60" s="484"/>
      <c r="SJY60" s="484"/>
      <c r="SJZ60" s="484"/>
      <c r="SKA60" s="484"/>
      <c r="SKB60" s="484"/>
      <c r="SKC60" s="484"/>
      <c r="SKD60" s="484"/>
      <c r="SKE60" s="484"/>
      <c r="SKF60" s="484"/>
      <c r="SKG60" s="484"/>
      <c r="SKH60" s="484"/>
      <c r="SKI60" s="484"/>
      <c r="SKJ60" s="484"/>
      <c r="SKK60" s="484"/>
      <c r="SKL60" s="484"/>
      <c r="SKM60" s="484"/>
      <c r="SKN60" s="484"/>
      <c r="SKO60" s="484"/>
      <c r="SKP60" s="484"/>
      <c r="SKQ60" s="484"/>
      <c r="SKR60" s="484"/>
      <c r="SKS60" s="484"/>
      <c r="SKT60" s="484"/>
      <c r="SKU60" s="484"/>
      <c r="SKV60" s="484"/>
      <c r="SKW60" s="484"/>
      <c r="SKX60" s="484"/>
      <c r="SKY60" s="484"/>
      <c r="SKZ60" s="484"/>
      <c r="SLA60" s="484"/>
      <c r="SLB60" s="484"/>
      <c r="SLC60" s="484"/>
      <c r="SLD60" s="484"/>
      <c r="SLE60" s="484"/>
      <c r="SLF60" s="484"/>
      <c r="SLG60" s="484"/>
      <c r="SLH60" s="484"/>
      <c r="SLI60" s="484"/>
      <c r="SLJ60" s="484"/>
      <c r="SLK60" s="484"/>
      <c r="SLL60" s="484"/>
      <c r="SLM60" s="484"/>
      <c r="SLN60" s="484"/>
      <c r="SLO60" s="484"/>
      <c r="SLP60" s="484"/>
      <c r="SLQ60" s="484"/>
      <c r="SLR60" s="484"/>
      <c r="SLS60" s="484"/>
      <c r="SLT60" s="484"/>
      <c r="SLU60" s="484"/>
      <c r="SLV60" s="484"/>
      <c r="SLW60" s="484"/>
      <c r="SLX60" s="484"/>
      <c r="SLY60" s="484"/>
      <c r="SLZ60" s="484"/>
      <c r="SMA60" s="484"/>
      <c r="SMB60" s="484"/>
      <c r="SMC60" s="484"/>
      <c r="SMD60" s="484"/>
      <c r="SME60" s="484"/>
      <c r="SMF60" s="484"/>
      <c r="SMG60" s="484"/>
      <c r="SMH60" s="484"/>
      <c r="SMI60" s="484"/>
      <c r="SMJ60" s="484"/>
      <c r="SMK60" s="484"/>
      <c r="SML60" s="484"/>
      <c r="SMM60" s="484"/>
      <c r="SMN60" s="484"/>
      <c r="SMO60" s="484"/>
      <c r="SMP60" s="484"/>
      <c r="SMQ60" s="484"/>
      <c r="SMR60" s="484"/>
      <c r="SMS60" s="484"/>
      <c r="SMT60" s="484"/>
      <c r="SMU60" s="484"/>
      <c r="SMV60" s="484"/>
      <c r="SMW60" s="484"/>
      <c r="SMX60" s="484"/>
      <c r="SMY60" s="484"/>
      <c r="SMZ60" s="484"/>
      <c r="SNA60" s="484"/>
      <c r="SNB60" s="484"/>
      <c r="SNC60" s="484"/>
      <c r="SND60" s="484"/>
      <c r="SNE60" s="484"/>
      <c r="SNF60" s="484"/>
      <c r="SNG60" s="484"/>
      <c r="SNH60" s="484"/>
      <c r="SNI60" s="484"/>
      <c r="SNJ60" s="484"/>
      <c r="SNK60" s="484"/>
      <c r="SNL60" s="484"/>
      <c r="SNM60" s="484"/>
      <c r="SNN60" s="484"/>
      <c r="SNO60" s="484"/>
      <c r="SNP60" s="484"/>
      <c r="SNQ60" s="484"/>
      <c r="SNR60" s="484"/>
      <c r="SNS60" s="484"/>
      <c r="SNT60" s="484"/>
      <c r="SNU60" s="484"/>
      <c r="SNV60" s="484"/>
      <c r="SNW60" s="484"/>
      <c r="SNX60" s="484"/>
      <c r="SNY60" s="484"/>
      <c r="SNZ60" s="484"/>
      <c r="SOA60" s="484"/>
      <c r="SOB60" s="484"/>
      <c r="SOC60" s="484"/>
      <c r="SOD60" s="484"/>
      <c r="SOE60" s="484"/>
      <c r="SOF60" s="484"/>
      <c r="SOG60" s="484"/>
      <c r="SOH60" s="484"/>
      <c r="SOI60" s="484"/>
      <c r="SOJ60" s="484"/>
      <c r="SOK60" s="484"/>
      <c r="SOL60" s="484"/>
      <c r="SOM60" s="484"/>
      <c r="SON60" s="484"/>
      <c r="SOO60" s="484"/>
      <c r="SOP60" s="484"/>
      <c r="SOQ60" s="484"/>
      <c r="SOR60" s="484"/>
      <c r="SOS60" s="484"/>
      <c r="SOT60" s="484"/>
      <c r="SOU60" s="484"/>
      <c r="SOV60" s="484"/>
      <c r="SOW60" s="484"/>
      <c r="SOX60" s="484"/>
      <c r="SOY60" s="484"/>
      <c r="SOZ60" s="484"/>
      <c r="SPA60" s="484"/>
      <c r="SPB60" s="484"/>
      <c r="SPC60" s="484"/>
      <c r="SPD60" s="484"/>
      <c r="SPE60" s="484"/>
      <c r="SPF60" s="484"/>
      <c r="SPG60" s="484"/>
      <c r="SPH60" s="484"/>
      <c r="SPI60" s="484"/>
      <c r="SPJ60" s="484"/>
      <c r="SPK60" s="484"/>
      <c r="SPL60" s="484"/>
      <c r="SPM60" s="484"/>
      <c r="SPN60" s="484"/>
      <c r="SPO60" s="484"/>
      <c r="SPP60" s="484"/>
      <c r="SPQ60" s="484"/>
      <c r="SPR60" s="484"/>
      <c r="SPS60" s="484"/>
      <c r="SPT60" s="484"/>
      <c r="SPU60" s="484"/>
      <c r="SPV60" s="484"/>
      <c r="SPW60" s="484"/>
      <c r="SPX60" s="484"/>
      <c r="SPY60" s="484"/>
      <c r="SPZ60" s="484"/>
      <c r="SQA60" s="484"/>
      <c r="SQB60" s="484"/>
      <c r="SQC60" s="484"/>
      <c r="SQD60" s="484"/>
      <c r="SQE60" s="484"/>
      <c r="SQF60" s="484"/>
      <c r="SQG60" s="484"/>
      <c r="SQH60" s="484"/>
      <c r="SQI60" s="484"/>
      <c r="SQJ60" s="484"/>
      <c r="SQK60" s="484"/>
      <c r="SQL60" s="484"/>
      <c r="SQM60" s="484"/>
      <c r="SQN60" s="484"/>
      <c r="SQO60" s="484"/>
      <c r="SQP60" s="484"/>
      <c r="SQQ60" s="484"/>
      <c r="SQR60" s="484"/>
      <c r="SQS60" s="484"/>
      <c r="SQT60" s="484"/>
      <c r="SQU60" s="484"/>
      <c r="SQV60" s="484"/>
      <c r="SQW60" s="484"/>
      <c r="SQX60" s="484"/>
      <c r="SQY60" s="484"/>
      <c r="SQZ60" s="484"/>
      <c r="SRA60" s="484"/>
      <c r="SRB60" s="484"/>
      <c r="SRC60" s="484"/>
      <c r="SRD60" s="484"/>
      <c r="SRE60" s="484"/>
      <c r="SRF60" s="484"/>
      <c r="SRG60" s="484"/>
      <c r="SRH60" s="484"/>
      <c r="SRI60" s="484"/>
      <c r="SRJ60" s="484"/>
      <c r="SRK60" s="484"/>
      <c r="SRL60" s="484"/>
      <c r="SRM60" s="484"/>
      <c r="SRN60" s="484"/>
      <c r="SRO60" s="484"/>
      <c r="SRP60" s="484"/>
      <c r="SRQ60" s="484"/>
      <c r="SRR60" s="484"/>
      <c r="SRS60" s="484"/>
      <c r="SRT60" s="484"/>
      <c r="SRU60" s="484"/>
      <c r="SRV60" s="484"/>
      <c r="SRW60" s="484"/>
      <c r="SRX60" s="484"/>
      <c r="SRY60" s="484"/>
      <c r="SRZ60" s="484"/>
      <c r="SSA60" s="484"/>
      <c r="SSB60" s="484"/>
      <c r="SSC60" s="484"/>
      <c r="SSD60" s="484"/>
      <c r="SSE60" s="484"/>
      <c r="SSF60" s="484"/>
      <c r="SSG60" s="484"/>
      <c r="SSH60" s="484"/>
      <c r="SSI60" s="484"/>
      <c r="SSJ60" s="484"/>
      <c r="SSK60" s="484"/>
      <c r="SSL60" s="484"/>
      <c r="SSM60" s="484"/>
      <c r="SSN60" s="484"/>
      <c r="SSO60" s="484"/>
      <c r="SSP60" s="484"/>
      <c r="SSQ60" s="484"/>
      <c r="SSR60" s="484"/>
      <c r="SSS60" s="484"/>
      <c r="SST60" s="484"/>
      <c r="SSU60" s="484"/>
      <c r="SSV60" s="484"/>
      <c r="SSW60" s="484"/>
      <c r="SSX60" s="484"/>
      <c r="SSY60" s="484"/>
      <c r="SSZ60" s="484"/>
      <c r="STA60" s="484"/>
      <c r="STB60" s="484"/>
      <c r="STC60" s="484"/>
      <c r="STD60" s="484"/>
      <c r="STE60" s="484"/>
      <c r="STF60" s="484"/>
      <c r="STG60" s="484"/>
      <c r="STH60" s="484"/>
      <c r="STI60" s="484"/>
      <c r="STJ60" s="484"/>
      <c r="STK60" s="484"/>
      <c r="STL60" s="484"/>
      <c r="STM60" s="484"/>
      <c r="STN60" s="484"/>
      <c r="STO60" s="484"/>
      <c r="STP60" s="484"/>
      <c r="STQ60" s="484"/>
      <c r="STR60" s="484"/>
      <c r="STS60" s="484"/>
      <c r="STT60" s="484"/>
      <c r="STU60" s="484"/>
      <c r="STV60" s="484"/>
      <c r="STW60" s="484"/>
      <c r="STX60" s="484"/>
      <c r="STY60" s="484"/>
      <c r="STZ60" s="484"/>
      <c r="SUA60" s="484"/>
      <c r="SUB60" s="484"/>
      <c r="SUC60" s="484"/>
      <c r="SUD60" s="484"/>
      <c r="SUE60" s="484"/>
      <c r="SUF60" s="484"/>
      <c r="SUG60" s="484"/>
      <c r="SUH60" s="484"/>
      <c r="SUI60" s="484"/>
      <c r="SUJ60" s="484"/>
      <c r="SUK60" s="484"/>
      <c r="SUL60" s="484"/>
      <c r="SUM60" s="484"/>
      <c r="SUN60" s="484"/>
      <c r="SUO60" s="484"/>
      <c r="SUP60" s="484"/>
      <c r="SUQ60" s="484"/>
      <c r="SUR60" s="484"/>
      <c r="SUS60" s="484"/>
      <c r="SUT60" s="484"/>
      <c r="SUU60" s="484"/>
      <c r="SUV60" s="484"/>
      <c r="SUW60" s="484"/>
      <c r="SUX60" s="484"/>
      <c r="SUY60" s="484"/>
      <c r="SUZ60" s="484"/>
      <c r="SVA60" s="484"/>
      <c r="SVB60" s="484"/>
      <c r="SVC60" s="484"/>
      <c r="SVD60" s="484"/>
      <c r="SVE60" s="484"/>
      <c r="SVF60" s="484"/>
      <c r="SVG60" s="484"/>
      <c r="SVH60" s="484"/>
      <c r="SVI60" s="484"/>
      <c r="SVJ60" s="484"/>
      <c r="SVK60" s="484"/>
      <c r="SVL60" s="484"/>
      <c r="SVM60" s="484"/>
      <c r="SVN60" s="484"/>
      <c r="SVO60" s="484"/>
      <c r="SVP60" s="484"/>
      <c r="SVQ60" s="484"/>
      <c r="SVR60" s="484"/>
      <c r="SVS60" s="484"/>
      <c r="SVT60" s="484"/>
      <c r="SVU60" s="484"/>
      <c r="SVV60" s="484"/>
      <c r="SVW60" s="484"/>
      <c r="SVX60" s="484"/>
      <c r="SVY60" s="484"/>
      <c r="SVZ60" s="484"/>
      <c r="SWA60" s="484"/>
      <c r="SWB60" s="484"/>
      <c r="SWC60" s="484"/>
      <c r="SWD60" s="484"/>
      <c r="SWE60" s="484"/>
      <c r="SWF60" s="484"/>
      <c r="SWG60" s="484"/>
      <c r="SWH60" s="484"/>
      <c r="SWI60" s="484"/>
      <c r="SWJ60" s="484"/>
      <c r="SWK60" s="484"/>
      <c r="SWL60" s="484"/>
      <c r="SWM60" s="484"/>
      <c r="SWN60" s="484"/>
      <c r="SWO60" s="484"/>
      <c r="SWP60" s="484"/>
      <c r="SWQ60" s="484"/>
      <c r="SWR60" s="484"/>
      <c r="SWS60" s="484"/>
      <c r="SWT60" s="484"/>
      <c r="SWU60" s="484"/>
      <c r="SWV60" s="484"/>
      <c r="SWW60" s="484"/>
      <c r="SWX60" s="484"/>
      <c r="SWY60" s="484"/>
      <c r="SWZ60" s="484"/>
      <c r="SXA60" s="484"/>
      <c r="SXB60" s="484"/>
      <c r="SXC60" s="484"/>
      <c r="SXD60" s="484"/>
      <c r="SXE60" s="484"/>
      <c r="SXF60" s="484"/>
      <c r="SXG60" s="484"/>
      <c r="SXH60" s="484"/>
      <c r="SXI60" s="484"/>
      <c r="SXJ60" s="484"/>
      <c r="SXK60" s="484"/>
      <c r="SXL60" s="484"/>
      <c r="SXM60" s="484"/>
      <c r="SXN60" s="484"/>
      <c r="SXO60" s="484"/>
      <c r="SXP60" s="484"/>
      <c r="SXQ60" s="484"/>
      <c r="SXR60" s="484"/>
      <c r="SXS60" s="484"/>
      <c r="SXT60" s="484"/>
      <c r="SXU60" s="484"/>
      <c r="SXV60" s="484"/>
      <c r="SXW60" s="484"/>
      <c r="SXX60" s="484"/>
      <c r="SXY60" s="484"/>
      <c r="SXZ60" s="484"/>
      <c r="SYA60" s="484"/>
      <c r="SYB60" s="484"/>
      <c r="SYC60" s="484"/>
      <c r="SYD60" s="484"/>
      <c r="SYE60" s="484"/>
      <c r="SYF60" s="484"/>
      <c r="SYG60" s="484"/>
      <c r="SYH60" s="484"/>
      <c r="SYI60" s="484"/>
      <c r="SYJ60" s="484"/>
      <c r="SYK60" s="484"/>
      <c r="SYL60" s="484"/>
      <c r="SYM60" s="484"/>
      <c r="SYN60" s="484"/>
      <c r="SYO60" s="484"/>
      <c r="SYP60" s="484"/>
      <c r="SYQ60" s="484"/>
      <c r="SYR60" s="484"/>
      <c r="SYS60" s="484"/>
      <c r="SYT60" s="484"/>
      <c r="SYU60" s="484"/>
      <c r="SYV60" s="484"/>
      <c r="SYW60" s="484"/>
      <c r="SYX60" s="484"/>
      <c r="SYY60" s="484"/>
      <c r="SYZ60" s="484"/>
      <c r="SZA60" s="484"/>
      <c r="SZB60" s="484"/>
      <c r="SZC60" s="484"/>
      <c r="SZD60" s="484"/>
      <c r="SZE60" s="484"/>
      <c r="SZF60" s="484"/>
      <c r="SZG60" s="484"/>
      <c r="SZH60" s="484"/>
      <c r="SZI60" s="484"/>
      <c r="SZJ60" s="484"/>
      <c r="SZK60" s="484"/>
      <c r="SZL60" s="484"/>
      <c r="SZM60" s="484"/>
      <c r="SZN60" s="484"/>
      <c r="SZO60" s="484"/>
      <c r="SZP60" s="484"/>
      <c r="SZQ60" s="484"/>
      <c r="SZR60" s="484"/>
      <c r="SZS60" s="484"/>
      <c r="SZT60" s="484"/>
      <c r="SZU60" s="484"/>
      <c r="SZV60" s="484"/>
      <c r="SZW60" s="484"/>
      <c r="SZX60" s="484"/>
      <c r="SZY60" s="484"/>
      <c r="SZZ60" s="484"/>
      <c r="TAA60" s="484"/>
      <c r="TAB60" s="484"/>
      <c r="TAC60" s="484"/>
      <c r="TAD60" s="484"/>
      <c r="TAE60" s="484"/>
      <c r="TAF60" s="484"/>
      <c r="TAG60" s="484"/>
      <c r="TAH60" s="484"/>
      <c r="TAI60" s="484"/>
      <c r="TAJ60" s="484"/>
      <c r="TAK60" s="484"/>
      <c r="TAL60" s="484"/>
      <c r="TAM60" s="484"/>
      <c r="TAN60" s="484"/>
      <c r="TAO60" s="484"/>
      <c r="TAP60" s="484"/>
      <c r="TAQ60" s="484"/>
      <c r="TAR60" s="484"/>
      <c r="TAS60" s="484"/>
      <c r="TAT60" s="484"/>
      <c r="TAU60" s="484"/>
      <c r="TAV60" s="484"/>
      <c r="TAW60" s="484"/>
      <c r="TAX60" s="484"/>
      <c r="TAY60" s="484"/>
      <c r="TAZ60" s="484"/>
      <c r="TBA60" s="484"/>
      <c r="TBB60" s="484"/>
      <c r="TBC60" s="484"/>
      <c r="TBD60" s="484"/>
      <c r="TBE60" s="484"/>
      <c r="TBF60" s="484"/>
      <c r="TBG60" s="484"/>
      <c r="TBH60" s="484"/>
      <c r="TBI60" s="484"/>
      <c r="TBJ60" s="484"/>
      <c r="TBK60" s="484"/>
      <c r="TBL60" s="484"/>
      <c r="TBM60" s="484"/>
      <c r="TBN60" s="484"/>
      <c r="TBO60" s="484"/>
      <c r="TBP60" s="484"/>
      <c r="TBQ60" s="484"/>
      <c r="TBR60" s="484"/>
      <c r="TBS60" s="484"/>
      <c r="TBT60" s="484"/>
      <c r="TBU60" s="484"/>
      <c r="TBV60" s="484"/>
      <c r="TBW60" s="484"/>
      <c r="TBX60" s="484"/>
      <c r="TBY60" s="484"/>
      <c r="TBZ60" s="484"/>
      <c r="TCA60" s="484"/>
      <c r="TCB60" s="484"/>
      <c r="TCC60" s="484"/>
      <c r="TCD60" s="484"/>
      <c r="TCE60" s="484"/>
      <c r="TCF60" s="484"/>
      <c r="TCG60" s="484"/>
      <c r="TCH60" s="484"/>
      <c r="TCI60" s="484"/>
      <c r="TCJ60" s="484"/>
      <c r="TCK60" s="484"/>
      <c r="TCL60" s="484"/>
      <c r="TCM60" s="484"/>
      <c r="TCN60" s="484"/>
      <c r="TCO60" s="484"/>
      <c r="TCP60" s="484"/>
      <c r="TCQ60" s="484"/>
      <c r="TCR60" s="484"/>
      <c r="TCS60" s="484"/>
      <c r="TCT60" s="484"/>
      <c r="TCU60" s="484"/>
      <c r="TCV60" s="484"/>
      <c r="TCW60" s="484"/>
      <c r="TCX60" s="484"/>
      <c r="TCY60" s="484"/>
      <c r="TCZ60" s="484"/>
      <c r="TDA60" s="484"/>
      <c r="TDB60" s="484"/>
      <c r="TDC60" s="484"/>
      <c r="TDD60" s="484"/>
      <c r="TDE60" s="484"/>
      <c r="TDF60" s="484"/>
      <c r="TDG60" s="484"/>
      <c r="TDH60" s="484"/>
      <c r="TDI60" s="484"/>
      <c r="TDJ60" s="484"/>
      <c r="TDK60" s="484"/>
      <c r="TDL60" s="484"/>
      <c r="TDM60" s="484"/>
      <c r="TDN60" s="484"/>
      <c r="TDO60" s="484"/>
      <c r="TDP60" s="484"/>
      <c r="TDQ60" s="484"/>
      <c r="TDR60" s="484"/>
      <c r="TDS60" s="484"/>
      <c r="TDT60" s="484"/>
      <c r="TDU60" s="484"/>
      <c r="TDV60" s="484"/>
      <c r="TDW60" s="484"/>
      <c r="TDX60" s="484"/>
      <c r="TDY60" s="484"/>
      <c r="TDZ60" s="484"/>
      <c r="TEA60" s="484"/>
      <c r="TEB60" s="484"/>
      <c r="TEC60" s="484"/>
      <c r="TED60" s="484"/>
      <c r="TEE60" s="484"/>
      <c r="TEF60" s="484"/>
      <c r="TEG60" s="484"/>
      <c r="TEH60" s="484"/>
      <c r="TEI60" s="484"/>
      <c r="TEJ60" s="484"/>
      <c r="TEK60" s="484"/>
      <c r="TEL60" s="484"/>
      <c r="TEM60" s="484"/>
      <c r="TEN60" s="484"/>
      <c r="TEO60" s="484"/>
      <c r="TEP60" s="484"/>
      <c r="TEQ60" s="484"/>
      <c r="TER60" s="484"/>
      <c r="TES60" s="484"/>
      <c r="TET60" s="484"/>
      <c r="TEU60" s="484"/>
      <c r="TEV60" s="484"/>
      <c r="TEW60" s="484"/>
      <c r="TEX60" s="484"/>
      <c r="TEY60" s="484"/>
      <c r="TEZ60" s="484"/>
      <c r="TFA60" s="484"/>
      <c r="TFB60" s="484"/>
      <c r="TFC60" s="484"/>
      <c r="TFD60" s="484"/>
      <c r="TFE60" s="484"/>
      <c r="TFF60" s="484"/>
      <c r="TFG60" s="484"/>
      <c r="TFH60" s="484"/>
      <c r="TFI60" s="484"/>
      <c r="TFJ60" s="484"/>
      <c r="TFK60" s="484"/>
      <c r="TFL60" s="484"/>
      <c r="TFM60" s="484"/>
      <c r="TFN60" s="484"/>
      <c r="TFO60" s="484"/>
      <c r="TFP60" s="484"/>
      <c r="TFQ60" s="484"/>
      <c r="TFR60" s="484"/>
      <c r="TFS60" s="484"/>
      <c r="TFT60" s="484"/>
      <c r="TFU60" s="484"/>
      <c r="TFV60" s="484"/>
      <c r="TFW60" s="484"/>
      <c r="TFX60" s="484"/>
      <c r="TFY60" s="484"/>
      <c r="TFZ60" s="484"/>
      <c r="TGA60" s="484"/>
      <c r="TGB60" s="484"/>
      <c r="TGC60" s="484"/>
      <c r="TGD60" s="484"/>
      <c r="TGE60" s="484"/>
      <c r="TGF60" s="484"/>
      <c r="TGG60" s="484"/>
      <c r="TGH60" s="484"/>
      <c r="TGI60" s="484"/>
      <c r="TGJ60" s="484"/>
      <c r="TGK60" s="484"/>
      <c r="TGL60" s="484"/>
      <c r="TGM60" s="484"/>
      <c r="TGN60" s="484"/>
      <c r="TGO60" s="484"/>
      <c r="TGP60" s="484"/>
      <c r="TGQ60" s="484"/>
      <c r="TGR60" s="484"/>
      <c r="TGS60" s="484"/>
      <c r="TGT60" s="484"/>
      <c r="TGU60" s="484"/>
      <c r="TGV60" s="484"/>
      <c r="TGW60" s="484"/>
      <c r="TGX60" s="484"/>
      <c r="TGY60" s="484"/>
      <c r="TGZ60" s="484"/>
      <c r="THA60" s="484"/>
      <c r="THB60" s="484"/>
      <c r="THC60" s="484"/>
      <c r="THD60" s="484"/>
      <c r="THE60" s="484"/>
      <c r="THF60" s="484"/>
      <c r="THG60" s="484"/>
      <c r="THH60" s="484"/>
      <c r="THI60" s="484"/>
      <c r="THJ60" s="484"/>
      <c r="THK60" s="484"/>
      <c r="THL60" s="484"/>
      <c r="THM60" s="484"/>
      <c r="THN60" s="484"/>
      <c r="THO60" s="484"/>
      <c r="THP60" s="484"/>
      <c r="THQ60" s="484"/>
      <c r="THR60" s="484"/>
      <c r="THS60" s="484"/>
      <c r="THT60" s="484"/>
      <c r="THU60" s="484"/>
      <c r="THV60" s="484"/>
      <c r="THW60" s="484"/>
      <c r="THX60" s="484"/>
      <c r="THY60" s="484"/>
      <c r="THZ60" s="484"/>
      <c r="TIA60" s="484"/>
      <c r="TIB60" s="484"/>
      <c r="TIC60" s="484"/>
      <c r="TID60" s="484"/>
      <c r="TIE60" s="484"/>
      <c r="TIF60" s="484"/>
      <c r="TIG60" s="484"/>
      <c r="TIH60" s="484"/>
      <c r="TII60" s="484"/>
      <c r="TIJ60" s="484"/>
      <c r="TIK60" s="484"/>
      <c r="TIL60" s="484"/>
      <c r="TIM60" s="484"/>
      <c r="TIN60" s="484"/>
      <c r="TIO60" s="484"/>
      <c r="TIP60" s="484"/>
      <c r="TIQ60" s="484"/>
      <c r="TIR60" s="484"/>
      <c r="TIS60" s="484"/>
      <c r="TIT60" s="484"/>
      <c r="TIU60" s="484"/>
      <c r="TIV60" s="484"/>
      <c r="TIW60" s="484"/>
      <c r="TIX60" s="484"/>
      <c r="TIY60" s="484"/>
      <c r="TIZ60" s="484"/>
      <c r="TJA60" s="484"/>
      <c r="TJB60" s="484"/>
      <c r="TJC60" s="484"/>
      <c r="TJD60" s="484"/>
      <c r="TJE60" s="484"/>
      <c r="TJF60" s="484"/>
      <c r="TJG60" s="484"/>
      <c r="TJH60" s="484"/>
      <c r="TJI60" s="484"/>
      <c r="TJJ60" s="484"/>
      <c r="TJK60" s="484"/>
      <c r="TJL60" s="484"/>
      <c r="TJM60" s="484"/>
      <c r="TJN60" s="484"/>
      <c r="TJO60" s="484"/>
      <c r="TJP60" s="484"/>
      <c r="TJQ60" s="484"/>
      <c r="TJR60" s="484"/>
      <c r="TJS60" s="484"/>
      <c r="TJT60" s="484"/>
      <c r="TJU60" s="484"/>
      <c r="TJV60" s="484"/>
      <c r="TJW60" s="484"/>
      <c r="TJX60" s="484"/>
      <c r="TJY60" s="484"/>
      <c r="TJZ60" s="484"/>
      <c r="TKA60" s="484"/>
      <c r="TKB60" s="484"/>
      <c r="TKC60" s="484"/>
      <c r="TKD60" s="484"/>
      <c r="TKE60" s="484"/>
      <c r="TKF60" s="484"/>
      <c r="TKG60" s="484"/>
      <c r="TKH60" s="484"/>
      <c r="TKI60" s="484"/>
      <c r="TKJ60" s="484"/>
      <c r="TKK60" s="484"/>
      <c r="TKL60" s="484"/>
      <c r="TKM60" s="484"/>
      <c r="TKN60" s="484"/>
      <c r="TKO60" s="484"/>
      <c r="TKP60" s="484"/>
      <c r="TKQ60" s="484"/>
      <c r="TKR60" s="484"/>
      <c r="TKS60" s="484"/>
      <c r="TKT60" s="484"/>
      <c r="TKU60" s="484"/>
      <c r="TKV60" s="484"/>
      <c r="TKW60" s="484"/>
      <c r="TKX60" s="484"/>
      <c r="TKY60" s="484"/>
      <c r="TKZ60" s="484"/>
      <c r="TLA60" s="484"/>
      <c r="TLB60" s="484"/>
      <c r="TLC60" s="484"/>
      <c r="TLD60" s="484"/>
      <c r="TLE60" s="484"/>
      <c r="TLF60" s="484"/>
      <c r="TLG60" s="484"/>
      <c r="TLH60" s="484"/>
      <c r="TLI60" s="484"/>
      <c r="TLJ60" s="484"/>
      <c r="TLK60" s="484"/>
      <c r="TLL60" s="484"/>
      <c r="TLM60" s="484"/>
      <c r="TLN60" s="484"/>
      <c r="TLO60" s="484"/>
      <c r="TLP60" s="484"/>
      <c r="TLQ60" s="484"/>
      <c r="TLR60" s="484"/>
      <c r="TLS60" s="484"/>
      <c r="TLT60" s="484"/>
      <c r="TLU60" s="484"/>
      <c r="TLV60" s="484"/>
      <c r="TLW60" s="484"/>
      <c r="TLX60" s="484"/>
      <c r="TLY60" s="484"/>
      <c r="TLZ60" s="484"/>
      <c r="TMA60" s="484"/>
      <c r="TMB60" s="484"/>
      <c r="TMC60" s="484"/>
      <c r="TMD60" s="484"/>
      <c r="TME60" s="484"/>
      <c r="TMF60" s="484"/>
      <c r="TMG60" s="484"/>
      <c r="TMH60" s="484"/>
      <c r="TMI60" s="484"/>
      <c r="TMJ60" s="484"/>
      <c r="TMK60" s="484"/>
      <c r="TML60" s="484"/>
      <c r="TMM60" s="484"/>
      <c r="TMN60" s="484"/>
      <c r="TMO60" s="484"/>
      <c r="TMP60" s="484"/>
      <c r="TMQ60" s="484"/>
      <c r="TMR60" s="484"/>
      <c r="TMS60" s="484"/>
      <c r="TMT60" s="484"/>
      <c r="TMU60" s="484"/>
      <c r="TMV60" s="484"/>
      <c r="TMW60" s="484"/>
      <c r="TMX60" s="484"/>
      <c r="TMY60" s="484"/>
      <c r="TMZ60" s="484"/>
      <c r="TNA60" s="484"/>
      <c r="TNB60" s="484"/>
      <c r="TNC60" s="484"/>
      <c r="TND60" s="484"/>
      <c r="TNE60" s="484"/>
      <c r="TNF60" s="484"/>
      <c r="TNG60" s="484"/>
      <c r="TNH60" s="484"/>
      <c r="TNI60" s="484"/>
      <c r="TNJ60" s="484"/>
      <c r="TNK60" s="484"/>
      <c r="TNL60" s="484"/>
      <c r="TNM60" s="484"/>
      <c r="TNN60" s="484"/>
      <c r="TNO60" s="484"/>
      <c r="TNP60" s="484"/>
      <c r="TNQ60" s="484"/>
      <c r="TNR60" s="484"/>
      <c r="TNS60" s="484"/>
      <c r="TNT60" s="484"/>
      <c r="TNU60" s="484"/>
      <c r="TNV60" s="484"/>
      <c r="TNW60" s="484"/>
      <c r="TNX60" s="484"/>
      <c r="TNY60" s="484"/>
      <c r="TNZ60" s="484"/>
      <c r="TOA60" s="484"/>
      <c r="TOB60" s="484"/>
      <c r="TOC60" s="484"/>
      <c r="TOD60" s="484"/>
      <c r="TOE60" s="484"/>
      <c r="TOF60" s="484"/>
      <c r="TOG60" s="484"/>
      <c r="TOH60" s="484"/>
      <c r="TOI60" s="484"/>
      <c r="TOJ60" s="484"/>
      <c r="TOK60" s="484"/>
      <c r="TOL60" s="484"/>
      <c r="TOM60" s="484"/>
      <c r="TON60" s="484"/>
      <c r="TOO60" s="484"/>
      <c r="TOP60" s="484"/>
      <c r="TOQ60" s="484"/>
      <c r="TOR60" s="484"/>
      <c r="TOS60" s="484"/>
      <c r="TOT60" s="484"/>
      <c r="TOU60" s="484"/>
      <c r="TOV60" s="484"/>
      <c r="TOW60" s="484"/>
      <c r="TOX60" s="484"/>
      <c r="TOY60" s="484"/>
      <c r="TOZ60" s="484"/>
      <c r="TPA60" s="484"/>
      <c r="TPB60" s="484"/>
      <c r="TPC60" s="484"/>
      <c r="TPD60" s="484"/>
      <c r="TPE60" s="484"/>
      <c r="TPF60" s="484"/>
      <c r="TPG60" s="484"/>
      <c r="TPH60" s="484"/>
      <c r="TPI60" s="484"/>
      <c r="TPJ60" s="484"/>
      <c r="TPK60" s="484"/>
      <c r="TPL60" s="484"/>
      <c r="TPM60" s="484"/>
      <c r="TPN60" s="484"/>
      <c r="TPO60" s="484"/>
      <c r="TPP60" s="484"/>
      <c r="TPQ60" s="484"/>
      <c r="TPR60" s="484"/>
      <c r="TPS60" s="484"/>
      <c r="TPT60" s="484"/>
      <c r="TPU60" s="484"/>
      <c r="TPV60" s="484"/>
      <c r="TPW60" s="484"/>
      <c r="TPX60" s="484"/>
      <c r="TPY60" s="484"/>
      <c r="TPZ60" s="484"/>
      <c r="TQA60" s="484"/>
      <c r="TQB60" s="484"/>
      <c r="TQC60" s="484"/>
      <c r="TQD60" s="484"/>
      <c r="TQE60" s="484"/>
      <c r="TQF60" s="484"/>
      <c r="TQG60" s="484"/>
      <c r="TQH60" s="484"/>
      <c r="TQI60" s="484"/>
      <c r="TQJ60" s="484"/>
      <c r="TQK60" s="484"/>
      <c r="TQL60" s="484"/>
      <c r="TQM60" s="484"/>
      <c r="TQN60" s="484"/>
      <c r="TQO60" s="484"/>
      <c r="TQP60" s="484"/>
      <c r="TQQ60" s="484"/>
      <c r="TQR60" s="484"/>
      <c r="TQS60" s="484"/>
      <c r="TQT60" s="484"/>
      <c r="TQU60" s="484"/>
      <c r="TQV60" s="484"/>
      <c r="TQW60" s="484"/>
      <c r="TQX60" s="484"/>
      <c r="TQY60" s="484"/>
      <c r="TQZ60" s="484"/>
      <c r="TRA60" s="484"/>
      <c r="TRB60" s="484"/>
      <c r="TRC60" s="484"/>
      <c r="TRD60" s="484"/>
      <c r="TRE60" s="484"/>
      <c r="TRF60" s="484"/>
      <c r="TRG60" s="484"/>
      <c r="TRH60" s="484"/>
      <c r="TRI60" s="484"/>
      <c r="TRJ60" s="484"/>
      <c r="TRK60" s="484"/>
      <c r="TRL60" s="484"/>
      <c r="TRM60" s="484"/>
      <c r="TRN60" s="484"/>
      <c r="TRO60" s="484"/>
      <c r="TRP60" s="484"/>
      <c r="TRQ60" s="484"/>
      <c r="TRR60" s="484"/>
      <c r="TRS60" s="484"/>
      <c r="TRT60" s="484"/>
      <c r="TRU60" s="484"/>
      <c r="TRV60" s="484"/>
      <c r="TRW60" s="484"/>
      <c r="TRX60" s="484"/>
      <c r="TRY60" s="484"/>
      <c r="TRZ60" s="484"/>
      <c r="TSA60" s="484"/>
      <c r="TSB60" s="484"/>
      <c r="TSC60" s="484"/>
      <c r="TSD60" s="484"/>
      <c r="TSE60" s="484"/>
      <c r="TSF60" s="484"/>
      <c r="TSG60" s="484"/>
      <c r="TSH60" s="484"/>
      <c r="TSI60" s="484"/>
      <c r="TSJ60" s="484"/>
      <c r="TSK60" s="484"/>
      <c r="TSL60" s="484"/>
      <c r="TSM60" s="484"/>
      <c r="TSN60" s="484"/>
      <c r="TSO60" s="484"/>
      <c r="TSP60" s="484"/>
      <c r="TSQ60" s="484"/>
      <c r="TSR60" s="484"/>
      <c r="TSS60" s="484"/>
      <c r="TST60" s="484"/>
      <c r="TSU60" s="484"/>
      <c r="TSV60" s="484"/>
      <c r="TSW60" s="484"/>
      <c r="TSX60" s="484"/>
      <c r="TSY60" s="484"/>
      <c r="TSZ60" s="484"/>
      <c r="TTA60" s="484"/>
      <c r="TTB60" s="484"/>
      <c r="TTC60" s="484"/>
      <c r="TTD60" s="484"/>
      <c r="TTE60" s="484"/>
      <c r="TTF60" s="484"/>
      <c r="TTG60" s="484"/>
      <c r="TTH60" s="484"/>
      <c r="TTI60" s="484"/>
      <c r="TTJ60" s="484"/>
      <c r="TTK60" s="484"/>
      <c r="TTL60" s="484"/>
      <c r="TTM60" s="484"/>
      <c r="TTN60" s="484"/>
      <c r="TTO60" s="484"/>
      <c r="TTP60" s="484"/>
      <c r="TTQ60" s="484"/>
      <c r="TTR60" s="484"/>
      <c r="TTS60" s="484"/>
      <c r="TTT60" s="484"/>
      <c r="TTU60" s="484"/>
      <c r="TTV60" s="484"/>
      <c r="TTW60" s="484"/>
      <c r="TTX60" s="484"/>
      <c r="TTY60" s="484"/>
      <c r="TTZ60" s="484"/>
      <c r="TUA60" s="484"/>
      <c r="TUB60" s="484"/>
      <c r="TUC60" s="484"/>
      <c r="TUD60" s="484"/>
      <c r="TUE60" s="484"/>
      <c r="TUF60" s="484"/>
      <c r="TUG60" s="484"/>
      <c r="TUH60" s="484"/>
      <c r="TUI60" s="484"/>
      <c r="TUJ60" s="484"/>
      <c r="TUK60" s="484"/>
      <c r="TUL60" s="484"/>
      <c r="TUM60" s="484"/>
      <c r="TUN60" s="484"/>
      <c r="TUO60" s="484"/>
      <c r="TUP60" s="484"/>
      <c r="TUQ60" s="484"/>
      <c r="TUR60" s="484"/>
      <c r="TUS60" s="484"/>
      <c r="TUT60" s="484"/>
      <c r="TUU60" s="484"/>
      <c r="TUV60" s="484"/>
      <c r="TUW60" s="484"/>
      <c r="TUX60" s="484"/>
      <c r="TUY60" s="484"/>
      <c r="TUZ60" s="484"/>
      <c r="TVA60" s="484"/>
      <c r="TVB60" s="484"/>
      <c r="TVC60" s="484"/>
      <c r="TVD60" s="484"/>
      <c r="TVE60" s="484"/>
      <c r="TVF60" s="484"/>
      <c r="TVG60" s="484"/>
      <c r="TVH60" s="484"/>
      <c r="TVI60" s="484"/>
      <c r="TVJ60" s="484"/>
      <c r="TVK60" s="484"/>
      <c r="TVL60" s="484"/>
      <c r="TVM60" s="484"/>
      <c r="TVN60" s="484"/>
      <c r="TVO60" s="484"/>
      <c r="TVP60" s="484"/>
      <c r="TVQ60" s="484"/>
      <c r="TVR60" s="484"/>
      <c r="TVS60" s="484"/>
      <c r="TVT60" s="484"/>
      <c r="TVU60" s="484"/>
      <c r="TVV60" s="484"/>
      <c r="TVW60" s="484"/>
      <c r="TVX60" s="484"/>
      <c r="TVY60" s="484"/>
      <c r="TVZ60" s="484"/>
      <c r="TWA60" s="484"/>
      <c r="TWB60" s="484"/>
      <c r="TWC60" s="484"/>
      <c r="TWD60" s="484"/>
      <c r="TWE60" s="484"/>
      <c r="TWF60" s="484"/>
      <c r="TWG60" s="484"/>
      <c r="TWH60" s="484"/>
      <c r="TWI60" s="484"/>
      <c r="TWJ60" s="484"/>
      <c r="TWK60" s="484"/>
      <c r="TWL60" s="484"/>
      <c r="TWM60" s="484"/>
      <c r="TWN60" s="484"/>
      <c r="TWO60" s="484"/>
      <c r="TWP60" s="484"/>
      <c r="TWQ60" s="484"/>
      <c r="TWR60" s="484"/>
      <c r="TWS60" s="484"/>
      <c r="TWT60" s="484"/>
      <c r="TWU60" s="484"/>
      <c r="TWV60" s="484"/>
      <c r="TWW60" s="484"/>
      <c r="TWX60" s="484"/>
      <c r="TWY60" s="484"/>
      <c r="TWZ60" s="484"/>
      <c r="TXA60" s="484"/>
      <c r="TXB60" s="484"/>
      <c r="TXC60" s="484"/>
      <c r="TXD60" s="484"/>
      <c r="TXE60" s="484"/>
      <c r="TXF60" s="484"/>
      <c r="TXG60" s="484"/>
      <c r="TXH60" s="484"/>
      <c r="TXI60" s="484"/>
      <c r="TXJ60" s="484"/>
      <c r="TXK60" s="484"/>
      <c r="TXL60" s="484"/>
      <c r="TXM60" s="484"/>
      <c r="TXN60" s="484"/>
      <c r="TXO60" s="484"/>
      <c r="TXP60" s="484"/>
      <c r="TXQ60" s="484"/>
      <c r="TXR60" s="484"/>
      <c r="TXS60" s="484"/>
      <c r="TXT60" s="484"/>
      <c r="TXU60" s="484"/>
      <c r="TXV60" s="484"/>
      <c r="TXW60" s="484"/>
      <c r="TXX60" s="484"/>
      <c r="TXY60" s="484"/>
      <c r="TXZ60" s="484"/>
      <c r="TYA60" s="484"/>
      <c r="TYB60" s="484"/>
      <c r="TYC60" s="484"/>
      <c r="TYD60" s="484"/>
      <c r="TYE60" s="484"/>
      <c r="TYF60" s="484"/>
      <c r="TYG60" s="484"/>
      <c r="TYH60" s="484"/>
      <c r="TYI60" s="484"/>
      <c r="TYJ60" s="484"/>
      <c r="TYK60" s="484"/>
      <c r="TYL60" s="484"/>
      <c r="TYM60" s="484"/>
      <c r="TYN60" s="484"/>
      <c r="TYO60" s="484"/>
      <c r="TYP60" s="484"/>
      <c r="TYQ60" s="484"/>
      <c r="TYR60" s="484"/>
      <c r="TYS60" s="484"/>
      <c r="TYT60" s="484"/>
      <c r="TYU60" s="484"/>
      <c r="TYV60" s="484"/>
      <c r="TYW60" s="484"/>
      <c r="TYX60" s="484"/>
      <c r="TYY60" s="484"/>
      <c r="TYZ60" s="484"/>
      <c r="TZA60" s="484"/>
      <c r="TZB60" s="484"/>
      <c r="TZC60" s="484"/>
      <c r="TZD60" s="484"/>
      <c r="TZE60" s="484"/>
      <c r="TZF60" s="484"/>
      <c r="TZG60" s="484"/>
      <c r="TZH60" s="484"/>
      <c r="TZI60" s="484"/>
      <c r="TZJ60" s="484"/>
      <c r="TZK60" s="484"/>
      <c r="TZL60" s="484"/>
      <c r="TZM60" s="484"/>
      <c r="TZN60" s="484"/>
      <c r="TZO60" s="484"/>
      <c r="TZP60" s="484"/>
      <c r="TZQ60" s="484"/>
      <c r="TZR60" s="484"/>
      <c r="TZS60" s="484"/>
      <c r="TZT60" s="484"/>
      <c r="TZU60" s="484"/>
      <c r="TZV60" s="484"/>
      <c r="TZW60" s="484"/>
      <c r="TZX60" s="484"/>
      <c r="TZY60" s="484"/>
      <c r="TZZ60" s="484"/>
      <c r="UAA60" s="484"/>
      <c r="UAB60" s="484"/>
      <c r="UAC60" s="484"/>
      <c r="UAD60" s="484"/>
      <c r="UAE60" s="484"/>
      <c r="UAF60" s="484"/>
      <c r="UAG60" s="484"/>
      <c r="UAH60" s="484"/>
      <c r="UAI60" s="484"/>
      <c r="UAJ60" s="484"/>
      <c r="UAK60" s="484"/>
      <c r="UAL60" s="484"/>
      <c r="UAM60" s="484"/>
      <c r="UAN60" s="484"/>
      <c r="UAO60" s="484"/>
      <c r="UAP60" s="484"/>
      <c r="UAQ60" s="484"/>
      <c r="UAR60" s="484"/>
      <c r="UAS60" s="484"/>
      <c r="UAT60" s="484"/>
      <c r="UAU60" s="484"/>
      <c r="UAV60" s="484"/>
      <c r="UAW60" s="484"/>
      <c r="UAX60" s="484"/>
      <c r="UAY60" s="484"/>
      <c r="UAZ60" s="484"/>
      <c r="UBA60" s="484"/>
      <c r="UBB60" s="484"/>
      <c r="UBC60" s="484"/>
      <c r="UBD60" s="484"/>
      <c r="UBE60" s="484"/>
      <c r="UBF60" s="484"/>
      <c r="UBG60" s="484"/>
      <c r="UBH60" s="484"/>
      <c r="UBI60" s="484"/>
      <c r="UBJ60" s="484"/>
      <c r="UBK60" s="484"/>
      <c r="UBL60" s="484"/>
      <c r="UBM60" s="484"/>
      <c r="UBN60" s="484"/>
      <c r="UBO60" s="484"/>
      <c r="UBP60" s="484"/>
      <c r="UBQ60" s="484"/>
      <c r="UBR60" s="484"/>
      <c r="UBS60" s="484"/>
      <c r="UBT60" s="484"/>
      <c r="UBU60" s="484"/>
      <c r="UBV60" s="484"/>
      <c r="UBW60" s="484"/>
      <c r="UBX60" s="484"/>
      <c r="UBY60" s="484"/>
      <c r="UBZ60" s="484"/>
      <c r="UCA60" s="484"/>
      <c r="UCB60" s="484"/>
      <c r="UCC60" s="484"/>
      <c r="UCD60" s="484"/>
      <c r="UCE60" s="484"/>
      <c r="UCF60" s="484"/>
      <c r="UCG60" s="484"/>
      <c r="UCH60" s="484"/>
      <c r="UCI60" s="484"/>
      <c r="UCJ60" s="484"/>
      <c r="UCK60" s="484"/>
      <c r="UCL60" s="484"/>
      <c r="UCM60" s="484"/>
      <c r="UCN60" s="484"/>
      <c r="UCO60" s="484"/>
      <c r="UCP60" s="484"/>
      <c r="UCQ60" s="484"/>
      <c r="UCR60" s="484"/>
      <c r="UCS60" s="484"/>
      <c r="UCT60" s="484"/>
      <c r="UCU60" s="484"/>
      <c r="UCV60" s="484"/>
      <c r="UCW60" s="484"/>
      <c r="UCX60" s="484"/>
      <c r="UCY60" s="484"/>
      <c r="UCZ60" s="484"/>
      <c r="UDA60" s="484"/>
      <c r="UDB60" s="484"/>
      <c r="UDC60" s="484"/>
      <c r="UDD60" s="484"/>
      <c r="UDE60" s="484"/>
      <c r="UDF60" s="484"/>
      <c r="UDG60" s="484"/>
      <c r="UDH60" s="484"/>
      <c r="UDI60" s="484"/>
      <c r="UDJ60" s="484"/>
      <c r="UDK60" s="484"/>
      <c r="UDL60" s="484"/>
      <c r="UDM60" s="484"/>
      <c r="UDN60" s="484"/>
      <c r="UDO60" s="484"/>
      <c r="UDP60" s="484"/>
      <c r="UDQ60" s="484"/>
      <c r="UDR60" s="484"/>
      <c r="UDS60" s="484"/>
      <c r="UDT60" s="484"/>
      <c r="UDU60" s="484"/>
      <c r="UDV60" s="484"/>
      <c r="UDW60" s="484"/>
      <c r="UDX60" s="484"/>
      <c r="UDY60" s="484"/>
      <c r="UDZ60" s="484"/>
      <c r="UEA60" s="484"/>
      <c r="UEB60" s="484"/>
      <c r="UEC60" s="484"/>
      <c r="UED60" s="484"/>
      <c r="UEE60" s="484"/>
      <c r="UEF60" s="484"/>
      <c r="UEG60" s="484"/>
      <c r="UEH60" s="484"/>
      <c r="UEI60" s="484"/>
      <c r="UEJ60" s="484"/>
      <c r="UEK60" s="484"/>
      <c r="UEL60" s="484"/>
      <c r="UEM60" s="484"/>
      <c r="UEN60" s="484"/>
      <c r="UEO60" s="484"/>
      <c r="UEP60" s="484"/>
      <c r="UEQ60" s="484"/>
      <c r="UER60" s="484"/>
      <c r="UES60" s="484"/>
      <c r="UET60" s="484"/>
      <c r="UEU60" s="484"/>
      <c r="UEV60" s="484"/>
      <c r="UEW60" s="484"/>
      <c r="UEX60" s="484"/>
      <c r="UEY60" s="484"/>
      <c r="UEZ60" s="484"/>
      <c r="UFA60" s="484"/>
      <c r="UFB60" s="484"/>
      <c r="UFC60" s="484"/>
      <c r="UFD60" s="484"/>
      <c r="UFE60" s="484"/>
      <c r="UFF60" s="484"/>
      <c r="UFG60" s="484"/>
      <c r="UFH60" s="484"/>
      <c r="UFI60" s="484"/>
      <c r="UFJ60" s="484"/>
      <c r="UFK60" s="484"/>
      <c r="UFL60" s="484"/>
      <c r="UFM60" s="484"/>
      <c r="UFN60" s="484"/>
      <c r="UFO60" s="484"/>
      <c r="UFP60" s="484"/>
      <c r="UFQ60" s="484"/>
      <c r="UFR60" s="484"/>
      <c r="UFS60" s="484"/>
      <c r="UFT60" s="484"/>
      <c r="UFU60" s="484"/>
      <c r="UFV60" s="484"/>
      <c r="UFW60" s="484"/>
      <c r="UFX60" s="484"/>
      <c r="UFY60" s="484"/>
      <c r="UFZ60" s="484"/>
      <c r="UGA60" s="484"/>
      <c r="UGB60" s="484"/>
      <c r="UGC60" s="484"/>
      <c r="UGD60" s="484"/>
      <c r="UGE60" s="484"/>
      <c r="UGF60" s="484"/>
      <c r="UGG60" s="484"/>
      <c r="UGH60" s="484"/>
      <c r="UGI60" s="484"/>
      <c r="UGJ60" s="484"/>
      <c r="UGK60" s="484"/>
      <c r="UGL60" s="484"/>
      <c r="UGM60" s="484"/>
      <c r="UGN60" s="484"/>
      <c r="UGO60" s="484"/>
      <c r="UGP60" s="484"/>
      <c r="UGQ60" s="484"/>
      <c r="UGR60" s="484"/>
      <c r="UGS60" s="484"/>
      <c r="UGT60" s="484"/>
      <c r="UGU60" s="484"/>
      <c r="UGV60" s="484"/>
      <c r="UGW60" s="484"/>
      <c r="UGX60" s="484"/>
      <c r="UGY60" s="484"/>
      <c r="UGZ60" s="484"/>
      <c r="UHA60" s="484"/>
      <c r="UHB60" s="484"/>
      <c r="UHC60" s="484"/>
      <c r="UHD60" s="484"/>
      <c r="UHE60" s="484"/>
      <c r="UHF60" s="484"/>
      <c r="UHG60" s="484"/>
      <c r="UHH60" s="484"/>
      <c r="UHI60" s="484"/>
      <c r="UHJ60" s="484"/>
      <c r="UHK60" s="484"/>
      <c r="UHL60" s="484"/>
      <c r="UHM60" s="484"/>
      <c r="UHN60" s="484"/>
      <c r="UHO60" s="484"/>
      <c r="UHP60" s="484"/>
      <c r="UHQ60" s="484"/>
      <c r="UHR60" s="484"/>
      <c r="UHS60" s="484"/>
      <c r="UHT60" s="484"/>
      <c r="UHU60" s="484"/>
      <c r="UHV60" s="484"/>
      <c r="UHW60" s="484"/>
      <c r="UHX60" s="484"/>
      <c r="UHY60" s="484"/>
      <c r="UHZ60" s="484"/>
      <c r="UIA60" s="484"/>
      <c r="UIB60" s="484"/>
      <c r="UIC60" s="484"/>
      <c r="UID60" s="484"/>
      <c r="UIE60" s="484"/>
      <c r="UIF60" s="484"/>
      <c r="UIG60" s="484"/>
      <c r="UIH60" s="484"/>
      <c r="UII60" s="484"/>
      <c r="UIJ60" s="484"/>
      <c r="UIK60" s="484"/>
      <c r="UIL60" s="484"/>
      <c r="UIM60" s="484"/>
      <c r="UIN60" s="484"/>
      <c r="UIO60" s="484"/>
      <c r="UIP60" s="484"/>
      <c r="UIQ60" s="484"/>
      <c r="UIR60" s="484"/>
      <c r="UIS60" s="484"/>
      <c r="UIT60" s="484"/>
      <c r="UIU60" s="484"/>
      <c r="UIV60" s="484"/>
      <c r="UIW60" s="484"/>
      <c r="UIX60" s="484"/>
      <c r="UIY60" s="484"/>
      <c r="UIZ60" s="484"/>
      <c r="UJA60" s="484"/>
      <c r="UJB60" s="484"/>
      <c r="UJC60" s="484"/>
      <c r="UJD60" s="484"/>
      <c r="UJE60" s="484"/>
      <c r="UJF60" s="484"/>
      <c r="UJG60" s="484"/>
      <c r="UJH60" s="484"/>
      <c r="UJI60" s="484"/>
      <c r="UJJ60" s="484"/>
      <c r="UJK60" s="484"/>
      <c r="UJL60" s="484"/>
      <c r="UJM60" s="484"/>
      <c r="UJN60" s="484"/>
      <c r="UJO60" s="484"/>
      <c r="UJP60" s="484"/>
      <c r="UJQ60" s="484"/>
      <c r="UJR60" s="484"/>
      <c r="UJS60" s="484"/>
      <c r="UJT60" s="484"/>
      <c r="UJU60" s="484"/>
      <c r="UJV60" s="484"/>
      <c r="UJW60" s="484"/>
      <c r="UJX60" s="484"/>
      <c r="UJY60" s="484"/>
      <c r="UJZ60" s="484"/>
      <c r="UKA60" s="484"/>
      <c r="UKB60" s="484"/>
      <c r="UKC60" s="484"/>
      <c r="UKD60" s="484"/>
      <c r="UKE60" s="484"/>
      <c r="UKF60" s="484"/>
      <c r="UKG60" s="484"/>
      <c r="UKH60" s="484"/>
      <c r="UKI60" s="484"/>
      <c r="UKJ60" s="484"/>
      <c r="UKK60" s="484"/>
      <c r="UKL60" s="484"/>
      <c r="UKM60" s="484"/>
      <c r="UKN60" s="484"/>
      <c r="UKO60" s="484"/>
      <c r="UKP60" s="484"/>
      <c r="UKQ60" s="484"/>
      <c r="UKR60" s="484"/>
      <c r="UKS60" s="484"/>
      <c r="UKT60" s="484"/>
      <c r="UKU60" s="484"/>
      <c r="UKV60" s="484"/>
      <c r="UKW60" s="484"/>
      <c r="UKX60" s="484"/>
      <c r="UKY60" s="484"/>
      <c r="UKZ60" s="484"/>
      <c r="ULA60" s="484"/>
      <c r="ULB60" s="484"/>
      <c r="ULC60" s="484"/>
      <c r="ULD60" s="484"/>
      <c r="ULE60" s="484"/>
      <c r="ULF60" s="484"/>
      <c r="ULG60" s="484"/>
      <c r="ULH60" s="484"/>
      <c r="ULI60" s="484"/>
      <c r="ULJ60" s="484"/>
      <c r="ULK60" s="484"/>
      <c r="ULL60" s="484"/>
      <c r="ULM60" s="484"/>
      <c r="ULN60" s="484"/>
      <c r="ULO60" s="484"/>
      <c r="ULP60" s="484"/>
      <c r="ULQ60" s="484"/>
      <c r="ULR60" s="484"/>
      <c r="ULS60" s="484"/>
      <c r="ULT60" s="484"/>
      <c r="ULU60" s="484"/>
      <c r="ULV60" s="484"/>
      <c r="ULW60" s="484"/>
      <c r="ULX60" s="484"/>
      <c r="ULY60" s="484"/>
      <c r="ULZ60" s="484"/>
      <c r="UMA60" s="484"/>
      <c r="UMB60" s="484"/>
      <c r="UMC60" s="484"/>
      <c r="UMD60" s="484"/>
      <c r="UME60" s="484"/>
      <c r="UMF60" s="484"/>
      <c r="UMG60" s="484"/>
      <c r="UMH60" s="484"/>
      <c r="UMI60" s="484"/>
      <c r="UMJ60" s="484"/>
      <c r="UMK60" s="484"/>
      <c r="UML60" s="484"/>
      <c r="UMM60" s="484"/>
      <c r="UMN60" s="484"/>
      <c r="UMO60" s="484"/>
      <c r="UMP60" s="484"/>
      <c r="UMQ60" s="484"/>
      <c r="UMR60" s="484"/>
      <c r="UMS60" s="484"/>
      <c r="UMT60" s="484"/>
      <c r="UMU60" s="484"/>
      <c r="UMV60" s="484"/>
      <c r="UMW60" s="484"/>
      <c r="UMX60" s="484"/>
      <c r="UMY60" s="484"/>
      <c r="UMZ60" s="484"/>
      <c r="UNA60" s="484"/>
      <c r="UNB60" s="484"/>
      <c r="UNC60" s="484"/>
      <c r="UND60" s="484"/>
      <c r="UNE60" s="484"/>
      <c r="UNF60" s="484"/>
      <c r="UNG60" s="484"/>
      <c r="UNH60" s="484"/>
      <c r="UNI60" s="484"/>
      <c r="UNJ60" s="484"/>
      <c r="UNK60" s="484"/>
      <c r="UNL60" s="484"/>
      <c r="UNM60" s="484"/>
      <c r="UNN60" s="484"/>
      <c r="UNO60" s="484"/>
      <c r="UNP60" s="484"/>
      <c r="UNQ60" s="484"/>
      <c r="UNR60" s="484"/>
      <c r="UNS60" s="484"/>
      <c r="UNT60" s="484"/>
      <c r="UNU60" s="484"/>
      <c r="UNV60" s="484"/>
      <c r="UNW60" s="484"/>
      <c r="UNX60" s="484"/>
      <c r="UNY60" s="484"/>
      <c r="UNZ60" s="484"/>
      <c r="UOA60" s="484"/>
      <c r="UOB60" s="484"/>
      <c r="UOC60" s="484"/>
      <c r="UOD60" s="484"/>
      <c r="UOE60" s="484"/>
      <c r="UOF60" s="484"/>
      <c r="UOG60" s="484"/>
      <c r="UOH60" s="484"/>
      <c r="UOI60" s="484"/>
      <c r="UOJ60" s="484"/>
      <c r="UOK60" s="484"/>
      <c r="UOL60" s="484"/>
      <c r="UOM60" s="484"/>
      <c r="UON60" s="484"/>
      <c r="UOO60" s="484"/>
      <c r="UOP60" s="484"/>
      <c r="UOQ60" s="484"/>
      <c r="UOR60" s="484"/>
      <c r="UOS60" s="484"/>
      <c r="UOT60" s="484"/>
      <c r="UOU60" s="484"/>
      <c r="UOV60" s="484"/>
      <c r="UOW60" s="484"/>
      <c r="UOX60" s="484"/>
      <c r="UOY60" s="484"/>
      <c r="UOZ60" s="484"/>
      <c r="UPA60" s="484"/>
      <c r="UPB60" s="484"/>
      <c r="UPC60" s="484"/>
      <c r="UPD60" s="484"/>
      <c r="UPE60" s="484"/>
      <c r="UPF60" s="484"/>
      <c r="UPG60" s="484"/>
      <c r="UPH60" s="484"/>
      <c r="UPI60" s="484"/>
      <c r="UPJ60" s="484"/>
      <c r="UPK60" s="484"/>
      <c r="UPL60" s="484"/>
      <c r="UPM60" s="484"/>
      <c r="UPN60" s="484"/>
      <c r="UPO60" s="484"/>
      <c r="UPP60" s="484"/>
      <c r="UPQ60" s="484"/>
      <c r="UPR60" s="484"/>
      <c r="UPS60" s="484"/>
      <c r="UPT60" s="484"/>
      <c r="UPU60" s="484"/>
      <c r="UPV60" s="484"/>
      <c r="UPW60" s="484"/>
      <c r="UPX60" s="484"/>
      <c r="UPY60" s="484"/>
      <c r="UPZ60" s="484"/>
      <c r="UQA60" s="484"/>
      <c r="UQB60" s="484"/>
      <c r="UQC60" s="484"/>
      <c r="UQD60" s="484"/>
      <c r="UQE60" s="484"/>
      <c r="UQF60" s="484"/>
      <c r="UQG60" s="484"/>
      <c r="UQH60" s="484"/>
      <c r="UQI60" s="484"/>
      <c r="UQJ60" s="484"/>
      <c r="UQK60" s="484"/>
      <c r="UQL60" s="484"/>
      <c r="UQM60" s="484"/>
      <c r="UQN60" s="484"/>
      <c r="UQO60" s="484"/>
      <c r="UQP60" s="484"/>
      <c r="UQQ60" s="484"/>
      <c r="UQR60" s="484"/>
      <c r="UQS60" s="484"/>
      <c r="UQT60" s="484"/>
      <c r="UQU60" s="484"/>
      <c r="UQV60" s="484"/>
      <c r="UQW60" s="484"/>
      <c r="UQX60" s="484"/>
      <c r="UQY60" s="484"/>
      <c r="UQZ60" s="484"/>
      <c r="URA60" s="484"/>
      <c r="URB60" s="484"/>
      <c r="URC60" s="484"/>
      <c r="URD60" s="484"/>
      <c r="URE60" s="484"/>
      <c r="URF60" s="484"/>
      <c r="URG60" s="484"/>
      <c r="URH60" s="484"/>
      <c r="URI60" s="484"/>
      <c r="URJ60" s="484"/>
      <c r="URK60" s="484"/>
      <c r="URL60" s="484"/>
      <c r="URM60" s="484"/>
      <c r="URN60" s="484"/>
      <c r="URO60" s="484"/>
      <c r="URP60" s="484"/>
      <c r="URQ60" s="484"/>
      <c r="URR60" s="484"/>
      <c r="URS60" s="484"/>
      <c r="URT60" s="484"/>
      <c r="URU60" s="484"/>
      <c r="URV60" s="484"/>
      <c r="URW60" s="484"/>
      <c r="URX60" s="484"/>
      <c r="URY60" s="484"/>
      <c r="URZ60" s="484"/>
      <c r="USA60" s="484"/>
      <c r="USB60" s="484"/>
      <c r="USC60" s="484"/>
      <c r="USD60" s="484"/>
      <c r="USE60" s="484"/>
      <c r="USF60" s="484"/>
      <c r="USG60" s="484"/>
      <c r="USH60" s="484"/>
      <c r="USI60" s="484"/>
      <c r="USJ60" s="484"/>
      <c r="USK60" s="484"/>
      <c r="USL60" s="484"/>
      <c r="USM60" s="484"/>
      <c r="USN60" s="484"/>
      <c r="USO60" s="484"/>
      <c r="USP60" s="484"/>
      <c r="USQ60" s="484"/>
      <c r="USR60" s="484"/>
      <c r="USS60" s="484"/>
      <c r="UST60" s="484"/>
      <c r="USU60" s="484"/>
      <c r="USV60" s="484"/>
      <c r="USW60" s="484"/>
      <c r="USX60" s="484"/>
      <c r="USY60" s="484"/>
      <c r="USZ60" s="484"/>
      <c r="UTA60" s="484"/>
      <c r="UTB60" s="484"/>
      <c r="UTC60" s="484"/>
      <c r="UTD60" s="484"/>
      <c r="UTE60" s="484"/>
      <c r="UTF60" s="484"/>
      <c r="UTG60" s="484"/>
      <c r="UTH60" s="484"/>
      <c r="UTI60" s="484"/>
      <c r="UTJ60" s="484"/>
      <c r="UTK60" s="484"/>
      <c r="UTL60" s="484"/>
      <c r="UTM60" s="484"/>
      <c r="UTN60" s="484"/>
      <c r="UTO60" s="484"/>
      <c r="UTP60" s="484"/>
      <c r="UTQ60" s="484"/>
      <c r="UTR60" s="484"/>
      <c r="UTS60" s="484"/>
      <c r="UTT60" s="484"/>
      <c r="UTU60" s="484"/>
      <c r="UTV60" s="484"/>
      <c r="UTW60" s="484"/>
      <c r="UTX60" s="484"/>
      <c r="UTY60" s="484"/>
      <c r="UTZ60" s="484"/>
      <c r="UUA60" s="484"/>
      <c r="UUB60" s="484"/>
      <c r="UUC60" s="484"/>
      <c r="UUD60" s="484"/>
      <c r="UUE60" s="484"/>
      <c r="UUF60" s="484"/>
      <c r="UUG60" s="484"/>
      <c r="UUH60" s="484"/>
      <c r="UUI60" s="484"/>
      <c r="UUJ60" s="484"/>
      <c r="UUK60" s="484"/>
      <c r="UUL60" s="484"/>
      <c r="UUM60" s="484"/>
      <c r="UUN60" s="484"/>
      <c r="UUO60" s="484"/>
      <c r="UUP60" s="484"/>
      <c r="UUQ60" s="484"/>
      <c r="UUR60" s="484"/>
      <c r="UUS60" s="484"/>
      <c r="UUT60" s="484"/>
      <c r="UUU60" s="484"/>
      <c r="UUV60" s="484"/>
      <c r="UUW60" s="484"/>
      <c r="UUX60" s="484"/>
      <c r="UUY60" s="484"/>
      <c r="UUZ60" s="484"/>
      <c r="UVA60" s="484"/>
      <c r="UVB60" s="484"/>
      <c r="UVC60" s="484"/>
      <c r="UVD60" s="484"/>
      <c r="UVE60" s="484"/>
      <c r="UVF60" s="484"/>
      <c r="UVG60" s="484"/>
      <c r="UVH60" s="484"/>
      <c r="UVI60" s="484"/>
      <c r="UVJ60" s="484"/>
      <c r="UVK60" s="484"/>
      <c r="UVL60" s="484"/>
      <c r="UVM60" s="484"/>
      <c r="UVN60" s="484"/>
      <c r="UVO60" s="484"/>
      <c r="UVP60" s="484"/>
      <c r="UVQ60" s="484"/>
      <c r="UVR60" s="484"/>
      <c r="UVS60" s="484"/>
      <c r="UVT60" s="484"/>
      <c r="UVU60" s="484"/>
      <c r="UVV60" s="484"/>
      <c r="UVW60" s="484"/>
      <c r="UVX60" s="484"/>
      <c r="UVY60" s="484"/>
      <c r="UVZ60" s="484"/>
      <c r="UWA60" s="484"/>
      <c r="UWB60" s="484"/>
      <c r="UWC60" s="484"/>
      <c r="UWD60" s="484"/>
      <c r="UWE60" s="484"/>
      <c r="UWF60" s="484"/>
      <c r="UWG60" s="484"/>
      <c r="UWH60" s="484"/>
      <c r="UWI60" s="484"/>
      <c r="UWJ60" s="484"/>
      <c r="UWK60" s="484"/>
      <c r="UWL60" s="484"/>
      <c r="UWM60" s="484"/>
      <c r="UWN60" s="484"/>
      <c r="UWO60" s="484"/>
      <c r="UWP60" s="484"/>
      <c r="UWQ60" s="484"/>
      <c r="UWR60" s="484"/>
      <c r="UWS60" s="484"/>
      <c r="UWT60" s="484"/>
      <c r="UWU60" s="484"/>
      <c r="UWV60" s="484"/>
      <c r="UWW60" s="484"/>
      <c r="UWX60" s="484"/>
      <c r="UWY60" s="484"/>
      <c r="UWZ60" s="484"/>
      <c r="UXA60" s="484"/>
      <c r="UXB60" s="484"/>
      <c r="UXC60" s="484"/>
      <c r="UXD60" s="484"/>
      <c r="UXE60" s="484"/>
      <c r="UXF60" s="484"/>
      <c r="UXG60" s="484"/>
      <c r="UXH60" s="484"/>
      <c r="UXI60" s="484"/>
      <c r="UXJ60" s="484"/>
      <c r="UXK60" s="484"/>
      <c r="UXL60" s="484"/>
      <c r="UXM60" s="484"/>
      <c r="UXN60" s="484"/>
      <c r="UXO60" s="484"/>
      <c r="UXP60" s="484"/>
      <c r="UXQ60" s="484"/>
      <c r="UXR60" s="484"/>
      <c r="UXS60" s="484"/>
      <c r="UXT60" s="484"/>
      <c r="UXU60" s="484"/>
      <c r="UXV60" s="484"/>
      <c r="UXW60" s="484"/>
      <c r="UXX60" s="484"/>
      <c r="UXY60" s="484"/>
      <c r="UXZ60" s="484"/>
      <c r="UYA60" s="484"/>
      <c r="UYB60" s="484"/>
      <c r="UYC60" s="484"/>
      <c r="UYD60" s="484"/>
      <c r="UYE60" s="484"/>
      <c r="UYF60" s="484"/>
      <c r="UYG60" s="484"/>
      <c r="UYH60" s="484"/>
      <c r="UYI60" s="484"/>
      <c r="UYJ60" s="484"/>
      <c r="UYK60" s="484"/>
      <c r="UYL60" s="484"/>
      <c r="UYM60" s="484"/>
      <c r="UYN60" s="484"/>
      <c r="UYO60" s="484"/>
      <c r="UYP60" s="484"/>
      <c r="UYQ60" s="484"/>
      <c r="UYR60" s="484"/>
      <c r="UYS60" s="484"/>
      <c r="UYT60" s="484"/>
      <c r="UYU60" s="484"/>
      <c r="UYV60" s="484"/>
      <c r="UYW60" s="484"/>
      <c r="UYX60" s="484"/>
      <c r="UYY60" s="484"/>
      <c r="UYZ60" s="484"/>
      <c r="UZA60" s="484"/>
      <c r="UZB60" s="484"/>
      <c r="UZC60" s="484"/>
      <c r="UZD60" s="484"/>
      <c r="UZE60" s="484"/>
      <c r="UZF60" s="484"/>
      <c r="UZG60" s="484"/>
      <c r="UZH60" s="484"/>
      <c r="UZI60" s="484"/>
      <c r="UZJ60" s="484"/>
      <c r="UZK60" s="484"/>
      <c r="UZL60" s="484"/>
      <c r="UZM60" s="484"/>
      <c r="UZN60" s="484"/>
      <c r="UZO60" s="484"/>
      <c r="UZP60" s="484"/>
      <c r="UZQ60" s="484"/>
      <c r="UZR60" s="484"/>
      <c r="UZS60" s="484"/>
      <c r="UZT60" s="484"/>
      <c r="UZU60" s="484"/>
      <c r="UZV60" s="484"/>
      <c r="UZW60" s="484"/>
      <c r="UZX60" s="484"/>
      <c r="UZY60" s="484"/>
      <c r="UZZ60" s="484"/>
      <c r="VAA60" s="484"/>
      <c r="VAB60" s="484"/>
      <c r="VAC60" s="484"/>
      <c r="VAD60" s="484"/>
      <c r="VAE60" s="484"/>
      <c r="VAF60" s="484"/>
      <c r="VAG60" s="484"/>
      <c r="VAH60" s="484"/>
      <c r="VAI60" s="484"/>
      <c r="VAJ60" s="484"/>
      <c r="VAK60" s="484"/>
      <c r="VAL60" s="484"/>
      <c r="VAM60" s="484"/>
      <c r="VAN60" s="484"/>
      <c r="VAO60" s="484"/>
      <c r="VAP60" s="484"/>
      <c r="VAQ60" s="484"/>
      <c r="VAR60" s="484"/>
      <c r="VAS60" s="484"/>
      <c r="VAT60" s="484"/>
      <c r="VAU60" s="484"/>
      <c r="VAV60" s="484"/>
      <c r="VAW60" s="484"/>
      <c r="VAX60" s="484"/>
      <c r="VAY60" s="484"/>
      <c r="VAZ60" s="484"/>
      <c r="VBA60" s="484"/>
      <c r="VBB60" s="484"/>
      <c r="VBC60" s="484"/>
      <c r="VBD60" s="484"/>
      <c r="VBE60" s="484"/>
      <c r="VBF60" s="484"/>
      <c r="VBG60" s="484"/>
      <c r="VBH60" s="484"/>
      <c r="VBI60" s="484"/>
      <c r="VBJ60" s="484"/>
      <c r="VBK60" s="484"/>
      <c r="VBL60" s="484"/>
      <c r="VBM60" s="484"/>
      <c r="VBN60" s="484"/>
      <c r="VBO60" s="484"/>
      <c r="VBP60" s="484"/>
      <c r="VBQ60" s="484"/>
      <c r="VBR60" s="484"/>
      <c r="VBS60" s="484"/>
      <c r="VBT60" s="484"/>
      <c r="VBU60" s="484"/>
      <c r="VBV60" s="484"/>
      <c r="VBW60" s="484"/>
      <c r="VBX60" s="484"/>
      <c r="VBY60" s="484"/>
      <c r="VBZ60" s="484"/>
      <c r="VCA60" s="484"/>
      <c r="VCB60" s="484"/>
      <c r="VCC60" s="484"/>
      <c r="VCD60" s="484"/>
      <c r="VCE60" s="484"/>
      <c r="VCF60" s="484"/>
      <c r="VCG60" s="484"/>
      <c r="VCH60" s="484"/>
      <c r="VCI60" s="484"/>
      <c r="VCJ60" s="484"/>
      <c r="VCK60" s="484"/>
      <c r="VCL60" s="484"/>
      <c r="VCM60" s="484"/>
      <c r="VCN60" s="484"/>
      <c r="VCO60" s="484"/>
      <c r="VCP60" s="484"/>
      <c r="VCQ60" s="484"/>
      <c r="VCR60" s="484"/>
      <c r="VCS60" s="484"/>
      <c r="VCT60" s="484"/>
      <c r="VCU60" s="484"/>
      <c r="VCV60" s="484"/>
      <c r="VCW60" s="484"/>
      <c r="VCX60" s="484"/>
      <c r="VCY60" s="484"/>
      <c r="VCZ60" s="484"/>
      <c r="VDA60" s="484"/>
      <c r="VDB60" s="484"/>
      <c r="VDC60" s="484"/>
      <c r="VDD60" s="484"/>
      <c r="VDE60" s="484"/>
      <c r="VDF60" s="484"/>
      <c r="VDG60" s="484"/>
      <c r="VDH60" s="484"/>
      <c r="VDI60" s="484"/>
      <c r="VDJ60" s="484"/>
      <c r="VDK60" s="484"/>
      <c r="VDL60" s="484"/>
      <c r="VDM60" s="484"/>
      <c r="VDN60" s="484"/>
      <c r="VDO60" s="484"/>
      <c r="VDP60" s="484"/>
      <c r="VDQ60" s="484"/>
      <c r="VDR60" s="484"/>
      <c r="VDS60" s="484"/>
      <c r="VDT60" s="484"/>
      <c r="VDU60" s="484"/>
      <c r="VDV60" s="484"/>
      <c r="VDW60" s="484"/>
      <c r="VDX60" s="484"/>
      <c r="VDY60" s="484"/>
      <c r="VDZ60" s="484"/>
      <c r="VEA60" s="484"/>
      <c r="VEB60" s="484"/>
      <c r="VEC60" s="484"/>
      <c r="VED60" s="484"/>
      <c r="VEE60" s="484"/>
      <c r="VEF60" s="484"/>
      <c r="VEG60" s="484"/>
      <c r="VEH60" s="484"/>
      <c r="VEI60" s="484"/>
      <c r="VEJ60" s="484"/>
      <c r="VEK60" s="484"/>
      <c r="VEL60" s="484"/>
      <c r="VEM60" s="484"/>
      <c r="VEN60" s="484"/>
      <c r="VEO60" s="484"/>
      <c r="VEP60" s="484"/>
      <c r="VEQ60" s="484"/>
      <c r="VER60" s="484"/>
      <c r="VES60" s="484"/>
      <c r="VET60" s="484"/>
      <c r="VEU60" s="484"/>
      <c r="VEV60" s="484"/>
      <c r="VEW60" s="484"/>
      <c r="VEX60" s="484"/>
      <c r="VEY60" s="484"/>
      <c r="VEZ60" s="484"/>
      <c r="VFA60" s="484"/>
      <c r="VFB60" s="484"/>
      <c r="VFC60" s="484"/>
      <c r="VFD60" s="484"/>
      <c r="VFE60" s="484"/>
      <c r="VFF60" s="484"/>
      <c r="VFG60" s="484"/>
      <c r="VFH60" s="484"/>
      <c r="VFI60" s="484"/>
      <c r="VFJ60" s="484"/>
      <c r="VFK60" s="484"/>
      <c r="VFL60" s="484"/>
      <c r="VFM60" s="484"/>
      <c r="VFN60" s="484"/>
      <c r="VFO60" s="484"/>
      <c r="VFP60" s="484"/>
      <c r="VFQ60" s="484"/>
      <c r="VFR60" s="484"/>
      <c r="VFS60" s="484"/>
      <c r="VFT60" s="484"/>
      <c r="VFU60" s="484"/>
      <c r="VFV60" s="484"/>
      <c r="VFW60" s="484"/>
      <c r="VFX60" s="484"/>
      <c r="VFY60" s="484"/>
      <c r="VFZ60" s="484"/>
      <c r="VGA60" s="484"/>
      <c r="VGB60" s="484"/>
      <c r="VGC60" s="484"/>
      <c r="VGD60" s="484"/>
      <c r="VGE60" s="484"/>
      <c r="VGF60" s="484"/>
      <c r="VGG60" s="484"/>
      <c r="VGH60" s="484"/>
      <c r="VGI60" s="484"/>
      <c r="VGJ60" s="484"/>
      <c r="VGK60" s="484"/>
      <c r="VGL60" s="484"/>
      <c r="VGM60" s="484"/>
      <c r="VGN60" s="484"/>
      <c r="VGO60" s="484"/>
      <c r="VGP60" s="484"/>
      <c r="VGQ60" s="484"/>
      <c r="VGR60" s="484"/>
      <c r="VGS60" s="484"/>
      <c r="VGT60" s="484"/>
      <c r="VGU60" s="484"/>
      <c r="VGV60" s="484"/>
      <c r="VGW60" s="484"/>
      <c r="VGX60" s="484"/>
      <c r="VGY60" s="484"/>
      <c r="VGZ60" s="484"/>
      <c r="VHA60" s="484"/>
      <c r="VHB60" s="484"/>
      <c r="VHC60" s="484"/>
      <c r="VHD60" s="484"/>
      <c r="VHE60" s="484"/>
      <c r="VHF60" s="484"/>
      <c r="VHG60" s="484"/>
      <c r="VHH60" s="484"/>
      <c r="VHI60" s="484"/>
      <c r="VHJ60" s="484"/>
      <c r="VHK60" s="484"/>
      <c r="VHL60" s="484"/>
      <c r="VHM60" s="484"/>
      <c r="VHN60" s="484"/>
      <c r="VHO60" s="484"/>
      <c r="VHP60" s="484"/>
      <c r="VHQ60" s="484"/>
      <c r="VHR60" s="484"/>
      <c r="VHS60" s="484"/>
      <c r="VHT60" s="484"/>
      <c r="VHU60" s="484"/>
      <c r="VHV60" s="484"/>
      <c r="VHW60" s="484"/>
      <c r="VHX60" s="484"/>
      <c r="VHY60" s="484"/>
      <c r="VHZ60" s="484"/>
      <c r="VIA60" s="484"/>
      <c r="VIB60" s="484"/>
      <c r="VIC60" s="484"/>
      <c r="VID60" s="484"/>
      <c r="VIE60" s="484"/>
      <c r="VIF60" s="484"/>
      <c r="VIG60" s="484"/>
      <c r="VIH60" s="484"/>
      <c r="VII60" s="484"/>
      <c r="VIJ60" s="484"/>
      <c r="VIK60" s="484"/>
      <c r="VIL60" s="484"/>
      <c r="VIM60" s="484"/>
      <c r="VIN60" s="484"/>
      <c r="VIO60" s="484"/>
      <c r="VIP60" s="484"/>
      <c r="VIQ60" s="484"/>
      <c r="VIR60" s="484"/>
      <c r="VIS60" s="484"/>
      <c r="VIT60" s="484"/>
      <c r="VIU60" s="484"/>
      <c r="VIV60" s="484"/>
      <c r="VIW60" s="484"/>
      <c r="VIX60" s="484"/>
      <c r="VIY60" s="484"/>
      <c r="VIZ60" s="484"/>
      <c r="VJA60" s="484"/>
      <c r="VJB60" s="484"/>
      <c r="VJC60" s="484"/>
      <c r="VJD60" s="484"/>
      <c r="VJE60" s="484"/>
      <c r="VJF60" s="484"/>
      <c r="VJG60" s="484"/>
      <c r="VJH60" s="484"/>
      <c r="VJI60" s="484"/>
      <c r="VJJ60" s="484"/>
      <c r="VJK60" s="484"/>
      <c r="VJL60" s="484"/>
      <c r="VJM60" s="484"/>
      <c r="VJN60" s="484"/>
      <c r="VJO60" s="484"/>
      <c r="VJP60" s="484"/>
      <c r="VJQ60" s="484"/>
      <c r="VJR60" s="484"/>
      <c r="VJS60" s="484"/>
      <c r="VJT60" s="484"/>
      <c r="VJU60" s="484"/>
      <c r="VJV60" s="484"/>
      <c r="VJW60" s="484"/>
      <c r="VJX60" s="484"/>
      <c r="VJY60" s="484"/>
      <c r="VJZ60" s="484"/>
      <c r="VKA60" s="484"/>
      <c r="VKB60" s="484"/>
      <c r="VKC60" s="484"/>
      <c r="VKD60" s="484"/>
      <c r="VKE60" s="484"/>
      <c r="VKF60" s="484"/>
      <c r="VKG60" s="484"/>
      <c r="VKH60" s="484"/>
      <c r="VKI60" s="484"/>
      <c r="VKJ60" s="484"/>
      <c r="VKK60" s="484"/>
      <c r="VKL60" s="484"/>
      <c r="VKM60" s="484"/>
      <c r="VKN60" s="484"/>
      <c r="VKO60" s="484"/>
      <c r="VKP60" s="484"/>
      <c r="VKQ60" s="484"/>
      <c r="VKR60" s="484"/>
      <c r="VKS60" s="484"/>
      <c r="VKT60" s="484"/>
      <c r="VKU60" s="484"/>
      <c r="VKV60" s="484"/>
      <c r="VKW60" s="484"/>
      <c r="VKX60" s="484"/>
      <c r="VKY60" s="484"/>
      <c r="VKZ60" s="484"/>
      <c r="VLA60" s="484"/>
      <c r="VLB60" s="484"/>
      <c r="VLC60" s="484"/>
      <c r="VLD60" s="484"/>
      <c r="VLE60" s="484"/>
      <c r="VLF60" s="484"/>
      <c r="VLG60" s="484"/>
      <c r="VLH60" s="484"/>
      <c r="VLI60" s="484"/>
      <c r="VLJ60" s="484"/>
      <c r="VLK60" s="484"/>
      <c r="VLL60" s="484"/>
      <c r="VLM60" s="484"/>
      <c r="VLN60" s="484"/>
      <c r="VLO60" s="484"/>
      <c r="VLP60" s="484"/>
      <c r="VLQ60" s="484"/>
      <c r="VLR60" s="484"/>
      <c r="VLS60" s="484"/>
      <c r="VLT60" s="484"/>
      <c r="VLU60" s="484"/>
      <c r="VLV60" s="484"/>
      <c r="VLW60" s="484"/>
      <c r="VLX60" s="484"/>
      <c r="VLY60" s="484"/>
      <c r="VLZ60" s="484"/>
      <c r="VMA60" s="484"/>
      <c r="VMB60" s="484"/>
      <c r="VMC60" s="484"/>
      <c r="VMD60" s="484"/>
      <c r="VME60" s="484"/>
      <c r="VMF60" s="484"/>
      <c r="VMG60" s="484"/>
      <c r="VMH60" s="484"/>
      <c r="VMI60" s="484"/>
      <c r="VMJ60" s="484"/>
      <c r="VMK60" s="484"/>
      <c r="VML60" s="484"/>
      <c r="VMM60" s="484"/>
      <c r="VMN60" s="484"/>
      <c r="VMO60" s="484"/>
      <c r="VMP60" s="484"/>
      <c r="VMQ60" s="484"/>
      <c r="VMR60" s="484"/>
      <c r="VMS60" s="484"/>
      <c r="VMT60" s="484"/>
      <c r="VMU60" s="484"/>
      <c r="VMV60" s="484"/>
      <c r="VMW60" s="484"/>
      <c r="VMX60" s="484"/>
      <c r="VMY60" s="484"/>
      <c r="VMZ60" s="484"/>
      <c r="VNA60" s="484"/>
      <c r="VNB60" s="484"/>
      <c r="VNC60" s="484"/>
      <c r="VND60" s="484"/>
      <c r="VNE60" s="484"/>
      <c r="VNF60" s="484"/>
      <c r="VNG60" s="484"/>
      <c r="VNH60" s="484"/>
      <c r="VNI60" s="484"/>
      <c r="VNJ60" s="484"/>
      <c r="VNK60" s="484"/>
      <c r="VNL60" s="484"/>
      <c r="VNM60" s="484"/>
      <c r="VNN60" s="484"/>
      <c r="VNO60" s="484"/>
      <c r="VNP60" s="484"/>
      <c r="VNQ60" s="484"/>
      <c r="VNR60" s="484"/>
      <c r="VNS60" s="484"/>
      <c r="VNT60" s="484"/>
      <c r="VNU60" s="484"/>
      <c r="VNV60" s="484"/>
      <c r="VNW60" s="484"/>
      <c r="VNX60" s="484"/>
      <c r="VNY60" s="484"/>
      <c r="VNZ60" s="484"/>
      <c r="VOA60" s="484"/>
      <c r="VOB60" s="484"/>
      <c r="VOC60" s="484"/>
      <c r="VOD60" s="484"/>
      <c r="VOE60" s="484"/>
      <c r="VOF60" s="484"/>
      <c r="VOG60" s="484"/>
      <c r="VOH60" s="484"/>
      <c r="VOI60" s="484"/>
      <c r="VOJ60" s="484"/>
      <c r="VOK60" s="484"/>
      <c r="VOL60" s="484"/>
      <c r="VOM60" s="484"/>
      <c r="VON60" s="484"/>
      <c r="VOO60" s="484"/>
      <c r="VOP60" s="484"/>
      <c r="VOQ60" s="484"/>
      <c r="VOR60" s="484"/>
      <c r="VOS60" s="484"/>
      <c r="VOT60" s="484"/>
      <c r="VOU60" s="484"/>
      <c r="VOV60" s="484"/>
      <c r="VOW60" s="484"/>
      <c r="VOX60" s="484"/>
      <c r="VOY60" s="484"/>
      <c r="VOZ60" s="484"/>
      <c r="VPA60" s="484"/>
      <c r="VPB60" s="484"/>
      <c r="VPC60" s="484"/>
      <c r="VPD60" s="484"/>
      <c r="VPE60" s="484"/>
      <c r="VPF60" s="484"/>
      <c r="VPG60" s="484"/>
      <c r="VPH60" s="484"/>
      <c r="VPI60" s="484"/>
      <c r="VPJ60" s="484"/>
      <c r="VPK60" s="484"/>
      <c r="VPL60" s="484"/>
      <c r="VPM60" s="484"/>
      <c r="VPN60" s="484"/>
      <c r="VPO60" s="484"/>
      <c r="VPP60" s="484"/>
      <c r="VPQ60" s="484"/>
      <c r="VPR60" s="484"/>
      <c r="VPS60" s="484"/>
      <c r="VPT60" s="484"/>
      <c r="VPU60" s="484"/>
      <c r="VPV60" s="484"/>
      <c r="VPW60" s="484"/>
      <c r="VPX60" s="484"/>
      <c r="VPY60" s="484"/>
      <c r="VPZ60" s="484"/>
      <c r="VQA60" s="484"/>
      <c r="VQB60" s="484"/>
      <c r="VQC60" s="484"/>
      <c r="VQD60" s="484"/>
      <c r="VQE60" s="484"/>
      <c r="VQF60" s="484"/>
      <c r="VQG60" s="484"/>
      <c r="VQH60" s="484"/>
      <c r="VQI60" s="484"/>
      <c r="VQJ60" s="484"/>
      <c r="VQK60" s="484"/>
      <c r="VQL60" s="484"/>
      <c r="VQM60" s="484"/>
      <c r="VQN60" s="484"/>
      <c r="VQO60" s="484"/>
      <c r="VQP60" s="484"/>
      <c r="VQQ60" s="484"/>
      <c r="VQR60" s="484"/>
      <c r="VQS60" s="484"/>
      <c r="VQT60" s="484"/>
      <c r="VQU60" s="484"/>
      <c r="VQV60" s="484"/>
      <c r="VQW60" s="484"/>
      <c r="VQX60" s="484"/>
      <c r="VQY60" s="484"/>
      <c r="VQZ60" s="484"/>
      <c r="VRA60" s="484"/>
      <c r="VRB60" s="484"/>
      <c r="VRC60" s="484"/>
      <c r="VRD60" s="484"/>
      <c r="VRE60" s="484"/>
      <c r="VRF60" s="484"/>
      <c r="VRG60" s="484"/>
      <c r="VRH60" s="484"/>
      <c r="VRI60" s="484"/>
      <c r="VRJ60" s="484"/>
      <c r="VRK60" s="484"/>
      <c r="VRL60" s="484"/>
      <c r="VRM60" s="484"/>
      <c r="VRN60" s="484"/>
      <c r="VRO60" s="484"/>
      <c r="VRP60" s="484"/>
      <c r="VRQ60" s="484"/>
      <c r="VRR60" s="484"/>
      <c r="VRS60" s="484"/>
      <c r="VRT60" s="484"/>
      <c r="VRU60" s="484"/>
      <c r="VRV60" s="484"/>
      <c r="VRW60" s="484"/>
      <c r="VRX60" s="484"/>
      <c r="VRY60" s="484"/>
      <c r="VRZ60" s="484"/>
      <c r="VSA60" s="484"/>
      <c r="VSB60" s="484"/>
      <c r="VSC60" s="484"/>
      <c r="VSD60" s="484"/>
      <c r="VSE60" s="484"/>
      <c r="VSF60" s="484"/>
      <c r="VSG60" s="484"/>
      <c r="VSH60" s="484"/>
      <c r="VSI60" s="484"/>
      <c r="VSJ60" s="484"/>
      <c r="VSK60" s="484"/>
      <c r="VSL60" s="484"/>
      <c r="VSM60" s="484"/>
      <c r="VSN60" s="484"/>
      <c r="VSO60" s="484"/>
      <c r="VSP60" s="484"/>
      <c r="VSQ60" s="484"/>
      <c r="VSR60" s="484"/>
      <c r="VSS60" s="484"/>
      <c r="VST60" s="484"/>
      <c r="VSU60" s="484"/>
      <c r="VSV60" s="484"/>
      <c r="VSW60" s="484"/>
      <c r="VSX60" s="484"/>
      <c r="VSY60" s="484"/>
      <c r="VSZ60" s="484"/>
      <c r="VTA60" s="484"/>
      <c r="VTB60" s="484"/>
      <c r="VTC60" s="484"/>
      <c r="VTD60" s="484"/>
      <c r="VTE60" s="484"/>
      <c r="VTF60" s="484"/>
      <c r="VTG60" s="484"/>
      <c r="VTH60" s="484"/>
      <c r="VTI60" s="484"/>
      <c r="VTJ60" s="484"/>
      <c r="VTK60" s="484"/>
      <c r="VTL60" s="484"/>
      <c r="VTM60" s="484"/>
      <c r="VTN60" s="484"/>
      <c r="VTO60" s="484"/>
      <c r="VTP60" s="484"/>
      <c r="VTQ60" s="484"/>
      <c r="VTR60" s="484"/>
      <c r="VTS60" s="484"/>
      <c r="VTT60" s="484"/>
      <c r="VTU60" s="484"/>
      <c r="VTV60" s="484"/>
      <c r="VTW60" s="484"/>
      <c r="VTX60" s="484"/>
      <c r="VTY60" s="484"/>
      <c r="VTZ60" s="484"/>
      <c r="VUA60" s="484"/>
      <c r="VUB60" s="484"/>
      <c r="VUC60" s="484"/>
      <c r="VUD60" s="484"/>
      <c r="VUE60" s="484"/>
      <c r="VUF60" s="484"/>
      <c r="VUG60" s="484"/>
      <c r="VUH60" s="484"/>
      <c r="VUI60" s="484"/>
      <c r="VUJ60" s="484"/>
      <c r="VUK60" s="484"/>
      <c r="VUL60" s="484"/>
      <c r="VUM60" s="484"/>
      <c r="VUN60" s="484"/>
      <c r="VUO60" s="484"/>
      <c r="VUP60" s="484"/>
      <c r="VUQ60" s="484"/>
      <c r="VUR60" s="484"/>
      <c r="VUS60" s="484"/>
      <c r="VUT60" s="484"/>
      <c r="VUU60" s="484"/>
      <c r="VUV60" s="484"/>
      <c r="VUW60" s="484"/>
      <c r="VUX60" s="484"/>
      <c r="VUY60" s="484"/>
      <c r="VUZ60" s="484"/>
      <c r="VVA60" s="484"/>
      <c r="VVB60" s="484"/>
      <c r="VVC60" s="484"/>
      <c r="VVD60" s="484"/>
      <c r="VVE60" s="484"/>
      <c r="VVF60" s="484"/>
      <c r="VVG60" s="484"/>
      <c r="VVH60" s="484"/>
      <c r="VVI60" s="484"/>
      <c r="VVJ60" s="484"/>
      <c r="VVK60" s="484"/>
      <c r="VVL60" s="484"/>
      <c r="VVM60" s="484"/>
      <c r="VVN60" s="484"/>
      <c r="VVO60" s="484"/>
      <c r="VVP60" s="484"/>
      <c r="VVQ60" s="484"/>
      <c r="VVR60" s="484"/>
      <c r="VVS60" s="484"/>
      <c r="VVT60" s="484"/>
      <c r="VVU60" s="484"/>
      <c r="VVV60" s="484"/>
      <c r="VVW60" s="484"/>
      <c r="VVX60" s="484"/>
      <c r="VVY60" s="484"/>
      <c r="VVZ60" s="484"/>
      <c r="VWA60" s="484"/>
      <c r="VWB60" s="484"/>
      <c r="VWC60" s="484"/>
      <c r="VWD60" s="484"/>
      <c r="VWE60" s="484"/>
      <c r="VWF60" s="484"/>
      <c r="VWG60" s="484"/>
      <c r="VWH60" s="484"/>
      <c r="VWI60" s="484"/>
      <c r="VWJ60" s="484"/>
      <c r="VWK60" s="484"/>
      <c r="VWL60" s="484"/>
      <c r="VWM60" s="484"/>
      <c r="VWN60" s="484"/>
      <c r="VWO60" s="484"/>
      <c r="VWP60" s="484"/>
      <c r="VWQ60" s="484"/>
      <c r="VWR60" s="484"/>
      <c r="VWS60" s="484"/>
      <c r="VWT60" s="484"/>
      <c r="VWU60" s="484"/>
      <c r="VWV60" s="484"/>
      <c r="VWW60" s="484"/>
      <c r="VWX60" s="484"/>
      <c r="VWY60" s="484"/>
      <c r="VWZ60" s="484"/>
      <c r="VXA60" s="484"/>
      <c r="VXB60" s="484"/>
      <c r="VXC60" s="484"/>
      <c r="VXD60" s="484"/>
      <c r="VXE60" s="484"/>
      <c r="VXF60" s="484"/>
      <c r="VXG60" s="484"/>
      <c r="VXH60" s="484"/>
      <c r="VXI60" s="484"/>
      <c r="VXJ60" s="484"/>
      <c r="VXK60" s="484"/>
      <c r="VXL60" s="484"/>
      <c r="VXM60" s="484"/>
      <c r="VXN60" s="484"/>
      <c r="VXO60" s="484"/>
      <c r="VXP60" s="484"/>
      <c r="VXQ60" s="484"/>
      <c r="VXR60" s="484"/>
      <c r="VXS60" s="484"/>
      <c r="VXT60" s="484"/>
      <c r="VXU60" s="484"/>
      <c r="VXV60" s="484"/>
      <c r="VXW60" s="484"/>
      <c r="VXX60" s="484"/>
      <c r="VXY60" s="484"/>
      <c r="VXZ60" s="484"/>
      <c r="VYA60" s="484"/>
      <c r="VYB60" s="484"/>
      <c r="VYC60" s="484"/>
      <c r="VYD60" s="484"/>
      <c r="VYE60" s="484"/>
      <c r="VYF60" s="484"/>
      <c r="VYG60" s="484"/>
      <c r="VYH60" s="484"/>
      <c r="VYI60" s="484"/>
      <c r="VYJ60" s="484"/>
      <c r="VYK60" s="484"/>
      <c r="VYL60" s="484"/>
      <c r="VYM60" s="484"/>
      <c r="VYN60" s="484"/>
      <c r="VYO60" s="484"/>
      <c r="VYP60" s="484"/>
      <c r="VYQ60" s="484"/>
      <c r="VYR60" s="484"/>
      <c r="VYS60" s="484"/>
      <c r="VYT60" s="484"/>
      <c r="VYU60" s="484"/>
      <c r="VYV60" s="484"/>
      <c r="VYW60" s="484"/>
      <c r="VYX60" s="484"/>
      <c r="VYY60" s="484"/>
      <c r="VYZ60" s="484"/>
      <c r="VZA60" s="484"/>
      <c r="VZB60" s="484"/>
      <c r="VZC60" s="484"/>
      <c r="VZD60" s="484"/>
      <c r="VZE60" s="484"/>
      <c r="VZF60" s="484"/>
      <c r="VZG60" s="484"/>
      <c r="VZH60" s="484"/>
      <c r="VZI60" s="484"/>
      <c r="VZJ60" s="484"/>
      <c r="VZK60" s="484"/>
      <c r="VZL60" s="484"/>
      <c r="VZM60" s="484"/>
      <c r="VZN60" s="484"/>
      <c r="VZO60" s="484"/>
      <c r="VZP60" s="484"/>
      <c r="VZQ60" s="484"/>
      <c r="VZR60" s="484"/>
      <c r="VZS60" s="484"/>
      <c r="VZT60" s="484"/>
      <c r="VZU60" s="484"/>
      <c r="VZV60" s="484"/>
      <c r="VZW60" s="484"/>
      <c r="VZX60" s="484"/>
      <c r="VZY60" s="484"/>
      <c r="VZZ60" s="484"/>
      <c r="WAA60" s="484"/>
      <c r="WAB60" s="484"/>
      <c r="WAC60" s="484"/>
      <c r="WAD60" s="484"/>
      <c r="WAE60" s="484"/>
      <c r="WAF60" s="484"/>
      <c r="WAG60" s="484"/>
      <c r="WAH60" s="484"/>
      <c r="WAI60" s="484"/>
      <c r="WAJ60" s="484"/>
      <c r="WAK60" s="484"/>
      <c r="WAL60" s="484"/>
      <c r="WAM60" s="484"/>
      <c r="WAN60" s="484"/>
      <c r="WAO60" s="484"/>
      <c r="WAP60" s="484"/>
      <c r="WAQ60" s="484"/>
      <c r="WAR60" s="484"/>
      <c r="WAS60" s="484"/>
      <c r="WAT60" s="484"/>
      <c r="WAU60" s="484"/>
      <c r="WAV60" s="484"/>
      <c r="WAW60" s="484"/>
      <c r="WAX60" s="484"/>
      <c r="WAY60" s="484"/>
      <c r="WAZ60" s="484"/>
      <c r="WBA60" s="484"/>
      <c r="WBB60" s="484"/>
      <c r="WBC60" s="484"/>
      <c r="WBD60" s="484"/>
      <c r="WBE60" s="484"/>
      <c r="WBF60" s="484"/>
      <c r="WBG60" s="484"/>
      <c r="WBH60" s="484"/>
      <c r="WBI60" s="484"/>
      <c r="WBJ60" s="484"/>
      <c r="WBK60" s="484"/>
      <c r="WBL60" s="484"/>
      <c r="WBM60" s="484"/>
      <c r="WBN60" s="484"/>
      <c r="WBO60" s="484"/>
      <c r="WBP60" s="484"/>
      <c r="WBQ60" s="484"/>
      <c r="WBR60" s="484"/>
      <c r="WBS60" s="484"/>
      <c r="WBT60" s="484"/>
      <c r="WBU60" s="484"/>
      <c r="WBV60" s="484"/>
      <c r="WBW60" s="484"/>
      <c r="WBX60" s="484"/>
      <c r="WBY60" s="484"/>
      <c r="WBZ60" s="484"/>
      <c r="WCA60" s="484"/>
      <c r="WCB60" s="484"/>
      <c r="WCC60" s="484"/>
      <c r="WCD60" s="484"/>
      <c r="WCE60" s="484"/>
      <c r="WCF60" s="484"/>
      <c r="WCG60" s="484"/>
      <c r="WCH60" s="484"/>
      <c r="WCI60" s="484"/>
      <c r="WCJ60" s="484"/>
      <c r="WCK60" s="484"/>
      <c r="WCL60" s="484"/>
      <c r="WCM60" s="484"/>
      <c r="WCN60" s="484"/>
      <c r="WCO60" s="484"/>
      <c r="WCP60" s="484"/>
      <c r="WCQ60" s="484"/>
      <c r="WCR60" s="484"/>
      <c r="WCS60" s="484"/>
      <c r="WCT60" s="484"/>
      <c r="WCU60" s="484"/>
      <c r="WCV60" s="484"/>
      <c r="WCW60" s="484"/>
      <c r="WCX60" s="484"/>
      <c r="WCY60" s="484"/>
      <c r="WCZ60" s="484"/>
      <c r="WDA60" s="484"/>
      <c r="WDB60" s="484"/>
      <c r="WDC60" s="484"/>
      <c r="WDD60" s="484"/>
      <c r="WDE60" s="484"/>
      <c r="WDF60" s="484"/>
      <c r="WDG60" s="484"/>
      <c r="WDH60" s="484"/>
      <c r="WDI60" s="484"/>
      <c r="WDJ60" s="484"/>
      <c r="WDK60" s="484"/>
      <c r="WDL60" s="484"/>
      <c r="WDM60" s="484"/>
      <c r="WDN60" s="484"/>
      <c r="WDO60" s="484"/>
      <c r="WDP60" s="484"/>
      <c r="WDQ60" s="484"/>
      <c r="WDR60" s="484"/>
      <c r="WDS60" s="484"/>
      <c r="WDT60" s="484"/>
      <c r="WDU60" s="484"/>
      <c r="WDV60" s="484"/>
      <c r="WDW60" s="484"/>
      <c r="WDX60" s="484"/>
      <c r="WDY60" s="484"/>
      <c r="WDZ60" s="484"/>
      <c r="WEA60" s="484"/>
      <c r="WEB60" s="484"/>
      <c r="WEC60" s="484"/>
      <c r="WED60" s="484"/>
      <c r="WEE60" s="484"/>
      <c r="WEF60" s="484"/>
      <c r="WEG60" s="484"/>
      <c r="WEH60" s="484"/>
      <c r="WEI60" s="484"/>
      <c r="WEJ60" s="484"/>
      <c r="WEK60" s="484"/>
      <c r="WEL60" s="484"/>
      <c r="WEM60" s="484"/>
      <c r="WEN60" s="484"/>
      <c r="WEO60" s="484"/>
      <c r="WEP60" s="484"/>
      <c r="WEQ60" s="484"/>
      <c r="WER60" s="484"/>
      <c r="WES60" s="484"/>
      <c r="WET60" s="484"/>
      <c r="WEU60" s="484"/>
      <c r="WEV60" s="484"/>
      <c r="WEW60" s="484"/>
      <c r="WEX60" s="484"/>
      <c r="WEY60" s="484"/>
      <c r="WEZ60" s="484"/>
      <c r="WFA60" s="484"/>
      <c r="WFB60" s="484"/>
      <c r="WFC60" s="484"/>
      <c r="WFD60" s="484"/>
      <c r="WFE60" s="484"/>
      <c r="WFF60" s="484"/>
      <c r="WFG60" s="484"/>
      <c r="WFH60" s="484"/>
      <c r="WFI60" s="484"/>
      <c r="WFJ60" s="484"/>
      <c r="WFK60" s="484"/>
      <c r="WFL60" s="484"/>
      <c r="WFM60" s="484"/>
      <c r="WFN60" s="484"/>
      <c r="WFO60" s="484"/>
      <c r="WFP60" s="484"/>
      <c r="WFQ60" s="484"/>
      <c r="WFR60" s="484"/>
      <c r="WFS60" s="484"/>
      <c r="WFT60" s="484"/>
      <c r="WFU60" s="484"/>
      <c r="WFV60" s="484"/>
      <c r="WFW60" s="484"/>
      <c r="WFX60" s="484"/>
      <c r="WFY60" s="484"/>
      <c r="WFZ60" s="484"/>
      <c r="WGA60" s="484"/>
      <c r="WGB60" s="484"/>
      <c r="WGC60" s="484"/>
      <c r="WGD60" s="484"/>
      <c r="WGE60" s="484"/>
      <c r="WGF60" s="484"/>
      <c r="WGG60" s="484"/>
      <c r="WGH60" s="484"/>
      <c r="WGI60" s="484"/>
      <c r="WGJ60" s="484"/>
      <c r="WGK60" s="484"/>
      <c r="WGL60" s="484"/>
      <c r="WGM60" s="484"/>
      <c r="WGN60" s="484"/>
      <c r="WGO60" s="484"/>
      <c r="WGP60" s="484"/>
      <c r="WGQ60" s="484"/>
      <c r="WGR60" s="484"/>
      <c r="WGS60" s="484"/>
      <c r="WGT60" s="484"/>
      <c r="WGU60" s="484"/>
      <c r="WGV60" s="484"/>
      <c r="WGW60" s="484"/>
      <c r="WGX60" s="484"/>
      <c r="WGY60" s="484"/>
      <c r="WGZ60" s="484"/>
      <c r="WHA60" s="484"/>
      <c r="WHB60" s="484"/>
      <c r="WHC60" s="484"/>
      <c r="WHD60" s="484"/>
      <c r="WHE60" s="484"/>
      <c r="WHF60" s="484"/>
      <c r="WHG60" s="484"/>
      <c r="WHH60" s="484"/>
      <c r="WHI60" s="484"/>
      <c r="WHJ60" s="484"/>
      <c r="WHK60" s="484"/>
      <c r="WHL60" s="484"/>
      <c r="WHM60" s="484"/>
      <c r="WHN60" s="484"/>
      <c r="WHO60" s="484"/>
      <c r="WHP60" s="484"/>
      <c r="WHQ60" s="484"/>
      <c r="WHR60" s="484"/>
      <c r="WHS60" s="484"/>
      <c r="WHT60" s="484"/>
      <c r="WHU60" s="484"/>
      <c r="WHV60" s="484"/>
      <c r="WHW60" s="484"/>
      <c r="WHX60" s="484"/>
      <c r="WHY60" s="484"/>
      <c r="WHZ60" s="484"/>
      <c r="WIA60" s="484"/>
      <c r="WIB60" s="484"/>
      <c r="WIC60" s="484"/>
      <c r="WID60" s="484"/>
      <c r="WIE60" s="484"/>
      <c r="WIF60" s="484"/>
      <c r="WIG60" s="484"/>
      <c r="WIH60" s="484"/>
      <c r="WII60" s="484"/>
      <c r="WIJ60" s="484"/>
      <c r="WIK60" s="484"/>
      <c r="WIL60" s="484"/>
      <c r="WIM60" s="484"/>
      <c r="WIN60" s="484"/>
      <c r="WIO60" s="484"/>
      <c r="WIP60" s="484"/>
      <c r="WIQ60" s="484"/>
      <c r="WIR60" s="484"/>
      <c r="WIS60" s="484"/>
      <c r="WIT60" s="484"/>
      <c r="WIU60" s="484"/>
      <c r="WIV60" s="484"/>
      <c r="WIW60" s="484"/>
      <c r="WIX60" s="484"/>
      <c r="WIY60" s="484"/>
      <c r="WIZ60" s="484"/>
      <c r="WJA60" s="484"/>
      <c r="WJB60" s="484"/>
      <c r="WJC60" s="484"/>
      <c r="WJD60" s="484"/>
      <c r="WJE60" s="484"/>
      <c r="WJF60" s="484"/>
      <c r="WJG60" s="484"/>
      <c r="WJH60" s="484"/>
      <c r="WJI60" s="484"/>
      <c r="WJJ60" s="484"/>
      <c r="WJK60" s="484"/>
      <c r="WJL60" s="484"/>
      <c r="WJM60" s="484"/>
      <c r="WJN60" s="484"/>
      <c r="WJO60" s="484"/>
      <c r="WJP60" s="484"/>
      <c r="WJQ60" s="484"/>
      <c r="WJR60" s="484"/>
      <c r="WJS60" s="484"/>
      <c r="WJT60" s="484"/>
      <c r="WJU60" s="484"/>
      <c r="WJV60" s="484"/>
      <c r="WJW60" s="484"/>
      <c r="WJX60" s="484"/>
      <c r="WJY60" s="484"/>
      <c r="WJZ60" s="484"/>
      <c r="WKA60" s="484"/>
      <c r="WKB60" s="484"/>
      <c r="WKC60" s="484"/>
      <c r="WKD60" s="484"/>
      <c r="WKE60" s="484"/>
      <c r="WKF60" s="484"/>
      <c r="WKG60" s="484"/>
      <c r="WKH60" s="484"/>
      <c r="WKI60" s="484"/>
      <c r="WKJ60" s="484"/>
      <c r="WKK60" s="484"/>
      <c r="WKL60" s="484"/>
      <c r="WKM60" s="484"/>
      <c r="WKN60" s="484"/>
      <c r="WKO60" s="484"/>
      <c r="WKP60" s="484"/>
      <c r="WKQ60" s="484"/>
      <c r="WKR60" s="484"/>
      <c r="WKS60" s="484"/>
      <c r="WKT60" s="484"/>
      <c r="WKU60" s="484"/>
      <c r="WKV60" s="484"/>
      <c r="WKW60" s="484"/>
      <c r="WKX60" s="484"/>
      <c r="WKY60" s="484"/>
      <c r="WKZ60" s="484"/>
      <c r="WLA60" s="484"/>
      <c r="WLB60" s="484"/>
      <c r="WLC60" s="484"/>
      <c r="WLD60" s="484"/>
      <c r="WLE60" s="484"/>
      <c r="WLF60" s="484"/>
      <c r="WLG60" s="484"/>
      <c r="WLH60" s="484"/>
      <c r="WLI60" s="484"/>
      <c r="WLJ60" s="484"/>
      <c r="WLK60" s="484"/>
      <c r="WLL60" s="484"/>
      <c r="WLM60" s="484"/>
      <c r="WLN60" s="484"/>
      <c r="WLO60" s="484"/>
      <c r="WLP60" s="484"/>
      <c r="WLQ60" s="484"/>
      <c r="WLR60" s="484"/>
      <c r="WLS60" s="484"/>
      <c r="WLT60" s="484"/>
      <c r="WLU60" s="484"/>
      <c r="WLV60" s="484"/>
      <c r="WLW60" s="484"/>
      <c r="WLX60" s="484"/>
      <c r="WLY60" s="484"/>
      <c r="WLZ60" s="484"/>
      <c r="WMA60" s="484"/>
      <c r="WMB60" s="484"/>
      <c r="WMC60" s="484"/>
      <c r="WMD60" s="484"/>
      <c r="WME60" s="484"/>
      <c r="WMF60" s="484"/>
      <c r="WMG60" s="484"/>
      <c r="WMH60" s="484"/>
      <c r="WMI60" s="484"/>
      <c r="WMJ60" s="484"/>
      <c r="WMK60" s="484"/>
      <c r="WML60" s="484"/>
      <c r="WMM60" s="484"/>
      <c r="WMN60" s="484"/>
      <c r="WMO60" s="484"/>
      <c r="WMP60" s="484"/>
      <c r="WMQ60" s="484"/>
      <c r="WMR60" s="484"/>
      <c r="WMS60" s="484"/>
      <c r="WMT60" s="484"/>
      <c r="WMU60" s="484"/>
      <c r="WMV60" s="484"/>
      <c r="WMW60" s="484"/>
      <c r="WMX60" s="484"/>
      <c r="WMY60" s="484"/>
      <c r="WMZ60" s="484"/>
      <c r="WNA60" s="484"/>
      <c r="WNB60" s="484"/>
      <c r="WNC60" s="484"/>
      <c r="WND60" s="484"/>
      <c r="WNE60" s="484"/>
      <c r="WNF60" s="484"/>
      <c r="WNG60" s="484"/>
      <c r="WNH60" s="484"/>
      <c r="WNI60" s="484"/>
      <c r="WNJ60" s="484"/>
      <c r="WNK60" s="484"/>
      <c r="WNL60" s="484"/>
      <c r="WNM60" s="484"/>
      <c r="WNN60" s="484"/>
      <c r="WNO60" s="484"/>
      <c r="WNP60" s="484"/>
      <c r="WNQ60" s="484"/>
      <c r="WNR60" s="484"/>
      <c r="WNS60" s="484"/>
      <c r="WNT60" s="484"/>
      <c r="WNU60" s="484"/>
      <c r="WNV60" s="484"/>
      <c r="WNW60" s="484"/>
      <c r="WNX60" s="484"/>
      <c r="WNY60" s="484"/>
      <c r="WNZ60" s="484"/>
      <c r="WOA60" s="484"/>
      <c r="WOB60" s="484"/>
      <c r="WOC60" s="484"/>
      <c r="WOD60" s="484"/>
      <c r="WOE60" s="484"/>
      <c r="WOF60" s="484"/>
      <c r="WOG60" s="484"/>
      <c r="WOH60" s="484"/>
      <c r="WOI60" s="484"/>
      <c r="WOJ60" s="484"/>
      <c r="WOK60" s="484"/>
      <c r="WOL60" s="484"/>
      <c r="WOM60" s="484"/>
      <c r="WON60" s="484"/>
      <c r="WOO60" s="484"/>
      <c r="WOP60" s="484"/>
      <c r="WOQ60" s="484"/>
      <c r="WOR60" s="484"/>
      <c r="WOS60" s="484"/>
      <c r="WOT60" s="484"/>
      <c r="WOU60" s="484"/>
      <c r="WOV60" s="484"/>
      <c r="WOW60" s="484"/>
      <c r="WOX60" s="484"/>
      <c r="WOY60" s="484"/>
      <c r="WOZ60" s="484"/>
      <c r="WPA60" s="484"/>
      <c r="WPB60" s="484"/>
      <c r="WPC60" s="484"/>
      <c r="WPD60" s="484"/>
      <c r="WPE60" s="484"/>
      <c r="WPF60" s="484"/>
      <c r="WPG60" s="484"/>
      <c r="WPH60" s="484"/>
      <c r="WPI60" s="484"/>
      <c r="WPJ60" s="484"/>
      <c r="WPK60" s="484"/>
      <c r="WPL60" s="484"/>
      <c r="WPM60" s="484"/>
      <c r="WPN60" s="484"/>
      <c r="WPO60" s="484"/>
      <c r="WPP60" s="484"/>
      <c r="WPQ60" s="484"/>
      <c r="WPR60" s="484"/>
      <c r="WPS60" s="484"/>
      <c r="WPT60" s="484"/>
      <c r="WPU60" s="484"/>
      <c r="WPV60" s="484"/>
      <c r="WPW60" s="484"/>
      <c r="WPX60" s="484"/>
      <c r="WPY60" s="484"/>
      <c r="WPZ60" s="484"/>
      <c r="WQA60" s="484"/>
      <c r="WQB60" s="484"/>
      <c r="WQC60" s="484"/>
      <c r="WQD60" s="484"/>
      <c r="WQE60" s="484"/>
      <c r="WQF60" s="484"/>
      <c r="WQG60" s="484"/>
      <c r="WQH60" s="484"/>
      <c r="WQI60" s="484"/>
      <c r="WQJ60" s="484"/>
      <c r="WQK60" s="484"/>
      <c r="WQL60" s="484"/>
      <c r="WQM60" s="484"/>
      <c r="WQN60" s="484"/>
      <c r="WQO60" s="484"/>
      <c r="WQP60" s="484"/>
      <c r="WQQ60" s="484"/>
      <c r="WQR60" s="484"/>
      <c r="WQS60" s="484"/>
      <c r="WQT60" s="484"/>
      <c r="WQU60" s="484"/>
      <c r="WQV60" s="484"/>
      <c r="WQW60" s="484"/>
      <c r="WQX60" s="484"/>
      <c r="WQY60" s="484"/>
      <c r="WQZ60" s="484"/>
      <c r="WRA60" s="484"/>
      <c r="WRB60" s="484"/>
      <c r="WRC60" s="484"/>
      <c r="WRD60" s="484"/>
      <c r="WRE60" s="484"/>
      <c r="WRF60" s="484"/>
      <c r="WRG60" s="484"/>
      <c r="WRH60" s="484"/>
      <c r="WRI60" s="484"/>
      <c r="WRJ60" s="484"/>
      <c r="WRK60" s="484"/>
      <c r="WRL60" s="484"/>
      <c r="WRM60" s="484"/>
      <c r="WRN60" s="484"/>
      <c r="WRO60" s="484"/>
      <c r="WRP60" s="484"/>
      <c r="WRQ60" s="484"/>
      <c r="WRR60" s="484"/>
      <c r="WRS60" s="484"/>
      <c r="WRT60" s="484"/>
      <c r="WRU60" s="484"/>
      <c r="WRV60" s="484"/>
      <c r="WRW60" s="484"/>
      <c r="WRX60" s="484"/>
      <c r="WRY60" s="484"/>
      <c r="WRZ60" s="484"/>
      <c r="WSA60" s="484"/>
      <c r="WSB60" s="484"/>
      <c r="WSC60" s="484"/>
      <c r="WSD60" s="484"/>
      <c r="WSE60" s="484"/>
      <c r="WSF60" s="484"/>
      <c r="WSG60" s="484"/>
      <c r="WSH60" s="484"/>
      <c r="WSI60" s="484"/>
      <c r="WSJ60" s="484"/>
      <c r="WSK60" s="484"/>
      <c r="WSL60" s="484"/>
      <c r="WSM60" s="484"/>
      <c r="WSN60" s="484"/>
      <c r="WSO60" s="484"/>
      <c r="WSP60" s="484"/>
      <c r="WSQ60" s="484"/>
      <c r="WSR60" s="484"/>
      <c r="WSS60" s="484"/>
      <c r="WST60" s="484"/>
      <c r="WSU60" s="484"/>
      <c r="WSV60" s="484"/>
      <c r="WSW60" s="484"/>
      <c r="WSX60" s="484"/>
      <c r="WSY60" s="484"/>
      <c r="WSZ60" s="484"/>
      <c r="WTA60" s="484"/>
      <c r="WTB60" s="484"/>
      <c r="WTC60" s="484"/>
      <c r="WTD60" s="484"/>
      <c r="WTE60" s="484"/>
      <c r="WTF60" s="484"/>
      <c r="WTG60" s="484"/>
      <c r="WTH60" s="484"/>
      <c r="WTI60" s="484"/>
      <c r="WTJ60" s="484"/>
      <c r="WTK60" s="484"/>
      <c r="WTL60" s="484"/>
      <c r="WTM60" s="484"/>
      <c r="WTN60" s="484"/>
      <c r="WTO60" s="484"/>
      <c r="WTP60" s="484"/>
      <c r="WTQ60" s="484"/>
      <c r="WTR60" s="484"/>
      <c r="WTS60" s="484"/>
      <c r="WTT60" s="484"/>
      <c r="WTU60" s="484"/>
      <c r="WTV60" s="484"/>
      <c r="WTW60" s="484"/>
      <c r="WTX60" s="484"/>
      <c r="WTY60" s="484"/>
      <c r="WTZ60" s="484"/>
      <c r="WUA60" s="484"/>
      <c r="WUB60" s="484"/>
      <c r="WUC60" s="484"/>
      <c r="WUD60" s="484"/>
      <c r="WUE60" s="484"/>
      <c r="WUF60" s="484"/>
      <c r="WUG60" s="484"/>
      <c r="WUH60" s="484"/>
      <c r="WUI60" s="484"/>
      <c r="WUJ60" s="484"/>
      <c r="WUK60" s="484"/>
      <c r="WUL60" s="484"/>
      <c r="WUM60" s="484"/>
      <c r="WUN60" s="484"/>
      <c r="WUO60" s="484"/>
      <c r="WUP60" s="484"/>
      <c r="WUQ60" s="484"/>
      <c r="WUR60" s="484"/>
      <c r="WUS60" s="484"/>
      <c r="WUT60" s="484"/>
      <c r="WUU60" s="484"/>
      <c r="WUV60" s="484"/>
      <c r="WUW60" s="484"/>
      <c r="WUX60" s="484"/>
      <c r="WUY60" s="484"/>
      <c r="WUZ60" s="484"/>
      <c r="WVA60" s="484"/>
      <c r="WVB60" s="484"/>
      <c r="WVC60" s="484"/>
      <c r="WVD60" s="484"/>
      <c r="WVE60" s="484"/>
      <c r="WVF60" s="484"/>
      <c r="WVG60" s="484"/>
      <c r="WVH60" s="484"/>
      <c r="WVI60" s="484"/>
      <c r="WVJ60" s="484"/>
      <c r="WVK60" s="484"/>
      <c r="WVL60" s="484"/>
      <c r="WVM60" s="484"/>
      <c r="WVN60" s="484"/>
      <c r="WVO60" s="484"/>
      <c r="WVP60" s="484"/>
      <c r="WVQ60" s="484"/>
      <c r="WVR60" s="484"/>
      <c r="WVS60" s="484"/>
      <c r="WVT60" s="484"/>
      <c r="WVU60" s="484"/>
      <c r="WVV60" s="484"/>
      <c r="WVW60" s="484"/>
      <c r="WVX60" s="484"/>
      <c r="WVY60" s="484"/>
      <c r="WVZ60" s="484"/>
      <c r="WWA60" s="484"/>
      <c r="WWB60" s="484"/>
      <c r="WWC60" s="484"/>
      <c r="WWD60" s="484"/>
      <c r="WWE60" s="484"/>
      <c r="WWF60" s="484"/>
      <c r="WWG60" s="484"/>
      <c r="WWH60" s="484"/>
      <c r="WWI60" s="484"/>
      <c r="WWJ60" s="484"/>
      <c r="WWK60" s="484"/>
      <c r="WWL60" s="484"/>
      <c r="WWM60" s="484"/>
      <c r="WWN60" s="484"/>
      <c r="WWO60" s="484"/>
      <c r="WWP60" s="484"/>
      <c r="WWQ60" s="484"/>
      <c r="WWR60" s="484"/>
      <c r="WWS60" s="484"/>
      <c r="WWT60" s="484"/>
      <c r="WWU60" s="484"/>
      <c r="WWV60" s="484"/>
      <c r="WWW60" s="484"/>
      <c r="WWX60" s="484"/>
      <c r="WWY60" s="484"/>
      <c r="WWZ60" s="484"/>
      <c r="WXA60" s="484"/>
      <c r="WXB60" s="484"/>
      <c r="WXC60" s="484"/>
      <c r="WXD60" s="484"/>
      <c r="WXE60" s="484"/>
      <c r="WXF60" s="484"/>
      <c r="WXG60" s="484"/>
      <c r="WXH60" s="484"/>
      <c r="WXI60" s="484"/>
      <c r="WXJ60" s="484"/>
      <c r="WXK60" s="484"/>
      <c r="WXL60" s="484"/>
      <c r="WXM60" s="484"/>
      <c r="WXN60" s="484"/>
      <c r="WXO60" s="484"/>
      <c r="WXP60" s="484"/>
      <c r="WXQ60" s="484"/>
      <c r="WXR60" s="484"/>
      <c r="WXS60" s="484"/>
      <c r="WXT60" s="484"/>
      <c r="WXU60" s="484"/>
      <c r="WXV60" s="484"/>
      <c r="WXW60" s="484"/>
      <c r="WXX60" s="484"/>
      <c r="WXY60" s="484"/>
      <c r="WXZ60" s="484"/>
      <c r="WYA60" s="484"/>
      <c r="WYB60" s="484"/>
      <c r="WYC60" s="484"/>
      <c r="WYD60" s="484"/>
      <c r="WYE60" s="484"/>
      <c r="WYF60" s="484"/>
      <c r="WYG60" s="484"/>
      <c r="WYH60" s="484"/>
      <c r="WYI60" s="484"/>
      <c r="WYJ60" s="484"/>
      <c r="WYK60" s="484"/>
      <c r="WYL60" s="484"/>
      <c r="WYM60" s="484"/>
      <c r="WYN60" s="484"/>
      <c r="WYO60" s="484"/>
      <c r="WYP60" s="484"/>
      <c r="WYQ60" s="484"/>
      <c r="WYR60" s="484"/>
      <c r="WYS60" s="484"/>
      <c r="WYT60" s="484"/>
      <c r="WYU60" s="484"/>
      <c r="WYV60" s="484"/>
      <c r="WYW60" s="484"/>
      <c r="WYX60" s="484"/>
      <c r="WYY60" s="484"/>
      <c r="WYZ60" s="484"/>
      <c r="WZA60" s="484"/>
      <c r="WZB60" s="484"/>
      <c r="WZC60" s="484"/>
      <c r="WZD60" s="484"/>
      <c r="WZE60" s="484"/>
      <c r="WZF60" s="484"/>
      <c r="WZG60" s="484"/>
      <c r="WZH60" s="484"/>
      <c r="WZI60" s="484"/>
      <c r="WZJ60" s="484"/>
      <c r="WZK60" s="484"/>
      <c r="WZL60" s="484"/>
      <c r="WZM60" s="484"/>
      <c r="WZN60" s="484"/>
      <c r="WZO60" s="484"/>
      <c r="WZP60" s="484"/>
      <c r="WZQ60" s="484"/>
      <c r="WZR60" s="484"/>
      <c r="WZS60" s="484"/>
      <c r="WZT60" s="484"/>
      <c r="WZU60" s="484"/>
      <c r="WZV60" s="484"/>
      <c r="WZW60" s="484"/>
      <c r="WZX60" s="484"/>
      <c r="WZY60" s="484"/>
      <c r="WZZ60" s="484"/>
      <c r="XAA60" s="484"/>
      <c r="XAB60" s="484"/>
      <c r="XAC60" s="484"/>
      <c r="XAD60" s="484"/>
      <c r="XAE60" s="484"/>
      <c r="XAF60" s="484"/>
      <c r="XAG60" s="484"/>
      <c r="XAH60" s="484"/>
      <c r="XAI60" s="484"/>
      <c r="XAJ60" s="484"/>
      <c r="XAK60" s="484"/>
      <c r="XAL60" s="484"/>
      <c r="XAM60" s="484"/>
      <c r="XAN60" s="484"/>
      <c r="XAO60" s="484"/>
      <c r="XAP60" s="484"/>
      <c r="XAQ60" s="484"/>
      <c r="XAR60" s="484"/>
      <c r="XAS60" s="484"/>
      <c r="XAT60" s="484"/>
      <c r="XAU60" s="484"/>
      <c r="XAV60" s="484"/>
      <c r="XAW60" s="484"/>
      <c r="XAX60" s="484"/>
      <c r="XAY60" s="484"/>
      <c r="XAZ60" s="484"/>
      <c r="XBA60" s="484"/>
      <c r="XBB60" s="484"/>
      <c r="XBC60" s="484"/>
      <c r="XBD60" s="484"/>
      <c r="XBE60" s="484"/>
      <c r="XBF60" s="484"/>
      <c r="XBG60" s="484"/>
      <c r="XBH60" s="484"/>
      <c r="XBI60" s="484"/>
      <c r="XBJ60" s="484"/>
      <c r="XBK60" s="484"/>
      <c r="XBL60" s="484"/>
      <c r="XBM60" s="484"/>
      <c r="XBN60" s="484"/>
      <c r="XBO60" s="484"/>
      <c r="XBP60" s="484"/>
      <c r="XBQ60" s="484"/>
      <c r="XBR60" s="484"/>
      <c r="XBS60" s="484"/>
      <c r="XBT60" s="484"/>
      <c r="XBU60" s="484"/>
      <c r="XBV60" s="484"/>
      <c r="XBW60" s="484"/>
      <c r="XBX60" s="484"/>
      <c r="XBY60" s="484"/>
      <c r="XBZ60" s="484"/>
      <c r="XCA60" s="484"/>
      <c r="XCB60" s="484"/>
      <c r="XCC60" s="484"/>
      <c r="XCD60" s="484"/>
      <c r="XCE60" s="484"/>
      <c r="XCF60" s="484"/>
      <c r="XCG60" s="484"/>
      <c r="XCH60" s="484"/>
      <c r="XCI60" s="484"/>
      <c r="XCJ60" s="484"/>
      <c r="XCK60" s="484"/>
      <c r="XCL60" s="484"/>
      <c r="XCM60" s="484"/>
      <c r="XCN60" s="484"/>
      <c r="XCO60" s="484"/>
      <c r="XCP60" s="484"/>
      <c r="XCQ60" s="484"/>
      <c r="XCR60" s="484"/>
      <c r="XCS60" s="484"/>
      <c r="XCT60" s="484"/>
      <c r="XCU60" s="484"/>
      <c r="XCV60" s="484"/>
      <c r="XCW60" s="484"/>
      <c r="XCX60" s="484"/>
      <c r="XCY60" s="484"/>
      <c r="XCZ60" s="484"/>
      <c r="XDA60" s="484"/>
      <c r="XDB60" s="484"/>
      <c r="XDC60" s="484"/>
      <c r="XDD60" s="484"/>
      <c r="XDE60" s="484"/>
      <c r="XDF60" s="484"/>
      <c r="XDG60" s="484"/>
      <c r="XDH60" s="484"/>
      <c r="XDI60" s="484"/>
      <c r="XDJ60" s="484"/>
      <c r="XDK60" s="484"/>
      <c r="XDL60" s="484"/>
      <c r="XDM60" s="484"/>
      <c r="XDN60" s="484"/>
      <c r="XDO60" s="484"/>
      <c r="XDP60" s="484"/>
      <c r="XDQ60" s="484"/>
      <c r="XDR60" s="484"/>
      <c r="XDS60" s="484"/>
      <c r="XDT60" s="484"/>
      <c r="XDU60" s="484"/>
      <c r="XDV60" s="484"/>
      <c r="XDW60" s="484"/>
      <c r="XDX60" s="484"/>
      <c r="XDY60" s="484"/>
      <c r="XDZ60" s="484"/>
      <c r="XEA60" s="484"/>
      <c r="XEB60" s="484"/>
      <c r="XEC60" s="484"/>
      <c r="XED60" s="484"/>
      <c r="XEE60" s="484"/>
      <c r="XEF60" s="484"/>
      <c r="XEG60" s="484"/>
      <c r="XEH60" s="484"/>
      <c r="XEI60" s="484"/>
      <c r="XEJ60" s="484"/>
      <c r="XEK60" s="484"/>
      <c r="XEL60" s="484"/>
      <c r="XEM60" s="484"/>
      <c r="XEN60" s="484"/>
      <c r="XEO60" s="484"/>
      <c r="XEP60" s="484"/>
      <c r="XEQ60" s="484"/>
      <c r="XER60" s="484"/>
      <c r="XES60" s="484"/>
      <c r="XET60" s="484"/>
      <c r="XEU60" s="484"/>
      <c r="XEV60" s="484"/>
      <c r="XEW60" s="484"/>
      <c r="XEX60" s="484"/>
      <c r="XEY60" s="484"/>
      <c r="XEZ60" s="484"/>
      <c r="XFA60" s="484"/>
      <c r="XFB60" s="484"/>
      <c r="XFC60" s="484"/>
      <c r="XFD60" s="484"/>
    </row>
    <row r="61" customHeight="1" spans="1:16384">
      <c r="A61" s="388" t="str">
        <f t="shared" si="28"/>
        <v>西U10-1</v>
      </c>
      <c r="B61" s="389">
        <f t="shared" si="4"/>
        <v>111.6591</v>
      </c>
      <c r="C61" s="389">
        <f t="shared" si="5"/>
        <v>131.6591</v>
      </c>
      <c r="D61" s="390">
        <f t="shared" si="6"/>
        <v>20</v>
      </c>
      <c r="E61" s="391">
        <f t="shared" si="7"/>
        <v>3.59828</v>
      </c>
      <c r="F61" s="391">
        <f t="shared" si="8"/>
        <v>3.348</v>
      </c>
      <c r="G61" s="391">
        <f t="shared" si="9"/>
        <v>2.29828</v>
      </c>
      <c r="H61" s="391">
        <f t="shared" si="10"/>
        <v>1.73674</v>
      </c>
      <c r="I61" s="391">
        <f t="shared" si="11"/>
        <v>1.3</v>
      </c>
      <c r="J61" s="383">
        <f t="shared" si="12"/>
        <v>1.61126</v>
      </c>
      <c r="K61" s="423">
        <f t="shared" si="13"/>
        <v>0.4</v>
      </c>
      <c r="L61" s="415">
        <f>LOOKUP(MAX(J61,I61),{0,3.5,4,5,6.5,7.5,9,10},{0.3,0.4,0.5,0.6,0.7,0.8,0.9})</f>
        <v>0.3</v>
      </c>
      <c r="M61" s="423">
        <f t="shared" si="14"/>
        <v>22.85</v>
      </c>
      <c r="N61" s="423">
        <f t="shared" si="15"/>
        <v>22.85</v>
      </c>
      <c r="O61" s="379">
        <f t="shared" si="16"/>
        <v>1.3</v>
      </c>
      <c r="P61" s="425">
        <f t="shared" si="17"/>
        <v>1.41637</v>
      </c>
      <c r="Q61" s="425">
        <f t="shared" si="18"/>
        <v>1.75</v>
      </c>
      <c r="R61" s="390">
        <f t="shared" si="19"/>
        <v>1.75</v>
      </c>
      <c r="S61" s="462">
        <f t="shared" si="20"/>
        <v>1</v>
      </c>
      <c r="T61" s="463">
        <f t="shared" si="21"/>
        <v>2.1</v>
      </c>
      <c r="U61" s="424">
        <f t="shared" si="29"/>
        <v>1.21144</v>
      </c>
      <c r="V61" s="424">
        <f t="shared" si="23"/>
        <v>0.45</v>
      </c>
      <c r="W61" s="463">
        <f t="shared" si="24"/>
        <v>0.45</v>
      </c>
      <c r="X61" s="464">
        <f t="shared" si="25"/>
        <v>0</v>
      </c>
      <c r="Y61" s="447">
        <f t="shared" si="26"/>
        <v>2.37682375</v>
      </c>
      <c r="Z61" s="447">
        <f t="shared" si="27"/>
        <v>0</v>
      </c>
      <c r="AB61" s="349"/>
      <c r="AC61" s="349"/>
      <c r="XFC61" s="342"/>
      <c r="XFD61" s="342"/>
    </row>
    <row r="62" customHeight="1" spans="1:16384">
      <c r="A62" s="388" t="str">
        <f t="shared" si="28"/>
        <v>西U9-1</v>
      </c>
      <c r="B62" s="389">
        <f t="shared" si="4"/>
        <v>131.6891</v>
      </c>
      <c r="C62" s="389">
        <f t="shared" si="5"/>
        <v>151.6891</v>
      </c>
      <c r="D62" s="390">
        <f t="shared" si="6"/>
        <v>20</v>
      </c>
      <c r="E62" s="391">
        <f t="shared" si="7"/>
        <v>3.348</v>
      </c>
      <c r="F62" s="391">
        <f t="shared" si="8"/>
        <v>3.348</v>
      </c>
      <c r="G62" s="391">
        <f t="shared" si="9"/>
        <v>1.7359</v>
      </c>
      <c r="H62" s="391">
        <f t="shared" si="10"/>
        <v>1.17435</v>
      </c>
      <c r="I62" s="391">
        <f t="shared" si="11"/>
        <v>1.6121</v>
      </c>
      <c r="J62" s="383">
        <f t="shared" si="12"/>
        <v>2.17365</v>
      </c>
      <c r="K62" s="423">
        <f t="shared" si="13"/>
        <v>0.4</v>
      </c>
      <c r="L62" s="415">
        <f>LOOKUP(MAX(J62,I62),{0,3.5,4,5,6.5,7.5,9,10},{0.3,0.4,0.5,0.6,0.7,0.8,0.9})</f>
        <v>0.3</v>
      </c>
      <c r="M62" s="423">
        <f t="shared" si="14"/>
        <v>22.85</v>
      </c>
      <c r="N62" s="423">
        <f t="shared" si="15"/>
        <v>22.85</v>
      </c>
      <c r="O62" s="379">
        <f t="shared" si="16"/>
        <v>1.41646</v>
      </c>
      <c r="P62" s="425">
        <f t="shared" si="17"/>
        <v>1.47801</v>
      </c>
      <c r="Q62" s="425">
        <f t="shared" si="18"/>
        <v>1.75</v>
      </c>
      <c r="R62" s="390">
        <f t="shared" si="19"/>
        <v>1.75</v>
      </c>
      <c r="S62" s="462">
        <f t="shared" si="20"/>
        <v>1</v>
      </c>
      <c r="T62" s="463">
        <f t="shared" si="21"/>
        <v>2.21144</v>
      </c>
      <c r="U62" s="424">
        <f t="shared" si="29"/>
        <v>1.10034</v>
      </c>
      <c r="V62" s="424">
        <f t="shared" si="23"/>
        <v>0.45</v>
      </c>
      <c r="W62" s="463">
        <f t="shared" si="24"/>
        <v>0.45</v>
      </c>
      <c r="X62" s="464">
        <f t="shared" si="25"/>
        <v>0</v>
      </c>
      <c r="Y62" s="447">
        <f t="shared" si="26"/>
        <v>2.53266125</v>
      </c>
      <c r="Z62" s="447">
        <f t="shared" si="27"/>
        <v>0</v>
      </c>
      <c r="AB62" s="349"/>
      <c r="AC62" s="349"/>
      <c r="XFC62" s="342"/>
      <c r="XFD62" s="342"/>
    </row>
    <row r="63" customHeight="1" spans="1:16384">
      <c r="A63" s="388" t="str">
        <f t="shared" si="28"/>
        <v>西U6-1</v>
      </c>
      <c r="B63" s="389">
        <f t="shared" si="4"/>
        <v>191.7791</v>
      </c>
      <c r="C63" s="389">
        <f t="shared" si="5"/>
        <v>211.7791</v>
      </c>
      <c r="D63" s="390">
        <f t="shared" si="6"/>
        <v>20</v>
      </c>
      <c r="E63" s="391">
        <f t="shared" si="7"/>
        <v>3.348</v>
      </c>
      <c r="F63" s="391">
        <f t="shared" si="8"/>
        <v>3.348</v>
      </c>
      <c r="G63" s="391">
        <f t="shared" si="9"/>
        <v>-0.40882</v>
      </c>
      <c r="H63" s="391">
        <f t="shared" si="10"/>
        <v>-1.19881</v>
      </c>
      <c r="I63" s="391">
        <f t="shared" si="11"/>
        <v>3.75682</v>
      </c>
      <c r="J63" s="383">
        <f t="shared" si="12"/>
        <v>4.54681</v>
      </c>
      <c r="K63" s="423">
        <f t="shared" si="13"/>
        <v>0.6</v>
      </c>
      <c r="L63" s="415">
        <f>LOOKUP(MAX(J63,I63),{0,3.5,4,5,6.5,7.5,9,10},{0.3,0.4,0.5,0.6,0.7,0.8,0.9})</f>
        <v>0.5</v>
      </c>
      <c r="M63" s="423">
        <f t="shared" si="14"/>
        <v>13.5</v>
      </c>
      <c r="N63" s="423">
        <f t="shared" si="15"/>
        <v>13.5</v>
      </c>
      <c r="O63" s="379">
        <f t="shared" si="16"/>
        <v>2.05893</v>
      </c>
      <c r="P63" s="425">
        <f t="shared" si="17"/>
        <v>2.34892</v>
      </c>
      <c r="Q63" s="425">
        <f t="shared" si="18"/>
        <v>1.75</v>
      </c>
      <c r="R63" s="390">
        <f t="shared" si="19"/>
        <v>1.75</v>
      </c>
      <c r="S63" s="462">
        <f t="shared" si="20"/>
        <v>0</v>
      </c>
      <c r="T63" s="463">
        <f t="shared" si="21"/>
        <v>2.10004</v>
      </c>
      <c r="U63" s="424">
        <f t="shared" si="29"/>
        <v>1.10003</v>
      </c>
      <c r="V63" s="424">
        <f t="shared" si="23"/>
        <v>0.45</v>
      </c>
      <c r="W63" s="463">
        <f t="shared" si="24"/>
        <v>0.45</v>
      </c>
      <c r="X63" s="464">
        <f t="shared" si="25"/>
        <v>0</v>
      </c>
      <c r="Y63" s="447">
        <f t="shared" si="26"/>
        <v>0</v>
      </c>
      <c r="Z63" s="447">
        <f t="shared" si="27"/>
        <v>0</v>
      </c>
      <c r="AB63" s="349"/>
      <c r="AC63" s="349"/>
      <c r="XFC63" s="342"/>
      <c r="XFD63" s="342"/>
    </row>
    <row r="64" customHeight="1" spans="1:16384">
      <c r="A64" s="388" t="str">
        <f t="shared" si="28"/>
        <v>西U5-1</v>
      </c>
      <c r="B64" s="389">
        <f t="shared" si="4"/>
        <v>211.8091</v>
      </c>
      <c r="C64" s="389">
        <f t="shared" si="5"/>
        <v>231.8091</v>
      </c>
      <c r="D64" s="390">
        <f t="shared" si="6"/>
        <v>20</v>
      </c>
      <c r="E64" s="391">
        <f t="shared" si="7"/>
        <v>3.348</v>
      </c>
      <c r="F64" s="391">
        <f t="shared" si="8"/>
        <v>3.348</v>
      </c>
      <c r="G64" s="391">
        <f t="shared" si="9"/>
        <v>-1.19999</v>
      </c>
      <c r="H64" s="391">
        <f t="shared" si="10"/>
        <v>-1.98997</v>
      </c>
      <c r="I64" s="391">
        <f t="shared" si="11"/>
        <v>4.54799</v>
      </c>
      <c r="J64" s="383">
        <f t="shared" si="12"/>
        <v>5.33797</v>
      </c>
      <c r="K64" s="423">
        <f t="shared" si="13"/>
        <v>0.7</v>
      </c>
      <c r="L64" s="415">
        <f>LOOKUP(MAX(J64,I64),{0,3.5,4,5,6.5,7.5,9,10},{0.3,0.4,0.5,0.6,0.7,0.8,0.9})</f>
        <v>0.6</v>
      </c>
      <c r="M64" s="423">
        <f t="shared" si="14"/>
        <v>13.7</v>
      </c>
      <c r="N64" s="423">
        <f t="shared" si="15"/>
        <v>13.7</v>
      </c>
      <c r="O64" s="379">
        <f t="shared" si="16"/>
        <v>2.34935</v>
      </c>
      <c r="P64" s="425">
        <f t="shared" si="17"/>
        <v>2.63933</v>
      </c>
      <c r="Q64" s="425">
        <f t="shared" si="18"/>
        <v>1.75</v>
      </c>
      <c r="R64" s="390">
        <f t="shared" si="19"/>
        <v>1.75</v>
      </c>
      <c r="S64" s="462">
        <f t="shared" si="20"/>
        <v>0</v>
      </c>
      <c r="T64" s="463">
        <f t="shared" si="21"/>
        <v>2.10002</v>
      </c>
      <c r="U64" s="424">
        <f t="shared" si="29"/>
        <v>1.1</v>
      </c>
      <c r="V64" s="424">
        <f t="shared" si="23"/>
        <v>0.45</v>
      </c>
      <c r="W64" s="463">
        <f t="shared" si="24"/>
        <v>0.45</v>
      </c>
      <c r="X64" s="464">
        <f t="shared" si="25"/>
        <v>0</v>
      </c>
      <c r="Y64" s="447">
        <f t="shared" si="26"/>
        <v>0</v>
      </c>
      <c r="Z64" s="447">
        <f t="shared" si="27"/>
        <v>0</v>
      </c>
      <c r="AB64" s="349"/>
      <c r="AC64" s="349"/>
      <c r="XFC64" s="342"/>
      <c r="XFD64" s="342"/>
    </row>
    <row r="65" customHeight="1" spans="1:16384">
      <c r="A65" s="388" t="str">
        <f t="shared" si="28"/>
        <v>西U4-1</v>
      </c>
      <c r="B65" s="389">
        <f t="shared" si="4"/>
        <v>231.8391</v>
      </c>
      <c r="C65" s="389">
        <f t="shared" si="5"/>
        <v>251.8391</v>
      </c>
      <c r="D65" s="390">
        <f t="shared" si="6"/>
        <v>20</v>
      </c>
      <c r="E65" s="391">
        <f t="shared" si="7"/>
        <v>3.348</v>
      </c>
      <c r="F65" s="391">
        <f t="shared" si="8"/>
        <v>3.348</v>
      </c>
      <c r="G65" s="391">
        <f t="shared" si="9"/>
        <v>-1.99116</v>
      </c>
      <c r="H65" s="391">
        <f t="shared" si="10"/>
        <v>-2.78114</v>
      </c>
      <c r="I65" s="391">
        <f t="shared" si="11"/>
        <v>5.33916</v>
      </c>
      <c r="J65" s="383">
        <f t="shared" si="12"/>
        <v>6.12914</v>
      </c>
      <c r="K65" s="423">
        <f t="shared" si="13"/>
        <v>0.7</v>
      </c>
      <c r="L65" s="415">
        <f>LOOKUP(MAX(J65,I65),{0,3.5,4,5,6.5,7.5,9,10},{0.3,0.4,0.5,0.6,0.7,0.8,0.9})</f>
        <v>0.6</v>
      </c>
      <c r="M65" s="423">
        <f t="shared" si="14"/>
        <v>13.7</v>
      </c>
      <c r="N65" s="423">
        <f t="shared" si="15"/>
        <v>13.7</v>
      </c>
      <c r="O65" s="379">
        <f t="shared" si="16"/>
        <v>2.63977</v>
      </c>
      <c r="P65" s="425">
        <f t="shared" si="17"/>
        <v>2.92975</v>
      </c>
      <c r="Q65" s="425">
        <f t="shared" si="18"/>
        <v>1.75</v>
      </c>
      <c r="R65" s="390">
        <f t="shared" si="19"/>
        <v>1.75</v>
      </c>
      <c r="S65" s="462">
        <f t="shared" si="20"/>
        <v>0</v>
      </c>
      <c r="T65" s="463">
        <f t="shared" si="21"/>
        <v>2.10001</v>
      </c>
      <c r="U65" s="424">
        <f t="shared" si="29"/>
        <v>1.16323</v>
      </c>
      <c r="V65" s="424">
        <f t="shared" si="23"/>
        <v>0.45</v>
      </c>
      <c r="W65" s="463">
        <f t="shared" si="24"/>
        <v>0.45</v>
      </c>
      <c r="X65" s="464">
        <f t="shared" ref="X65:X72" si="30">T29</f>
        <v>0</v>
      </c>
      <c r="Y65" s="447">
        <f t="shared" si="26"/>
        <v>0</v>
      </c>
      <c r="Z65" s="447">
        <f t="shared" si="27"/>
        <v>0</v>
      </c>
      <c r="AB65" s="349"/>
      <c r="AC65" s="349"/>
      <c r="XFC65" s="342"/>
      <c r="XFD65" s="342"/>
    </row>
    <row r="66" customHeight="1" spans="1:16384">
      <c r="A66" s="388" t="str">
        <f t="shared" si="28"/>
        <v>西U3-1</v>
      </c>
      <c r="B66" s="389">
        <f t="shared" si="4"/>
        <v>251.8691</v>
      </c>
      <c r="C66" s="389">
        <f t="shared" si="5"/>
        <v>271.8691</v>
      </c>
      <c r="D66" s="390">
        <f t="shared" si="6"/>
        <v>20</v>
      </c>
      <c r="E66" s="391">
        <f t="shared" si="7"/>
        <v>3.348</v>
      </c>
      <c r="F66" s="391">
        <f t="shared" si="8"/>
        <v>3.348</v>
      </c>
      <c r="G66" s="391">
        <f t="shared" si="9"/>
        <v>-2.78233</v>
      </c>
      <c r="H66" s="391">
        <f t="shared" si="10"/>
        <v>-3.34525</v>
      </c>
      <c r="I66" s="391">
        <f t="shared" si="11"/>
        <v>6.13033</v>
      </c>
      <c r="J66" s="383">
        <f t="shared" si="12"/>
        <v>6.69325</v>
      </c>
      <c r="K66" s="423">
        <f t="shared" si="13"/>
        <v>0.8</v>
      </c>
      <c r="L66" s="415">
        <f>LOOKUP(MAX(J66,I66),{0,3.5,4,5,6.5,7.5,9,10},{0.3,0.4,0.5,0.6,0.7,0.8,0.9})</f>
        <v>0.7</v>
      </c>
      <c r="M66" s="423">
        <f t="shared" si="14"/>
        <v>13.9</v>
      </c>
      <c r="N66" s="423">
        <f t="shared" si="15"/>
        <v>13.9</v>
      </c>
      <c r="O66" s="379">
        <f t="shared" si="16"/>
        <v>2.93019</v>
      </c>
      <c r="P66" s="425">
        <f t="shared" si="17"/>
        <v>2.99311</v>
      </c>
      <c r="Q66" s="425">
        <f t="shared" si="18"/>
        <v>1.75</v>
      </c>
      <c r="R66" s="390">
        <f t="shared" si="19"/>
        <v>1.75</v>
      </c>
      <c r="S66" s="462">
        <f t="shared" si="20"/>
        <v>0</v>
      </c>
      <c r="T66" s="463">
        <f t="shared" si="21"/>
        <v>2.16349</v>
      </c>
      <c r="U66" s="424">
        <f t="shared" si="29"/>
        <v>1.21551</v>
      </c>
      <c r="V66" s="424">
        <f t="shared" si="23"/>
        <v>0.45</v>
      </c>
      <c r="W66" s="463">
        <f t="shared" si="24"/>
        <v>0.45</v>
      </c>
      <c r="X66" s="464">
        <f t="shared" si="30"/>
        <v>0</v>
      </c>
      <c r="Y66" s="447">
        <f t="shared" si="26"/>
        <v>0</v>
      </c>
      <c r="Z66" s="447">
        <f t="shared" si="27"/>
        <v>0</v>
      </c>
      <c r="AB66" s="349"/>
      <c r="AC66" s="349"/>
      <c r="XFC66" s="342"/>
      <c r="XFD66" s="342"/>
    </row>
    <row r="67" customHeight="1" spans="1:16384">
      <c r="A67" s="388" t="str">
        <f t="shared" si="28"/>
        <v>西U2-1</v>
      </c>
      <c r="B67" s="389">
        <f t="shared" si="4"/>
        <v>271.8991</v>
      </c>
      <c r="C67" s="389">
        <f t="shared" si="5"/>
        <v>291.8991</v>
      </c>
      <c r="D67" s="390">
        <f t="shared" si="6"/>
        <v>20</v>
      </c>
      <c r="E67" s="391">
        <f t="shared" si="7"/>
        <v>3.348</v>
      </c>
      <c r="F67" s="391">
        <f t="shared" si="8"/>
        <v>3.348</v>
      </c>
      <c r="G67" s="391">
        <f t="shared" si="9"/>
        <v>-3.3461</v>
      </c>
      <c r="H67" s="391">
        <f t="shared" si="10"/>
        <v>-3.90902</v>
      </c>
      <c r="I67" s="391">
        <f t="shared" si="11"/>
        <v>6.6941</v>
      </c>
      <c r="J67" s="383">
        <f t="shared" si="12"/>
        <v>7.25702</v>
      </c>
      <c r="K67" s="423">
        <f t="shared" si="13"/>
        <v>0.8</v>
      </c>
      <c r="L67" s="415">
        <f>LOOKUP(MAX(J67,I67),{0,3.5,4,5,6.5,7.5,9,10},{0.3,0.4,0.5,0.6,0.7,0.8,0.9})</f>
        <v>0.7</v>
      </c>
      <c r="M67" s="423">
        <f t="shared" si="14"/>
        <v>29.69</v>
      </c>
      <c r="N67" s="423">
        <f t="shared" si="15"/>
        <v>23.65</v>
      </c>
      <c r="O67" s="379">
        <f t="shared" si="16"/>
        <v>2.99321</v>
      </c>
      <c r="P67" s="425">
        <f t="shared" si="17"/>
        <v>3.15198</v>
      </c>
      <c r="Q67" s="425">
        <f t="shared" si="18"/>
        <v>1.75</v>
      </c>
      <c r="R67" s="390">
        <f t="shared" si="19"/>
        <v>1.75</v>
      </c>
      <c r="S67" s="462">
        <f t="shared" si="20"/>
        <v>1</v>
      </c>
      <c r="T67" s="463">
        <f t="shared" si="21"/>
        <v>2.21576</v>
      </c>
      <c r="U67" s="424">
        <f t="shared" si="29"/>
        <v>1.49034</v>
      </c>
      <c r="V67" s="424">
        <f t="shared" si="23"/>
        <v>0.45</v>
      </c>
      <c r="W67" s="463">
        <f t="shared" si="24"/>
        <v>0.45</v>
      </c>
      <c r="X67" s="464">
        <f t="shared" si="30"/>
        <v>0</v>
      </c>
      <c r="Y67" s="447">
        <f t="shared" si="26"/>
        <v>5.37704125</v>
      </c>
      <c r="Z67" s="447">
        <f t="shared" si="27"/>
        <v>0</v>
      </c>
      <c r="AB67" s="349"/>
      <c r="AC67" s="349"/>
      <c r="XFC67" s="342"/>
      <c r="XFD67" s="342"/>
    </row>
    <row r="68" customHeight="1" spans="1:16384">
      <c r="A68" s="388" t="str">
        <f t="shared" si="28"/>
        <v>西U6-2</v>
      </c>
      <c r="B68" s="389">
        <f t="shared" si="4"/>
        <v>191.7791</v>
      </c>
      <c r="C68" s="389">
        <f t="shared" si="5"/>
        <v>211.7791</v>
      </c>
      <c r="D68" s="390">
        <f t="shared" si="6"/>
        <v>20</v>
      </c>
      <c r="E68" s="391">
        <f t="shared" si="7"/>
        <v>3.348</v>
      </c>
      <c r="F68" s="391">
        <f t="shared" si="8"/>
        <v>3.348</v>
      </c>
      <c r="G68" s="391">
        <f t="shared" si="9"/>
        <v>-0.40882</v>
      </c>
      <c r="H68" s="391">
        <f t="shared" si="10"/>
        <v>-1.19881</v>
      </c>
      <c r="I68" s="391">
        <f t="shared" si="11"/>
        <v>3.75682</v>
      </c>
      <c r="J68" s="383">
        <f t="shared" si="12"/>
        <v>4.54681</v>
      </c>
      <c r="K68" s="423">
        <f t="shared" si="13"/>
        <v>0.6</v>
      </c>
      <c r="L68" s="415">
        <f>LOOKUP(MAX(J68,I68),{0,3.5,4,5,6.5,7.5,9,10},{0.3,0.4,0.5,0.6,0.7,0.8,0.9})</f>
        <v>0.5</v>
      </c>
      <c r="M68" s="423">
        <f t="shared" si="14"/>
        <v>9</v>
      </c>
      <c r="N68" s="423">
        <f t="shared" si="15"/>
        <v>10.09</v>
      </c>
      <c r="O68" s="379">
        <f t="shared" si="16"/>
        <v>2.05893</v>
      </c>
      <c r="P68" s="425">
        <f t="shared" si="17"/>
        <v>2.34892</v>
      </c>
      <c r="Q68" s="425">
        <f t="shared" si="18"/>
        <v>1.75</v>
      </c>
      <c r="R68" s="390">
        <f t="shared" si="19"/>
        <v>1.75</v>
      </c>
      <c r="S68" s="462">
        <f t="shared" si="20"/>
        <v>0</v>
      </c>
      <c r="T68" s="463">
        <f t="shared" si="21"/>
        <v>2.10004</v>
      </c>
      <c r="U68" s="424">
        <f t="shared" si="29"/>
        <v>1.10003</v>
      </c>
      <c r="V68" s="424">
        <f t="shared" si="23"/>
        <v>0.45</v>
      </c>
      <c r="W68" s="463">
        <f t="shared" si="24"/>
        <v>0.45</v>
      </c>
      <c r="X68" s="464">
        <f t="shared" si="30"/>
        <v>0</v>
      </c>
      <c r="Y68" s="447">
        <f t="shared" si="26"/>
        <v>0</v>
      </c>
      <c r="Z68" s="447">
        <f t="shared" si="27"/>
        <v>0</v>
      </c>
      <c r="AB68" s="349"/>
      <c r="AC68" s="349"/>
      <c r="XFC68" s="342"/>
      <c r="XFD68" s="342"/>
    </row>
    <row r="69" customHeight="1" spans="1:16384">
      <c r="A69" s="388" t="str">
        <f t="shared" si="28"/>
        <v>西U5-2</v>
      </c>
      <c r="B69" s="389">
        <f t="shared" si="4"/>
        <v>211.8091</v>
      </c>
      <c r="C69" s="389">
        <f t="shared" si="5"/>
        <v>231.8091</v>
      </c>
      <c r="D69" s="390">
        <f t="shared" si="6"/>
        <v>20</v>
      </c>
      <c r="E69" s="391">
        <f t="shared" si="7"/>
        <v>3.348</v>
      </c>
      <c r="F69" s="391">
        <f t="shared" si="8"/>
        <v>3.348</v>
      </c>
      <c r="G69" s="391">
        <f t="shared" si="9"/>
        <v>-1.19999</v>
      </c>
      <c r="H69" s="391">
        <f t="shared" si="10"/>
        <v>-1.98997</v>
      </c>
      <c r="I69" s="391">
        <f t="shared" si="11"/>
        <v>4.54799</v>
      </c>
      <c r="J69" s="383">
        <f t="shared" si="12"/>
        <v>5.33797</v>
      </c>
      <c r="K69" s="423">
        <f t="shared" si="13"/>
        <v>0.7</v>
      </c>
      <c r="L69" s="415">
        <f>LOOKUP(MAX(J69,I69),{0,3.5,4,5,6.5,7.5,9,10},{0.3,0.4,0.5,0.6,0.7,0.8,0.9})</f>
        <v>0.6</v>
      </c>
      <c r="M69" s="423">
        <f t="shared" si="14"/>
        <v>10.29</v>
      </c>
      <c r="N69" s="423">
        <f t="shared" si="15"/>
        <v>9.2</v>
      </c>
      <c r="O69" s="379">
        <f t="shared" si="16"/>
        <v>2.34935</v>
      </c>
      <c r="P69" s="425">
        <f t="shared" si="17"/>
        <v>2.63933</v>
      </c>
      <c r="Q69" s="425">
        <f t="shared" si="18"/>
        <v>1.75</v>
      </c>
      <c r="R69" s="390">
        <f t="shared" si="19"/>
        <v>1.75</v>
      </c>
      <c r="S69" s="462">
        <f t="shared" si="20"/>
        <v>0</v>
      </c>
      <c r="T69" s="463">
        <f t="shared" si="21"/>
        <v>2.10002</v>
      </c>
      <c r="U69" s="424">
        <f t="shared" si="29"/>
        <v>1.1</v>
      </c>
      <c r="V69" s="424">
        <f t="shared" si="23"/>
        <v>0.45</v>
      </c>
      <c r="W69" s="463">
        <f t="shared" si="24"/>
        <v>0.45</v>
      </c>
      <c r="X69" s="464">
        <f t="shared" si="30"/>
        <v>0</v>
      </c>
      <c r="Y69" s="447">
        <f t="shared" si="26"/>
        <v>0</v>
      </c>
      <c r="Z69" s="447">
        <f t="shared" si="27"/>
        <v>0</v>
      </c>
      <c r="AB69" s="349"/>
      <c r="AC69" s="349"/>
      <c r="XFC69" s="342"/>
      <c r="XFD69" s="342"/>
    </row>
    <row r="70" customHeight="1" spans="1:16384">
      <c r="A70" s="388" t="str">
        <f t="shared" si="28"/>
        <v>西U4-2</v>
      </c>
      <c r="B70" s="389">
        <f t="shared" si="4"/>
        <v>231.8391</v>
      </c>
      <c r="C70" s="389">
        <f t="shared" si="5"/>
        <v>251.8391</v>
      </c>
      <c r="D70" s="390">
        <f t="shared" si="6"/>
        <v>20</v>
      </c>
      <c r="E70" s="391">
        <f t="shared" si="7"/>
        <v>3.348</v>
      </c>
      <c r="F70" s="391">
        <f t="shared" si="8"/>
        <v>3.348</v>
      </c>
      <c r="G70" s="391">
        <f t="shared" si="9"/>
        <v>-1.99116</v>
      </c>
      <c r="H70" s="391">
        <f t="shared" si="10"/>
        <v>-2.78114</v>
      </c>
      <c r="I70" s="391">
        <f t="shared" si="11"/>
        <v>5.33916</v>
      </c>
      <c r="J70" s="383">
        <f t="shared" si="12"/>
        <v>6.12914</v>
      </c>
      <c r="K70" s="423">
        <f t="shared" si="13"/>
        <v>0.7</v>
      </c>
      <c r="L70" s="415">
        <f>LOOKUP(MAX(J70,I70),{0,3.5,4,5,6.5,7.5,9,10},{0.3,0.4,0.5,0.6,0.7,0.8,0.9})</f>
        <v>0.6</v>
      </c>
      <c r="M70" s="423">
        <f t="shared" si="14"/>
        <v>9.2</v>
      </c>
      <c r="N70" s="423">
        <f t="shared" si="15"/>
        <v>9.2</v>
      </c>
      <c r="O70" s="379">
        <f t="shared" si="16"/>
        <v>2.63977</v>
      </c>
      <c r="P70" s="425">
        <f t="shared" si="17"/>
        <v>2.92975</v>
      </c>
      <c r="Q70" s="425">
        <f t="shared" si="18"/>
        <v>1.75</v>
      </c>
      <c r="R70" s="390">
        <f t="shared" si="19"/>
        <v>1.75</v>
      </c>
      <c r="S70" s="462">
        <f t="shared" si="20"/>
        <v>0</v>
      </c>
      <c r="T70" s="463">
        <f t="shared" si="21"/>
        <v>2.10001</v>
      </c>
      <c r="U70" s="424">
        <f t="shared" si="29"/>
        <v>1.16323</v>
      </c>
      <c r="V70" s="424">
        <f t="shared" si="23"/>
        <v>0.45</v>
      </c>
      <c r="W70" s="463">
        <f t="shared" si="24"/>
        <v>0.45</v>
      </c>
      <c r="X70" s="464">
        <f t="shared" si="30"/>
        <v>0</v>
      </c>
      <c r="Y70" s="447">
        <f t="shared" si="26"/>
        <v>0</v>
      </c>
      <c r="Z70" s="447">
        <f t="shared" si="27"/>
        <v>0</v>
      </c>
      <c r="AB70" s="349"/>
      <c r="AC70" s="349"/>
      <c r="XFC70" s="342"/>
      <c r="XFD70" s="342"/>
    </row>
    <row r="71" customHeight="1" spans="1:16384">
      <c r="A71" s="388" t="str">
        <f t="shared" si="28"/>
        <v>西U3-2</v>
      </c>
      <c r="B71" s="389">
        <f t="shared" si="4"/>
        <v>251.8691</v>
      </c>
      <c r="C71" s="389">
        <f t="shared" si="5"/>
        <v>271.8691</v>
      </c>
      <c r="D71" s="390">
        <f t="shared" si="6"/>
        <v>20</v>
      </c>
      <c r="E71" s="391">
        <f t="shared" si="7"/>
        <v>3.348</v>
      </c>
      <c r="F71" s="391">
        <f t="shared" si="8"/>
        <v>3.348</v>
      </c>
      <c r="G71" s="391">
        <f t="shared" si="9"/>
        <v>-2.78233</v>
      </c>
      <c r="H71" s="391">
        <f t="shared" si="10"/>
        <v>-3.34525</v>
      </c>
      <c r="I71" s="391">
        <f t="shared" si="11"/>
        <v>6.13033</v>
      </c>
      <c r="J71" s="383">
        <f t="shared" si="12"/>
        <v>6.69325</v>
      </c>
      <c r="K71" s="423">
        <f t="shared" si="13"/>
        <v>0.8</v>
      </c>
      <c r="L71" s="415">
        <f>LOOKUP(MAX(J71,I71),{0,3.5,4,5,6.5,7.5,9,10},{0.3,0.4,0.5,0.6,0.7,0.8,0.9})</f>
        <v>0.7</v>
      </c>
      <c r="M71" s="423">
        <f t="shared" si="14"/>
        <v>9.4</v>
      </c>
      <c r="N71" s="423">
        <f t="shared" si="15"/>
        <v>15.46</v>
      </c>
      <c r="O71" s="379">
        <f t="shared" si="16"/>
        <v>2.93019</v>
      </c>
      <c r="P71" s="425">
        <f t="shared" si="17"/>
        <v>2.99311</v>
      </c>
      <c r="Q71" s="425">
        <f t="shared" si="18"/>
        <v>1.75</v>
      </c>
      <c r="R71" s="390">
        <f t="shared" si="19"/>
        <v>1.75</v>
      </c>
      <c r="S71" s="462">
        <f t="shared" si="20"/>
        <v>0</v>
      </c>
      <c r="T71" s="463">
        <f t="shared" si="21"/>
        <v>2.16349</v>
      </c>
      <c r="U71" s="424">
        <f t="shared" si="29"/>
        <v>1.21551</v>
      </c>
      <c r="V71" s="424">
        <f t="shared" si="23"/>
        <v>0.45</v>
      </c>
      <c r="W71" s="463">
        <f t="shared" si="24"/>
        <v>0.45</v>
      </c>
      <c r="X71" s="464">
        <f t="shared" si="30"/>
        <v>0</v>
      </c>
      <c r="Y71" s="447">
        <f t="shared" si="26"/>
        <v>0</v>
      </c>
      <c r="Z71" s="447">
        <f t="shared" si="27"/>
        <v>0</v>
      </c>
      <c r="AB71" s="349"/>
      <c r="AC71" s="349"/>
      <c r="XFC71" s="342"/>
      <c r="XFD71" s="342"/>
    </row>
    <row r="72" customHeight="1" spans="1:16384">
      <c r="A72" s="488">
        <f t="shared" si="28"/>
        <v>0</v>
      </c>
      <c r="B72" s="489">
        <f t="shared" si="4"/>
        <v>0</v>
      </c>
      <c r="C72" s="489">
        <f t="shared" si="5"/>
        <v>0</v>
      </c>
      <c r="D72" s="490">
        <f t="shared" si="6"/>
        <v>0</v>
      </c>
      <c r="E72" s="491">
        <f t="shared" si="7"/>
        <v>0</v>
      </c>
      <c r="F72" s="491">
        <f t="shared" si="8"/>
        <v>0</v>
      </c>
      <c r="G72" s="491">
        <f t="shared" si="9"/>
        <v>0</v>
      </c>
      <c r="H72" s="491">
        <f t="shared" si="10"/>
        <v>0</v>
      </c>
      <c r="I72" s="491">
        <f t="shared" si="11"/>
        <v>0</v>
      </c>
      <c r="J72" s="512">
        <f t="shared" si="12"/>
        <v>0</v>
      </c>
      <c r="K72" s="513">
        <f t="shared" si="13"/>
        <v>0.4</v>
      </c>
      <c r="L72" s="514">
        <f>LOOKUP(MAX(J72,I72),{0,3,4,5,6.5,7.5,9,10},{0.3,0.4,0.5,0.6,0.7,0.8,0.9})</f>
        <v>0.3</v>
      </c>
      <c r="M72" s="513">
        <f t="shared" si="14"/>
        <v>0.6</v>
      </c>
      <c r="N72" s="513">
        <f t="shared" si="15"/>
        <v>0.6</v>
      </c>
      <c r="O72" s="515">
        <f t="shared" si="16"/>
        <v>0.2</v>
      </c>
      <c r="P72" s="516">
        <f t="shared" si="17"/>
        <v>0.2</v>
      </c>
      <c r="Q72" s="516">
        <f t="shared" si="18"/>
        <v>0</v>
      </c>
      <c r="R72" s="518">
        <f t="shared" si="19"/>
        <v>0</v>
      </c>
      <c r="S72" s="519">
        <f t="shared" si="20"/>
        <v>0</v>
      </c>
      <c r="T72" s="520">
        <f t="shared" si="21"/>
        <v>1</v>
      </c>
      <c r="U72" s="515">
        <f t="shared" si="29"/>
        <v>0</v>
      </c>
      <c r="V72" s="515">
        <f t="shared" si="23"/>
        <v>0</v>
      </c>
      <c r="W72" s="520">
        <f t="shared" si="24"/>
        <v>0</v>
      </c>
      <c r="X72" s="521">
        <f t="shared" si="30"/>
        <v>0</v>
      </c>
      <c r="Y72" s="453"/>
      <c r="Z72" s="349"/>
      <c r="AB72" s="349"/>
      <c r="AC72" s="349"/>
      <c r="XFC72" s="342"/>
      <c r="XFD72" s="342"/>
    </row>
    <row r="73" customHeight="1" spans="2:26">
      <c r="B73" s="431"/>
      <c r="C73" s="492"/>
      <c r="K73" s="517"/>
      <c r="S73" s="345"/>
      <c r="X73" s="349"/>
      <c r="Y73" s="342">
        <f>SUM(Y41:Y72)</f>
        <v>12.33250375</v>
      </c>
      <c r="Z73" s="470"/>
    </row>
    <row r="74" ht="24.95" customHeight="1" spans="2:5">
      <c r="B74" s="356" t="s">
        <v>56</v>
      </c>
      <c r="C74" s="356"/>
      <c r="D74" s="356"/>
      <c r="E74" s="356"/>
    </row>
    <row r="75" customHeight="1" spans="2:19">
      <c r="B75" s="357" t="s">
        <v>57</v>
      </c>
      <c r="C75" s="378" t="s">
        <v>58</v>
      </c>
      <c r="D75" s="359" t="s">
        <v>59</v>
      </c>
      <c r="E75" s="493" t="s">
        <v>60</v>
      </c>
      <c r="G75" s="494" t="s">
        <v>61</v>
      </c>
      <c r="H75" s="494"/>
      <c r="S75" s="345"/>
    </row>
    <row r="76" customHeight="1" spans="2:19">
      <c r="B76" s="388" t="s">
        <v>62</v>
      </c>
      <c r="C76" s="495" t="s">
        <v>63</v>
      </c>
      <c r="D76" s="391">
        <v>0.3</v>
      </c>
      <c r="E76" s="496">
        <v>0.3</v>
      </c>
      <c r="F76" s="497"/>
      <c r="S76" s="345"/>
    </row>
    <row r="77" customHeight="1" spans="2:19">
      <c r="B77" s="380" t="s">
        <v>64</v>
      </c>
      <c r="C77" s="498" t="s">
        <v>65</v>
      </c>
      <c r="D77" s="383">
        <v>0.3</v>
      </c>
      <c r="E77" s="499">
        <v>0.3</v>
      </c>
      <c r="F77" s="497"/>
      <c r="S77" s="345"/>
    </row>
    <row r="78" s="345" customFormat="1" customHeight="1" spans="2:23">
      <c r="B78" s="380" t="s">
        <v>66</v>
      </c>
      <c r="C78" s="498" t="s">
        <v>67</v>
      </c>
      <c r="D78" s="383">
        <v>0.4</v>
      </c>
      <c r="E78" s="499">
        <v>0.4</v>
      </c>
      <c r="F78" s="500"/>
      <c r="G78" s="501"/>
      <c r="H78" s="502"/>
      <c r="I78" s="502"/>
      <c r="J78" s="502"/>
      <c r="K78" s="502"/>
      <c r="L78" s="342"/>
      <c r="M78" s="502"/>
      <c r="N78" s="502"/>
      <c r="S78" s="342"/>
      <c r="T78" s="349"/>
      <c r="U78" s="349"/>
      <c r="W78" s="342"/>
    </row>
    <row r="79" customHeight="1" spans="2:6">
      <c r="B79" s="380" t="s">
        <v>68</v>
      </c>
      <c r="C79" s="498" t="s">
        <v>69</v>
      </c>
      <c r="D79" s="383">
        <v>0.4</v>
      </c>
      <c r="E79" s="499">
        <v>0.4</v>
      </c>
      <c r="F79" s="500"/>
    </row>
    <row r="80" s="345" customFormat="1" customHeight="1" spans="2:23">
      <c r="B80" s="380" t="s">
        <v>70</v>
      </c>
      <c r="C80" s="498" t="s">
        <v>71</v>
      </c>
      <c r="D80" s="383">
        <v>0.5</v>
      </c>
      <c r="E80" s="499">
        <v>0.5</v>
      </c>
      <c r="F80" s="497"/>
      <c r="L80" s="342"/>
      <c r="S80" s="342"/>
      <c r="T80" s="349"/>
      <c r="U80" s="349"/>
      <c r="W80" s="342"/>
    </row>
    <row r="81" s="345" customFormat="1" customHeight="1" spans="2:23">
      <c r="B81" s="380" t="s">
        <v>72</v>
      </c>
      <c r="C81" s="498" t="s">
        <v>73</v>
      </c>
      <c r="D81" s="383">
        <v>0.5</v>
      </c>
      <c r="E81" s="499">
        <v>0.5</v>
      </c>
      <c r="F81" s="497"/>
      <c r="L81" s="342"/>
      <c r="S81" s="342"/>
      <c r="T81" s="349"/>
      <c r="U81" s="349"/>
      <c r="W81" s="342"/>
    </row>
    <row r="82" s="345" customFormat="1" customHeight="1" spans="2:23">
      <c r="B82" s="380" t="s">
        <v>74</v>
      </c>
      <c r="C82" s="498" t="s">
        <v>75</v>
      </c>
      <c r="D82" s="383">
        <v>0.6</v>
      </c>
      <c r="E82" s="499">
        <v>0.6</v>
      </c>
      <c r="F82" s="497"/>
      <c r="L82" s="342"/>
      <c r="S82" s="342"/>
      <c r="T82" s="349"/>
      <c r="U82" s="349"/>
      <c r="W82" s="342"/>
    </row>
    <row r="83" customHeight="1" spans="2:10">
      <c r="B83" s="388" t="s">
        <v>76</v>
      </c>
      <c r="C83" s="495" t="s">
        <v>77</v>
      </c>
      <c r="D83" s="391">
        <v>0.6</v>
      </c>
      <c r="E83" s="496">
        <v>0.6</v>
      </c>
      <c r="F83" s="497"/>
      <c r="G83" s="503"/>
      <c r="H83" s="503"/>
      <c r="I83" s="503"/>
      <c r="J83" s="503"/>
    </row>
    <row r="84" customHeight="1" spans="2:10">
      <c r="B84" s="380" t="s">
        <v>78</v>
      </c>
      <c r="C84" s="504" t="s">
        <v>79</v>
      </c>
      <c r="D84" s="414">
        <v>0.6</v>
      </c>
      <c r="E84" s="505">
        <v>0.6</v>
      </c>
      <c r="F84" s="497"/>
      <c r="I84" s="345"/>
      <c r="J84" s="345"/>
    </row>
    <row r="85" customHeight="1" spans="2:10">
      <c r="B85" s="380" t="s">
        <v>80</v>
      </c>
      <c r="C85" s="504" t="s">
        <v>81</v>
      </c>
      <c r="D85" s="506">
        <v>0.7</v>
      </c>
      <c r="E85" s="507">
        <v>0.6</v>
      </c>
      <c r="F85" s="497"/>
      <c r="I85" s="345"/>
      <c r="J85" s="345"/>
    </row>
    <row r="86" customHeight="1" spans="2:10">
      <c r="B86" s="380" t="s">
        <v>82</v>
      </c>
      <c r="C86" s="504" t="s">
        <v>81</v>
      </c>
      <c r="D86" s="414">
        <v>0.7</v>
      </c>
      <c r="E86" s="505">
        <v>0.7</v>
      </c>
      <c r="I86" s="345"/>
      <c r="J86" s="345"/>
    </row>
    <row r="87" customHeight="1" spans="2:10">
      <c r="B87" s="380" t="s">
        <v>83</v>
      </c>
      <c r="C87" s="504" t="s">
        <v>84</v>
      </c>
      <c r="D87" s="414">
        <v>0.8</v>
      </c>
      <c r="E87" s="505">
        <v>0.8</v>
      </c>
      <c r="F87" s="497"/>
      <c r="I87" s="345"/>
      <c r="J87" s="345"/>
    </row>
    <row r="88" customHeight="1" spans="2:10">
      <c r="B88" s="380" t="s">
        <v>85</v>
      </c>
      <c r="C88" s="504" t="s">
        <v>84</v>
      </c>
      <c r="D88" s="414">
        <v>0.8</v>
      </c>
      <c r="E88" s="505">
        <v>0.8</v>
      </c>
      <c r="F88" s="497"/>
      <c r="I88" s="345"/>
      <c r="J88" s="345"/>
    </row>
    <row r="89" customHeight="1" spans="2:10">
      <c r="B89" s="508" t="s">
        <v>86</v>
      </c>
      <c r="C89" s="509"/>
      <c r="D89" s="510">
        <v>0.9</v>
      </c>
      <c r="E89" s="511">
        <v>0.9</v>
      </c>
      <c r="F89" s="497"/>
      <c r="G89" s="503"/>
      <c r="H89" s="503"/>
      <c r="I89" s="345"/>
      <c r="J89" s="345"/>
    </row>
    <row r="90" customHeight="1" spans="5:15">
      <c r="E90" s="502"/>
      <c r="N90" s="345"/>
      <c r="O90" s="345"/>
    </row>
    <row r="91" customHeight="1" spans="5:15">
      <c r="E91" s="502"/>
      <c r="N91" s="345"/>
      <c r="O91" s="345"/>
    </row>
    <row r="92" customHeight="1" spans="5:15">
      <c r="E92" s="502"/>
      <c r="N92" s="345"/>
      <c r="O92" s="345"/>
    </row>
    <row r="93" customHeight="1" spans="5:15">
      <c r="E93" s="502"/>
      <c r="N93" s="345"/>
      <c r="O93" s="345"/>
    </row>
    <row r="94" customHeight="1" spans="5:15">
      <c r="E94" s="502"/>
      <c r="N94" s="345"/>
      <c r="O94" s="345"/>
    </row>
    <row r="95" customHeight="1" spans="5:15">
      <c r="E95" s="502"/>
      <c r="N95" s="345"/>
      <c r="O95" s="345"/>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abSelected="1" workbookViewId="0">
      <selection activeCell="L10" sqref="L10"/>
    </sheetView>
  </sheetViews>
  <sheetFormatPr defaultColWidth="9" defaultRowHeight="13.5"/>
  <cols>
    <col min="1" max="2" width="9" style="233"/>
    <col min="3" max="3" width="20" style="233" customWidth="1"/>
    <col min="4" max="4" width="9" style="233"/>
    <col min="5" max="5" width="10.25" style="233" customWidth="1"/>
    <col min="6" max="6" width="18.75" style="233" customWidth="1"/>
    <col min="7" max="7" width="9" style="233"/>
    <col min="8" max="8" width="10.25" style="233" customWidth="1"/>
    <col min="9" max="9" width="10.5" style="233" customWidth="1"/>
    <col min="10" max="10" width="9.625" style="233" customWidth="1"/>
    <col min="11" max="11" width="9" style="233" customWidth="1"/>
    <col min="12" max="16" width="9" style="233"/>
    <col min="17" max="17" width="12.625" style="233"/>
    <col min="18" max="258" width="9" style="233"/>
    <col min="259" max="259" width="20" style="233" customWidth="1"/>
    <col min="260" max="260" width="9" style="233"/>
    <col min="261" max="261" width="10.25" style="233" customWidth="1"/>
    <col min="262" max="262" width="18.75" style="233" customWidth="1"/>
    <col min="263" max="263" width="9" style="233"/>
    <col min="264" max="264" width="10.25" style="233" customWidth="1"/>
    <col min="265" max="265" width="10.5" style="233" customWidth="1"/>
    <col min="266" max="514" width="9" style="233"/>
    <col min="515" max="515" width="20" style="233" customWidth="1"/>
    <col min="516" max="516" width="9" style="233"/>
    <col min="517" max="517" width="10.25" style="233" customWidth="1"/>
    <col min="518" max="518" width="18.75" style="233" customWidth="1"/>
    <col min="519" max="519" width="9" style="233"/>
    <col min="520" max="520" width="10.25" style="233" customWidth="1"/>
    <col min="521" max="521" width="10.5" style="233" customWidth="1"/>
    <col min="522" max="770" width="9" style="233"/>
    <col min="771" max="771" width="20" style="233" customWidth="1"/>
    <col min="772" max="772" width="9" style="233"/>
    <col min="773" max="773" width="10.25" style="233" customWidth="1"/>
    <col min="774" max="774" width="18.75" style="233" customWidth="1"/>
    <col min="775" max="775" width="9" style="233"/>
    <col min="776" max="776" width="10.25" style="233" customWidth="1"/>
    <col min="777" max="777" width="10.5" style="233" customWidth="1"/>
    <col min="778" max="1026" width="9" style="233"/>
    <col min="1027" max="1027" width="20" style="233" customWidth="1"/>
    <col min="1028" max="1028" width="9" style="233"/>
    <col min="1029" max="1029" width="10.25" style="233" customWidth="1"/>
    <col min="1030" max="1030" width="18.75" style="233" customWidth="1"/>
    <col min="1031" max="1031" width="9" style="233"/>
    <col min="1032" max="1032" width="10.25" style="233" customWidth="1"/>
    <col min="1033" max="1033" width="10.5" style="233" customWidth="1"/>
    <col min="1034" max="1282" width="9" style="233"/>
    <col min="1283" max="1283" width="20" style="233" customWidth="1"/>
    <col min="1284" max="1284" width="9" style="233"/>
    <col min="1285" max="1285" width="10.25" style="233" customWidth="1"/>
    <col min="1286" max="1286" width="18.75" style="233" customWidth="1"/>
    <col min="1287" max="1287" width="9" style="233"/>
    <col min="1288" max="1288" width="10.25" style="233" customWidth="1"/>
    <col min="1289" max="1289" width="10.5" style="233" customWidth="1"/>
    <col min="1290" max="1538" width="9" style="233"/>
    <col min="1539" max="1539" width="20" style="233" customWidth="1"/>
    <col min="1540" max="1540" width="9" style="233"/>
    <col min="1541" max="1541" width="10.25" style="233" customWidth="1"/>
    <col min="1542" max="1542" width="18.75" style="233" customWidth="1"/>
    <col min="1543" max="1543" width="9" style="233"/>
    <col min="1544" max="1544" width="10.25" style="233" customWidth="1"/>
    <col min="1545" max="1545" width="10.5" style="233" customWidth="1"/>
    <col min="1546" max="1794" width="9" style="233"/>
    <col min="1795" max="1795" width="20" style="233" customWidth="1"/>
    <col min="1796" max="1796" width="9" style="233"/>
    <col min="1797" max="1797" width="10.25" style="233" customWidth="1"/>
    <col min="1798" max="1798" width="18.75" style="233" customWidth="1"/>
    <col min="1799" max="1799" width="9" style="233"/>
    <col min="1800" max="1800" width="10.25" style="233" customWidth="1"/>
    <col min="1801" max="1801" width="10.5" style="233" customWidth="1"/>
    <col min="1802" max="2050" width="9" style="233"/>
    <col min="2051" max="2051" width="20" style="233" customWidth="1"/>
    <col min="2052" max="2052" width="9" style="233"/>
    <col min="2053" max="2053" width="10.25" style="233" customWidth="1"/>
    <col min="2054" max="2054" width="18.75" style="233" customWidth="1"/>
    <col min="2055" max="2055" width="9" style="233"/>
    <col min="2056" max="2056" width="10.25" style="233" customWidth="1"/>
    <col min="2057" max="2057" width="10.5" style="233" customWidth="1"/>
    <col min="2058" max="2306" width="9" style="233"/>
    <col min="2307" max="2307" width="20" style="233" customWidth="1"/>
    <col min="2308" max="2308" width="9" style="233"/>
    <col min="2309" max="2309" width="10.25" style="233" customWidth="1"/>
    <col min="2310" max="2310" width="18.75" style="233" customWidth="1"/>
    <col min="2311" max="2311" width="9" style="233"/>
    <col min="2312" max="2312" width="10.25" style="233" customWidth="1"/>
    <col min="2313" max="2313" width="10.5" style="233" customWidth="1"/>
    <col min="2314" max="2562" width="9" style="233"/>
    <col min="2563" max="2563" width="20" style="233" customWidth="1"/>
    <col min="2564" max="2564" width="9" style="233"/>
    <col min="2565" max="2565" width="10.25" style="233" customWidth="1"/>
    <col min="2566" max="2566" width="18.75" style="233" customWidth="1"/>
    <col min="2567" max="2567" width="9" style="233"/>
    <col min="2568" max="2568" width="10.25" style="233" customWidth="1"/>
    <col min="2569" max="2569" width="10.5" style="233" customWidth="1"/>
    <col min="2570" max="2818" width="9" style="233"/>
    <col min="2819" max="2819" width="20" style="233" customWidth="1"/>
    <col min="2820" max="2820" width="9" style="233"/>
    <col min="2821" max="2821" width="10.25" style="233" customWidth="1"/>
    <col min="2822" max="2822" width="18.75" style="233" customWidth="1"/>
    <col min="2823" max="2823" width="9" style="233"/>
    <col min="2824" max="2824" width="10.25" style="233" customWidth="1"/>
    <col min="2825" max="2825" width="10.5" style="233" customWidth="1"/>
    <col min="2826" max="3074" width="9" style="233"/>
    <col min="3075" max="3075" width="20" style="233" customWidth="1"/>
    <col min="3076" max="3076" width="9" style="233"/>
    <col min="3077" max="3077" width="10.25" style="233" customWidth="1"/>
    <col min="3078" max="3078" width="18.75" style="233" customWidth="1"/>
    <col min="3079" max="3079" width="9" style="233"/>
    <col min="3080" max="3080" width="10.25" style="233" customWidth="1"/>
    <col min="3081" max="3081" width="10.5" style="233" customWidth="1"/>
    <col min="3082" max="3330" width="9" style="233"/>
    <col min="3331" max="3331" width="20" style="233" customWidth="1"/>
    <col min="3332" max="3332" width="9" style="233"/>
    <col min="3333" max="3333" width="10.25" style="233" customWidth="1"/>
    <col min="3334" max="3334" width="18.75" style="233" customWidth="1"/>
    <col min="3335" max="3335" width="9" style="233"/>
    <col min="3336" max="3336" width="10.25" style="233" customWidth="1"/>
    <col min="3337" max="3337" width="10.5" style="233" customWidth="1"/>
    <col min="3338" max="3586" width="9" style="233"/>
    <col min="3587" max="3587" width="20" style="233" customWidth="1"/>
    <col min="3588" max="3588" width="9" style="233"/>
    <col min="3589" max="3589" width="10.25" style="233" customWidth="1"/>
    <col min="3590" max="3590" width="18.75" style="233" customWidth="1"/>
    <col min="3591" max="3591" width="9" style="233"/>
    <col min="3592" max="3592" width="10.25" style="233" customWidth="1"/>
    <col min="3593" max="3593" width="10.5" style="233" customWidth="1"/>
    <col min="3594" max="3842" width="9" style="233"/>
    <col min="3843" max="3843" width="20" style="233" customWidth="1"/>
    <col min="3844" max="3844" width="9" style="233"/>
    <col min="3845" max="3845" width="10.25" style="233" customWidth="1"/>
    <col min="3846" max="3846" width="18.75" style="233" customWidth="1"/>
    <col min="3847" max="3847" width="9" style="233"/>
    <col min="3848" max="3848" width="10.25" style="233" customWidth="1"/>
    <col min="3849" max="3849" width="10.5" style="233" customWidth="1"/>
    <col min="3850" max="4098" width="9" style="233"/>
    <col min="4099" max="4099" width="20" style="233" customWidth="1"/>
    <col min="4100" max="4100" width="9" style="233"/>
    <col min="4101" max="4101" width="10.25" style="233" customWidth="1"/>
    <col min="4102" max="4102" width="18.75" style="233" customWidth="1"/>
    <col min="4103" max="4103" width="9" style="233"/>
    <col min="4104" max="4104" width="10.25" style="233" customWidth="1"/>
    <col min="4105" max="4105" width="10.5" style="233" customWidth="1"/>
    <col min="4106" max="4354" width="9" style="233"/>
    <col min="4355" max="4355" width="20" style="233" customWidth="1"/>
    <col min="4356" max="4356" width="9" style="233"/>
    <col min="4357" max="4357" width="10.25" style="233" customWidth="1"/>
    <col min="4358" max="4358" width="18.75" style="233" customWidth="1"/>
    <col min="4359" max="4359" width="9" style="233"/>
    <col min="4360" max="4360" width="10.25" style="233" customWidth="1"/>
    <col min="4361" max="4361" width="10.5" style="233" customWidth="1"/>
    <col min="4362" max="4610" width="9" style="233"/>
    <col min="4611" max="4611" width="20" style="233" customWidth="1"/>
    <col min="4612" max="4612" width="9" style="233"/>
    <col min="4613" max="4613" width="10.25" style="233" customWidth="1"/>
    <col min="4614" max="4614" width="18.75" style="233" customWidth="1"/>
    <col min="4615" max="4615" width="9" style="233"/>
    <col min="4616" max="4616" width="10.25" style="233" customWidth="1"/>
    <col min="4617" max="4617" width="10.5" style="233" customWidth="1"/>
    <col min="4618" max="4866" width="9" style="233"/>
    <col min="4867" max="4867" width="20" style="233" customWidth="1"/>
    <col min="4868" max="4868" width="9" style="233"/>
    <col min="4869" max="4869" width="10.25" style="233" customWidth="1"/>
    <col min="4870" max="4870" width="18.75" style="233" customWidth="1"/>
    <col min="4871" max="4871" width="9" style="233"/>
    <col min="4872" max="4872" width="10.25" style="233" customWidth="1"/>
    <col min="4873" max="4873" width="10.5" style="233" customWidth="1"/>
    <col min="4874" max="5122" width="9" style="233"/>
    <col min="5123" max="5123" width="20" style="233" customWidth="1"/>
    <col min="5124" max="5124" width="9" style="233"/>
    <col min="5125" max="5125" width="10.25" style="233" customWidth="1"/>
    <col min="5126" max="5126" width="18.75" style="233" customWidth="1"/>
    <col min="5127" max="5127" width="9" style="233"/>
    <col min="5128" max="5128" width="10.25" style="233" customWidth="1"/>
    <col min="5129" max="5129" width="10.5" style="233" customWidth="1"/>
    <col min="5130" max="5378" width="9" style="233"/>
    <col min="5379" max="5379" width="20" style="233" customWidth="1"/>
    <col min="5380" max="5380" width="9" style="233"/>
    <col min="5381" max="5381" width="10.25" style="233" customWidth="1"/>
    <col min="5382" max="5382" width="18.75" style="233" customWidth="1"/>
    <col min="5383" max="5383" width="9" style="233"/>
    <col min="5384" max="5384" width="10.25" style="233" customWidth="1"/>
    <col min="5385" max="5385" width="10.5" style="233" customWidth="1"/>
    <col min="5386" max="5634" width="9" style="233"/>
    <col min="5635" max="5635" width="20" style="233" customWidth="1"/>
    <col min="5636" max="5636" width="9" style="233"/>
    <col min="5637" max="5637" width="10.25" style="233" customWidth="1"/>
    <col min="5638" max="5638" width="18.75" style="233" customWidth="1"/>
    <col min="5639" max="5639" width="9" style="233"/>
    <col min="5640" max="5640" width="10.25" style="233" customWidth="1"/>
    <col min="5641" max="5641" width="10.5" style="233" customWidth="1"/>
    <col min="5642" max="5890" width="9" style="233"/>
    <col min="5891" max="5891" width="20" style="233" customWidth="1"/>
    <col min="5892" max="5892" width="9" style="233"/>
    <col min="5893" max="5893" width="10.25" style="233" customWidth="1"/>
    <col min="5894" max="5894" width="18.75" style="233" customWidth="1"/>
    <col min="5895" max="5895" width="9" style="233"/>
    <col min="5896" max="5896" width="10.25" style="233" customWidth="1"/>
    <col min="5897" max="5897" width="10.5" style="233" customWidth="1"/>
    <col min="5898" max="6146" width="9" style="233"/>
    <col min="6147" max="6147" width="20" style="233" customWidth="1"/>
    <col min="6148" max="6148" width="9" style="233"/>
    <col min="6149" max="6149" width="10.25" style="233" customWidth="1"/>
    <col min="6150" max="6150" width="18.75" style="233" customWidth="1"/>
    <col min="6151" max="6151" width="9" style="233"/>
    <col min="6152" max="6152" width="10.25" style="233" customWidth="1"/>
    <col min="6153" max="6153" width="10.5" style="233" customWidth="1"/>
    <col min="6154" max="6402" width="9" style="233"/>
    <col min="6403" max="6403" width="20" style="233" customWidth="1"/>
    <col min="6404" max="6404" width="9" style="233"/>
    <col min="6405" max="6405" width="10.25" style="233" customWidth="1"/>
    <col min="6406" max="6406" width="18.75" style="233" customWidth="1"/>
    <col min="6407" max="6407" width="9" style="233"/>
    <col min="6408" max="6408" width="10.25" style="233" customWidth="1"/>
    <col min="6409" max="6409" width="10.5" style="233" customWidth="1"/>
    <col min="6410" max="6658" width="9" style="233"/>
    <col min="6659" max="6659" width="20" style="233" customWidth="1"/>
    <col min="6660" max="6660" width="9" style="233"/>
    <col min="6661" max="6661" width="10.25" style="233" customWidth="1"/>
    <col min="6662" max="6662" width="18.75" style="233" customWidth="1"/>
    <col min="6663" max="6663" width="9" style="233"/>
    <col min="6664" max="6664" width="10.25" style="233" customWidth="1"/>
    <col min="6665" max="6665" width="10.5" style="233" customWidth="1"/>
    <col min="6666" max="6914" width="9" style="233"/>
    <col min="6915" max="6915" width="20" style="233" customWidth="1"/>
    <col min="6916" max="6916" width="9" style="233"/>
    <col min="6917" max="6917" width="10.25" style="233" customWidth="1"/>
    <col min="6918" max="6918" width="18.75" style="233" customWidth="1"/>
    <col min="6919" max="6919" width="9" style="233"/>
    <col min="6920" max="6920" width="10.25" style="233" customWidth="1"/>
    <col min="6921" max="6921" width="10.5" style="233" customWidth="1"/>
    <col min="6922" max="7170" width="9" style="233"/>
    <col min="7171" max="7171" width="20" style="233" customWidth="1"/>
    <col min="7172" max="7172" width="9" style="233"/>
    <col min="7173" max="7173" width="10.25" style="233" customWidth="1"/>
    <col min="7174" max="7174" width="18.75" style="233" customWidth="1"/>
    <col min="7175" max="7175" width="9" style="233"/>
    <col min="7176" max="7176" width="10.25" style="233" customWidth="1"/>
    <col min="7177" max="7177" width="10.5" style="233" customWidth="1"/>
    <col min="7178" max="7426" width="9" style="233"/>
    <col min="7427" max="7427" width="20" style="233" customWidth="1"/>
    <col min="7428" max="7428" width="9" style="233"/>
    <col min="7429" max="7429" width="10.25" style="233" customWidth="1"/>
    <col min="7430" max="7430" width="18.75" style="233" customWidth="1"/>
    <col min="7431" max="7431" width="9" style="233"/>
    <col min="7432" max="7432" width="10.25" style="233" customWidth="1"/>
    <col min="7433" max="7433" width="10.5" style="233" customWidth="1"/>
    <col min="7434" max="7682" width="9" style="233"/>
    <col min="7683" max="7683" width="20" style="233" customWidth="1"/>
    <col min="7684" max="7684" width="9" style="233"/>
    <col min="7685" max="7685" width="10.25" style="233" customWidth="1"/>
    <col min="7686" max="7686" width="18.75" style="233" customWidth="1"/>
    <col min="7687" max="7687" width="9" style="233"/>
    <col min="7688" max="7688" width="10.25" style="233" customWidth="1"/>
    <col min="7689" max="7689" width="10.5" style="233" customWidth="1"/>
    <col min="7690" max="7938" width="9" style="233"/>
    <col min="7939" max="7939" width="20" style="233" customWidth="1"/>
    <col min="7940" max="7940" width="9" style="233"/>
    <col min="7941" max="7941" width="10.25" style="233" customWidth="1"/>
    <col min="7942" max="7942" width="18.75" style="233" customWidth="1"/>
    <col min="7943" max="7943" width="9" style="233"/>
    <col min="7944" max="7944" width="10.25" style="233" customWidth="1"/>
    <col min="7945" max="7945" width="10.5" style="233" customWidth="1"/>
    <col min="7946" max="8194" width="9" style="233"/>
    <col min="8195" max="8195" width="20" style="233" customWidth="1"/>
    <col min="8196" max="8196" width="9" style="233"/>
    <col min="8197" max="8197" width="10.25" style="233" customWidth="1"/>
    <col min="8198" max="8198" width="18.75" style="233" customWidth="1"/>
    <col min="8199" max="8199" width="9" style="233"/>
    <col min="8200" max="8200" width="10.25" style="233" customWidth="1"/>
    <col min="8201" max="8201" width="10.5" style="233" customWidth="1"/>
    <col min="8202" max="8450" width="9" style="233"/>
    <col min="8451" max="8451" width="20" style="233" customWidth="1"/>
    <col min="8452" max="8452" width="9" style="233"/>
    <col min="8453" max="8453" width="10.25" style="233" customWidth="1"/>
    <col min="8454" max="8454" width="18.75" style="233" customWidth="1"/>
    <col min="8455" max="8455" width="9" style="233"/>
    <col min="8456" max="8456" width="10.25" style="233" customWidth="1"/>
    <col min="8457" max="8457" width="10.5" style="233" customWidth="1"/>
    <col min="8458" max="8706" width="9" style="233"/>
    <col min="8707" max="8707" width="20" style="233" customWidth="1"/>
    <col min="8708" max="8708" width="9" style="233"/>
    <col min="8709" max="8709" width="10.25" style="233" customWidth="1"/>
    <col min="8710" max="8710" width="18.75" style="233" customWidth="1"/>
    <col min="8711" max="8711" width="9" style="233"/>
    <col min="8712" max="8712" width="10.25" style="233" customWidth="1"/>
    <col min="8713" max="8713" width="10.5" style="233" customWidth="1"/>
    <col min="8714" max="8962" width="9" style="233"/>
    <col min="8963" max="8963" width="20" style="233" customWidth="1"/>
    <col min="8964" max="8964" width="9" style="233"/>
    <col min="8965" max="8965" width="10.25" style="233" customWidth="1"/>
    <col min="8966" max="8966" width="18.75" style="233" customWidth="1"/>
    <col min="8967" max="8967" width="9" style="233"/>
    <col min="8968" max="8968" width="10.25" style="233" customWidth="1"/>
    <col min="8969" max="8969" width="10.5" style="233" customWidth="1"/>
    <col min="8970" max="9218" width="9" style="233"/>
    <col min="9219" max="9219" width="20" style="233" customWidth="1"/>
    <col min="9220" max="9220" width="9" style="233"/>
    <col min="9221" max="9221" width="10.25" style="233" customWidth="1"/>
    <col min="9222" max="9222" width="18.75" style="233" customWidth="1"/>
    <col min="9223" max="9223" width="9" style="233"/>
    <col min="9224" max="9224" width="10.25" style="233" customWidth="1"/>
    <col min="9225" max="9225" width="10.5" style="233" customWidth="1"/>
    <col min="9226" max="9474" width="9" style="233"/>
    <col min="9475" max="9475" width="20" style="233" customWidth="1"/>
    <col min="9476" max="9476" width="9" style="233"/>
    <col min="9477" max="9477" width="10.25" style="233" customWidth="1"/>
    <col min="9478" max="9478" width="18.75" style="233" customWidth="1"/>
    <col min="9479" max="9479" width="9" style="233"/>
    <col min="9480" max="9480" width="10.25" style="233" customWidth="1"/>
    <col min="9481" max="9481" width="10.5" style="233" customWidth="1"/>
    <col min="9482" max="9730" width="9" style="233"/>
    <col min="9731" max="9731" width="20" style="233" customWidth="1"/>
    <col min="9732" max="9732" width="9" style="233"/>
    <col min="9733" max="9733" width="10.25" style="233" customWidth="1"/>
    <col min="9734" max="9734" width="18.75" style="233" customWidth="1"/>
    <col min="9735" max="9735" width="9" style="233"/>
    <col min="9736" max="9736" width="10.25" style="233" customWidth="1"/>
    <col min="9737" max="9737" width="10.5" style="233" customWidth="1"/>
    <col min="9738" max="9986" width="9" style="233"/>
    <col min="9987" max="9987" width="20" style="233" customWidth="1"/>
    <col min="9988" max="9988" width="9" style="233"/>
    <col min="9989" max="9989" width="10.25" style="233" customWidth="1"/>
    <col min="9990" max="9990" width="18.75" style="233" customWidth="1"/>
    <col min="9991" max="9991" width="9" style="233"/>
    <col min="9992" max="9992" width="10.25" style="233" customWidth="1"/>
    <col min="9993" max="9993" width="10.5" style="233" customWidth="1"/>
    <col min="9994" max="10242" width="9" style="233"/>
    <col min="10243" max="10243" width="20" style="233" customWidth="1"/>
    <col min="10244" max="10244" width="9" style="233"/>
    <col min="10245" max="10245" width="10.25" style="233" customWidth="1"/>
    <col min="10246" max="10246" width="18.75" style="233" customWidth="1"/>
    <col min="10247" max="10247" width="9" style="233"/>
    <col min="10248" max="10248" width="10.25" style="233" customWidth="1"/>
    <col min="10249" max="10249" width="10.5" style="233" customWidth="1"/>
    <col min="10250" max="10498" width="9" style="233"/>
    <col min="10499" max="10499" width="20" style="233" customWidth="1"/>
    <col min="10500" max="10500" width="9" style="233"/>
    <col min="10501" max="10501" width="10.25" style="233" customWidth="1"/>
    <col min="10502" max="10502" width="18.75" style="233" customWidth="1"/>
    <col min="10503" max="10503" width="9" style="233"/>
    <col min="10504" max="10504" width="10.25" style="233" customWidth="1"/>
    <col min="10505" max="10505" width="10.5" style="233" customWidth="1"/>
    <col min="10506" max="10754" width="9" style="233"/>
    <col min="10755" max="10755" width="20" style="233" customWidth="1"/>
    <col min="10756" max="10756" width="9" style="233"/>
    <col min="10757" max="10757" width="10.25" style="233" customWidth="1"/>
    <col min="10758" max="10758" width="18.75" style="233" customWidth="1"/>
    <col min="10759" max="10759" width="9" style="233"/>
    <col min="10760" max="10760" width="10.25" style="233" customWidth="1"/>
    <col min="10761" max="10761" width="10.5" style="233" customWidth="1"/>
    <col min="10762" max="11010" width="9" style="233"/>
    <col min="11011" max="11011" width="20" style="233" customWidth="1"/>
    <col min="11012" max="11012" width="9" style="233"/>
    <col min="11013" max="11013" width="10.25" style="233" customWidth="1"/>
    <col min="11014" max="11014" width="18.75" style="233" customWidth="1"/>
    <col min="11015" max="11015" width="9" style="233"/>
    <col min="11016" max="11016" width="10.25" style="233" customWidth="1"/>
    <col min="11017" max="11017" width="10.5" style="233" customWidth="1"/>
    <col min="11018" max="11266" width="9" style="233"/>
    <col min="11267" max="11267" width="20" style="233" customWidth="1"/>
    <col min="11268" max="11268" width="9" style="233"/>
    <col min="11269" max="11269" width="10.25" style="233" customWidth="1"/>
    <col min="11270" max="11270" width="18.75" style="233" customWidth="1"/>
    <col min="11271" max="11271" width="9" style="233"/>
    <col min="11272" max="11272" width="10.25" style="233" customWidth="1"/>
    <col min="11273" max="11273" width="10.5" style="233" customWidth="1"/>
    <col min="11274" max="11522" width="9" style="233"/>
    <col min="11523" max="11523" width="20" style="233" customWidth="1"/>
    <col min="11524" max="11524" width="9" style="233"/>
    <col min="11525" max="11525" width="10.25" style="233" customWidth="1"/>
    <col min="11526" max="11526" width="18.75" style="233" customWidth="1"/>
    <col min="11527" max="11527" width="9" style="233"/>
    <col min="11528" max="11528" width="10.25" style="233" customWidth="1"/>
    <col min="11529" max="11529" width="10.5" style="233" customWidth="1"/>
    <col min="11530" max="11778" width="9" style="233"/>
    <col min="11779" max="11779" width="20" style="233" customWidth="1"/>
    <col min="11780" max="11780" width="9" style="233"/>
    <col min="11781" max="11781" width="10.25" style="233" customWidth="1"/>
    <col min="11782" max="11782" width="18.75" style="233" customWidth="1"/>
    <col min="11783" max="11783" width="9" style="233"/>
    <col min="11784" max="11784" width="10.25" style="233" customWidth="1"/>
    <col min="11785" max="11785" width="10.5" style="233" customWidth="1"/>
    <col min="11786" max="12034" width="9" style="233"/>
    <col min="12035" max="12035" width="20" style="233" customWidth="1"/>
    <col min="12036" max="12036" width="9" style="233"/>
    <col min="12037" max="12037" width="10.25" style="233" customWidth="1"/>
    <col min="12038" max="12038" width="18.75" style="233" customWidth="1"/>
    <col min="12039" max="12039" width="9" style="233"/>
    <col min="12040" max="12040" width="10.25" style="233" customWidth="1"/>
    <col min="12041" max="12041" width="10.5" style="233" customWidth="1"/>
    <col min="12042" max="12290" width="9" style="233"/>
    <col min="12291" max="12291" width="20" style="233" customWidth="1"/>
    <col min="12292" max="12292" width="9" style="233"/>
    <col min="12293" max="12293" width="10.25" style="233" customWidth="1"/>
    <col min="12294" max="12294" width="18.75" style="233" customWidth="1"/>
    <col min="12295" max="12295" width="9" style="233"/>
    <col min="12296" max="12296" width="10.25" style="233" customWidth="1"/>
    <col min="12297" max="12297" width="10.5" style="233" customWidth="1"/>
    <col min="12298" max="12546" width="9" style="233"/>
    <col min="12547" max="12547" width="20" style="233" customWidth="1"/>
    <col min="12548" max="12548" width="9" style="233"/>
    <col min="12549" max="12549" width="10.25" style="233" customWidth="1"/>
    <col min="12550" max="12550" width="18.75" style="233" customWidth="1"/>
    <col min="12551" max="12551" width="9" style="233"/>
    <col min="12552" max="12552" width="10.25" style="233" customWidth="1"/>
    <col min="12553" max="12553" width="10.5" style="233" customWidth="1"/>
    <col min="12554" max="12802" width="9" style="233"/>
    <col min="12803" max="12803" width="20" style="233" customWidth="1"/>
    <col min="12804" max="12804" width="9" style="233"/>
    <col min="12805" max="12805" width="10.25" style="233" customWidth="1"/>
    <col min="12806" max="12806" width="18.75" style="233" customWidth="1"/>
    <col min="12807" max="12807" width="9" style="233"/>
    <col min="12808" max="12808" width="10.25" style="233" customWidth="1"/>
    <col min="12809" max="12809" width="10.5" style="233" customWidth="1"/>
    <col min="12810" max="13058" width="9" style="233"/>
    <col min="13059" max="13059" width="20" style="233" customWidth="1"/>
    <col min="13060" max="13060" width="9" style="233"/>
    <col min="13061" max="13061" width="10.25" style="233" customWidth="1"/>
    <col min="13062" max="13062" width="18.75" style="233" customWidth="1"/>
    <col min="13063" max="13063" width="9" style="233"/>
    <col min="13064" max="13064" width="10.25" style="233" customWidth="1"/>
    <col min="13065" max="13065" width="10.5" style="233" customWidth="1"/>
    <col min="13066" max="13314" width="9" style="233"/>
    <col min="13315" max="13315" width="20" style="233" customWidth="1"/>
    <col min="13316" max="13316" width="9" style="233"/>
    <col min="13317" max="13317" width="10.25" style="233" customWidth="1"/>
    <col min="13318" max="13318" width="18.75" style="233" customWidth="1"/>
    <col min="13319" max="13319" width="9" style="233"/>
    <col min="13320" max="13320" width="10.25" style="233" customWidth="1"/>
    <col min="13321" max="13321" width="10.5" style="233" customWidth="1"/>
    <col min="13322" max="13570" width="9" style="233"/>
    <col min="13571" max="13571" width="20" style="233" customWidth="1"/>
    <col min="13572" max="13572" width="9" style="233"/>
    <col min="13573" max="13573" width="10.25" style="233" customWidth="1"/>
    <col min="13574" max="13574" width="18.75" style="233" customWidth="1"/>
    <col min="13575" max="13575" width="9" style="233"/>
    <col min="13576" max="13576" width="10.25" style="233" customWidth="1"/>
    <col min="13577" max="13577" width="10.5" style="233" customWidth="1"/>
    <col min="13578" max="13826" width="9" style="233"/>
    <col min="13827" max="13827" width="20" style="233" customWidth="1"/>
    <col min="13828" max="13828" width="9" style="233"/>
    <col min="13829" max="13829" width="10.25" style="233" customWidth="1"/>
    <col min="13830" max="13830" width="18.75" style="233" customWidth="1"/>
    <col min="13831" max="13831" width="9" style="233"/>
    <col min="13832" max="13832" width="10.25" style="233" customWidth="1"/>
    <col min="13833" max="13833" width="10.5" style="233" customWidth="1"/>
    <col min="13834" max="14082" width="9" style="233"/>
    <col min="14083" max="14083" width="20" style="233" customWidth="1"/>
    <col min="14084" max="14084" width="9" style="233"/>
    <col min="14085" max="14085" width="10.25" style="233" customWidth="1"/>
    <col min="14086" max="14086" width="18.75" style="233" customWidth="1"/>
    <col min="14087" max="14087" width="9" style="233"/>
    <col min="14088" max="14088" width="10.25" style="233" customWidth="1"/>
    <col min="14089" max="14089" width="10.5" style="233" customWidth="1"/>
    <col min="14090" max="14338" width="9" style="233"/>
    <col min="14339" max="14339" width="20" style="233" customWidth="1"/>
    <col min="14340" max="14340" width="9" style="233"/>
    <col min="14341" max="14341" width="10.25" style="233" customWidth="1"/>
    <col min="14342" max="14342" width="18.75" style="233" customWidth="1"/>
    <col min="14343" max="14343" width="9" style="233"/>
    <col min="14344" max="14344" width="10.25" style="233" customWidth="1"/>
    <col min="14345" max="14345" width="10.5" style="233" customWidth="1"/>
    <col min="14346" max="14594" width="9" style="233"/>
    <col min="14595" max="14595" width="20" style="233" customWidth="1"/>
    <col min="14596" max="14596" width="9" style="233"/>
    <col min="14597" max="14597" width="10.25" style="233" customWidth="1"/>
    <col min="14598" max="14598" width="18.75" style="233" customWidth="1"/>
    <col min="14599" max="14599" width="9" style="233"/>
    <col min="14600" max="14600" width="10.25" style="233" customWidth="1"/>
    <col min="14601" max="14601" width="10.5" style="233" customWidth="1"/>
    <col min="14602" max="14850" width="9" style="233"/>
    <col min="14851" max="14851" width="20" style="233" customWidth="1"/>
    <col min="14852" max="14852" width="9" style="233"/>
    <col min="14853" max="14853" width="10.25" style="233" customWidth="1"/>
    <col min="14854" max="14854" width="18.75" style="233" customWidth="1"/>
    <col min="14855" max="14855" width="9" style="233"/>
    <col min="14856" max="14856" width="10.25" style="233" customWidth="1"/>
    <col min="14857" max="14857" width="10.5" style="233" customWidth="1"/>
    <col min="14858" max="15106" width="9" style="233"/>
    <col min="15107" max="15107" width="20" style="233" customWidth="1"/>
    <col min="15108" max="15108" width="9" style="233"/>
    <col min="15109" max="15109" width="10.25" style="233" customWidth="1"/>
    <col min="15110" max="15110" width="18.75" style="233" customWidth="1"/>
    <col min="15111" max="15111" width="9" style="233"/>
    <col min="15112" max="15112" width="10.25" style="233" customWidth="1"/>
    <col min="15113" max="15113" width="10.5" style="233" customWidth="1"/>
    <col min="15114" max="15362" width="9" style="233"/>
    <col min="15363" max="15363" width="20" style="233" customWidth="1"/>
    <col min="15364" max="15364" width="9" style="233"/>
    <col min="15365" max="15365" width="10.25" style="233" customWidth="1"/>
    <col min="15366" max="15366" width="18.75" style="233" customWidth="1"/>
    <col min="15367" max="15367" width="9" style="233"/>
    <col min="15368" max="15368" width="10.25" style="233" customWidth="1"/>
    <col min="15369" max="15369" width="10.5" style="233" customWidth="1"/>
    <col min="15370" max="15618" width="9" style="233"/>
    <col min="15619" max="15619" width="20" style="233" customWidth="1"/>
    <col min="15620" max="15620" width="9" style="233"/>
    <col min="15621" max="15621" width="10.25" style="233" customWidth="1"/>
    <col min="15622" max="15622" width="18.75" style="233" customWidth="1"/>
    <col min="15623" max="15623" width="9" style="233"/>
    <col min="15624" max="15624" width="10.25" style="233" customWidth="1"/>
    <col min="15625" max="15625" width="10.5" style="233" customWidth="1"/>
    <col min="15626" max="15874" width="9" style="233"/>
    <col min="15875" max="15875" width="20" style="233" customWidth="1"/>
    <col min="15876" max="15876" width="9" style="233"/>
    <col min="15877" max="15877" width="10.25" style="233" customWidth="1"/>
    <col min="15878" max="15878" width="18.75" style="233" customWidth="1"/>
    <col min="15879" max="15879" width="9" style="233"/>
    <col min="15880" max="15880" width="10.25" style="233" customWidth="1"/>
    <col min="15881" max="15881" width="10.5" style="233" customWidth="1"/>
    <col min="15882" max="16130" width="9" style="233"/>
    <col min="16131" max="16131" width="20" style="233" customWidth="1"/>
    <col min="16132" max="16132" width="9" style="233"/>
    <col min="16133" max="16133" width="10.25" style="233" customWidth="1"/>
    <col min="16134" max="16134" width="18.75" style="233" customWidth="1"/>
    <col min="16135" max="16135" width="9" style="233"/>
    <col min="16136" max="16136" width="10.25" style="233" customWidth="1"/>
    <col min="16137" max="16137" width="10.5" style="233" customWidth="1"/>
    <col min="16138" max="16384" width="9" style="233"/>
  </cols>
  <sheetData>
    <row r="1" spans="7:14">
      <c r="G1" s="234"/>
      <c r="H1" s="235" t="s">
        <v>59</v>
      </c>
      <c r="I1" s="235" t="s">
        <v>57</v>
      </c>
      <c r="J1" s="235" t="s">
        <v>87</v>
      </c>
      <c r="K1" s="274" t="s">
        <v>88</v>
      </c>
      <c r="N1" s="275"/>
    </row>
    <row r="2" spans="7:14">
      <c r="G2" s="236" t="str">
        <f>'0.结构参数'!A41</f>
        <v>ZU1-1</v>
      </c>
      <c r="H2" s="237">
        <f>'0.结构参数'!L41</f>
        <v>0.3</v>
      </c>
      <c r="I2" s="276">
        <f>MAX('0.结构参数'!I41,'0.结构参数'!J41)</f>
        <v>2.11515</v>
      </c>
      <c r="J2" s="277">
        <f>3.1-MIN('0.结构参数'!I5,'0.结构参数'!J5)</f>
        <v>1.86715</v>
      </c>
      <c r="K2" s="278">
        <v>14</v>
      </c>
      <c r="N2" s="279"/>
    </row>
    <row r="3" spans="7:14">
      <c r="G3" s="236" t="str">
        <f>'0.结构参数'!A42</f>
        <v>ZU2-1</v>
      </c>
      <c r="H3" s="237">
        <f>'0.结构参数'!L42</f>
        <v>0.3</v>
      </c>
      <c r="I3" s="276">
        <f>MAX('0.结构参数'!I42,'0.结构参数'!J42)</f>
        <v>2.71065</v>
      </c>
      <c r="J3" s="277">
        <f>3.1-MIN('0.结构参数'!I6,'0.结构参数'!J6)</f>
        <v>2.46265</v>
      </c>
      <c r="K3" s="280">
        <v>16</v>
      </c>
      <c r="N3" s="279"/>
    </row>
    <row r="4" spans="7:14">
      <c r="G4" s="236" t="str">
        <f>'0.结构参数'!A43</f>
        <v>ZU3-1</v>
      </c>
      <c r="H4" s="237">
        <f>'0.结构参数'!L43</f>
        <v>0.4</v>
      </c>
      <c r="I4" s="276">
        <f>MAX('0.结构参数'!I43,'0.结构参数'!J43)</f>
        <v>3.30615</v>
      </c>
      <c r="J4" s="277">
        <f>3.1-MIN('0.结构参数'!I7,'0.结构参数'!J7)</f>
        <v>3.05815</v>
      </c>
      <c r="K4" s="280">
        <v>18</v>
      </c>
      <c r="N4" s="279"/>
    </row>
    <row r="5" spans="7:14">
      <c r="G5" s="236" t="str">
        <f>'0.结构参数'!A44</f>
        <v>ZU4-1</v>
      </c>
      <c r="H5" s="237">
        <f>'0.结构参数'!L44</f>
        <v>0.4</v>
      </c>
      <c r="I5" s="276">
        <f>MAX('0.结构参数'!I44,'0.结构参数'!J44)</f>
        <v>3.90165</v>
      </c>
      <c r="J5" s="277">
        <f>3.1-MIN('0.结构参数'!I8,'0.结构参数'!J8)</f>
        <v>3.65365</v>
      </c>
      <c r="K5" s="280">
        <v>22</v>
      </c>
      <c r="N5" s="279"/>
    </row>
    <row r="6" spans="7:14">
      <c r="G6" s="236" t="str">
        <f>'0.结构参数'!A45</f>
        <v>ZU5-1</v>
      </c>
      <c r="H6" s="237">
        <f>'0.结构参数'!L45</f>
        <v>0.5</v>
      </c>
      <c r="I6" s="276">
        <f>MAX('0.结构参数'!I45,'0.结构参数'!J45)</f>
        <v>4.49716</v>
      </c>
      <c r="J6" s="277">
        <f>3.1-MIN('0.结构参数'!I9,'0.结构参数'!J9)</f>
        <v>4.24916</v>
      </c>
      <c r="K6" s="280">
        <v>25</v>
      </c>
      <c r="L6" s="279"/>
      <c r="N6" s="279"/>
    </row>
    <row r="7" spans="7:14">
      <c r="G7" s="238" t="str">
        <f>'0.结构参数'!A46</f>
        <v>ZU6-1</v>
      </c>
      <c r="H7" s="237">
        <f>'0.结构参数'!L46</f>
        <v>0.6</v>
      </c>
      <c r="I7" s="276">
        <f>MAX('0.结构参数'!I46,'0.结构参数'!J46)</f>
        <v>5.276</v>
      </c>
      <c r="J7" s="277">
        <f>3.1-MIN('0.结构参数'!I10,'0.结构参数'!J10)</f>
        <v>5.028</v>
      </c>
      <c r="K7" s="281">
        <v>20</v>
      </c>
      <c r="L7" s="282" t="s">
        <v>89</v>
      </c>
      <c r="N7" s="279"/>
    </row>
    <row r="8" spans="7:14">
      <c r="G8" s="238" t="str">
        <f>'0.结构参数'!A47</f>
        <v>ZU7-1</v>
      </c>
      <c r="H8" s="237">
        <f>'0.结构参数'!L47</f>
        <v>0.5</v>
      </c>
      <c r="I8" s="276">
        <f>MAX('0.结构参数'!I47,'0.结构参数'!J47)</f>
        <v>6.05484</v>
      </c>
      <c r="J8" s="277">
        <f>3.1-MIN('0.结构参数'!I11,'0.结构参数'!J11)</f>
        <v>5.80684</v>
      </c>
      <c r="K8" s="280">
        <v>25</v>
      </c>
      <c r="L8" s="282" t="s">
        <v>89</v>
      </c>
      <c r="N8" s="279"/>
    </row>
    <row r="9" spans="7:14">
      <c r="G9" s="239" t="str">
        <f>'0.结构参数'!A48</f>
        <v>ZU8-1</v>
      </c>
      <c r="H9" s="237">
        <f>'0.结构参数'!L48</f>
        <v>0.7</v>
      </c>
      <c r="I9" s="276">
        <f>MAX('0.结构参数'!I48,'0.结构参数'!J48)</f>
        <v>6.65593</v>
      </c>
      <c r="J9" s="277">
        <f>3.1-MIN('0.结构参数'!I12,'0.结构参数'!J12)</f>
        <v>6.40793</v>
      </c>
      <c r="K9" s="280">
        <v>22</v>
      </c>
      <c r="L9" s="282" t="s">
        <v>90</v>
      </c>
      <c r="N9" s="279"/>
    </row>
    <row r="10" spans="7:14">
      <c r="G10" s="239" t="str">
        <f>'0.结构参数'!A49</f>
        <v>ZU9-1</v>
      </c>
      <c r="H10" s="237">
        <f>'0.结构参数'!L49</f>
        <v>0.7</v>
      </c>
      <c r="I10" s="276">
        <f>MAX('0.结构参数'!I49,'0.结构参数'!J49)</f>
        <v>7.25702</v>
      </c>
      <c r="J10" s="277">
        <f>3.1-MIN('0.结构参数'!I13,'0.结构参数'!J13)</f>
        <v>7.00902</v>
      </c>
      <c r="K10" s="280">
        <v>25</v>
      </c>
      <c r="L10" s="282" t="s">
        <v>90</v>
      </c>
      <c r="N10" s="279"/>
    </row>
    <row r="11" spans="7:14">
      <c r="G11" s="239" t="str">
        <f>'0.结构参数'!A50</f>
        <v>ZU10-1</v>
      </c>
      <c r="H11" s="237">
        <f>'0.结构参数'!L50</f>
        <v>0.7</v>
      </c>
      <c r="I11" s="276">
        <f>MAX('0.结构参数'!I50,'0.结构参数'!J50)</f>
        <v>7.25702</v>
      </c>
      <c r="J11" s="277">
        <f>3.1-MIN('0.结构参数'!I14,'0.结构参数'!J14)</f>
        <v>7.00902</v>
      </c>
      <c r="K11" s="280">
        <v>25</v>
      </c>
      <c r="L11" s="282" t="s">
        <v>90</v>
      </c>
      <c r="N11" s="279"/>
    </row>
    <row r="12" customHeight="1" spans="2:14">
      <c r="B12" s="240" t="s">
        <v>91</v>
      </c>
      <c r="C12" s="240"/>
      <c r="D12" s="240"/>
      <c r="E12" s="240"/>
      <c r="F12" s="240"/>
      <c r="G12" s="239" t="str">
        <f>'0.结构参数'!A51</f>
        <v>ZU11-1</v>
      </c>
      <c r="H12" s="237">
        <f>'0.结构参数'!L51</f>
        <v>0.8</v>
      </c>
      <c r="I12" s="276">
        <f>MAX('0.结构参数'!I51,'0.结构参数'!J51)</f>
        <v>7.6</v>
      </c>
      <c r="J12" s="277">
        <f>3.1-MIN('0.结构参数'!I15,'0.结构参数'!J15)</f>
        <v>7.352</v>
      </c>
      <c r="K12" s="280">
        <v>25</v>
      </c>
      <c r="L12" s="282" t="s">
        <v>90</v>
      </c>
      <c r="N12" s="279"/>
    </row>
    <row r="13" spans="2:21">
      <c r="B13" s="240"/>
      <c r="C13" s="240"/>
      <c r="D13" s="240"/>
      <c r="E13" s="240"/>
      <c r="F13" s="240"/>
      <c r="G13" s="239" t="str">
        <f>'0.结构参数'!A52</f>
        <v>ZU12-1</v>
      </c>
      <c r="H13" s="237">
        <f>'0.结构参数'!L52</f>
        <v>0.6</v>
      </c>
      <c r="I13" s="276">
        <f>MAX('0.结构参数'!I52,'0.结构参数'!J52)</f>
        <v>6.97049</v>
      </c>
      <c r="J13" s="277">
        <f>3.1-MIN('0.结构参数'!I16,'0.结构参数'!J16)</f>
        <v>6.72249</v>
      </c>
      <c r="K13" s="280">
        <v>22</v>
      </c>
      <c r="L13" s="282" t="s">
        <v>90</v>
      </c>
      <c r="N13" s="279"/>
      <c r="O13" s="283"/>
      <c r="P13" s="284"/>
      <c r="Q13" s="284"/>
      <c r="R13" s="298"/>
      <c r="S13" s="285"/>
      <c r="T13" s="285"/>
      <c r="U13" s="285"/>
    </row>
    <row r="14" ht="27" customHeight="1" spans="2:17">
      <c r="B14" s="241" t="s">
        <v>92</v>
      </c>
      <c r="C14" s="241" t="s">
        <v>93</v>
      </c>
      <c r="G14" s="239" t="str">
        <f>'0.结构参数'!A53</f>
        <v>ZU13-1</v>
      </c>
      <c r="H14" s="237">
        <f>'0.结构参数'!L53</f>
        <v>0.6</v>
      </c>
      <c r="I14" s="276">
        <f>MAX('0.结构参数'!I53,'0.结构参数'!J53)</f>
        <v>6.34098</v>
      </c>
      <c r="J14" s="277">
        <f>3.1-MIN('0.结构参数'!I17,'0.结构参数'!J17)</f>
        <v>6.09298</v>
      </c>
      <c r="K14" s="280">
        <v>20</v>
      </c>
      <c r="L14" s="282" t="s">
        <v>90</v>
      </c>
      <c r="N14" s="279"/>
      <c r="O14" s="285"/>
      <c r="P14" s="285"/>
      <c r="Q14" s="285"/>
    </row>
    <row r="15" spans="7:17">
      <c r="G15" s="238" t="str">
        <f>'0.结构参数'!A54</f>
        <v>ZU14-1</v>
      </c>
      <c r="H15" s="237">
        <f>'0.结构参数'!L54</f>
        <v>0.6</v>
      </c>
      <c r="I15" s="276">
        <f>MAX('0.结构参数'!I54,'0.结构参数'!J54)</f>
        <v>5.71147</v>
      </c>
      <c r="J15" s="277">
        <f>3.1-MIN('0.结构参数'!I18,'0.结构参数'!J18)</f>
        <v>5.46347</v>
      </c>
      <c r="K15" s="280">
        <v>22</v>
      </c>
      <c r="L15" s="282" t="s">
        <v>89</v>
      </c>
      <c r="N15" s="279"/>
      <c r="O15" s="285"/>
      <c r="P15" s="285"/>
      <c r="Q15" s="285"/>
    </row>
    <row r="16" spans="7:17">
      <c r="G16" s="238" t="str">
        <f>'0.结构参数'!A55</f>
        <v>ZU15-1</v>
      </c>
      <c r="H16" s="237">
        <f>'0.结构参数'!L55</f>
        <v>0.6</v>
      </c>
      <c r="I16" s="276">
        <f>MAX('0.结构参数'!I55,'0.结构参数'!J55)</f>
        <v>5.1533</v>
      </c>
      <c r="J16" s="277">
        <f>3.1-MIN('0.结构参数'!I19,'0.结构参数'!J19)</f>
        <v>4.9053</v>
      </c>
      <c r="K16" s="280">
        <v>20</v>
      </c>
      <c r="L16" s="282" t="s">
        <v>89</v>
      </c>
      <c r="N16" s="279"/>
      <c r="O16" s="285"/>
      <c r="P16" s="285"/>
      <c r="Q16" s="285"/>
    </row>
    <row r="17" spans="7:17">
      <c r="G17" s="238" t="str">
        <f>'0.结构参数'!A56</f>
        <v>ZU16-1</v>
      </c>
      <c r="H17" s="237">
        <f>'0.结构参数'!L56</f>
        <v>0.5</v>
      </c>
      <c r="I17" s="276">
        <f>MAX('0.结构参数'!I56,'0.结构参数'!J56)</f>
        <v>4.59514</v>
      </c>
      <c r="J17" s="277">
        <f>3.1-MIN('0.结构参数'!I20,'0.结构参数'!J20)</f>
        <v>4.34714</v>
      </c>
      <c r="K17" s="280">
        <v>18</v>
      </c>
      <c r="L17" s="282" t="s">
        <v>89</v>
      </c>
      <c r="N17" s="279"/>
      <c r="O17" s="285"/>
      <c r="P17" s="285"/>
      <c r="Q17" s="285"/>
    </row>
    <row r="18" spans="7:17">
      <c r="G18" s="236" t="str">
        <f>'0.结构参数'!A57</f>
        <v>ZU17-1</v>
      </c>
      <c r="H18" s="237">
        <f>'0.结构参数'!L57</f>
        <v>0.5</v>
      </c>
      <c r="I18" s="276">
        <f>MAX('0.结构参数'!I57,'0.结构参数'!J57)</f>
        <v>4.03698</v>
      </c>
      <c r="J18" s="277">
        <f>3.1-MIN('0.结构参数'!I21,'0.结构参数'!J21)</f>
        <v>3.78898</v>
      </c>
      <c r="K18" s="280">
        <v>22</v>
      </c>
      <c r="N18" s="279"/>
      <c r="O18" s="285"/>
      <c r="P18" s="285"/>
      <c r="Q18" s="285"/>
    </row>
    <row r="19" spans="7:17">
      <c r="G19" s="236" t="str">
        <f>'0.结构参数'!A58</f>
        <v>ZU18-1</v>
      </c>
      <c r="H19" s="237">
        <f>'0.结构参数'!L58</f>
        <v>0.4</v>
      </c>
      <c r="I19" s="276">
        <f>MAX('0.结构参数'!I58,'0.结构参数'!J58)</f>
        <v>3.47881</v>
      </c>
      <c r="J19" s="277">
        <f>3.1-MIN('0.结构参数'!I22,'0.结构参数'!J22)</f>
        <v>3.23081</v>
      </c>
      <c r="K19" s="280">
        <v>20</v>
      </c>
      <c r="N19" s="279"/>
      <c r="O19" s="285"/>
      <c r="P19" s="285"/>
      <c r="Q19" s="299"/>
    </row>
    <row r="20" spans="7:17">
      <c r="G20" s="236" t="str">
        <f>'0.结构参数'!A59</f>
        <v>ZU19-1</v>
      </c>
      <c r="H20" s="237">
        <f>'0.结构参数'!L59</f>
        <v>0.3</v>
      </c>
      <c r="I20" s="276">
        <f>MAX('0.结构参数'!I59,'0.结构参数'!J59)</f>
        <v>2.92065</v>
      </c>
      <c r="J20" s="277">
        <f>3.1-MIN('0.结构参数'!I23,'0.结构参数'!J23)</f>
        <v>2.67265</v>
      </c>
      <c r="K20" s="280">
        <v>18</v>
      </c>
      <c r="N20" s="279"/>
      <c r="O20" s="285"/>
      <c r="P20" s="285"/>
      <c r="Q20" s="299"/>
    </row>
    <row r="21" spans="7:24">
      <c r="G21" s="242" t="str">
        <f>'0.结构参数'!A60</f>
        <v>东U10</v>
      </c>
      <c r="H21" s="243">
        <f>'0.结构参数'!L60</f>
        <v>0.3</v>
      </c>
      <c r="I21" s="286">
        <f>MAX('0.结构参数'!I60,'0.结构参数'!J60)</f>
        <v>1.63657</v>
      </c>
      <c r="J21" s="287">
        <f>3.15-MIN('0.结构参数'!I24,'0.结构参数'!J24)</f>
        <v>0.87257</v>
      </c>
      <c r="K21" s="288">
        <v>14</v>
      </c>
      <c r="T21" s="284"/>
      <c r="U21" s="298"/>
      <c r="V21" s="285"/>
      <c r="W21" s="285"/>
      <c r="X21" s="299"/>
    </row>
    <row r="22" spans="7:24">
      <c r="G22" s="242" t="str">
        <f>'0.结构参数'!A61</f>
        <v>西U10-1</v>
      </c>
      <c r="H22" s="243">
        <f>'0.结构参数'!L61</f>
        <v>0.3</v>
      </c>
      <c r="I22" s="286">
        <f>MAX('0.结构参数'!I61,'0.结构参数'!J61)</f>
        <v>1.61126</v>
      </c>
      <c r="J22" s="287">
        <f>3.15-MIN('0.结构参数'!I25,'0.结构参数'!J25)</f>
        <v>1.41326</v>
      </c>
      <c r="K22" s="288">
        <v>14</v>
      </c>
      <c r="L22" s="289"/>
      <c r="P22" s="290"/>
      <c r="Q22" s="300"/>
      <c r="R22" s="301"/>
      <c r="S22" s="284"/>
      <c r="T22" s="284"/>
      <c r="U22" s="298"/>
      <c r="V22" s="285"/>
      <c r="W22" s="285"/>
      <c r="X22" s="299"/>
    </row>
    <row r="23" spans="7:24">
      <c r="G23" s="242" t="str">
        <f>'0.结构参数'!A62</f>
        <v>西U9-1</v>
      </c>
      <c r="H23" s="243">
        <f>'0.结构参数'!L62</f>
        <v>0.3</v>
      </c>
      <c r="I23" s="286">
        <f>MAX('0.结构参数'!I62,'0.结构参数'!J62)</f>
        <v>2.17365</v>
      </c>
      <c r="J23" s="287">
        <f>3.15-MIN('0.结构参数'!I26,'0.结构参数'!J26)</f>
        <v>1.97565</v>
      </c>
      <c r="K23" s="288">
        <v>14</v>
      </c>
      <c r="L23" s="291"/>
      <c r="P23" s="290"/>
      <c r="Q23" s="300"/>
      <c r="R23" s="302"/>
      <c r="S23" s="284"/>
      <c r="T23" s="284"/>
      <c r="U23" s="298"/>
      <c r="V23" s="285"/>
      <c r="W23" s="285"/>
      <c r="X23" s="299"/>
    </row>
    <row r="24" spans="7:24">
      <c r="G24" s="242" t="str">
        <f>'0.结构参数'!A63</f>
        <v>西U6-1</v>
      </c>
      <c r="H24" s="243">
        <f>'0.结构参数'!L63</f>
        <v>0.5</v>
      </c>
      <c r="I24" s="286">
        <f>MAX('0.结构参数'!I63,'0.结构参数'!J63)</f>
        <v>4.54681</v>
      </c>
      <c r="J24" s="287">
        <f>3.15-MIN('0.结构参数'!I27,'0.结构参数'!J27)</f>
        <v>4.34881</v>
      </c>
      <c r="K24" s="288">
        <v>22</v>
      </c>
      <c r="L24" s="289"/>
      <c r="P24" s="290"/>
      <c r="Q24" s="300"/>
      <c r="R24" s="301"/>
      <c r="S24" s="284"/>
      <c r="T24" s="284"/>
      <c r="U24" s="298"/>
      <c r="V24" s="285"/>
      <c r="W24" s="285"/>
      <c r="X24" s="299"/>
    </row>
    <row r="25" spans="7:24">
      <c r="G25" s="242" t="str">
        <f>'0.结构参数'!A64</f>
        <v>西U5-1</v>
      </c>
      <c r="H25" s="243">
        <f>'0.结构参数'!L64</f>
        <v>0.6</v>
      </c>
      <c r="I25" s="286">
        <f>MAX('0.结构参数'!I64,'0.结构参数'!J64)</f>
        <v>5.33797</v>
      </c>
      <c r="J25" s="287">
        <f>3.15-MIN('0.结构参数'!I28,'0.结构参数'!J28)</f>
        <v>5.13997</v>
      </c>
      <c r="K25" s="288">
        <v>25</v>
      </c>
      <c r="L25" s="291"/>
      <c r="P25" s="290"/>
      <c r="Q25" s="300"/>
      <c r="R25" s="283"/>
      <c r="S25" s="284"/>
      <c r="T25" s="284"/>
      <c r="U25" s="298"/>
      <c r="V25" s="285"/>
      <c r="W25" s="285"/>
      <c r="X25" s="299"/>
    </row>
    <row r="26" spans="7:24">
      <c r="G26" s="242" t="str">
        <f>'0.结构参数'!A65</f>
        <v>西U4-1</v>
      </c>
      <c r="H26" s="243">
        <f>'0.结构参数'!L65</f>
        <v>0.6</v>
      </c>
      <c r="I26" s="286">
        <f>MAX('0.结构参数'!I65,'0.结构参数'!J65)</f>
        <v>6.12914</v>
      </c>
      <c r="J26" s="287">
        <f>3.15-MIN('0.结构参数'!I29,'0.结构参数'!J29)</f>
        <v>5.93114</v>
      </c>
      <c r="K26" s="288">
        <v>20</v>
      </c>
      <c r="L26" s="289"/>
      <c r="P26" s="290"/>
      <c r="Q26" s="300"/>
      <c r="R26" s="301"/>
      <c r="S26" s="284"/>
      <c r="T26" s="284"/>
      <c r="U26" s="298"/>
      <c r="V26" s="285"/>
      <c r="W26" s="285"/>
      <c r="X26" s="299"/>
    </row>
    <row r="27" spans="7:24">
      <c r="G27" s="242" t="str">
        <f>'0.结构参数'!A66</f>
        <v>西U3-1</v>
      </c>
      <c r="H27" s="243">
        <f>'0.结构参数'!L66</f>
        <v>0.7</v>
      </c>
      <c r="I27" s="286">
        <f>MAX('0.结构参数'!I66,'0.结构参数'!J66)</f>
        <v>6.69325</v>
      </c>
      <c r="J27" s="287">
        <f>3.15-MIN('0.结构参数'!I30,'0.结构参数'!J30)</f>
        <v>6.49525</v>
      </c>
      <c r="K27" s="288">
        <v>22</v>
      </c>
      <c r="L27" s="291"/>
      <c r="P27" s="290"/>
      <c r="Q27" s="303"/>
      <c r="R27" s="304"/>
      <c r="S27" s="284"/>
      <c r="T27" s="284"/>
      <c r="U27" s="298"/>
      <c r="V27" s="285"/>
      <c r="W27" s="285"/>
      <c r="X27" s="299"/>
    </row>
    <row r="28" spans="7:24">
      <c r="G28" s="242" t="str">
        <f>'0.结构参数'!A67</f>
        <v>西U2-1</v>
      </c>
      <c r="H28" s="243">
        <f>'0.结构参数'!L67</f>
        <v>0.7</v>
      </c>
      <c r="I28" s="286">
        <f>MAX('0.结构参数'!I67,'0.结构参数'!J67)</f>
        <v>7.25702</v>
      </c>
      <c r="J28" s="287">
        <f>3.15-MIN('0.结构参数'!I31,'0.结构参数'!J31)</f>
        <v>7.05902</v>
      </c>
      <c r="K28" s="288">
        <v>25</v>
      </c>
      <c r="L28" s="289"/>
      <c r="P28" s="290"/>
      <c r="Q28" s="300"/>
      <c r="R28" s="301"/>
      <c r="S28" s="284"/>
      <c r="T28" s="284"/>
      <c r="U28" s="298"/>
      <c r="V28" s="285"/>
      <c r="W28" s="285"/>
      <c r="X28" s="299"/>
    </row>
    <row r="29" spans="7:24">
      <c r="G29" s="242" t="str">
        <f>'0.结构参数'!A68</f>
        <v>西U6-2</v>
      </c>
      <c r="H29" s="243">
        <f>'0.结构参数'!L68</f>
        <v>0.5</v>
      </c>
      <c r="I29" s="286">
        <f>MAX('0.结构参数'!I68,'0.结构参数'!J68)</f>
        <v>4.54681</v>
      </c>
      <c r="J29" s="287">
        <f>3.15-MIN('0.结构参数'!I32,'0.结构参数'!J32)</f>
        <v>4.34881</v>
      </c>
      <c r="K29" s="288">
        <v>22</v>
      </c>
      <c r="L29" s="291"/>
      <c r="P29" s="290"/>
      <c r="Q29" s="300"/>
      <c r="R29" s="302"/>
      <c r="S29" s="284"/>
      <c r="T29" s="284"/>
      <c r="U29" s="298"/>
      <c r="V29" s="285"/>
      <c r="W29" s="285"/>
      <c r="X29" s="299"/>
    </row>
    <row r="30" spans="2:24">
      <c r="B30" s="244" t="s">
        <v>94</v>
      </c>
      <c r="C30" s="245" t="s">
        <v>95</v>
      </c>
      <c r="D30" s="245" t="s">
        <v>96</v>
      </c>
      <c r="E30" s="246">
        <v>0.3</v>
      </c>
      <c r="G30" s="242" t="str">
        <f>'0.结构参数'!A69</f>
        <v>西U5-2</v>
      </c>
      <c r="H30" s="243">
        <f>'0.结构参数'!L69</f>
        <v>0.6</v>
      </c>
      <c r="I30" s="286">
        <f>MAX('0.结构参数'!I69,'0.结构参数'!J69)</f>
        <v>5.33797</v>
      </c>
      <c r="J30" s="287">
        <f>3.15-MIN('0.结构参数'!I33,'0.结构参数'!J33)</f>
        <v>5.13997</v>
      </c>
      <c r="K30" s="288">
        <v>25</v>
      </c>
      <c r="L30" s="289"/>
      <c r="P30" s="290"/>
      <c r="Q30" s="300"/>
      <c r="R30" s="301"/>
      <c r="S30" s="284"/>
      <c r="T30" s="284"/>
      <c r="U30" s="298"/>
      <c r="V30" s="285"/>
      <c r="W30" s="285"/>
      <c r="X30" s="299"/>
    </row>
    <row r="31" spans="2:28">
      <c r="B31" s="244"/>
      <c r="C31" s="245" t="s">
        <v>97</v>
      </c>
      <c r="D31" s="245" t="s">
        <v>98</v>
      </c>
      <c r="E31" s="247">
        <f>E30</f>
        <v>0.3</v>
      </c>
      <c r="F31" s="248"/>
      <c r="G31" s="242" t="str">
        <f>'0.结构参数'!A70</f>
        <v>西U4-2</v>
      </c>
      <c r="H31" s="243">
        <f>'0.结构参数'!L70</f>
        <v>0.6</v>
      </c>
      <c r="I31" s="286">
        <f>MAX('0.结构参数'!I70,'0.结构参数'!J70)</f>
        <v>6.12914</v>
      </c>
      <c r="J31" s="287">
        <f>3.15-MIN('0.结构参数'!I34,'0.结构参数'!J34)</f>
        <v>5.93114</v>
      </c>
      <c r="K31" s="288">
        <v>20</v>
      </c>
      <c r="T31" s="305"/>
      <c r="U31" s="300"/>
      <c r="V31" s="302"/>
      <c r="W31" s="284"/>
      <c r="X31" s="284"/>
      <c r="Y31" s="298"/>
      <c r="Z31" s="285"/>
      <c r="AA31" s="285"/>
      <c r="AB31" s="299"/>
    </row>
    <row r="32" spans="2:28">
      <c r="B32" s="244"/>
      <c r="C32" s="245" t="s">
        <v>99</v>
      </c>
      <c r="D32" s="245" t="s">
        <v>100</v>
      </c>
      <c r="E32" s="246">
        <v>2.9</v>
      </c>
      <c r="F32" s="248"/>
      <c r="G32" s="242" t="str">
        <f>'0.结构参数'!A71</f>
        <v>西U3-2</v>
      </c>
      <c r="H32" s="243">
        <f>'0.结构参数'!L71</f>
        <v>0.7</v>
      </c>
      <c r="I32" s="286">
        <f>MAX('0.结构参数'!I71,'0.结构参数'!J71)</f>
        <v>6.69325</v>
      </c>
      <c r="J32" s="287">
        <f>3.15-MIN('0.结构参数'!I35,'0.结构参数'!J35)</f>
        <v>6.49525</v>
      </c>
      <c r="K32" s="288">
        <v>22</v>
      </c>
      <c r="T32" s="305"/>
      <c r="U32" s="300"/>
      <c r="V32" s="301"/>
      <c r="W32" s="284"/>
      <c r="X32" s="284"/>
      <c r="Y32" s="298"/>
      <c r="Z32" s="285"/>
      <c r="AA32" s="285"/>
      <c r="AB32" s="299"/>
    </row>
    <row r="33" ht="14.25" spans="2:28">
      <c r="B33" s="244"/>
      <c r="C33" s="245" t="s">
        <v>101</v>
      </c>
      <c r="D33" s="245" t="s">
        <v>102</v>
      </c>
      <c r="E33" s="246">
        <v>2.7</v>
      </c>
      <c r="F33" s="248"/>
      <c r="G33" s="249"/>
      <c r="H33" s="250"/>
      <c r="I33" s="292"/>
      <c r="J33" s="293"/>
      <c r="K33" s="294"/>
      <c r="T33" s="305"/>
      <c r="U33" s="300"/>
      <c r="V33" s="302"/>
      <c r="W33" s="284"/>
      <c r="X33" s="284"/>
      <c r="Y33" s="298"/>
      <c r="Z33" s="285"/>
      <c r="AA33" s="285"/>
      <c r="AB33" s="285"/>
    </row>
    <row r="34" ht="12.75" customHeight="1" spans="20:28">
      <c r="T34" s="305"/>
      <c r="U34" s="300"/>
      <c r="V34" s="301"/>
      <c r="W34" s="284"/>
      <c r="X34" s="284"/>
      <c r="Y34" s="298"/>
      <c r="Z34" s="285"/>
      <c r="AA34" s="285"/>
      <c r="AB34" s="285"/>
    </row>
    <row r="35" spans="2:3">
      <c r="B35" s="241" t="s">
        <v>103</v>
      </c>
      <c r="C35" s="241" t="s">
        <v>104</v>
      </c>
    </row>
    <row r="37" ht="14.25" spans="2:11">
      <c r="B37" s="251"/>
      <c r="C37" s="245" t="s">
        <v>105</v>
      </c>
      <c r="D37" s="245" t="s">
        <v>106</v>
      </c>
      <c r="E37" s="245">
        <f>IF(E32&gt;5,IF(F37="二级及以下公路",1,1.05),IF(F37="二级及以下公路",0.95,1))</f>
        <v>1</v>
      </c>
      <c r="F37" s="252" t="s">
        <v>107</v>
      </c>
      <c r="G37" s="253" t="s">
        <v>108</v>
      </c>
      <c r="H37" s="253"/>
      <c r="I37" s="253"/>
      <c r="J37" s="248"/>
      <c r="K37" s="248"/>
    </row>
    <row r="38" spans="2:11">
      <c r="B38" s="251"/>
      <c r="C38" s="245" t="s">
        <v>109</v>
      </c>
      <c r="D38" s="245" t="s">
        <v>110</v>
      </c>
      <c r="E38" s="245">
        <v>1.4</v>
      </c>
      <c r="F38" s="245"/>
      <c r="G38" s="254" t="s">
        <v>111</v>
      </c>
      <c r="H38" s="255" t="s">
        <v>107</v>
      </c>
      <c r="I38" s="295" t="s">
        <v>112</v>
      </c>
      <c r="J38" s="248"/>
      <c r="K38" s="248"/>
    </row>
    <row r="39" spans="2:11">
      <c r="B39" s="251"/>
      <c r="C39" s="245" t="s">
        <v>113</v>
      </c>
      <c r="D39" s="245" t="s">
        <v>114</v>
      </c>
      <c r="E39" s="245">
        <v>1</v>
      </c>
      <c r="F39" s="245"/>
      <c r="G39" s="256" t="s">
        <v>115</v>
      </c>
      <c r="H39" s="257">
        <v>1</v>
      </c>
      <c r="I39" s="296">
        <v>0.95</v>
      </c>
      <c r="J39" s="248"/>
      <c r="K39" s="248"/>
    </row>
    <row r="40" ht="14.25" spans="2:11">
      <c r="B40" s="251"/>
      <c r="C40" s="245" t="s">
        <v>116</v>
      </c>
      <c r="D40" s="245" t="s">
        <v>117</v>
      </c>
      <c r="E40" s="245">
        <v>1.4</v>
      </c>
      <c r="F40" s="245"/>
      <c r="G40" s="258" t="s">
        <v>118</v>
      </c>
      <c r="H40" s="259">
        <v>1.05</v>
      </c>
      <c r="I40" s="297">
        <v>1</v>
      </c>
      <c r="J40" s="248"/>
      <c r="K40" s="248"/>
    </row>
    <row r="41" spans="10:11">
      <c r="J41" s="248"/>
      <c r="K41" s="248"/>
    </row>
    <row r="42" spans="2:11">
      <c r="B42" s="260">
        <v>2.1</v>
      </c>
      <c r="C42" s="241" t="s">
        <v>119</v>
      </c>
      <c r="H42" s="248"/>
      <c r="I42" s="248"/>
      <c r="J42" s="248"/>
      <c r="K42" s="248"/>
    </row>
    <row r="43" spans="8:11">
      <c r="H43" s="248"/>
      <c r="I43" s="248"/>
      <c r="J43" s="248"/>
      <c r="K43" s="248"/>
    </row>
    <row r="44" spans="2:6">
      <c r="B44" s="261" t="s">
        <v>120</v>
      </c>
      <c r="C44" s="262" t="s">
        <v>121</v>
      </c>
      <c r="D44" s="245" t="s">
        <v>122</v>
      </c>
      <c r="E44" s="263">
        <v>0</v>
      </c>
      <c r="F44" s="264"/>
    </row>
    <row r="45" spans="2:6">
      <c r="B45" s="244"/>
      <c r="C45" s="262" t="s">
        <v>123</v>
      </c>
      <c r="D45" s="245" t="s">
        <v>124</v>
      </c>
      <c r="E45" s="263">
        <v>23</v>
      </c>
      <c r="F45" s="264"/>
    </row>
    <row r="46" spans="2:6">
      <c r="B46" s="244"/>
      <c r="C46" s="262" t="s">
        <v>125</v>
      </c>
      <c r="D46" s="245" t="s">
        <v>126</v>
      </c>
      <c r="E46" s="263">
        <v>11.5</v>
      </c>
      <c r="F46" s="264"/>
    </row>
    <row r="47" spans="2:6">
      <c r="B47" s="244"/>
      <c r="C47" s="262" t="s">
        <v>127</v>
      </c>
      <c r="D47" s="245" t="s">
        <v>128</v>
      </c>
      <c r="E47" s="263">
        <v>0</v>
      </c>
      <c r="F47" s="264"/>
    </row>
    <row r="48" spans="2:6">
      <c r="B48" s="244"/>
      <c r="C48" s="262" t="s">
        <v>129</v>
      </c>
      <c r="D48" s="245" t="s">
        <v>130</v>
      </c>
      <c r="E48" s="263">
        <v>18</v>
      </c>
      <c r="F48" s="264"/>
    </row>
    <row r="49" spans="2:6">
      <c r="B49" s="244"/>
      <c r="C49" s="262" t="s">
        <v>131</v>
      </c>
      <c r="D49" s="245" t="s">
        <v>132</v>
      </c>
      <c r="E49" s="263">
        <v>20</v>
      </c>
      <c r="F49" s="264"/>
    </row>
    <row r="50" spans="2:6">
      <c r="B50" s="244"/>
      <c r="C50" s="262" t="s">
        <v>133</v>
      </c>
      <c r="D50" s="245" t="s">
        <v>134</v>
      </c>
      <c r="E50" s="263">
        <v>10</v>
      </c>
      <c r="F50" s="264"/>
    </row>
    <row r="51" spans="2:5">
      <c r="B51" s="248"/>
      <c r="C51" s="248"/>
      <c r="D51" s="248"/>
      <c r="E51" s="248"/>
    </row>
    <row r="52" customHeight="1" spans="2:5">
      <c r="B52" s="261" t="s">
        <v>135</v>
      </c>
      <c r="C52" s="265" t="s">
        <v>136</v>
      </c>
      <c r="D52" s="266"/>
      <c r="E52" s="267">
        <f>COS(RADIANS(E45-E47))</f>
        <v>0.92050485345244</v>
      </c>
    </row>
    <row r="53" spans="2:5">
      <c r="B53" s="261"/>
      <c r="C53" s="265" t="s">
        <v>137</v>
      </c>
      <c r="D53" s="266"/>
      <c r="E53" s="245">
        <f>COS(RADIANS(E47))</f>
        <v>1</v>
      </c>
    </row>
    <row r="54" spans="2:5">
      <c r="B54" s="261"/>
      <c r="C54" s="265" t="s">
        <v>138</v>
      </c>
      <c r="D54" s="266"/>
      <c r="E54" s="267">
        <f>COS(RADIANS(E47+E46))</f>
        <v>0.97992470462083</v>
      </c>
    </row>
    <row r="55" spans="2:5">
      <c r="B55" s="261"/>
      <c r="C55" s="265" t="s">
        <v>139</v>
      </c>
      <c r="D55" s="266"/>
      <c r="E55" s="267">
        <f>SIN(RADIANS(E45+E46))</f>
        <v>0.566406236924833</v>
      </c>
    </row>
    <row r="56" spans="2:5">
      <c r="B56" s="261"/>
      <c r="C56" s="265" t="s">
        <v>140</v>
      </c>
      <c r="D56" s="266"/>
      <c r="E56" s="267">
        <f>SIN(RADIANS(E45-E44))</f>
        <v>0.390731128489274</v>
      </c>
    </row>
    <row r="57" spans="2:5">
      <c r="B57" s="261"/>
      <c r="C57" s="265" t="s">
        <v>141</v>
      </c>
      <c r="D57" s="266"/>
      <c r="E57" s="245">
        <f>COS(RADIANS(E47-E44))</f>
        <v>1</v>
      </c>
    </row>
    <row r="58" spans="2:5">
      <c r="B58" s="261"/>
      <c r="C58" s="265" t="s">
        <v>142</v>
      </c>
      <c r="D58" s="266"/>
      <c r="E58" s="267">
        <f>E52^2/(E53^2*E54*(1+SQRT(E55*E56/(E54*E57)))^2)</f>
        <v>0.397317937689011</v>
      </c>
    </row>
    <row r="59" spans="2:5">
      <c r="B59" s="268" t="s">
        <v>143</v>
      </c>
      <c r="C59" s="269"/>
      <c r="D59" s="270"/>
      <c r="E59" s="245">
        <v>1.3</v>
      </c>
    </row>
    <row r="60" spans="2:5">
      <c r="B60" s="248"/>
      <c r="C60" s="248"/>
      <c r="D60" s="248"/>
      <c r="E60" s="248"/>
    </row>
    <row r="61" spans="2:5">
      <c r="B61" s="244" t="s">
        <v>144</v>
      </c>
      <c r="C61" s="271" t="s">
        <v>145</v>
      </c>
      <c r="D61" s="272"/>
      <c r="E61" s="245">
        <v>0</v>
      </c>
    </row>
    <row r="62" spans="2:5">
      <c r="B62" s="244"/>
      <c r="C62" s="271" t="s">
        <v>146</v>
      </c>
      <c r="D62" s="272"/>
      <c r="E62" s="273">
        <f>E59*E58*E48*(E32-E33)</f>
        <v>1.85944794838457</v>
      </c>
    </row>
    <row r="63" spans="2:5">
      <c r="B63" s="244"/>
      <c r="C63" s="271" t="s">
        <v>147</v>
      </c>
      <c r="D63" s="272"/>
      <c r="E63" s="273">
        <f>E59*E58*E50*E33+E62</f>
        <v>15.8053075612689</v>
      </c>
    </row>
    <row r="64" spans="2:5">
      <c r="B64" s="244"/>
      <c r="C64" s="271" t="s">
        <v>148</v>
      </c>
      <c r="D64" s="272"/>
      <c r="E64" s="273">
        <f>1/2*1*E62*(E32-E33)</f>
        <v>0.185944794838457</v>
      </c>
    </row>
    <row r="65" spans="2:5">
      <c r="B65" s="244"/>
      <c r="C65" s="271" t="s">
        <v>149</v>
      </c>
      <c r="D65" s="272"/>
      <c r="E65" s="273">
        <f>1/2*1*(E62+E63)*E33</f>
        <v>23.8474199380321</v>
      </c>
    </row>
    <row r="66" spans="2:5">
      <c r="B66" s="244"/>
      <c r="C66" s="271" t="s">
        <v>150</v>
      </c>
      <c r="D66" s="272"/>
      <c r="E66" s="273">
        <f>E33+1/3*(E32-E33)</f>
        <v>2.76666666666667</v>
      </c>
    </row>
    <row r="67" spans="2:5">
      <c r="B67" s="244"/>
      <c r="C67" s="271" t="s">
        <v>151</v>
      </c>
      <c r="D67" s="272"/>
      <c r="E67" s="273">
        <f>1/3*E33*(2*E62+E63)/(E62+E63)</f>
        <v>0.994736842105263</v>
      </c>
    </row>
    <row r="68" spans="2:5">
      <c r="B68" s="244"/>
      <c r="C68" s="271" t="s">
        <v>152</v>
      </c>
      <c r="D68" s="272"/>
      <c r="E68" s="306">
        <f>E64+E65</f>
        <v>24.0333647328706</v>
      </c>
    </row>
    <row r="69" spans="2:5">
      <c r="B69" s="244"/>
      <c r="C69" s="271" t="s">
        <v>153</v>
      </c>
      <c r="D69" s="272"/>
      <c r="E69" s="306">
        <f>E64*E66+E65*E67</f>
        <v>24.2363544672359</v>
      </c>
    </row>
    <row r="71" spans="2:3">
      <c r="B71" s="260">
        <v>2.2</v>
      </c>
      <c r="C71" s="241" t="s">
        <v>154</v>
      </c>
    </row>
    <row r="72" spans="3:5">
      <c r="C72" s="248"/>
      <c r="D72" s="248"/>
      <c r="E72" s="248"/>
    </row>
    <row r="73" spans="2:5">
      <c r="B73" s="307" t="s">
        <v>155</v>
      </c>
      <c r="C73" s="271" t="s">
        <v>156</v>
      </c>
      <c r="D73" s="272"/>
      <c r="E73" s="245">
        <v>0</v>
      </c>
    </row>
    <row r="74" spans="2:5">
      <c r="B74" s="307"/>
      <c r="C74" s="271" t="s">
        <v>157</v>
      </c>
      <c r="D74" s="272"/>
      <c r="E74" s="245">
        <f>10*E33</f>
        <v>27</v>
      </c>
    </row>
    <row r="75" spans="2:5">
      <c r="B75" s="307"/>
      <c r="C75" s="308" t="s">
        <v>158</v>
      </c>
      <c r="D75" s="309"/>
      <c r="E75" s="245">
        <f>1/2*E74*E33</f>
        <v>36.45</v>
      </c>
    </row>
    <row r="76" spans="2:5">
      <c r="B76" s="307"/>
      <c r="C76" s="271" t="s">
        <v>159</v>
      </c>
      <c r="D76" s="272"/>
      <c r="E76" s="267">
        <f>E33/3</f>
        <v>0.9</v>
      </c>
    </row>
    <row r="77" spans="2:5">
      <c r="B77" s="307"/>
      <c r="C77" s="271" t="s">
        <v>160</v>
      </c>
      <c r="D77" s="272"/>
      <c r="E77" s="310">
        <f>E75</f>
        <v>36.45</v>
      </c>
    </row>
    <row r="78" spans="2:5">
      <c r="B78" s="307"/>
      <c r="C78" s="271" t="s">
        <v>161</v>
      </c>
      <c r="D78" s="272"/>
      <c r="E78" s="311">
        <f>E75*E76</f>
        <v>32.805</v>
      </c>
    </row>
    <row r="81" spans="2:3">
      <c r="B81" s="260">
        <v>2.3</v>
      </c>
      <c r="C81" s="241" t="s">
        <v>162</v>
      </c>
    </row>
    <row r="83" spans="2:5">
      <c r="B83" s="244" t="s">
        <v>162</v>
      </c>
      <c r="C83" s="308" t="s">
        <v>163</v>
      </c>
      <c r="D83" s="309"/>
      <c r="E83" s="252">
        <f>IF(E32&lt;2,20,(IF(E32&gt;10,10,(20-(E32-2)/(10-2)*(20-10)))))</f>
        <v>18.875</v>
      </c>
    </row>
    <row r="84" spans="2:5">
      <c r="B84" s="244"/>
      <c r="C84" s="308" t="s">
        <v>164</v>
      </c>
      <c r="D84" s="309"/>
      <c r="E84" s="267">
        <f>E83/E48</f>
        <v>1.04861111111111</v>
      </c>
    </row>
    <row r="85" spans="2:5">
      <c r="B85" s="244"/>
      <c r="C85" s="312" t="s">
        <v>165</v>
      </c>
      <c r="D85" s="313"/>
      <c r="E85" s="311">
        <f>1/2*1*E59*E58*E48*(E32+2*E84)</f>
        <v>23.2301865218323</v>
      </c>
    </row>
    <row r="86" spans="2:5">
      <c r="B86" s="244"/>
      <c r="C86" s="312" t="s">
        <v>166</v>
      </c>
      <c r="D86" s="313"/>
      <c r="E86" s="311">
        <f>E32/3*((E32+E84/3)/(E32+E84/2))</f>
        <v>0.917330268820839</v>
      </c>
    </row>
    <row r="87" spans="2:5">
      <c r="B87" s="244"/>
      <c r="C87" s="312" t="s">
        <v>167</v>
      </c>
      <c r="D87" s="313"/>
      <c r="E87" s="311">
        <f>E85*E86</f>
        <v>21.3097532468306</v>
      </c>
    </row>
    <row r="88" spans="3:5">
      <c r="C88" s="314"/>
      <c r="D88" s="314"/>
      <c r="E88" s="314"/>
    </row>
    <row r="89" spans="2:3">
      <c r="B89" s="260">
        <v>2.4</v>
      </c>
      <c r="C89" s="241" t="s">
        <v>168</v>
      </c>
    </row>
    <row r="91" spans="2:5">
      <c r="B91" s="248"/>
      <c r="C91" s="315" t="s">
        <v>169</v>
      </c>
      <c r="D91" s="316"/>
      <c r="E91" s="317"/>
    </row>
    <row r="92" spans="2:5">
      <c r="B92" s="248"/>
      <c r="C92" s="308" t="s">
        <v>170</v>
      </c>
      <c r="D92" s="309"/>
      <c r="E92" s="267">
        <f>E37*(E38*E69+E39*E78+E40*E87)</f>
        <v>96.5695507996931</v>
      </c>
    </row>
    <row r="93" spans="2:5">
      <c r="B93" s="248"/>
      <c r="C93" s="308" t="s">
        <v>171</v>
      </c>
      <c r="D93" s="309"/>
      <c r="E93" s="267">
        <f>E37*(E38*E68+E39*E77+E40*E85)</f>
        <v>102.618971756584</v>
      </c>
    </row>
    <row r="94" spans="2:5">
      <c r="B94" s="248"/>
      <c r="C94" s="248"/>
      <c r="D94" s="248"/>
      <c r="E94" s="318"/>
    </row>
    <row r="95" spans="2:5">
      <c r="B95" s="248"/>
      <c r="C95" s="315" t="s">
        <v>172</v>
      </c>
      <c r="D95" s="316"/>
      <c r="E95" s="317"/>
    </row>
    <row r="96" spans="2:5">
      <c r="B96" s="248"/>
      <c r="C96" s="308" t="s">
        <v>173</v>
      </c>
      <c r="D96" s="309"/>
      <c r="E96" s="267">
        <f>E69+E78+0.4*E87</f>
        <v>65.5652557659681</v>
      </c>
    </row>
    <row r="97" spans="2:5">
      <c r="B97" s="248"/>
      <c r="C97" s="308" t="s">
        <v>174</v>
      </c>
      <c r="D97" s="309"/>
      <c r="E97" s="267">
        <f>E68+E77+0.4*E85</f>
        <v>69.7754393416035</v>
      </c>
    </row>
    <row r="98" spans="2:5">
      <c r="B98" s="248"/>
      <c r="C98" s="248"/>
      <c r="D98" s="248"/>
      <c r="E98" s="318"/>
    </row>
    <row r="99" spans="2:5">
      <c r="B99" s="248"/>
      <c r="C99" s="315" t="s">
        <v>175</v>
      </c>
      <c r="D99" s="316"/>
      <c r="E99" s="317"/>
    </row>
    <row r="100" spans="2:5">
      <c r="B100" s="248"/>
      <c r="C100" s="308" t="s">
        <v>173</v>
      </c>
      <c r="D100" s="309"/>
      <c r="E100" s="267">
        <f>E69+E78+0.7*E87</f>
        <v>71.9581817400173</v>
      </c>
    </row>
    <row r="101" spans="2:5">
      <c r="B101" s="248"/>
      <c r="C101" s="308" t="s">
        <v>174</v>
      </c>
      <c r="D101" s="309"/>
      <c r="E101" s="267">
        <f>E68+E77+0.7*E85</f>
        <v>76.7444952981532</v>
      </c>
    </row>
    <row r="104" ht="14.25" spans="2:3">
      <c r="B104" s="260">
        <v>2.5</v>
      </c>
      <c r="C104" s="241" t="s">
        <v>176</v>
      </c>
    </row>
    <row r="105" spans="7:10">
      <c r="G105" s="319"/>
      <c r="H105" s="235" t="s">
        <v>177</v>
      </c>
      <c r="I105" s="235" t="s">
        <v>178</v>
      </c>
      <c r="J105" s="332" t="s">
        <v>179</v>
      </c>
    </row>
    <row r="106" spans="2:10">
      <c r="B106" s="307" t="s">
        <v>180</v>
      </c>
      <c r="C106" s="262" t="s">
        <v>181</v>
      </c>
      <c r="D106" s="320" t="s">
        <v>182</v>
      </c>
      <c r="E106" s="245">
        <f>VLOOKUP(D106,G106:I109,2,1)</f>
        <v>16.1</v>
      </c>
      <c r="F106" s="248" t="s">
        <v>183</v>
      </c>
      <c r="G106" s="321" t="s">
        <v>184</v>
      </c>
      <c r="H106" s="322">
        <v>16.1</v>
      </c>
      <c r="I106" s="322">
        <v>1.52</v>
      </c>
      <c r="J106" s="333">
        <v>3.15</v>
      </c>
    </row>
    <row r="107" spans="2:10">
      <c r="B107" s="307"/>
      <c r="C107" s="262" t="s">
        <v>185</v>
      </c>
      <c r="D107" s="320" t="s">
        <v>182</v>
      </c>
      <c r="E107" s="245">
        <f>VLOOKUP(D107,G106:I109,3,1)</f>
        <v>1.52</v>
      </c>
      <c r="F107" s="248" t="s">
        <v>183</v>
      </c>
      <c r="G107" s="321" t="s">
        <v>186</v>
      </c>
      <c r="H107" s="322">
        <v>18.1</v>
      </c>
      <c r="I107" s="322">
        <v>1.65</v>
      </c>
      <c r="J107" s="333">
        <v>3.25</v>
      </c>
    </row>
    <row r="108" spans="2:10">
      <c r="B108" s="307"/>
      <c r="C108" s="271" t="s">
        <v>187</v>
      </c>
      <c r="D108" s="272"/>
      <c r="E108" s="245">
        <v>330</v>
      </c>
      <c r="F108" s="248" t="s">
        <v>183</v>
      </c>
      <c r="G108" s="321" t="s">
        <v>188</v>
      </c>
      <c r="H108" s="322">
        <v>20.5</v>
      </c>
      <c r="I108" s="322">
        <v>1.74</v>
      </c>
      <c r="J108" s="333">
        <v>3.35</v>
      </c>
    </row>
    <row r="109" ht="14.25" spans="2:10">
      <c r="B109" s="307"/>
      <c r="C109" s="271" t="s">
        <v>189</v>
      </c>
      <c r="D109" s="272"/>
      <c r="E109" s="245">
        <v>330</v>
      </c>
      <c r="F109" s="248" t="s">
        <v>183</v>
      </c>
      <c r="G109" s="323" t="s">
        <v>190</v>
      </c>
      <c r="H109" s="324">
        <v>22.4</v>
      </c>
      <c r="I109" s="324">
        <v>1.83</v>
      </c>
      <c r="J109" s="334">
        <v>3.45</v>
      </c>
    </row>
    <row r="110" spans="2:6">
      <c r="B110" s="307"/>
      <c r="C110" s="271" t="s">
        <v>191</v>
      </c>
      <c r="D110" s="272"/>
      <c r="E110" s="252">
        <v>8</v>
      </c>
      <c r="F110" s="248"/>
    </row>
    <row r="111" spans="2:6">
      <c r="B111" s="307"/>
      <c r="C111" s="308" t="s">
        <v>192</v>
      </c>
      <c r="D111" s="309"/>
      <c r="E111" s="325">
        <v>18</v>
      </c>
      <c r="F111" s="248" t="s">
        <v>193</v>
      </c>
    </row>
    <row r="112" spans="2:6">
      <c r="B112" s="307"/>
      <c r="C112" s="271" t="s">
        <v>194</v>
      </c>
      <c r="D112" s="272"/>
      <c r="E112" s="267">
        <f>E110*PI()*E111^2/4</f>
        <v>2035.75203952619</v>
      </c>
      <c r="F112" s="248" t="s">
        <v>195</v>
      </c>
    </row>
    <row r="113" spans="2:6">
      <c r="B113" s="307"/>
      <c r="C113" s="271" t="s">
        <v>196</v>
      </c>
      <c r="D113" s="272"/>
      <c r="E113" s="252">
        <v>8</v>
      </c>
      <c r="F113" s="248"/>
    </row>
    <row r="114" spans="2:6">
      <c r="B114" s="307"/>
      <c r="C114" s="308" t="s">
        <v>197</v>
      </c>
      <c r="D114" s="309"/>
      <c r="E114" s="252">
        <v>12</v>
      </c>
      <c r="F114" s="248" t="s">
        <v>193</v>
      </c>
    </row>
    <row r="115" spans="2:6">
      <c r="B115" s="307"/>
      <c r="C115" s="271" t="s">
        <v>198</v>
      </c>
      <c r="D115" s="272"/>
      <c r="E115" s="267">
        <f>E113*PI()*E114^2/4</f>
        <v>904.77868423386</v>
      </c>
      <c r="F115" s="248" t="s">
        <v>195</v>
      </c>
    </row>
    <row r="116" spans="2:6">
      <c r="B116" s="307"/>
      <c r="C116" s="308" t="s">
        <v>199</v>
      </c>
      <c r="D116" s="309"/>
      <c r="E116" s="245">
        <v>65</v>
      </c>
      <c r="F116" s="248" t="s">
        <v>193</v>
      </c>
    </row>
    <row r="117" spans="2:6">
      <c r="B117" s="307"/>
      <c r="C117" s="308" t="s">
        <v>200</v>
      </c>
      <c r="D117" s="309"/>
      <c r="E117" s="245">
        <f>E31*1000-E116</f>
        <v>235</v>
      </c>
      <c r="F117" s="248" t="s">
        <v>193</v>
      </c>
    </row>
    <row r="118" spans="2:6">
      <c r="B118" s="307"/>
      <c r="C118" s="326" t="s">
        <v>201</v>
      </c>
      <c r="D118" s="327"/>
      <c r="E118" s="267">
        <f>45*E107/E108</f>
        <v>0.207272727272727</v>
      </c>
      <c r="F118" s="248" t="s">
        <v>202</v>
      </c>
    </row>
    <row r="119" spans="2:6">
      <c r="B119" s="307"/>
      <c r="C119" s="271" t="s">
        <v>203</v>
      </c>
      <c r="D119" s="272"/>
      <c r="E119" s="245">
        <v>0.56</v>
      </c>
      <c r="F119" s="248"/>
    </row>
    <row r="121" spans="2:6">
      <c r="B121" s="328" t="s">
        <v>204</v>
      </c>
      <c r="C121" s="308" t="s">
        <v>205</v>
      </c>
      <c r="D121" s="309"/>
      <c r="E121" s="267">
        <f>(E108*E112-E109*E115)/(E106*1000)</f>
        <v>23.18144144388</v>
      </c>
      <c r="F121" s="329" t="s">
        <v>193</v>
      </c>
    </row>
    <row r="122" spans="2:6">
      <c r="B122" s="328"/>
      <c r="C122" s="308" t="s">
        <v>206</v>
      </c>
      <c r="D122" s="309"/>
      <c r="E122" s="267">
        <f>E121/E117</f>
        <v>0.098644431676085</v>
      </c>
      <c r="F122" s="329"/>
    </row>
    <row r="123" spans="2:6">
      <c r="B123" s="307"/>
      <c r="C123" s="308" t="s">
        <v>207</v>
      </c>
      <c r="D123" s="309"/>
      <c r="E123" s="330" t="str">
        <f>IF(E121&gt;E119*E117,"NO","YES")</f>
        <v>YES</v>
      </c>
      <c r="F123" s="248"/>
    </row>
    <row r="124" spans="2:6">
      <c r="B124" s="307"/>
      <c r="C124" s="308" t="s">
        <v>208</v>
      </c>
      <c r="D124" s="309"/>
      <c r="E124" s="311">
        <f>(E106*1000*E121*(E117-E121/2)+E109*E115*(E117-E116))/1000000</f>
        <v>134.13916510774</v>
      </c>
      <c r="F124" s="248" t="s">
        <v>209</v>
      </c>
    </row>
    <row r="125" spans="2:6">
      <c r="B125" s="307"/>
      <c r="C125" s="308" t="s">
        <v>210</v>
      </c>
      <c r="D125" s="309"/>
      <c r="E125" s="331" t="str">
        <f>IF(E124&gt;E92,"YES","NO")</f>
        <v>YES</v>
      </c>
      <c r="F125" s="248"/>
    </row>
    <row r="126" spans="2:6">
      <c r="B126" s="307"/>
      <c r="C126" s="308" t="s">
        <v>211</v>
      </c>
      <c r="D126" s="309"/>
      <c r="E126" s="267">
        <f>E112/1000/E117*100</f>
        <v>0.866277463628164</v>
      </c>
      <c r="F126" s="248" t="s">
        <v>202</v>
      </c>
    </row>
    <row r="127" spans="2:6">
      <c r="B127" s="307"/>
      <c r="C127" s="308" t="s">
        <v>212</v>
      </c>
      <c r="D127" s="309"/>
      <c r="E127" s="331" t="str">
        <f>IF(E126&gt;E118,"YES","NO")</f>
        <v>YES</v>
      </c>
      <c r="F127" s="248"/>
    </row>
    <row r="129" spans="2:5">
      <c r="B129" s="241" t="s">
        <v>213</v>
      </c>
      <c r="C129" s="241" t="s">
        <v>214</v>
      </c>
      <c r="D129" s="248"/>
      <c r="E129" s="248"/>
    </row>
    <row r="130" spans="2:5">
      <c r="B130" s="241"/>
      <c r="C130" s="241"/>
      <c r="D130" s="248"/>
      <c r="E130" s="248"/>
    </row>
    <row r="131" spans="2:6">
      <c r="B131" s="335" t="s">
        <v>214</v>
      </c>
      <c r="C131" s="308" t="s">
        <v>215</v>
      </c>
      <c r="D131" s="309"/>
      <c r="E131" s="245">
        <v>1</v>
      </c>
      <c r="F131" s="248" t="s">
        <v>216</v>
      </c>
    </row>
    <row r="132" spans="2:6">
      <c r="B132" s="336"/>
      <c r="C132" s="337" t="s">
        <v>217</v>
      </c>
      <c r="D132" s="337"/>
      <c r="E132" s="245">
        <f>1+0.5*E96/E100</f>
        <v>1.45557888054241</v>
      </c>
      <c r="F132" s="248"/>
    </row>
    <row r="133" spans="2:6">
      <c r="B133" s="336"/>
      <c r="C133" s="337" t="s">
        <v>218</v>
      </c>
      <c r="D133" s="337"/>
      <c r="E133" s="245">
        <v>1</v>
      </c>
      <c r="F133" s="248"/>
    </row>
    <row r="134" spans="2:6">
      <c r="B134" s="336"/>
      <c r="C134" s="308" t="s">
        <v>219</v>
      </c>
      <c r="D134" s="309"/>
      <c r="E134" s="267">
        <f>10^6*E100/(0.87*E112*E117)</f>
        <v>172.889328487884</v>
      </c>
      <c r="F134" s="248" t="s">
        <v>183</v>
      </c>
    </row>
    <row r="135" spans="2:6">
      <c r="B135" s="336"/>
      <c r="C135" s="308" t="s">
        <v>220</v>
      </c>
      <c r="D135" s="309"/>
      <c r="E135" s="245">
        <f>E111</f>
        <v>18</v>
      </c>
      <c r="F135" s="248" t="s">
        <v>193</v>
      </c>
    </row>
    <row r="136" spans="2:6">
      <c r="B136" s="336"/>
      <c r="C136" s="308" t="s">
        <v>221</v>
      </c>
      <c r="D136" s="309"/>
      <c r="E136" s="267">
        <f>IF(E112/(E117*E31*1000)&gt;0.02,0.02,IF(E112/(E117*E31*1000)&lt;0.006,0.006,E112/(E117*E31*1000)))</f>
        <v>0.02</v>
      </c>
      <c r="F136" s="248"/>
    </row>
    <row r="137" spans="2:6">
      <c r="B137" s="336"/>
      <c r="C137" s="308" t="s">
        <v>222</v>
      </c>
      <c r="D137" s="309"/>
      <c r="E137" s="245">
        <f>2*10^5</f>
        <v>200000</v>
      </c>
      <c r="F137" s="248" t="s">
        <v>183</v>
      </c>
    </row>
    <row r="138" spans="2:6">
      <c r="B138" s="336"/>
      <c r="C138" s="308" t="s">
        <v>223</v>
      </c>
      <c r="D138" s="309"/>
      <c r="E138" s="267">
        <f>E131*E132*E133*E134/E137*((30+E135)/(0.28+10*E136))</f>
        <v>0.125827027609061</v>
      </c>
      <c r="F138" s="248"/>
    </row>
    <row r="139" spans="2:5">
      <c r="B139" s="336"/>
      <c r="C139" s="338" t="s">
        <v>224</v>
      </c>
      <c r="D139" s="339"/>
      <c r="E139" s="252">
        <v>0.15</v>
      </c>
    </row>
    <row r="140" spans="2:5">
      <c r="B140" s="340"/>
      <c r="C140" s="308" t="s">
        <v>225</v>
      </c>
      <c r="D140" s="309"/>
      <c r="E140" s="331" t="str">
        <f>IF(E138&lt;E139,"YES","NO")</f>
        <v>YES</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2:F13"/>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184" workbookViewId="0">
      <selection activeCell="J206" sqref="J206:T216"/>
    </sheetView>
  </sheetViews>
  <sheetFormatPr defaultColWidth="6.625" defaultRowHeight="14.25"/>
  <cols>
    <col min="1" max="1" width="9.625" style="7" customWidth="1"/>
    <col min="2" max="2" width="9.625" style="5" customWidth="1"/>
    <col min="3" max="3" width="9.625" style="1" customWidth="1"/>
    <col min="4" max="8" width="9.625" style="5" customWidth="1"/>
    <col min="9" max="9" width="9.625" style="4" customWidth="1"/>
    <col min="10" max="10" width="9.625" style="5" customWidth="1"/>
    <col min="11" max="11" width="12" style="8" customWidth="1"/>
    <col min="12" max="12" width="9.5" style="5" customWidth="1"/>
    <col min="13" max="13" width="12.875" style="5" customWidth="1"/>
    <col min="14" max="14" width="10.625" style="5" customWidth="1"/>
    <col min="15" max="15" width="10.625" style="8" customWidth="1"/>
    <col min="16" max="17" width="10.625" style="5" customWidth="1"/>
    <col min="18" max="19" width="8.375" style="5" customWidth="1"/>
    <col min="20" max="20" width="17.375" style="5" customWidth="1"/>
    <col min="21" max="21" width="5.625" style="5" customWidth="1"/>
    <col min="22" max="22" width="7.5" style="5" customWidth="1"/>
    <col min="23" max="23" width="5.625" style="5" customWidth="1"/>
    <col min="24" max="24" width="9" style="5" customWidth="1"/>
    <col min="25" max="25" width="9.375" style="5" customWidth="1"/>
    <col min="26" max="26" width="9.625" style="5" customWidth="1"/>
    <col min="27" max="27" width="7.625" style="5" customWidth="1"/>
    <col min="28" max="28" width="9.375" style="5" customWidth="1"/>
    <col min="29" max="245" width="6.625" style="5"/>
    <col min="246" max="256" width="6.625" style="7"/>
    <col min="257" max="257" width="9" style="7" customWidth="1"/>
    <col min="258" max="258" width="7.5" style="7" customWidth="1"/>
    <col min="259" max="259" width="9.375" style="7" customWidth="1"/>
    <col min="260" max="261" width="7.5" style="7" customWidth="1"/>
    <col min="262" max="262" width="10.125" style="7" customWidth="1"/>
    <col min="263" max="263" width="13.625" style="7" customWidth="1"/>
    <col min="264" max="264" width="10.5" style="7" customWidth="1"/>
    <col min="265" max="265" width="7.5" style="7" customWidth="1"/>
    <col min="266" max="267" width="10.625" style="7" customWidth="1"/>
    <col min="268" max="268" width="9.5" style="7" customWidth="1"/>
    <col min="269" max="269" width="12.875" style="7" customWidth="1"/>
    <col min="270" max="273" width="10.625" style="7" customWidth="1"/>
    <col min="274" max="275" width="8.375" style="7" customWidth="1"/>
    <col min="276" max="276" width="17.375" style="7" customWidth="1"/>
    <col min="277" max="277" width="5.625" style="7" customWidth="1"/>
    <col min="278" max="278" width="7.5" style="7" customWidth="1"/>
    <col min="279" max="279" width="5.625" style="7" customWidth="1"/>
    <col min="280" max="280" width="9" style="7" customWidth="1"/>
    <col min="281" max="281" width="9.375" style="7" customWidth="1"/>
    <col min="282" max="282" width="9.625" style="7" customWidth="1"/>
    <col min="283" max="283" width="7.625" style="7" customWidth="1"/>
    <col min="284" max="284" width="9.375" style="7" customWidth="1"/>
    <col min="285" max="512" width="6.625" style="7"/>
    <col min="513" max="513" width="9" style="7" customWidth="1"/>
    <col min="514" max="514" width="7.5" style="7" customWidth="1"/>
    <col min="515" max="515" width="9.375" style="7" customWidth="1"/>
    <col min="516" max="517" width="7.5" style="7" customWidth="1"/>
    <col min="518" max="518" width="10.125" style="7" customWidth="1"/>
    <col min="519" max="519" width="13.625" style="7" customWidth="1"/>
    <col min="520" max="520" width="10.5" style="7" customWidth="1"/>
    <col min="521" max="521" width="7.5" style="7" customWidth="1"/>
    <col min="522" max="523" width="10.625" style="7" customWidth="1"/>
    <col min="524" max="524" width="9.5" style="7" customWidth="1"/>
    <col min="525" max="525" width="12.875" style="7" customWidth="1"/>
    <col min="526" max="529" width="10.625" style="7" customWidth="1"/>
    <col min="530" max="531" width="8.375" style="7" customWidth="1"/>
    <col min="532" max="532" width="17.375" style="7" customWidth="1"/>
    <col min="533" max="533" width="5.625" style="7" customWidth="1"/>
    <col min="534" max="534" width="7.5" style="7" customWidth="1"/>
    <col min="535" max="535" width="5.625" style="7" customWidth="1"/>
    <col min="536" max="536" width="9" style="7" customWidth="1"/>
    <col min="537" max="537" width="9.375" style="7" customWidth="1"/>
    <col min="538" max="538" width="9.625" style="7" customWidth="1"/>
    <col min="539" max="539" width="7.625" style="7" customWidth="1"/>
    <col min="540" max="540" width="9.375" style="7" customWidth="1"/>
    <col min="541" max="768" width="6.625" style="7"/>
    <col min="769" max="769" width="9" style="7" customWidth="1"/>
    <col min="770" max="770" width="7.5" style="7" customWidth="1"/>
    <col min="771" max="771" width="9.375" style="7" customWidth="1"/>
    <col min="772" max="773" width="7.5" style="7" customWidth="1"/>
    <col min="774" max="774" width="10.125" style="7" customWidth="1"/>
    <col min="775" max="775" width="13.625" style="7" customWidth="1"/>
    <col min="776" max="776" width="10.5" style="7" customWidth="1"/>
    <col min="777" max="777" width="7.5" style="7" customWidth="1"/>
    <col min="778" max="779" width="10.625" style="7" customWidth="1"/>
    <col min="780" max="780" width="9.5" style="7" customWidth="1"/>
    <col min="781" max="781" width="12.875" style="7" customWidth="1"/>
    <col min="782" max="785" width="10.625" style="7" customWidth="1"/>
    <col min="786" max="787" width="8.375" style="7" customWidth="1"/>
    <col min="788" max="788" width="17.375" style="7" customWidth="1"/>
    <col min="789" max="789" width="5.625" style="7" customWidth="1"/>
    <col min="790" max="790" width="7.5" style="7" customWidth="1"/>
    <col min="791" max="791" width="5.625" style="7" customWidth="1"/>
    <col min="792" max="792" width="9" style="7" customWidth="1"/>
    <col min="793" max="793" width="9.375" style="7" customWidth="1"/>
    <col min="794" max="794" width="9.625" style="7" customWidth="1"/>
    <col min="795" max="795" width="7.625" style="7" customWidth="1"/>
    <col min="796" max="796" width="9.375" style="7" customWidth="1"/>
    <col min="797" max="1024" width="6.625" style="7"/>
    <col min="1025" max="1025" width="9" style="7" customWidth="1"/>
    <col min="1026" max="1026" width="7.5" style="7" customWidth="1"/>
    <col min="1027" max="1027" width="9.375" style="7" customWidth="1"/>
    <col min="1028" max="1029" width="7.5" style="7" customWidth="1"/>
    <col min="1030" max="1030" width="10.125" style="7" customWidth="1"/>
    <col min="1031" max="1031" width="13.625" style="7" customWidth="1"/>
    <col min="1032" max="1032" width="10.5" style="7" customWidth="1"/>
    <col min="1033" max="1033" width="7.5" style="7" customWidth="1"/>
    <col min="1034" max="1035" width="10.625" style="7" customWidth="1"/>
    <col min="1036" max="1036" width="9.5" style="7" customWidth="1"/>
    <col min="1037" max="1037" width="12.875" style="7" customWidth="1"/>
    <col min="1038" max="1041" width="10.625" style="7" customWidth="1"/>
    <col min="1042" max="1043" width="8.375" style="7" customWidth="1"/>
    <col min="1044" max="1044" width="17.375" style="7" customWidth="1"/>
    <col min="1045" max="1045" width="5.625" style="7" customWidth="1"/>
    <col min="1046" max="1046" width="7.5" style="7" customWidth="1"/>
    <col min="1047" max="1047" width="5.625" style="7" customWidth="1"/>
    <col min="1048" max="1048" width="9" style="7" customWidth="1"/>
    <col min="1049" max="1049" width="9.375" style="7" customWidth="1"/>
    <col min="1050" max="1050" width="9.625" style="7" customWidth="1"/>
    <col min="1051" max="1051" width="7.625" style="7" customWidth="1"/>
    <col min="1052" max="1052" width="9.375" style="7" customWidth="1"/>
    <col min="1053" max="1280" width="6.625" style="7"/>
    <col min="1281" max="1281" width="9" style="7" customWidth="1"/>
    <col min="1282" max="1282" width="7.5" style="7" customWidth="1"/>
    <col min="1283" max="1283" width="9.375" style="7" customWidth="1"/>
    <col min="1284" max="1285" width="7.5" style="7" customWidth="1"/>
    <col min="1286" max="1286" width="10.125" style="7" customWidth="1"/>
    <col min="1287" max="1287" width="13.625" style="7" customWidth="1"/>
    <col min="1288" max="1288" width="10.5" style="7" customWidth="1"/>
    <col min="1289" max="1289" width="7.5" style="7" customWidth="1"/>
    <col min="1290" max="1291" width="10.625" style="7" customWidth="1"/>
    <col min="1292" max="1292" width="9.5" style="7" customWidth="1"/>
    <col min="1293" max="1293" width="12.875" style="7" customWidth="1"/>
    <col min="1294" max="1297" width="10.625" style="7" customWidth="1"/>
    <col min="1298" max="1299" width="8.375" style="7" customWidth="1"/>
    <col min="1300" max="1300" width="17.375" style="7" customWidth="1"/>
    <col min="1301" max="1301" width="5.625" style="7" customWidth="1"/>
    <col min="1302" max="1302" width="7.5" style="7" customWidth="1"/>
    <col min="1303" max="1303" width="5.625" style="7" customWidth="1"/>
    <col min="1304" max="1304" width="9" style="7" customWidth="1"/>
    <col min="1305" max="1305" width="9.375" style="7" customWidth="1"/>
    <col min="1306" max="1306" width="9.625" style="7" customWidth="1"/>
    <col min="1307" max="1307" width="7.625" style="7" customWidth="1"/>
    <col min="1308" max="1308" width="9.375" style="7" customWidth="1"/>
    <col min="1309" max="1536" width="6.625" style="7"/>
    <col min="1537" max="1537" width="9" style="7" customWidth="1"/>
    <col min="1538" max="1538" width="7.5" style="7" customWidth="1"/>
    <col min="1539" max="1539" width="9.375" style="7" customWidth="1"/>
    <col min="1540" max="1541" width="7.5" style="7" customWidth="1"/>
    <col min="1542" max="1542" width="10.125" style="7" customWidth="1"/>
    <col min="1543" max="1543" width="13.625" style="7" customWidth="1"/>
    <col min="1544" max="1544" width="10.5" style="7" customWidth="1"/>
    <col min="1545" max="1545" width="7.5" style="7" customWidth="1"/>
    <col min="1546" max="1547" width="10.625" style="7" customWidth="1"/>
    <col min="1548" max="1548" width="9.5" style="7" customWidth="1"/>
    <col min="1549" max="1549" width="12.875" style="7" customWidth="1"/>
    <col min="1550" max="1553" width="10.625" style="7" customWidth="1"/>
    <col min="1554" max="1555" width="8.375" style="7" customWidth="1"/>
    <col min="1556" max="1556" width="17.375" style="7" customWidth="1"/>
    <col min="1557" max="1557" width="5.625" style="7" customWidth="1"/>
    <col min="1558" max="1558" width="7.5" style="7" customWidth="1"/>
    <col min="1559" max="1559" width="5.625" style="7" customWidth="1"/>
    <col min="1560" max="1560" width="9" style="7" customWidth="1"/>
    <col min="1561" max="1561" width="9.375" style="7" customWidth="1"/>
    <col min="1562" max="1562" width="9.625" style="7" customWidth="1"/>
    <col min="1563" max="1563" width="7.625" style="7" customWidth="1"/>
    <col min="1564" max="1564" width="9.375" style="7" customWidth="1"/>
    <col min="1565" max="1792" width="6.625" style="7"/>
    <col min="1793" max="1793" width="9" style="7" customWidth="1"/>
    <col min="1794" max="1794" width="7.5" style="7" customWidth="1"/>
    <col min="1795" max="1795" width="9.375" style="7" customWidth="1"/>
    <col min="1796" max="1797" width="7.5" style="7" customWidth="1"/>
    <col min="1798" max="1798" width="10.125" style="7" customWidth="1"/>
    <col min="1799" max="1799" width="13.625" style="7" customWidth="1"/>
    <col min="1800" max="1800" width="10.5" style="7" customWidth="1"/>
    <col min="1801" max="1801" width="7.5" style="7" customWidth="1"/>
    <col min="1802" max="1803" width="10.625" style="7" customWidth="1"/>
    <col min="1804" max="1804" width="9.5" style="7" customWidth="1"/>
    <col min="1805" max="1805" width="12.875" style="7" customWidth="1"/>
    <col min="1806" max="1809" width="10.625" style="7" customWidth="1"/>
    <col min="1810" max="1811" width="8.375" style="7" customWidth="1"/>
    <col min="1812" max="1812" width="17.375" style="7" customWidth="1"/>
    <col min="1813" max="1813" width="5.625" style="7" customWidth="1"/>
    <col min="1814" max="1814" width="7.5" style="7" customWidth="1"/>
    <col min="1815" max="1815" width="5.625" style="7" customWidth="1"/>
    <col min="1816" max="1816" width="9" style="7" customWidth="1"/>
    <col min="1817" max="1817" width="9.375" style="7" customWidth="1"/>
    <col min="1818" max="1818" width="9.625" style="7" customWidth="1"/>
    <col min="1819" max="1819" width="7.625" style="7" customWidth="1"/>
    <col min="1820" max="1820" width="9.375" style="7" customWidth="1"/>
    <col min="1821" max="2048" width="6.625" style="7"/>
    <col min="2049" max="2049" width="9" style="7" customWidth="1"/>
    <col min="2050" max="2050" width="7.5" style="7" customWidth="1"/>
    <col min="2051" max="2051" width="9.375" style="7" customWidth="1"/>
    <col min="2052" max="2053" width="7.5" style="7" customWidth="1"/>
    <col min="2054" max="2054" width="10.125" style="7" customWidth="1"/>
    <col min="2055" max="2055" width="13.625" style="7" customWidth="1"/>
    <col min="2056" max="2056" width="10.5" style="7" customWidth="1"/>
    <col min="2057" max="2057" width="7.5" style="7" customWidth="1"/>
    <col min="2058" max="2059" width="10.625" style="7" customWidth="1"/>
    <col min="2060" max="2060" width="9.5" style="7" customWidth="1"/>
    <col min="2061" max="2061" width="12.875" style="7" customWidth="1"/>
    <col min="2062" max="2065" width="10.625" style="7" customWidth="1"/>
    <col min="2066" max="2067" width="8.375" style="7" customWidth="1"/>
    <col min="2068" max="2068" width="17.375" style="7" customWidth="1"/>
    <col min="2069" max="2069" width="5.625" style="7" customWidth="1"/>
    <col min="2070" max="2070" width="7.5" style="7" customWidth="1"/>
    <col min="2071" max="2071" width="5.625" style="7" customWidth="1"/>
    <col min="2072" max="2072" width="9" style="7" customWidth="1"/>
    <col min="2073" max="2073" width="9.375" style="7" customWidth="1"/>
    <col min="2074" max="2074" width="9.625" style="7" customWidth="1"/>
    <col min="2075" max="2075" width="7.625" style="7" customWidth="1"/>
    <col min="2076" max="2076" width="9.375" style="7" customWidth="1"/>
    <col min="2077" max="2304" width="6.625" style="7"/>
    <col min="2305" max="2305" width="9" style="7" customWidth="1"/>
    <col min="2306" max="2306" width="7.5" style="7" customWidth="1"/>
    <col min="2307" max="2307" width="9.375" style="7" customWidth="1"/>
    <col min="2308" max="2309" width="7.5" style="7" customWidth="1"/>
    <col min="2310" max="2310" width="10.125" style="7" customWidth="1"/>
    <col min="2311" max="2311" width="13.625" style="7" customWidth="1"/>
    <col min="2312" max="2312" width="10.5" style="7" customWidth="1"/>
    <col min="2313" max="2313" width="7.5" style="7" customWidth="1"/>
    <col min="2314" max="2315" width="10.625" style="7" customWidth="1"/>
    <col min="2316" max="2316" width="9.5" style="7" customWidth="1"/>
    <col min="2317" max="2317" width="12.875" style="7" customWidth="1"/>
    <col min="2318" max="2321" width="10.625" style="7" customWidth="1"/>
    <col min="2322" max="2323" width="8.375" style="7" customWidth="1"/>
    <col min="2324" max="2324" width="17.375" style="7" customWidth="1"/>
    <col min="2325" max="2325" width="5.625" style="7" customWidth="1"/>
    <col min="2326" max="2326" width="7.5" style="7" customWidth="1"/>
    <col min="2327" max="2327" width="5.625" style="7" customWidth="1"/>
    <col min="2328" max="2328" width="9" style="7" customWidth="1"/>
    <col min="2329" max="2329" width="9.375" style="7" customWidth="1"/>
    <col min="2330" max="2330" width="9.625" style="7" customWidth="1"/>
    <col min="2331" max="2331" width="7.625" style="7" customWidth="1"/>
    <col min="2332" max="2332" width="9.375" style="7" customWidth="1"/>
    <col min="2333" max="2560" width="6.625" style="7"/>
    <col min="2561" max="2561" width="9" style="7" customWidth="1"/>
    <col min="2562" max="2562" width="7.5" style="7" customWidth="1"/>
    <col min="2563" max="2563" width="9.375" style="7" customWidth="1"/>
    <col min="2564" max="2565" width="7.5" style="7" customWidth="1"/>
    <col min="2566" max="2566" width="10.125" style="7" customWidth="1"/>
    <col min="2567" max="2567" width="13.625" style="7" customWidth="1"/>
    <col min="2568" max="2568" width="10.5" style="7" customWidth="1"/>
    <col min="2569" max="2569" width="7.5" style="7" customWidth="1"/>
    <col min="2570" max="2571" width="10.625" style="7" customWidth="1"/>
    <col min="2572" max="2572" width="9.5" style="7" customWidth="1"/>
    <col min="2573" max="2573" width="12.875" style="7" customWidth="1"/>
    <col min="2574" max="2577" width="10.625" style="7" customWidth="1"/>
    <col min="2578" max="2579" width="8.375" style="7" customWidth="1"/>
    <col min="2580" max="2580" width="17.375" style="7" customWidth="1"/>
    <col min="2581" max="2581" width="5.625" style="7" customWidth="1"/>
    <col min="2582" max="2582" width="7.5" style="7" customWidth="1"/>
    <col min="2583" max="2583" width="5.625" style="7" customWidth="1"/>
    <col min="2584" max="2584" width="9" style="7" customWidth="1"/>
    <col min="2585" max="2585" width="9.375" style="7" customWidth="1"/>
    <col min="2586" max="2586" width="9.625" style="7" customWidth="1"/>
    <col min="2587" max="2587" width="7.625" style="7" customWidth="1"/>
    <col min="2588" max="2588" width="9.375" style="7" customWidth="1"/>
    <col min="2589" max="2816" width="6.625" style="7"/>
    <col min="2817" max="2817" width="9" style="7" customWidth="1"/>
    <col min="2818" max="2818" width="7.5" style="7" customWidth="1"/>
    <col min="2819" max="2819" width="9.375" style="7" customWidth="1"/>
    <col min="2820" max="2821" width="7.5" style="7" customWidth="1"/>
    <col min="2822" max="2822" width="10.125" style="7" customWidth="1"/>
    <col min="2823" max="2823" width="13.625" style="7" customWidth="1"/>
    <col min="2824" max="2824" width="10.5" style="7" customWidth="1"/>
    <col min="2825" max="2825" width="7.5" style="7" customWidth="1"/>
    <col min="2826" max="2827" width="10.625" style="7" customWidth="1"/>
    <col min="2828" max="2828" width="9.5" style="7" customWidth="1"/>
    <col min="2829" max="2829" width="12.875" style="7" customWidth="1"/>
    <col min="2830" max="2833" width="10.625" style="7" customWidth="1"/>
    <col min="2834" max="2835" width="8.375" style="7" customWidth="1"/>
    <col min="2836" max="2836" width="17.375" style="7" customWidth="1"/>
    <col min="2837" max="2837" width="5.625" style="7" customWidth="1"/>
    <col min="2838" max="2838" width="7.5" style="7" customWidth="1"/>
    <col min="2839" max="2839" width="5.625" style="7" customWidth="1"/>
    <col min="2840" max="2840" width="9" style="7" customWidth="1"/>
    <col min="2841" max="2841" width="9.375" style="7" customWidth="1"/>
    <col min="2842" max="2842" width="9.625" style="7" customWidth="1"/>
    <col min="2843" max="2843" width="7.625" style="7" customWidth="1"/>
    <col min="2844" max="2844" width="9.375" style="7" customWidth="1"/>
    <col min="2845" max="3072" width="6.625" style="7"/>
    <col min="3073" max="3073" width="9" style="7" customWidth="1"/>
    <col min="3074" max="3074" width="7.5" style="7" customWidth="1"/>
    <col min="3075" max="3075" width="9.375" style="7" customWidth="1"/>
    <col min="3076" max="3077" width="7.5" style="7" customWidth="1"/>
    <col min="3078" max="3078" width="10.125" style="7" customWidth="1"/>
    <col min="3079" max="3079" width="13.625" style="7" customWidth="1"/>
    <col min="3080" max="3080" width="10.5" style="7" customWidth="1"/>
    <col min="3081" max="3081" width="7.5" style="7" customWidth="1"/>
    <col min="3082" max="3083" width="10.625" style="7" customWidth="1"/>
    <col min="3084" max="3084" width="9.5" style="7" customWidth="1"/>
    <col min="3085" max="3085" width="12.875" style="7" customWidth="1"/>
    <col min="3086" max="3089" width="10.625" style="7" customWidth="1"/>
    <col min="3090" max="3091" width="8.375" style="7" customWidth="1"/>
    <col min="3092" max="3092" width="17.375" style="7" customWidth="1"/>
    <col min="3093" max="3093" width="5.625" style="7" customWidth="1"/>
    <col min="3094" max="3094" width="7.5" style="7" customWidth="1"/>
    <col min="3095" max="3095" width="5.625" style="7" customWidth="1"/>
    <col min="3096" max="3096" width="9" style="7" customWidth="1"/>
    <col min="3097" max="3097" width="9.375" style="7" customWidth="1"/>
    <col min="3098" max="3098" width="9.625" style="7" customWidth="1"/>
    <col min="3099" max="3099" width="7.625" style="7" customWidth="1"/>
    <col min="3100" max="3100" width="9.375" style="7" customWidth="1"/>
    <col min="3101" max="3328" width="6.625" style="7"/>
    <col min="3329" max="3329" width="9" style="7" customWidth="1"/>
    <col min="3330" max="3330" width="7.5" style="7" customWidth="1"/>
    <col min="3331" max="3331" width="9.375" style="7" customWidth="1"/>
    <col min="3332" max="3333" width="7.5" style="7" customWidth="1"/>
    <col min="3334" max="3334" width="10.125" style="7" customWidth="1"/>
    <col min="3335" max="3335" width="13.625" style="7" customWidth="1"/>
    <col min="3336" max="3336" width="10.5" style="7" customWidth="1"/>
    <col min="3337" max="3337" width="7.5" style="7" customWidth="1"/>
    <col min="3338" max="3339" width="10.625" style="7" customWidth="1"/>
    <col min="3340" max="3340" width="9.5" style="7" customWidth="1"/>
    <col min="3341" max="3341" width="12.875" style="7" customWidth="1"/>
    <col min="3342" max="3345" width="10.625" style="7" customWidth="1"/>
    <col min="3346" max="3347" width="8.375" style="7" customWidth="1"/>
    <col min="3348" max="3348" width="17.375" style="7" customWidth="1"/>
    <col min="3349" max="3349" width="5.625" style="7" customWidth="1"/>
    <col min="3350" max="3350" width="7.5" style="7" customWidth="1"/>
    <col min="3351" max="3351" width="5.625" style="7" customWidth="1"/>
    <col min="3352" max="3352" width="9" style="7" customWidth="1"/>
    <col min="3353" max="3353" width="9.375" style="7" customWidth="1"/>
    <col min="3354" max="3354" width="9.625" style="7" customWidth="1"/>
    <col min="3355" max="3355" width="7.625" style="7" customWidth="1"/>
    <col min="3356" max="3356" width="9.375" style="7" customWidth="1"/>
    <col min="3357" max="3584" width="6.625" style="7"/>
    <col min="3585" max="3585" width="9" style="7" customWidth="1"/>
    <col min="3586" max="3586" width="7.5" style="7" customWidth="1"/>
    <col min="3587" max="3587" width="9.375" style="7" customWidth="1"/>
    <col min="3588" max="3589" width="7.5" style="7" customWidth="1"/>
    <col min="3590" max="3590" width="10.125" style="7" customWidth="1"/>
    <col min="3591" max="3591" width="13.625" style="7" customWidth="1"/>
    <col min="3592" max="3592" width="10.5" style="7" customWidth="1"/>
    <col min="3593" max="3593" width="7.5" style="7" customWidth="1"/>
    <col min="3594" max="3595" width="10.625" style="7" customWidth="1"/>
    <col min="3596" max="3596" width="9.5" style="7" customWidth="1"/>
    <col min="3597" max="3597" width="12.875" style="7" customWidth="1"/>
    <col min="3598" max="3601" width="10.625" style="7" customWidth="1"/>
    <col min="3602" max="3603" width="8.375" style="7" customWidth="1"/>
    <col min="3604" max="3604" width="17.375" style="7" customWidth="1"/>
    <col min="3605" max="3605" width="5.625" style="7" customWidth="1"/>
    <col min="3606" max="3606" width="7.5" style="7" customWidth="1"/>
    <col min="3607" max="3607" width="5.625" style="7" customWidth="1"/>
    <col min="3608" max="3608" width="9" style="7" customWidth="1"/>
    <col min="3609" max="3609" width="9.375" style="7" customWidth="1"/>
    <col min="3610" max="3610" width="9.625" style="7" customWidth="1"/>
    <col min="3611" max="3611" width="7.625" style="7" customWidth="1"/>
    <col min="3612" max="3612" width="9.375" style="7" customWidth="1"/>
    <col min="3613" max="3840" width="6.625" style="7"/>
    <col min="3841" max="3841" width="9" style="7" customWidth="1"/>
    <col min="3842" max="3842" width="7.5" style="7" customWidth="1"/>
    <col min="3843" max="3843" width="9.375" style="7" customWidth="1"/>
    <col min="3844" max="3845" width="7.5" style="7" customWidth="1"/>
    <col min="3846" max="3846" width="10.125" style="7" customWidth="1"/>
    <col min="3847" max="3847" width="13.625" style="7" customWidth="1"/>
    <col min="3848" max="3848" width="10.5" style="7" customWidth="1"/>
    <col min="3849" max="3849" width="7.5" style="7" customWidth="1"/>
    <col min="3850" max="3851" width="10.625" style="7" customWidth="1"/>
    <col min="3852" max="3852" width="9.5" style="7" customWidth="1"/>
    <col min="3853" max="3853" width="12.875" style="7" customWidth="1"/>
    <col min="3854" max="3857" width="10.625" style="7" customWidth="1"/>
    <col min="3858" max="3859" width="8.375" style="7" customWidth="1"/>
    <col min="3860" max="3860" width="17.375" style="7" customWidth="1"/>
    <col min="3861" max="3861" width="5.625" style="7" customWidth="1"/>
    <col min="3862" max="3862" width="7.5" style="7" customWidth="1"/>
    <col min="3863" max="3863" width="5.625" style="7" customWidth="1"/>
    <col min="3864" max="3864" width="9" style="7" customWidth="1"/>
    <col min="3865" max="3865" width="9.375" style="7" customWidth="1"/>
    <col min="3866" max="3866" width="9.625" style="7" customWidth="1"/>
    <col min="3867" max="3867" width="7.625" style="7" customWidth="1"/>
    <col min="3868" max="3868" width="9.375" style="7" customWidth="1"/>
    <col min="3869" max="4096" width="6.625" style="7"/>
    <col min="4097" max="4097" width="9" style="7" customWidth="1"/>
    <col min="4098" max="4098" width="7.5" style="7" customWidth="1"/>
    <col min="4099" max="4099" width="9.375" style="7" customWidth="1"/>
    <col min="4100" max="4101" width="7.5" style="7" customWidth="1"/>
    <col min="4102" max="4102" width="10.125" style="7" customWidth="1"/>
    <col min="4103" max="4103" width="13.625" style="7" customWidth="1"/>
    <col min="4104" max="4104" width="10.5" style="7" customWidth="1"/>
    <col min="4105" max="4105" width="7.5" style="7" customWidth="1"/>
    <col min="4106" max="4107" width="10.625" style="7" customWidth="1"/>
    <col min="4108" max="4108" width="9.5" style="7" customWidth="1"/>
    <col min="4109" max="4109" width="12.875" style="7" customWidth="1"/>
    <col min="4110" max="4113" width="10.625" style="7" customWidth="1"/>
    <col min="4114" max="4115" width="8.375" style="7" customWidth="1"/>
    <col min="4116" max="4116" width="17.375" style="7" customWidth="1"/>
    <col min="4117" max="4117" width="5.625" style="7" customWidth="1"/>
    <col min="4118" max="4118" width="7.5" style="7" customWidth="1"/>
    <col min="4119" max="4119" width="5.625" style="7" customWidth="1"/>
    <col min="4120" max="4120" width="9" style="7" customWidth="1"/>
    <col min="4121" max="4121" width="9.375" style="7" customWidth="1"/>
    <col min="4122" max="4122" width="9.625" style="7" customWidth="1"/>
    <col min="4123" max="4123" width="7.625" style="7" customWidth="1"/>
    <col min="4124" max="4124" width="9.375" style="7" customWidth="1"/>
    <col min="4125" max="4352" width="6.625" style="7"/>
    <col min="4353" max="4353" width="9" style="7" customWidth="1"/>
    <col min="4354" max="4354" width="7.5" style="7" customWidth="1"/>
    <col min="4355" max="4355" width="9.375" style="7" customWidth="1"/>
    <col min="4356" max="4357" width="7.5" style="7" customWidth="1"/>
    <col min="4358" max="4358" width="10.125" style="7" customWidth="1"/>
    <col min="4359" max="4359" width="13.625" style="7" customWidth="1"/>
    <col min="4360" max="4360" width="10.5" style="7" customWidth="1"/>
    <col min="4361" max="4361" width="7.5" style="7" customWidth="1"/>
    <col min="4362" max="4363" width="10.625" style="7" customWidth="1"/>
    <col min="4364" max="4364" width="9.5" style="7" customWidth="1"/>
    <col min="4365" max="4365" width="12.875" style="7" customWidth="1"/>
    <col min="4366" max="4369" width="10.625" style="7" customWidth="1"/>
    <col min="4370" max="4371" width="8.375" style="7" customWidth="1"/>
    <col min="4372" max="4372" width="17.375" style="7" customWidth="1"/>
    <col min="4373" max="4373" width="5.625" style="7" customWidth="1"/>
    <col min="4374" max="4374" width="7.5" style="7" customWidth="1"/>
    <col min="4375" max="4375" width="5.625" style="7" customWidth="1"/>
    <col min="4376" max="4376" width="9" style="7" customWidth="1"/>
    <col min="4377" max="4377" width="9.375" style="7" customWidth="1"/>
    <col min="4378" max="4378" width="9.625" style="7" customWidth="1"/>
    <col min="4379" max="4379" width="7.625" style="7" customWidth="1"/>
    <col min="4380" max="4380" width="9.375" style="7" customWidth="1"/>
    <col min="4381" max="4608" width="6.625" style="7"/>
    <col min="4609" max="4609" width="9" style="7" customWidth="1"/>
    <col min="4610" max="4610" width="7.5" style="7" customWidth="1"/>
    <col min="4611" max="4611" width="9.375" style="7" customWidth="1"/>
    <col min="4612" max="4613" width="7.5" style="7" customWidth="1"/>
    <col min="4614" max="4614" width="10.125" style="7" customWidth="1"/>
    <col min="4615" max="4615" width="13.625" style="7" customWidth="1"/>
    <col min="4616" max="4616" width="10.5" style="7" customWidth="1"/>
    <col min="4617" max="4617" width="7.5" style="7" customWidth="1"/>
    <col min="4618" max="4619" width="10.625" style="7" customWidth="1"/>
    <col min="4620" max="4620" width="9.5" style="7" customWidth="1"/>
    <col min="4621" max="4621" width="12.875" style="7" customWidth="1"/>
    <col min="4622" max="4625" width="10.625" style="7" customWidth="1"/>
    <col min="4626" max="4627" width="8.375" style="7" customWidth="1"/>
    <col min="4628" max="4628" width="17.375" style="7" customWidth="1"/>
    <col min="4629" max="4629" width="5.625" style="7" customWidth="1"/>
    <col min="4630" max="4630" width="7.5" style="7" customWidth="1"/>
    <col min="4631" max="4631" width="5.625" style="7" customWidth="1"/>
    <col min="4632" max="4632" width="9" style="7" customWidth="1"/>
    <col min="4633" max="4633" width="9.375" style="7" customWidth="1"/>
    <col min="4634" max="4634" width="9.625" style="7" customWidth="1"/>
    <col min="4635" max="4635" width="7.625" style="7" customWidth="1"/>
    <col min="4636" max="4636" width="9.375" style="7" customWidth="1"/>
    <col min="4637" max="4864" width="6.625" style="7"/>
    <col min="4865" max="4865" width="9" style="7" customWidth="1"/>
    <col min="4866" max="4866" width="7.5" style="7" customWidth="1"/>
    <col min="4867" max="4867" width="9.375" style="7" customWidth="1"/>
    <col min="4868" max="4869" width="7.5" style="7" customWidth="1"/>
    <col min="4870" max="4870" width="10.125" style="7" customWidth="1"/>
    <col min="4871" max="4871" width="13.625" style="7" customWidth="1"/>
    <col min="4872" max="4872" width="10.5" style="7" customWidth="1"/>
    <col min="4873" max="4873" width="7.5" style="7" customWidth="1"/>
    <col min="4874" max="4875" width="10.625" style="7" customWidth="1"/>
    <col min="4876" max="4876" width="9.5" style="7" customWidth="1"/>
    <col min="4877" max="4877" width="12.875" style="7" customWidth="1"/>
    <col min="4878" max="4881" width="10.625" style="7" customWidth="1"/>
    <col min="4882" max="4883" width="8.375" style="7" customWidth="1"/>
    <col min="4884" max="4884" width="17.375" style="7" customWidth="1"/>
    <col min="4885" max="4885" width="5.625" style="7" customWidth="1"/>
    <col min="4886" max="4886" width="7.5" style="7" customWidth="1"/>
    <col min="4887" max="4887" width="5.625" style="7" customWidth="1"/>
    <col min="4888" max="4888" width="9" style="7" customWidth="1"/>
    <col min="4889" max="4889" width="9.375" style="7" customWidth="1"/>
    <col min="4890" max="4890" width="9.625" style="7" customWidth="1"/>
    <col min="4891" max="4891" width="7.625" style="7" customWidth="1"/>
    <col min="4892" max="4892" width="9.375" style="7" customWidth="1"/>
    <col min="4893" max="5120" width="6.625" style="7"/>
    <col min="5121" max="5121" width="9" style="7" customWidth="1"/>
    <col min="5122" max="5122" width="7.5" style="7" customWidth="1"/>
    <col min="5123" max="5123" width="9.375" style="7" customWidth="1"/>
    <col min="5124" max="5125" width="7.5" style="7" customWidth="1"/>
    <col min="5126" max="5126" width="10.125" style="7" customWidth="1"/>
    <col min="5127" max="5127" width="13.625" style="7" customWidth="1"/>
    <col min="5128" max="5128" width="10.5" style="7" customWidth="1"/>
    <col min="5129" max="5129" width="7.5" style="7" customWidth="1"/>
    <col min="5130" max="5131" width="10.625" style="7" customWidth="1"/>
    <col min="5132" max="5132" width="9.5" style="7" customWidth="1"/>
    <col min="5133" max="5133" width="12.875" style="7" customWidth="1"/>
    <col min="5134" max="5137" width="10.625" style="7" customWidth="1"/>
    <col min="5138" max="5139" width="8.375" style="7" customWidth="1"/>
    <col min="5140" max="5140" width="17.375" style="7" customWidth="1"/>
    <col min="5141" max="5141" width="5.625" style="7" customWidth="1"/>
    <col min="5142" max="5142" width="7.5" style="7" customWidth="1"/>
    <col min="5143" max="5143" width="5.625" style="7" customWidth="1"/>
    <col min="5144" max="5144" width="9" style="7" customWidth="1"/>
    <col min="5145" max="5145" width="9.375" style="7" customWidth="1"/>
    <col min="5146" max="5146" width="9.625" style="7" customWidth="1"/>
    <col min="5147" max="5147" width="7.625" style="7" customWidth="1"/>
    <col min="5148" max="5148" width="9.375" style="7" customWidth="1"/>
    <col min="5149" max="5376" width="6.625" style="7"/>
    <col min="5377" max="5377" width="9" style="7" customWidth="1"/>
    <col min="5378" max="5378" width="7.5" style="7" customWidth="1"/>
    <col min="5379" max="5379" width="9.375" style="7" customWidth="1"/>
    <col min="5380" max="5381" width="7.5" style="7" customWidth="1"/>
    <col min="5382" max="5382" width="10.125" style="7" customWidth="1"/>
    <col min="5383" max="5383" width="13.625" style="7" customWidth="1"/>
    <col min="5384" max="5384" width="10.5" style="7" customWidth="1"/>
    <col min="5385" max="5385" width="7.5" style="7" customWidth="1"/>
    <col min="5386" max="5387" width="10.625" style="7" customWidth="1"/>
    <col min="5388" max="5388" width="9.5" style="7" customWidth="1"/>
    <col min="5389" max="5389" width="12.875" style="7" customWidth="1"/>
    <col min="5390" max="5393" width="10.625" style="7" customWidth="1"/>
    <col min="5394" max="5395" width="8.375" style="7" customWidth="1"/>
    <col min="5396" max="5396" width="17.375" style="7" customWidth="1"/>
    <col min="5397" max="5397" width="5.625" style="7" customWidth="1"/>
    <col min="5398" max="5398" width="7.5" style="7" customWidth="1"/>
    <col min="5399" max="5399" width="5.625" style="7" customWidth="1"/>
    <col min="5400" max="5400" width="9" style="7" customWidth="1"/>
    <col min="5401" max="5401" width="9.375" style="7" customWidth="1"/>
    <col min="5402" max="5402" width="9.625" style="7" customWidth="1"/>
    <col min="5403" max="5403" width="7.625" style="7" customWidth="1"/>
    <col min="5404" max="5404" width="9.375" style="7" customWidth="1"/>
    <col min="5405" max="5632" width="6.625" style="7"/>
    <col min="5633" max="5633" width="9" style="7" customWidth="1"/>
    <col min="5634" max="5634" width="7.5" style="7" customWidth="1"/>
    <col min="5635" max="5635" width="9.375" style="7" customWidth="1"/>
    <col min="5636" max="5637" width="7.5" style="7" customWidth="1"/>
    <col min="5638" max="5638" width="10.125" style="7" customWidth="1"/>
    <col min="5639" max="5639" width="13.625" style="7" customWidth="1"/>
    <col min="5640" max="5640" width="10.5" style="7" customWidth="1"/>
    <col min="5641" max="5641" width="7.5" style="7" customWidth="1"/>
    <col min="5642" max="5643" width="10.625" style="7" customWidth="1"/>
    <col min="5644" max="5644" width="9.5" style="7" customWidth="1"/>
    <col min="5645" max="5645" width="12.875" style="7" customWidth="1"/>
    <col min="5646" max="5649" width="10.625" style="7" customWidth="1"/>
    <col min="5650" max="5651" width="8.375" style="7" customWidth="1"/>
    <col min="5652" max="5652" width="17.375" style="7" customWidth="1"/>
    <col min="5653" max="5653" width="5.625" style="7" customWidth="1"/>
    <col min="5654" max="5654" width="7.5" style="7" customWidth="1"/>
    <col min="5655" max="5655" width="5.625" style="7" customWidth="1"/>
    <col min="5656" max="5656" width="9" style="7" customWidth="1"/>
    <col min="5657" max="5657" width="9.375" style="7" customWidth="1"/>
    <col min="5658" max="5658" width="9.625" style="7" customWidth="1"/>
    <col min="5659" max="5659" width="7.625" style="7" customWidth="1"/>
    <col min="5660" max="5660" width="9.375" style="7" customWidth="1"/>
    <col min="5661" max="5888" width="6.625" style="7"/>
    <col min="5889" max="5889" width="9" style="7" customWidth="1"/>
    <col min="5890" max="5890" width="7.5" style="7" customWidth="1"/>
    <col min="5891" max="5891" width="9.375" style="7" customWidth="1"/>
    <col min="5892" max="5893" width="7.5" style="7" customWidth="1"/>
    <col min="5894" max="5894" width="10.125" style="7" customWidth="1"/>
    <col min="5895" max="5895" width="13.625" style="7" customWidth="1"/>
    <col min="5896" max="5896" width="10.5" style="7" customWidth="1"/>
    <col min="5897" max="5897" width="7.5" style="7" customWidth="1"/>
    <col min="5898" max="5899" width="10.625" style="7" customWidth="1"/>
    <col min="5900" max="5900" width="9.5" style="7" customWidth="1"/>
    <col min="5901" max="5901" width="12.875" style="7" customWidth="1"/>
    <col min="5902" max="5905" width="10.625" style="7" customWidth="1"/>
    <col min="5906" max="5907" width="8.375" style="7" customWidth="1"/>
    <col min="5908" max="5908" width="17.375" style="7" customWidth="1"/>
    <col min="5909" max="5909" width="5.625" style="7" customWidth="1"/>
    <col min="5910" max="5910" width="7.5" style="7" customWidth="1"/>
    <col min="5911" max="5911" width="5.625" style="7" customWidth="1"/>
    <col min="5912" max="5912" width="9" style="7" customWidth="1"/>
    <col min="5913" max="5913" width="9.375" style="7" customWidth="1"/>
    <col min="5914" max="5914" width="9.625" style="7" customWidth="1"/>
    <col min="5915" max="5915" width="7.625" style="7" customWidth="1"/>
    <col min="5916" max="5916" width="9.375" style="7" customWidth="1"/>
    <col min="5917" max="6144" width="6.625" style="7"/>
    <col min="6145" max="6145" width="9" style="7" customWidth="1"/>
    <col min="6146" max="6146" width="7.5" style="7" customWidth="1"/>
    <col min="6147" max="6147" width="9.375" style="7" customWidth="1"/>
    <col min="6148" max="6149" width="7.5" style="7" customWidth="1"/>
    <col min="6150" max="6150" width="10.125" style="7" customWidth="1"/>
    <col min="6151" max="6151" width="13.625" style="7" customWidth="1"/>
    <col min="6152" max="6152" width="10.5" style="7" customWidth="1"/>
    <col min="6153" max="6153" width="7.5" style="7" customWidth="1"/>
    <col min="6154" max="6155" width="10.625" style="7" customWidth="1"/>
    <col min="6156" max="6156" width="9.5" style="7" customWidth="1"/>
    <col min="6157" max="6157" width="12.875" style="7" customWidth="1"/>
    <col min="6158" max="6161" width="10.625" style="7" customWidth="1"/>
    <col min="6162" max="6163" width="8.375" style="7" customWidth="1"/>
    <col min="6164" max="6164" width="17.375" style="7" customWidth="1"/>
    <col min="6165" max="6165" width="5.625" style="7" customWidth="1"/>
    <col min="6166" max="6166" width="7.5" style="7" customWidth="1"/>
    <col min="6167" max="6167" width="5.625" style="7" customWidth="1"/>
    <col min="6168" max="6168" width="9" style="7" customWidth="1"/>
    <col min="6169" max="6169" width="9.375" style="7" customWidth="1"/>
    <col min="6170" max="6170" width="9.625" style="7" customWidth="1"/>
    <col min="6171" max="6171" width="7.625" style="7" customWidth="1"/>
    <col min="6172" max="6172" width="9.375" style="7" customWidth="1"/>
    <col min="6173" max="6400" width="6.625" style="7"/>
    <col min="6401" max="6401" width="9" style="7" customWidth="1"/>
    <col min="6402" max="6402" width="7.5" style="7" customWidth="1"/>
    <col min="6403" max="6403" width="9.375" style="7" customWidth="1"/>
    <col min="6404" max="6405" width="7.5" style="7" customWidth="1"/>
    <col min="6406" max="6406" width="10.125" style="7" customWidth="1"/>
    <col min="6407" max="6407" width="13.625" style="7" customWidth="1"/>
    <col min="6408" max="6408" width="10.5" style="7" customWidth="1"/>
    <col min="6409" max="6409" width="7.5" style="7" customWidth="1"/>
    <col min="6410" max="6411" width="10.625" style="7" customWidth="1"/>
    <col min="6412" max="6412" width="9.5" style="7" customWidth="1"/>
    <col min="6413" max="6413" width="12.875" style="7" customWidth="1"/>
    <col min="6414" max="6417" width="10.625" style="7" customWidth="1"/>
    <col min="6418" max="6419" width="8.375" style="7" customWidth="1"/>
    <col min="6420" max="6420" width="17.375" style="7" customWidth="1"/>
    <col min="6421" max="6421" width="5.625" style="7" customWidth="1"/>
    <col min="6422" max="6422" width="7.5" style="7" customWidth="1"/>
    <col min="6423" max="6423" width="5.625" style="7" customWidth="1"/>
    <col min="6424" max="6424" width="9" style="7" customWidth="1"/>
    <col min="6425" max="6425" width="9.375" style="7" customWidth="1"/>
    <col min="6426" max="6426" width="9.625" style="7" customWidth="1"/>
    <col min="6427" max="6427" width="7.625" style="7" customWidth="1"/>
    <col min="6428" max="6428" width="9.375" style="7" customWidth="1"/>
    <col min="6429" max="6656" width="6.625" style="7"/>
    <col min="6657" max="6657" width="9" style="7" customWidth="1"/>
    <col min="6658" max="6658" width="7.5" style="7" customWidth="1"/>
    <col min="6659" max="6659" width="9.375" style="7" customWidth="1"/>
    <col min="6660" max="6661" width="7.5" style="7" customWidth="1"/>
    <col min="6662" max="6662" width="10.125" style="7" customWidth="1"/>
    <col min="6663" max="6663" width="13.625" style="7" customWidth="1"/>
    <col min="6664" max="6664" width="10.5" style="7" customWidth="1"/>
    <col min="6665" max="6665" width="7.5" style="7" customWidth="1"/>
    <col min="6666" max="6667" width="10.625" style="7" customWidth="1"/>
    <col min="6668" max="6668" width="9.5" style="7" customWidth="1"/>
    <col min="6669" max="6669" width="12.875" style="7" customWidth="1"/>
    <col min="6670" max="6673" width="10.625" style="7" customWidth="1"/>
    <col min="6674" max="6675" width="8.375" style="7" customWidth="1"/>
    <col min="6676" max="6676" width="17.375" style="7" customWidth="1"/>
    <col min="6677" max="6677" width="5.625" style="7" customWidth="1"/>
    <col min="6678" max="6678" width="7.5" style="7" customWidth="1"/>
    <col min="6679" max="6679" width="5.625" style="7" customWidth="1"/>
    <col min="6680" max="6680" width="9" style="7" customWidth="1"/>
    <col min="6681" max="6681" width="9.375" style="7" customWidth="1"/>
    <col min="6682" max="6682" width="9.625" style="7" customWidth="1"/>
    <col min="6683" max="6683" width="7.625" style="7" customWidth="1"/>
    <col min="6684" max="6684" width="9.375" style="7" customWidth="1"/>
    <col min="6685" max="6912" width="6.625" style="7"/>
    <col min="6913" max="6913" width="9" style="7" customWidth="1"/>
    <col min="6914" max="6914" width="7.5" style="7" customWidth="1"/>
    <col min="6915" max="6915" width="9.375" style="7" customWidth="1"/>
    <col min="6916" max="6917" width="7.5" style="7" customWidth="1"/>
    <col min="6918" max="6918" width="10.125" style="7" customWidth="1"/>
    <col min="6919" max="6919" width="13.625" style="7" customWidth="1"/>
    <col min="6920" max="6920" width="10.5" style="7" customWidth="1"/>
    <col min="6921" max="6921" width="7.5" style="7" customWidth="1"/>
    <col min="6922" max="6923" width="10.625" style="7" customWidth="1"/>
    <col min="6924" max="6924" width="9.5" style="7" customWidth="1"/>
    <col min="6925" max="6925" width="12.875" style="7" customWidth="1"/>
    <col min="6926" max="6929" width="10.625" style="7" customWidth="1"/>
    <col min="6930" max="6931" width="8.375" style="7" customWidth="1"/>
    <col min="6932" max="6932" width="17.375" style="7" customWidth="1"/>
    <col min="6933" max="6933" width="5.625" style="7" customWidth="1"/>
    <col min="6934" max="6934" width="7.5" style="7" customWidth="1"/>
    <col min="6935" max="6935" width="5.625" style="7" customWidth="1"/>
    <col min="6936" max="6936" width="9" style="7" customWidth="1"/>
    <col min="6937" max="6937" width="9.375" style="7" customWidth="1"/>
    <col min="6938" max="6938" width="9.625" style="7" customWidth="1"/>
    <col min="6939" max="6939" width="7.625" style="7" customWidth="1"/>
    <col min="6940" max="6940" width="9.375" style="7" customWidth="1"/>
    <col min="6941" max="7168" width="6.625" style="7"/>
    <col min="7169" max="7169" width="9" style="7" customWidth="1"/>
    <col min="7170" max="7170" width="7.5" style="7" customWidth="1"/>
    <col min="7171" max="7171" width="9.375" style="7" customWidth="1"/>
    <col min="7172" max="7173" width="7.5" style="7" customWidth="1"/>
    <col min="7174" max="7174" width="10.125" style="7" customWidth="1"/>
    <col min="7175" max="7175" width="13.625" style="7" customWidth="1"/>
    <col min="7176" max="7176" width="10.5" style="7" customWidth="1"/>
    <col min="7177" max="7177" width="7.5" style="7" customWidth="1"/>
    <col min="7178" max="7179" width="10.625" style="7" customWidth="1"/>
    <col min="7180" max="7180" width="9.5" style="7" customWidth="1"/>
    <col min="7181" max="7181" width="12.875" style="7" customWidth="1"/>
    <col min="7182" max="7185" width="10.625" style="7" customWidth="1"/>
    <col min="7186" max="7187" width="8.375" style="7" customWidth="1"/>
    <col min="7188" max="7188" width="17.375" style="7" customWidth="1"/>
    <col min="7189" max="7189" width="5.625" style="7" customWidth="1"/>
    <col min="7190" max="7190" width="7.5" style="7" customWidth="1"/>
    <col min="7191" max="7191" width="5.625" style="7" customWidth="1"/>
    <col min="7192" max="7192" width="9" style="7" customWidth="1"/>
    <col min="7193" max="7193" width="9.375" style="7" customWidth="1"/>
    <col min="7194" max="7194" width="9.625" style="7" customWidth="1"/>
    <col min="7195" max="7195" width="7.625" style="7" customWidth="1"/>
    <col min="7196" max="7196" width="9.375" style="7" customWidth="1"/>
    <col min="7197" max="7424" width="6.625" style="7"/>
    <col min="7425" max="7425" width="9" style="7" customWidth="1"/>
    <col min="7426" max="7426" width="7.5" style="7" customWidth="1"/>
    <col min="7427" max="7427" width="9.375" style="7" customWidth="1"/>
    <col min="7428" max="7429" width="7.5" style="7" customWidth="1"/>
    <col min="7430" max="7430" width="10.125" style="7" customWidth="1"/>
    <col min="7431" max="7431" width="13.625" style="7" customWidth="1"/>
    <col min="7432" max="7432" width="10.5" style="7" customWidth="1"/>
    <col min="7433" max="7433" width="7.5" style="7" customWidth="1"/>
    <col min="7434" max="7435" width="10.625" style="7" customWidth="1"/>
    <col min="7436" max="7436" width="9.5" style="7" customWidth="1"/>
    <col min="7437" max="7437" width="12.875" style="7" customWidth="1"/>
    <col min="7438" max="7441" width="10.625" style="7" customWidth="1"/>
    <col min="7442" max="7443" width="8.375" style="7" customWidth="1"/>
    <col min="7444" max="7444" width="17.375" style="7" customWidth="1"/>
    <col min="7445" max="7445" width="5.625" style="7" customWidth="1"/>
    <col min="7446" max="7446" width="7.5" style="7" customWidth="1"/>
    <col min="7447" max="7447" width="5.625" style="7" customWidth="1"/>
    <col min="7448" max="7448" width="9" style="7" customWidth="1"/>
    <col min="7449" max="7449" width="9.375" style="7" customWidth="1"/>
    <col min="7450" max="7450" width="9.625" style="7" customWidth="1"/>
    <col min="7451" max="7451" width="7.625" style="7" customWidth="1"/>
    <col min="7452" max="7452" width="9.375" style="7" customWidth="1"/>
    <col min="7453" max="7680" width="6.625" style="7"/>
    <col min="7681" max="7681" width="9" style="7" customWidth="1"/>
    <col min="7682" max="7682" width="7.5" style="7" customWidth="1"/>
    <col min="7683" max="7683" width="9.375" style="7" customWidth="1"/>
    <col min="7684" max="7685" width="7.5" style="7" customWidth="1"/>
    <col min="7686" max="7686" width="10.125" style="7" customWidth="1"/>
    <col min="7687" max="7687" width="13.625" style="7" customWidth="1"/>
    <col min="7688" max="7688" width="10.5" style="7" customWidth="1"/>
    <col min="7689" max="7689" width="7.5" style="7" customWidth="1"/>
    <col min="7690" max="7691" width="10.625" style="7" customWidth="1"/>
    <col min="7692" max="7692" width="9.5" style="7" customWidth="1"/>
    <col min="7693" max="7693" width="12.875" style="7" customWidth="1"/>
    <col min="7694" max="7697" width="10.625" style="7" customWidth="1"/>
    <col min="7698" max="7699" width="8.375" style="7" customWidth="1"/>
    <col min="7700" max="7700" width="17.375" style="7" customWidth="1"/>
    <col min="7701" max="7701" width="5.625" style="7" customWidth="1"/>
    <col min="7702" max="7702" width="7.5" style="7" customWidth="1"/>
    <col min="7703" max="7703" width="5.625" style="7" customWidth="1"/>
    <col min="7704" max="7704" width="9" style="7" customWidth="1"/>
    <col min="7705" max="7705" width="9.375" style="7" customWidth="1"/>
    <col min="7706" max="7706" width="9.625" style="7" customWidth="1"/>
    <col min="7707" max="7707" width="7.625" style="7" customWidth="1"/>
    <col min="7708" max="7708" width="9.375" style="7" customWidth="1"/>
    <col min="7709" max="7936" width="6.625" style="7"/>
    <col min="7937" max="7937" width="9" style="7" customWidth="1"/>
    <col min="7938" max="7938" width="7.5" style="7" customWidth="1"/>
    <col min="7939" max="7939" width="9.375" style="7" customWidth="1"/>
    <col min="7940" max="7941" width="7.5" style="7" customWidth="1"/>
    <col min="7942" max="7942" width="10.125" style="7" customWidth="1"/>
    <col min="7943" max="7943" width="13.625" style="7" customWidth="1"/>
    <col min="7944" max="7944" width="10.5" style="7" customWidth="1"/>
    <col min="7945" max="7945" width="7.5" style="7" customWidth="1"/>
    <col min="7946" max="7947" width="10.625" style="7" customWidth="1"/>
    <col min="7948" max="7948" width="9.5" style="7" customWidth="1"/>
    <col min="7949" max="7949" width="12.875" style="7" customWidth="1"/>
    <col min="7950" max="7953" width="10.625" style="7" customWidth="1"/>
    <col min="7954" max="7955" width="8.375" style="7" customWidth="1"/>
    <col min="7956" max="7956" width="17.375" style="7" customWidth="1"/>
    <col min="7957" max="7957" width="5.625" style="7" customWidth="1"/>
    <col min="7958" max="7958" width="7.5" style="7" customWidth="1"/>
    <col min="7959" max="7959" width="5.625" style="7" customWidth="1"/>
    <col min="7960" max="7960" width="9" style="7" customWidth="1"/>
    <col min="7961" max="7961" width="9.375" style="7" customWidth="1"/>
    <col min="7962" max="7962" width="9.625" style="7" customWidth="1"/>
    <col min="7963" max="7963" width="7.625" style="7" customWidth="1"/>
    <col min="7964" max="7964" width="9.375" style="7" customWidth="1"/>
    <col min="7965" max="8192" width="6.625" style="7"/>
    <col min="8193" max="8193" width="9" style="7" customWidth="1"/>
    <col min="8194" max="8194" width="7.5" style="7" customWidth="1"/>
    <col min="8195" max="8195" width="9.375" style="7" customWidth="1"/>
    <col min="8196" max="8197" width="7.5" style="7" customWidth="1"/>
    <col min="8198" max="8198" width="10.125" style="7" customWidth="1"/>
    <col min="8199" max="8199" width="13.625" style="7" customWidth="1"/>
    <col min="8200" max="8200" width="10.5" style="7" customWidth="1"/>
    <col min="8201" max="8201" width="7.5" style="7" customWidth="1"/>
    <col min="8202" max="8203" width="10.625" style="7" customWidth="1"/>
    <col min="8204" max="8204" width="9.5" style="7" customWidth="1"/>
    <col min="8205" max="8205" width="12.875" style="7" customWidth="1"/>
    <col min="8206" max="8209" width="10.625" style="7" customWidth="1"/>
    <col min="8210" max="8211" width="8.375" style="7" customWidth="1"/>
    <col min="8212" max="8212" width="17.375" style="7" customWidth="1"/>
    <col min="8213" max="8213" width="5.625" style="7" customWidth="1"/>
    <col min="8214" max="8214" width="7.5" style="7" customWidth="1"/>
    <col min="8215" max="8215" width="5.625" style="7" customWidth="1"/>
    <col min="8216" max="8216" width="9" style="7" customWidth="1"/>
    <col min="8217" max="8217" width="9.375" style="7" customWidth="1"/>
    <col min="8218" max="8218" width="9.625" style="7" customWidth="1"/>
    <col min="8219" max="8219" width="7.625" style="7" customWidth="1"/>
    <col min="8220" max="8220" width="9.375" style="7" customWidth="1"/>
    <col min="8221" max="8448" width="6.625" style="7"/>
    <col min="8449" max="8449" width="9" style="7" customWidth="1"/>
    <col min="8450" max="8450" width="7.5" style="7" customWidth="1"/>
    <col min="8451" max="8451" width="9.375" style="7" customWidth="1"/>
    <col min="8452" max="8453" width="7.5" style="7" customWidth="1"/>
    <col min="8454" max="8454" width="10.125" style="7" customWidth="1"/>
    <col min="8455" max="8455" width="13.625" style="7" customWidth="1"/>
    <col min="8456" max="8456" width="10.5" style="7" customWidth="1"/>
    <col min="8457" max="8457" width="7.5" style="7" customWidth="1"/>
    <col min="8458" max="8459" width="10.625" style="7" customWidth="1"/>
    <col min="8460" max="8460" width="9.5" style="7" customWidth="1"/>
    <col min="8461" max="8461" width="12.875" style="7" customWidth="1"/>
    <col min="8462" max="8465" width="10.625" style="7" customWidth="1"/>
    <col min="8466" max="8467" width="8.375" style="7" customWidth="1"/>
    <col min="8468" max="8468" width="17.375" style="7" customWidth="1"/>
    <col min="8469" max="8469" width="5.625" style="7" customWidth="1"/>
    <col min="8470" max="8470" width="7.5" style="7" customWidth="1"/>
    <col min="8471" max="8471" width="5.625" style="7" customWidth="1"/>
    <col min="8472" max="8472" width="9" style="7" customWidth="1"/>
    <col min="8473" max="8473" width="9.375" style="7" customWidth="1"/>
    <col min="8474" max="8474" width="9.625" style="7" customWidth="1"/>
    <col min="8475" max="8475" width="7.625" style="7" customWidth="1"/>
    <col min="8476" max="8476" width="9.375" style="7" customWidth="1"/>
    <col min="8477" max="8704" width="6.625" style="7"/>
    <col min="8705" max="8705" width="9" style="7" customWidth="1"/>
    <col min="8706" max="8706" width="7.5" style="7" customWidth="1"/>
    <col min="8707" max="8707" width="9.375" style="7" customWidth="1"/>
    <col min="8708" max="8709" width="7.5" style="7" customWidth="1"/>
    <col min="8710" max="8710" width="10.125" style="7" customWidth="1"/>
    <col min="8711" max="8711" width="13.625" style="7" customWidth="1"/>
    <col min="8712" max="8712" width="10.5" style="7" customWidth="1"/>
    <col min="8713" max="8713" width="7.5" style="7" customWidth="1"/>
    <col min="8714" max="8715" width="10.625" style="7" customWidth="1"/>
    <col min="8716" max="8716" width="9.5" style="7" customWidth="1"/>
    <col min="8717" max="8717" width="12.875" style="7" customWidth="1"/>
    <col min="8718" max="8721" width="10.625" style="7" customWidth="1"/>
    <col min="8722" max="8723" width="8.375" style="7" customWidth="1"/>
    <col min="8724" max="8724" width="17.375" style="7" customWidth="1"/>
    <col min="8725" max="8725" width="5.625" style="7" customWidth="1"/>
    <col min="8726" max="8726" width="7.5" style="7" customWidth="1"/>
    <col min="8727" max="8727" width="5.625" style="7" customWidth="1"/>
    <col min="8728" max="8728" width="9" style="7" customWidth="1"/>
    <col min="8729" max="8729" width="9.375" style="7" customWidth="1"/>
    <col min="8730" max="8730" width="9.625" style="7" customWidth="1"/>
    <col min="8731" max="8731" width="7.625" style="7" customWidth="1"/>
    <col min="8732" max="8732" width="9.375" style="7" customWidth="1"/>
    <col min="8733" max="8960" width="6.625" style="7"/>
    <col min="8961" max="8961" width="9" style="7" customWidth="1"/>
    <col min="8962" max="8962" width="7.5" style="7" customWidth="1"/>
    <col min="8963" max="8963" width="9.375" style="7" customWidth="1"/>
    <col min="8964" max="8965" width="7.5" style="7" customWidth="1"/>
    <col min="8966" max="8966" width="10.125" style="7" customWidth="1"/>
    <col min="8967" max="8967" width="13.625" style="7" customWidth="1"/>
    <col min="8968" max="8968" width="10.5" style="7" customWidth="1"/>
    <col min="8969" max="8969" width="7.5" style="7" customWidth="1"/>
    <col min="8970" max="8971" width="10.625" style="7" customWidth="1"/>
    <col min="8972" max="8972" width="9.5" style="7" customWidth="1"/>
    <col min="8973" max="8973" width="12.875" style="7" customWidth="1"/>
    <col min="8974" max="8977" width="10.625" style="7" customWidth="1"/>
    <col min="8978" max="8979" width="8.375" style="7" customWidth="1"/>
    <col min="8980" max="8980" width="17.375" style="7" customWidth="1"/>
    <col min="8981" max="8981" width="5.625" style="7" customWidth="1"/>
    <col min="8982" max="8982" width="7.5" style="7" customWidth="1"/>
    <col min="8983" max="8983" width="5.625" style="7" customWidth="1"/>
    <col min="8984" max="8984" width="9" style="7" customWidth="1"/>
    <col min="8985" max="8985" width="9.375" style="7" customWidth="1"/>
    <col min="8986" max="8986" width="9.625" style="7" customWidth="1"/>
    <col min="8987" max="8987" width="7.625" style="7" customWidth="1"/>
    <col min="8988" max="8988" width="9.375" style="7" customWidth="1"/>
    <col min="8989" max="9216" width="6.625" style="7"/>
    <col min="9217" max="9217" width="9" style="7" customWidth="1"/>
    <col min="9218" max="9218" width="7.5" style="7" customWidth="1"/>
    <col min="9219" max="9219" width="9.375" style="7" customWidth="1"/>
    <col min="9220" max="9221" width="7.5" style="7" customWidth="1"/>
    <col min="9222" max="9222" width="10.125" style="7" customWidth="1"/>
    <col min="9223" max="9223" width="13.625" style="7" customWidth="1"/>
    <col min="9224" max="9224" width="10.5" style="7" customWidth="1"/>
    <col min="9225" max="9225" width="7.5" style="7" customWidth="1"/>
    <col min="9226" max="9227" width="10.625" style="7" customWidth="1"/>
    <col min="9228" max="9228" width="9.5" style="7" customWidth="1"/>
    <col min="9229" max="9229" width="12.875" style="7" customWidth="1"/>
    <col min="9230" max="9233" width="10.625" style="7" customWidth="1"/>
    <col min="9234" max="9235" width="8.375" style="7" customWidth="1"/>
    <col min="9236" max="9236" width="17.375" style="7" customWidth="1"/>
    <col min="9237" max="9237" width="5.625" style="7" customWidth="1"/>
    <col min="9238" max="9238" width="7.5" style="7" customWidth="1"/>
    <col min="9239" max="9239" width="5.625" style="7" customWidth="1"/>
    <col min="9240" max="9240" width="9" style="7" customWidth="1"/>
    <col min="9241" max="9241" width="9.375" style="7" customWidth="1"/>
    <col min="9242" max="9242" width="9.625" style="7" customWidth="1"/>
    <col min="9243" max="9243" width="7.625" style="7" customWidth="1"/>
    <col min="9244" max="9244" width="9.375" style="7" customWidth="1"/>
    <col min="9245" max="9472" width="6.625" style="7"/>
    <col min="9473" max="9473" width="9" style="7" customWidth="1"/>
    <col min="9474" max="9474" width="7.5" style="7" customWidth="1"/>
    <col min="9475" max="9475" width="9.375" style="7" customWidth="1"/>
    <col min="9476" max="9477" width="7.5" style="7" customWidth="1"/>
    <col min="9478" max="9478" width="10.125" style="7" customWidth="1"/>
    <col min="9479" max="9479" width="13.625" style="7" customWidth="1"/>
    <col min="9480" max="9480" width="10.5" style="7" customWidth="1"/>
    <col min="9481" max="9481" width="7.5" style="7" customWidth="1"/>
    <col min="9482" max="9483" width="10.625" style="7" customWidth="1"/>
    <col min="9484" max="9484" width="9.5" style="7" customWidth="1"/>
    <col min="9485" max="9485" width="12.875" style="7" customWidth="1"/>
    <col min="9486" max="9489" width="10.625" style="7" customWidth="1"/>
    <col min="9490" max="9491" width="8.375" style="7" customWidth="1"/>
    <col min="9492" max="9492" width="17.375" style="7" customWidth="1"/>
    <col min="9493" max="9493" width="5.625" style="7" customWidth="1"/>
    <col min="9494" max="9494" width="7.5" style="7" customWidth="1"/>
    <col min="9495" max="9495" width="5.625" style="7" customWidth="1"/>
    <col min="9496" max="9496" width="9" style="7" customWidth="1"/>
    <col min="9497" max="9497" width="9.375" style="7" customWidth="1"/>
    <col min="9498" max="9498" width="9.625" style="7" customWidth="1"/>
    <col min="9499" max="9499" width="7.625" style="7" customWidth="1"/>
    <col min="9500" max="9500" width="9.375" style="7" customWidth="1"/>
    <col min="9501" max="9728" width="6.625" style="7"/>
    <col min="9729" max="9729" width="9" style="7" customWidth="1"/>
    <col min="9730" max="9730" width="7.5" style="7" customWidth="1"/>
    <col min="9731" max="9731" width="9.375" style="7" customWidth="1"/>
    <col min="9732" max="9733" width="7.5" style="7" customWidth="1"/>
    <col min="9734" max="9734" width="10.125" style="7" customWidth="1"/>
    <col min="9735" max="9735" width="13.625" style="7" customWidth="1"/>
    <col min="9736" max="9736" width="10.5" style="7" customWidth="1"/>
    <col min="9737" max="9737" width="7.5" style="7" customWidth="1"/>
    <col min="9738" max="9739" width="10.625" style="7" customWidth="1"/>
    <col min="9740" max="9740" width="9.5" style="7" customWidth="1"/>
    <col min="9741" max="9741" width="12.875" style="7" customWidth="1"/>
    <col min="9742" max="9745" width="10.625" style="7" customWidth="1"/>
    <col min="9746" max="9747" width="8.375" style="7" customWidth="1"/>
    <col min="9748" max="9748" width="17.375" style="7" customWidth="1"/>
    <col min="9749" max="9749" width="5.625" style="7" customWidth="1"/>
    <col min="9750" max="9750" width="7.5" style="7" customWidth="1"/>
    <col min="9751" max="9751" width="5.625" style="7" customWidth="1"/>
    <col min="9752" max="9752" width="9" style="7" customWidth="1"/>
    <col min="9753" max="9753" width="9.375" style="7" customWidth="1"/>
    <col min="9754" max="9754" width="9.625" style="7" customWidth="1"/>
    <col min="9755" max="9755" width="7.625" style="7" customWidth="1"/>
    <col min="9756" max="9756" width="9.375" style="7" customWidth="1"/>
    <col min="9757" max="9984" width="6.625" style="7"/>
    <col min="9985" max="9985" width="9" style="7" customWidth="1"/>
    <col min="9986" max="9986" width="7.5" style="7" customWidth="1"/>
    <col min="9987" max="9987" width="9.375" style="7" customWidth="1"/>
    <col min="9988" max="9989" width="7.5" style="7" customWidth="1"/>
    <col min="9990" max="9990" width="10.125" style="7" customWidth="1"/>
    <col min="9991" max="9991" width="13.625" style="7" customWidth="1"/>
    <col min="9992" max="9992" width="10.5" style="7" customWidth="1"/>
    <col min="9993" max="9993" width="7.5" style="7" customWidth="1"/>
    <col min="9994" max="9995" width="10.625" style="7" customWidth="1"/>
    <col min="9996" max="9996" width="9.5" style="7" customWidth="1"/>
    <col min="9997" max="9997" width="12.875" style="7" customWidth="1"/>
    <col min="9998" max="10001" width="10.625" style="7" customWidth="1"/>
    <col min="10002" max="10003" width="8.375" style="7" customWidth="1"/>
    <col min="10004" max="10004" width="17.375" style="7" customWidth="1"/>
    <col min="10005" max="10005" width="5.625" style="7" customWidth="1"/>
    <col min="10006" max="10006" width="7.5" style="7" customWidth="1"/>
    <col min="10007" max="10007" width="5.625" style="7" customWidth="1"/>
    <col min="10008" max="10008" width="9" style="7" customWidth="1"/>
    <col min="10009" max="10009" width="9.375" style="7" customWidth="1"/>
    <col min="10010" max="10010" width="9.625" style="7" customWidth="1"/>
    <col min="10011" max="10011" width="7.625" style="7" customWidth="1"/>
    <col min="10012" max="10012" width="9.375" style="7" customWidth="1"/>
    <col min="10013" max="10240" width="6.625" style="7"/>
    <col min="10241" max="10241" width="9" style="7" customWidth="1"/>
    <col min="10242" max="10242" width="7.5" style="7" customWidth="1"/>
    <col min="10243" max="10243" width="9.375" style="7" customWidth="1"/>
    <col min="10244" max="10245" width="7.5" style="7" customWidth="1"/>
    <col min="10246" max="10246" width="10.125" style="7" customWidth="1"/>
    <col min="10247" max="10247" width="13.625" style="7" customWidth="1"/>
    <col min="10248" max="10248" width="10.5" style="7" customWidth="1"/>
    <col min="10249" max="10249" width="7.5" style="7" customWidth="1"/>
    <col min="10250" max="10251" width="10.625" style="7" customWidth="1"/>
    <col min="10252" max="10252" width="9.5" style="7" customWidth="1"/>
    <col min="10253" max="10253" width="12.875" style="7" customWidth="1"/>
    <col min="10254" max="10257" width="10.625" style="7" customWidth="1"/>
    <col min="10258" max="10259" width="8.375" style="7" customWidth="1"/>
    <col min="10260" max="10260" width="17.375" style="7" customWidth="1"/>
    <col min="10261" max="10261" width="5.625" style="7" customWidth="1"/>
    <col min="10262" max="10262" width="7.5" style="7" customWidth="1"/>
    <col min="10263" max="10263" width="5.625" style="7" customWidth="1"/>
    <col min="10264" max="10264" width="9" style="7" customWidth="1"/>
    <col min="10265" max="10265" width="9.375" style="7" customWidth="1"/>
    <col min="10266" max="10266" width="9.625" style="7" customWidth="1"/>
    <col min="10267" max="10267" width="7.625" style="7" customWidth="1"/>
    <col min="10268" max="10268" width="9.375" style="7" customWidth="1"/>
    <col min="10269" max="10496" width="6.625" style="7"/>
    <col min="10497" max="10497" width="9" style="7" customWidth="1"/>
    <col min="10498" max="10498" width="7.5" style="7" customWidth="1"/>
    <col min="10499" max="10499" width="9.375" style="7" customWidth="1"/>
    <col min="10500" max="10501" width="7.5" style="7" customWidth="1"/>
    <col min="10502" max="10502" width="10.125" style="7" customWidth="1"/>
    <col min="10503" max="10503" width="13.625" style="7" customWidth="1"/>
    <col min="10504" max="10504" width="10.5" style="7" customWidth="1"/>
    <col min="10505" max="10505" width="7.5" style="7" customWidth="1"/>
    <col min="10506" max="10507" width="10.625" style="7" customWidth="1"/>
    <col min="10508" max="10508" width="9.5" style="7" customWidth="1"/>
    <col min="10509" max="10509" width="12.875" style="7" customWidth="1"/>
    <col min="10510" max="10513" width="10.625" style="7" customWidth="1"/>
    <col min="10514" max="10515" width="8.375" style="7" customWidth="1"/>
    <col min="10516" max="10516" width="17.375" style="7" customWidth="1"/>
    <col min="10517" max="10517" width="5.625" style="7" customWidth="1"/>
    <col min="10518" max="10518" width="7.5" style="7" customWidth="1"/>
    <col min="10519" max="10519" width="5.625" style="7" customWidth="1"/>
    <col min="10520" max="10520" width="9" style="7" customWidth="1"/>
    <col min="10521" max="10521" width="9.375" style="7" customWidth="1"/>
    <col min="10522" max="10522" width="9.625" style="7" customWidth="1"/>
    <col min="10523" max="10523" width="7.625" style="7" customWidth="1"/>
    <col min="10524" max="10524" width="9.375" style="7" customWidth="1"/>
    <col min="10525" max="10752" width="6.625" style="7"/>
    <col min="10753" max="10753" width="9" style="7" customWidth="1"/>
    <col min="10754" max="10754" width="7.5" style="7" customWidth="1"/>
    <col min="10755" max="10755" width="9.375" style="7" customWidth="1"/>
    <col min="10756" max="10757" width="7.5" style="7" customWidth="1"/>
    <col min="10758" max="10758" width="10.125" style="7" customWidth="1"/>
    <col min="10759" max="10759" width="13.625" style="7" customWidth="1"/>
    <col min="10760" max="10760" width="10.5" style="7" customWidth="1"/>
    <col min="10761" max="10761" width="7.5" style="7" customWidth="1"/>
    <col min="10762" max="10763" width="10.625" style="7" customWidth="1"/>
    <col min="10764" max="10764" width="9.5" style="7" customWidth="1"/>
    <col min="10765" max="10765" width="12.875" style="7" customWidth="1"/>
    <col min="10766" max="10769" width="10.625" style="7" customWidth="1"/>
    <col min="10770" max="10771" width="8.375" style="7" customWidth="1"/>
    <col min="10772" max="10772" width="17.375" style="7" customWidth="1"/>
    <col min="10773" max="10773" width="5.625" style="7" customWidth="1"/>
    <col min="10774" max="10774" width="7.5" style="7" customWidth="1"/>
    <col min="10775" max="10775" width="5.625" style="7" customWidth="1"/>
    <col min="10776" max="10776" width="9" style="7" customWidth="1"/>
    <col min="10777" max="10777" width="9.375" style="7" customWidth="1"/>
    <col min="10778" max="10778" width="9.625" style="7" customWidth="1"/>
    <col min="10779" max="10779" width="7.625" style="7" customWidth="1"/>
    <col min="10780" max="10780" width="9.375" style="7" customWidth="1"/>
    <col min="10781" max="11008" width="6.625" style="7"/>
    <col min="11009" max="11009" width="9" style="7" customWidth="1"/>
    <col min="11010" max="11010" width="7.5" style="7" customWidth="1"/>
    <col min="11011" max="11011" width="9.375" style="7" customWidth="1"/>
    <col min="11012" max="11013" width="7.5" style="7" customWidth="1"/>
    <col min="11014" max="11014" width="10.125" style="7" customWidth="1"/>
    <col min="11015" max="11015" width="13.625" style="7" customWidth="1"/>
    <col min="11016" max="11016" width="10.5" style="7" customWidth="1"/>
    <col min="11017" max="11017" width="7.5" style="7" customWidth="1"/>
    <col min="11018" max="11019" width="10.625" style="7" customWidth="1"/>
    <col min="11020" max="11020" width="9.5" style="7" customWidth="1"/>
    <col min="11021" max="11021" width="12.875" style="7" customWidth="1"/>
    <col min="11022" max="11025" width="10.625" style="7" customWidth="1"/>
    <col min="11026" max="11027" width="8.375" style="7" customWidth="1"/>
    <col min="11028" max="11028" width="17.375" style="7" customWidth="1"/>
    <col min="11029" max="11029" width="5.625" style="7" customWidth="1"/>
    <col min="11030" max="11030" width="7.5" style="7" customWidth="1"/>
    <col min="11031" max="11031" width="5.625" style="7" customWidth="1"/>
    <col min="11032" max="11032" width="9" style="7" customWidth="1"/>
    <col min="11033" max="11033" width="9.375" style="7" customWidth="1"/>
    <col min="11034" max="11034" width="9.625" style="7" customWidth="1"/>
    <col min="11035" max="11035" width="7.625" style="7" customWidth="1"/>
    <col min="11036" max="11036" width="9.375" style="7" customWidth="1"/>
    <col min="11037" max="11264" width="6.625" style="7"/>
    <col min="11265" max="11265" width="9" style="7" customWidth="1"/>
    <col min="11266" max="11266" width="7.5" style="7" customWidth="1"/>
    <col min="11267" max="11267" width="9.375" style="7" customWidth="1"/>
    <col min="11268" max="11269" width="7.5" style="7" customWidth="1"/>
    <col min="11270" max="11270" width="10.125" style="7" customWidth="1"/>
    <col min="11271" max="11271" width="13.625" style="7" customWidth="1"/>
    <col min="11272" max="11272" width="10.5" style="7" customWidth="1"/>
    <col min="11273" max="11273" width="7.5" style="7" customWidth="1"/>
    <col min="11274" max="11275" width="10.625" style="7" customWidth="1"/>
    <col min="11276" max="11276" width="9.5" style="7" customWidth="1"/>
    <col min="11277" max="11277" width="12.875" style="7" customWidth="1"/>
    <col min="11278" max="11281" width="10.625" style="7" customWidth="1"/>
    <col min="11282" max="11283" width="8.375" style="7" customWidth="1"/>
    <col min="11284" max="11284" width="17.375" style="7" customWidth="1"/>
    <col min="11285" max="11285" width="5.625" style="7" customWidth="1"/>
    <col min="11286" max="11286" width="7.5" style="7" customWidth="1"/>
    <col min="11287" max="11287" width="5.625" style="7" customWidth="1"/>
    <col min="11288" max="11288" width="9" style="7" customWidth="1"/>
    <col min="11289" max="11289" width="9.375" style="7" customWidth="1"/>
    <col min="11290" max="11290" width="9.625" style="7" customWidth="1"/>
    <col min="11291" max="11291" width="7.625" style="7" customWidth="1"/>
    <col min="11292" max="11292" width="9.375" style="7" customWidth="1"/>
    <col min="11293" max="11520" width="6.625" style="7"/>
    <col min="11521" max="11521" width="9" style="7" customWidth="1"/>
    <col min="11522" max="11522" width="7.5" style="7" customWidth="1"/>
    <col min="11523" max="11523" width="9.375" style="7" customWidth="1"/>
    <col min="11524" max="11525" width="7.5" style="7" customWidth="1"/>
    <col min="11526" max="11526" width="10.125" style="7" customWidth="1"/>
    <col min="11527" max="11527" width="13.625" style="7" customWidth="1"/>
    <col min="11528" max="11528" width="10.5" style="7" customWidth="1"/>
    <col min="11529" max="11529" width="7.5" style="7" customWidth="1"/>
    <col min="11530" max="11531" width="10.625" style="7" customWidth="1"/>
    <col min="11532" max="11532" width="9.5" style="7" customWidth="1"/>
    <col min="11533" max="11533" width="12.875" style="7" customWidth="1"/>
    <col min="11534" max="11537" width="10.625" style="7" customWidth="1"/>
    <col min="11538" max="11539" width="8.375" style="7" customWidth="1"/>
    <col min="11540" max="11540" width="17.375" style="7" customWidth="1"/>
    <col min="11541" max="11541" width="5.625" style="7" customWidth="1"/>
    <col min="11542" max="11542" width="7.5" style="7" customWidth="1"/>
    <col min="11543" max="11543" width="5.625" style="7" customWidth="1"/>
    <col min="11544" max="11544" width="9" style="7" customWidth="1"/>
    <col min="11545" max="11545" width="9.375" style="7" customWidth="1"/>
    <col min="11546" max="11546" width="9.625" style="7" customWidth="1"/>
    <col min="11547" max="11547" width="7.625" style="7" customWidth="1"/>
    <col min="11548" max="11548" width="9.375" style="7" customWidth="1"/>
    <col min="11549" max="11776" width="6.625" style="7"/>
    <col min="11777" max="11777" width="9" style="7" customWidth="1"/>
    <col min="11778" max="11778" width="7.5" style="7" customWidth="1"/>
    <col min="11779" max="11779" width="9.375" style="7" customWidth="1"/>
    <col min="11780" max="11781" width="7.5" style="7" customWidth="1"/>
    <col min="11782" max="11782" width="10.125" style="7" customWidth="1"/>
    <col min="11783" max="11783" width="13.625" style="7" customWidth="1"/>
    <col min="11784" max="11784" width="10.5" style="7" customWidth="1"/>
    <col min="11785" max="11785" width="7.5" style="7" customWidth="1"/>
    <col min="11786" max="11787" width="10.625" style="7" customWidth="1"/>
    <col min="11788" max="11788" width="9.5" style="7" customWidth="1"/>
    <col min="11789" max="11789" width="12.875" style="7" customWidth="1"/>
    <col min="11790" max="11793" width="10.625" style="7" customWidth="1"/>
    <col min="11794" max="11795" width="8.375" style="7" customWidth="1"/>
    <col min="11796" max="11796" width="17.375" style="7" customWidth="1"/>
    <col min="11797" max="11797" width="5.625" style="7" customWidth="1"/>
    <col min="11798" max="11798" width="7.5" style="7" customWidth="1"/>
    <col min="11799" max="11799" width="5.625" style="7" customWidth="1"/>
    <col min="11800" max="11800" width="9" style="7" customWidth="1"/>
    <col min="11801" max="11801" width="9.375" style="7" customWidth="1"/>
    <col min="11802" max="11802" width="9.625" style="7" customWidth="1"/>
    <col min="11803" max="11803" width="7.625" style="7" customWidth="1"/>
    <col min="11804" max="11804" width="9.375" style="7" customWidth="1"/>
    <col min="11805" max="12032" width="6.625" style="7"/>
    <col min="12033" max="12033" width="9" style="7" customWidth="1"/>
    <col min="12034" max="12034" width="7.5" style="7" customWidth="1"/>
    <col min="12035" max="12035" width="9.375" style="7" customWidth="1"/>
    <col min="12036" max="12037" width="7.5" style="7" customWidth="1"/>
    <col min="12038" max="12038" width="10.125" style="7" customWidth="1"/>
    <col min="12039" max="12039" width="13.625" style="7" customWidth="1"/>
    <col min="12040" max="12040" width="10.5" style="7" customWidth="1"/>
    <col min="12041" max="12041" width="7.5" style="7" customWidth="1"/>
    <col min="12042" max="12043" width="10.625" style="7" customWidth="1"/>
    <col min="12044" max="12044" width="9.5" style="7" customWidth="1"/>
    <col min="12045" max="12045" width="12.875" style="7" customWidth="1"/>
    <col min="12046" max="12049" width="10.625" style="7" customWidth="1"/>
    <col min="12050" max="12051" width="8.375" style="7" customWidth="1"/>
    <col min="12052" max="12052" width="17.375" style="7" customWidth="1"/>
    <col min="12053" max="12053" width="5.625" style="7" customWidth="1"/>
    <col min="12054" max="12054" width="7.5" style="7" customWidth="1"/>
    <col min="12055" max="12055" width="5.625" style="7" customWidth="1"/>
    <col min="12056" max="12056" width="9" style="7" customWidth="1"/>
    <col min="12057" max="12057" width="9.375" style="7" customWidth="1"/>
    <col min="12058" max="12058" width="9.625" style="7" customWidth="1"/>
    <col min="12059" max="12059" width="7.625" style="7" customWidth="1"/>
    <col min="12060" max="12060" width="9.375" style="7" customWidth="1"/>
    <col min="12061" max="12288" width="6.625" style="7"/>
    <col min="12289" max="12289" width="9" style="7" customWidth="1"/>
    <col min="12290" max="12290" width="7.5" style="7" customWidth="1"/>
    <col min="12291" max="12291" width="9.375" style="7" customWidth="1"/>
    <col min="12292" max="12293" width="7.5" style="7" customWidth="1"/>
    <col min="12294" max="12294" width="10.125" style="7" customWidth="1"/>
    <col min="12295" max="12295" width="13.625" style="7" customWidth="1"/>
    <col min="12296" max="12296" width="10.5" style="7" customWidth="1"/>
    <col min="12297" max="12297" width="7.5" style="7" customWidth="1"/>
    <col min="12298" max="12299" width="10.625" style="7" customWidth="1"/>
    <col min="12300" max="12300" width="9.5" style="7" customWidth="1"/>
    <col min="12301" max="12301" width="12.875" style="7" customWidth="1"/>
    <col min="12302" max="12305" width="10.625" style="7" customWidth="1"/>
    <col min="12306" max="12307" width="8.375" style="7" customWidth="1"/>
    <col min="12308" max="12308" width="17.375" style="7" customWidth="1"/>
    <col min="12309" max="12309" width="5.625" style="7" customWidth="1"/>
    <col min="12310" max="12310" width="7.5" style="7" customWidth="1"/>
    <col min="12311" max="12311" width="5.625" style="7" customWidth="1"/>
    <col min="12312" max="12312" width="9" style="7" customWidth="1"/>
    <col min="12313" max="12313" width="9.375" style="7" customWidth="1"/>
    <col min="12314" max="12314" width="9.625" style="7" customWidth="1"/>
    <col min="12315" max="12315" width="7.625" style="7" customWidth="1"/>
    <col min="12316" max="12316" width="9.375" style="7" customWidth="1"/>
    <col min="12317" max="12544" width="6.625" style="7"/>
    <col min="12545" max="12545" width="9" style="7" customWidth="1"/>
    <col min="12546" max="12546" width="7.5" style="7" customWidth="1"/>
    <col min="12547" max="12547" width="9.375" style="7" customWidth="1"/>
    <col min="12548" max="12549" width="7.5" style="7" customWidth="1"/>
    <col min="12550" max="12550" width="10.125" style="7" customWidth="1"/>
    <col min="12551" max="12551" width="13.625" style="7" customWidth="1"/>
    <col min="12552" max="12552" width="10.5" style="7" customWidth="1"/>
    <col min="12553" max="12553" width="7.5" style="7" customWidth="1"/>
    <col min="12554" max="12555" width="10.625" style="7" customWidth="1"/>
    <col min="12556" max="12556" width="9.5" style="7" customWidth="1"/>
    <col min="12557" max="12557" width="12.875" style="7" customWidth="1"/>
    <col min="12558" max="12561" width="10.625" style="7" customWidth="1"/>
    <col min="12562" max="12563" width="8.375" style="7" customWidth="1"/>
    <col min="12564" max="12564" width="17.375" style="7" customWidth="1"/>
    <col min="12565" max="12565" width="5.625" style="7" customWidth="1"/>
    <col min="12566" max="12566" width="7.5" style="7" customWidth="1"/>
    <col min="12567" max="12567" width="5.625" style="7" customWidth="1"/>
    <col min="12568" max="12568" width="9" style="7" customWidth="1"/>
    <col min="12569" max="12569" width="9.375" style="7" customWidth="1"/>
    <col min="12570" max="12570" width="9.625" style="7" customWidth="1"/>
    <col min="12571" max="12571" width="7.625" style="7" customWidth="1"/>
    <col min="12572" max="12572" width="9.375" style="7" customWidth="1"/>
    <col min="12573" max="12800" width="6.625" style="7"/>
    <col min="12801" max="12801" width="9" style="7" customWidth="1"/>
    <col min="12802" max="12802" width="7.5" style="7" customWidth="1"/>
    <col min="12803" max="12803" width="9.375" style="7" customWidth="1"/>
    <col min="12804" max="12805" width="7.5" style="7" customWidth="1"/>
    <col min="12806" max="12806" width="10.125" style="7" customWidth="1"/>
    <col min="12807" max="12807" width="13.625" style="7" customWidth="1"/>
    <col min="12808" max="12808" width="10.5" style="7" customWidth="1"/>
    <col min="12809" max="12809" width="7.5" style="7" customWidth="1"/>
    <col min="12810" max="12811" width="10.625" style="7" customWidth="1"/>
    <col min="12812" max="12812" width="9.5" style="7" customWidth="1"/>
    <col min="12813" max="12813" width="12.875" style="7" customWidth="1"/>
    <col min="12814" max="12817" width="10.625" style="7" customWidth="1"/>
    <col min="12818" max="12819" width="8.375" style="7" customWidth="1"/>
    <col min="12820" max="12820" width="17.375" style="7" customWidth="1"/>
    <col min="12821" max="12821" width="5.625" style="7" customWidth="1"/>
    <col min="12822" max="12822" width="7.5" style="7" customWidth="1"/>
    <col min="12823" max="12823" width="5.625" style="7" customWidth="1"/>
    <col min="12824" max="12824" width="9" style="7" customWidth="1"/>
    <col min="12825" max="12825" width="9.375" style="7" customWidth="1"/>
    <col min="12826" max="12826" width="9.625" style="7" customWidth="1"/>
    <col min="12827" max="12827" width="7.625" style="7" customWidth="1"/>
    <col min="12828" max="12828" width="9.375" style="7" customWidth="1"/>
    <col min="12829" max="13056" width="6.625" style="7"/>
    <col min="13057" max="13057" width="9" style="7" customWidth="1"/>
    <col min="13058" max="13058" width="7.5" style="7" customWidth="1"/>
    <col min="13059" max="13059" width="9.375" style="7" customWidth="1"/>
    <col min="13060" max="13061" width="7.5" style="7" customWidth="1"/>
    <col min="13062" max="13062" width="10.125" style="7" customWidth="1"/>
    <col min="13063" max="13063" width="13.625" style="7" customWidth="1"/>
    <col min="13064" max="13064" width="10.5" style="7" customWidth="1"/>
    <col min="13065" max="13065" width="7.5" style="7" customWidth="1"/>
    <col min="13066" max="13067" width="10.625" style="7" customWidth="1"/>
    <col min="13068" max="13068" width="9.5" style="7" customWidth="1"/>
    <col min="13069" max="13069" width="12.875" style="7" customWidth="1"/>
    <col min="13070" max="13073" width="10.625" style="7" customWidth="1"/>
    <col min="13074" max="13075" width="8.375" style="7" customWidth="1"/>
    <col min="13076" max="13076" width="17.375" style="7" customWidth="1"/>
    <col min="13077" max="13077" width="5.625" style="7" customWidth="1"/>
    <col min="13078" max="13078" width="7.5" style="7" customWidth="1"/>
    <col min="13079" max="13079" width="5.625" style="7" customWidth="1"/>
    <col min="13080" max="13080" width="9" style="7" customWidth="1"/>
    <col min="13081" max="13081" width="9.375" style="7" customWidth="1"/>
    <col min="13082" max="13082" width="9.625" style="7" customWidth="1"/>
    <col min="13083" max="13083" width="7.625" style="7" customWidth="1"/>
    <col min="13084" max="13084" width="9.375" style="7" customWidth="1"/>
    <col min="13085" max="13312" width="6.625" style="7"/>
    <col min="13313" max="13313" width="9" style="7" customWidth="1"/>
    <col min="13314" max="13314" width="7.5" style="7" customWidth="1"/>
    <col min="13315" max="13315" width="9.375" style="7" customWidth="1"/>
    <col min="13316" max="13317" width="7.5" style="7" customWidth="1"/>
    <col min="13318" max="13318" width="10.125" style="7" customWidth="1"/>
    <col min="13319" max="13319" width="13.625" style="7" customWidth="1"/>
    <col min="13320" max="13320" width="10.5" style="7" customWidth="1"/>
    <col min="13321" max="13321" width="7.5" style="7" customWidth="1"/>
    <col min="13322" max="13323" width="10.625" style="7" customWidth="1"/>
    <col min="13324" max="13324" width="9.5" style="7" customWidth="1"/>
    <col min="13325" max="13325" width="12.875" style="7" customWidth="1"/>
    <col min="13326" max="13329" width="10.625" style="7" customWidth="1"/>
    <col min="13330" max="13331" width="8.375" style="7" customWidth="1"/>
    <col min="13332" max="13332" width="17.375" style="7" customWidth="1"/>
    <col min="13333" max="13333" width="5.625" style="7" customWidth="1"/>
    <col min="13334" max="13334" width="7.5" style="7" customWidth="1"/>
    <col min="13335" max="13335" width="5.625" style="7" customWidth="1"/>
    <col min="13336" max="13336" width="9" style="7" customWidth="1"/>
    <col min="13337" max="13337" width="9.375" style="7" customWidth="1"/>
    <col min="13338" max="13338" width="9.625" style="7" customWidth="1"/>
    <col min="13339" max="13339" width="7.625" style="7" customWidth="1"/>
    <col min="13340" max="13340" width="9.375" style="7" customWidth="1"/>
    <col min="13341" max="13568" width="6.625" style="7"/>
    <col min="13569" max="13569" width="9" style="7" customWidth="1"/>
    <col min="13570" max="13570" width="7.5" style="7" customWidth="1"/>
    <col min="13571" max="13571" width="9.375" style="7" customWidth="1"/>
    <col min="13572" max="13573" width="7.5" style="7" customWidth="1"/>
    <col min="13574" max="13574" width="10.125" style="7" customWidth="1"/>
    <col min="13575" max="13575" width="13.625" style="7" customWidth="1"/>
    <col min="13576" max="13576" width="10.5" style="7" customWidth="1"/>
    <col min="13577" max="13577" width="7.5" style="7" customWidth="1"/>
    <col min="13578" max="13579" width="10.625" style="7" customWidth="1"/>
    <col min="13580" max="13580" width="9.5" style="7" customWidth="1"/>
    <col min="13581" max="13581" width="12.875" style="7" customWidth="1"/>
    <col min="13582" max="13585" width="10.625" style="7" customWidth="1"/>
    <col min="13586" max="13587" width="8.375" style="7" customWidth="1"/>
    <col min="13588" max="13588" width="17.375" style="7" customWidth="1"/>
    <col min="13589" max="13589" width="5.625" style="7" customWidth="1"/>
    <col min="13590" max="13590" width="7.5" style="7" customWidth="1"/>
    <col min="13591" max="13591" width="5.625" style="7" customWidth="1"/>
    <col min="13592" max="13592" width="9" style="7" customWidth="1"/>
    <col min="13593" max="13593" width="9.375" style="7" customWidth="1"/>
    <col min="13594" max="13594" width="9.625" style="7" customWidth="1"/>
    <col min="13595" max="13595" width="7.625" style="7" customWidth="1"/>
    <col min="13596" max="13596" width="9.375" style="7" customWidth="1"/>
    <col min="13597" max="13824" width="6.625" style="7"/>
    <col min="13825" max="13825" width="9" style="7" customWidth="1"/>
    <col min="13826" max="13826" width="7.5" style="7" customWidth="1"/>
    <col min="13827" max="13827" width="9.375" style="7" customWidth="1"/>
    <col min="13828" max="13829" width="7.5" style="7" customWidth="1"/>
    <col min="13830" max="13830" width="10.125" style="7" customWidth="1"/>
    <col min="13831" max="13831" width="13.625" style="7" customWidth="1"/>
    <col min="13832" max="13832" width="10.5" style="7" customWidth="1"/>
    <col min="13833" max="13833" width="7.5" style="7" customWidth="1"/>
    <col min="13834" max="13835" width="10.625" style="7" customWidth="1"/>
    <col min="13836" max="13836" width="9.5" style="7" customWidth="1"/>
    <col min="13837" max="13837" width="12.875" style="7" customWidth="1"/>
    <col min="13838" max="13841" width="10.625" style="7" customWidth="1"/>
    <col min="13842" max="13843" width="8.375" style="7" customWidth="1"/>
    <col min="13844" max="13844" width="17.375" style="7" customWidth="1"/>
    <col min="13845" max="13845" width="5.625" style="7" customWidth="1"/>
    <col min="13846" max="13846" width="7.5" style="7" customWidth="1"/>
    <col min="13847" max="13847" width="5.625" style="7" customWidth="1"/>
    <col min="13848" max="13848" width="9" style="7" customWidth="1"/>
    <col min="13849" max="13849" width="9.375" style="7" customWidth="1"/>
    <col min="13850" max="13850" width="9.625" style="7" customWidth="1"/>
    <col min="13851" max="13851" width="7.625" style="7" customWidth="1"/>
    <col min="13852" max="13852" width="9.375" style="7" customWidth="1"/>
    <col min="13853" max="14080" width="6.625" style="7"/>
    <col min="14081" max="14081" width="9" style="7" customWidth="1"/>
    <col min="14082" max="14082" width="7.5" style="7" customWidth="1"/>
    <col min="14083" max="14083" width="9.375" style="7" customWidth="1"/>
    <col min="14084" max="14085" width="7.5" style="7" customWidth="1"/>
    <col min="14086" max="14086" width="10.125" style="7" customWidth="1"/>
    <col min="14087" max="14087" width="13.625" style="7" customWidth="1"/>
    <col min="14088" max="14088" width="10.5" style="7" customWidth="1"/>
    <col min="14089" max="14089" width="7.5" style="7" customWidth="1"/>
    <col min="14090" max="14091" width="10.625" style="7" customWidth="1"/>
    <col min="14092" max="14092" width="9.5" style="7" customWidth="1"/>
    <col min="14093" max="14093" width="12.875" style="7" customWidth="1"/>
    <col min="14094" max="14097" width="10.625" style="7" customWidth="1"/>
    <col min="14098" max="14099" width="8.375" style="7" customWidth="1"/>
    <col min="14100" max="14100" width="17.375" style="7" customWidth="1"/>
    <col min="14101" max="14101" width="5.625" style="7" customWidth="1"/>
    <col min="14102" max="14102" width="7.5" style="7" customWidth="1"/>
    <col min="14103" max="14103" width="5.625" style="7" customWidth="1"/>
    <col min="14104" max="14104" width="9" style="7" customWidth="1"/>
    <col min="14105" max="14105" width="9.375" style="7" customWidth="1"/>
    <col min="14106" max="14106" width="9.625" style="7" customWidth="1"/>
    <col min="14107" max="14107" width="7.625" style="7" customWidth="1"/>
    <col min="14108" max="14108" width="9.375" style="7" customWidth="1"/>
    <col min="14109" max="14336" width="6.625" style="7"/>
    <col min="14337" max="14337" width="9" style="7" customWidth="1"/>
    <col min="14338" max="14338" width="7.5" style="7" customWidth="1"/>
    <col min="14339" max="14339" width="9.375" style="7" customWidth="1"/>
    <col min="14340" max="14341" width="7.5" style="7" customWidth="1"/>
    <col min="14342" max="14342" width="10.125" style="7" customWidth="1"/>
    <col min="14343" max="14343" width="13.625" style="7" customWidth="1"/>
    <col min="14344" max="14344" width="10.5" style="7" customWidth="1"/>
    <col min="14345" max="14345" width="7.5" style="7" customWidth="1"/>
    <col min="14346" max="14347" width="10.625" style="7" customWidth="1"/>
    <col min="14348" max="14348" width="9.5" style="7" customWidth="1"/>
    <col min="14349" max="14349" width="12.875" style="7" customWidth="1"/>
    <col min="14350" max="14353" width="10.625" style="7" customWidth="1"/>
    <col min="14354" max="14355" width="8.375" style="7" customWidth="1"/>
    <col min="14356" max="14356" width="17.375" style="7" customWidth="1"/>
    <col min="14357" max="14357" width="5.625" style="7" customWidth="1"/>
    <col min="14358" max="14358" width="7.5" style="7" customWidth="1"/>
    <col min="14359" max="14359" width="5.625" style="7" customWidth="1"/>
    <col min="14360" max="14360" width="9" style="7" customWidth="1"/>
    <col min="14361" max="14361" width="9.375" style="7" customWidth="1"/>
    <col min="14362" max="14362" width="9.625" style="7" customWidth="1"/>
    <col min="14363" max="14363" width="7.625" style="7" customWidth="1"/>
    <col min="14364" max="14364" width="9.375" style="7" customWidth="1"/>
    <col min="14365" max="14592" width="6.625" style="7"/>
    <col min="14593" max="14593" width="9" style="7" customWidth="1"/>
    <col min="14594" max="14594" width="7.5" style="7" customWidth="1"/>
    <col min="14595" max="14595" width="9.375" style="7" customWidth="1"/>
    <col min="14596" max="14597" width="7.5" style="7" customWidth="1"/>
    <col min="14598" max="14598" width="10.125" style="7" customWidth="1"/>
    <col min="14599" max="14599" width="13.625" style="7" customWidth="1"/>
    <col min="14600" max="14600" width="10.5" style="7" customWidth="1"/>
    <col min="14601" max="14601" width="7.5" style="7" customWidth="1"/>
    <col min="14602" max="14603" width="10.625" style="7" customWidth="1"/>
    <col min="14604" max="14604" width="9.5" style="7" customWidth="1"/>
    <col min="14605" max="14605" width="12.875" style="7" customWidth="1"/>
    <col min="14606" max="14609" width="10.625" style="7" customWidth="1"/>
    <col min="14610" max="14611" width="8.375" style="7" customWidth="1"/>
    <col min="14612" max="14612" width="17.375" style="7" customWidth="1"/>
    <col min="14613" max="14613" width="5.625" style="7" customWidth="1"/>
    <col min="14614" max="14614" width="7.5" style="7" customWidth="1"/>
    <col min="14615" max="14615" width="5.625" style="7" customWidth="1"/>
    <col min="14616" max="14616" width="9" style="7" customWidth="1"/>
    <col min="14617" max="14617" width="9.375" style="7" customWidth="1"/>
    <col min="14618" max="14618" width="9.625" style="7" customWidth="1"/>
    <col min="14619" max="14619" width="7.625" style="7" customWidth="1"/>
    <col min="14620" max="14620" width="9.375" style="7" customWidth="1"/>
    <col min="14621" max="14848" width="6.625" style="7"/>
    <col min="14849" max="14849" width="9" style="7" customWidth="1"/>
    <col min="14850" max="14850" width="7.5" style="7" customWidth="1"/>
    <col min="14851" max="14851" width="9.375" style="7" customWidth="1"/>
    <col min="14852" max="14853" width="7.5" style="7" customWidth="1"/>
    <col min="14854" max="14854" width="10.125" style="7" customWidth="1"/>
    <col min="14855" max="14855" width="13.625" style="7" customWidth="1"/>
    <col min="14856" max="14856" width="10.5" style="7" customWidth="1"/>
    <col min="14857" max="14857" width="7.5" style="7" customWidth="1"/>
    <col min="14858" max="14859" width="10.625" style="7" customWidth="1"/>
    <col min="14860" max="14860" width="9.5" style="7" customWidth="1"/>
    <col min="14861" max="14861" width="12.875" style="7" customWidth="1"/>
    <col min="14862" max="14865" width="10.625" style="7" customWidth="1"/>
    <col min="14866" max="14867" width="8.375" style="7" customWidth="1"/>
    <col min="14868" max="14868" width="17.375" style="7" customWidth="1"/>
    <col min="14869" max="14869" width="5.625" style="7" customWidth="1"/>
    <col min="14870" max="14870" width="7.5" style="7" customWidth="1"/>
    <col min="14871" max="14871" width="5.625" style="7" customWidth="1"/>
    <col min="14872" max="14872" width="9" style="7" customWidth="1"/>
    <col min="14873" max="14873" width="9.375" style="7" customWidth="1"/>
    <col min="14874" max="14874" width="9.625" style="7" customWidth="1"/>
    <col min="14875" max="14875" width="7.625" style="7" customWidth="1"/>
    <col min="14876" max="14876" width="9.375" style="7" customWidth="1"/>
    <col min="14877" max="15104" width="6.625" style="7"/>
    <col min="15105" max="15105" width="9" style="7" customWidth="1"/>
    <col min="15106" max="15106" width="7.5" style="7" customWidth="1"/>
    <col min="15107" max="15107" width="9.375" style="7" customWidth="1"/>
    <col min="15108" max="15109" width="7.5" style="7" customWidth="1"/>
    <col min="15110" max="15110" width="10.125" style="7" customWidth="1"/>
    <col min="15111" max="15111" width="13.625" style="7" customWidth="1"/>
    <col min="15112" max="15112" width="10.5" style="7" customWidth="1"/>
    <col min="15113" max="15113" width="7.5" style="7" customWidth="1"/>
    <col min="15114" max="15115" width="10.625" style="7" customWidth="1"/>
    <col min="15116" max="15116" width="9.5" style="7" customWidth="1"/>
    <col min="15117" max="15117" width="12.875" style="7" customWidth="1"/>
    <col min="15118" max="15121" width="10.625" style="7" customWidth="1"/>
    <col min="15122" max="15123" width="8.375" style="7" customWidth="1"/>
    <col min="15124" max="15124" width="17.375" style="7" customWidth="1"/>
    <col min="15125" max="15125" width="5.625" style="7" customWidth="1"/>
    <col min="15126" max="15126" width="7.5" style="7" customWidth="1"/>
    <col min="15127" max="15127" width="5.625" style="7" customWidth="1"/>
    <col min="15128" max="15128" width="9" style="7" customWidth="1"/>
    <col min="15129" max="15129" width="9.375" style="7" customWidth="1"/>
    <col min="15130" max="15130" width="9.625" style="7" customWidth="1"/>
    <col min="15131" max="15131" width="7.625" style="7" customWidth="1"/>
    <col min="15132" max="15132" width="9.375" style="7" customWidth="1"/>
    <col min="15133" max="15360" width="6.625" style="7"/>
    <col min="15361" max="15361" width="9" style="7" customWidth="1"/>
    <col min="15362" max="15362" width="7.5" style="7" customWidth="1"/>
    <col min="15363" max="15363" width="9.375" style="7" customWidth="1"/>
    <col min="15364" max="15365" width="7.5" style="7" customWidth="1"/>
    <col min="15366" max="15366" width="10.125" style="7" customWidth="1"/>
    <col min="15367" max="15367" width="13.625" style="7" customWidth="1"/>
    <col min="15368" max="15368" width="10.5" style="7" customWidth="1"/>
    <col min="15369" max="15369" width="7.5" style="7" customWidth="1"/>
    <col min="15370" max="15371" width="10.625" style="7" customWidth="1"/>
    <col min="15372" max="15372" width="9.5" style="7" customWidth="1"/>
    <col min="15373" max="15373" width="12.875" style="7" customWidth="1"/>
    <col min="15374" max="15377" width="10.625" style="7" customWidth="1"/>
    <col min="15378" max="15379" width="8.375" style="7" customWidth="1"/>
    <col min="15380" max="15380" width="17.375" style="7" customWidth="1"/>
    <col min="15381" max="15381" width="5.625" style="7" customWidth="1"/>
    <col min="15382" max="15382" width="7.5" style="7" customWidth="1"/>
    <col min="15383" max="15383" width="5.625" style="7" customWidth="1"/>
    <col min="15384" max="15384" width="9" style="7" customWidth="1"/>
    <col min="15385" max="15385" width="9.375" style="7" customWidth="1"/>
    <col min="15386" max="15386" width="9.625" style="7" customWidth="1"/>
    <col min="15387" max="15387" width="7.625" style="7" customWidth="1"/>
    <col min="15388" max="15388" width="9.375" style="7" customWidth="1"/>
    <col min="15389" max="15616" width="6.625" style="7"/>
    <col min="15617" max="15617" width="9" style="7" customWidth="1"/>
    <col min="15618" max="15618" width="7.5" style="7" customWidth="1"/>
    <col min="15619" max="15619" width="9.375" style="7" customWidth="1"/>
    <col min="15620" max="15621" width="7.5" style="7" customWidth="1"/>
    <col min="15622" max="15622" width="10.125" style="7" customWidth="1"/>
    <col min="15623" max="15623" width="13.625" style="7" customWidth="1"/>
    <col min="15624" max="15624" width="10.5" style="7" customWidth="1"/>
    <col min="15625" max="15625" width="7.5" style="7" customWidth="1"/>
    <col min="15626" max="15627" width="10.625" style="7" customWidth="1"/>
    <col min="15628" max="15628" width="9.5" style="7" customWidth="1"/>
    <col min="15629" max="15629" width="12.875" style="7" customWidth="1"/>
    <col min="15630" max="15633" width="10.625" style="7" customWidth="1"/>
    <col min="15634" max="15635" width="8.375" style="7" customWidth="1"/>
    <col min="15636" max="15636" width="17.375" style="7" customWidth="1"/>
    <col min="15637" max="15637" width="5.625" style="7" customWidth="1"/>
    <col min="15638" max="15638" width="7.5" style="7" customWidth="1"/>
    <col min="15639" max="15639" width="5.625" style="7" customWidth="1"/>
    <col min="15640" max="15640" width="9" style="7" customWidth="1"/>
    <col min="15641" max="15641" width="9.375" style="7" customWidth="1"/>
    <col min="15642" max="15642" width="9.625" style="7" customWidth="1"/>
    <col min="15643" max="15643" width="7.625" style="7" customWidth="1"/>
    <col min="15644" max="15644" width="9.375" style="7" customWidth="1"/>
    <col min="15645" max="15872" width="6.625" style="7"/>
    <col min="15873" max="15873" width="9" style="7" customWidth="1"/>
    <col min="15874" max="15874" width="7.5" style="7" customWidth="1"/>
    <col min="15875" max="15875" width="9.375" style="7" customWidth="1"/>
    <col min="15876" max="15877" width="7.5" style="7" customWidth="1"/>
    <col min="15878" max="15878" width="10.125" style="7" customWidth="1"/>
    <col min="15879" max="15879" width="13.625" style="7" customWidth="1"/>
    <col min="15880" max="15880" width="10.5" style="7" customWidth="1"/>
    <col min="15881" max="15881" width="7.5" style="7" customWidth="1"/>
    <col min="15882" max="15883" width="10.625" style="7" customWidth="1"/>
    <col min="15884" max="15884" width="9.5" style="7" customWidth="1"/>
    <col min="15885" max="15885" width="12.875" style="7" customWidth="1"/>
    <col min="15886" max="15889" width="10.625" style="7" customWidth="1"/>
    <col min="15890" max="15891" width="8.375" style="7" customWidth="1"/>
    <col min="15892" max="15892" width="17.375" style="7" customWidth="1"/>
    <col min="15893" max="15893" width="5.625" style="7" customWidth="1"/>
    <col min="15894" max="15894" width="7.5" style="7" customWidth="1"/>
    <col min="15895" max="15895" width="5.625" style="7" customWidth="1"/>
    <col min="15896" max="15896" width="9" style="7" customWidth="1"/>
    <col min="15897" max="15897" width="9.375" style="7" customWidth="1"/>
    <col min="15898" max="15898" width="9.625" style="7" customWidth="1"/>
    <col min="15899" max="15899" width="7.625" style="7" customWidth="1"/>
    <col min="15900" max="15900" width="9.375" style="7" customWidth="1"/>
    <col min="15901" max="16128" width="6.625" style="7"/>
    <col min="16129" max="16129" width="9" style="7" customWidth="1"/>
    <col min="16130" max="16130" width="7.5" style="7" customWidth="1"/>
    <col min="16131" max="16131" width="9.375" style="7" customWidth="1"/>
    <col min="16132" max="16133" width="7.5" style="7" customWidth="1"/>
    <col min="16134" max="16134" width="10.125" style="7" customWidth="1"/>
    <col min="16135" max="16135" width="13.625" style="7" customWidth="1"/>
    <col min="16136" max="16136" width="10.5" style="7" customWidth="1"/>
    <col min="16137" max="16137" width="7.5" style="7" customWidth="1"/>
    <col min="16138" max="16139" width="10.625" style="7" customWidth="1"/>
    <col min="16140" max="16140" width="9.5" style="7" customWidth="1"/>
    <col min="16141" max="16141" width="12.875" style="7" customWidth="1"/>
    <col min="16142" max="16145" width="10.625" style="7" customWidth="1"/>
    <col min="16146" max="16147" width="8.375" style="7" customWidth="1"/>
    <col min="16148" max="16148" width="17.375" style="7" customWidth="1"/>
    <col min="16149" max="16149" width="5.625" style="7" customWidth="1"/>
    <col min="16150" max="16150" width="7.5" style="7" customWidth="1"/>
    <col min="16151" max="16151" width="5.625" style="7" customWidth="1"/>
    <col min="16152" max="16152" width="9" style="7" customWidth="1"/>
    <col min="16153" max="16153" width="9.375" style="7" customWidth="1"/>
    <col min="16154" max="16154" width="9.625" style="7" customWidth="1"/>
    <col min="16155" max="16155" width="7.625" style="7" customWidth="1"/>
    <col min="16156" max="16156" width="9.375" style="7" customWidth="1"/>
    <col min="16157" max="16384" width="6.625" style="7"/>
  </cols>
  <sheetData>
    <row r="2" s="1" customFormat="1" ht="30" customHeight="1" spans="1:16">
      <c r="A2" s="9" t="s">
        <v>226</v>
      </c>
      <c r="B2" s="10" t="s">
        <v>227</v>
      </c>
      <c r="C2" s="11" t="s">
        <v>228</v>
      </c>
      <c r="D2" s="11"/>
      <c r="E2" s="11" t="s">
        <v>229</v>
      </c>
      <c r="F2" s="11"/>
      <c r="G2" s="11" t="s">
        <v>52</v>
      </c>
      <c r="H2" s="12" t="s">
        <v>51</v>
      </c>
      <c r="I2" s="54" t="s">
        <v>53</v>
      </c>
      <c r="J2" s="11" t="s">
        <v>230</v>
      </c>
      <c r="K2" s="55" t="s">
        <v>231</v>
      </c>
      <c r="L2" s="56"/>
      <c r="M2" s="56"/>
      <c r="N2" s="57" t="s">
        <v>232</v>
      </c>
      <c r="O2" s="58" t="s">
        <v>233</v>
      </c>
      <c r="P2" s="59"/>
    </row>
    <row r="3" ht="15" spans="1:245">
      <c r="A3" s="9"/>
      <c r="B3" s="13"/>
      <c r="C3" s="14" t="s">
        <v>234</v>
      </c>
      <c r="D3" s="14" t="s">
        <v>235</v>
      </c>
      <c r="E3" s="15" t="s">
        <v>236</v>
      </c>
      <c r="F3" s="15" t="s">
        <v>237</v>
      </c>
      <c r="G3" s="15"/>
      <c r="H3" s="16"/>
      <c r="I3" s="60"/>
      <c r="J3" s="15"/>
      <c r="K3" s="61"/>
      <c r="L3" s="62"/>
      <c r="M3" s="63"/>
      <c r="N3" s="64">
        <v>90</v>
      </c>
      <c r="O3" s="65">
        <v>4</v>
      </c>
      <c r="P3" s="66">
        <v>4</v>
      </c>
      <c r="T3" s="84"/>
      <c r="U3" s="84"/>
      <c r="Y3" s="100"/>
      <c r="AA3" s="86"/>
      <c r="AB3" s="86"/>
      <c r="II3" s="7"/>
      <c r="IJ3" s="7"/>
      <c r="IK3" s="7"/>
    </row>
    <row r="4" spans="1:245">
      <c r="A4" s="9"/>
      <c r="B4" s="17" t="str">
        <f>'0.结构参数'!A41</f>
        <v>ZU1-1</v>
      </c>
      <c r="C4" s="18">
        <f>MIN('0.结构参数'!I41,'0.结构参数'!J41)*100</f>
        <v>179.116</v>
      </c>
      <c r="D4" s="18">
        <f>MAX('0.结构参数'!I41,'0.结构参数'!J41)*100</f>
        <v>211.515</v>
      </c>
      <c r="E4" s="18">
        <f>MAX('0.结构参数'!E5,'0.结构参数'!F5)*100</f>
        <v>2000</v>
      </c>
      <c r="F4" s="18">
        <f>MIN('0.结构参数'!E5,'0.结构参数'!F5)*100</f>
        <v>2000</v>
      </c>
      <c r="G4" s="19">
        <f>'0.结构参数'!L41*100</f>
        <v>30</v>
      </c>
      <c r="H4" s="19">
        <f>'0.结构参数'!K41*100</f>
        <v>40</v>
      </c>
      <c r="I4" s="19">
        <f>('0.结构参数'!M41+'0.结构参数'!N41)/2*100</f>
        <v>1310</v>
      </c>
      <c r="J4" s="67">
        <f>(C4+$H4)</f>
        <v>219.116</v>
      </c>
      <c r="K4" s="68">
        <f>(D4+$H4)</f>
        <v>251.515</v>
      </c>
      <c r="L4" s="56"/>
      <c r="M4" s="69"/>
      <c r="O4" s="5"/>
      <c r="Q4" s="84"/>
      <c r="R4" s="84"/>
      <c r="S4" s="5"/>
      <c r="T4" s="5"/>
      <c r="V4" s="85"/>
      <c r="X4" s="86"/>
      <c r="Y4" s="86"/>
      <c r="IF4" s="7"/>
      <c r="IG4" s="7"/>
      <c r="IH4" s="7"/>
      <c r="II4" s="7"/>
      <c r="IJ4" s="7"/>
      <c r="IK4" s="7"/>
    </row>
    <row r="5" spans="1:245">
      <c r="A5" s="9"/>
      <c r="B5" s="17" t="str">
        <f>'0.结构参数'!A42</f>
        <v>ZU2-1</v>
      </c>
      <c r="C5" s="18">
        <f>MIN('0.结构参数'!I42,'0.结构参数'!J42)*100</f>
        <v>211.604</v>
      </c>
      <c r="D5" s="18">
        <f>MAX('0.结构参数'!I42,'0.结构参数'!J42)*100</f>
        <v>271.065</v>
      </c>
      <c r="E5" s="18">
        <f>MAX('0.结构参数'!E6,'0.结构参数'!F6)*100</f>
        <v>2000</v>
      </c>
      <c r="F5" s="18">
        <f>MIN('0.结构参数'!E6,'0.结构参数'!F6)*100</f>
        <v>2000</v>
      </c>
      <c r="G5" s="19">
        <f>'0.结构参数'!L42*100</f>
        <v>30</v>
      </c>
      <c r="H5" s="19">
        <f>'0.结构参数'!K42*100</f>
        <v>40</v>
      </c>
      <c r="I5" s="19">
        <f>('0.结构参数'!M42+'0.结构参数'!N42)/2*100</f>
        <v>1310</v>
      </c>
      <c r="J5" s="67">
        <f t="shared" ref="J5:J35" si="0">(C5+$H5)</f>
        <v>251.604</v>
      </c>
      <c r="K5" s="68">
        <f t="shared" ref="K5:K35" si="1">(D5+$H5)</f>
        <v>311.065</v>
      </c>
      <c r="L5" s="56"/>
      <c r="M5" s="63"/>
      <c r="N5" s="63"/>
      <c r="O5" s="56"/>
      <c r="T5" s="84"/>
      <c r="U5" s="84"/>
      <c r="Y5" s="85"/>
      <c r="AA5" s="86"/>
      <c r="AB5" s="86"/>
      <c r="II5" s="7"/>
      <c r="IJ5" s="7"/>
      <c r="IK5" s="7"/>
    </row>
    <row r="6" spans="1:245">
      <c r="A6" s="9"/>
      <c r="B6" s="17" t="str">
        <f>'0.结构参数'!A43</f>
        <v>ZU3-1</v>
      </c>
      <c r="C6" s="18">
        <f>MIN('0.结构参数'!I43,'0.结构参数'!J43)*100</f>
        <v>271.154</v>
      </c>
      <c r="D6" s="18">
        <f>MAX('0.结构参数'!I43,'0.结构参数'!J43)*100</f>
        <v>330.615</v>
      </c>
      <c r="E6" s="18">
        <f>MAX('0.结构参数'!E7,'0.结构参数'!F7)*100</f>
        <v>2000</v>
      </c>
      <c r="F6" s="18">
        <f>MIN('0.结构参数'!E7,'0.结构参数'!F7)*100</f>
        <v>2000</v>
      </c>
      <c r="G6" s="19">
        <f>'0.结构参数'!L43*100</f>
        <v>40</v>
      </c>
      <c r="H6" s="19">
        <f>'0.结构参数'!K43*100</f>
        <v>50</v>
      </c>
      <c r="I6" s="19">
        <f>('0.结构参数'!M43+'0.结构参数'!N43)/2*100</f>
        <v>1330</v>
      </c>
      <c r="J6" s="67">
        <f t="shared" si="0"/>
        <v>321.154</v>
      </c>
      <c r="K6" s="68">
        <f t="shared" si="1"/>
        <v>380.615</v>
      </c>
      <c r="L6" s="56"/>
      <c r="M6" s="70"/>
      <c r="N6" s="70"/>
      <c r="O6" s="70"/>
      <c r="P6" s="70"/>
      <c r="Q6" s="70"/>
      <c r="T6" s="84"/>
      <c r="U6" s="84"/>
      <c r="Y6" s="85"/>
      <c r="AA6" s="86"/>
      <c r="AB6" s="86"/>
      <c r="II6" s="7"/>
      <c r="IJ6" s="7"/>
      <c r="IK6" s="7"/>
    </row>
    <row r="7" s="2" customFormat="1" customHeight="1" spans="1:242">
      <c r="A7" s="20"/>
      <c r="B7" s="17" t="str">
        <f>'0.结构参数'!A44</f>
        <v>ZU4-1</v>
      </c>
      <c r="C7" s="21">
        <f>MIN('0.结构参数'!I44,'0.结构参数'!J44)*100</f>
        <v>330.704</v>
      </c>
      <c r="D7" s="21">
        <f>MAX('0.结构参数'!I44,'0.结构参数'!J44)*100</f>
        <v>390.165</v>
      </c>
      <c r="E7" s="21">
        <f>MAX('0.结构参数'!E8,'0.结构参数'!F8)*100</f>
        <v>2000</v>
      </c>
      <c r="F7" s="21">
        <f>MIN('0.结构参数'!E8,'0.结构参数'!F8)*100</f>
        <v>2000</v>
      </c>
      <c r="G7" s="19">
        <f>'0.结构参数'!L44*100</f>
        <v>40</v>
      </c>
      <c r="H7" s="19">
        <f>'0.结构参数'!K44*100</f>
        <v>50</v>
      </c>
      <c r="I7" s="19">
        <f>('0.结构参数'!M44+'0.结构参数'!N44)/2*100</f>
        <v>1330</v>
      </c>
      <c r="J7" s="67">
        <f t="shared" si="0"/>
        <v>380.704</v>
      </c>
      <c r="K7" s="68">
        <f t="shared" si="1"/>
        <v>440.165</v>
      </c>
      <c r="L7" s="56"/>
      <c r="M7" s="71"/>
      <c r="N7" s="71"/>
      <c r="O7" s="71"/>
      <c r="P7" s="71"/>
      <c r="Q7" s="71"/>
      <c r="R7" s="4"/>
      <c r="S7" s="87"/>
      <c r="T7" s="4"/>
      <c r="U7" s="4"/>
      <c r="V7" s="4"/>
      <c r="W7" s="4"/>
      <c r="X7" s="4"/>
      <c r="Y7" s="101"/>
      <c r="Z7" s="4"/>
      <c r="AA7" s="102"/>
      <c r="AB7" s="102"/>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row>
    <row r="8" spans="1:245">
      <c r="A8" s="9"/>
      <c r="B8" s="17" t="str">
        <f>'0.结构参数'!A45</f>
        <v>ZU5-1</v>
      </c>
      <c r="C8" s="18">
        <f>MIN('0.结构参数'!I45,'0.结构参数'!J45)*100</f>
        <v>390.255</v>
      </c>
      <c r="D8" s="18">
        <f>MAX('0.结构参数'!I45,'0.结构参数'!J45)*100</f>
        <v>449.716</v>
      </c>
      <c r="E8" s="18">
        <f>MAX('0.结构参数'!E9,'0.结构参数'!F9)*100</f>
        <v>2000</v>
      </c>
      <c r="F8" s="18">
        <f>MIN('0.结构参数'!E9,'0.结构参数'!F9)*100</f>
        <v>2000</v>
      </c>
      <c r="G8" s="19">
        <f>'0.结构参数'!L45*100</f>
        <v>50</v>
      </c>
      <c r="H8" s="19">
        <f>'0.结构参数'!K45*100</f>
        <v>60</v>
      </c>
      <c r="I8" s="19">
        <f>('0.结构参数'!M45+'0.结构参数'!N45)/2*100</f>
        <v>1350</v>
      </c>
      <c r="J8" s="67">
        <f t="shared" si="0"/>
        <v>450.255</v>
      </c>
      <c r="K8" s="68">
        <f t="shared" si="1"/>
        <v>509.716</v>
      </c>
      <c r="L8" s="56"/>
      <c r="M8" s="72"/>
      <c r="N8" s="5" t="s">
        <v>238</v>
      </c>
      <c r="O8" s="72"/>
      <c r="P8" s="72"/>
      <c r="Q8" s="72"/>
      <c r="S8" s="88"/>
      <c r="T8" s="5"/>
      <c r="Y8" s="85"/>
      <c r="AA8" s="86"/>
      <c r="AB8" s="86"/>
      <c r="II8" s="7"/>
      <c r="IJ8" s="7"/>
      <c r="IK8" s="7"/>
    </row>
    <row r="9" spans="1:245">
      <c r="A9" s="9"/>
      <c r="B9" s="17" t="str">
        <f>'0.结构参数'!A46</f>
        <v>ZU6-1</v>
      </c>
      <c r="C9" s="18">
        <f>MIN('0.结构参数'!I46,'0.结构参数'!J46)*100</f>
        <v>449.832</v>
      </c>
      <c r="D9" s="18">
        <f>MAX('0.结构参数'!I46,'0.结构参数'!J46)*100</f>
        <v>527.6</v>
      </c>
      <c r="E9" s="18">
        <f>MAX('0.结构参数'!E10,'0.结构参数'!F10)*100</f>
        <v>2000</v>
      </c>
      <c r="F9" s="18">
        <f>MIN('0.结构参数'!E10,'0.结构参数'!F10)*100</f>
        <v>2000</v>
      </c>
      <c r="G9" s="19">
        <f>'0.结构参数'!L46*100</f>
        <v>60</v>
      </c>
      <c r="H9" s="19">
        <f>'0.结构参数'!K46*100</f>
        <v>70</v>
      </c>
      <c r="I9" s="19">
        <f>('0.结构参数'!M46+'0.结构参数'!N46)/2*100</f>
        <v>1370</v>
      </c>
      <c r="J9" s="67">
        <f t="shared" si="0"/>
        <v>519.832</v>
      </c>
      <c r="K9" s="68">
        <f t="shared" si="1"/>
        <v>597.6</v>
      </c>
      <c r="L9" s="56"/>
      <c r="M9" s="73"/>
      <c r="N9" s="73"/>
      <c r="O9" s="73"/>
      <c r="P9" s="73"/>
      <c r="Q9" s="73"/>
      <c r="Y9" s="100"/>
      <c r="AA9" s="86"/>
      <c r="AB9" s="86"/>
      <c r="II9" s="7"/>
      <c r="IJ9" s="7"/>
      <c r="IK9" s="7"/>
    </row>
    <row r="10" spans="1:245">
      <c r="A10" s="9"/>
      <c r="B10" s="17" t="str">
        <f>'0.结构参数'!A47</f>
        <v>ZU7-1</v>
      </c>
      <c r="C10" s="18">
        <f>MIN('0.结构参数'!I47,'0.结构参数'!J47)*100</f>
        <v>527.717</v>
      </c>
      <c r="D10" s="18">
        <f>MAX('0.结构参数'!I47,'0.结构参数'!J47)*100</f>
        <v>605.484</v>
      </c>
      <c r="E10" s="18">
        <f>MAX('0.结构参数'!E11,'0.结构参数'!F11)*100</f>
        <v>2000</v>
      </c>
      <c r="F10" s="18">
        <f>MIN('0.结构参数'!E11,'0.结构参数'!F11)*100</f>
        <v>2000</v>
      </c>
      <c r="G10" s="19">
        <f>'0.结构参数'!L47*100</f>
        <v>50</v>
      </c>
      <c r="H10" s="19">
        <f>'0.结构参数'!K47*100</f>
        <v>60</v>
      </c>
      <c r="I10" s="19">
        <f>('0.结构参数'!M47+'0.结构参数'!N47)/2*100</f>
        <v>1350</v>
      </c>
      <c r="J10" s="67">
        <f t="shared" si="0"/>
        <v>587.717</v>
      </c>
      <c r="K10" s="68">
        <f t="shared" si="1"/>
        <v>665.484</v>
      </c>
      <c r="L10" s="56"/>
      <c r="M10" s="73"/>
      <c r="N10" s="73"/>
      <c r="O10" s="73"/>
      <c r="P10" s="73"/>
      <c r="Q10" s="73"/>
      <c r="Y10" s="103"/>
      <c r="AA10" s="86"/>
      <c r="AB10" s="86"/>
      <c r="II10" s="7"/>
      <c r="IJ10" s="7"/>
      <c r="IK10" s="7"/>
    </row>
    <row r="11" spans="1:245">
      <c r="A11" s="9"/>
      <c r="B11" s="17" t="str">
        <f>'0.结构参数'!A48</f>
        <v>ZU8-1</v>
      </c>
      <c r="C11" s="18">
        <f>MIN('0.结构参数'!I48,'0.结构参数'!J48)*100</f>
        <v>605.574</v>
      </c>
      <c r="D11" s="18">
        <f>MAX('0.结构参数'!I48,'0.结构参数'!J48)*100</f>
        <v>665.593</v>
      </c>
      <c r="E11" s="18">
        <f>MAX('0.结构参数'!E12,'0.结构参数'!F12)*100</f>
        <v>2000</v>
      </c>
      <c r="F11" s="18">
        <f>MIN('0.结构参数'!E12,'0.结构参数'!F12)*100</f>
        <v>2000</v>
      </c>
      <c r="G11" s="19">
        <f>'0.结构参数'!L48*100</f>
        <v>70</v>
      </c>
      <c r="H11" s="19">
        <f>'0.结构参数'!K48*100</f>
        <v>80</v>
      </c>
      <c r="I11" s="19">
        <f>('0.结构参数'!M48+'0.结构参数'!N48)/2*100</f>
        <v>1390</v>
      </c>
      <c r="J11" s="67">
        <f t="shared" si="0"/>
        <v>685.574</v>
      </c>
      <c r="K11" s="68">
        <f t="shared" si="1"/>
        <v>745.593</v>
      </c>
      <c r="L11" s="56"/>
      <c r="M11" s="73"/>
      <c r="N11" s="73"/>
      <c r="O11" s="73"/>
      <c r="P11" s="73"/>
      <c r="Q11" s="73"/>
      <c r="T11" s="89"/>
      <c r="U11" s="89"/>
      <c r="V11" s="89"/>
      <c r="W11" s="89"/>
      <c r="Y11" s="85"/>
      <c r="AA11" s="86"/>
      <c r="AB11" s="86"/>
      <c r="II11" s="7"/>
      <c r="IJ11" s="7"/>
      <c r="IK11" s="7"/>
    </row>
    <row r="12" spans="1:245">
      <c r="A12" s="9"/>
      <c r="B12" s="17" t="str">
        <f>'0.结构参数'!A49</f>
        <v>ZU9-1</v>
      </c>
      <c r="C12" s="18">
        <f>MIN('0.结构参数'!I49,'0.结构参数'!J49)*100</f>
        <v>665.683</v>
      </c>
      <c r="D12" s="18">
        <f>MAX('0.结构参数'!I49,'0.结构参数'!J49)*100</f>
        <v>725.702</v>
      </c>
      <c r="E12" s="18">
        <f>MAX('0.结构参数'!E13,'0.结构参数'!F13)*100</f>
        <v>2000</v>
      </c>
      <c r="F12" s="18">
        <f>MIN('0.结构参数'!E13,'0.结构参数'!F13)*100</f>
        <v>2000</v>
      </c>
      <c r="G12" s="19">
        <f>'0.结构参数'!L49*100</f>
        <v>70</v>
      </c>
      <c r="H12" s="19">
        <f>'0.结构参数'!K49*100</f>
        <v>80</v>
      </c>
      <c r="I12" s="19">
        <f>('0.结构参数'!M49+'0.结构参数'!N49)/2*100</f>
        <v>1390</v>
      </c>
      <c r="J12" s="67">
        <f t="shared" si="0"/>
        <v>745.683</v>
      </c>
      <c r="K12" s="68">
        <f t="shared" si="1"/>
        <v>805.702</v>
      </c>
      <c r="L12" s="56"/>
      <c r="N12" s="73"/>
      <c r="O12" s="73"/>
      <c r="P12" s="73"/>
      <c r="Q12" s="73"/>
      <c r="Y12" s="85"/>
      <c r="AA12" s="86"/>
      <c r="AB12" s="86"/>
      <c r="II12" s="7"/>
      <c r="IJ12" s="7"/>
      <c r="IK12" s="7"/>
    </row>
    <row r="13" ht="13.5" customHeight="1" spans="1:246">
      <c r="A13" s="9"/>
      <c r="B13" s="17" t="str">
        <f>'0.结构参数'!A50</f>
        <v>ZU10-1</v>
      </c>
      <c r="C13" s="18">
        <f>MIN('0.结构参数'!I50,'0.结构参数'!J50)*100</f>
        <v>725.702</v>
      </c>
      <c r="D13" s="18">
        <f>MAX('0.结构参数'!I50,'0.结构参数'!J50)*100</f>
        <v>725.702</v>
      </c>
      <c r="E13" s="18">
        <f>MAX('0.结构参数'!E14,'0.结构参数'!F14)*100</f>
        <v>2000</v>
      </c>
      <c r="F13" s="18">
        <f>MIN('0.结构参数'!E14,'0.结构参数'!F14)*100</f>
        <v>2000</v>
      </c>
      <c r="G13" s="19">
        <f>'0.结构参数'!L50*100</f>
        <v>70</v>
      </c>
      <c r="H13" s="19">
        <f>'0.结构参数'!K50*100</f>
        <v>80</v>
      </c>
      <c r="I13" s="19">
        <f>('0.结构参数'!M50+'0.结构参数'!N50)/2*100</f>
        <v>1390</v>
      </c>
      <c r="J13" s="67">
        <f t="shared" si="0"/>
        <v>805.702</v>
      </c>
      <c r="K13" s="68">
        <f t="shared" si="1"/>
        <v>805.702</v>
      </c>
      <c r="L13" s="56"/>
      <c r="M13" s="73"/>
      <c r="N13" s="73"/>
      <c r="O13" s="73"/>
      <c r="P13" s="73"/>
      <c r="Q13" s="73"/>
      <c r="Y13" s="85"/>
      <c r="AA13" s="86"/>
      <c r="AB13" s="86"/>
      <c r="IL13" s="5"/>
    </row>
    <row r="14" ht="13.5" customHeight="1" spans="1:246">
      <c r="A14" s="9"/>
      <c r="B14" s="17" t="str">
        <f>'0.结构参数'!A51</f>
        <v>ZU11-1</v>
      </c>
      <c r="C14" s="18">
        <f>MIN('0.结构参数'!I51,'0.结构参数'!J51)*100</f>
        <v>697.143</v>
      </c>
      <c r="D14" s="18">
        <f>MAX('0.结构参数'!I51,'0.结构参数'!J51)*100</f>
        <v>760</v>
      </c>
      <c r="E14" s="18">
        <f>MAX('0.结构参数'!E15,'0.结构参数'!F15)*100</f>
        <v>2000</v>
      </c>
      <c r="F14" s="18">
        <f>MIN('0.结构参数'!E15,'0.结构参数'!F15)*100</f>
        <v>2000</v>
      </c>
      <c r="G14" s="19">
        <f>'0.结构参数'!L51*100</f>
        <v>80</v>
      </c>
      <c r="H14" s="19">
        <f>'0.结构参数'!K51*100</f>
        <v>90</v>
      </c>
      <c r="I14" s="19">
        <f>('0.结构参数'!M51+'0.结构参数'!N51)/2*100</f>
        <v>1410</v>
      </c>
      <c r="J14" s="67">
        <f t="shared" si="0"/>
        <v>787.143</v>
      </c>
      <c r="K14" s="68">
        <f t="shared" si="1"/>
        <v>850</v>
      </c>
      <c r="L14" s="56"/>
      <c r="M14" s="74"/>
      <c r="N14" s="73"/>
      <c r="O14" s="73"/>
      <c r="P14" s="73"/>
      <c r="Q14" s="73"/>
      <c r="R14" s="90"/>
      <c r="S14" s="5"/>
      <c r="T14" s="91"/>
      <c r="U14" s="90"/>
      <c r="V14" s="90"/>
      <c r="W14" s="90"/>
      <c r="Y14" s="85"/>
      <c r="AA14" s="86"/>
      <c r="AB14" s="86"/>
      <c r="IL14" s="5"/>
    </row>
    <row r="15" ht="13.5" customHeight="1" spans="1:246">
      <c r="A15" s="9"/>
      <c r="B15" s="17" t="str">
        <f>'0.结构参数'!A52</f>
        <v>ZU12-1</v>
      </c>
      <c r="C15" s="21">
        <f>MIN('0.结构参数'!I52,'0.结构参数'!J52)*100</f>
        <v>634.192</v>
      </c>
      <c r="D15" s="21">
        <f>MAX('0.结构参数'!I52,'0.结构参数'!J52)*100</f>
        <v>697.049</v>
      </c>
      <c r="E15" s="21">
        <f>MAX('0.结构参数'!E16,'0.结构参数'!F16)*100</f>
        <v>2000</v>
      </c>
      <c r="F15" s="21">
        <f>MIN('0.结构参数'!E16,'0.结构参数'!F16)*100</f>
        <v>2000</v>
      </c>
      <c r="G15" s="19">
        <f>'0.结构参数'!L52*100</f>
        <v>60</v>
      </c>
      <c r="H15" s="19">
        <f>'0.结构参数'!K52*100</f>
        <v>70</v>
      </c>
      <c r="I15" s="19">
        <f>('0.结构参数'!M52+'0.结构参数'!N52)/2*100</f>
        <v>1370</v>
      </c>
      <c r="J15" s="67">
        <f t="shared" si="0"/>
        <v>704.192</v>
      </c>
      <c r="K15" s="68">
        <f t="shared" si="1"/>
        <v>767.049</v>
      </c>
      <c r="L15" s="56"/>
      <c r="M15" s="73"/>
      <c r="N15" s="75"/>
      <c r="O15" s="75"/>
      <c r="P15" s="75"/>
      <c r="Q15" s="75"/>
      <c r="R15" s="90"/>
      <c r="S15" s="5"/>
      <c r="T15" s="91"/>
      <c r="U15" s="90"/>
      <c r="V15" s="90"/>
      <c r="W15" s="90"/>
      <c r="Y15" s="85"/>
      <c r="AA15" s="86"/>
      <c r="AB15" s="86"/>
      <c r="IL15" s="5"/>
    </row>
    <row r="16" ht="13.5" customHeight="1" spans="1:246">
      <c r="A16" s="9"/>
      <c r="B16" s="17" t="str">
        <f>'0.结构参数'!A53</f>
        <v>ZU13-1</v>
      </c>
      <c r="C16" s="21">
        <f>MIN('0.结构参数'!I53,'0.结构参数'!J53)*100</f>
        <v>571.241</v>
      </c>
      <c r="D16" s="21">
        <f>MAX('0.结构参数'!I53,'0.结构参数'!J53)*100</f>
        <v>634.098</v>
      </c>
      <c r="E16" s="21">
        <f>MAX('0.结构参数'!E17,'0.结构参数'!F17)*100</f>
        <v>2000</v>
      </c>
      <c r="F16" s="21">
        <f>MIN('0.结构参数'!E17,'0.结构参数'!F17)*100</f>
        <v>2000</v>
      </c>
      <c r="G16" s="19">
        <f>'0.结构参数'!L53*100</f>
        <v>60</v>
      </c>
      <c r="H16" s="19">
        <f>'0.结构参数'!K53*100</f>
        <v>70</v>
      </c>
      <c r="I16" s="19">
        <f>('0.结构参数'!M53+'0.结构参数'!N53)/2*100</f>
        <v>1370</v>
      </c>
      <c r="J16" s="67">
        <f t="shared" si="0"/>
        <v>641.241</v>
      </c>
      <c r="K16" s="68">
        <f t="shared" si="1"/>
        <v>704.098</v>
      </c>
      <c r="L16" s="56"/>
      <c r="M16" s="75"/>
      <c r="N16" s="75"/>
      <c r="O16" s="75"/>
      <c r="P16" s="75"/>
      <c r="Q16" s="75"/>
      <c r="R16" s="90"/>
      <c r="S16" s="5"/>
      <c r="T16" s="91"/>
      <c r="U16" s="90"/>
      <c r="V16" s="90"/>
      <c r="W16" s="90"/>
      <c r="Y16" s="85"/>
      <c r="AA16" s="86"/>
      <c r="AB16" s="86"/>
      <c r="IL16" s="5"/>
    </row>
    <row r="17" ht="13.5" customHeight="1" spans="1:246">
      <c r="A17" s="9"/>
      <c r="B17" s="17" t="str">
        <f>'0.结构参数'!A54</f>
        <v>ZU14-1</v>
      </c>
      <c r="C17" s="21">
        <f>MIN('0.结构参数'!I54,'0.结构参数'!J54)*100</f>
        <v>515.414</v>
      </c>
      <c r="D17" s="21">
        <f>MAX('0.结构参数'!I54,'0.结构参数'!J54)*100</f>
        <v>571.147</v>
      </c>
      <c r="E17" s="21">
        <f>MAX('0.结构参数'!E18,'0.结构参数'!F18)*100</f>
        <v>2000</v>
      </c>
      <c r="F17" s="21">
        <f>MIN('0.结构参数'!E18,'0.结构参数'!F18)*100</f>
        <v>2000</v>
      </c>
      <c r="G17" s="19">
        <f>'0.结构参数'!L54*100</f>
        <v>60</v>
      </c>
      <c r="H17" s="19">
        <f>'0.结构参数'!K54*100</f>
        <v>70</v>
      </c>
      <c r="I17" s="19">
        <f>('0.结构参数'!M54+'0.结构参数'!N54)/2*100</f>
        <v>1370</v>
      </c>
      <c r="J17" s="67">
        <f t="shared" si="0"/>
        <v>585.414</v>
      </c>
      <c r="K17" s="68">
        <f t="shared" si="1"/>
        <v>641.147</v>
      </c>
      <c r="L17" s="56"/>
      <c r="M17" s="75"/>
      <c r="N17" s="75"/>
      <c r="O17" s="75"/>
      <c r="P17" s="75"/>
      <c r="Q17" s="75"/>
      <c r="R17" s="90"/>
      <c r="S17" s="5"/>
      <c r="T17" s="91"/>
      <c r="U17" s="90"/>
      <c r="V17" s="90"/>
      <c r="W17" s="90"/>
      <c r="Y17" s="85"/>
      <c r="AA17" s="86"/>
      <c r="AB17" s="86"/>
      <c r="IL17" s="5"/>
    </row>
    <row r="18" ht="13.5" customHeight="1" spans="1:246">
      <c r="A18" s="9"/>
      <c r="B18" s="17" t="str">
        <f>'0.结构参数'!A55</f>
        <v>ZU15-1</v>
      </c>
      <c r="C18" s="21">
        <f>MIN('0.结构参数'!I55,'0.结构参数'!J55)*100</f>
        <v>459.598</v>
      </c>
      <c r="D18" s="21">
        <f>MAX('0.结构参数'!I55,'0.结构参数'!J55)*100</f>
        <v>515.33</v>
      </c>
      <c r="E18" s="21">
        <f>MAX('0.结构参数'!E19,'0.结构参数'!F19)*100</f>
        <v>1999.99999999999</v>
      </c>
      <c r="F18" s="21">
        <f>MIN('0.结构参数'!E19,'0.结构参数'!F19)*100</f>
        <v>1999.99999999999</v>
      </c>
      <c r="G18" s="19">
        <f>'0.结构参数'!L55*100</f>
        <v>60</v>
      </c>
      <c r="H18" s="19">
        <f>'0.结构参数'!K55*100</f>
        <v>70</v>
      </c>
      <c r="I18" s="19">
        <f>('0.结构参数'!M55+'0.结构参数'!N55)/2*100</f>
        <v>1370</v>
      </c>
      <c r="J18" s="67">
        <f t="shared" si="0"/>
        <v>529.598</v>
      </c>
      <c r="K18" s="68">
        <f t="shared" si="1"/>
        <v>585.33</v>
      </c>
      <c r="L18" s="56"/>
      <c r="M18" s="75"/>
      <c r="N18" s="75"/>
      <c r="O18" s="75"/>
      <c r="P18" s="75"/>
      <c r="Q18" s="75"/>
      <c r="R18" s="90"/>
      <c r="S18" s="5"/>
      <c r="T18" s="91"/>
      <c r="U18" s="90"/>
      <c r="V18" s="90"/>
      <c r="W18" s="90"/>
      <c r="Y18" s="85"/>
      <c r="AA18" s="86"/>
      <c r="AB18" s="86"/>
      <c r="IL18" s="5"/>
    </row>
    <row r="19" ht="13.5" customHeight="1" spans="1:246">
      <c r="A19" s="9"/>
      <c r="B19" s="17" t="str">
        <f>'0.结构参数'!A56</f>
        <v>ZU16-1</v>
      </c>
      <c r="C19" s="21">
        <f>MIN('0.结构参数'!I56,'0.结构参数'!J56)*100</f>
        <v>403.781</v>
      </c>
      <c r="D19" s="21">
        <f>MAX('0.结构参数'!I56,'0.结构参数'!J56)*100</f>
        <v>459.514</v>
      </c>
      <c r="E19" s="21">
        <f>MAX('0.结构参数'!E20,'0.结构参数'!F20)*100</f>
        <v>2000</v>
      </c>
      <c r="F19" s="21">
        <f>MIN('0.结构参数'!E20,'0.结构参数'!F20)*100</f>
        <v>2000</v>
      </c>
      <c r="G19" s="19">
        <f>'0.结构参数'!L56*100</f>
        <v>50</v>
      </c>
      <c r="H19" s="19">
        <f>'0.结构参数'!K56*100</f>
        <v>60</v>
      </c>
      <c r="I19" s="19">
        <f>('0.结构参数'!M56+'0.结构参数'!N56)/2*100</f>
        <v>1350</v>
      </c>
      <c r="J19" s="67">
        <f t="shared" si="0"/>
        <v>463.781</v>
      </c>
      <c r="K19" s="68">
        <f t="shared" si="1"/>
        <v>519.514</v>
      </c>
      <c r="L19" s="56"/>
      <c r="M19" s="75"/>
      <c r="N19" s="75"/>
      <c r="O19" s="75"/>
      <c r="P19" s="75"/>
      <c r="Q19" s="75"/>
      <c r="R19" s="90"/>
      <c r="S19" s="5"/>
      <c r="T19" s="91"/>
      <c r="U19" s="90"/>
      <c r="V19" s="90"/>
      <c r="W19" s="90"/>
      <c r="Y19" s="85"/>
      <c r="AA19" s="86"/>
      <c r="AB19" s="86"/>
      <c r="IL19" s="5"/>
    </row>
    <row r="20" ht="13.5" customHeight="1" spans="1:246">
      <c r="A20" s="9"/>
      <c r="B20" s="17" t="str">
        <f>'0.结构参数'!A57</f>
        <v>ZU17-1</v>
      </c>
      <c r="C20" s="21">
        <f>MIN('0.结构参数'!I57,'0.结构参数'!J57)*100</f>
        <v>347.965</v>
      </c>
      <c r="D20" s="21">
        <f>MAX('0.结构参数'!I57,'0.结构参数'!J57)*100</f>
        <v>403.698</v>
      </c>
      <c r="E20" s="21">
        <f>MAX('0.结构参数'!E21,'0.结构参数'!F21)*100</f>
        <v>2000</v>
      </c>
      <c r="F20" s="21">
        <f>MIN('0.结构参数'!E21,'0.结构参数'!F21)*100</f>
        <v>2000</v>
      </c>
      <c r="G20" s="19">
        <f>'0.结构参数'!L57*100</f>
        <v>50</v>
      </c>
      <c r="H20" s="19">
        <f>'0.结构参数'!K57*100</f>
        <v>60</v>
      </c>
      <c r="I20" s="19">
        <f>('0.结构参数'!M57+'0.结构参数'!N57)/2*100</f>
        <v>1350</v>
      </c>
      <c r="J20" s="67">
        <f t="shared" si="0"/>
        <v>407.965</v>
      </c>
      <c r="K20" s="68">
        <f t="shared" si="1"/>
        <v>463.698</v>
      </c>
      <c r="L20" s="56"/>
      <c r="M20" s="75"/>
      <c r="N20" s="75"/>
      <c r="O20" s="75"/>
      <c r="P20" s="75"/>
      <c r="Q20" s="75"/>
      <c r="R20" s="90"/>
      <c r="S20" s="5"/>
      <c r="T20" s="91"/>
      <c r="U20" s="90"/>
      <c r="V20" s="90"/>
      <c r="W20" s="90"/>
      <c r="Y20" s="85"/>
      <c r="AA20" s="86"/>
      <c r="AB20" s="86"/>
      <c r="IL20" s="5"/>
    </row>
    <row r="21" ht="13.5" customHeight="1" spans="1:246">
      <c r="A21" s="9"/>
      <c r="B21" s="17" t="str">
        <f>'0.结构参数'!A58</f>
        <v>ZU18-1</v>
      </c>
      <c r="C21" s="21">
        <f>MIN('0.结构参数'!I58,'0.结构参数'!J58)*100</f>
        <v>292.149</v>
      </c>
      <c r="D21" s="21">
        <f>MAX('0.结构参数'!I58,'0.结构参数'!J58)*100</f>
        <v>347.881</v>
      </c>
      <c r="E21" s="21">
        <f>MAX('0.结构参数'!E22,'0.结构参数'!F22)*100</f>
        <v>2000</v>
      </c>
      <c r="F21" s="21">
        <f>MIN('0.结构参数'!E22,'0.结构参数'!F22)*100</f>
        <v>2000</v>
      </c>
      <c r="G21" s="19">
        <f>'0.结构参数'!L58*100</f>
        <v>40</v>
      </c>
      <c r="H21" s="19">
        <f>'0.结构参数'!K58*100</f>
        <v>50</v>
      </c>
      <c r="I21" s="19">
        <f>('0.结构参数'!M58+'0.结构参数'!N58)/2*100</f>
        <v>1336.2</v>
      </c>
      <c r="J21" s="67">
        <f t="shared" si="0"/>
        <v>342.149</v>
      </c>
      <c r="K21" s="68">
        <f t="shared" si="1"/>
        <v>397.881</v>
      </c>
      <c r="L21" s="56"/>
      <c r="M21" s="75"/>
      <c r="N21" s="75"/>
      <c r="O21" s="75"/>
      <c r="P21" s="75"/>
      <c r="Q21" s="75"/>
      <c r="R21" s="90"/>
      <c r="S21" s="5"/>
      <c r="T21" s="91"/>
      <c r="U21" s="90"/>
      <c r="V21" s="90"/>
      <c r="W21" s="90"/>
      <c r="Y21" s="85"/>
      <c r="AA21" s="86"/>
      <c r="AB21" s="86"/>
      <c r="IL21" s="5"/>
    </row>
    <row r="22" ht="13.5" customHeight="1" spans="1:246">
      <c r="A22" s="9"/>
      <c r="B22" s="17" t="str">
        <f>'0.结构参数'!A59</f>
        <v>ZU19-1</v>
      </c>
      <c r="C22" s="21">
        <f>MIN('0.结构参数'!I59,'0.结构参数'!J59)*100</f>
        <v>248.954</v>
      </c>
      <c r="D22" s="21">
        <f>MAX('0.结构参数'!I59,'0.结构参数'!J59)*100</f>
        <v>292.065</v>
      </c>
      <c r="E22" s="21">
        <f>MAX('0.结构参数'!E23,'0.结构参数'!F23)*100</f>
        <v>1547.05</v>
      </c>
      <c r="F22" s="21">
        <f>MIN('0.结构参数'!E23,'0.结构参数'!F23)*100</f>
        <v>1547.05</v>
      </c>
      <c r="G22" s="19">
        <f>'0.结构参数'!L59*100</f>
        <v>30</v>
      </c>
      <c r="H22" s="19">
        <f>'0.结构参数'!K59*100</f>
        <v>40</v>
      </c>
      <c r="I22" s="19">
        <f>('0.结构参数'!M59+'0.结构参数'!N59)/2*100</f>
        <v>1371</v>
      </c>
      <c r="J22" s="67">
        <f t="shared" si="0"/>
        <v>288.954</v>
      </c>
      <c r="K22" s="68">
        <f t="shared" si="1"/>
        <v>332.065</v>
      </c>
      <c r="L22" s="56"/>
      <c r="M22" s="75"/>
      <c r="N22" s="75"/>
      <c r="O22" s="75"/>
      <c r="P22" s="75"/>
      <c r="Q22" s="75"/>
      <c r="R22" s="90"/>
      <c r="S22" s="5"/>
      <c r="T22" s="91"/>
      <c r="U22" s="90"/>
      <c r="V22" s="90"/>
      <c r="W22" s="90"/>
      <c r="Y22" s="85"/>
      <c r="AA22" s="86"/>
      <c r="AB22" s="86"/>
      <c r="IL22" s="5"/>
    </row>
    <row r="23" ht="13.5" customHeight="1" spans="1:246">
      <c r="A23" s="9"/>
      <c r="B23" s="22" t="str">
        <f>'0.结构参数'!A60</f>
        <v>东U10</v>
      </c>
      <c r="C23" s="23">
        <f>MIN('0.结构参数'!I60,'0.结构参数'!J60)*100</f>
        <v>125.466</v>
      </c>
      <c r="D23" s="23">
        <f>MAX('0.结构参数'!I60,'0.结构参数'!J60)*100</f>
        <v>163.657</v>
      </c>
      <c r="E23" s="23">
        <f>MAX('0.结构参数'!E24,'0.结构参数'!F24)*100</f>
        <v>2000</v>
      </c>
      <c r="F23" s="23">
        <f>MIN('0.结构参数'!E24,'0.结构参数'!F24)*100</f>
        <v>2000</v>
      </c>
      <c r="G23" s="24">
        <f>'0.结构参数'!L60*100</f>
        <v>30</v>
      </c>
      <c r="H23" s="24">
        <f>'0.结构参数'!K60*100</f>
        <v>40</v>
      </c>
      <c r="I23" s="24">
        <f>('0.结构参数'!M60+'0.结构参数'!N60)/2*100</f>
        <v>860</v>
      </c>
      <c r="J23" s="76">
        <f t="shared" si="0"/>
        <v>165.466</v>
      </c>
      <c r="K23" s="77">
        <f t="shared" si="1"/>
        <v>203.657</v>
      </c>
      <c r="L23" s="56"/>
      <c r="M23" s="75"/>
      <c r="N23" s="75"/>
      <c r="O23" s="75"/>
      <c r="P23" s="75"/>
      <c r="Q23" s="75"/>
      <c r="R23" s="90"/>
      <c r="T23" s="91"/>
      <c r="U23" s="90"/>
      <c r="V23" s="90"/>
      <c r="W23" s="90"/>
      <c r="Y23" s="85"/>
      <c r="AA23" s="86"/>
      <c r="AB23" s="86"/>
      <c r="IL23" s="5"/>
    </row>
    <row r="24" ht="13.5" customHeight="1" spans="1:246">
      <c r="A24" s="9"/>
      <c r="B24" s="22" t="str">
        <f>'0.结构参数'!A61</f>
        <v>西U10-1</v>
      </c>
      <c r="C24" s="23">
        <f>MIN('0.结构参数'!I61,'0.结构参数'!J61)*100</f>
        <v>130</v>
      </c>
      <c r="D24" s="23">
        <f>MAX('0.结构参数'!I61,'0.结构参数'!J61)*100</f>
        <v>161.126</v>
      </c>
      <c r="E24" s="23">
        <f>MAX('0.结构参数'!E25,'0.结构参数'!F25)*100</f>
        <v>2000</v>
      </c>
      <c r="F24" s="23">
        <f>MIN('0.结构参数'!E25,'0.结构参数'!F25)*100</f>
        <v>2000</v>
      </c>
      <c r="G24" s="24">
        <f>'0.结构参数'!L61*100</f>
        <v>30</v>
      </c>
      <c r="H24" s="24">
        <f>'0.结构参数'!K61*100</f>
        <v>40</v>
      </c>
      <c r="I24" s="24">
        <f>('0.结构参数'!M61+'0.结构参数'!N61)/2*100</f>
        <v>2285</v>
      </c>
      <c r="J24" s="76">
        <f t="shared" si="0"/>
        <v>170</v>
      </c>
      <c r="K24" s="77">
        <f t="shared" si="1"/>
        <v>201.126</v>
      </c>
      <c r="L24" s="56"/>
      <c r="M24" s="75"/>
      <c r="N24" s="75"/>
      <c r="O24" s="75"/>
      <c r="P24" s="75"/>
      <c r="Q24" s="75"/>
      <c r="R24" s="90"/>
      <c r="T24" s="91"/>
      <c r="U24" s="90"/>
      <c r="V24" s="90"/>
      <c r="W24" s="90"/>
      <c r="Y24" s="85"/>
      <c r="AA24" s="86"/>
      <c r="AB24" s="86"/>
      <c r="IL24" s="5"/>
    </row>
    <row r="25" ht="13.5" customHeight="1" spans="1:246">
      <c r="A25" s="9"/>
      <c r="B25" s="22" t="str">
        <f>'0.结构参数'!A62</f>
        <v>西U9-1</v>
      </c>
      <c r="C25" s="23">
        <f>MIN('0.结构参数'!I62,'0.结构参数'!J62)*100</f>
        <v>161.21</v>
      </c>
      <c r="D25" s="23">
        <f>MAX('0.结构参数'!I62,'0.结构参数'!J62)*100</f>
        <v>217.365</v>
      </c>
      <c r="E25" s="23">
        <f>MAX('0.结构参数'!E26,'0.结构参数'!F26)*100</f>
        <v>2000</v>
      </c>
      <c r="F25" s="23">
        <f>MIN('0.结构参数'!E26,'0.结构参数'!F26)*100</f>
        <v>2000</v>
      </c>
      <c r="G25" s="24">
        <f>'0.结构参数'!L62*100</f>
        <v>30</v>
      </c>
      <c r="H25" s="24">
        <f>'0.结构参数'!K62*100</f>
        <v>40</v>
      </c>
      <c r="I25" s="24">
        <f>('0.结构参数'!M62+'0.结构参数'!N62)/2*100</f>
        <v>2285</v>
      </c>
      <c r="J25" s="76">
        <f t="shared" si="0"/>
        <v>201.21</v>
      </c>
      <c r="K25" s="77">
        <f t="shared" si="1"/>
        <v>257.365</v>
      </c>
      <c r="L25" s="56"/>
      <c r="M25" s="75"/>
      <c r="N25" s="75"/>
      <c r="O25" s="75"/>
      <c r="P25" s="75"/>
      <c r="Q25" s="75"/>
      <c r="R25" s="90"/>
      <c r="T25" s="91"/>
      <c r="U25" s="90"/>
      <c r="V25" s="90"/>
      <c r="W25" s="90"/>
      <c r="Y25" s="85"/>
      <c r="AA25" s="86"/>
      <c r="AB25" s="86"/>
      <c r="IL25" s="5"/>
    </row>
    <row r="26" ht="13.5" customHeight="1" spans="1:246">
      <c r="A26" s="9"/>
      <c r="B26" s="22" t="str">
        <f>'0.结构参数'!A63</f>
        <v>西U6-1</v>
      </c>
      <c r="C26" s="23">
        <f>MIN('0.结构参数'!I63,'0.结构参数'!J63)*100</f>
        <v>375.682</v>
      </c>
      <c r="D26" s="23">
        <f>MAX('0.结构参数'!I63,'0.结构参数'!J63)*100</f>
        <v>454.681</v>
      </c>
      <c r="E26" s="23">
        <f>MAX('0.结构参数'!E27,'0.结构参数'!F27)*100</f>
        <v>2000</v>
      </c>
      <c r="F26" s="23">
        <f>MIN('0.结构参数'!E27,'0.结构参数'!F27)*100</f>
        <v>2000</v>
      </c>
      <c r="G26" s="24">
        <f>'0.结构参数'!L63*100</f>
        <v>50</v>
      </c>
      <c r="H26" s="24">
        <f>'0.结构参数'!K63*100</f>
        <v>60</v>
      </c>
      <c r="I26" s="24">
        <f>('0.结构参数'!M63+'0.结构参数'!N63)/2*100</f>
        <v>1350</v>
      </c>
      <c r="J26" s="76">
        <f t="shared" si="0"/>
        <v>435.682</v>
      </c>
      <c r="K26" s="77">
        <f t="shared" si="1"/>
        <v>514.681</v>
      </c>
      <c r="L26" s="56"/>
      <c r="M26" s="75"/>
      <c r="N26" s="75"/>
      <c r="O26" s="75"/>
      <c r="P26" s="75"/>
      <c r="Q26" s="75"/>
      <c r="R26" s="90"/>
      <c r="T26" s="91"/>
      <c r="U26" s="90"/>
      <c r="V26" s="90"/>
      <c r="W26" s="90"/>
      <c r="Y26" s="85"/>
      <c r="AA26" s="86"/>
      <c r="AB26" s="86"/>
      <c r="IL26" s="5"/>
    </row>
    <row r="27" ht="13.5" customHeight="1" spans="1:246">
      <c r="A27" s="9"/>
      <c r="B27" s="22" t="str">
        <f>'0.结构参数'!A64</f>
        <v>西U5-1</v>
      </c>
      <c r="C27" s="23">
        <f>MIN('0.结构参数'!I64,'0.结构参数'!J64)*100</f>
        <v>454.799</v>
      </c>
      <c r="D27" s="23">
        <f>MAX('0.结构参数'!I64,'0.结构参数'!J64)*100</f>
        <v>533.797</v>
      </c>
      <c r="E27" s="23">
        <f>MAX('0.结构参数'!E28,'0.结构参数'!F28)*100</f>
        <v>2000</v>
      </c>
      <c r="F27" s="23">
        <f>MIN('0.结构参数'!E28,'0.结构参数'!F28)*100</f>
        <v>2000</v>
      </c>
      <c r="G27" s="24">
        <f>'0.结构参数'!L64*100</f>
        <v>60</v>
      </c>
      <c r="H27" s="24">
        <f>'0.结构参数'!K64*100</f>
        <v>70</v>
      </c>
      <c r="I27" s="24">
        <f>('0.结构参数'!M64+'0.结构参数'!N64)/2*100</f>
        <v>1370</v>
      </c>
      <c r="J27" s="76">
        <f t="shared" si="0"/>
        <v>524.799</v>
      </c>
      <c r="K27" s="77">
        <f t="shared" si="1"/>
        <v>603.797</v>
      </c>
      <c r="L27" s="56"/>
      <c r="M27" s="75"/>
      <c r="N27" s="75"/>
      <c r="O27" s="75"/>
      <c r="P27" s="75"/>
      <c r="Q27" s="75"/>
      <c r="R27" s="90"/>
      <c r="T27" s="91"/>
      <c r="U27" s="90"/>
      <c r="V27" s="90"/>
      <c r="W27" s="90"/>
      <c r="Y27" s="85"/>
      <c r="AA27" s="86"/>
      <c r="AB27" s="86"/>
      <c r="IL27" s="5"/>
    </row>
    <row r="28" ht="13.5" customHeight="1" spans="1:246">
      <c r="A28" s="9"/>
      <c r="B28" s="22" t="str">
        <f>'0.结构参数'!A65</f>
        <v>西U4-1</v>
      </c>
      <c r="C28" s="23">
        <f>MIN('0.结构参数'!I65,'0.结构参数'!J65)*100</f>
        <v>533.916</v>
      </c>
      <c r="D28" s="23">
        <f>MAX('0.结构参数'!I65,'0.结构参数'!J65)*100</f>
        <v>612.914</v>
      </c>
      <c r="E28" s="23">
        <f>MAX('0.结构参数'!E29,'0.结构参数'!F29)*100</f>
        <v>2000</v>
      </c>
      <c r="F28" s="23">
        <f>MIN('0.结构参数'!E29,'0.结构参数'!F29)*100</f>
        <v>2000</v>
      </c>
      <c r="G28" s="24">
        <f>'0.结构参数'!L65*100</f>
        <v>60</v>
      </c>
      <c r="H28" s="24">
        <f>'0.结构参数'!K65*100</f>
        <v>70</v>
      </c>
      <c r="I28" s="24">
        <f>('0.结构参数'!M65+'0.结构参数'!N65)/2*100</f>
        <v>1370</v>
      </c>
      <c r="J28" s="76">
        <f t="shared" si="0"/>
        <v>603.916</v>
      </c>
      <c r="K28" s="77">
        <f t="shared" si="1"/>
        <v>682.914</v>
      </c>
      <c r="L28" s="56"/>
      <c r="M28" s="75"/>
      <c r="N28" s="75"/>
      <c r="O28" s="75"/>
      <c r="P28" s="75"/>
      <c r="Q28" s="75"/>
      <c r="R28" s="90"/>
      <c r="T28" s="91"/>
      <c r="U28" s="90"/>
      <c r="V28" s="90"/>
      <c r="W28" s="90"/>
      <c r="Y28" s="85"/>
      <c r="AA28" s="86"/>
      <c r="AB28" s="86"/>
      <c r="IL28" s="5"/>
    </row>
    <row r="29" ht="13.5" customHeight="1" spans="1:246">
      <c r="A29" s="9"/>
      <c r="B29" s="22" t="str">
        <f>'0.结构参数'!A66</f>
        <v>西U3-1</v>
      </c>
      <c r="C29" s="23">
        <f>MIN('0.结构参数'!I66,'0.结构参数'!J66)*100</f>
        <v>613.033</v>
      </c>
      <c r="D29" s="23">
        <f>MAX('0.结构参数'!I66,'0.结构参数'!J66)*100</f>
        <v>669.325</v>
      </c>
      <c r="E29" s="23">
        <f>MAX('0.结构参数'!E30,'0.结构参数'!F30)*100</f>
        <v>2000</v>
      </c>
      <c r="F29" s="23">
        <f>MIN('0.结构参数'!E30,'0.结构参数'!F30)*100</f>
        <v>2000</v>
      </c>
      <c r="G29" s="24">
        <f>'0.结构参数'!L66*100</f>
        <v>70</v>
      </c>
      <c r="H29" s="24">
        <f>'0.结构参数'!K66*100</f>
        <v>80</v>
      </c>
      <c r="I29" s="24">
        <f>('0.结构参数'!M66+'0.结构参数'!N66)/2*100</f>
        <v>1390</v>
      </c>
      <c r="J29" s="76">
        <f t="shared" si="0"/>
        <v>693.033</v>
      </c>
      <c r="K29" s="77">
        <f t="shared" si="1"/>
        <v>749.325</v>
      </c>
      <c r="L29" s="56"/>
      <c r="M29" s="75"/>
      <c r="N29" s="75"/>
      <c r="O29" s="75"/>
      <c r="P29" s="75"/>
      <c r="Q29" s="75"/>
      <c r="R29" s="90"/>
      <c r="T29" s="91"/>
      <c r="U29" s="90"/>
      <c r="V29" s="90"/>
      <c r="W29" s="90"/>
      <c r="Y29" s="85"/>
      <c r="AA29" s="86"/>
      <c r="AB29" s="86"/>
      <c r="IL29" s="5"/>
    </row>
    <row r="30" ht="13.5" customHeight="1" spans="1:246">
      <c r="A30" s="9"/>
      <c r="B30" s="22" t="str">
        <f>'0.结构参数'!A67</f>
        <v>西U2-1</v>
      </c>
      <c r="C30" s="23">
        <f>MIN('0.结构参数'!I67,'0.结构参数'!J67)*100</f>
        <v>669.41</v>
      </c>
      <c r="D30" s="23">
        <f>MAX('0.结构参数'!I67,'0.结构参数'!J67)*100</f>
        <v>725.702</v>
      </c>
      <c r="E30" s="23">
        <f>MAX('0.结构参数'!E31,'0.结构参数'!F31)*100</f>
        <v>2000</v>
      </c>
      <c r="F30" s="23">
        <f>MIN('0.结构参数'!E31,'0.结构参数'!F31)*100</f>
        <v>2000</v>
      </c>
      <c r="G30" s="24">
        <f>'0.结构参数'!L67*100</f>
        <v>70</v>
      </c>
      <c r="H30" s="24">
        <f>'0.结构参数'!K67*100</f>
        <v>80</v>
      </c>
      <c r="I30" s="24">
        <f>('0.结构参数'!M67+'0.结构参数'!N67)/2*100</f>
        <v>2667</v>
      </c>
      <c r="J30" s="76">
        <f t="shared" si="0"/>
        <v>749.41</v>
      </c>
      <c r="K30" s="77">
        <f t="shared" si="1"/>
        <v>805.702</v>
      </c>
      <c r="L30" s="56"/>
      <c r="M30" s="75"/>
      <c r="N30" s="75"/>
      <c r="O30" s="75"/>
      <c r="P30" s="75"/>
      <c r="Q30" s="75"/>
      <c r="R30" s="90"/>
      <c r="T30" s="91"/>
      <c r="U30" s="90"/>
      <c r="V30" s="90"/>
      <c r="W30" s="90"/>
      <c r="Y30" s="85"/>
      <c r="AA30" s="86"/>
      <c r="AB30" s="86"/>
      <c r="IL30" s="5"/>
    </row>
    <row r="31" ht="13.5" customHeight="1" spans="1:246">
      <c r="A31" s="9"/>
      <c r="B31" s="22" t="str">
        <f>'0.结构参数'!A68</f>
        <v>西U6-2</v>
      </c>
      <c r="C31" s="23">
        <f>MIN('0.结构参数'!I68,'0.结构参数'!J68)*100</f>
        <v>375.682</v>
      </c>
      <c r="D31" s="23">
        <f>MAX('0.结构参数'!I68,'0.结构参数'!J68)*100</f>
        <v>454.681</v>
      </c>
      <c r="E31" s="23">
        <f>MAX('0.结构参数'!E32,'0.结构参数'!F32)*100</f>
        <v>2000</v>
      </c>
      <c r="F31" s="23">
        <f>MIN('0.结构参数'!E32,'0.结构参数'!F32)*100</f>
        <v>2000</v>
      </c>
      <c r="G31" s="24">
        <f>'0.结构参数'!L68*100</f>
        <v>50</v>
      </c>
      <c r="H31" s="24">
        <f>'0.结构参数'!K68*100</f>
        <v>60</v>
      </c>
      <c r="I31" s="24">
        <f>('0.结构参数'!M68+'0.结构参数'!N68)/2*100</f>
        <v>954.5</v>
      </c>
      <c r="J31" s="76">
        <f t="shared" si="0"/>
        <v>435.682</v>
      </c>
      <c r="K31" s="77">
        <f t="shared" si="1"/>
        <v>514.681</v>
      </c>
      <c r="L31" s="56"/>
      <c r="M31" s="75"/>
      <c r="N31" s="75"/>
      <c r="O31" s="75"/>
      <c r="P31" s="75"/>
      <c r="Q31" s="75"/>
      <c r="R31" s="90"/>
      <c r="T31" s="91"/>
      <c r="U31" s="90"/>
      <c r="V31" s="90"/>
      <c r="W31" s="90"/>
      <c r="Y31" s="85"/>
      <c r="AA31" s="86"/>
      <c r="AB31" s="86"/>
      <c r="IL31" s="5"/>
    </row>
    <row r="32" ht="13.5" customHeight="1" spans="1:246">
      <c r="A32" s="9"/>
      <c r="B32" s="22" t="str">
        <f>'0.结构参数'!A69</f>
        <v>西U5-2</v>
      </c>
      <c r="C32" s="23">
        <f>MIN('0.结构参数'!I69,'0.结构参数'!J69)*100</f>
        <v>454.799</v>
      </c>
      <c r="D32" s="23">
        <f>MAX('0.结构参数'!I69,'0.结构参数'!J69)*100</f>
        <v>533.797</v>
      </c>
      <c r="E32" s="23">
        <f>MAX('0.结构参数'!E33,'0.结构参数'!F33)*100</f>
        <v>2000</v>
      </c>
      <c r="F32" s="23">
        <f>MIN('0.结构参数'!E33,'0.结构参数'!F33)*100</f>
        <v>2000</v>
      </c>
      <c r="G32" s="24">
        <f>'0.结构参数'!L69*100</f>
        <v>60</v>
      </c>
      <c r="H32" s="24">
        <f>'0.结构参数'!K69*100</f>
        <v>70</v>
      </c>
      <c r="I32" s="24">
        <f>('0.结构参数'!M69+'0.结构参数'!N69)/2*100</f>
        <v>974.5</v>
      </c>
      <c r="J32" s="76">
        <f t="shared" si="0"/>
        <v>524.799</v>
      </c>
      <c r="K32" s="77">
        <f t="shared" si="1"/>
        <v>603.797</v>
      </c>
      <c r="L32" s="56"/>
      <c r="M32" s="75"/>
      <c r="N32" s="75"/>
      <c r="O32" s="75"/>
      <c r="P32" s="75"/>
      <c r="Q32" s="75"/>
      <c r="R32" s="90"/>
      <c r="T32" s="91"/>
      <c r="U32" s="90"/>
      <c r="V32" s="90"/>
      <c r="W32" s="90"/>
      <c r="Y32" s="85"/>
      <c r="AA32" s="86"/>
      <c r="AB32" s="86"/>
      <c r="IL32" s="5"/>
    </row>
    <row r="33" ht="13.5" customHeight="1" spans="1:246">
      <c r="A33" s="9"/>
      <c r="B33" s="22" t="str">
        <f>'0.结构参数'!A70</f>
        <v>西U4-2</v>
      </c>
      <c r="C33" s="23">
        <f>MIN('0.结构参数'!I70,'0.结构参数'!J70)*100</f>
        <v>533.916</v>
      </c>
      <c r="D33" s="23">
        <f>MAX('0.结构参数'!I70,'0.结构参数'!J70)*100</f>
        <v>612.914</v>
      </c>
      <c r="E33" s="23">
        <f>MAX('0.结构参数'!E34,'0.结构参数'!F34)*100</f>
        <v>2000</v>
      </c>
      <c r="F33" s="23">
        <f>MIN('0.结构参数'!E34,'0.结构参数'!F34)*100</f>
        <v>2000</v>
      </c>
      <c r="G33" s="24">
        <f>'0.结构参数'!L70*100</f>
        <v>60</v>
      </c>
      <c r="H33" s="24">
        <f>'0.结构参数'!K70*100</f>
        <v>70</v>
      </c>
      <c r="I33" s="24">
        <f>('0.结构参数'!M70+'0.结构参数'!N70)/2*100</f>
        <v>920</v>
      </c>
      <c r="J33" s="76">
        <f t="shared" si="0"/>
        <v>603.916</v>
      </c>
      <c r="K33" s="77">
        <f t="shared" si="1"/>
        <v>682.914</v>
      </c>
      <c r="L33" s="56"/>
      <c r="M33" s="75"/>
      <c r="N33" s="75"/>
      <c r="O33" s="75"/>
      <c r="P33" s="75"/>
      <c r="Q33" s="75"/>
      <c r="R33" s="90"/>
      <c r="T33" s="91"/>
      <c r="U33" s="90"/>
      <c r="V33" s="90"/>
      <c r="W33" s="90"/>
      <c r="Y33" s="85"/>
      <c r="AA33" s="86"/>
      <c r="AB33" s="86"/>
      <c r="IL33" s="5"/>
    </row>
    <row r="34" ht="13.5" customHeight="1" spans="1:246">
      <c r="A34" s="9"/>
      <c r="B34" s="22" t="str">
        <f>'0.结构参数'!A71</f>
        <v>西U3-2</v>
      </c>
      <c r="C34" s="23">
        <f>MIN('0.结构参数'!I71,'0.结构参数'!J71)*100</f>
        <v>613.033</v>
      </c>
      <c r="D34" s="23">
        <f>MAX('0.结构参数'!I71,'0.结构参数'!J71)*100</f>
        <v>669.325</v>
      </c>
      <c r="E34" s="23">
        <f>MAX('0.结构参数'!E35,'0.结构参数'!F35)*100</f>
        <v>2000</v>
      </c>
      <c r="F34" s="23">
        <f>MIN('0.结构参数'!E35,'0.结构参数'!F35)*100</f>
        <v>2000</v>
      </c>
      <c r="G34" s="24">
        <f>'0.结构参数'!L71*100</f>
        <v>70</v>
      </c>
      <c r="H34" s="24">
        <f>'0.结构参数'!K71*100</f>
        <v>80</v>
      </c>
      <c r="I34" s="24">
        <f>('0.结构参数'!M71+'0.结构参数'!N71)/2*100</f>
        <v>1243</v>
      </c>
      <c r="J34" s="76">
        <f t="shared" si="0"/>
        <v>693.033</v>
      </c>
      <c r="K34" s="77">
        <f t="shared" si="1"/>
        <v>749.325</v>
      </c>
      <c r="L34" s="56"/>
      <c r="M34" s="75"/>
      <c r="N34" s="75"/>
      <c r="O34" s="75"/>
      <c r="P34" s="75"/>
      <c r="Q34" s="75"/>
      <c r="R34" s="90"/>
      <c r="T34" s="91"/>
      <c r="U34" s="90"/>
      <c r="V34" s="90"/>
      <c r="W34" s="90"/>
      <c r="Y34" s="85"/>
      <c r="AA34" s="86"/>
      <c r="AB34" s="86"/>
      <c r="IL34" s="5"/>
    </row>
    <row r="35" ht="13.5" customHeight="1" spans="1:246">
      <c r="A35" s="9"/>
      <c r="B35" s="22">
        <f>'0.结构参数'!A72</f>
        <v>0</v>
      </c>
      <c r="C35" s="23">
        <f>MIN('0.结构参数'!I72,'0.结构参数'!J72)*100</f>
        <v>0</v>
      </c>
      <c r="D35" s="23">
        <f>MAX('0.结构参数'!I72,'0.结构参数'!J72)*100</f>
        <v>0</v>
      </c>
      <c r="E35" s="23">
        <f>MAX('0.结构参数'!E36,'0.结构参数'!F36)*100</f>
        <v>0</v>
      </c>
      <c r="F35" s="23">
        <f>MIN('0.结构参数'!E36,'0.结构参数'!F36)*100</f>
        <v>0</v>
      </c>
      <c r="G35" s="24">
        <f>'0.结构参数'!L72*100</f>
        <v>30</v>
      </c>
      <c r="H35" s="24">
        <f>'0.结构参数'!K72*100</f>
        <v>40</v>
      </c>
      <c r="I35" s="24">
        <f>('0.结构参数'!M72+'0.结构参数'!N72)/2*100</f>
        <v>60</v>
      </c>
      <c r="J35" s="76">
        <f t="shared" si="0"/>
        <v>40</v>
      </c>
      <c r="K35" s="77">
        <f t="shared" si="1"/>
        <v>40</v>
      </c>
      <c r="L35" s="56"/>
      <c r="M35" s="72"/>
      <c r="N35" s="72"/>
      <c r="O35" s="72"/>
      <c r="P35" s="72"/>
      <c r="Q35" s="72"/>
      <c r="R35" s="90"/>
      <c r="T35" s="91"/>
      <c r="U35" s="90"/>
      <c r="V35" s="90"/>
      <c r="W35" s="90"/>
      <c r="IL35" s="5"/>
    </row>
    <row r="36" ht="13.5" customHeight="1" spans="1:245">
      <c r="A36" s="9"/>
      <c r="B36" s="25"/>
      <c r="C36" s="26"/>
      <c r="D36" s="26"/>
      <c r="E36" s="27"/>
      <c r="F36" s="27"/>
      <c r="G36" s="28"/>
      <c r="H36" s="28"/>
      <c r="I36" s="28"/>
      <c r="J36" s="78"/>
      <c r="K36" s="79"/>
      <c r="L36" s="56"/>
      <c r="M36" s="7"/>
      <c r="N36" s="7"/>
      <c r="O36" s="7"/>
      <c r="P36" s="7"/>
      <c r="Q36" s="7"/>
      <c r="R36" s="90"/>
      <c r="T36" s="91"/>
      <c r="U36" s="90"/>
      <c r="V36" s="90"/>
      <c r="W36" s="90"/>
      <c r="IJ36" s="7"/>
      <c r="IK36" s="7"/>
    </row>
    <row r="37" s="3" customFormat="1" ht="39.95" customHeight="1" spans="1:242">
      <c r="A37" s="29"/>
      <c r="B37" s="30"/>
      <c r="C37" s="31"/>
      <c r="D37" s="31"/>
      <c r="E37" s="32"/>
      <c r="F37" s="33" t="s">
        <v>239</v>
      </c>
      <c r="G37" s="34"/>
      <c r="H37" s="34"/>
      <c r="I37" s="80"/>
      <c r="J37" s="34"/>
      <c r="K37" s="33"/>
      <c r="L37" s="33"/>
      <c r="M37" s="33"/>
      <c r="N37" s="33"/>
      <c r="O37" s="33"/>
      <c r="P37" s="33" t="s">
        <v>240</v>
      </c>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row>
    <row r="38" ht="27" spans="1:27">
      <c r="A38" s="9" t="s">
        <v>241</v>
      </c>
      <c r="B38" s="35" t="s">
        <v>242</v>
      </c>
      <c r="C38" s="36" t="s">
        <v>243</v>
      </c>
      <c r="D38" s="37" t="s">
        <v>244</v>
      </c>
      <c r="E38" s="36" t="s">
        <v>245</v>
      </c>
      <c r="F38" s="38" t="s">
        <v>246</v>
      </c>
      <c r="G38" s="38" t="s">
        <v>247</v>
      </c>
      <c r="H38" s="39" t="s">
        <v>248</v>
      </c>
      <c r="I38" s="81" t="s">
        <v>249</v>
      </c>
      <c r="J38" s="38" t="s">
        <v>250</v>
      </c>
      <c r="K38" s="36" t="s">
        <v>251</v>
      </c>
      <c r="L38" s="36" t="s">
        <v>252</v>
      </c>
      <c r="M38" s="37" t="s">
        <v>253</v>
      </c>
      <c r="N38" s="36" t="s">
        <v>254</v>
      </c>
      <c r="O38" s="38" t="s">
        <v>255</v>
      </c>
      <c r="P38" s="38" t="s">
        <v>256</v>
      </c>
      <c r="Q38" s="36" t="s">
        <v>257</v>
      </c>
      <c r="R38" s="38" t="s">
        <v>258</v>
      </c>
      <c r="S38" s="92" t="s">
        <v>259</v>
      </c>
      <c r="T38" s="38" t="s">
        <v>260</v>
      </c>
      <c r="U38" s="39" t="s">
        <v>261</v>
      </c>
      <c r="V38" s="38" t="s">
        <v>262</v>
      </c>
      <c r="W38" s="38" t="s">
        <v>263</v>
      </c>
      <c r="X38" s="38" t="s">
        <v>264</v>
      </c>
      <c r="Y38" s="38" t="s">
        <v>265</v>
      </c>
      <c r="Z38" s="104" t="s">
        <v>266</v>
      </c>
      <c r="AA38" s="105" t="s">
        <v>267</v>
      </c>
    </row>
    <row r="39" s="2" customFormat="1" ht="20.1" customHeight="1" spans="1:245">
      <c r="A39" s="20"/>
      <c r="B39" s="40" t="str">
        <f>B4</f>
        <v>ZU1-1</v>
      </c>
      <c r="C39" s="41">
        <f>VLOOKUP(B39,$B$4:$K$36,8,0)</f>
        <v>1310</v>
      </c>
      <c r="D39" s="42">
        <f>ROUNDDOWN((C39/E39-1),0)</f>
        <v>103</v>
      </c>
      <c r="E39" s="43">
        <f>12.5</f>
        <v>12.5</v>
      </c>
      <c r="F39" s="44">
        <f>C39-D39*E39-2*J39</f>
        <v>6.5</v>
      </c>
      <c r="G39" s="41">
        <f>VLOOKUP(B39,$B$4:$J$72,6,0)</f>
        <v>30</v>
      </c>
      <c r="H39" s="45">
        <v>2</v>
      </c>
      <c r="I39" s="41">
        <f>(G39-J39*2)/H39</f>
        <v>7</v>
      </c>
      <c r="J39" s="43">
        <v>8</v>
      </c>
      <c r="K39" s="41">
        <f>VLOOKUP(B39,$B$4:$K$36,2,0)</f>
        <v>179.116</v>
      </c>
      <c r="L39" s="41">
        <f>VLOOKUP(B39,$B$4:$K$36,3,0)</f>
        <v>211.515</v>
      </c>
      <c r="M39" s="82">
        <f>ROUND((L39-5)/12.5,0)-1</f>
        <v>16</v>
      </c>
      <c r="N39" s="41">
        <f>(L39-5-P39)/M39</f>
        <v>12.4071875</v>
      </c>
      <c r="O39" s="41">
        <f>(K39-P39-5)/M39</f>
        <v>10.38225</v>
      </c>
      <c r="P39" s="43">
        <v>8</v>
      </c>
      <c r="Q39" s="41">
        <f>VLOOKUP($B39,$B$4:$K$36,7,0)</f>
        <v>40</v>
      </c>
      <c r="R39" s="45">
        <f>H39+1</f>
        <v>3</v>
      </c>
      <c r="S39" s="41">
        <f>(Q39-2*J39)/R39</f>
        <v>8</v>
      </c>
      <c r="T39" s="93">
        <f>VLOOKUP($B39,$B$4:$K$36,4,0)</f>
        <v>2000</v>
      </c>
      <c r="U39" s="93">
        <f>ROUNDDOWN(T39/V39,0)-1</f>
        <v>159</v>
      </c>
      <c r="V39" s="94">
        <v>12.5</v>
      </c>
      <c r="W39" s="93">
        <f>VLOOKUP($B39,$B$4:$K$36,5,0)</f>
        <v>2000</v>
      </c>
      <c r="X39" s="95">
        <f>U39</f>
        <v>159</v>
      </c>
      <c r="Y39" s="41">
        <f>(W39-Z39*2)/X39</f>
        <v>12.5</v>
      </c>
      <c r="Z39" s="106">
        <f>(T39-U39*V39)/2</f>
        <v>6.25</v>
      </c>
      <c r="AA39" s="107">
        <f>L39-M39*12.5-5</f>
        <v>6.51499999999999</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row>
    <row r="40" s="2" customFormat="1" ht="19.5" customHeight="1" spans="1:245">
      <c r="A40" s="20"/>
      <c r="B40" s="40" t="str">
        <f t="shared" ref="B40:B62" si="2">B5</f>
        <v>ZU2-1</v>
      </c>
      <c r="C40" s="41">
        <f t="shared" ref="C40:C62" si="3">VLOOKUP(B40,$B$4:$K$36,8,0)</f>
        <v>1310</v>
      </c>
      <c r="D40" s="42">
        <f t="shared" ref="D40:D62" si="4">ROUNDDOWN((C40/E40-1),0)</f>
        <v>103</v>
      </c>
      <c r="E40" s="43">
        <f t="shared" ref="E40:E49" si="5">12.5</f>
        <v>12.5</v>
      </c>
      <c r="F40" s="44">
        <f t="shared" ref="F40:F62" si="6">C40-D40*E40-2*J40</f>
        <v>6.5</v>
      </c>
      <c r="G40" s="41">
        <f t="shared" ref="G40:G62" si="7">VLOOKUP(B40,$B$4:$J$72,6,0)</f>
        <v>30</v>
      </c>
      <c r="H40" s="45">
        <v>2</v>
      </c>
      <c r="I40" s="41">
        <f t="shared" ref="I40:I62" si="8">(G40-J40*2)/H40</f>
        <v>7</v>
      </c>
      <c r="J40" s="43">
        <v>8</v>
      </c>
      <c r="K40" s="41">
        <f t="shared" ref="K40:K62" si="9">VLOOKUP(B40,$B$4:$K$36,2,0)</f>
        <v>211.604</v>
      </c>
      <c r="L40" s="41">
        <f t="shared" ref="L40:L62" si="10">VLOOKUP(B40,$B$4:$K$36,3,0)</f>
        <v>271.065</v>
      </c>
      <c r="M40" s="82">
        <f t="shared" ref="M40:M62" si="11">ROUND((L40-5)/12.5,0)-1</f>
        <v>20</v>
      </c>
      <c r="N40" s="41">
        <f t="shared" ref="N40:N62" si="12">(L40-5-P40)/M40</f>
        <v>12.90325</v>
      </c>
      <c r="O40" s="41">
        <f t="shared" ref="O40:O62" si="13">(K40-P40-5)/M40</f>
        <v>9.9302</v>
      </c>
      <c r="P40" s="43">
        <v>8</v>
      </c>
      <c r="Q40" s="41">
        <f t="shared" ref="Q40:Q62" si="14">VLOOKUP($B40,$B$4:$K$36,7,0)</f>
        <v>40</v>
      </c>
      <c r="R40" s="45">
        <f>H40+1</f>
        <v>3</v>
      </c>
      <c r="S40" s="41">
        <f t="shared" ref="S40:S62" si="15">(Q40-2*J40)/R40</f>
        <v>8</v>
      </c>
      <c r="T40" s="93">
        <f t="shared" ref="T40:T62" si="16">VLOOKUP($B40,$B$4:$K$36,4,0)</f>
        <v>2000</v>
      </c>
      <c r="U40" s="93">
        <f t="shared" ref="U40:U62" si="17">ROUNDDOWN(T40/V40,0)-1</f>
        <v>159</v>
      </c>
      <c r="V40" s="94">
        <v>12.5</v>
      </c>
      <c r="W40" s="93">
        <f t="shared" ref="W40:W62" si="18">VLOOKUP($B40,$B$4:$K$36,5,0)</f>
        <v>2000</v>
      </c>
      <c r="X40" s="95">
        <f t="shared" ref="X40:X62" si="19">U40</f>
        <v>159</v>
      </c>
      <c r="Y40" s="41">
        <f t="shared" ref="Y40:Y62" si="20">(W40-Z40*2)/X40</f>
        <v>12.5</v>
      </c>
      <c r="Z40" s="106">
        <f t="shared" ref="Z40:Z62" si="21">(T40-U40*V40)/2</f>
        <v>6.25</v>
      </c>
      <c r="AA40" s="107">
        <f t="shared" ref="AA40:AA62" si="22">L40-M40*12.5-5</f>
        <v>16.065</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row>
    <row r="41" s="2" customFormat="1" ht="20.1" customHeight="1" spans="1:245">
      <c r="A41" s="46"/>
      <c r="B41" s="40" t="str">
        <f t="shared" si="2"/>
        <v>ZU3-1</v>
      </c>
      <c r="C41" s="41">
        <f t="shared" si="3"/>
        <v>1330</v>
      </c>
      <c r="D41" s="42">
        <f t="shared" si="4"/>
        <v>105</v>
      </c>
      <c r="E41" s="43">
        <f t="shared" si="5"/>
        <v>12.5</v>
      </c>
      <c r="F41" s="44">
        <f t="shared" si="6"/>
        <v>1.5</v>
      </c>
      <c r="G41" s="41">
        <f t="shared" si="7"/>
        <v>40</v>
      </c>
      <c r="H41" s="45">
        <v>2</v>
      </c>
      <c r="I41" s="41">
        <f t="shared" si="8"/>
        <v>12</v>
      </c>
      <c r="J41" s="43">
        <v>8</v>
      </c>
      <c r="K41" s="41">
        <f t="shared" si="9"/>
        <v>271.154</v>
      </c>
      <c r="L41" s="41">
        <f t="shared" si="10"/>
        <v>330.615</v>
      </c>
      <c r="M41" s="82">
        <f t="shared" si="11"/>
        <v>25</v>
      </c>
      <c r="N41" s="41">
        <f t="shared" si="12"/>
        <v>12.7046</v>
      </c>
      <c r="O41" s="41">
        <f t="shared" si="13"/>
        <v>10.32616</v>
      </c>
      <c r="P41" s="43">
        <v>8</v>
      </c>
      <c r="Q41" s="41">
        <f t="shared" si="14"/>
        <v>50</v>
      </c>
      <c r="R41" s="45">
        <v>4</v>
      </c>
      <c r="S41" s="41">
        <f t="shared" si="15"/>
        <v>8.5</v>
      </c>
      <c r="T41" s="93">
        <f t="shared" si="16"/>
        <v>2000</v>
      </c>
      <c r="U41" s="93">
        <f t="shared" si="17"/>
        <v>159</v>
      </c>
      <c r="V41" s="94">
        <v>12.5</v>
      </c>
      <c r="W41" s="93">
        <f t="shared" si="18"/>
        <v>2000</v>
      </c>
      <c r="X41" s="95">
        <f t="shared" si="19"/>
        <v>159</v>
      </c>
      <c r="Y41" s="41">
        <f t="shared" si="20"/>
        <v>12.5</v>
      </c>
      <c r="Z41" s="106">
        <f t="shared" si="21"/>
        <v>6.25</v>
      </c>
      <c r="AA41" s="107">
        <f t="shared" si="22"/>
        <v>13.115</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row>
    <row r="42" ht="19.5" customHeight="1" spans="1:28">
      <c r="A42" s="9"/>
      <c r="B42" s="40" t="str">
        <f t="shared" si="2"/>
        <v>ZU4-1</v>
      </c>
      <c r="C42" s="41">
        <f t="shared" si="3"/>
        <v>1330</v>
      </c>
      <c r="D42" s="42">
        <f t="shared" si="4"/>
        <v>105</v>
      </c>
      <c r="E42" s="43">
        <f t="shared" si="5"/>
        <v>12.5</v>
      </c>
      <c r="F42" s="44">
        <f t="shared" si="6"/>
        <v>1.5</v>
      </c>
      <c r="G42" s="41">
        <f t="shared" si="7"/>
        <v>40</v>
      </c>
      <c r="H42" s="45">
        <v>3</v>
      </c>
      <c r="I42" s="41">
        <f t="shared" si="8"/>
        <v>8</v>
      </c>
      <c r="J42" s="43">
        <v>8</v>
      </c>
      <c r="K42" s="41">
        <f t="shared" si="9"/>
        <v>330.704</v>
      </c>
      <c r="L42" s="41">
        <f t="shared" si="10"/>
        <v>390.165</v>
      </c>
      <c r="M42" s="82">
        <f t="shared" si="11"/>
        <v>30</v>
      </c>
      <c r="N42" s="41">
        <f t="shared" si="12"/>
        <v>12.5721666666667</v>
      </c>
      <c r="O42" s="41">
        <f t="shared" si="13"/>
        <v>10.5901333333333</v>
      </c>
      <c r="P42" s="43">
        <v>8</v>
      </c>
      <c r="Q42" s="41">
        <f t="shared" si="14"/>
        <v>50</v>
      </c>
      <c r="R42" s="45">
        <f>H42+1</f>
        <v>4</v>
      </c>
      <c r="S42" s="41">
        <f t="shared" si="15"/>
        <v>8.5</v>
      </c>
      <c r="T42" s="93">
        <f t="shared" si="16"/>
        <v>2000</v>
      </c>
      <c r="U42" s="93">
        <f t="shared" si="17"/>
        <v>159</v>
      </c>
      <c r="V42" s="94">
        <v>12.5</v>
      </c>
      <c r="W42" s="93">
        <f t="shared" si="18"/>
        <v>2000</v>
      </c>
      <c r="X42" s="95">
        <f t="shared" si="19"/>
        <v>159</v>
      </c>
      <c r="Y42" s="41">
        <f t="shared" si="20"/>
        <v>12.5</v>
      </c>
      <c r="Z42" s="106">
        <f t="shared" si="21"/>
        <v>6.25</v>
      </c>
      <c r="AA42" s="107">
        <f t="shared" si="22"/>
        <v>10.165</v>
      </c>
      <c r="AB42" s="4"/>
    </row>
    <row r="43" s="4" customFormat="1" ht="20.1" customHeight="1" spans="1:27">
      <c r="A43" s="46"/>
      <c r="B43" s="40" t="str">
        <f t="shared" si="2"/>
        <v>ZU5-1</v>
      </c>
      <c r="C43" s="41">
        <f t="shared" si="3"/>
        <v>1350</v>
      </c>
      <c r="D43" s="42">
        <f>ROUNDDOWN((C43/E43-2),0)</f>
        <v>106</v>
      </c>
      <c r="E43" s="43">
        <f t="shared" si="5"/>
        <v>12.5</v>
      </c>
      <c r="F43" s="44">
        <f t="shared" si="6"/>
        <v>9</v>
      </c>
      <c r="G43" s="41">
        <f t="shared" si="7"/>
        <v>50</v>
      </c>
      <c r="H43" s="45">
        <v>4</v>
      </c>
      <c r="I43" s="41">
        <f t="shared" si="8"/>
        <v>8.5</v>
      </c>
      <c r="J43" s="43">
        <v>8</v>
      </c>
      <c r="K43" s="41">
        <f t="shared" si="9"/>
        <v>390.255</v>
      </c>
      <c r="L43" s="41">
        <f t="shared" si="10"/>
        <v>449.716</v>
      </c>
      <c r="M43" s="82">
        <f t="shared" si="11"/>
        <v>35</v>
      </c>
      <c r="N43" s="41">
        <f t="shared" si="12"/>
        <v>12.4776</v>
      </c>
      <c r="O43" s="41">
        <f t="shared" si="13"/>
        <v>10.7787142857143</v>
      </c>
      <c r="P43" s="43">
        <v>8</v>
      </c>
      <c r="Q43" s="41">
        <f t="shared" si="14"/>
        <v>60</v>
      </c>
      <c r="R43" s="45">
        <v>4</v>
      </c>
      <c r="S43" s="41">
        <f t="shared" si="15"/>
        <v>11</v>
      </c>
      <c r="T43" s="93">
        <f t="shared" si="16"/>
        <v>2000</v>
      </c>
      <c r="U43" s="93">
        <f t="shared" si="17"/>
        <v>159</v>
      </c>
      <c r="V43" s="94">
        <v>12.5</v>
      </c>
      <c r="W43" s="93">
        <f t="shared" si="18"/>
        <v>2000</v>
      </c>
      <c r="X43" s="95">
        <f t="shared" si="19"/>
        <v>159</v>
      </c>
      <c r="Y43" s="41">
        <f t="shared" si="20"/>
        <v>12.5</v>
      </c>
      <c r="Z43" s="106">
        <f t="shared" si="21"/>
        <v>6.25</v>
      </c>
      <c r="AA43" s="107">
        <f t="shared" si="22"/>
        <v>7.21600000000001</v>
      </c>
    </row>
    <row r="44" s="4" customFormat="1" ht="19.5" customHeight="1" spans="1:27">
      <c r="A44" s="46"/>
      <c r="B44" s="40" t="str">
        <f t="shared" si="2"/>
        <v>ZU6-1</v>
      </c>
      <c r="C44" s="41">
        <f t="shared" si="3"/>
        <v>1370</v>
      </c>
      <c r="D44" s="42">
        <f t="shared" si="4"/>
        <v>108</v>
      </c>
      <c r="E44" s="43">
        <f t="shared" si="5"/>
        <v>12.5</v>
      </c>
      <c r="F44" s="44">
        <f t="shared" si="6"/>
        <v>4</v>
      </c>
      <c r="G44" s="41">
        <f t="shared" si="7"/>
        <v>60</v>
      </c>
      <c r="H44" s="45">
        <v>4</v>
      </c>
      <c r="I44" s="41">
        <f t="shared" si="8"/>
        <v>11</v>
      </c>
      <c r="J44" s="43">
        <v>8</v>
      </c>
      <c r="K44" s="41">
        <f t="shared" si="9"/>
        <v>449.832</v>
      </c>
      <c r="L44" s="41">
        <f t="shared" si="10"/>
        <v>527.6</v>
      </c>
      <c r="M44" s="82">
        <f t="shared" si="11"/>
        <v>41</v>
      </c>
      <c r="N44" s="41">
        <f t="shared" si="12"/>
        <v>12.5512195121951</v>
      </c>
      <c r="O44" s="41">
        <f t="shared" si="13"/>
        <v>10.6544390243902</v>
      </c>
      <c r="P44" s="43">
        <v>8</v>
      </c>
      <c r="Q44" s="41">
        <f t="shared" si="14"/>
        <v>70</v>
      </c>
      <c r="R44" s="45">
        <v>6</v>
      </c>
      <c r="S44" s="41">
        <f t="shared" si="15"/>
        <v>9</v>
      </c>
      <c r="T44" s="93">
        <f t="shared" si="16"/>
        <v>2000</v>
      </c>
      <c r="U44" s="93">
        <f t="shared" si="17"/>
        <v>159</v>
      </c>
      <c r="V44" s="94">
        <v>12.5</v>
      </c>
      <c r="W44" s="93">
        <f t="shared" si="18"/>
        <v>2000</v>
      </c>
      <c r="X44" s="95">
        <f t="shared" si="19"/>
        <v>159</v>
      </c>
      <c r="Y44" s="41">
        <f t="shared" si="20"/>
        <v>12.5</v>
      </c>
      <c r="Z44" s="106">
        <f t="shared" si="21"/>
        <v>6.25</v>
      </c>
      <c r="AA44" s="107">
        <f t="shared" si="22"/>
        <v>10.1</v>
      </c>
    </row>
    <row r="45" ht="20.1" customHeight="1" spans="1:28">
      <c r="A45" s="9"/>
      <c r="B45" s="40" t="str">
        <f t="shared" si="2"/>
        <v>ZU7-1</v>
      </c>
      <c r="C45" s="41">
        <f t="shared" si="3"/>
        <v>1350</v>
      </c>
      <c r="D45" s="42">
        <f>ROUNDDOWN((C45/E45-2),0)</f>
        <v>106</v>
      </c>
      <c r="E45" s="43">
        <f t="shared" si="5"/>
        <v>12.5</v>
      </c>
      <c r="F45" s="47">
        <f t="shared" si="6"/>
        <v>9</v>
      </c>
      <c r="G45" s="41">
        <f t="shared" si="7"/>
        <v>50</v>
      </c>
      <c r="H45" s="45">
        <v>4</v>
      </c>
      <c r="I45" s="41">
        <f t="shared" si="8"/>
        <v>8.5</v>
      </c>
      <c r="J45" s="43">
        <v>8</v>
      </c>
      <c r="K45" s="41">
        <f t="shared" si="9"/>
        <v>527.717</v>
      </c>
      <c r="L45" s="41">
        <f t="shared" si="10"/>
        <v>605.484</v>
      </c>
      <c r="M45" s="82">
        <f t="shared" si="11"/>
        <v>47</v>
      </c>
      <c r="N45" s="41">
        <f t="shared" si="12"/>
        <v>12.6060425531915</v>
      </c>
      <c r="O45" s="41">
        <f t="shared" si="13"/>
        <v>10.9514255319149</v>
      </c>
      <c r="P45" s="43">
        <v>8</v>
      </c>
      <c r="Q45" s="41">
        <f t="shared" si="14"/>
        <v>60</v>
      </c>
      <c r="R45" s="45">
        <v>6</v>
      </c>
      <c r="S45" s="41">
        <f t="shared" si="15"/>
        <v>7.33333333333333</v>
      </c>
      <c r="T45" s="93">
        <f t="shared" si="16"/>
        <v>2000</v>
      </c>
      <c r="U45" s="93">
        <f t="shared" si="17"/>
        <v>159</v>
      </c>
      <c r="V45" s="94">
        <v>12.5</v>
      </c>
      <c r="W45" s="93">
        <f t="shared" si="18"/>
        <v>2000</v>
      </c>
      <c r="X45" s="95">
        <f t="shared" si="19"/>
        <v>159</v>
      </c>
      <c r="Y45" s="41">
        <f t="shared" si="20"/>
        <v>12.5</v>
      </c>
      <c r="Z45" s="106">
        <f t="shared" si="21"/>
        <v>6.25</v>
      </c>
      <c r="AA45" s="107">
        <f t="shared" si="22"/>
        <v>12.984</v>
      </c>
      <c r="AB45" s="4"/>
    </row>
    <row r="46" ht="20.1" customHeight="1" spans="1:28">
      <c r="A46" s="9"/>
      <c r="B46" s="40" t="str">
        <f t="shared" si="2"/>
        <v>ZU8-1</v>
      </c>
      <c r="C46" s="41">
        <f t="shared" si="3"/>
        <v>1390</v>
      </c>
      <c r="D46" s="42">
        <f>ROUNDDOWN((C46/E46-2),0)</f>
        <v>109</v>
      </c>
      <c r="E46" s="43">
        <f t="shared" si="5"/>
        <v>12.5</v>
      </c>
      <c r="F46" s="44">
        <f t="shared" si="6"/>
        <v>11.5</v>
      </c>
      <c r="G46" s="41">
        <f t="shared" si="7"/>
        <v>70</v>
      </c>
      <c r="H46" s="45">
        <v>6</v>
      </c>
      <c r="I46" s="41">
        <f t="shared" si="8"/>
        <v>9</v>
      </c>
      <c r="J46" s="43">
        <v>8</v>
      </c>
      <c r="K46" s="41">
        <f t="shared" si="9"/>
        <v>605.574</v>
      </c>
      <c r="L46" s="41">
        <f t="shared" si="10"/>
        <v>665.593</v>
      </c>
      <c r="M46" s="82">
        <f t="shared" si="11"/>
        <v>52</v>
      </c>
      <c r="N46" s="41">
        <f t="shared" si="12"/>
        <v>12.5498653846154</v>
      </c>
      <c r="O46" s="41">
        <f t="shared" si="13"/>
        <v>11.3956538461538</v>
      </c>
      <c r="P46" s="43">
        <v>8</v>
      </c>
      <c r="Q46" s="41">
        <f t="shared" si="14"/>
        <v>80</v>
      </c>
      <c r="R46" s="45">
        <v>8</v>
      </c>
      <c r="S46" s="41">
        <f t="shared" si="15"/>
        <v>8</v>
      </c>
      <c r="T46" s="93">
        <f t="shared" si="16"/>
        <v>2000</v>
      </c>
      <c r="U46" s="93">
        <f t="shared" si="17"/>
        <v>159</v>
      </c>
      <c r="V46" s="94">
        <v>12.5</v>
      </c>
      <c r="W46" s="93">
        <f t="shared" si="18"/>
        <v>2000</v>
      </c>
      <c r="X46" s="95">
        <f t="shared" si="19"/>
        <v>159</v>
      </c>
      <c r="Y46" s="41">
        <f t="shared" si="20"/>
        <v>12.5</v>
      </c>
      <c r="Z46" s="106">
        <f t="shared" si="21"/>
        <v>6.25</v>
      </c>
      <c r="AA46" s="107">
        <f t="shared" si="22"/>
        <v>10.593</v>
      </c>
      <c r="AB46" s="4"/>
    </row>
    <row r="47" s="2" customFormat="1" ht="20.1" customHeight="1" spans="1:245">
      <c r="A47" s="20"/>
      <c r="B47" s="40" t="str">
        <f t="shared" si="2"/>
        <v>ZU9-1</v>
      </c>
      <c r="C47" s="41">
        <f t="shared" si="3"/>
        <v>1390</v>
      </c>
      <c r="D47" s="42">
        <f>ROUNDDOWN((C47/E47-2),0)</f>
        <v>109</v>
      </c>
      <c r="E47" s="43">
        <f t="shared" si="5"/>
        <v>12.5</v>
      </c>
      <c r="F47" s="44">
        <f t="shared" si="6"/>
        <v>11.5</v>
      </c>
      <c r="G47" s="41">
        <f t="shared" si="7"/>
        <v>70</v>
      </c>
      <c r="H47" s="45">
        <v>6</v>
      </c>
      <c r="I47" s="41">
        <f t="shared" si="8"/>
        <v>9</v>
      </c>
      <c r="J47" s="43">
        <v>8</v>
      </c>
      <c r="K47" s="41">
        <f t="shared" si="9"/>
        <v>665.683</v>
      </c>
      <c r="L47" s="41">
        <f t="shared" si="10"/>
        <v>725.702</v>
      </c>
      <c r="M47" s="82">
        <f t="shared" si="11"/>
        <v>57</v>
      </c>
      <c r="N47" s="41">
        <f t="shared" si="12"/>
        <v>12.5035438596491</v>
      </c>
      <c r="O47" s="41">
        <f t="shared" si="13"/>
        <v>11.4505789473684</v>
      </c>
      <c r="P47" s="43">
        <v>8</v>
      </c>
      <c r="Q47" s="41">
        <f t="shared" si="14"/>
        <v>80</v>
      </c>
      <c r="R47" s="45">
        <v>8</v>
      </c>
      <c r="S47" s="41">
        <f t="shared" si="15"/>
        <v>8</v>
      </c>
      <c r="T47" s="93">
        <f t="shared" si="16"/>
        <v>2000</v>
      </c>
      <c r="U47" s="93">
        <f t="shared" si="17"/>
        <v>159</v>
      </c>
      <c r="V47" s="94">
        <v>12.5</v>
      </c>
      <c r="W47" s="93">
        <f t="shared" si="18"/>
        <v>2000</v>
      </c>
      <c r="X47" s="95">
        <f t="shared" si="19"/>
        <v>159</v>
      </c>
      <c r="Y47" s="41">
        <f t="shared" si="20"/>
        <v>12.5</v>
      </c>
      <c r="Z47" s="106">
        <f t="shared" si="21"/>
        <v>6.25</v>
      </c>
      <c r="AA47" s="107">
        <f t="shared" si="22"/>
        <v>8.202</v>
      </c>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row>
    <row r="48" ht="20.1" customHeight="1" spans="1:28">
      <c r="A48" s="9"/>
      <c r="B48" s="40" t="str">
        <f t="shared" si="2"/>
        <v>ZU10-1</v>
      </c>
      <c r="C48" s="41">
        <f t="shared" si="3"/>
        <v>1390</v>
      </c>
      <c r="D48" s="42">
        <f>ROUNDDOWN((C48/E48-2),0)</f>
        <v>109</v>
      </c>
      <c r="E48" s="43">
        <f t="shared" si="5"/>
        <v>12.5</v>
      </c>
      <c r="F48" s="44">
        <f t="shared" si="6"/>
        <v>11.5</v>
      </c>
      <c r="G48" s="41">
        <f t="shared" si="7"/>
        <v>70</v>
      </c>
      <c r="H48" s="45">
        <v>6</v>
      </c>
      <c r="I48" s="41">
        <f t="shared" si="8"/>
        <v>9</v>
      </c>
      <c r="J48" s="43">
        <v>8</v>
      </c>
      <c r="K48" s="41">
        <f t="shared" si="9"/>
        <v>725.702</v>
      </c>
      <c r="L48" s="41">
        <f t="shared" si="10"/>
        <v>725.702</v>
      </c>
      <c r="M48" s="82">
        <f t="shared" si="11"/>
        <v>57</v>
      </c>
      <c r="N48" s="41">
        <f t="shared" si="12"/>
        <v>12.5035438596491</v>
      </c>
      <c r="O48" s="41">
        <f t="shared" si="13"/>
        <v>12.5035438596491</v>
      </c>
      <c r="P48" s="43">
        <v>8</v>
      </c>
      <c r="Q48" s="41">
        <f t="shared" si="14"/>
        <v>80</v>
      </c>
      <c r="R48" s="45">
        <v>8</v>
      </c>
      <c r="S48" s="41">
        <f t="shared" si="15"/>
        <v>8</v>
      </c>
      <c r="T48" s="93">
        <f t="shared" si="16"/>
        <v>2000</v>
      </c>
      <c r="U48" s="93">
        <f t="shared" si="17"/>
        <v>159</v>
      </c>
      <c r="V48" s="94">
        <v>12.5</v>
      </c>
      <c r="W48" s="93">
        <f t="shared" si="18"/>
        <v>2000</v>
      </c>
      <c r="X48" s="95">
        <f t="shared" si="19"/>
        <v>159</v>
      </c>
      <c r="Y48" s="41">
        <f t="shared" si="20"/>
        <v>12.5</v>
      </c>
      <c r="Z48" s="106">
        <f t="shared" si="21"/>
        <v>6.25</v>
      </c>
      <c r="AA48" s="107">
        <f t="shared" si="22"/>
        <v>8.202</v>
      </c>
      <c r="AB48" s="4"/>
    </row>
    <row r="49" s="4" customFormat="1" ht="20.1" customHeight="1" spans="1:27">
      <c r="A49" s="20"/>
      <c r="B49" s="40" t="str">
        <f t="shared" si="2"/>
        <v>ZU11-1</v>
      </c>
      <c r="C49" s="41">
        <f t="shared" si="3"/>
        <v>1410</v>
      </c>
      <c r="D49" s="42">
        <f>ROUNDDOWN((C49/E49-1),0)</f>
        <v>111</v>
      </c>
      <c r="E49" s="43">
        <f t="shared" si="5"/>
        <v>12.5</v>
      </c>
      <c r="F49" s="44">
        <f t="shared" si="6"/>
        <v>6.5</v>
      </c>
      <c r="G49" s="41">
        <f t="shared" si="7"/>
        <v>80</v>
      </c>
      <c r="H49" s="45">
        <v>6</v>
      </c>
      <c r="I49" s="41">
        <f t="shared" si="8"/>
        <v>10.6666666666667</v>
      </c>
      <c r="J49" s="43">
        <v>8</v>
      </c>
      <c r="K49" s="41">
        <f t="shared" si="9"/>
        <v>697.143</v>
      </c>
      <c r="L49" s="41">
        <f t="shared" si="10"/>
        <v>760</v>
      </c>
      <c r="M49" s="82">
        <f t="shared" si="11"/>
        <v>59</v>
      </c>
      <c r="N49" s="41">
        <f t="shared" si="12"/>
        <v>12.6610169491525</v>
      </c>
      <c r="O49" s="41">
        <f t="shared" si="13"/>
        <v>11.5956440677966</v>
      </c>
      <c r="P49" s="43">
        <v>8</v>
      </c>
      <c r="Q49" s="41">
        <f t="shared" si="14"/>
        <v>90</v>
      </c>
      <c r="R49" s="45">
        <v>8</v>
      </c>
      <c r="S49" s="41">
        <f t="shared" si="15"/>
        <v>9.25</v>
      </c>
      <c r="T49" s="93">
        <f t="shared" si="16"/>
        <v>2000</v>
      </c>
      <c r="U49" s="93">
        <f t="shared" si="17"/>
        <v>159</v>
      </c>
      <c r="V49" s="94">
        <v>12.5</v>
      </c>
      <c r="W49" s="93">
        <f t="shared" si="18"/>
        <v>2000</v>
      </c>
      <c r="X49" s="95">
        <f t="shared" si="19"/>
        <v>159</v>
      </c>
      <c r="Y49" s="41">
        <f t="shared" si="20"/>
        <v>12.5</v>
      </c>
      <c r="Z49" s="106">
        <f t="shared" si="21"/>
        <v>6.25</v>
      </c>
      <c r="AA49" s="107">
        <f t="shared" si="22"/>
        <v>17.5</v>
      </c>
    </row>
    <row r="50" ht="20.1" customHeight="1" spans="1:28">
      <c r="A50" s="9"/>
      <c r="B50" s="40" t="str">
        <f t="shared" si="2"/>
        <v>ZU12-1</v>
      </c>
      <c r="C50" s="41">
        <f t="shared" si="3"/>
        <v>1370</v>
      </c>
      <c r="D50" s="42">
        <f>ROUNDDOWN((C50/E50-1),0)</f>
        <v>108</v>
      </c>
      <c r="E50" s="43">
        <f t="shared" ref="E50:E62" si="23">12.5</f>
        <v>12.5</v>
      </c>
      <c r="F50" s="47">
        <f t="shared" si="6"/>
        <v>4</v>
      </c>
      <c r="G50" s="41">
        <f t="shared" si="7"/>
        <v>60</v>
      </c>
      <c r="H50" s="45">
        <v>6</v>
      </c>
      <c r="I50" s="41">
        <f t="shared" si="8"/>
        <v>7.33333333333333</v>
      </c>
      <c r="J50" s="43">
        <v>8</v>
      </c>
      <c r="K50" s="41">
        <f t="shared" si="9"/>
        <v>634.192</v>
      </c>
      <c r="L50" s="41">
        <f t="shared" si="10"/>
        <v>697.049</v>
      </c>
      <c r="M50" s="82">
        <f t="shared" si="11"/>
        <v>54</v>
      </c>
      <c r="N50" s="41">
        <f t="shared" si="12"/>
        <v>12.6675740740741</v>
      </c>
      <c r="O50" s="41">
        <f t="shared" si="13"/>
        <v>11.5035555555556</v>
      </c>
      <c r="P50" s="43">
        <v>8</v>
      </c>
      <c r="Q50" s="41">
        <f t="shared" si="14"/>
        <v>70</v>
      </c>
      <c r="R50" s="45">
        <v>8</v>
      </c>
      <c r="S50" s="41">
        <f t="shared" si="15"/>
        <v>6.75</v>
      </c>
      <c r="T50" s="93">
        <f t="shared" si="16"/>
        <v>2000</v>
      </c>
      <c r="U50" s="93">
        <f t="shared" si="17"/>
        <v>159</v>
      </c>
      <c r="V50" s="94">
        <v>12.5</v>
      </c>
      <c r="W50" s="93">
        <f t="shared" si="18"/>
        <v>2000</v>
      </c>
      <c r="X50" s="95">
        <f t="shared" si="19"/>
        <v>159</v>
      </c>
      <c r="Y50" s="41">
        <f t="shared" si="20"/>
        <v>12.5</v>
      </c>
      <c r="Z50" s="106">
        <f t="shared" si="21"/>
        <v>6.25</v>
      </c>
      <c r="AA50" s="107">
        <f t="shared" si="22"/>
        <v>17.049</v>
      </c>
      <c r="AB50" s="4"/>
    </row>
    <row r="51" ht="20.1" customHeight="1" spans="1:28">
      <c r="A51" s="9"/>
      <c r="B51" s="40" t="str">
        <f t="shared" si="2"/>
        <v>ZU13-1</v>
      </c>
      <c r="C51" s="41">
        <f t="shared" si="3"/>
        <v>1370</v>
      </c>
      <c r="D51" s="42">
        <f>ROUNDDOWN((C51/E51-1),0)</f>
        <v>108</v>
      </c>
      <c r="E51" s="43">
        <f t="shared" si="23"/>
        <v>12.5</v>
      </c>
      <c r="F51" s="44">
        <f t="shared" si="6"/>
        <v>4</v>
      </c>
      <c r="G51" s="41">
        <f t="shared" si="7"/>
        <v>60</v>
      </c>
      <c r="H51" s="45">
        <v>6</v>
      </c>
      <c r="I51" s="41">
        <f t="shared" si="8"/>
        <v>7.33333333333333</v>
      </c>
      <c r="J51" s="43">
        <v>8</v>
      </c>
      <c r="K51" s="41">
        <f t="shared" si="9"/>
        <v>571.241</v>
      </c>
      <c r="L51" s="41">
        <f t="shared" si="10"/>
        <v>634.098</v>
      </c>
      <c r="M51" s="82">
        <f t="shared" si="11"/>
        <v>49</v>
      </c>
      <c r="N51" s="41">
        <f t="shared" si="12"/>
        <v>12.6754693877551</v>
      </c>
      <c r="O51" s="41">
        <f t="shared" si="13"/>
        <v>11.3926734693878</v>
      </c>
      <c r="P51" s="43">
        <v>8</v>
      </c>
      <c r="Q51" s="41">
        <f t="shared" si="14"/>
        <v>70</v>
      </c>
      <c r="R51" s="45">
        <v>6</v>
      </c>
      <c r="S51" s="41">
        <f t="shared" si="15"/>
        <v>9</v>
      </c>
      <c r="T51" s="93">
        <f t="shared" si="16"/>
        <v>2000</v>
      </c>
      <c r="U51" s="93">
        <f t="shared" si="17"/>
        <v>159</v>
      </c>
      <c r="V51" s="94">
        <v>12.5</v>
      </c>
      <c r="W51" s="93">
        <f t="shared" si="18"/>
        <v>2000</v>
      </c>
      <c r="X51" s="95">
        <f t="shared" si="19"/>
        <v>159</v>
      </c>
      <c r="Y51" s="41">
        <f t="shared" si="20"/>
        <v>12.5</v>
      </c>
      <c r="Z51" s="106">
        <f t="shared" si="21"/>
        <v>6.25</v>
      </c>
      <c r="AA51" s="107">
        <f t="shared" si="22"/>
        <v>16.598</v>
      </c>
      <c r="AB51" s="4"/>
    </row>
    <row r="52" ht="20.1" customHeight="1" spans="1:28">
      <c r="A52" s="9"/>
      <c r="B52" s="40" t="str">
        <f t="shared" si="2"/>
        <v>ZU14-1</v>
      </c>
      <c r="C52" s="41">
        <f t="shared" si="3"/>
        <v>1370</v>
      </c>
      <c r="D52" s="42">
        <f t="shared" si="4"/>
        <v>108</v>
      </c>
      <c r="E52" s="43">
        <f t="shared" si="23"/>
        <v>12.5</v>
      </c>
      <c r="F52" s="44">
        <f t="shared" si="6"/>
        <v>4</v>
      </c>
      <c r="G52" s="41">
        <f t="shared" si="7"/>
        <v>60</v>
      </c>
      <c r="H52" s="45">
        <v>4</v>
      </c>
      <c r="I52" s="41">
        <f t="shared" si="8"/>
        <v>11</v>
      </c>
      <c r="J52" s="43">
        <v>8</v>
      </c>
      <c r="K52" s="41">
        <f t="shared" si="9"/>
        <v>515.414</v>
      </c>
      <c r="L52" s="41">
        <f t="shared" si="10"/>
        <v>571.147</v>
      </c>
      <c r="M52" s="82">
        <f t="shared" si="11"/>
        <v>44</v>
      </c>
      <c r="N52" s="41">
        <f t="shared" si="12"/>
        <v>12.6851590909091</v>
      </c>
      <c r="O52" s="41">
        <f t="shared" si="13"/>
        <v>11.4185</v>
      </c>
      <c r="P52" s="43">
        <v>8</v>
      </c>
      <c r="Q52" s="41">
        <f t="shared" si="14"/>
        <v>70</v>
      </c>
      <c r="R52" s="45">
        <v>6</v>
      </c>
      <c r="S52" s="41">
        <f t="shared" si="15"/>
        <v>9</v>
      </c>
      <c r="T52" s="93">
        <f t="shared" si="16"/>
        <v>2000</v>
      </c>
      <c r="U52" s="93">
        <f t="shared" si="17"/>
        <v>159</v>
      </c>
      <c r="V52" s="94">
        <v>12.5</v>
      </c>
      <c r="W52" s="93">
        <f t="shared" si="18"/>
        <v>2000</v>
      </c>
      <c r="X52" s="95">
        <f t="shared" si="19"/>
        <v>159</v>
      </c>
      <c r="Y52" s="41">
        <f t="shared" si="20"/>
        <v>12.5</v>
      </c>
      <c r="Z52" s="106">
        <f t="shared" si="21"/>
        <v>6.25</v>
      </c>
      <c r="AA52" s="107">
        <f t="shared" si="22"/>
        <v>16.147</v>
      </c>
      <c r="AB52" s="4"/>
    </row>
    <row r="53" ht="20.1" customHeight="1" spans="1:28">
      <c r="A53" s="9"/>
      <c r="B53" s="40" t="str">
        <f t="shared" si="2"/>
        <v>ZU15-1</v>
      </c>
      <c r="C53" s="41">
        <f t="shared" si="3"/>
        <v>1370</v>
      </c>
      <c r="D53" s="42">
        <f t="shared" si="4"/>
        <v>108</v>
      </c>
      <c r="E53" s="43">
        <f t="shared" si="23"/>
        <v>12.5</v>
      </c>
      <c r="F53" s="44">
        <f t="shared" si="6"/>
        <v>4</v>
      </c>
      <c r="G53" s="41">
        <f t="shared" si="7"/>
        <v>60</v>
      </c>
      <c r="H53" s="45">
        <v>4</v>
      </c>
      <c r="I53" s="41">
        <f t="shared" si="8"/>
        <v>11</v>
      </c>
      <c r="J53" s="43">
        <v>8</v>
      </c>
      <c r="K53" s="41">
        <f t="shared" si="9"/>
        <v>459.598</v>
      </c>
      <c r="L53" s="41">
        <f t="shared" si="10"/>
        <v>515.33</v>
      </c>
      <c r="M53" s="82">
        <f t="shared" si="11"/>
        <v>40</v>
      </c>
      <c r="N53" s="41">
        <f t="shared" si="12"/>
        <v>12.55825</v>
      </c>
      <c r="O53" s="41">
        <f t="shared" si="13"/>
        <v>11.16495</v>
      </c>
      <c r="P53" s="43">
        <v>8</v>
      </c>
      <c r="Q53" s="41">
        <f t="shared" si="14"/>
        <v>70</v>
      </c>
      <c r="R53" s="45">
        <v>6</v>
      </c>
      <c r="S53" s="41">
        <f t="shared" si="15"/>
        <v>9</v>
      </c>
      <c r="T53" s="93">
        <f t="shared" si="16"/>
        <v>1999.99999999999</v>
      </c>
      <c r="U53" s="96">
        <v>159</v>
      </c>
      <c r="V53" s="94">
        <v>12.5</v>
      </c>
      <c r="W53" s="93">
        <f t="shared" si="18"/>
        <v>1999.99999999999</v>
      </c>
      <c r="X53" s="95">
        <f t="shared" si="19"/>
        <v>159</v>
      </c>
      <c r="Y53" s="41">
        <f t="shared" si="20"/>
        <v>12.5</v>
      </c>
      <c r="Z53" s="106">
        <f t="shared" si="21"/>
        <v>6.249999999995</v>
      </c>
      <c r="AA53" s="107">
        <f t="shared" si="22"/>
        <v>10.33</v>
      </c>
      <c r="AB53" s="4"/>
    </row>
    <row r="54" customFormat="1" ht="20.1" customHeight="1" spans="1:28">
      <c r="A54" s="9"/>
      <c r="B54" s="40" t="str">
        <f t="shared" si="2"/>
        <v>ZU16-1</v>
      </c>
      <c r="C54" s="41">
        <f t="shared" si="3"/>
        <v>1350</v>
      </c>
      <c r="D54" s="42">
        <f>ROUNDDOWN((C54/E54-2),0)</f>
        <v>106</v>
      </c>
      <c r="E54" s="43">
        <f t="shared" si="23"/>
        <v>12.5</v>
      </c>
      <c r="F54" s="44">
        <f t="shared" si="6"/>
        <v>9</v>
      </c>
      <c r="G54" s="41">
        <f t="shared" si="7"/>
        <v>50</v>
      </c>
      <c r="H54" s="45">
        <v>4</v>
      </c>
      <c r="I54" s="41">
        <f t="shared" si="8"/>
        <v>8.5</v>
      </c>
      <c r="J54" s="43">
        <v>8</v>
      </c>
      <c r="K54" s="41">
        <f t="shared" si="9"/>
        <v>403.781</v>
      </c>
      <c r="L54" s="41">
        <f t="shared" si="10"/>
        <v>459.514</v>
      </c>
      <c r="M54" s="82">
        <f t="shared" si="11"/>
        <v>35</v>
      </c>
      <c r="N54" s="41">
        <f t="shared" si="12"/>
        <v>12.7575428571429</v>
      </c>
      <c r="O54" s="41">
        <f t="shared" si="13"/>
        <v>11.1651714285714</v>
      </c>
      <c r="P54" s="43">
        <v>8</v>
      </c>
      <c r="Q54" s="41">
        <f t="shared" si="14"/>
        <v>60</v>
      </c>
      <c r="R54" s="45">
        <v>4</v>
      </c>
      <c r="S54" s="41">
        <f t="shared" si="15"/>
        <v>11</v>
      </c>
      <c r="T54" s="93">
        <f t="shared" si="16"/>
        <v>2000</v>
      </c>
      <c r="U54" s="93">
        <f t="shared" si="17"/>
        <v>159</v>
      </c>
      <c r="V54" s="94">
        <v>12.5</v>
      </c>
      <c r="W54" s="93">
        <f t="shared" si="18"/>
        <v>2000</v>
      </c>
      <c r="X54" s="95">
        <f t="shared" si="19"/>
        <v>159</v>
      </c>
      <c r="Y54" s="41">
        <f t="shared" si="20"/>
        <v>12.5</v>
      </c>
      <c r="Z54" s="106">
        <f t="shared" si="21"/>
        <v>6.25</v>
      </c>
      <c r="AA54" s="107">
        <f t="shared" si="22"/>
        <v>17.014</v>
      </c>
      <c r="AB54" s="4"/>
    </row>
    <row r="55" customFormat="1" ht="20.1" customHeight="1" spans="1:28">
      <c r="A55" s="9"/>
      <c r="B55" s="40" t="str">
        <f t="shared" si="2"/>
        <v>ZU17-1</v>
      </c>
      <c r="C55" s="41">
        <f t="shared" si="3"/>
        <v>1350</v>
      </c>
      <c r="D55" s="42">
        <f>ROUNDDOWN((C55/E55-2),0)</f>
        <v>106</v>
      </c>
      <c r="E55" s="43">
        <f t="shared" si="23"/>
        <v>12.5</v>
      </c>
      <c r="F55" s="44">
        <f t="shared" si="6"/>
        <v>9</v>
      </c>
      <c r="G55" s="41">
        <f t="shared" si="7"/>
        <v>50</v>
      </c>
      <c r="H55" s="45">
        <v>4</v>
      </c>
      <c r="I55" s="41">
        <f t="shared" si="8"/>
        <v>8.5</v>
      </c>
      <c r="J55" s="43">
        <v>8</v>
      </c>
      <c r="K55" s="41">
        <f t="shared" si="9"/>
        <v>347.965</v>
      </c>
      <c r="L55" s="41">
        <f t="shared" si="10"/>
        <v>403.698</v>
      </c>
      <c r="M55" s="82">
        <f t="shared" si="11"/>
        <v>31</v>
      </c>
      <c r="N55" s="41">
        <f t="shared" si="12"/>
        <v>12.6031612903226</v>
      </c>
      <c r="O55" s="41">
        <f t="shared" si="13"/>
        <v>10.8053225806452</v>
      </c>
      <c r="P55" s="43">
        <v>8</v>
      </c>
      <c r="Q55" s="41">
        <f t="shared" si="14"/>
        <v>60</v>
      </c>
      <c r="R55" s="45">
        <f>H55+1</f>
        <v>5</v>
      </c>
      <c r="S55" s="41">
        <f t="shared" si="15"/>
        <v>8.8</v>
      </c>
      <c r="T55" s="93">
        <f t="shared" si="16"/>
        <v>2000</v>
      </c>
      <c r="U55" s="93">
        <f t="shared" si="17"/>
        <v>159</v>
      </c>
      <c r="V55" s="94">
        <v>12.5</v>
      </c>
      <c r="W55" s="93">
        <f t="shared" si="18"/>
        <v>2000</v>
      </c>
      <c r="X55" s="95">
        <f t="shared" si="19"/>
        <v>159</v>
      </c>
      <c r="Y55" s="41">
        <f t="shared" si="20"/>
        <v>12.5</v>
      </c>
      <c r="Z55" s="106">
        <f t="shared" si="21"/>
        <v>6.25</v>
      </c>
      <c r="AA55" s="107">
        <f t="shared" si="22"/>
        <v>11.198</v>
      </c>
      <c r="AB55" s="4"/>
    </row>
    <row r="56" customFormat="1" ht="20.1" customHeight="1" spans="1:28">
      <c r="A56" s="9"/>
      <c r="B56" s="40" t="str">
        <f t="shared" si="2"/>
        <v>ZU18-1</v>
      </c>
      <c r="C56" s="41">
        <f t="shared" si="3"/>
        <v>1336.2</v>
      </c>
      <c r="D56" s="42">
        <f t="shared" si="4"/>
        <v>105</v>
      </c>
      <c r="E56" s="43">
        <f t="shared" si="23"/>
        <v>12.5</v>
      </c>
      <c r="F56" s="44">
        <f t="shared" si="6"/>
        <v>7.70000000000027</v>
      </c>
      <c r="G56" s="41">
        <f t="shared" si="7"/>
        <v>40</v>
      </c>
      <c r="H56" s="45">
        <v>3</v>
      </c>
      <c r="I56" s="41">
        <f t="shared" si="8"/>
        <v>8</v>
      </c>
      <c r="J56" s="43">
        <v>8</v>
      </c>
      <c r="K56" s="41">
        <f t="shared" si="9"/>
        <v>292.149</v>
      </c>
      <c r="L56" s="41">
        <f t="shared" si="10"/>
        <v>347.881</v>
      </c>
      <c r="M56" s="82">
        <f t="shared" si="11"/>
        <v>26</v>
      </c>
      <c r="N56" s="41">
        <f t="shared" si="12"/>
        <v>12.8800384615385</v>
      </c>
      <c r="O56" s="41">
        <f t="shared" si="13"/>
        <v>10.7365</v>
      </c>
      <c r="P56" s="43">
        <v>8</v>
      </c>
      <c r="Q56" s="41">
        <f t="shared" si="14"/>
        <v>50</v>
      </c>
      <c r="R56" s="45">
        <f>H56+1</f>
        <v>4</v>
      </c>
      <c r="S56" s="41">
        <f t="shared" si="15"/>
        <v>8.5</v>
      </c>
      <c r="T56" s="93">
        <f t="shared" si="16"/>
        <v>2000</v>
      </c>
      <c r="U56" s="93">
        <f t="shared" si="17"/>
        <v>159</v>
      </c>
      <c r="V56" s="94">
        <v>12.5</v>
      </c>
      <c r="W56" s="93">
        <f t="shared" si="18"/>
        <v>2000</v>
      </c>
      <c r="X56" s="95">
        <f t="shared" si="19"/>
        <v>159</v>
      </c>
      <c r="Y56" s="41">
        <f t="shared" si="20"/>
        <v>12.5</v>
      </c>
      <c r="Z56" s="106">
        <f t="shared" si="21"/>
        <v>6.25</v>
      </c>
      <c r="AA56" s="107">
        <f t="shared" si="22"/>
        <v>17.881</v>
      </c>
      <c r="AB56" s="4"/>
    </row>
    <row r="57" customFormat="1" ht="20.1" customHeight="1" spans="1:28">
      <c r="A57" s="9"/>
      <c r="B57" s="40" t="str">
        <f t="shared" si="2"/>
        <v>ZU19-1</v>
      </c>
      <c r="C57" s="41">
        <f t="shared" si="3"/>
        <v>1371</v>
      </c>
      <c r="D57" s="42">
        <f t="shared" si="4"/>
        <v>108</v>
      </c>
      <c r="E57" s="43">
        <f t="shared" si="23"/>
        <v>12.5</v>
      </c>
      <c r="F57" s="44">
        <f t="shared" si="6"/>
        <v>5</v>
      </c>
      <c r="G57" s="41">
        <f t="shared" si="7"/>
        <v>30</v>
      </c>
      <c r="H57" s="45">
        <v>2</v>
      </c>
      <c r="I57" s="41">
        <f t="shared" si="8"/>
        <v>7</v>
      </c>
      <c r="J57" s="43">
        <v>8</v>
      </c>
      <c r="K57" s="41">
        <f t="shared" si="9"/>
        <v>248.954</v>
      </c>
      <c r="L57" s="41">
        <f t="shared" si="10"/>
        <v>292.065</v>
      </c>
      <c r="M57" s="82">
        <f t="shared" si="11"/>
        <v>22</v>
      </c>
      <c r="N57" s="41">
        <f t="shared" si="12"/>
        <v>12.6847727272727</v>
      </c>
      <c r="O57" s="41">
        <f t="shared" si="13"/>
        <v>10.7251818181818</v>
      </c>
      <c r="P57" s="43">
        <v>8</v>
      </c>
      <c r="Q57" s="41">
        <f t="shared" si="14"/>
        <v>40</v>
      </c>
      <c r="R57" s="45">
        <v>3</v>
      </c>
      <c r="S57" s="41">
        <f t="shared" si="15"/>
        <v>8</v>
      </c>
      <c r="T57" s="93">
        <f t="shared" si="16"/>
        <v>1547.05</v>
      </c>
      <c r="U57" s="93">
        <f t="shared" si="17"/>
        <v>122</v>
      </c>
      <c r="V57" s="94">
        <v>12.5</v>
      </c>
      <c r="W57" s="93">
        <f t="shared" si="18"/>
        <v>1547.05</v>
      </c>
      <c r="X57" s="95">
        <f t="shared" si="19"/>
        <v>122</v>
      </c>
      <c r="Y57" s="41">
        <f t="shared" si="20"/>
        <v>12.5</v>
      </c>
      <c r="Z57" s="106">
        <f t="shared" si="21"/>
        <v>11.025</v>
      </c>
      <c r="AA57" s="107">
        <f t="shared" si="22"/>
        <v>12.065</v>
      </c>
      <c r="AB57" s="4"/>
    </row>
    <row r="58" customFormat="1" ht="20.1" customHeight="1" spans="1:28">
      <c r="A58" s="9"/>
      <c r="B58" s="48" t="str">
        <f t="shared" si="2"/>
        <v>东U10</v>
      </c>
      <c r="C58" s="49">
        <f t="shared" si="3"/>
        <v>860</v>
      </c>
      <c r="D58" s="50">
        <f t="shared" si="4"/>
        <v>67</v>
      </c>
      <c r="E58" s="51">
        <f t="shared" si="23"/>
        <v>12.5</v>
      </c>
      <c r="F58" s="52">
        <f t="shared" si="6"/>
        <v>6.5</v>
      </c>
      <c r="G58" s="49">
        <f t="shared" si="7"/>
        <v>30</v>
      </c>
      <c r="H58" s="53">
        <v>2</v>
      </c>
      <c r="I58" s="49">
        <f t="shared" si="8"/>
        <v>7</v>
      </c>
      <c r="J58" s="51">
        <v>8</v>
      </c>
      <c r="K58" s="49">
        <f t="shared" si="9"/>
        <v>125.466</v>
      </c>
      <c r="L58" s="49">
        <f t="shared" si="10"/>
        <v>163.657</v>
      </c>
      <c r="M58" s="83">
        <f t="shared" si="11"/>
        <v>12</v>
      </c>
      <c r="N58" s="49">
        <f t="shared" si="12"/>
        <v>12.55475</v>
      </c>
      <c r="O58" s="49">
        <f t="shared" si="13"/>
        <v>9.37216666666667</v>
      </c>
      <c r="P58" s="51">
        <v>8</v>
      </c>
      <c r="Q58" s="49">
        <f t="shared" si="14"/>
        <v>40</v>
      </c>
      <c r="R58" s="53">
        <v>4</v>
      </c>
      <c r="S58" s="49">
        <f t="shared" si="15"/>
        <v>6</v>
      </c>
      <c r="T58" s="97">
        <f t="shared" si="16"/>
        <v>2000</v>
      </c>
      <c r="U58" s="97">
        <f t="shared" si="17"/>
        <v>62</v>
      </c>
      <c r="V58" s="98">
        <v>31.5</v>
      </c>
      <c r="W58" s="97">
        <f t="shared" si="18"/>
        <v>2000</v>
      </c>
      <c r="X58" s="99">
        <f t="shared" si="19"/>
        <v>62</v>
      </c>
      <c r="Y58" s="49">
        <f t="shared" si="20"/>
        <v>31.5</v>
      </c>
      <c r="Z58" s="108">
        <f t="shared" si="21"/>
        <v>23.5</v>
      </c>
      <c r="AA58" s="109">
        <f t="shared" si="22"/>
        <v>8.65700000000001</v>
      </c>
      <c r="AB58" s="4"/>
    </row>
    <row r="59" customFormat="1" ht="20.1" customHeight="1" spans="1:28">
      <c r="A59" s="9"/>
      <c r="B59" s="48" t="str">
        <f t="shared" si="2"/>
        <v>西U10-1</v>
      </c>
      <c r="C59" s="49">
        <f t="shared" si="3"/>
        <v>2285</v>
      </c>
      <c r="D59" s="50">
        <f t="shared" si="4"/>
        <v>181</v>
      </c>
      <c r="E59" s="51">
        <f t="shared" si="23"/>
        <v>12.5</v>
      </c>
      <c r="F59" s="52">
        <f t="shared" si="6"/>
        <v>6.5</v>
      </c>
      <c r="G59" s="49">
        <f t="shared" si="7"/>
        <v>30</v>
      </c>
      <c r="H59" s="53">
        <v>2</v>
      </c>
      <c r="I59" s="49">
        <f t="shared" si="8"/>
        <v>7</v>
      </c>
      <c r="J59" s="51">
        <v>8</v>
      </c>
      <c r="K59" s="49">
        <f t="shared" si="9"/>
        <v>130</v>
      </c>
      <c r="L59" s="49">
        <f t="shared" si="10"/>
        <v>161.126</v>
      </c>
      <c r="M59" s="83">
        <f t="shared" si="11"/>
        <v>11</v>
      </c>
      <c r="N59" s="49">
        <f t="shared" si="12"/>
        <v>13.466</v>
      </c>
      <c r="O59" s="49">
        <f t="shared" si="13"/>
        <v>10.6363636363636</v>
      </c>
      <c r="P59" s="51">
        <v>8</v>
      </c>
      <c r="Q59" s="49">
        <f t="shared" si="14"/>
        <v>40</v>
      </c>
      <c r="R59" s="53">
        <v>4</v>
      </c>
      <c r="S59" s="49">
        <f t="shared" si="15"/>
        <v>6</v>
      </c>
      <c r="T59" s="97">
        <f t="shared" si="16"/>
        <v>2000</v>
      </c>
      <c r="U59" s="97">
        <f t="shared" si="17"/>
        <v>60</v>
      </c>
      <c r="V59" s="98">
        <v>32.5</v>
      </c>
      <c r="W59" s="97">
        <f t="shared" si="18"/>
        <v>2000</v>
      </c>
      <c r="X59" s="99">
        <f t="shared" si="19"/>
        <v>60</v>
      </c>
      <c r="Y59" s="49">
        <f t="shared" si="20"/>
        <v>32.5</v>
      </c>
      <c r="Z59" s="108">
        <f t="shared" si="21"/>
        <v>25</v>
      </c>
      <c r="AA59" s="109">
        <f t="shared" si="22"/>
        <v>18.626</v>
      </c>
      <c r="AB59" s="4"/>
    </row>
    <row r="60" customFormat="1" ht="20.1" customHeight="1" spans="1:28">
      <c r="A60" s="9"/>
      <c r="B60" s="48" t="str">
        <f t="shared" si="2"/>
        <v>西U9-1</v>
      </c>
      <c r="C60" s="49">
        <f t="shared" si="3"/>
        <v>2285</v>
      </c>
      <c r="D60" s="50">
        <f t="shared" si="4"/>
        <v>181</v>
      </c>
      <c r="E60" s="51">
        <f t="shared" si="23"/>
        <v>12.5</v>
      </c>
      <c r="F60" s="52">
        <f t="shared" si="6"/>
        <v>6.5</v>
      </c>
      <c r="G60" s="49">
        <f t="shared" si="7"/>
        <v>30</v>
      </c>
      <c r="H60" s="53">
        <v>2</v>
      </c>
      <c r="I60" s="49">
        <f t="shared" si="8"/>
        <v>7</v>
      </c>
      <c r="J60" s="51">
        <v>8</v>
      </c>
      <c r="K60" s="49">
        <f t="shared" si="9"/>
        <v>161.21</v>
      </c>
      <c r="L60" s="49">
        <f t="shared" si="10"/>
        <v>217.365</v>
      </c>
      <c r="M60" s="83">
        <f t="shared" si="11"/>
        <v>16</v>
      </c>
      <c r="N60" s="49">
        <f t="shared" si="12"/>
        <v>12.7728125</v>
      </c>
      <c r="O60" s="49">
        <f t="shared" si="13"/>
        <v>9.263125</v>
      </c>
      <c r="P60" s="51">
        <v>8</v>
      </c>
      <c r="Q60" s="49">
        <f t="shared" si="14"/>
        <v>40</v>
      </c>
      <c r="R60" s="53">
        <v>4</v>
      </c>
      <c r="S60" s="49">
        <f t="shared" si="15"/>
        <v>6</v>
      </c>
      <c r="T60" s="97">
        <f t="shared" si="16"/>
        <v>2000</v>
      </c>
      <c r="U60" s="97">
        <f t="shared" si="17"/>
        <v>58</v>
      </c>
      <c r="V60" s="98">
        <v>33.5</v>
      </c>
      <c r="W60" s="97">
        <f t="shared" si="18"/>
        <v>2000</v>
      </c>
      <c r="X60" s="99">
        <f t="shared" si="19"/>
        <v>58</v>
      </c>
      <c r="Y60" s="49">
        <f t="shared" si="20"/>
        <v>33.5</v>
      </c>
      <c r="Z60" s="108">
        <f t="shared" si="21"/>
        <v>28.5</v>
      </c>
      <c r="AA60" s="109">
        <f t="shared" si="22"/>
        <v>12.365</v>
      </c>
      <c r="AB60" s="4"/>
    </row>
    <row r="61" customFormat="1" ht="20.1" customHeight="1" spans="1:28">
      <c r="A61" s="9"/>
      <c r="B61" s="48" t="str">
        <f t="shared" si="2"/>
        <v>西U6-1</v>
      </c>
      <c r="C61" s="49">
        <f t="shared" si="3"/>
        <v>1350</v>
      </c>
      <c r="D61" s="50">
        <f>ROUNDDOWN((C61/E61-2),0)</f>
        <v>106</v>
      </c>
      <c r="E61" s="51">
        <f t="shared" si="23"/>
        <v>12.5</v>
      </c>
      <c r="F61" s="52">
        <f t="shared" si="6"/>
        <v>9</v>
      </c>
      <c r="G61" s="49">
        <f t="shared" si="7"/>
        <v>50</v>
      </c>
      <c r="H61" s="53">
        <v>4</v>
      </c>
      <c r="I61" s="49">
        <f t="shared" si="8"/>
        <v>8.5</v>
      </c>
      <c r="J61" s="51">
        <v>8</v>
      </c>
      <c r="K61" s="49">
        <f t="shared" si="9"/>
        <v>375.682</v>
      </c>
      <c r="L61" s="49">
        <f t="shared" si="10"/>
        <v>454.681</v>
      </c>
      <c r="M61" s="83">
        <f t="shared" si="11"/>
        <v>35</v>
      </c>
      <c r="N61" s="49">
        <f t="shared" si="12"/>
        <v>12.6194571428571</v>
      </c>
      <c r="O61" s="49">
        <f t="shared" si="13"/>
        <v>10.3623428571429</v>
      </c>
      <c r="P61" s="51">
        <v>8</v>
      </c>
      <c r="Q61" s="49">
        <f t="shared" si="14"/>
        <v>60</v>
      </c>
      <c r="R61" s="53">
        <v>4</v>
      </c>
      <c r="S61" s="49">
        <f t="shared" si="15"/>
        <v>11</v>
      </c>
      <c r="T61" s="97">
        <f t="shared" si="16"/>
        <v>2000</v>
      </c>
      <c r="U61" s="97">
        <f t="shared" si="17"/>
        <v>56</v>
      </c>
      <c r="V61" s="98">
        <v>34.5</v>
      </c>
      <c r="W61" s="97">
        <f t="shared" si="18"/>
        <v>2000</v>
      </c>
      <c r="X61" s="99">
        <f t="shared" si="19"/>
        <v>56</v>
      </c>
      <c r="Y61" s="49">
        <f t="shared" si="20"/>
        <v>34.5</v>
      </c>
      <c r="Z61" s="108">
        <f t="shared" si="21"/>
        <v>34</v>
      </c>
      <c r="AA61" s="109">
        <f t="shared" si="22"/>
        <v>12.181</v>
      </c>
      <c r="AB61" s="4"/>
    </row>
    <row r="62" customFormat="1" ht="20.1" customHeight="1" spans="1:28">
      <c r="A62" s="9"/>
      <c r="B62" s="48" t="str">
        <f t="shared" si="2"/>
        <v>西U5-1</v>
      </c>
      <c r="C62" s="49">
        <f t="shared" si="3"/>
        <v>1370</v>
      </c>
      <c r="D62" s="50">
        <f t="shared" si="4"/>
        <v>108</v>
      </c>
      <c r="E62" s="51">
        <f t="shared" si="23"/>
        <v>12.5</v>
      </c>
      <c r="F62" s="52">
        <f t="shared" si="6"/>
        <v>4</v>
      </c>
      <c r="G62" s="49">
        <f t="shared" si="7"/>
        <v>60</v>
      </c>
      <c r="H62" s="53">
        <v>4</v>
      </c>
      <c r="I62" s="49">
        <f t="shared" si="8"/>
        <v>11</v>
      </c>
      <c r="J62" s="51">
        <v>8</v>
      </c>
      <c r="K62" s="49">
        <f t="shared" si="9"/>
        <v>454.799</v>
      </c>
      <c r="L62" s="49">
        <f t="shared" si="10"/>
        <v>533.797</v>
      </c>
      <c r="M62" s="83">
        <f t="shared" si="11"/>
        <v>41</v>
      </c>
      <c r="N62" s="49">
        <f t="shared" si="12"/>
        <v>12.7023658536585</v>
      </c>
      <c r="O62" s="49">
        <f t="shared" si="13"/>
        <v>10.7755853658537</v>
      </c>
      <c r="P62" s="51">
        <v>8</v>
      </c>
      <c r="Q62" s="49">
        <f t="shared" si="14"/>
        <v>70</v>
      </c>
      <c r="R62" s="53">
        <v>6</v>
      </c>
      <c r="S62" s="49">
        <f t="shared" si="15"/>
        <v>9</v>
      </c>
      <c r="T62" s="97">
        <f t="shared" si="16"/>
        <v>2000</v>
      </c>
      <c r="U62" s="97">
        <f t="shared" si="17"/>
        <v>55</v>
      </c>
      <c r="V62" s="98">
        <v>35.5</v>
      </c>
      <c r="W62" s="97">
        <f t="shared" si="18"/>
        <v>2000</v>
      </c>
      <c r="X62" s="99">
        <f t="shared" si="19"/>
        <v>55</v>
      </c>
      <c r="Y62" s="49">
        <f t="shared" si="20"/>
        <v>35.5</v>
      </c>
      <c r="Z62" s="108">
        <f t="shared" si="21"/>
        <v>23.75</v>
      </c>
      <c r="AA62" s="109">
        <f t="shared" si="22"/>
        <v>16.297</v>
      </c>
      <c r="AB62" s="4"/>
    </row>
    <row r="63" customFormat="1" ht="20.1" customHeight="1" spans="1:28">
      <c r="A63" s="9"/>
      <c r="B63" s="48" t="str">
        <f t="shared" ref="B63:B72" si="24">B28</f>
        <v>西U4-1</v>
      </c>
      <c r="C63" s="49">
        <f t="shared" ref="C63:C72" si="25">VLOOKUP(B63,$B$4:$K$36,8,0)</f>
        <v>1370</v>
      </c>
      <c r="D63" s="50">
        <f t="shared" ref="D63:D72" si="26">ROUNDDOWN((C63/E63-1),0)</f>
        <v>108</v>
      </c>
      <c r="E63" s="51">
        <f t="shared" ref="E63:E72" si="27">12.5</f>
        <v>12.5</v>
      </c>
      <c r="F63" s="52">
        <f t="shared" ref="F63:F72" si="28">C63-D63*E63-2*J63</f>
        <v>4</v>
      </c>
      <c r="G63" s="49">
        <f t="shared" ref="G63:G72" si="29">VLOOKUP(B63,$B$4:$J$72,6,0)</f>
        <v>60</v>
      </c>
      <c r="H63" s="53">
        <v>4</v>
      </c>
      <c r="I63" s="49">
        <f t="shared" ref="I63:I72" si="30">(G63-J63*2)/H63</f>
        <v>11</v>
      </c>
      <c r="J63" s="51">
        <v>8</v>
      </c>
      <c r="K63" s="49">
        <f t="shared" ref="K63:K72" si="31">VLOOKUP(B63,$B$4:$K$36,2,0)</f>
        <v>533.916</v>
      </c>
      <c r="L63" s="49">
        <f t="shared" ref="L63:L72" si="32">VLOOKUP(B63,$B$4:$K$36,3,0)</f>
        <v>612.914</v>
      </c>
      <c r="M63" s="83">
        <f t="shared" ref="M63:M72" si="33">ROUND((L63-5)/12.5,0)-1</f>
        <v>48</v>
      </c>
      <c r="N63" s="49">
        <f t="shared" ref="N63:N72" si="34">(L63-5-P63)/M63</f>
        <v>12.4982083333333</v>
      </c>
      <c r="O63" s="49">
        <f t="shared" ref="O63:O72" si="35">(K63-P63-5)/M63</f>
        <v>10.8524166666667</v>
      </c>
      <c r="P63" s="51">
        <v>8</v>
      </c>
      <c r="Q63" s="49">
        <f t="shared" ref="Q63:Q72" si="36">VLOOKUP($B63,$B$4:$K$36,7,0)</f>
        <v>70</v>
      </c>
      <c r="R63" s="53">
        <v>6</v>
      </c>
      <c r="S63" s="49">
        <f t="shared" ref="S63:S72" si="37">(Q63-2*J63)/R63</f>
        <v>9</v>
      </c>
      <c r="T63" s="97">
        <f t="shared" ref="T63:T72" si="38">VLOOKUP($B63,$B$4:$K$36,4,0)</f>
        <v>2000</v>
      </c>
      <c r="U63" s="97">
        <f t="shared" ref="U63:U72" si="39">ROUNDDOWN(T63/V63,0)-1</f>
        <v>53</v>
      </c>
      <c r="V63" s="98">
        <v>36.5</v>
      </c>
      <c r="W63" s="97">
        <f t="shared" ref="W63:W72" si="40">VLOOKUP($B63,$B$4:$K$36,5,0)</f>
        <v>2000</v>
      </c>
      <c r="X63" s="99">
        <f t="shared" ref="X63:X72" si="41">U63</f>
        <v>53</v>
      </c>
      <c r="Y63" s="49">
        <f t="shared" ref="Y63:Y72" si="42">(W63-Z63*2)/X63</f>
        <v>36.5</v>
      </c>
      <c r="Z63" s="108">
        <f t="shared" ref="Z63:Z72" si="43">(T63-U63*V63)/2</f>
        <v>32.75</v>
      </c>
      <c r="AA63" s="109">
        <f t="shared" ref="AA63:AA72" si="44">L63-M63*12.5-5</f>
        <v>7.91399999999999</v>
      </c>
      <c r="AB63" s="4"/>
    </row>
    <row r="64" customFormat="1" ht="20.1" customHeight="1" spans="1:28">
      <c r="A64" s="9"/>
      <c r="B64" s="48" t="str">
        <f t="shared" si="24"/>
        <v>西U3-1</v>
      </c>
      <c r="C64" s="49">
        <f t="shared" si="25"/>
        <v>1390</v>
      </c>
      <c r="D64" s="50">
        <f>ROUNDDOWN((C64/E64-2),0)</f>
        <v>109</v>
      </c>
      <c r="E64" s="51">
        <f t="shared" si="27"/>
        <v>12.5</v>
      </c>
      <c r="F64" s="52">
        <f t="shared" si="28"/>
        <v>11.5</v>
      </c>
      <c r="G64" s="49">
        <f t="shared" si="29"/>
        <v>70</v>
      </c>
      <c r="H64" s="53">
        <v>6</v>
      </c>
      <c r="I64" s="49">
        <f t="shared" si="30"/>
        <v>9</v>
      </c>
      <c r="J64" s="51">
        <v>8</v>
      </c>
      <c r="K64" s="49">
        <f t="shared" si="31"/>
        <v>613.033</v>
      </c>
      <c r="L64" s="49">
        <f t="shared" si="32"/>
        <v>669.325</v>
      </c>
      <c r="M64" s="83">
        <f t="shared" si="33"/>
        <v>52</v>
      </c>
      <c r="N64" s="49">
        <f t="shared" si="34"/>
        <v>12.6216346153846</v>
      </c>
      <c r="O64" s="49">
        <f t="shared" si="35"/>
        <v>11.5390961538462</v>
      </c>
      <c r="P64" s="51">
        <v>8</v>
      </c>
      <c r="Q64" s="49">
        <f t="shared" si="36"/>
        <v>80</v>
      </c>
      <c r="R64" s="53">
        <v>8</v>
      </c>
      <c r="S64" s="49">
        <f t="shared" si="37"/>
        <v>8</v>
      </c>
      <c r="T64" s="97">
        <f t="shared" si="38"/>
        <v>2000</v>
      </c>
      <c r="U64" s="97">
        <f t="shared" si="39"/>
        <v>52</v>
      </c>
      <c r="V64" s="98">
        <v>37.5</v>
      </c>
      <c r="W64" s="97">
        <f t="shared" si="40"/>
        <v>2000</v>
      </c>
      <c r="X64" s="99">
        <f t="shared" si="41"/>
        <v>52</v>
      </c>
      <c r="Y64" s="49">
        <f t="shared" si="42"/>
        <v>37.5</v>
      </c>
      <c r="Z64" s="108">
        <f t="shared" si="43"/>
        <v>25</v>
      </c>
      <c r="AA64" s="109">
        <f t="shared" si="44"/>
        <v>14.325</v>
      </c>
      <c r="AB64" s="4"/>
    </row>
    <row r="65" customFormat="1" ht="20.1" customHeight="1" spans="1:28">
      <c r="A65" s="9"/>
      <c r="B65" s="48" t="str">
        <f t="shared" si="24"/>
        <v>西U2-1</v>
      </c>
      <c r="C65" s="49">
        <f t="shared" si="25"/>
        <v>2667</v>
      </c>
      <c r="D65" s="50">
        <f t="shared" si="26"/>
        <v>212</v>
      </c>
      <c r="E65" s="51">
        <f t="shared" si="27"/>
        <v>12.5</v>
      </c>
      <c r="F65" s="52">
        <f t="shared" si="28"/>
        <v>1</v>
      </c>
      <c r="G65" s="49">
        <f t="shared" si="29"/>
        <v>70</v>
      </c>
      <c r="H65" s="53">
        <v>6</v>
      </c>
      <c r="I65" s="49">
        <f t="shared" si="30"/>
        <v>9</v>
      </c>
      <c r="J65" s="51">
        <v>8</v>
      </c>
      <c r="K65" s="49">
        <f t="shared" si="31"/>
        <v>669.41</v>
      </c>
      <c r="L65" s="49">
        <f t="shared" si="32"/>
        <v>725.702</v>
      </c>
      <c r="M65" s="83">
        <f t="shared" si="33"/>
        <v>57</v>
      </c>
      <c r="N65" s="49">
        <f t="shared" si="34"/>
        <v>12.5035438596491</v>
      </c>
      <c r="O65" s="49">
        <f t="shared" si="35"/>
        <v>11.5159649122807</v>
      </c>
      <c r="P65" s="51">
        <v>8</v>
      </c>
      <c r="Q65" s="49">
        <f t="shared" si="36"/>
        <v>80</v>
      </c>
      <c r="R65" s="53">
        <v>8</v>
      </c>
      <c r="S65" s="49">
        <f t="shared" si="37"/>
        <v>8</v>
      </c>
      <c r="T65" s="97">
        <f t="shared" si="38"/>
        <v>2000</v>
      </c>
      <c r="U65" s="97">
        <f t="shared" si="39"/>
        <v>50</v>
      </c>
      <c r="V65" s="98">
        <v>38.5</v>
      </c>
      <c r="W65" s="97">
        <f t="shared" si="40"/>
        <v>2000</v>
      </c>
      <c r="X65" s="99">
        <f t="shared" si="41"/>
        <v>50</v>
      </c>
      <c r="Y65" s="49">
        <f t="shared" si="42"/>
        <v>38.5</v>
      </c>
      <c r="Z65" s="108">
        <f t="shared" si="43"/>
        <v>37.5</v>
      </c>
      <c r="AA65" s="109">
        <f t="shared" si="44"/>
        <v>8.202</v>
      </c>
      <c r="AB65" s="4"/>
    </row>
    <row r="66" customFormat="1" ht="20.1" customHeight="1" spans="1:28">
      <c r="A66" s="9"/>
      <c r="B66" s="48" t="str">
        <f t="shared" si="24"/>
        <v>西U6-2</v>
      </c>
      <c r="C66" s="49">
        <f t="shared" si="25"/>
        <v>954.5</v>
      </c>
      <c r="D66" s="50">
        <f t="shared" si="26"/>
        <v>75</v>
      </c>
      <c r="E66" s="51">
        <f t="shared" si="27"/>
        <v>12.5</v>
      </c>
      <c r="F66" s="52">
        <f t="shared" si="28"/>
        <v>1</v>
      </c>
      <c r="G66" s="49">
        <f t="shared" si="29"/>
        <v>50</v>
      </c>
      <c r="H66" s="53">
        <v>4</v>
      </c>
      <c r="I66" s="49">
        <f t="shared" si="30"/>
        <v>8.5</v>
      </c>
      <c r="J66" s="51">
        <v>8</v>
      </c>
      <c r="K66" s="49">
        <f t="shared" si="31"/>
        <v>375.682</v>
      </c>
      <c r="L66" s="49">
        <f t="shared" si="32"/>
        <v>454.681</v>
      </c>
      <c r="M66" s="83">
        <f t="shared" si="33"/>
        <v>35</v>
      </c>
      <c r="N66" s="49">
        <f t="shared" si="34"/>
        <v>12.6194571428571</v>
      </c>
      <c r="O66" s="49">
        <f t="shared" si="35"/>
        <v>10.3623428571429</v>
      </c>
      <c r="P66" s="51">
        <v>8</v>
      </c>
      <c r="Q66" s="49">
        <f t="shared" si="36"/>
        <v>60</v>
      </c>
      <c r="R66" s="53">
        <v>4</v>
      </c>
      <c r="S66" s="49">
        <f t="shared" si="37"/>
        <v>11</v>
      </c>
      <c r="T66" s="97">
        <f t="shared" si="38"/>
        <v>2000</v>
      </c>
      <c r="U66" s="97">
        <f t="shared" si="39"/>
        <v>49</v>
      </c>
      <c r="V66" s="98">
        <v>39.5</v>
      </c>
      <c r="W66" s="97">
        <f t="shared" si="40"/>
        <v>2000</v>
      </c>
      <c r="X66" s="99">
        <f t="shared" si="41"/>
        <v>49</v>
      </c>
      <c r="Y66" s="49">
        <f t="shared" si="42"/>
        <v>39.5</v>
      </c>
      <c r="Z66" s="108">
        <f t="shared" si="43"/>
        <v>32.25</v>
      </c>
      <c r="AA66" s="109">
        <f t="shared" si="44"/>
        <v>12.181</v>
      </c>
      <c r="AB66" s="4"/>
    </row>
    <row r="67" customFormat="1" ht="20.1" customHeight="1" spans="1:28">
      <c r="A67" s="9"/>
      <c r="B67" s="48" t="str">
        <f t="shared" si="24"/>
        <v>西U5-2</v>
      </c>
      <c r="C67" s="49">
        <f t="shared" si="25"/>
        <v>974.5</v>
      </c>
      <c r="D67" s="50">
        <f t="shared" si="26"/>
        <v>76</v>
      </c>
      <c r="E67" s="51">
        <f t="shared" si="27"/>
        <v>12.5</v>
      </c>
      <c r="F67" s="52">
        <f t="shared" si="28"/>
        <v>8.49999999999989</v>
      </c>
      <c r="G67" s="49">
        <f t="shared" si="29"/>
        <v>60</v>
      </c>
      <c r="H67" s="53">
        <v>4</v>
      </c>
      <c r="I67" s="49">
        <f t="shared" si="30"/>
        <v>11</v>
      </c>
      <c r="J67" s="51">
        <v>8</v>
      </c>
      <c r="K67" s="49">
        <f t="shared" si="31"/>
        <v>454.799</v>
      </c>
      <c r="L67" s="49">
        <f t="shared" si="32"/>
        <v>533.797</v>
      </c>
      <c r="M67" s="83">
        <f t="shared" si="33"/>
        <v>41</v>
      </c>
      <c r="N67" s="49">
        <f t="shared" si="34"/>
        <v>12.7023658536585</v>
      </c>
      <c r="O67" s="49">
        <f t="shared" si="35"/>
        <v>10.7755853658537</v>
      </c>
      <c r="P67" s="51">
        <v>8</v>
      </c>
      <c r="Q67" s="49">
        <f t="shared" si="36"/>
        <v>70</v>
      </c>
      <c r="R67" s="53">
        <v>6</v>
      </c>
      <c r="S67" s="49">
        <f t="shared" si="37"/>
        <v>9</v>
      </c>
      <c r="T67" s="97">
        <f t="shared" si="38"/>
        <v>2000</v>
      </c>
      <c r="U67" s="97">
        <f t="shared" si="39"/>
        <v>48</v>
      </c>
      <c r="V67" s="98">
        <v>40.5</v>
      </c>
      <c r="W67" s="97">
        <f t="shared" si="40"/>
        <v>2000</v>
      </c>
      <c r="X67" s="99">
        <f t="shared" si="41"/>
        <v>48</v>
      </c>
      <c r="Y67" s="49">
        <f t="shared" si="42"/>
        <v>40.5</v>
      </c>
      <c r="Z67" s="108">
        <f t="shared" si="43"/>
        <v>28</v>
      </c>
      <c r="AA67" s="109">
        <f t="shared" si="44"/>
        <v>16.297</v>
      </c>
      <c r="AB67" s="4"/>
    </row>
    <row r="68" customFormat="1" ht="20.1" customHeight="1" spans="1:28">
      <c r="A68" s="9"/>
      <c r="B68" s="48" t="str">
        <f t="shared" si="24"/>
        <v>西U4-2</v>
      </c>
      <c r="C68" s="49">
        <f t="shared" si="25"/>
        <v>920</v>
      </c>
      <c r="D68" s="50">
        <f t="shared" si="26"/>
        <v>72</v>
      </c>
      <c r="E68" s="51">
        <f t="shared" si="27"/>
        <v>12.5</v>
      </c>
      <c r="F68" s="52">
        <f t="shared" si="28"/>
        <v>3.99999999999989</v>
      </c>
      <c r="G68" s="49">
        <f t="shared" si="29"/>
        <v>60</v>
      </c>
      <c r="H68" s="53">
        <v>4</v>
      </c>
      <c r="I68" s="49">
        <f t="shared" si="30"/>
        <v>11</v>
      </c>
      <c r="J68" s="51">
        <v>8</v>
      </c>
      <c r="K68" s="49">
        <f t="shared" si="31"/>
        <v>533.916</v>
      </c>
      <c r="L68" s="49">
        <f t="shared" si="32"/>
        <v>612.914</v>
      </c>
      <c r="M68" s="83">
        <f t="shared" si="33"/>
        <v>48</v>
      </c>
      <c r="N68" s="49">
        <f t="shared" si="34"/>
        <v>12.4982083333333</v>
      </c>
      <c r="O68" s="49">
        <f t="shared" si="35"/>
        <v>10.8524166666667</v>
      </c>
      <c r="P68" s="51">
        <v>8</v>
      </c>
      <c r="Q68" s="49">
        <f t="shared" si="36"/>
        <v>70</v>
      </c>
      <c r="R68" s="53">
        <v>6</v>
      </c>
      <c r="S68" s="49">
        <f t="shared" si="37"/>
        <v>9</v>
      </c>
      <c r="T68" s="97">
        <f t="shared" si="38"/>
        <v>2000</v>
      </c>
      <c r="U68" s="97">
        <f t="shared" si="39"/>
        <v>47</v>
      </c>
      <c r="V68" s="98">
        <v>41.5</v>
      </c>
      <c r="W68" s="97">
        <f t="shared" si="40"/>
        <v>2000</v>
      </c>
      <c r="X68" s="99">
        <f t="shared" si="41"/>
        <v>47</v>
      </c>
      <c r="Y68" s="49">
        <f t="shared" si="42"/>
        <v>41.5</v>
      </c>
      <c r="Z68" s="108">
        <f t="shared" si="43"/>
        <v>24.75</v>
      </c>
      <c r="AA68" s="109">
        <f t="shared" si="44"/>
        <v>7.91399999999999</v>
      </c>
      <c r="AB68" s="4"/>
    </row>
    <row r="69" customFormat="1" ht="20.1" customHeight="1" spans="1:28">
      <c r="A69" s="9"/>
      <c r="B69" s="48" t="str">
        <f t="shared" si="24"/>
        <v>西U3-2</v>
      </c>
      <c r="C69" s="49">
        <f t="shared" si="25"/>
        <v>1243</v>
      </c>
      <c r="D69" s="50">
        <f t="shared" si="26"/>
        <v>98</v>
      </c>
      <c r="E69" s="51">
        <f t="shared" si="27"/>
        <v>12.5</v>
      </c>
      <c r="F69" s="52">
        <f t="shared" si="28"/>
        <v>2</v>
      </c>
      <c r="G69" s="49">
        <f t="shared" si="29"/>
        <v>70</v>
      </c>
      <c r="H69" s="53">
        <v>6</v>
      </c>
      <c r="I69" s="49">
        <f t="shared" si="30"/>
        <v>9</v>
      </c>
      <c r="J69" s="51">
        <v>8</v>
      </c>
      <c r="K69" s="49">
        <f t="shared" si="31"/>
        <v>613.033</v>
      </c>
      <c r="L69" s="49">
        <f t="shared" si="32"/>
        <v>669.325</v>
      </c>
      <c r="M69" s="83">
        <f t="shared" si="33"/>
        <v>52</v>
      </c>
      <c r="N69" s="49">
        <f t="shared" si="34"/>
        <v>12.6216346153846</v>
      </c>
      <c r="O69" s="49">
        <f t="shared" si="35"/>
        <v>11.5390961538462</v>
      </c>
      <c r="P69" s="51">
        <v>8</v>
      </c>
      <c r="Q69" s="49">
        <f t="shared" si="36"/>
        <v>80</v>
      </c>
      <c r="R69" s="53">
        <v>8</v>
      </c>
      <c r="S69" s="49">
        <f t="shared" si="37"/>
        <v>8</v>
      </c>
      <c r="T69" s="97">
        <f t="shared" si="38"/>
        <v>2000</v>
      </c>
      <c r="U69" s="97">
        <f t="shared" si="39"/>
        <v>46</v>
      </c>
      <c r="V69" s="98">
        <v>42.5</v>
      </c>
      <c r="W69" s="97">
        <f t="shared" si="40"/>
        <v>2000</v>
      </c>
      <c r="X69" s="99">
        <f t="shared" si="41"/>
        <v>46</v>
      </c>
      <c r="Y69" s="49">
        <f t="shared" si="42"/>
        <v>42.5</v>
      </c>
      <c r="Z69" s="108">
        <f t="shared" si="43"/>
        <v>22.5</v>
      </c>
      <c r="AA69" s="109">
        <f t="shared" si="44"/>
        <v>14.325</v>
      </c>
      <c r="AB69" s="4"/>
    </row>
    <row r="70" customFormat="1" ht="20.1" customHeight="1" spans="1:28">
      <c r="A70" s="9"/>
      <c r="B70" s="110">
        <f t="shared" si="24"/>
        <v>0</v>
      </c>
      <c r="C70" s="111">
        <f t="shared" si="25"/>
        <v>60</v>
      </c>
      <c r="D70" s="112">
        <f t="shared" si="26"/>
        <v>3</v>
      </c>
      <c r="E70" s="113">
        <f t="shared" si="27"/>
        <v>12.5</v>
      </c>
      <c r="F70" s="114">
        <f t="shared" si="28"/>
        <v>6.5</v>
      </c>
      <c r="G70" s="111">
        <f t="shared" si="29"/>
        <v>30</v>
      </c>
      <c r="H70" s="115">
        <v>34</v>
      </c>
      <c r="I70" s="111">
        <f t="shared" si="30"/>
        <v>0.411764705882353</v>
      </c>
      <c r="J70" s="113">
        <v>8</v>
      </c>
      <c r="K70" s="111">
        <f t="shared" si="31"/>
        <v>0</v>
      </c>
      <c r="L70" s="111">
        <f t="shared" si="32"/>
        <v>0</v>
      </c>
      <c r="M70" s="149">
        <f t="shared" si="33"/>
        <v>-1</v>
      </c>
      <c r="N70" s="111">
        <f t="shared" si="34"/>
        <v>13</v>
      </c>
      <c r="O70" s="111">
        <f t="shared" si="35"/>
        <v>13</v>
      </c>
      <c r="P70" s="113">
        <v>8</v>
      </c>
      <c r="Q70" s="111">
        <f t="shared" si="36"/>
        <v>40</v>
      </c>
      <c r="R70" s="115">
        <v>35</v>
      </c>
      <c r="S70" s="111">
        <f t="shared" si="37"/>
        <v>0.685714285714286</v>
      </c>
      <c r="T70" s="175">
        <f t="shared" si="38"/>
        <v>0</v>
      </c>
      <c r="U70" s="175">
        <f t="shared" si="39"/>
        <v>-1</v>
      </c>
      <c r="V70" s="176">
        <v>43.5</v>
      </c>
      <c r="W70" s="175">
        <f t="shared" si="40"/>
        <v>0</v>
      </c>
      <c r="X70" s="177">
        <f t="shared" si="41"/>
        <v>-1</v>
      </c>
      <c r="Y70" s="111">
        <f t="shared" si="42"/>
        <v>43.5</v>
      </c>
      <c r="Z70" s="201">
        <f t="shared" si="43"/>
        <v>21.75</v>
      </c>
      <c r="AA70" s="109">
        <f t="shared" si="44"/>
        <v>7.5</v>
      </c>
      <c r="AB70" s="4"/>
    </row>
    <row r="71" s="5" customFormat="1" spans="1:22">
      <c r="A71" s="7"/>
      <c r="B71" s="116"/>
      <c r="C71" s="117"/>
      <c r="D71" s="118"/>
      <c r="E71" s="119"/>
      <c r="F71" s="120"/>
      <c r="H71" s="121"/>
      <c r="I71" s="4"/>
      <c r="R71" s="121"/>
      <c r="V71" s="178"/>
    </row>
    <row r="72" s="5" customFormat="1" spans="1:22">
      <c r="A72" s="7"/>
      <c r="B72" s="116"/>
      <c r="C72" s="117"/>
      <c r="D72" s="118"/>
      <c r="E72" s="119"/>
      <c r="F72" s="120"/>
      <c r="H72" s="121"/>
      <c r="I72" s="4"/>
      <c r="R72" s="121"/>
      <c r="V72" s="178"/>
    </row>
    <row r="73" s="1" customFormat="1" ht="15" spans="1:242">
      <c r="A73" s="122"/>
      <c r="B73" s="122"/>
      <c r="C73" s="122"/>
      <c r="D73" s="122"/>
      <c r="E73" s="122"/>
      <c r="F73" s="122"/>
      <c r="G73" s="122"/>
      <c r="H73" s="122"/>
      <c r="I73" s="150"/>
      <c r="J73" s="122"/>
      <c r="K73" s="122"/>
      <c r="L73" s="122"/>
      <c r="M73" s="122"/>
      <c r="N73" s="122"/>
      <c r="O73" s="122"/>
      <c r="P73" s="122"/>
      <c r="Q73" s="122"/>
      <c r="R73" s="122"/>
      <c r="S73" s="122"/>
      <c r="T73" s="122"/>
      <c r="U73" s="122"/>
      <c r="V73" s="122"/>
      <c r="W73" s="122"/>
      <c r="X73" s="122"/>
      <c r="Y73" s="122"/>
      <c r="Z73" s="122"/>
      <c r="AA73" s="122"/>
      <c r="AB73" s="122"/>
      <c r="AC73" s="122"/>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2"/>
      <c r="BQ73" s="202"/>
      <c r="BR73" s="202"/>
      <c r="BS73" s="202"/>
      <c r="BT73" s="202"/>
      <c r="BU73" s="202"/>
      <c r="BV73" s="202"/>
      <c r="BW73" s="202"/>
      <c r="BX73" s="202"/>
      <c r="BY73" s="202"/>
      <c r="BZ73" s="202"/>
      <c r="CA73" s="202"/>
      <c r="CB73" s="202"/>
      <c r="CC73" s="202"/>
      <c r="CD73" s="202"/>
      <c r="CE73" s="202"/>
      <c r="CF73" s="202"/>
      <c r="CG73" s="202"/>
      <c r="CH73" s="202"/>
      <c r="CI73" s="202"/>
      <c r="CJ73" s="202"/>
      <c r="CK73" s="202"/>
      <c r="CL73" s="202"/>
      <c r="CM73" s="202"/>
      <c r="CN73" s="202"/>
      <c r="CO73" s="202"/>
      <c r="CP73" s="202"/>
      <c r="CQ73" s="202"/>
      <c r="CR73" s="202"/>
      <c r="CS73" s="202"/>
      <c r="CT73" s="202"/>
      <c r="CU73" s="202"/>
      <c r="CV73" s="202"/>
      <c r="CW73" s="202"/>
      <c r="CX73" s="202"/>
      <c r="CY73" s="202"/>
      <c r="CZ73" s="202"/>
      <c r="DA73" s="202"/>
      <c r="DB73" s="202"/>
      <c r="DC73" s="202"/>
      <c r="DD73" s="202"/>
      <c r="DE73" s="202"/>
      <c r="DF73" s="202"/>
      <c r="DG73" s="202"/>
      <c r="DH73" s="202"/>
      <c r="DI73" s="202"/>
      <c r="DJ73" s="202"/>
      <c r="DK73" s="202"/>
      <c r="DL73" s="202"/>
      <c r="DM73" s="202"/>
      <c r="DN73" s="202"/>
      <c r="DO73" s="202"/>
      <c r="DP73" s="202"/>
      <c r="DQ73" s="202"/>
      <c r="DR73" s="202"/>
      <c r="DS73" s="202"/>
      <c r="DT73" s="202"/>
      <c r="DU73" s="202"/>
      <c r="DV73" s="202"/>
      <c r="DW73" s="202"/>
      <c r="DX73" s="202"/>
      <c r="DY73" s="202"/>
      <c r="DZ73" s="202"/>
      <c r="EA73" s="202"/>
      <c r="EB73" s="202"/>
      <c r="EC73" s="202"/>
      <c r="ED73" s="202"/>
      <c r="EE73" s="202"/>
      <c r="EF73" s="202"/>
      <c r="EG73" s="202"/>
      <c r="EH73" s="202"/>
      <c r="EI73" s="202"/>
      <c r="EJ73" s="202"/>
      <c r="EK73" s="202"/>
      <c r="EL73" s="202"/>
      <c r="EM73" s="202"/>
      <c r="EN73" s="202"/>
      <c r="EO73" s="202"/>
      <c r="EP73" s="202"/>
      <c r="EQ73" s="202"/>
      <c r="ER73" s="202"/>
      <c r="ES73" s="202"/>
      <c r="ET73" s="202"/>
      <c r="EU73" s="202"/>
      <c r="EV73" s="202"/>
      <c r="EW73" s="202"/>
      <c r="EX73" s="202"/>
      <c r="EY73" s="202"/>
      <c r="EZ73" s="202"/>
      <c r="FA73" s="202"/>
      <c r="FB73" s="202"/>
      <c r="FC73" s="202"/>
      <c r="FD73" s="202"/>
      <c r="FE73" s="202"/>
      <c r="FF73" s="202"/>
      <c r="FG73" s="202"/>
      <c r="FH73" s="202"/>
      <c r="FI73" s="202"/>
      <c r="FJ73" s="202"/>
      <c r="FK73" s="202"/>
      <c r="FL73" s="202"/>
      <c r="FM73" s="202"/>
      <c r="FN73" s="202"/>
      <c r="FO73" s="202"/>
      <c r="FP73" s="202"/>
      <c r="FQ73" s="202"/>
      <c r="FR73" s="202"/>
      <c r="FS73" s="202"/>
      <c r="FT73" s="202"/>
      <c r="FU73" s="202"/>
      <c r="FV73" s="202"/>
      <c r="FW73" s="202"/>
      <c r="FX73" s="202"/>
      <c r="FY73" s="202"/>
      <c r="FZ73" s="202"/>
      <c r="GA73" s="202"/>
      <c r="GB73" s="202"/>
      <c r="GC73" s="202"/>
      <c r="GD73" s="202"/>
      <c r="GE73" s="202"/>
      <c r="GF73" s="202"/>
      <c r="GG73" s="202"/>
      <c r="GH73" s="202"/>
      <c r="GI73" s="202"/>
      <c r="GJ73" s="202"/>
      <c r="GK73" s="202"/>
      <c r="GL73" s="202"/>
      <c r="GM73" s="202"/>
      <c r="GN73" s="202"/>
      <c r="GO73" s="202"/>
      <c r="GP73" s="202"/>
      <c r="GQ73" s="202"/>
      <c r="GR73" s="202"/>
      <c r="GS73" s="202"/>
      <c r="GT73" s="202"/>
      <c r="GU73" s="202"/>
      <c r="GV73" s="202"/>
      <c r="GW73" s="202"/>
      <c r="GX73" s="202"/>
      <c r="GY73" s="202"/>
      <c r="GZ73" s="202"/>
      <c r="HA73" s="202"/>
      <c r="HB73" s="202"/>
      <c r="HC73" s="202"/>
      <c r="HD73" s="202"/>
      <c r="HE73" s="202"/>
      <c r="HF73" s="202"/>
      <c r="HG73" s="202"/>
      <c r="HH73" s="202"/>
      <c r="HI73" s="202"/>
      <c r="HJ73" s="202"/>
      <c r="HK73" s="202"/>
      <c r="HL73" s="202"/>
      <c r="HM73" s="202"/>
      <c r="HN73" s="202"/>
      <c r="HO73" s="202"/>
      <c r="HP73" s="202"/>
      <c r="HQ73" s="202"/>
      <c r="HR73" s="202"/>
      <c r="HS73" s="202"/>
      <c r="HT73" s="202"/>
      <c r="HU73" s="202"/>
      <c r="HV73" s="202"/>
      <c r="HW73" s="202"/>
      <c r="HX73" s="202"/>
      <c r="HY73" s="202"/>
      <c r="HZ73" s="202"/>
      <c r="IA73" s="202"/>
      <c r="IB73" s="202"/>
      <c r="IC73" s="202"/>
      <c r="ID73" s="202"/>
      <c r="IE73" s="202"/>
      <c r="IF73" s="202"/>
      <c r="IG73" s="202"/>
      <c r="IH73" s="202"/>
    </row>
    <row r="74" s="5" customFormat="1" ht="9.95" customHeight="1" spans="1:22">
      <c r="A74" s="7"/>
      <c r="B74" s="123" t="str">
        <f>B4</f>
        <v>ZU1-1</v>
      </c>
      <c r="C74" s="123"/>
      <c r="D74" s="123"/>
      <c r="E74" s="10" t="s">
        <v>268</v>
      </c>
      <c r="F74" s="11"/>
      <c r="G74" s="11"/>
      <c r="H74" s="124" t="s">
        <v>269</v>
      </c>
      <c r="I74" s="151" t="str">
        <f>B74</f>
        <v>ZU1-1</v>
      </c>
      <c r="J74" s="152" t="s">
        <v>270</v>
      </c>
      <c r="K74" s="11" t="s">
        <v>271</v>
      </c>
      <c r="L74" s="11" t="s">
        <v>272</v>
      </c>
      <c r="M74" s="153" t="s">
        <v>273</v>
      </c>
      <c r="N74" s="11" t="s">
        <v>274</v>
      </c>
      <c r="O74" s="153" t="s">
        <v>275</v>
      </c>
      <c r="P74" s="153" t="s">
        <v>276</v>
      </c>
      <c r="Q74" s="179" t="s">
        <v>277</v>
      </c>
      <c r="R74" s="180" t="s">
        <v>278</v>
      </c>
      <c r="S74" s="181"/>
      <c r="T74" s="182"/>
      <c r="V74" s="1" t="s">
        <v>279</v>
      </c>
    </row>
    <row r="75" s="1" customFormat="1" ht="9.95" customHeight="1" spans="2:20">
      <c r="B75" s="123"/>
      <c r="C75" s="123"/>
      <c r="D75" s="123"/>
      <c r="E75" s="13"/>
      <c r="F75" s="15"/>
      <c r="G75" s="15"/>
      <c r="H75" s="125"/>
      <c r="I75" s="154"/>
      <c r="J75" s="155"/>
      <c r="K75" s="15"/>
      <c r="L75" s="15"/>
      <c r="M75" s="156"/>
      <c r="N75" s="15"/>
      <c r="O75" s="156"/>
      <c r="P75" s="156"/>
      <c r="Q75" s="183"/>
      <c r="R75" s="184"/>
      <c r="S75" s="185"/>
      <c r="T75" s="186"/>
    </row>
    <row r="76" s="5" customFormat="1" ht="36" customHeight="1" spans="1:26">
      <c r="A76" s="7"/>
      <c r="B76" s="123"/>
      <c r="C76" s="123"/>
      <c r="D76" s="123"/>
      <c r="E76" s="13"/>
      <c r="F76" s="15"/>
      <c r="G76" s="15"/>
      <c r="H76" s="15" t="s">
        <v>280</v>
      </c>
      <c r="I76" s="157"/>
      <c r="J76" s="155" t="s">
        <v>281</v>
      </c>
      <c r="K76" s="158">
        <f>'1.U型槽主筋验算'!K2</f>
        <v>14</v>
      </c>
      <c r="L76" s="159"/>
      <c r="M76" s="160">
        <f>(R76+S76)/2+ROUNDUP((IF(K76&lt;26,10.927,11.212))*K76/10,0)*2</f>
        <v>1832.631</v>
      </c>
      <c r="N76" s="161">
        <f>ROUNDUP((H79/12.5),0)*IF(I77&gt;600,2,1)</f>
        <v>160</v>
      </c>
      <c r="O76" s="162">
        <f t="shared" ref="O76:O83" si="45">M76*N76/100</f>
        <v>2932.2096</v>
      </c>
      <c r="P76" s="15">
        <f t="shared" ref="P76:P83" si="46">ROUND(K76^2*PI()/4/1000000*7850,3)</f>
        <v>1.208</v>
      </c>
      <c r="Q76" s="187">
        <f t="shared" ref="Q76:Q83" si="47">O76*P76</f>
        <v>3542.1091968</v>
      </c>
      <c r="R76" s="188">
        <f>(H77+I81-I84*2)*2+(H83-I84*2)+(H81-I84*2)*2</f>
        <v>1768.232</v>
      </c>
      <c r="S76" s="162">
        <f>(I77+I81-I84*2)*2+(H83-I84*2)+(H81-I84*2)*2</f>
        <v>1833.03</v>
      </c>
      <c r="T76" s="189">
        <f>R78</f>
        <v>1302</v>
      </c>
      <c r="V76" s="190">
        <f t="shared" ref="V76:V81" si="48">ROUNDUP((IF(K76&lt;26,10.927,11.212))*K76/10,0)</f>
        <v>16</v>
      </c>
      <c r="X76" s="191"/>
      <c r="Y76" s="191"/>
      <c r="Z76" s="191"/>
    </row>
    <row r="77" s="5" customFormat="1" ht="18" customHeight="1" spans="1:26">
      <c r="A77" s="7"/>
      <c r="B77" s="123"/>
      <c r="C77" s="123"/>
      <c r="D77" s="123"/>
      <c r="E77" s="126" t="s">
        <v>244</v>
      </c>
      <c r="F77" s="127" t="s">
        <v>282</v>
      </c>
      <c r="G77" s="127" t="s">
        <v>283</v>
      </c>
      <c r="H77" s="128">
        <f>MIN(VLOOKUP(I74,$B$4:$J$70,2,0),VLOOKUP(I74,$B$4:$J$70,3,0))</f>
        <v>179.116</v>
      </c>
      <c r="I77" s="163">
        <f>MAX(VLOOKUP(I74,$B$4:$J$70,2,0),VLOOKUP(I74,$B$4:$J$70,3,0))</f>
        <v>211.515</v>
      </c>
      <c r="J77" s="155" t="s">
        <v>284</v>
      </c>
      <c r="K77" s="164">
        <v>12</v>
      </c>
      <c r="L77" s="159"/>
      <c r="M77" s="160">
        <f>(R77+S77)/2+ROUNDUP((IF(K77&lt;26,10.927,11.212))*K77/10,0)*2</f>
        <v>255.3155</v>
      </c>
      <c r="N77" s="165">
        <f>ROUNDUP((H79/12.5*1),0)*2</f>
        <v>320</v>
      </c>
      <c r="O77" s="162">
        <f t="shared" si="45"/>
        <v>817.0096</v>
      </c>
      <c r="P77" s="15">
        <f t="shared" si="46"/>
        <v>0.888</v>
      </c>
      <c r="Q77" s="187">
        <f t="shared" si="47"/>
        <v>725.5045248</v>
      </c>
      <c r="R77" s="192">
        <f>H77+I81-I84*2</f>
        <v>211.116</v>
      </c>
      <c r="S77" s="193">
        <f>I77+I81-I84*2</f>
        <v>243.515</v>
      </c>
      <c r="T77" s="194" t="str">
        <f>ROUND(R77,1)&amp;"~"&amp;ROUND(S77,1)</f>
        <v>211.1~243.5</v>
      </c>
      <c r="V77" s="190">
        <f t="shared" si="48"/>
        <v>14</v>
      </c>
      <c r="X77" s="191"/>
      <c r="Y77" s="191"/>
      <c r="Z77" s="191"/>
    </row>
    <row r="78" s="5" customFormat="1" ht="18" customHeight="1" spans="1:26">
      <c r="A78" s="7"/>
      <c r="B78" s="123"/>
      <c r="C78" s="123"/>
      <c r="D78" s="123"/>
      <c r="E78" s="126">
        <f>VLOOKUP(I74,$B$39:$Z$70,3,0)</f>
        <v>103</v>
      </c>
      <c r="F78" s="129">
        <f>VLOOKUP(I74,$B$39:$Z$70,17,0)</f>
        <v>3</v>
      </c>
      <c r="G78" s="127">
        <f>VLOOKUP(I74,$B$39:$Z$70,12,0)</f>
        <v>16</v>
      </c>
      <c r="H78" s="127" t="s">
        <v>229</v>
      </c>
      <c r="I78" s="157"/>
      <c r="J78" s="155" t="s">
        <v>285</v>
      </c>
      <c r="K78" s="158">
        <v>14</v>
      </c>
      <c r="L78" s="159"/>
      <c r="M78" s="166">
        <f>R78+2*ROUNDUP((IF(K78&lt;26,10.927,11.212))*K78/10,0)</f>
        <v>1334</v>
      </c>
      <c r="N78" s="161">
        <f>ROUNDUP(H79/12.5,0)</f>
        <v>160</v>
      </c>
      <c r="O78" s="162">
        <f t="shared" si="45"/>
        <v>2134.4</v>
      </c>
      <c r="P78" s="15">
        <f t="shared" si="46"/>
        <v>1.208</v>
      </c>
      <c r="Q78" s="187">
        <f t="shared" si="47"/>
        <v>2578.3552</v>
      </c>
      <c r="R78" s="195">
        <f>H83-I84*2</f>
        <v>1302</v>
      </c>
      <c r="S78" s="162" t="s">
        <v>286</v>
      </c>
      <c r="T78" s="196"/>
      <c r="V78" s="190">
        <f t="shared" si="48"/>
        <v>16</v>
      </c>
      <c r="X78" s="191"/>
      <c r="Y78" s="191"/>
      <c r="Z78" s="191"/>
    </row>
    <row r="79" s="5" customFormat="1" ht="18" customHeight="1" spans="1:26">
      <c r="A79" s="7"/>
      <c r="B79" s="123"/>
      <c r="C79" s="123"/>
      <c r="D79" s="123"/>
      <c r="E79" s="130" t="s">
        <v>287</v>
      </c>
      <c r="F79" s="127" t="s">
        <v>288</v>
      </c>
      <c r="G79" s="127" t="s">
        <v>289</v>
      </c>
      <c r="H79" s="131">
        <f>MAX(VLOOKUP(I74,$B$4:$J$70,4,0),VLOOKUP(I74,$B$4:$J$70,5,0))</f>
        <v>2000</v>
      </c>
      <c r="I79" s="167">
        <f>MIN(VLOOKUP(I74,$B$4:$J$70,4,0),VLOOKUP(I74,$B$4:$J$70,5,0))</f>
        <v>2000</v>
      </c>
      <c r="J79" s="155" t="s">
        <v>290</v>
      </c>
      <c r="K79" s="164">
        <v>14</v>
      </c>
      <c r="L79" s="159"/>
      <c r="M79" s="166">
        <f>R79+2*ROUNDUP((IF(K79&lt;26,10.927,11.212))*K79/10,0)</f>
        <v>139.965512114594</v>
      </c>
      <c r="N79" s="165">
        <f>ROUNDUP(H79/12.5,0)*2</f>
        <v>320</v>
      </c>
      <c r="O79" s="162">
        <f t="shared" si="45"/>
        <v>447.8896387667</v>
      </c>
      <c r="P79" s="15">
        <f t="shared" si="46"/>
        <v>1.208</v>
      </c>
      <c r="Q79" s="187">
        <f t="shared" si="47"/>
        <v>541.050683630174</v>
      </c>
      <c r="R79" s="195">
        <f>((H81+I81-I84*2)+(20-I84*2^0.5))*(2^0.5)</f>
        <v>107.965512114594</v>
      </c>
      <c r="S79" s="162" t="s">
        <v>286</v>
      </c>
      <c r="T79" s="196"/>
      <c r="V79" s="190">
        <f t="shared" si="48"/>
        <v>16</v>
      </c>
      <c r="X79" s="191"/>
      <c r="Y79" s="191"/>
      <c r="Z79" s="191"/>
    </row>
    <row r="80" s="5" customFormat="1" ht="18" customHeight="1" spans="1:26">
      <c r="A80" s="7"/>
      <c r="B80" s="123"/>
      <c r="C80" s="123"/>
      <c r="D80" s="123"/>
      <c r="E80" s="132">
        <f>VLOOKUP(I74,$B$39:$Z$70,20,0)</f>
        <v>159</v>
      </c>
      <c r="F80" s="127">
        <f>VLOOKUP(I74,$B$39:$Z$70,23,0)</f>
        <v>159</v>
      </c>
      <c r="G80" s="127">
        <f>VLOOKUP(I74,$B$39:$Z$70,7,0)</f>
        <v>2</v>
      </c>
      <c r="H80" s="133" t="s">
        <v>291</v>
      </c>
      <c r="I80" s="157" t="s">
        <v>292</v>
      </c>
      <c r="J80" s="155" t="s">
        <v>293</v>
      </c>
      <c r="K80" s="158">
        <v>12</v>
      </c>
      <c r="L80" s="159"/>
      <c r="M80" s="166">
        <f>(R80+S80)/2+2*ROUNDUP((IF(K80&lt;26,10.927,11.212))*K80/10,0)</f>
        <v>2020</v>
      </c>
      <c r="N80" s="168">
        <f>4*(G78+1)+(G80-1)*2</f>
        <v>70</v>
      </c>
      <c r="O80" s="162">
        <f t="shared" si="45"/>
        <v>1414</v>
      </c>
      <c r="P80" s="15">
        <f t="shared" si="46"/>
        <v>0.888</v>
      </c>
      <c r="Q80" s="187">
        <f t="shared" si="47"/>
        <v>1255.632</v>
      </c>
      <c r="R80" s="188">
        <f>H79-I84*2</f>
        <v>1992</v>
      </c>
      <c r="S80" s="162">
        <f>I79-I84*2</f>
        <v>1992</v>
      </c>
      <c r="T80" s="194" t="str">
        <f>ROUND(S80,1)&amp;"~"&amp;ROUND(R80,1)</f>
        <v>1992~1992</v>
      </c>
      <c r="V80" s="190">
        <f t="shared" si="48"/>
        <v>14</v>
      </c>
      <c r="X80" s="191"/>
      <c r="Y80" s="191"/>
      <c r="Z80" s="191"/>
    </row>
    <row r="81" s="5" customFormat="1" ht="18" customHeight="1" spans="1:26">
      <c r="A81" s="7"/>
      <c r="B81" s="123"/>
      <c r="C81" s="123"/>
      <c r="D81" s="123"/>
      <c r="E81" s="134"/>
      <c r="F81" s="135"/>
      <c r="G81" s="135"/>
      <c r="H81" s="136">
        <f>VLOOKUP(I74,$B$4:$J$70,6,0)</f>
        <v>30</v>
      </c>
      <c r="I81" s="167">
        <f>VLOOKUP(I74,$B$4:$J$70,7,0)</f>
        <v>40</v>
      </c>
      <c r="J81" s="155" t="s">
        <v>294</v>
      </c>
      <c r="K81" s="158">
        <v>12</v>
      </c>
      <c r="L81" s="159"/>
      <c r="M81" s="166">
        <f>(R81+S81)/2+2*ROUNDUP((IF(K81&lt;26,10.927,11.212))*K81/10,0)</f>
        <v>2028.26240658595</v>
      </c>
      <c r="N81" s="15">
        <f>2*(E78+1)+F78*2</f>
        <v>214</v>
      </c>
      <c r="O81" s="162">
        <f t="shared" si="45"/>
        <v>4340.48155009392</v>
      </c>
      <c r="P81" s="15">
        <f t="shared" si="46"/>
        <v>0.888</v>
      </c>
      <c r="Q81" s="187">
        <f t="shared" si="47"/>
        <v>3854.3476164834</v>
      </c>
      <c r="R81" s="188">
        <f>((I77-H77)^2+H79^2)^0.5</f>
        <v>2000.26240658595</v>
      </c>
      <c r="S81" s="162">
        <f>((I77-H77)^2+I79^2)^0.5</f>
        <v>2000.26240658595</v>
      </c>
      <c r="T81" s="194" t="str">
        <f>ROUND(S81,1)&amp;"~"&amp;ROUND(R81,1)</f>
        <v>2000.3~2000.3</v>
      </c>
      <c r="V81" s="190">
        <f t="shared" si="48"/>
        <v>14</v>
      </c>
      <c r="X81" s="191"/>
      <c r="Y81" s="191"/>
      <c r="Z81" s="191"/>
    </row>
    <row r="82" s="5" customFormat="1" ht="18" customHeight="1" spans="1:26">
      <c r="A82" s="7"/>
      <c r="B82" s="123"/>
      <c r="C82" s="123"/>
      <c r="D82" s="123"/>
      <c r="E82" s="137" t="s">
        <v>295</v>
      </c>
      <c r="F82" s="138"/>
      <c r="G82" s="139"/>
      <c r="H82" s="140" t="s">
        <v>296</v>
      </c>
      <c r="I82" s="169"/>
      <c r="J82" s="155" t="s">
        <v>297</v>
      </c>
      <c r="K82" s="164">
        <v>8</v>
      </c>
      <c r="L82" s="159"/>
      <c r="M82" s="166">
        <f>R82+11</f>
        <v>43</v>
      </c>
      <c r="N82" s="170">
        <f>ROUNDDOWN(((VLOOKUP(I74,$B$39:$Z$70,2,0))/(VLOOKUP(I74,$B$39:$Z$70,4,0))-1),0)/4*((VLOOKUP(I74,$B$39:$Z$70,20,0))+1)</f>
        <v>4120</v>
      </c>
      <c r="O82" s="162">
        <f t="shared" si="45"/>
        <v>1771.6</v>
      </c>
      <c r="P82" s="15">
        <f t="shared" si="46"/>
        <v>0.395</v>
      </c>
      <c r="Q82" s="187">
        <f t="shared" si="47"/>
        <v>699.782</v>
      </c>
      <c r="R82" s="195">
        <f>I81-2*I84</f>
        <v>32</v>
      </c>
      <c r="S82" s="162" t="s">
        <v>286</v>
      </c>
      <c r="T82" s="196"/>
      <c r="V82" s="197"/>
      <c r="X82" s="191">
        <f>VLOOKUP(I74,$B$39:$Z$70,4,0)</f>
        <v>12.5</v>
      </c>
      <c r="Y82" s="191"/>
      <c r="Z82" s="191"/>
    </row>
    <row r="83" s="5" customFormat="1" ht="18" customHeight="1" spans="1:26">
      <c r="A83" s="7"/>
      <c r="B83" s="123"/>
      <c r="C83" s="123"/>
      <c r="D83" s="123"/>
      <c r="E83" s="141" t="s">
        <v>298</v>
      </c>
      <c r="F83" s="142" t="s">
        <v>299</v>
      </c>
      <c r="G83" s="143" t="s">
        <v>300</v>
      </c>
      <c r="H83" s="140">
        <f>VLOOKUP(I74,$B$4:$J$70,8,0)</f>
        <v>1310</v>
      </c>
      <c r="I83" s="169"/>
      <c r="J83" s="155" t="s">
        <v>301</v>
      </c>
      <c r="K83" s="164">
        <v>8</v>
      </c>
      <c r="L83" s="159"/>
      <c r="M83" s="166">
        <f>R83+11</f>
        <v>33</v>
      </c>
      <c r="N83" s="171">
        <f>ROUND(E80/4*G78,0)*2</f>
        <v>1272</v>
      </c>
      <c r="O83" s="162">
        <f t="shared" si="45"/>
        <v>419.76</v>
      </c>
      <c r="P83" s="15">
        <f t="shared" si="46"/>
        <v>0.395</v>
      </c>
      <c r="Q83" s="187">
        <f t="shared" si="47"/>
        <v>165.8052</v>
      </c>
      <c r="R83" s="195">
        <f>H81-2*I84</f>
        <v>22</v>
      </c>
      <c r="S83" s="162" t="s">
        <v>286</v>
      </c>
      <c r="T83" s="196"/>
      <c r="V83" s="197"/>
      <c r="X83" s="191"/>
      <c r="Y83" s="191"/>
      <c r="Z83" s="191"/>
    </row>
    <row r="84" s="5" customFormat="1" ht="18" customHeight="1" spans="1:26">
      <c r="A84" s="7"/>
      <c r="B84" s="123"/>
      <c r="C84" s="123"/>
      <c r="D84" s="123"/>
      <c r="E84" s="144">
        <f>IF(I74=0,0,ROUND(((H77+I77)/2*H81*2+H83*I81+0.2*0.2+0.25*0.05*2)*(H79+I79)/2/1000000,1))</f>
        <v>128.2</v>
      </c>
      <c r="F84" s="145">
        <f>IF(I74=0,0,ROUND(Q82+Q83,1))</f>
        <v>865.6</v>
      </c>
      <c r="G84" s="146">
        <f>IF(I74=0,0,ROUND(Q76+Q77+Q78+Q79+Q80+Q81,1))</f>
        <v>12497</v>
      </c>
      <c r="H84" s="147" t="s">
        <v>302</v>
      </c>
      <c r="I84" s="172">
        <f>$P$3</f>
        <v>4</v>
      </c>
      <c r="J84" s="173" t="s">
        <v>303</v>
      </c>
      <c r="K84" s="174" t="str">
        <f>"C40混凝土:"&amp;ROUND(((H77+I77)/2*H81*2+H83*I81+0.2*0.2+0.25*0.05*2)*(H79+I79)/2/1000000,1)&amp;"m"&amp;"      "&amp;"HPB300:"&amp;ROUND(Q82+Q83,1)&amp;"kg       "&amp;"HRB400:"&amp;ROUND(Q76+Q77+Q78+Q79+Q80+Q81,1)&amp;"kg"</f>
        <v>C40混凝土:128.2m      HPB300:865.6kg       HRB400:12497kg</v>
      </c>
      <c r="L84" s="174"/>
      <c r="M84" s="174"/>
      <c r="N84" s="174"/>
      <c r="O84" s="174"/>
      <c r="P84" s="174"/>
      <c r="Q84" s="198"/>
      <c r="R84" s="199" t="s">
        <v>304</v>
      </c>
      <c r="S84" s="174">
        <f>ROUND(SUM(Q76:Q83)/ROUND(((H77+I77)/2*H81*2+H83*I81+0.2*0.2+0.25*0.05*2)*(H79+I79)/2/1000000,1),1)</f>
        <v>104.2</v>
      </c>
      <c r="T84" s="200"/>
      <c r="Y84" s="191"/>
      <c r="Z84" s="191"/>
    </row>
    <row r="85" s="5" customFormat="1" ht="15" spans="1:15">
      <c r="A85" s="7"/>
      <c r="C85" s="1"/>
      <c r="I85" s="4"/>
      <c r="K85" s="8"/>
      <c r="O85" s="8"/>
    </row>
    <row r="86" s="5" customFormat="1" ht="9.95" customHeight="1" spans="1:22">
      <c r="A86" s="7"/>
      <c r="B86" s="123" t="str">
        <f>B5</f>
        <v>ZU2-1</v>
      </c>
      <c r="C86" s="123"/>
      <c r="D86" s="123"/>
      <c r="E86" s="10" t="s">
        <v>268</v>
      </c>
      <c r="F86" s="11"/>
      <c r="G86" s="11"/>
      <c r="H86" s="124" t="s">
        <v>269</v>
      </c>
      <c r="I86" s="151" t="str">
        <f>B86</f>
        <v>ZU2-1</v>
      </c>
      <c r="J86" s="152" t="s">
        <v>270</v>
      </c>
      <c r="K86" s="11" t="s">
        <v>271</v>
      </c>
      <c r="L86" s="11" t="s">
        <v>272</v>
      </c>
      <c r="M86" s="153" t="s">
        <v>273</v>
      </c>
      <c r="N86" s="11" t="s">
        <v>274</v>
      </c>
      <c r="O86" s="153" t="s">
        <v>275</v>
      </c>
      <c r="P86" s="153" t="s">
        <v>276</v>
      </c>
      <c r="Q86" s="179" t="s">
        <v>277</v>
      </c>
      <c r="R86" s="180" t="s">
        <v>278</v>
      </c>
      <c r="S86" s="181"/>
      <c r="T86" s="182"/>
      <c r="V86" s="1" t="s">
        <v>279</v>
      </c>
    </row>
    <row r="87" s="1" customFormat="1" ht="9.95" customHeight="1" spans="2:20">
      <c r="B87" s="123"/>
      <c r="C87" s="123"/>
      <c r="D87" s="123"/>
      <c r="E87" s="13"/>
      <c r="F87" s="15"/>
      <c r="G87" s="15"/>
      <c r="H87" s="125"/>
      <c r="I87" s="154"/>
      <c r="J87" s="155"/>
      <c r="K87" s="15"/>
      <c r="L87" s="15"/>
      <c r="M87" s="156"/>
      <c r="N87" s="15"/>
      <c r="O87" s="156"/>
      <c r="P87" s="156"/>
      <c r="Q87" s="183"/>
      <c r="R87" s="184"/>
      <c r="S87" s="185"/>
      <c r="T87" s="186"/>
    </row>
    <row r="88" s="5" customFormat="1" ht="36" customHeight="1" spans="1:26">
      <c r="A88" s="7"/>
      <c r="B88" s="123"/>
      <c r="C88" s="123"/>
      <c r="D88" s="123"/>
      <c r="E88" s="13"/>
      <c r="F88" s="15"/>
      <c r="G88" s="15"/>
      <c r="H88" s="15" t="s">
        <v>280</v>
      </c>
      <c r="I88" s="157"/>
      <c r="J88" s="155" t="s">
        <v>281</v>
      </c>
      <c r="K88" s="158">
        <f>'1.U型槽主筋验算'!K3</f>
        <v>16</v>
      </c>
      <c r="L88" s="159"/>
      <c r="M88" s="160">
        <f>(R88+S88)/2+ROUNDUP((IF(K88&lt;26,10.927,11.212))*K88/10,0)*2</f>
        <v>1928.669</v>
      </c>
      <c r="N88" s="161">
        <f>ROUNDUP((H91/12.5),0)*IF(I89&gt;600,2,1)</f>
        <v>160</v>
      </c>
      <c r="O88" s="162">
        <f t="shared" ref="O88:O95" si="49">M88*N88/100</f>
        <v>3085.8704</v>
      </c>
      <c r="P88" s="15">
        <f t="shared" ref="P88:P95" si="50">ROUND(K88^2*PI()/4/1000000*7850,3)</f>
        <v>1.578</v>
      </c>
      <c r="Q88" s="187">
        <f t="shared" ref="Q88:Q95" si="51">O88*P88</f>
        <v>4869.5034912</v>
      </c>
      <c r="R88" s="188">
        <f>(H89+I93-I96*2)*2+(H95-I96*2)+(H93-I96*2)*2</f>
        <v>1833.208</v>
      </c>
      <c r="S88" s="162">
        <f>(I89+I93-I96*2)*2+(H95-I96*2)+(H93-I96*2)*2</f>
        <v>1952.13</v>
      </c>
      <c r="T88" s="189">
        <f>R90</f>
        <v>1302</v>
      </c>
      <c r="V88" s="190">
        <f t="shared" ref="V88:V93" si="52">ROUNDUP((IF(K88&lt;26,10.927,11.212))*K88/10,0)</f>
        <v>18</v>
      </c>
      <c r="X88" s="191"/>
      <c r="Y88" s="191"/>
      <c r="Z88" s="191"/>
    </row>
    <row r="89" s="5" customFormat="1" ht="18" customHeight="1" spans="1:26">
      <c r="A89" s="7"/>
      <c r="B89" s="123"/>
      <c r="C89" s="123"/>
      <c r="D89" s="123"/>
      <c r="E89" s="126" t="s">
        <v>244</v>
      </c>
      <c r="F89" s="127" t="s">
        <v>282</v>
      </c>
      <c r="G89" s="127" t="s">
        <v>283</v>
      </c>
      <c r="H89" s="128">
        <f>MIN(VLOOKUP(I86,$B$4:$J$70,2,0),VLOOKUP(I86,$B$4:$J$70,3,0))</f>
        <v>211.604</v>
      </c>
      <c r="I89" s="163">
        <f>MAX(VLOOKUP(I86,$B$4:$J$70,2,0),VLOOKUP(I86,$B$4:$J$70,3,0))</f>
        <v>271.065</v>
      </c>
      <c r="J89" s="155" t="s">
        <v>284</v>
      </c>
      <c r="K89" s="164">
        <v>12</v>
      </c>
      <c r="L89" s="159"/>
      <c r="M89" s="160">
        <f>(R89+S89)/2+ROUNDUP((IF(K89&lt;26,10.927,11.212))*K89/10,0)*2</f>
        <v>301.3345</v>
      </c>
      <c r="N89" s="165">
        <f>ROUNDUP((H91/12.5*1),0)*2</f>
        <v>320</v>
      </c>
      <c r="O89" s="162">
        <f t="shared" si="49"/>
        <v>964.2704</v>
      </c>
      <c r="P89" s="15">
        <f t="shared" si="50"/>
        <v>0.888</v>
      </c>
      <c r="Q89" s="187">
        <f t="shared" si="51"/>
        <v>856.2721152</v>
      </c>
      <c r="R89" s="192">
        <f>H89+I93-I96*2</f>
        <v>243.604</v>
      </c>
      <c r="S89" s="193">
        <f>I89+I93-I96*2</f>
        <v>303.065</v>
      </c>
      <c r="T89" s="194" t="str">
        <f>ROUND(R89,1)&amp;"~"&amp;ROUND(S89,1)</f>
        <v>243.6~303.1</v>
      </c>
      <c r="V89" s="190">
        <f t="shared" si="52"/>
        <v>14</v>
      </c>
      <c r="X89" s="191"/>
      <c r="Y89" s="191"/>
      <c r="Z89" s="191"/>
    </row>
    <row r="90" s="5" customFormat="1" ht="18" customHeight="1" spans="1:26">
      <c r="A90" s="7"/>
      <c r="B90" s="123"/>
      <c r="C90" s="123"/>
      <c r="D90" s="123"/>
      <c r="E90" s="126">
        <f>VLOOKUP(I86,$B$39:$Z$70,3,0)</f>
        <v>103</v>
      </c>
      <c r="F90" s="129">
        <f>VLOOKUP(I86,$B$39:$Z$70,17,0)</f>
        <v>3</v>
      </c>
      <c r="G90" s="127">
        <f>VLOOKUP(I86,$B$39:$Z$70,12,0)</f>
        <v>20</v>
      </c>
      <c r="H90" s="127" t="s">
        <v>229</v>
      </c>
      <c r="I90" s="157"/>
      <c r="J90" s="155" t="s">
        <v>285</v>
      </c>
      <c r="K90" s="158">
        <v>14</v>
      </c>
      <c r="L90" s="159"/>
      <c r="M90" s="166">
        <f>R90+2*ROUNDUP((IF(K90&lt;26,10.927,11.212))*K90/10,0)</f>
        <v>1334</v>
      </c>
      <c r="N90" s="161">
        <f>ROUNDUP(H91/12.5,0)</f>
        <v>160</v>
      </c>
      <c r="O90" s="162">
        <f t="shared" si="49"/>
        <v>2134.4</v>
      </c>
      <c r="P90" s="15">
        <f t="shared" si="50"/>
        <v>1.208</v>
      </c>
      <c r="Q90" s="187">
        <f t="shared" si="51"/>
        <v>2578.3552</v>
      </c>
      <c r="R90" s="195">
        <f>H95-I96*2</f>
        <v>1302</v>
      </c>
      <c r="S90" s="162" t="s">
        <v>286</v>
      </c>
      <c r="T90" s="196"/>
      <c r="V90" s="190">
        <f t="shared" si="52"/>
        <v>16</v>
      </c>
      <c r="X90" s="191"/>
      <c r="Y90" s="191"/>
      <c r="Z90" s="191"/>
    </row>
    <row r="91" s="5" customFormat="1" ht="18" customHeight="1" spans="1:26">
      <c r="A91" s="7"/>
      <c r="B91" s="123"/>
      <c r="C91" s="123"/>
      <c r="D91" s="123"/>
      <c r="E91" s="130" t="s">
        <v>287</v>
      </c>
      <c r="F91" s="127" t="s">
        <v>288</v>
      </c>
      <c r="G91" s="127" t="s">
        <v>289</v>
      </c>
      <c r="H91" s="131">
        <f>MAX(VLOOKUP(I86,$B$4:$J$70,4,0),VLOOKUP(I86,$B$4:$J$70,5,0))</f>
        <v>2000</v>
      </c>
      <c r="I91" s="167">
        <f>MIN(VLOOKUP(I86,$B$4:$J$70,4,0),VLOOKUP(I86,$B$4:$J$70,5,0))</f>
        <v>2000</v>
      </c>
      <c r="J91" s="155" t="s">
        <v>290</v>
      </c>
      <c r="K91" s="164">
        <v>14</v>
      </c>
      <c r="L91" s="159"/>
      <c r="M91" s="166">
        <f>R91+2*ROUNDUP((IF(K91&lt;26,10.927,11.212))*K91/10,0)</f>
        <v>139.965512114594</v>
      </c>
      <c r="N91" s="165">
        <f>ROUNDUP(H91/12.5,0)*2</f>
        <v>320</v>
      </c>
      <c r="O91" s="162">
        <f t="shared" si="49"/>
        <v>447.8896387667</v>
      </c>
      <c r="P91" s="15">
        <f t="shared" si="50"/>
        <v>1.208</v>
      </c>
      <c r="Q91" s="187">
        <f t="shared" si="51"/>
        <v>541.050683630174</v>
      </c>
      <c r="R91" s="195">
        <f>((H93+I93-I96*2)+(20-I96*2^0.5))*(2^0.5)</f>
        <v>107.965512114594</v>
      </c>
      <c r="S91" s="162" t="s">
        <v>286</v>
      </c>
      <c r="T91" s="196"/>
      <c r="V91" s="190">
        <f t="shared" si="52"/>
        <v>16</v>
      </c>
      <c r="X91" s="191"/>
      <c r="Y91" s="191"/>
      <c r="Z91" s="191"/>
    </row>
    <row r="92" s="5" customFormat="1" ht="18" customHeight="1" spans="1:26">
      <c r="A92" s="7"/>
      <c r="B92" s="123"/>
      <c r="C92" s="123"/>
      <c r="D92" s="123"/>
      <c r="E92" s="132">
        <f>VLOOKUP(I86,$B$39:$Z$70,20,0)</f>
        <v>159</v>
      </c>
      <c r="F92" s="127">
        <f>VLOOKUP(I86,$B$39:$Z$70,23,0)</f>
        <v>159</v>
      </c>
      <c r="G92" s="127">
        <f>VLOOKUP(I86,$B$39:$Z$70,7,0)</f>
        <v>2</v>
      </c>
      <c r="H92" s="133" t="s">
        <v>291</v>
      </c>
      <c r="I92" s="157" t="s">
        <v>292</v>
      </c>
      <c r="J92" s="155" t="s">
        <v>293</v>
      </c>
      <c r="K92" s="158">
        <v>12</v>
      </c>
      <c r="L92" s="159"/>
      <c r="M92" s="166">
        <f>(R92+S92)/2+2*ROUNDUP((IF(K92&lt;26,10.927,11.212))*K92/10,0)</f>
        <v>2020</v>
      </c>
      <c r="N92" s="168">
        <f>4*(G90+1)+(G92-1)*2</f>
        <v>86</v>
      </c>
      <c r="O92" s="162">
        <f t="shared" si="49"/>
        <v>1737.2</v>
      </c>
      <c r="P92" s="15">
        <f t="shared" si="50"/>
        <v>0.888</v>
      </c>
      <c r="Q92" s="187">
        <f t="shared" si="51"/>
        <v>1542.6336</v>
      </c>
      <c r="R92" s="188">
        <f>H91-I96*2</f>
        <v>1992</v>
      </c>
      <c r="S92" s="162">
        <f>I91-I96*2</f>
        <v>1992</v>
      </c>
      <c r="T92" s="194" t="str">
        <f>ROUND(S92,1)&amp;"~"&amp;ROUND(R92,1)</f>
        <v>1992~1992</v>
      </c>
      <c r="V92" s="190">
        <f t="shared" si="52"/>
        <v>14</v>
      </c>
      <c r="X92" s="191"/>
      <c r="Y92" s="191"/>
      <c r="Z92" s="191"/>
    </row>
    <row r="93" s="5" customFormat="1" ht="18" customHeight="1" spans="1:26">
      <c r="A93" s="7"/>
      <c r="B93" s="123"/>
      <c r="C93" s="123"/>
      <c r="D93" s="123"/>
      <c r="E93" s="134"/>
      <c r="F93" s="135"/>
      <c r="G93" s="135"/>
      <c r="H93" s="136">
        <f>VLOOKUP(I86,$B$4:$J$70,6,0)</f>
        <v>30</v>
      </c>
      <c r="I93" s="167">
        <f>VLOOKUP(I86,$B$4:$J$70,7,0)</f>
        <v>40</v>
      </c>
      <c r="J93" s="155" t="s">
        <v>294</v>
      </c>
      <c r="K93" s="158">
        <v>12</v>
      </c>
      <c r="L93" s="159"/>
      <c r="M93" s="166">
        <f>(R93+S93)/2+2*ROUNDUP((IF(K93&lt;26,10.927,11.212))*K93/10,0)</f>
        <v>2028.88370739556</v>
      </c>
      <c r="N93" s="15">
        <f>2*(E90+1)+F90*2</f>
        <v>214</v>
      </c>
      <c r="O93" s="162">
        <f t="shared" si="49"/>
        <v>4341.8111338265</v>
      </c>
      <c r="P93" s="15">
        <f t="shared" si="50"/>
        <v>0.888</v>
      </c>
      <c r="Q93" s="187">
        <f t="shared" si="51"/>
        <v>3855.52828683793</v>
      </c>
      <c r="R93" s="188">
        <f>((I89-H89)^2+H91^2)^0.5</f>
        <v>2000.88370739556</v>
      </c>
      <c r="S93" s="162">
        <f>((I89-H89)^2+I91^2)^0.5</f>
        <v>2000.88370739556</v>
      </c>
      <c r="T93" s="194" t="str">
        <f>ROUND(S93,1)&amp;"~"&amp;ROUND(R93,1)</f>
        <v>2000.9~2000.9</v>
      </c>
      <c r="V93" s="190">
        <f t="shared" si="52"/>
        <v>14</v>
      </c>
      <c r="X93" s="191"/>
      <c r="Y93" s="191"/>
      <c r="Z93" s="191"/>
    </row>
    <row r="94" s="5" customFormat="1" ht="18" customHeight="1" spans="1:26">
      <c r="A94" s="7"/>
      <c r="B94" s="123"/>
      <c r="C94" s="123"/>
      <c r="D94" s="123"/>
      <c r="E94" s="137" t="s">
        <v>295</v>
      </c>
      <c r="F94" s="138"/>
      <c r="G94" s="139"/>
      <c r="H94" s="140" t="s">
        <v>296</v>
      </c>
      <c r="I94" s="169"/>
      <c r="J94" s="155" t="s">
        <v>297</v>
      </c>
      <c r="K94" s="164">
        <v>8</v>
      </c>
      <c r="L94" s="159"/>
      <c r="M94" s="166">
        <f>R94+11</f>
        <v>43</v>
      </c>
      <c r="N94" s="170">
        <f>ROUNDDOWN(((VLOOKUP(I86,$B$39:$Z$70,2,0))/(VLOOKUP(I86,$B$39:$Z$70,4,0))-1),0)/4*((VLOOKUP(I86,$B$39:$Z$70,20,0))+1)</f>
        <v>4120</v>
      </c>
      <c r="O94" s="162">
        <f t="shared" si="49"/>
        <v>1771.6</v>
      </c>
      <c r="P94" s="15">
        <f t="shared" si="50"/>
        <v>0.395</v>
      </c>
      <c r="Q94" s="187">
        <f t="shared" si="51"/>
        <v>699.782</v>
      </c>
      <c r="R94" s="195">
        <f>I93-2*I96</f>
        <v>32</v>
      </c>
      <c r="S94" s="162" t="s">
        <v>286</v>
      </c>
      <c r="T94" s="196"/>
      <c r="V94" s="197"/>
      <c r="X94" s="191"/>
      <c r="Y94" s="191"/>
      <c r="Z94" s="191"/>
    </row>
    <row r="95" s="5" customFormat="1" ht="18" customHeight="1" spans="1:26">
      <c r="A95" s="7"/>
      <c r="B95" s="123"/>
      <c r="C95" s="123"/>
      <c r="D95" s="123"/>
      <c r="E95" s="141" t="s">
        <v>298</v>
      </c>
      <c r="F95" s="142" t="s">
        <v>299</v>
      </c>
      <c r="G95" s="143" t="s">
        <v>300</v>
      </c>
      <c r="H95" s="140">
        <f>VLOOKUP(I86,$B$4:$J$70,8,0)</f>
        <v>1310</v>
      </c>
      <c r="I95" s="169"/>
      <c r="J95" s="155" t="s">
        <v>301</v>
      </c>
      <c r="K95" s="164">
        <v>8</v>
      </c>
      <c r="L95" s="159"/>
      <c r="M95" s="166">
        <f>R95+11</f>
        <v>33</v>
      </c>
      <c r="N95" s="171">
        <f>ROUND(E92/4*G90,0)*2</f>
        <v>1590</v>
      </c>
      <c r="O95" s="162">
        <f t="shared" si="49"/>
        <v>524.7</v>
      </c>
      <c r="P95" s="15">
        <f t="shared" si="50"/>
        <v>0.395</v>
      </c>
      <c r="Q95" s="187">
        <f t="shared" si="51"/>
        <v>207.2565</v>
      </c>
      <c r="R95" s="195">
        <f>H93-2*I96</f>
        <v>22</v>
      </c>
      <c r="S95" s="162" t="s">
        <v>286</v>
      </c>
      <c r="T95" s="196"/>
      <c r="V95" s="197"/>
      <c r="X95" s="191"/>
      <c r="Y95" s="191"/>
      <c r="Z95" s="191"/>
    </row>
    <row r="96" s="5" customFormat="1" ht="18" customHeight="1" spans="1:26">
      <c r="A96" s="7"/>
      <c r="B96" s="123"/>
      <c r="C96" s="123"/>
      <c r="D96" s="123"/>
      <c r="E96" s="144">
        <f>IF(I86=0,0,ROUND(((H89+I89)/2*H93*2+H95*I93+0.2*0.2+0.25*0.05*2)*(H91+I91)/2/1000000,1))</f>
        <v>133.8</v>
      </c>
      <c r="F96" s="145">
        <f>IF(I86=0,0,ROUND(Q94+Q95,1))</f>
        <v>907</v>
      </c>
      <c r="G96" s="146">
        <f>IF(I86=0,0,ROUND(Q88+Q89+Q90+Q91+Q92+Q93,1))</f>
        <v>14243.3</v>
      </c>
      <c r="H96" s="147" t="s">
        <v>302</v>
      </c>
      <c r="I96" s="172">
        <f>$P$3</f>
        <v>4</v>
      </c>
      <c r="J96" s="173" t="s">
        <v>303</v>
      </c>
      <c r="K96" s="174" t="str">
        <f>"C40混凝土:"&amp;ROUND(((H89+I89)/2*H93*2+H95*I93+0.2*0.2+0.25*0.05*2)*(H91+I91)/2/1000000,1)&amp;"m"&amp;"      "&amp;"HPB300:"&amp;ROUND(Q94+Q95,1)&amp;"kg       "&amp;"HRB400:"&amp;ROUND(Q88+Q89+Q90+Q91+Q92+Q93,1)&amp;"kg"</f>
        <v>C40混凝土:133.8m      HPB300:907kg       HRB400:14243.3kg</v>
      </c>
      <c r="L96" s="174"/>
      <c r="M96" s="174"/>
      <c r="N96" s="174"/>
      <c r="O96" s="174"/>
      <c r="P96" s="174"/>
      <c r="Q96" s="198"/>
      <c r="R96" s="199" t="s">
        <v>304</v>
      </c>
      <c r="S96" s="174">
        <f>ROUND(SUM(Q88:Q95)/ROUND(((H89+I89)/2*H93*2+H95*I93+0.2*0.2+0.25*0.05*2)*(H91+I91)/2/1000000,1),1)</f>
        <v>113.2</v>
      </c>
      <c r="T96" s="200"/>
      <c r="X96" s="191"/>
      <c r="Y96" s="191"/>
      <c r="Z96" s="191"/>
    </row>
    <row r="97" s="5" customFormat="1" ht="15" spans="1:15">
      <c r="A97" s="7"/>
      <c r="C97" s="1"/>
      <c r="I97" s="4"/>
      <c r="K97" s="8"/>
      <c r="O97" s="8"/>
    </row>
    <row r="98" s="5" customFormat="1" ht="9.95" customHeight="1" spans="1:22">
      <c r="A98" s="7"/>
      <c r="B98" s="123" t="str">
        <f>B6</f>
        <v>ZU3-1</v>
      </c>
      <c r="C98" s="123"/>
      <c r="D98" s="123"/>
      <c r="E98" s="10" t="s">
        <v>268</v>
      </c>
      <c r="F98" s="11"/>
      <c r="G98" s="11"/>
      <c r="H98" s="124" t="s">
        <v>269</v>
      </c>
      <c r="I98" s="151" t="str">
        <f>B98</f>
        <v>ZU3-1</v>
      </c>
      <c r="J98" s="152" t="s">
        <v>270</v>
      </c>
      <c r="K98" s="11" t="s">
        <v>271</v>
      </c>
      <c r="L98" s="11" t="s">
        <v>272</v>
      </c>
      <c r="M98" s="153" t="s">
        <v>273</v>
      </c>
      <c r="N98" s="11" t="s">
        <v>274</v>
      </c>
      <c r="O98" s="153" t="s">
        <v>275</v>
      </c>
      <c r="P98" s="153" t="s">
        <v>276</v>
      </c>
      <c r="Q98" s="179" t="s">
        <v>277</v>
      </c>
      <c r="R98" s="180" t="s">
        <v>278</v>
      </c>
      <c r="S98" s="181"/>
      <c r="T98" s="182"/>
      <c r="V98" s="1" t="s">
        <v>279</v>
      </c>
    </row>
    <row r="99" s="1" customFormat="1" ht="9.95" customHeight="1" spans="2:20">
      <c r="B99" s="123"/>
      <c r="C99" s="123"/>
      <c r="D99" s="123"/>
      <c r="E99" s="13"/>
      <c r="F99" s="15"/>
      <c r="G99" s="15"/>
      <c r="H99" s="125"/>
      <c r="I99" s="154"/>
      <c r="J99" s="155"/>
      <c r="K99" s="15"/>
      <c r="L99" s="15"/>
      <c r="M99" s="156"/>
      <c r="N99" s="15"/>
      <c r="O99" s="156"/>
      <c r="P99" s="156"/>
      <c r="Q99" s="183"/>
      <c r="R99" s="184"/>
      <c r="S99" s="185"/>
      <c r="T99" s="186"/>
    </row>
    <row r="100" s="5" customFormat="1" ht="36" customHeight="1" spans="1:26">
      <c r="A100" s="7"/>
      <c r="B100" s="123"/>
      <c r="C100" s="123"/>
      <c r="D100" s="123"/>
      <c r="E100" s="13"/>
      <c r="F100" s="15"/>
      <c r="G100" s="15"/>
      <c r="H100" s="15" t="s">
        <v>280</v>
      </c>
      <c r="I100" s="157"/>
      <c r="J100" s="155" t="s">
        <v>281</v>
      </c>
      <c r="K100" s="158">
        <f>'1.U型槽主筋验算'!K4</f>
        <v>18</v>
      </c>
      <c r="L100" s="159"/>
      <c r="M100" s="160">
        <f>(R100+S100)/2+ROUNDUP((IF(K100&lt;26,10.927,11.212))*K100/10,0)*2</f>
        <v>2111.769</v>
      </c>
      <c r="N100" s="161">
        <f>ROUNDUP((H103/12.5),0)*IF(I101&gt;600,2,1)</f>
        <v>160</v>
      </c>
      <c r="O100" s="162">
        <f t="shared" ref="O100:O107" si="53">M100*N100/100</f>
        <v>3378.8304</v>
      </c>
      <c r="P100" s="15">
        <f t="shared" ref="P100:P107" si="54">ROUND(K100^2*PI()/4/1000000*7850,3)</f>
        <v>1.998</v>
      </c>
      <c r="Q100" s="187">
        <f t="shared" ref="Q100:Q107" si="55">O100*P100</f>
        <v>6750.9031392</v>
      </c>
      <c r="R100" s="188">
        <f>(H101+I105-I108*2)*2+(H107-I108*2)+(H105-I108*2)*2</f>
        <v>2012.308</v>
      </c>
      <c r="S100" s="162">
        <f>(I101+I105-I108*2)*2+(H107-I108*2)+(H105-I108*2)*2</f>
        <v>2131.23</v>
      </c>
      <c r="T100" s="189">
        <f>R102</f>
        <v>1322</v>
      </c>
      <c r="V100" s="190">
        <f t="shared" ref="V100:V105" si="56">ROUNDUP((IF(K100&lt;26,10.927,11.212))*K100/10,0)</f>
        <v>20</v>
      </c>
      <c r="X100" s="191"/>
      <c r="Y100" s="191"/>
      <c r="Z100" s="191"/>
    </row>
    <row r="101" s="5" customFormat="1" ht="18" customHeight="1" spans="1:26">
      <c r="A101" s="7"/>
      <c r="B101" s="123"/>
      <c r="C101" s="123"/>
      <c r="D101" s="123"/>
      <c r="E101" s="126" t="s">
        <v>244</v>
      </c>
      <c r="F101" s="127" t="s">
        <v>282</v>
      </c>
      <c r="G101" s="127" t="s">
        <v>283</v>
      </c>
      <c r="H101" s="128">
        <f>MIN(VLOOKUP(I98,$B$4:$J$70,2,0),VLOOKUP(I98,$B$4:$J$70,3,0))</f>
        <v>271.154</v>
      </c>
      <c r="I101" s="163">
        <f>MAX(VLOOKUP(I98,$B$4:$J$70,2,0),VLOOKUP(I98,$B$4:$J$70,3,0))</f>
        <v>330.615</v>
      </c>
      <c r="J101" s="155" t="s">
        <v>284</v>
      </c>
      <c r="K101" s="164">
        <v>12</v>
      </c>
      <c r="L101" s="159"/>
      <c r="M101" s="160">
        <f>(R101+S101)/2+ROUNDUP((IF(K101&lt;26,10.927,11.212))*K101/10,0)*2</f>
        <v>370.8845</v>
      </c>
      <c r="N101" s="165">
        <f>ROUNDUP((H103/12.5*1),0)*2</f>
        <v>320</v>
      </c>
      <c r="O101" s="162">
        <f t="shared" si="53"/>
        <v>1186.8304</v>
      </c>
      <c r="P101" s="15">
        <f t="shared" si="54"/>
        <v>0.888</v>
      </c>
      <c r="Q101" s="187">
        <f t="shared" si="55"/>
        <v>1053.9053952</v>
      </c>
      <c r="R101" s="192">
        <f>H101+I105-I108*2</f>
        <v>313.154</v>
      </c>
      <c r="S101" s="193">
        <f>I101+I105-I108*2</f>
        <v>372.615</v>
      </c>
      <c r="T101" s="194" t="str">
        <f>ROUND(R101,1)&amp;"~"&amp;ROUND(S101,1)</f>
        <v>313.2~372.6</v>
      </c>
      <c r="V101" s="190">
        <f t="shared" si="56"/>
        <v>14</v>
      </c>
      <c r="X101" s="191"/>
      <c r="Y101" s="191"/>
      <c r="Z101" s="191"/>
    </row>
    <row r="102" s="5" customFormat="1" ht="18" customHeight="1" spans="1:26">
      <c r="A102" s="7"/>
      <c r="B102" s="123"/>
      <c r="C102" s="123"/>
      <c r="D102" s="123"/>
      <c r="E102" s="126">
        <f>VLOOKUP(I98,$B$39:$Z$70,3,0)</f>
        <v>105</v>
      </c>
      <c r="F102" s="129">
        <f>VLOOKUP(I98,$B$39:$Z$70,17,0)</f>
        <v>4</v>
      </c>
      <c r="G102" s="127">
        <f>VLOOKUP(I98,$B$39:$Z$70,12,0)</f>
        <v>25</v>
      </c>
      <c r="H102" s="127" t="s">
        <v>229</v>
      </c>
      <c r="I102" s="157"/>
      <c r="J102" s="155" t="s">
        <v>285</v>
      </c>
      <c r="K102" s="158">
        <v>14</v>
      </c>
      <c r="L102" s="159"/>
      <c r="M102" s="166">
        <f>R102+2*ROUNDUP((IF(K102&lt;26,10.927,11.212))*K102/10,0)</f>
        <v>1354</v>
      </c>
      <c r="N102" s="161">
        <f>ROUNDUP(H103/12.5,0)</f>
        <v>160</v>
      </c>
      <c r="O102" s="162">
        <f t="shared" si="53"/>
        <v>2166.4</v>
      </c>
      <c r="P102" s="15">
        <f t="shared" si="54"/>
        <v>1.208</v>
      </c>
      <c r="Q102" s="187">
        <f t="shared" si="55"/>
        <v>2617.0112</v>
      </c>
      <c r="R102" s="195">
        <f>H107-I108*2</f>
        <v>1322</v>
      </c>
      <c r="S102" s="162" t="s">
        <v>286</v>
      </c>
      <c r="T102" s="196"/>
      <c r="V102" s="190">
        <f t="shared" si="56"/>
        <v>16</v>
      </c>
      <c r="X102" s="191"/>
      <c r="Y102" s="191"/>
      <c r="Z102" s="191"/>
    </row>
    <row r="103" s="5" customFormat="1" ht="18" customHeight="1" spans="1:26">
      <c r="A103" s="7"/>
      <c r="B103" s="123"/>
      <c r="C103" s="123"/>
      <c r="D103" s="123"/>
      <c r="E103" s="130" t="s">
        <v>287</v>
      </c>
      <c r="F103" s="127" t="s">
        <v>288</v>
      </c>
      <c r="G103" s="127" t="s">
        <v>289</v>
      </c>
      <c r="H103" s="131">
        <f>MAX(VLOOKUP(I98,$B$4:$J$70,4,0),VLOOKUP(I98,$B$4:$J$70,5,0))</f>
        <v>2000</v>
      </c>
      <c r="I103" s="167">
        <f>MIN(VLOOKUP(I98,$B$4:$J$70,4,0),VLOOKUP(I98,$B$4:$J$70,5,0))</f>
        <v>2000</v>
      </c>
      <c r="J103" s="155" t="s">
        <v>290</v>
      </c>
      <c r="K103" s="164">
        <v>14</v>
      </c>
      <c r="L103" s="159"/>
      <c r="M103" s="166">
        <f>R103+2*ROUNDUP((IF(K103&lt;26,10.927,11.212))*K103/10,0)</f>
        <v>168.249783362056</v>
      </c>
      <c r="N103" s="165">
        <f>ROUNDUP(H103/12.5,0)*2</f>
        <v>320</v>
      </c>
      <c r="O103" s="162">
        <f t="shared" si="53"/>
        <v>538.399306758578</v>
      </c>
      <c r="P103" s="15">
        <f t="shared" si="54"/>
        <v>1.208</v>
      </c>
      <c r="Q103" s="187">
        <f t="shared" si="55"/>
        <v>650.386362564363</v>
      </c>
      <c r="R103" s="195">
        <f>((H105+I105-I108*2)+(20-I108*2^0.5))*(2^0.5)</f>
        <v>136.249783362056</v>
      </c>
      <c r="S103" s="162" t="s">
        <v>286</v>
      </c>
      <c r="T103" s="196"/>
      <c r="V103" s="190">
        <f t="shared" si="56"/>
        <v>16</v>
      </c>
      <c r="X103" s="191"/>
      <c r="Y103" s="191"/>
      <c r="Z103" s="191"/>
    </row>
    <row r="104" s="5" customFormat="1" ht="18" customHeight="1" spans="1:26">
      <c r="A104" s="7"/>
      <c r="B104" s="123"/>
      <c r="C104" s="123"/>
      <c r="D104" s="123"/>
      <c r="E104" s="132">
        <f>VLOOKUP(I98,$B$39:$Z$70,20,0)</f>
        <v>159</v>
      </c>
      <c r="F104" s="127">
        <f>VLOOKUP(I98,$B$39:$Z$70,23,0)</f>
        <v>159</v>
      </c>
      <c r="G104" s="127">
        <f>VLOOKUP(I98,$B$39:$Z$70,7,0)</f>
        <v>2</v>
      </c>
      <c r="H104" s="133" t="s">
        <v>291</v>
      </c>
      <c r="I104" s="157" t="s">
        <v>292</v>
      </c>
      <c r="J104" s="155" t="s">
        <v>293</v>
      </c>
      <c r="K104" s="158">
        <v>12</v>
      </c>
      <c r="L104" s="159"/>
      <c r="M104" s="166">
        <f>(R104+S104)/2+2*ROUNDUP((IF(K104&lt;26,10.927,11.212))*K104/10,0)</f>
        <v>2020</v>
      </c>
      <c r="N104" s="168">
        <f>4*(G102+1)+(G104-1)*2</f>
        <v>106</v>
      </c>
      <c r="O104" s="162">
        <f t="shared" si="53"/>
        <v>2141.2</v>
      </c>
      <c r="P104" s="15">
        <f t="shared" si="54"/>
        <v>0.888</v>
      </c>
      <c r="Q104" s="187">
        <f t="shared" si="55"/>
        <v>1901.3856</v>
      </c>
      <c r="R104" s="188">
        <f>H103-I108*2</f>
        <v>1992</v>
      </c>
      <c r="S104" s="162">
        <f>I103-I108*2</f>
        <v>1992</v>
      </c>
      <c r="T104" s="194" t="str">
        <f>ROUND(S104,1)&amp;"~"&amp;ROUND(R104,1)</f>
        <v>1992~1992</v>
      </c>
      <c r="V104" s="190">
        <f t="shared" si="56"/>
        <v>14</v>
      </c>
      <c r="X104" s="191"/>
      <c r="Y104" s="191"/>
      <c r="Z104" s="191"/>
    </row>
    <row r="105" s="5" customFormat="1" ht="18" customHeight="1" spans="1:26">
      <c r="A105" s="7"/>
      <c r="B105" s="123"/>
      <c r="C105" s="123"/>
      <c r="D105" s="123"/>
      <c r="E105" s="134"/>
      <c r="F105" s="135"/>
      <c r="G105" s="135"/>
      <c r="H105" s="136">
        <f>VLOOKUP(I98,$B$4:$J$70,6,0)</f>
        <v>40</v>
      </c>
      <c r="I105" s="167">
        <f>VLOOKUP(I98,$B$4:$J$70,7,0)</f>
        <v>50</v>
      </c>
      <c r="J105" s="155" t="s">
        <v>294</v>
      </c>
      <c r="K105" s="158">
        <v>12</v>
      </c>
      <c r="L105" s="159"/>
      <c r="M105" s="166">
        <f>(R105+S105)/2+2*ROUNDUP((IF(K105&lt;26,10.927,11.212))*K105/10,0)</f>
        <v>2028.88370739556</v>
      </c>
      <c r="N105" s="15">
        <f>2*(E102+1)+F102*2</f>
        <v>220</v>
      </c>
      <c r="O105" s="162">
        <f t="shared" si="53"/>
        <v>4463.54415627023</v>
      </c>
      <c r="P105" s="15">
        <f t="shared" si="54"/>
        <v>0.888</v>
      </c>
      <c r="Q105" s="187">
        <f t="shared" si="55"/>
        <v>3963.62721076797</v>
      </c>
      <c r="R105" s="188">
        <f>((I101-H101)^2+H103^2)^0.5</f>
        <v>2000.88370739556</v>
      </c>
      <c r="S105" s="162">
        <f>((I101-H101)^2+I103^2)^0.5</f>
        <v>2000.88370739556</v>
      </c>
      <c r="T105" s="194" t="str">
        <f>ROUND(S105,1)&amp;"~"&amp;ROUND(R105,1)</f>
        <v>2000.9~2000.9</v>
      </c>
      <c r="V105" s="190">
        <f t="shared" si="56"/>
        <v>14</v>
      </c>
      <c r="X105" s="191"/>
      <c r="Y105" s="191"/>
      <c r="Z105" s="191"/>
    </row>
    <row r="106" s="5" customFormat="1" ht="18" customHeight="1" spans="1:26">
      <c r="A106" s="7"/>
      <c r="B106" s="123"/>
      <c r="C106" s="123"/>
      <c r="D106" s="123"/>
      <c r="E106" s="137" t="s">
        <v>295</v>
      </c>
      <c r="F106" s="138"/>
      <c r="G106" s="139"/>
      <c r="H106" s="140" t="s">
        <v>296</v>
      </c>
      <c r="I106" s="169"/>
      <c r="J106" s="155" t="s">
        <v>297</v>
      </c>
      <c r="K106" s="164">
        <v>8</v>
      </c>
      <c r="L106" s="159"/>
      <c r="M106" s="166">
        <f>R106+11</f>
        <v>53</v>
      </c>
      <c r="N106" s="170">
        <f>ROUNDDOWN(((VLOOKUP(I98,$B$39:$Z$70,2,0))/(VLOOKUP(I98,$B$39:$Z$70,4,0))-1),0)/4*((VLOOKUP(I98,$B$39:$Z$70,20,0))+1)</f>
        <v>4200</v>
      </c>
      <c r="O106" s="162">
        <f t="shared" si="53"/>
        <v>2226</v>
      </c>
      <c r="P106" s="15">
        <f t="shared" si="54"/>
        <v>0.395</v>
      </c>
      <c r="Q106" s="187">
        <f t="shared" si="55"/>
        <v>879.27</v>
      </c>
      <c r="R106" s="195">
        <f>I105-2*I108</f>
        <v>42</v>
      </c>
      <c r="S106" s="162" t="s">
        <v>286</v>
      </c>
      <c r="T106" s="196"/>
      <c r="V106" s="197"/>
      <c r="X106" s="191"/>
      <c r="Y106" s="191"/>
      <c r="Z106" s="191"/>
    </row>
    <row r="107" s="5" customFormat="1" ht="18" customHeight="1" spans="1:26">
      <c r="A107" s="7"/>
      <c r="B107" s="123"/>
      <c r="C107" s="123"/>
      <c r="D107" s="123"/>
      <c r="E107" s="141" t="s">
        <v>298</v>
      </c>
      <c r="F107" s="142" t="s">
        <v>299</v>
      </c>
      <c r="G107" s="143" t="s">
        <v>300</v>
      </c>
      <c r="H107" s="140">
        <f>VLOOKUP(I98,$B$4:$J$70,8,0)</f>
        <v>1330</v>
      </c>
      <c r="I107" s="169"/>
      <c r="J107" s="155" t="s">
        <v>301</v>
      </c>
      <c r="K107" s="164">
        <v>8</v>
      </c>
      <c r="L107" s="159"/>
      <c r="M107" s="166">
        <f>R107+11</f>
        <v>43</v>
      </c>
      <c r="N107" s="171">
        <f>ROUND(E104/4*G102,0)*2</f>
        <v>1988</v>
      </c>
      <c r="O107" s="162">
        <f t="shared" si="53"/>
        <v>854.84</v>
      </c>
      <c r="P107" s="15">
        <f t="shared" si="54"/>
        <v>0.395</v>
      </c>
      <c r="Q107" s="187">
        <f t="shared" si="55"/>
        <v>337.6618</v>
      </c>
      <c r="R107" s="195">
        <f>H105-2*I108</f>
        <v>32</v>
      </c>
      <c r="S107" s="162" t="s">
        <v>286</v>
      </c>
      <c r="T107" s="196"/>
      <c r="V107" s="197"/>
      <c r="X107" s="191"/>
      <c r="Y107" s="191"/>
      <c r="Z107" s="191"/>
    </row>
    <row r="108" s="5" customFormat="1" ht="18" customHeight="1" spans="1:26">
      <c r="A108" s="7"/>
      <c r="B108" s="123"/>
      <c r="C108" s="123"/>
      <c r="D108" s="123"/>
      <c r="E108" s="144">
        <f>IF(I98=0,0,ROUND(((H101+I101)/2*H105*2+H107*I105+0.2*0.2+0.25*0.05*2)*(H103+I103)/2/1000000,1))</f>
        <v>181.1</v>
      </c>
      <c r="F108" s="145">
        <f>IF(I98=0,0,ROUND(Q106+Q107,1))</f>
        <v>1216.9</v>
      </c>
      <c r="G108" s="146">
        <f>IF(I98=0,0,ROUND(Q100+Q101+Q102+Q103+Q104+Q105,1))</f>
        <v>16937.2</v>
      </c>
      <c r="H108" s="147" t="s">
        <v>302</v>
      </c>
      <c r="I108" s="172">
        <f>$P$3</f>
        <v>4</v>
      </c>
      <c r="J108" s="173" t="s">
        <v>303</v>
      </c>
      <c r="K108" s="174" t="str">
        <f>"C40混凝土:"&amp;ROUND(((H101+I101)/2*H105*2+H107*I105+0.2*0.2+0.25*0.05*2)*(H103+I103)/2/1000000,1)&amp;"m"&amp;"      "&amp;"HPB300:"&amp;ROUND(Q106+Q107,1)&amp;"kg       "&amp;"HRB400:"&amp;ROUND(Q100+Q101+Q102+Q103+Q104+Q105,1)&amp;"kg"</f>
        <v>C40混凝土:181.1m      HPB300:1216.9kg       HRB400:16937.2kg</v>
      </c>
      <c r="L108" s="174"/>
      <c r="M108" s="174"/>
      <c r="N108" s="174"/>
      <c r="O108" s="174"/>
      <c r="P108" s="174"/>
      <c r="Q108" s="198"/>
      <c r="R108" s="199" t="s">
        <v>304</v>
      </c>
      <c r="S108" s="174">
        <f>ROUND(SUM(Q100:Q107)/ROUND(((H101+I101)/2*H105*2+H107*I105+0.2*0.2+0.25*0.05*2)*(H103+I103)/2/1000000,1),1)</f>
        <v>100.2</v>
      </c>
      <c r="T108" s="200"/>
      <c r="X108" s="191"/>
      <c r="Y108" s="191"/>
      <c r="Z108" s="191"/>
    </row>
    <row r="109" s="5" customFormat="1" ht="15" spans="1:15">
      <c r="A109" s="7"/>
      <c r="B109" s="148"/>
      <c r="C109" s="123"/>
      <c r="D109" s="148"/>
      <c r="I109" s="4"/>
      <c r="K109" s="8"/>
      <c r="O109" s="8"/>
    </row>
    <row r="110" s="5" customFormat="1" ht="9.95" customHeight="1" spans="1:22">
      <c r="A110" s="7"/>
      <c r="B110" s="123" t="str">
        <f>B7</f>
        <v>ZU4-1</v>
      </c>
      <c r="C110" s="123"/>
      <c r="D110" s="123"/>
      <c r="E110" s="10" t="s">
        <v>268</v>
      </c>
      <c r="F110" s="11"/>
      <c r="G110" s="11"/>
      <c r="H110" s="124" t="s">
        <v>269</v>
      </c>
      <c r="I110" s="151" t="str">
        <f>B110</f>
        <v>ZU4-1</v>
      </c>
      <c r="J110" s="152" t="s">
        <v>270</v>
      </c>
      <c r="K110" s="11" t="s">
        <v>271</v>
      </c>
      <c r="L110" s="11" t="s">
        <v>272</v>
      </c>
      <c r="M110" s="153" t="s">
        <v>273</v>
      </c>
      <c r="N110" s="11" t="s">
        <v>274</v>
      </c>
      <c r="O110" s="153" t="s">
        <v>275</v>
      </c>
      <c r="P110" s="153" t="s">
        <v>276</v>
      </c>
      <c r="Q110" s="179" t="s">
        <v>277</v>
      </c>
      <c r="R110" s="180" t="s">
        <v>278</v>
      </c>
      <c r="S110" s="181"/>
      <c r="T110" s="182"/>
      <c r="V110" s="1" t="s">
        <v>279</v>
      </c>
    </row>
    <row r="111" s="1" customFormat="1" ht="9.95" customHeight="1" spans="2:20">
      <c r="B111" s="123"/>
      <c r="C111" s="123"/>
      <c r="D111" s="123"/>
      <c r="E111" s="13"/>
      <c r="F111" s="15"/>
      <c r="G111" s="15"/>
      <c r="H111" s="125"/>
      <c r="I111" s="154"/>
      <c r="J111" s="155"/>
      <c r="K111" s="15"/>
      <c r="L111" s="15"/>
      <c r="M111" s="156"/>
      <c r="N111" s="15"/>
      <c r="O111" s="156"/>
      <c r="P111" s="156"/>
      <c r="Q111" s="183"/>
      <c r="R111" s="184"/>
      <c r="S111" s="185"/>
      <c r="T111" s="186"/>
    </row>
    <row r="112" s="5" customFormat="1" ht="36" customHeight="1" spans="1:26">
      <c r="A112" s="7"/>
      <c r="B112" s="123"/>
      <c r="C112" s="123"/>
      <c r="D112" s="123"/>
      <c r="E112" s="13"/>
      <c r="F112" s="15"/>
      <c r="G112" s="15"/>
      <c r="H112" s="15" t="s">
        <v>280</v>
      </c>
      <c r="I112" s="157"/>
      <c r="J112" s="155" t="s">
        <v>281</v>
      </c>
      <c r="K112" s="158">
        <f>'1.U型槽主筋验算'!K5</f>
        <v>22</v>
      </c>
      <c r="L112" s="159"/>
      <c r="M112" s="160">
        <f>(R112+S112)/2+ROUNDUP((IF(K112&lt;26,10.927,11.212))*K112/10,0)*2</f>
        <v>2240.869</v>
      </c>
      <c r="N112" s="161">
        <f>ROUNDUP((H115/12.5),0)*IF(I113&gt;600,2,1)</f>
        <v>160</v>
      </c>
      <c r="O112" s="162">
        <f t="shared" ref="O112:O119" si="57">M112*N112/100</f>
        <v>3585.3904</v>
      </c>
      <c r="P112" s="15">
        <f t="shared" ref="P112:P119" si="58">ROUND(K112^2*PI()/4/1000000*7850,3)</f>
        <v>2.984</v>
      </c>
      <c r="Q112" s="187">
        <f t="shared" ref="Q112:Q119" si="59">O112*P112</f>
        <v>10698.8049536</v>
      </c>
      <c r="R112" s="188">
        <f>(H113+I117-I120*2)*2+(H119-I120*2)+(H117-I120*2)*2</f>
        <v>2131.408</v>
      </c>
      <c r="S112" s="162">
        <f>(I113+I117-I120*2)*2+(H119-I120*2)+(H117-I120*2)*2</f>
        <v>2250.33</v>
      </c>
      <c r="T112" s="189">
        <f>R114</f>
        <v>1322</v>
      </c>
      <c r="V112" s="190">
        <f t="shared" ref="V112:V117" si="60">ROUNDUP((IF(K112&lt;26,10.927,11.212))*K112/10,0)</f>
        <v>25</v>
      </c>
      <c r="X112" s="191"/>
      <c r="Y112" s="191"/>
      <c r="Z112" s="191"/>
    </row>
    <row r="113" s="5" customFormat="1" ht="18" customHeight="1" spans="1:26">
      <c r="A113" s="7"/>
      <c r="B113" s="123"/>
      <c r="C113" s="123"/>
      <c r="D113" s="123"/>
      <c r="E113" s="126" t="s">
        <v>244</v>
      </c>
      <c r="F113" s="127" t="s">
        <v>282</v>
      </c>
      <c r="G113" s="127" t="s">
        <v>283</v>
      </c>
      <c r="H113" s="128">
        <f>MIN(VLOOKUP(I110,$B$4:$J$70,2,0),VLOOKUP(I110,$B$4:$J$70,3,0))</f>
        <v>330.704</v>
      </c>
      <c r="I113" s="163">
        <f>MAX(VLOOKUP(I110,$B$4:$J$70,2,0),VLOOKUP(I110,$B$4:$J$70,3,0))</f>
        <v>390.165</v>
      </c>
      <c r="J113" s="155" t="s">
        <v>284</v>
      </c>
      <c r="K113" s="164">
        <v>12</v>
      </c>
      <c r="L113" s="159"/>
      <c r="M113" s="160">
        <f>(R113+S113)/2+ROUNDUP((IF(K113&lt;26,10.927,11.212))*K113/10,0)*2</f>
        <v>430.4345</v>
      </c>
      <c r="N113" s="165">
        <f>ROUNDUP((H115/12.5*1),0)*2</f>
        <v>320</v>
      </c>
      <c r="O113" s="162">
        <f t="shared" si="57"/>
        <v>1377.3904</v>
      </c>
      <c r="P113" s="15">
        <f t="shared" si="58"/>
        <v>0.888</v>
      </c>
      <c r="Q113" s="187">
        <f t="shared" si="59"/>
        <v>1223.1226752</v>
      </c>
      <c r="R113" s="192">
        <f>H113+I117-I120*2</f>
        <v>372.704</v>
      </c>
      <c r="S113" s="193">
        <f>I113+I117-I120*2</f>
        <v>432.165</v>
      </c>
      <c r="T113" s="194" t="str">
        <f>ROUND(R113,1)&amp;"~"&amp;ROUND(S113,1)</f>
        <v>372.7~432.2</v>
      </c>
      <c r="V113" s="190">
        <f t="shared" si="60"/>
        <v>14</v>
      </c>
      <c r="X113" s="191"/>
      <c r="Y113" s="191"/>
      <c r="Z113" s="191"/>
    </row>
    <row r="114" s="5" customFormat="1" ht="18" customHeight="1" spans="1:26">
      <c r="A114" s="7"/>
      <c r="B114" s="123"/>
      <c r="C114" s="123"/>
      <c r="D114" s="123"/>
      <c r="E114" s="126">
        <f>VLOOKUP(I110,$B$39:$Z$70,3,0)</f>
        <v>105</v>
      </c>
      <c r="F114" s="129">
        <f>VLOOKUP(I110,$B$39:$Z$70,17,0)</f>
        <v>4</v>
      </c>
      <c r="G114" s="127">
        <f>VLOOKUP(I110,$B$39:$Z$70,12,0)</f>
        <v>30</v>
      </c>
      <c r="H114" s="127" t="s">
        <v>229</v>
      </c>
      <c r="I114" s="157"/>
      <c r="J114" s="155" t="s">
        <v>285</v>
      </c>
      <c r="K114" s="158">
        <v>14</v>
      </c>
      <c r="L114" s="159"/>
      <c r="M114" s="166">
        <f>R114+2*ROUNDUP((IF(K114&lt;26,10.927,11.212))*K114/10,0)</f>
        <v>1354</v>
      </c>
      <c r="N114" s="161">
        <f>ROUNDUP(H115/12.5,0)</f>
        <v>160</v>
      </c>
      <c r="O114" s="162">
        <f t="shared" si="57"/>
        <v>2166.4</v>
      </c>
      <c r="P114" s="15">
        <f t="shared" si="58"/>
        <v>1.208</v>
      </c>
      <c r="Q114" s="187">
        <f t="shared" si="59"/>
        <v>2617.0112</v>
      </c>
      <c r="R114" s="195">
        <f>H119-I120*2</f>
        <v>1322</v>
      </c>
      <c r="S114" s="162" t="s">
        <v>286</v>
      </c>
      <c r="T114" s="196"/>
      <c r="V114" s="190">
        <f t="shared" si="60"/>
        <v>16</v>
      </c>
      <c r="X114" s="191"/>
      <c r="Y114" s="191"/>
      <c r="Z114" s="191"/>
    </row>
    <row r="115" s="5" customFormat="1" ht="18" customHeight="1" spans="1:26">
      <c r="A115" s="7"/>
      <c r="B115" s="123"/>
      <c r="C115" s="123"/>
      <c r="D115" s="123"/>
      <c r="E115" s="130" t="s">
        <v>287</v>
      </c>
      <c r="F115" s="127" t="s">
        <v>288</v>
      </c>
      <c r="G115" s="127" t="s">
        <v>289</v>
      </c>
      <c r="H115" s="131">
        <f>MAX(VLOOKUP(I110,$B$4:$J$70,4,0),VLOOKUP(I110,$B$4:$J$70,5,0))</f>
        <v>2000</v>
      </c>
      <c r="I115" s="167">
        <f>MIN(VLOOKUP(I110,$B$4:$J$70,4,0),VLOOKUP(I110,$B$4:$J$70,5,0))</f>
        <v>2000</v>
      </c>
      <c r="J115" s="155" t="s">
        <v>290</v>
      </c>
      <c r="K115" s="164">
        <v>14</v>
      </c>
      <c r="L115" s="159"/>
      <c r="M115" s="166">
        <f>R115+2*ROUNDUP((IF(K115&lt;26,10.927,11.212))*K115/10,0)</f>
        <v>168.249783362056</v>
      </c>
      <c r="N115" s="165">
        <f>ROUNDUP(H115/12.5,0)*2</f>
        <v>320</v>
      </c>
      <c r="O115" s="162">
        <f t="shared" si="57"/>
        <v>538.399306758578</v>
      </c>
      <c r="P115" s="15">
        <f t="shared" si="58"/>
        <v>1.208</v>
      </c>
      <c r="Q115" s="187">
        <f t="shared" si="59"/>
        <v>650.386362564363</v>
      </c>
      <c r="R115" s="195">
        <f>((H117+I117-I120*2)+(20-I120*2^0.5))*(2^0.5)</f>
        <v>136.249783362056</v>
      </c>
      <c r="S115" s="162" t="s">
        <v>286</v>
      </c>
      <c r="T115" s="196"/>
      <c r="V115" s="190">
        <f t="shared" si="60"/>
        <v>16</v>
      </c>
      <c r="X115" s="191"/>
      <c r="Y115" s="191"/>
      <c r="Z115" s="191"/>
    </row>
    <row r="116" s="5" customFormat="1" ht="18" customHeight="1" spans="1:26">
      <c r="A116" s="7"/>
      <c r="B116" s="123"/>
      <c r="C116" s="123"/>
      <c r="D116" s="123"/>
      <c r="E116" s="132">
        <f>VLOOKUP(I110,$B$39:$Z$70,20,0)</f>
        <v>159</v>
      </c>
      <c r="F116" s="127">
        <f>VLOOKUP(I110,$B$39:$Z$70,23,0)</f>
        <v>159</v>
      </c>
      <c r="G116" s="127">
        <f>VLOOKUP(I110,$B$39:$Z$70,7,0)</f>
        <v>3</v>
      </c>
      <c r="H116" s="133" t="s">
        <v>291</v>
      </c>
      <c r="I116" s="157" t="s">
        <v>292</v>
      </c>
      <c r="J116" s="155" t="s">
        <v>293</v>
      </c>
      <c r="K116" s="158">
        <v>12</v>
      </c>
      <c r="L116" s="159"/>
      <c r="M116" s="166">
        <f>(R116+S116)/2+2*ROUNDUP((IF(K116&lt;26,10.927,11.212))*K116/10,0)</f>
        <v>2020</v>
      </c>
      <c r="N116" s="168">
        <f>4*(G114+1)+(G116-1)*2</f>
        <v>128</v>
      </c>
      <c r="O116" s="162">
        <f t="shared" si="57"/>
        <v>2585.6</v>
      </c>
      <c r="P116" s="15">
        <f t="shared" si="58"/>
        <v>0.888</v>
      </c>
      <c r="Q116" s="187">
        <f t="shared" si="59"/>
        <v>2296.0128</v>
      </c>
      <c r="R116" s="188">
        <f>H115-I120*2</f>
        <v>1992</v>
      </c>
      <c r="S116" s="162">
        <f>I115-I120*2</f>
        <v>1992</v>
      </c>
      <c r="T116" s="194" t="str">
        <f>ROUND(S116,1)&amp;"~"&amp;ROUND(R116,1)</f>
        <v>1992~1992</v>
      </c>
      <c r="V116" s="190">
        <f t="shared" si="60"/>
        <v>14</v>
      </c>
      <c r="X116" s="191"/>
      <c r="Y116" s="191"/>
      <c r="Z116" s="191"/>
    </row>
    <row r="117" s="5" customFormat="1" ht="18" customHeight="1" spans="1:26">
      <c r="A117" s="7"/>
      <c r="B117" s="123"/>
      <c r="C117" s="123"/>
      <c r="D117" s="123"/>
      <c r="E117" s="134"/>
      <c r="F117" s="135"/>
      <c r="G117" s="135"/>
      <c r="H117" s="136">
        <f>VLOOKUP(I110,$B$4:$J$70,6,0)</f>
        <v>40</v>
      </c>
      <c r="I117" s="167">
        <f>VLOOKUP(I110,$B$4:$J$70,7,0)</f>
        <v>50</v>
      </c>
      <c r="J117" s="155" t="s">
        <v>294</v>
      </c>
      <c r="K117" s="158">
        <v>12</v>
      </c>
      <c r="L117" s="159"/>
      <c r="M117" s="166">
        <f>(R117+S117)/2+2*ROUNDUP((IF(K117&lt;26,10.927,11.212))*K117/10,0)</f>
        <v>2028.88370739556</v>
      </c>
      <c r="N117" s="15">
        <f>2*(E114+1)+F114*2</f>
        <v>220</v>
      </c>
      <c r="O117" s="162">
        <f t="shared" si="57"/>
        <v>4463.54415627023</v>
      </c>
      <c r="P117" s="15">
        <f t="shared" si="58"/>
        <v>0.888</v>
      </c>
      <c r="Q117" s="187">
        <f t="shared" si="59"/>
        <v>3963.62721076797</v>
      </c>
      <c r="R117" s="188">
        <f>((I113-H113)^2+H115^2)^0.5</f>
        <v>2000.88370739556</v>
      </c>
      <c r="S117" s="162">
        <f>((I113-H113)^2+I115^2)^0.5</f>
        <v>2000.88370739556</v>
      </c>
      <c r="T117" s="194" t="str">
        <f>ROUND(S117,1)&amp;"~"&amp;ROUND(R117,1)</f>
        <v>2000.9~2000.9</v>
      </c>
      <c r="V117" s="190">
        <f t="shared" si="60"/>
        <v>14</v>
      </c>
      <c r="X117" s="191"/>
      <c r="Y117" s="191"/>
      <c r="Z117" s="191"/>
    </row>
    <row r="118" s="5" customFormat="1" ht="18" customHeight="1" spans="1:26">
      <c r="A118" s="7"/>
      <c r="B118" s="123"/>
      <c r="C118" s="123"/>
      <c r="D118" s="123"/>
      <c r="E118" s="137" t="s">
        <v>295</v>
      </c>
      <c r="F118" s="138"/>
      <c r="G118" s="139"/>
      <c r="H118" s="140" t="s">
        <v>296</v>
      </c>
      <c r="I118" s="169"/>
      <c r="J118" s="155" t="s">
        <v>297</v>
      </c>
      <c r="K118" s="164">
        <v>8</v>
      </c>
      <c r="L118" s="159"/>
      <c r="M118" s="166">
        <f>R118+11</f>
        <v>53</v>
      </c>
      <c r="N118" s="170">
        <f>ROUNDDOWN(((VLOOKUP(I110,$B$39:$Z$70,2,0))/(VLOOKUP(I110,$B$39:$Z$70,4,0))-1),0)/4*((VLOOKUP(I110,$B$39:$Z$70,20,0))+1)</f>
        <v>4200</v>
      </c>
      <c r="O118" s="162">
        <f t="shared" si="57"/>
        <v>2226</v>
      </c>
      <c r="P118" s="15">
        <f t="shared" si="58"/>
        <v>0.395</v>
      </c>
      <c r="Q118" s="187">
        <f t="shared" si="59"/>
        <v>879.27</v>
      </c>
      <c r="R118" s="195">
        <f>I117-2*I120</f>
        <v>42</v>
      </c>
      <c r="S118" s="162" t="s">
        <v>286</v>
      </c>
      <c r="T118" s="196"/>
      <c r="V118" s="197"/>
      <c r="X118" s="191"/>
      <c r="Y118" s="191"/>
      <c r="Z118" s="191"/>
    </row>
    <row r="119" s="5" customFormat="1" ht="18" customHeight="1" spans="1:26">
      <c r="A119" s="7"/>
      <c r="B119" s="123"/>
      <c r="C119" s="123"/>
      <c r="D119" s="123"/>
      <c r="E119" s="141" t="s">
        <v>298</v>
      </c>
      <c r="F119" s="142" t="s">
        <v>299</v>
      </c>
      <c r="G119" s="143" t="s">
        <v>300</v>
      </c>
      <c r="H119" s="140">
        <f>VLOOKUP(I110,$B$4:$J$70,8,0)</f>
        <v>1330</v>
      </c>
      <c r="I119" s="169"/>
      <c r="J119" s="155" t="s">
        <v>301</v>
      </c>
      <c r="K119" s="164">
        <v>8</v>
      </c>
      <c r="L119" s="159"/>
      <c r="M119" s="166">
        <f>R119+11</f>
        <v>43</v>
      </c>
      <c r="N119" s="171">
        <f>ROUND(E116/4*G114,0)*2</f>
        <v>2386</v>
      </c>
      <c r="O119" s="162">
        <f t="shared" si="57"/>
        <v>1025.98</v>
      </c>
      <c r="P119" s="15">
        <f t="shared" si="58"/>
        <v>0.395</v>
      </c>
      <c r="Q119" s="187">
        <f t="shared" si="59"/>
        <v>405.2621</v>
      </c>
      <c r="R119" s="195">
        <f>H117-2*I120</f>
        <v>32</v>
      </c>
      <c r="S119" s="162" t="s">
        <v>286</v>
      </c>
      <c r="T119" s="196"/>
      <c r="V119" s="197"/>
      <c r="X119" s="191"/>
      <c r="Y119" s="191"/>
      <c r="Z119" s="191"/>
    </row>
    <row r="120" s="5" customFormat="1" ht="18" customHeight="1" spans="1:26">
      <c r="A120" s="7"/>
      <c r="B120" s="123"/>
      <c r="C120" s="123"/>
      <c r="D120" s="123"/>
      <c r="E120" s="144">
        <f>IF(I110=0,0,ROUND(((H113+I113)/2*H117*2+H119*I117+0.2*0.2+0.25*0.05*2)*(H115+I115)/2/1000000,1))</f>
        <v>190.7</v>
      </c>
      <c r="F120" s="145">
        <f>IF(I110=0,0,ROUND(Q118+Q119,1))</f>
        <v>1284.5</v>
      </c>
      <c r="G120" s="146">
        <f>IF(I110=0,0,ROUND(Q112+Q113+Q114+Q115+Q116+Q117,1))</f>
        <v>21449</v>
      </c>
      <c r="H120" s="147" t="s">
        <v>302</v>
      </c>
      <c r="I120" s="172">
        <f>$P$3</f>
        <v>4</v>
      </c>
      <c r="J120" s="173" t="s">
        <v>303</v>
      </c>
      <c r="K120" s="174" t="str">
        <f>"C40混凝土:"&amp;ROUND(((H113+I113)/2*H117*2+H119*I117+0.2*0.2+0.25*0.05*2)*(H115+I115)/2/1000000,1)&amp;"m"&amp;"      "&amp;"HPB300:"&amp;ROUND(Q118+Q119,1)&amp;"kg       "&amp;"HRB400:"&amp;ROUND(Q112+Q113+Q114+Q115+Q116+Q117,1)&amp;"kg"</f>
        <v>C40混凝土:190.7m      HPB300:1284.5kg       HRB400:21449kg</v>
      </c>
      <c r="L120" s="174"/>
      <c r="M120" s="174"/>
      <c r="N120" s="174"/>
      <c r="O120" s="174"/>
      <c r="P120" s="174"/>
      <c r="Q120" s="198"/>
      <c r="R120" s="199" t="s">
        <v>304</v>
      </c>
      <c r="S120" s="174">
        <f>ROUND(SUM(Q112:Q119)/ROUND(((H113+I113)/2*H117*2+H119*I117+0.2*0.2+0.25*0.05*2)*(H115+I115)/2/1000000,1),1)</f>
        <v>119.2</v>
      </c>
      <c r="T120" s="200"/>
      <c r="X120" s="191"/>
      <c r="Y120" s="191"/>
      <c r="Z120" s="191"/>
    </row>
    <row r="121" s="5" customFormat="1" ht="15" spans="1:15">
      <c r="A121" s="7"/>
      <c r="B121" s="148"/>
      <c r="C121" s="123"/>
      <c r="D121" s="148"/>
      <c r="I121" s="4"/>
      <c r="K121" s="8"/>
      <c r="O121" s="8"/>
    </row>
    <row r="122" s="5" customFormat="1" ht="9.95" customHeight="1" spans="1:22">
      <c r="A122" s="7"/>
      <c r="B122" s="123" t="str">
        <f>B8</f>
        <v>ZU5-1</v>
      </c>
      <c r="C122" s="123"/>
      <c r="D122" s="123"/>
      <c r="E122" s="10" t="s">
        <v>268</v>
      </c>
      <c r="F122" s="11"/>
      <c r="G122" s="11"/>
      <c r="H122" s="124" t="s">
        <v>269</v>
      </c>
      <c r="I122" s="151" t="str">
        <f>B122</f>
        <v>ZU5-1</v>
      </c>
      <c r="J122" s="152" t="s">
        <v>270</v>
      </c>
      <c r="K122" s="11" t="s">
        <v>271</v>
      </c>
      <c r="L122" s="11" t="s">
        <v>272</v>
      </c>
      <c r="M122" s="153" t="s">
        <v>273</v>
      </c>
      <c r="N122" s="11" t="s">
        <v>274</v>
      </c>
      <c r="O122" s="153" t="s">
        <v>275</v>
      </c>
      <c r="P122" s="153" t="s">
        <v>276</v>
      </c>
      <c r="Q122" s="179" t="s">
        <v>277</v>
      </c>
      <c r="R122" s="180" t="s">
        <v>278</v>
      </c>
      <c r="S122" s="181"/>
      <c r="T122" s="182"/>
      <c r="V122" s="1" t="s">
        <v>279</v>
      </c>
    </row>
    <row r="123" s="1" customFormat="1" ht="9.95" customHeight="1" spans="2:20">
      <c r="B123" s="123"/>
      <c r="C123" s="123"/>
      <c r="D123" s="123"/>
      <c r="E123" s="13"/>
      <c r="F123" s="15"/>
      <c r="G123" s="15"/>
      <c r="H123" s="125"/>
      <c r="I123" s="154"/>
      <c r="J123" s="155"/>
      <c r="K123" s="15"/>
      <c r="L123" s="15"/>
      <c r="M123" s="156"/>
      <c r="N123" s="15"/>
      <c r="O123" s="156"/>
      <c r="P123" s="156"/>
      <c r="Q123" s="183"/>
      <c r="R123" s="184"/>
      <c r="S123" s="185"/>
      <c r="T123" s="186"/>
    </row>
    <row r="124" s="5" customFormat="1" ht="36" customHeight="1" spans="1:26">
      <c r="A124" s="7"/>
      <c r="B124" s="123"/>
      <c r="C124" s="123"/>
      <c r="D124" s="123"/>
      <c r="E124" s="13"/>
      <c r="F124" s="15"/>
      <c r="G124" s="15"/>
      <c r="H124" s="15" t="s">
        <v>280</v>
      </c>
      <c r="I124" s="157"/>
      <c r="J124" s="155" t="s">
        <v>281</v>
      </c>
      <c r="K124" s="158">
        <f>'1.U型槽主筋验算'!K6</f>
        <v>25</v>
      </c>
      <c r="L124" s="159"/>
      <c r="M124" s="160">
        <f>(R124+S124)/2+ROUNDUP((IF(K124&lt;26,10.927,11.212))*K124/10,0)*2</f>
        <v>2425.971</v>
      </c>
      <c r="N124" s="161">
        <f>ROUNDUP((H127/12.5),0)*IF(I125&gt;600,2,1)</f>
        <v>160</v>
      </c>
      <c r="O124" s="162">
        <f t="shared" ref="O124:O131" si="61">M124*N124/100</f>
        <v>3881.5536</v>
      </c>
      <c r="P124" s="15">
        <f t="shared" ref="P124:P131" si="62">ROUND(K124^2*PI()/4/1000000*7850,3)</f>
        <v>3.853</v>
      </c>
      <c r="Q124" s="187">
        <f t="shared" ref="Q124:Q131" si="63">O124*P124</f>
        <v>14955.6260208</v>
      </c>
      <c r="R124" s="188">
        <f>(H125+I129-I132*2)*2+(H131-I132*2)+(H129-I132*2)*2</f>
        <v>2310.51</v>
      </c>
      <c r="S124" s="162">
        <f>(I125+I129-I132*2)*2+(H131-I132*2)+(H129-I132*2)*2</f>
        <v>2429.432</v>
      </c>
      <c r="T124" s="189">
        <f>R126</f>
        <v>1342</v>
      </c>
      <c r="V124" s="190">
        <f t="shared" ref="V124:V129" si="64">ROUNDUP((IF(K124&lt;26,10.927,11.212))*K124/10,0)</f>
        <v>28</v>
      </c>
      <c r="X124" s="191"/>
      <c r="Y124" s="191"/>
      <c r="Z124" s="191"/>
    </row>
    <row r="125" s="5" customFormat="1" ht="18" customHeight="1" spans="1:26">
      <c r="A125" s="7"/>
      <c r="B125" s="123"/>
      <c r="C125" s="123"/>
      <c r="D125" s="123"/>
      <c r="E125" s="126" t="s">
        <v>244</v>
      </c>
      <c r="F125" s="127" t="s">
        <v>282</v>
      </c>
      <c r="G125" s="127" t="s">
        <v>283</v>
      </c>
      <c r="H125" s="128">
        <f>MIN(VLOOKUP(I122,$B$4:$J$70,2,0),VLOOKUP(I122,$B$4:$J$70,3,0))</f>
        <v>390.255</v>
      </c>
      <c r="I125" s="163">
        <f>MAX(VLOOKUP(I122,$B$4:$J$70,2,0),VLOOKUP(I122,$B$4:$J$70,3,0))</f>
        <v>449.716</v>
      </c>
      <c r="J125" s="155" t="s">
        <v>284</v>
      </c>
      <c r="K125" s="164">
        <v>12</v>
      </c>
      <c r="L125" s="159"/>
      <c r="M125" s="160">
        <f>(R125+S125)/2+ROUNDUP((IF(K125&lt;26,10.927,11.212))*K125/10,0)*2</f>
        <v>499.9855</v>
      </c>
      <c r="N125" s="165">
        <f>ROUNDUP((H127/12.5*1),0)*2</f>
        <v>320</v>
      </c>
      <c r="O125" s="162">
        <f t="shared" si="61"/>
        <v>1599.9536</v>
      </c>
      <c r="P125" s="15">
        <f t="shared" si="62"/>
        <v>0.888</v>
      </c>
      <c r="Q125" s="187">
        <f t="shared" si="63"/>
        <v>1420.7587968</v>
      </c>
      <c r="R125" s="192">
        <f>H125+I129-I132*2</f>
        <v>442.255</v>
      </c>
      <c r="S125" s="193">
        <f>I125+I129-I132*2</f>
        <v>501.716</v>
      </c>
      <c r="T125" s="194" t="str">
        <f>ROUND(R125,1)&amp;"~"&amp;ROUND(S125,1)</f>
        <v>442.3~501.7</v>
      </c>
      <c r="V125" s="190">
        <f t="shared" si="64"/>
        <v>14</v>
      </c>
      <c r="X125" s="191"/>
      <c r="Y125" s="191"/>
      <c r="Z125" s="191"/>
    </row>
    <row r="126" s="5" customFormat="1" ht="18" customHeight="1" spans="1:26">
      <c r="A126" s="7"/>
      <c r="B126" s="123"/>
      <c r="C126" s="123"/>
      <c r="D126" s="123"/>
      <c r="E126" s="126">
        <f>VLOOKUP(I122,$B$39:$Z$70,3,0)</f>
        <v>106</v>
      </c>
      <c r="F126" s="129">
        <f>VLOOKUP(I122,$B$39:$Z$70,17,0)</f>
        <v>4</v>
      </c>
      <c r="G126" s="127">
        <f>VLOOKUP(I122,$B$39:$Z$70,12,0)</f>
        <v>35</v>
      </c>
      <c r="H126" s="127" t="s">
        <v>229</v>
      </c>
      <c r="I126" s="157"/>
      <c r="J126" s="155" t="s">
        <v>285</v>
      </c>
      <c r="K126" s="158">
        <v>14</v>
      </c>
      <c r="L126" s="159"/>
      <c r="M126" s="166">
        <f>R126+2*ROUNDUP((IF(K126&lt;26,10.927,11.212))*K126/10,0)</f>
        <v>1374</v>
      </c>
      <c r="N126" s="161">
        <f>ROUNDUP(H127/12.5,0)</f>
        <v>160</v>
      </c>
      <c r="O126" s="162">
        <f t="shared" si="61"/>
        <v>2198.4</v>
      </c>
      <c r="P126" s="15">
        <f t="shared" si="62"/>
        <v>1.208</v>
      </c>
      <c r="Q126" s="187">
        <f t="shared" si="63"/>
        <v>2655.6672</v>
      </c>
      <c r="R126" s="195">
        <f>H131-I132*2</f>
        <v>1342</v>
      </c>
      <c r="S126" s="162" t="s">
        <v>286</v>
      </c>
      <c r="T126" s="196"/>
      <c r="V126" s="190">
        <f t="shared" si="64"/>
        <v>16</v>
      </c>
      <c r="X126" s="191"/>
      <c r="Y126" s="191"/>
      <c r="Z126" s="191"/>
    </row>
    <row r="127" s="5" customFormat="1" ht="18" customHeight="1" spans="1:26">
      <c r="A127" s="7"/>
      <c r="B127" s="123"/>
      <c r="C127" s="123"/>
      <c r="D127" s="123"/>
      <c r="E127" s="130" t="s">
        <v>287</v>
      </c>
      <c r="F127" s="127" t="s">
        <v>288</v>
      </c>
      <c r="G127" s="127" t="s">
        <v>289</v>
      </c>
      <c r="H127" s="131">
        <f>MAX(VLOOKUP(I122,$B$4:$J$70,4,0),VLOOKUP(I122,$B$4:$J$70,5,0))</f>
        <v>2000</v>
      </c>
      <c r="I127" s="167">
        <f>MIN(VLOOKUP(I122,$B$4:$J$70,4,0),VLOOKUP(I122,$B$4:$J$70,5,0))</f>
        <v>2000</v>
      </c>
      <c r="J127" s="155" t="s">
        <v>290</v>
      </c>
      <c r="K127" s="164">
        <v>14</v>
      </c>
      <c r="L127" s="159"/>
      <c r="M127" s="166">
        <f>R127+2*ROUNDUP((IF(K127&lt;26,10.927,11.212))*K127/10,0)</f>
        <v>196.534054609518</v>
      </c>
      <c r="N127" s="165">
        <f>ROUNDUP(H127/12.5,0)*2</f>
        <v>320</v>
      </c>
      <c r="O127" s="162">
        <f t="shared" si="61"/>
        <v>628.908974750456</v>
      </c>
      <c r="P127" s="15">
        <f t="shared" si="62"/>
        <v>1.208</v>
      </c>
      <c r="Q127" s="187">
        <f t="shared" si="63"/>
        <v>759.722041498551</v>
      </c>
      <c r="R127" s="195">
        <f>((H129+I129-I132*2)+(20-I132*2^0.5))*(2^0.5)</f>
        <v>164.534054609518</v>
      </c>
      <c r="S127" s="162" t="s">
        <v>286</v>
      </c>
      <c r="T127" s="196"/>
      <c r="V127" s="190">
        <f t="shared" si="64"/>
        <v>16</v>
      </c>
      <c r="X127" s="191"/>
      <c r="Y127" s="191"/>
      <c r="Z127" s="191"/>
    </row>
    <row r="128" s="5" customFormat="1" ht="18" customHeight="1" spans="1:26">
      <c r="A128" s="7"/>
      <c r="B128" s="123"/>
      <c r="C128" s="123"/>
      <c r="D128" s="123"/>
      <c r="E128" s="132">
        <f>VLOOKUP(I122,$B$39:$Z$70,20,0)</f>
        <v>159</v>
      </c>
      <c r="F128" s="127">
        <f>VLOOKUP(I122,$B$39:$Z$70,23,0)</f>
        <v>159</v>
      </c>
      <c r="G128" s="127">
        <f>VLOOKUP(I122,$B$39:$Z$70,7,0)</f>
        <v>4</v>
      </c>
      <c r="H128" s="133" t="s">
        <v>291</v>
      </c>
      <c r="I128" s="157" t="s">
        <v>292</v>
      </c>
      <c r="J128" s="155" t="s">
        <v>293</v>
      </c>
      <c r="K128" s="158">
        <v>12</v>
      </c>
      <c r="L128" s="159"/>
      <c r="M128" s="166">
        <f>(R128+S128)/2+2*ROUNDUP((IF(K128&lt;26,10.927,11.212))*K128/10,0)</f>
        <v>2020</v>
      </c>
      <c r="N128" s="168">
        <f>4*(G126+1)+(G128-1)*2</f>
        <v>150</v>
      </c>
      <c r="O128" s="162">
        <f t="shared" si="61"/>
        <v>3030</v>
      </c>
      <c r="P128" s="15">
        <f t="shared" si="62"/>
        <v>0.888</v>
      </c>
      <c r="Q128" s="187">
        <f t="shared" si="63"/>
        <v>2690.64</v>
      </c>
      <c r="R128" s="188">
        <f>H127-I132*2</f>
        <v>1992</v>
      </c>
      <c r="S128" s="162">
        <f>I127-I132*2</f>
        <v>1992</v>
      </c>
      <c r="T128" s="194" t="str">
        <f>ROUND(S128,1)&amp;"~"&amp;ROUND(R128,1)</f>
        <v>1992~1992</v>
      </c>
      <c r="V128" s="190">
        <f t="shared" si="64"/>
        <v>14</v>
      </c>
      <c r="X128" s="191"/>
      <c r="Y128" s="191"/>
      <c r="Z128" s="191"/>
    </row>
    <row r="129" s="5" customFormat="1" ht="18" customHeight="1" spans="1:26">
      <c r="A129" s="7"/>
      <c r="B129" s="123"/>
      <c r="C129" s="123"/>
      <c r="D129" s="123"/>
      <c r="E129" s="134"/>
      <c r="F129" s="135"/>
      <c r="G129" s="135"/>
      <c r="H129" s="136">
        <f>VLOOKUP(I122,$B$4:$J$70,6,0)</f>
        <v>50</v>
      </c>
      <c r="I129" s="167">
        <f>VLOOKUP(I122,$B$4:$J$70,7,0)</f>
        <v>60</v>
      </c>
      <c r="J129" s="155" t="s">
        <v>294</v>
      </c>
      <c r="K129" s="158">
        <v>12</v>
      </c>
      <c r="L129" s="159"/>
      <c r="M129" s="166">
        <f>(R129+S129)/2+2*ROUNDUP((IF(K129&lt;26,10.927,11.212))*K129/10,0)</f>
        <v>2028.88370739556</v>
      </c>
      <c r="N129" s="15">
        <f>2*(E126+1)+F126*2</f>
        <v>222</v>
      </c>
      <c r="O129" s="162">
        <f t="shared" si="61"/>
        <v>4504.12183041814</v>
      </c>
      <c r="P129" s="15">
        <f t="shared" si="62"/>
        <v>0.888</v>
      </c>
      <c r="Q129" s="187">
        <f t="shared" si="63"/>
        <v>3999.66018541131</v>
      </c>
      <c r="R129" s="188">
        <f>((I125-H125)^2+H127^2)^0.5</f>
        <v>2000.88370739556</v>
      </c>
      <c r="S129" s="162">
        <f>((I125-H125)^2+I127^2)^0.5</f>
        <v>2000.88370739556</v>
      </c>
      <c r="T129" s="194" t="str">
        <f>ROUND(S129,1)&amp;"~"&amp;ROUND(R129,1)</f>
        <v>2000.9~2000.9</v>
      </c>
      <c r="V129" s="190">
        <f t="shared" si="64"/>
        <v>14</v>
      </c>
      <c r="X129" s="191"/>
      <c r="Y129" s="191"/>
      <c r="Z129" s="191"/>
    </row>
    <row r="130" s="5" customFormat="1" ht="18" customHeight="1" spans="1:26">
      <c r="A130" s="7"/>
      <c r="B130" s="123"/>
      <c r="C130" s="123"/>
      <c r="D130" s="123"/>
      <c r="E130" s="137" t="s">
        <v>295</v>
      </c>
      <c r="F130" s="138"/>
      <c r="G130" s="139"/>
      <c r="H130" s="140" t="s">
        <v>296</v>
      </c>
      <c r="I130" s="169"/>
      <c r="J130" s="155" t="s">
        <v>297</v>
      </c>
      <c r="K130" s="164">
        <v>8</v>
      </c>
      <c r="L130" s="159"/>
      <c r="M130" s="166">
        <f>R130+11</f>
        <v>63</v>
      </c>
      <c r="N130" s="170">
        <f>ROUNDDOWN(((VLOOKUP(I122,$B$39:$Z$70,2,0))/(VLOOKUP(I122,$B$39:$Z$70,4,0))-1),0)/4*((VLOOKUP(I122,$B$39:$Z$70,20,0))+1)</f>
        <v>4280</v>
      </c>
      <c r="O130" s="162">
        <f t="shared" si="61"/>
        <v>2696.4</v>
      </c>
      <c r="P130" s="15">
        <f t="shared" si="62"/>
        <v>0.395</v>
      </c>
      <c r="Q130" s="187">
        <f t="shared" si="63"/>
        <v>1065.078</v>
      </c>
      <c r="R130" s="195">
        <f>I129-2*I132</f>
        <v>52</v>
      </c>
      <c r="S130" s="162" t="s">
        <v>286</v>
      </c>
      <c r="T130" s="196"/>
      <c r="V130" s="197"/>
      <c r="X130" s="191"/>
      <c r="Y130" s="191"/>
      <c r="Z130" s="191"/>
    </row>
    <row r="131" s="5" customFormat="1" ht="18" customHeight="1" spans="1:26">
      <c r="A131" s="7"/>
      <c r="B131" s="123"/>
      <c r="C131" s="123"/>
      <c r="D131" s="123"/>
      <c r="E131" s="141" t="s">
        <v>298</v>
      </c>
      <c r="F131" s="142" t="s">
        <v>299</v>
      </c>
      <c r="G131" s="143" t="s">
        <v>300</v>
      </c>
      <c r="H131" s="140">
        <f>VLOOKUP(I122,$B$4:$J$70,8,0)</f>
        <v>1350</v>
      </c>
      <c r="I131" s="169"/>
      <c r="J131" s="155" t="s">
        <v>301</v>
      </c>
      <c r="K131" s="164">
        <v>8</v>
      </c>
      <c r="L131" s="159"/>
      <c r="M131" s="166">
        <f>R131+11</f>
        <v>53</v>
      </c>
      <c r="N131" s="171">
        <f>ROUND(E128/4*G126,0)*2</f>
        <v>2782</v>
      </c>
      <c r="O131" s="162">
        <f t="shared" si="61"/>
        <v>1474.46</v>
      </c>
      <c r="P131" s="15">
        <f t="shared" si="62"/>
        <v>0.395</v>
      </c>
      <c r="Q131" s="187">
        <f t="shared" si="63"/>
        <v>582.4117</v>
      </c>
      <c r="R131" s="195">
        <f>H129-2*I132</f>
        <v>42</v>
      </c>
      <c r="S131" s="162" t="s">
        <v>286</v>
      </c>
      <c r="T131" s="196"/>
      <c r="V131" s="197"/>
      <c r="X131" s="191"/>
      <c r="Y131" s="191"/>
      <c r="Z131" s="191"/>
    </row>
    <row r="132" s="5" customFormat="1" ht="18" customHeight="1" spans="1:26">
      <c r="A132" s="7"/>
      <c r="B132" s="123"/>
      <c r="C132" s="123"/>
      <c r="D132" s="123"/>
      <c r="E132" s="144">
        <f>IF(I122=0,0,ROUND(((H125+I125)/2*H129*2+H131*I129+0.2*0.2+0.25*0.05*2)*(H127+I127)/2/1000000,1))</f>
        <v>246</v>
      </c>
      <c r="F132" s="145">
        <f>IF(I122=0,0,ROUND(Q130+Q131,1))</f>
        <v>1647.5</v>
      </c>
      <c r="G132" s="146">
        <f>IF(I122=0,0,ROUND(Q124+Q125+Q126+Q127+Q128+Q129,1))</f>
        <v>26482.1</v>
      </c>
      <c r="H132" s="147" t="s">
        <v>302</v>
      </c>
      <c r="I132" s="172">
        <f>$P$3</f>
        <v>4</v>
      </c>
      <c r="J132" s="173" t="s">
        <v>303</v>
      </c>
      <c r="K132" s="174" t="str">
        <f>"C40混凝土:"&amp;ROUND(((H125+I125)/2*H129*2+H131*I129+0.2*0.2+0.25*0.05*2)*(H127+I127)/2/1000000,1)&amp;"m"&amp;"      "&amp;"HPB300:"&amp;ROUND(Q130+Q131,1)&amp;"kg       "&amp;"HRB400:"&amp;ROUND(Q124+Q125+Q126+Q127+Q128+Q129,1)&amp;"kg"</f>
        <v>C40混凝土:246m      HPB300:1647.5kg       HRB400:26482.1kg</v>
      </c>
      <c r="L132" s="174"/>
      <c r="M132" s="174"/>
      <c r="N132" s="174"/>
      <c r="O132" s="174"/>
      <c r="P132" s="174"/>
      <c r="Q132" s="198"/>
      <c r="R132" s="199" t="s">
        <v>304</v>
      </c>
      <c r="S132" s="174">
        <f>ROUND(SUM(Q124:Q131)/ROUND(((H125+I125)/2*H129*2+H131*I129+0.2*0.2+0.25*0.05*2)*(H127+I127)/2/1000000,1),1)</f>
        <v>114.3</v>
      </c>
      <c r="T132" s="200"/>
      <c r="X132" s="191"/>
      <c r="Y132" s="191"/>
      <c r="Z132" s="191"/>
    </row>
    <row r="133" s="5" customFormat="1" ht="15" spans="1:15">
      <c r="A133" s="7"/>
      <c r="C133" s="1"/>
      <c r="I133" s="4"/>
      <c r="K133" s="8"/>
      <c r="O133" s="8"/>
    </row>
    <row r="134" s="5" customFormat="1" ht="9.95" customHeight="1" spans="1:22">
      <c r="A134" s="7"/>
      <c r="B134" s="203" t="str">
        <f>B9</f>
        <v>ZU6-1</v>
      </c>
      <c r="C134" s="203"/>
      <c r="D134" s="203"/>
      <c r="E134" s="10" t="s">
        <v>268</v>
      </c>
      <c r="F134" s="11"/>
      <c r="G134" s="11"/>
      <c r="H134" s="124" t="s">
        <v>269</v>
      </c>
      <c r="I134" s="151" t="str">
        <f>B134</f>
        <v>ZU6-1</v>
      </c>
      <c r="J134" s="152" t="s">
        <v>270</v>
      </c>
      <c r="K134" s="11" t="s">
        <v>271</v>
      </c>
      <c r="L134" s="11" t="s">
        <v>272</v>
      </c>
      <c r="M134" s="153" t="s">
        <v>273</v>
      </c>
      <c r="N134" s="11" t="s">
        <v>274</v>
      </c>
      <c r="O134" s="153" t="s">
        <v>275</v>
      </c>
      <c r="P134" s="153" t="s">
        <v>276</v>
      </c>
      <c r="Q134" s="179" t="s">
        <v>277</v>
      </c>
      <c r="R134" s="180" t="s">
        <v>278</v>
      </c>
      <c r="S134" s="181"/>
      <c r="T134" s="182"/>
      <c r="V134" s="1" t="s">
        <v>279</v>
      </c>
    </row>
    <row r="135" s="1" customFormat="1" ht="9.95" customHeight="1" spans="2:20">
      <c r="B135" s="203"/>
      <c r="C135" s="203"/>
      <c r="D135" s="203"/>
      <c r="E135" s="13"/>
      <c r="F135" s="15"/>
      <c r="G135" s="15"/>
      <c r="H135" s="125"/>
      <c r="I135" s="154"/>
      <c r="J135" s="155"/>
      <c r="K135" s="15"/>
      <c r="L135" s="15"/>
      <c r="M135" s="156"/>
      <c r="N135" s="15"/>
      <c r="O135" s="156"/>
      <c r="P135" s="156"/>
      <c r="Q135" s="183"/>
      <c r="R135" s="184"/>
      <c r="S135" s="185"/>
      <c r="T135" s="186"/>
    </row>
    <row r="136" s="5" customFormat="1" ht="36" customHeight="1" spans="1:26">
      <c r="A136" s="7"/>
      <c r="B136" s="203"/>
      <c r="C136" s="203"/>
      <c r="D136" s="203"/>
      <c r="E136" s="13"/>
      <c r="F136" s="15"/>
      <c r="G136" s="15"/>
      <c r="H136" s="15" t="s">
        <v>280</v>
      </c>
      <c r="I136" s="157"/>
      <c r="J136" s="155" t="s">
        <v>281</v>
      </c>
      <c r="K136" s="158">
        <f>'1.U型槽主筋验算'!K7</f>
        <v>20</v>
      </c>
      <c r="L136" s="159"/>
      <c r="M136" s="160">
        <f>(R136+S136)/2+ROUNDUP((IF(K136&lt;26,10.927,11.212))*K136/10,0)*2</f>
        <v>2611.432</v>
      </c>
      <c r="N136" s="161">
        <f>ROUNDUP((H139/12.5),0)*IF(I137&gt;600,2,1)</f>
        <v>160</v>
      </c>
      <c r="O136" s="162">
        <f t="shared" ref="O136:O143" si="65">M136*N136/100</f>
        <v>4178.2912</v>
      </c>
      <c r="P136" s="15">
        <f t="shared" ref="P136:P143" si="66">ROUND(K136^2*PI()/4/1000000*7850,3)</f>
        <v>2.466</v>
      </c>
      <c r="Q136" s="187">
        <f t="shared" ref="Q136:Q143" si="67">O136*P136</f>
        <v>10303.6660992</v>
      </c>
      <c r="R136" s="188">
        <f>(H137+I141-I144*2)*2+(H143-I144*2)+(H141-I144*2)*2</f>
        <v>2489.664</v>
      </c>
      <c r="S136" s="162">
        <f>(I137+I141-I144*2)*2+(H143-I144*2)+(H141-I144*2)*2</f>
        <v>2645.2</v>
      </c>
      <c r="T136" s="189">
        <f>R138</f>
        <v>1362</v>
      </c>
      <c r="V136" s="190">
        <f t="shared" ref="V136:V141" si="68">ROUNDUP((IF(K136&lt;26,10.927,11.212))*K136/10,0)</f>
        <v>22</v>
      </c>
      <c r="X136" s="191"/>
      <c r="Y136" s="191"/>
      <c r="Z136" s="191"/>
    </row>
    <row r="137" s="5" customFormat="1" ht="18" customHeight="1" spans="1:26">
      <c r="A137" s="7"/>
      <c r="B137" s="203"/>
      <c r="C137" s="203"/>
      <c r="D137" s="203"/>
      <c r="E137" s="126" t="s">
        <v>244</v>
      </c>
      <c r="F137" s="127" t="s">
        <v>282</v>
      </c>
      <c r="G137" s="127" t="s">
        <v>283</v>
      </c>
      <c r="H137" s="128">
        <f>MIN(VLOOKUP(I134,$B$4:$J$70,2,0),VLOOKUP(I134,$B$4:$J$70,3,0))</f>
        <v>449.832</v>
      </c>
      <c r="I137" s="163">
        <f>MAX(VLOOKUP(I134,$B$4:$J$70,2,0),VLOOKUP(I134,$B$4:$J$70,3,0))</f>
        <v>527.6</v>
      </c>
      <c r="J137" s="155" t="s">
        <v>284</v>
      </c>
      <c r="K137" s="164">
        <v>12</v>
      </c>
      <c r="L137" s="159"/>
      <c r="M137" s="160">
        <f>(R137+S137)/2+ROUNDUP((IF(K137&lt;26,10.927,11.212))*K137/10,0)*2</f>
        <v>578.716</v>
      </c>
      <c r="N137" s="165">
        <f>ROUNDUP((H139/12.5*1),0)*2</f>
        <v>320</v>
      </c>
      <c r="O137" s="162">
        <f t="shared" si="65"/>
        <v>1851.8912</v>
      </c>
      <c r="P137" s="15">
        <f t="shared" si="66"/>
        <v>0.888</v>
      </c>
      <c r="Q137" s="187">
        <f t="shared" si="67"/>
        <v>1644.4793856</v>
      </c>
      <c r="R137" s="192">
        <f>H137+I141-I144*2</f>
        <v>511.832</v>
      </c>
      <c r="S137" s="193">
        <f>I137+I141-I144*2</f>
        <v>589.6</v>
      </c>
      <c r="T137" s="194" t="str">
        <f>ROUND(R137,1)&amp;"~"&amp;ROUND(S137,1)</f>
        <v>511.8~589.6</v>
      </c>
      <c r="V137" s="190">
        <f t="shared" si="68"/>
        <v>14</v>
      </c>
      <c r="X137" s="191"/>
      <c r="Y137" s="191"/>
      <c r="Z137" s="191"/>
    </row>
    <row r="138" s="5" customFormat="1" ht="18" customHeight="1" spans="1:26">
      <c r="A138" s="7"/>
      <c r="B138" s="203"/>
      <c r="C138" s="203"/>
      <c r="D138" s="203"/>
      <c r="E138" s="126">
        <f>VLOOKUP(I134,$B$39:$Z$70,3,0)</f>
        <v>108</v>
      </c>
      <c r="F138" s="129">
        <f>VLOOKUP(I134,$B$39:$Z$70,17,0)</f>
        <v>6</v>
      </c>
      <c r="G138" s="127">
        <f>VLOOKUP(I134,$B$39:$Z$70,12,0)</f>
        <v>41</v>
      </c>
      <c r="H138" s="127" t="s">
        <v>229</v>
      </c>
      <c r="I138" s="157"/>
      <c r="J138" s="155" t="s">
        <v>285</v>
      </c>
      <c r="K138" s="158">
        <v>14</v>
      </c>
      <c r="L138" s="159"/>
      <c r="M138" s="166">
        <f>R138+2*ROUNDUP((IF(K138&lt;26,10.927,11.212))*K138/10,0)</f>
        <v>1394</v>
      </c>
      <c r="N138" s="161">
        <f>ROUNDUP(H139/12.5,0)</f>
        <v>160</v>
      </c>
      <c r="O138" s="162">
        <f t="shared" si="65"/>
        <v>2230.4</v>
      </c>
      <c r="P138" s="15">
        <f t="shared" si="66"/>
        <v>1.208</v>
      </c>
      <c r="Q138" s="187">
        <f t="shared" si="67"/>
        <v>2694.3232</v>
      </c>
      <c r="R138" s="195">
        <f>H143-I144*2</f>
        <v>1362</v>
      </c>
      <c r="S138" s="162" t="s">
        <v>286</v>
      </c>
      <c r="T138" s="196"/>
      <c r="V138" s="190">
        <f t="shared" si="68"/>
        <v>16</v>
      </c>
      <c r="X138" s="191"/>
      <c r="Y138" s="191"/>
      <c r="Z138" s="191"/>
    </row>
    <row r="139" s="5" customFormat="1" ht="18" customHeight="1" spans="1:26">
      <c r="A139" s="7"/>
      <c r="B139" s="203"/>
      <c r="C139" s="203"/>
      <c r="D139" s="203"/>
      <c r="E139" s="130" t="s">
        <v>287</v>
      </c>
      <c r="F139" s="127" t="s">
        <v>288</v>
      </c>
      <c r="G139" s="127" t="s">
        <v>289</v>
      </c>
      <c r="H139" s="131">
        <f>MAX(VLOOKUP(I134,$B$4:$J$70,4,0),VLOOKUP(I134,$B$4:$J$70,5,0))</f>
        <v>2000</v>
      </c>
      <c r="I139" s="167">
        <f>MIN(VLOOKUP(I134,$B$4:$J$70,4,0),VLOOKUP(I134,$B$4:$J$70,5,0))</f>
        <v>2000</v>
      </c>
      <c r="J139" s="155" t="s">
        <v>290</v>
      </c>
      <c r="K139" s="164">
        <v>14</v>
      </c>
      <c r="L139" s="159"/>
      <c r="M139" s="166">
        <f>R139+2*ROUNDUP((IF(K139&lt;26,10.927,11.212))*K139/10,0)</f>
        <v>224.81832585698</v>
      </c>
      <c r="N139" s="165">
        <f>ROUNDUP(H139/12.5,0)*2</f>
        <v>320</v>
      </c>
      <c r="O139" s="162">
        <f t="shared" si="65"/>
        <v>719.418642742334</v>
      </c>
      <c r="P139" s="15">
        <f t="shared" si="66"/>
        <v>1.208</v>
      </c>
      <c r="Q139" s="187">
        <f t="shared" si="67"/>
        <v>869.05772043274</v>
      </c>
      <c r="R139" s="195">
        <f>((H141+I141-I144*2)+(20-I144*2^0.5))*(2^0.5)</f>
        <v>192.81832585698</v>
      </c>
      <c r="S139" s="162" t="s">
        <v>286</v>
      </c>
      <c r="T139" s="196"/>
      <c r="V139" s="190">
        <f t="shared" si="68"/>
        <v>16</v>
      </c>
      <c r="X139" s="191"/>
      <c r="Y139" s="191"/>
      <c r="Z139" s="191"/>
    </row>
    <row r="140" s="5" customFormat="1" ht="18" customHeight="1" spans="1:26">
      <c r="A140" s="7"/>
      <c r="B140" s="203"/>
      <c r="C140" s="203"/>
      <c r="D140" s="203"/>
      <c r="E140" s="132">
        <f>VLOOKUP(I134,$B$39:$Z$70,20,0)</f>
        <v>159</v>
      </c>
      <c r="F140" s="127">
        <f>VLOOKUP(I134,$B$39:$Z$70,23,0)</f>
        <v>159</v>
      </c>
      <c r="G140" s="127">
        <f>VLOOKUP(I134,$B$39:$Z$70,7,0)</f>
        <v>4</v>
      </c>
      <c r="H140" s="133" t="s">
        <v>291</v>
      </c>
      <c r="I140" s="157" t="s">
        <v>292</v>
      </c>
      <c r="J140" s="155" t="s">
        <v>293</v>
      </c>
      <c r="K140" s="158">
        <v>12</v>
      </c>
      <c r="L140" s="159"/>
      <c r="M140" s="166">
        <f>(R140+S140)/2+2*ROUNDUP((IF(K140&lt;26,10.927,11.212))*K140/10,0)</f>
        <v>2020</v>
      </c>
      <c r="N140" s="168">
        <f>4*(G138+1)+(G140-1)*2</f>
        <v>174</v>
      </c>
      <c r="O140" s="162">
        <f t="shared" si="65"/>
        <v>3514.8</v>
      </c>
      <c r="P140" s="15">
        <f t="shared" si="66"/>
        <v>0.888</v>
      </c>
      <c r="Q140" s="187">
        <f t="shared" si="67"/>
        <v>3121.1424</v>
      </c>
      <c r="R140" s="188">
        <f>H139-I144*2</f>
        <v>1992</v>
      </c>
      <c r="S140" s="162">
        <f>I139-I144*2</f>
        <v>1992</v>
      </c>
      <c r="T140" s="194" t="str">
        <f>ROUND(S140,1)&amp;"~"&amp;ROUND(R140,1)</f>
        <v>1992~1992</v>
      </c>
      <c r="V140" s="190">
        <f t="shared" si="68"/>
        <v>14</v>
      </c>
      <c r="X140" s="191"/>
      <c r="Y140" s="191"/>
      <c r="Z140" s="191"/>
    </row>
    <row r="141" s="5" customFormat="1" ht="18" customHeight="1" spans="1:26">
      <c r="A141" s="7"/>
      <c r="B141" s="203"/>
      <c r="C141" s="203"/>
      <c r="D141" s="203"/>
      <c r="E141" s="134"/>
      <c r="F141" s="135"/>
      <c r="G141" s="135"/>
      <c r="H141" s="136">
        <f>VLOOKUP(I134,$B$4:$J$70,6,0)</f>
        <v>60</v>
      </c>
      <c r="I141" s="167">
        <f>VLOOKUP(I134,$B$4:$J$70,7,0)</f>
        <v>70</v>
      </c>
      <c r="J141" s="155" t="s">
        <v>294</v>
      </c>
      <c r="K141" s="158">
        <v>12</v>
      </c>
      <c r="L141" s="159"/>
      <c r="M141" s="166">
        <f>(R141+S141)/2+2*ROUNDUP((IF(K141&lt;26,10.927,11.212))*K141/10,0)</f>
        <v>2029.51139437776</v>
      </c>
      <c r="N141" s="15">
        <f>2*(E138+1)+F138*2</f>
        <v>230</v>
      </c>
      <c r="O141" s="162">
        <f t="shared" si="65"/>
        <v>4667.87620706884</v>
      </c>
      <c r="P141" s="15">
        <f t="shared" si="66"/>
        <v>0.888</v>
      </c>
      <c r="Q141" s="187">
        <f t="shared" si="67"/>
        <v>4145.07407187713</v>
      </c>
      <c r="R141" s="188">
        <f>((I137-H137)^2+H139^2)^0.5</f>
        <v>2001.51139437776</v>
      </c>
      <c r="S141" s="162">
        <f>((I137-H137)^2+I139^2)^0.5</f>
        <v>2001.51139437776</v>
      </c>
      <c r="T141" s="194" t="str">
        <f>ROUND(S141,1)&amp;"~"&amp;ROUND(R141,1)</f>
        <v>2001.5~2001.5</v>
      </c>
      <c r="V141" s="190">
        <f t="shared" si="68"/>
        <v>14</v>
      </c>
      <c r="X141" s="191"/>
      <c r="Y141" s="191"/>
      <c r="Z141" s="191"/>
    </row>
    <row r="142" s="5" customFormat="1" ht="18" customHeight="1" spans="1:26">
      <c r="A142" s="7"/>
      <c r="B142" s="203"/>
      <c r="C142" s="203"/>
      <c r="D142" s="203"/>
      <c r="E142" s="137" t="s">
        <v>295</v>
      </c>
      <c r="F142" s="138"/>
      <c r="G142" s="139"/>
      <c r="H142" s="140" t="s">
        <v>296</v>
      </c>
      <c r="I142" s="169"/>
      <c r="J142" s="155" t="s">
        <v>297</v>
      </c>
      <c r="K142" s="164">
        <v>8</v>
      </c>
      <c r="L142" s="159"/>
      <c r="M142" s="166">
        <f>R142+11</f>
        <v>73</v>
      </c>
      <c r="N142" s="170">
        <f>ROUNDDOWN(((VLOOKUP(I134,$B$39:$Z$70,2,0))/(VLOOKUP(I134,$B$39:$Z$70,4,0))-1),0)/4*((VLOOKUP(I134,$B$39:$Z$70,20,0))+1)</f>
        <v>4320</v>
      </c>
      <c r="O142" s="162">
        <f t="shared" si="65"/>
        <v>3153.6</v>
      </c>
      <c r="P142" s="15">
        <f t="shared" si="66"/>
        <v>0.395</v>
      </c>
      <c r="Q142" s="187">
        <f t="shared" si="67"/>
        <v>1245.672</v>
      </c>
      <c r="R142" s="195">
        <f>I141-2*I144</f>
        <v>62</v>
      </c>
      <c r="S142" s="162" t="s">
        <v>286</v>
      </c>
      <c r="T142" s="196"/>
      <c r="V142" s="197"/>
      <c r="X142" s="191"/>
      <c r="Y142" s="191"/>
      <c r="Z142" s="191"/>
    </row>
    <row r="143" s="5" customFormat="1" ht="18" customHeight="1" spans="1:26">
      <c r="A143" s="7"/>
      <c r="B143" s="203"/>
      <c r="C143" s="203"/>
      <c r="D143" s="203"/>
      <c r="E143" s="141" t="s">
        <v>298</v>
      </c>
      <c r="F143" s="142" t="s">
        <v>299</v>
      </c>
      <c r="G143" s="143" t="s">
        <v>300</v>
      </c>
      <c r="H143" s="140">
        <f>VLOOKUP(I134,$B$4:$J$70,8,0)</f>
        <v>1370</v>
      </c>
      <c r="I143" s="169"/>
      <c r="J143" s="155" t="s">
        <v>301</v>
      </c>
      <c r="K143" s="164">
        <v>8</v>
      </c>
      <c r="L143" s="159"/>
      <c r="M143" s="166">
        <f>R143+11</f>
        <v>63</v>
      </c>
      <c r="N143" s="171">
        <f>ROUND(E140/4*G138,0)*2</f>
        <v>3260</v>
      </c>
      <c r="O143" s="162">
        <f t="shared" si="65"/>
        <v>2053.8</v>
      </c>
      <c r="P143" s="15">
        <f t="shared" si="66"/>
        <v>0.395</v>
      </c>
      <c r="Q143" s="187">
        <f t="shared" si="67"/>
        <v>811.251</v>
      </c>
      <c r="R143" s="195">
        <f>H141-2*I144</f>
        <v>52</v>
      </c>
      <c r="S143" s="162" t="s">
        <v>286</v>
      </c>
      <c r="T143" s="196"/>
      <c r="V143" s="197"/>
      <c r="X143" s="191"/>
      <c r="Y143" s="191"/>
      <c r="Z143" s="191"/>
    </row>
    <row r="144" s="5" customFormat="1" ht="18" customHeight="1" spans="1:26">
      <c r="A144" s="7"/>
      <c r="B144" s="203"/>
      <c r="C144" s="203"/>
      <c r="D144" s="203"/>
      <c r="E144" s="144">
        <f>IF(I134=0,0,ROUND(((H137+I137)/2*H141*2+H143*I141+0.2*0.2+0.25*0.05*2)*(H139+I139)/2/1000000,1))</f>
        <v>309.1</v>
      </c>
      <c r="F144" s="145">
        <f>IF(I134=0,0,ROUND(Q142+Q143,1))</f>
        <v>2056.9</v>
      </c>
      <c r="G144" s="146">
        <f>IF(I134=0,0,ROUND(Q136+Q137+Q138+Q139+Q140+Q141,1))</f>
        <v>22777.7</v>
      </c>
      <c r="H144" s="147" t="s">
        <v>302</v>
      </c>
      <c r="I144" s="172">
        <f>$P$3</f>
        <v>4</v>
      </c>
      <c r="J144" s="173" t="s">
        <v>303</v>
      </c>
      <c r="K144" s="174" t="str">
        <f>"C40混凝土:"&amp;ROUND(((H137+I137)/2*H141*2+H143*I141+0.2*0.2+0.25*0.05*2)*(H139+I139)/2/1000000,1)&amp;"m"&amp;"      "&amp;"HPB300:"&amp;ROUND(Q142+Q143,1)&amp;"kg       "&amp;"HRB400:"&amp;ROUND(Q136+Q137+Q138+Q139+Q140+Q141,1)&amp;"kg"</f>
        <v>C40混凝土:309.1m      HPB300:2056.9kg       HRB400:22777.7kg</v>
      </c>
      <c r="L144" s="174"/>
      <c r="M144" s="174"/>
      <c r="N144" s="174"/>
      <c r="O144" s="174"/>
      <c r="P144" s="174"/>
      <c r="Q144" s="198"/>
      <c r="R144" s="199" t="s">
        <v>304</v>
      </c>
      <c r="S144" s="174">
        <f>ROUND(SUM(Q136:Q143)/ROUND(((H137+I137)/2*H141*2+H143*I141+0.2*0.2+0.25*0.05*2)*(H139+I139)/2/1000000,1),1)</f>
        <v>80.3</v>
      </c>
      <c r="T144" s="200"/>
      <c r="X144" s="191"/>
      <c r="Y144" s="191"/>
      <c r="Z144" s="191"/>
    </row>
    <row r="145" s="5" customFormat="1" ht="15" spans="1:15">
      <c r="A145" s="7"/>
      <c r="B145" s="204"/>
      <c r="C145" s="203"/>
      <c r="D145" s="204"/>
      <c r="I145" s="4"/>
      <c r="K145" s="8"/>
      <c r="O145" s="8"/>
    </row>
    <row r="146" s="5" customFormat="1" ht="9.95" customHeight="1" spans="1:22">
      <c r="A146" s="7"/>
      <c r="B146" s="203" t="str">
        <f>B10</f>
        <v>ZU7-1</v>
      </c>
      <c r="C146" s="203"/>
      <c r="D146" s="203"/>
      <c r="E146" s="10" t="s">
        <v>268</v>
      </c>
      <c r="F146" s="11"/>
      <c r="G146" s="11"/>
      <c r="H146" s="124" t="s">
        <v>269</v>
      </c>
      <c r="I146" s="151" t="str">
        <f>B146</f>
        <v>ZU7-1</v>
      </c>
      <c r="J146" s="152" t="s">
        <v>270</v>
      </c>
      <c r="K146" s="11" t="s">
        <v>271</v>
      </c>
      <c r="L146" s="11" t="s">
        <v>272</v>
      </c>
      <c r="M146" s="153" t="s">
        <v>273</v>
      </c>
      <c r="N146" s="11" t="s">
        <v>274</v>
      </c>
      <c r="O146" s="153" t="s">
        <v>275</v>
      </c>
      <c r="P146" s="153" t="s">
        <v>276</v>
      </c>
      <c r="Q146" s="179" t="s">
        <v>277</v>
      </c>
      <c r="R146" s="180" t="s">
        <v>278</v>
      </c>
      <c r="S146" s="181"/>
      <c r="T146" s="182"/>
      <c r="V146" s="1" t="s">
        <v>279</v>
      </c>
    </row>
    <row r="147" s="1" customFormat="1" ht="9.95" customHeight="1" spans="2:20">
      <c r="B147" s="203"/>
      <c r="C147" s="203"/>
      <c r="D147" s="203"/>
      <c r="E147" s="13"/>
      <c r="F147" s="15"/>
      <c r="G147" s="15"/>
      <c r="H147" s="125"/>
      <c r="I147" s="154"/>
      <c r="J147" s="155"/>
      <c r="K147" s="15"/>
      <c r="L147" s="15"/>
      <c r="M147" s="156"/>
      <c r="N147" s="15"/>
      <c r="O147" s="156"/>
      <c r="P147" s="156"/>
      <c r="Q147" s="183"/>
      <c r="R147" s="184"/>
      <c r="S147" s="185"/>
      <c r="T147" s="186"/>
    </row>
    <row r="148" s="5" customFormat="1" ht="36" customHeight="1" spans="1:26">
      <c r="A148" s="7"/>
      <c r="B148" s="203"/>
      <c r="C148" s="203"/>
      <c r="D148" s="203"/>
      <c r="E148" s="13"/>
      <c r="F148" s="15"/>
      <c r="G148" s="15"/>
      <c r="H148" s="15" t="s">
        <v>280</v>
      </c>
      <c r="I148" s="157"/>
      <c r="J148" s="155" t="s">
        <v>281</v>
      </c>
      <c r="K148" s="158">
        <f>'1.U型槽主筋验算'!K8</f>
        <v>25</v>
      </c>
      <c r="L148" s="159"/>
      <c r="M148" s="160">
        <f>(R148+S148)/2+ROUNDUP((IF(K148&lt;26,10.927,11.212))*K148/10,0)*2</f>
        <v>2719.201</v>
      </c>
      <c r="N148" s="205">
        <v>160</v>
      </c>
      <c r="O148" s="162">
        <f t="shared" ref="O148:O155" si="69">M148*N148/100</f>
        <v>4350.7216</v>
      </c>
      <c r="P148" s="15">
        <f t="shared" ref="P148:P155" si="70">ROUND(K148^2*PI()/4/1000000*7850,3)</f>
        <v>3.853</v>
      </c>
      <c r="Q148" s="187">
        <f t="shared" ref="Q148:Q155" si="71">O148*P148</f>
        <v>16763.3303248</v>
      </c>
      <c r="R148" s="188">
        <f>(H149+I153-I156*2)*2+(H155-I156*2)+(H153-I156*2)*2</f>
        <v>2585.434</v>
      </c>
      <c r="S148" s="162">
        <f>(I149+I153-I156*2)*2+(H155-I156*2)+(H153-I156*2)*2</f>
        <v>2740.968</v>
      </c>
      <c r="T148" s="189">
        <f>R150</f>
        <v>1342</v>
      </c>
      <c r="V148" s="190">
        <f t="shared" ref="V148:V153" si="72">ROUNDUP((IF(K148&lt;26,10.927,11.212))*K148/10,0)</f>
        <v>28</v>
      </c>
      <c r="X148" s="191"/>
      <c r="Y148" s="191"/>
      <c r="Z148" s="191"/>
    </row>
    <row r="149" s="5" customFormat="1" ht="18" customHeight="1" spans="1:26">
      <c r="A149" s="7"/>
      <c r="B149" s="203"/>
      <c r="C149" s="203"/>
      <c r="D149" s="203"/>
      <c r="E149" s="126" t="s">
        <v>244</v>
      </c>
      <c r="F149" s="127" t="s">
        <v>282</v>
      </c>
      <c r="G149" s="127" t="s">
        <v>283</v>
      </c>
      <c r="H149" s="128">
        <f>MIN(VLOOKUP(I146,$B$4:$J$70,2,0),VLOOKUP(I146,$B$4:$J$70,3,0))</f>
        <v>527.717</v>
      </c>
      <c r="I149" s="163">
        <f>MAX(VLOOKUP(I146,$B$4:$J$70,2,0),VLOOKUP(I146,$B$4:$J$70,3,0))</f>
        <v>605.484</v>
      </c>
      <c r="J149" s="155" t="s">
        <v>284</v>
      </c>
      <c r="K149" s="164">
        <v>12</v>
      </c>
      <c r="L149" s="159"/>
      <c r="M149" s="160">
        <f>(R149+S149)/2+ROUNDUP((IF(K149&lt;26,10.927,11.212))*K149/10,0)*2</f>
        <v>646.6005</v>
      </c>
      <c r="N149" s="165">
        <f>ROUNDUP((H151/12.5*1),0)*2</f>
        <v>320</v>
      </c>
      <c r="O149" s="162">
        <f t="shared" si="69"/>
        <v>2069.1216</v>
      </c>
      <c r="P149" s="15">
        <f t="shared" si="70"/>
        <v>0.888</v>
      </c>
      <c r="Q149" s="187">
        <f t="shared" si="71"/>
        <v>1837.3799808</v>
      </c>
      <c r="R149" s="192">
        <f>H149+I153-I156*2</f>
        <v>579.717</v>
      </c>
      <c r="S149" s="193">
        <f>I149+I153-I156*2</f>
        <v>657.484</v>
      </c>
      <c r="T149" s="194" t="str">
        <f>ROUND(R149,1)&amp;"~"&amp;ROUND(S149,1)</f>
        <v>579.7~657.5</v>
      </c>
      <c r="V149" s="190">
        <f t="shared" si="72"/>
        <v>14</v>
      </c>
      <c r="X149" s="191"/>
      <c r="Y149" s="191"/>
      <c r="Z149" s="191"/>
    </row>
    <row r="150" s="5" customFormat="1" ht="18" customHeight="1" spans="1:26">
      <c r="A150" s="7"/>
      <c r="B150" s="203"/>
      <c r="C150" s="203"/>
      <c r="D150" s="203"/>
      <c r="E150" s="126">
        <f>VLOOKUP(I146,$B$39:$Z$70,3,0)</f>
        <v>106</v>
      </c>
      <c r="F150" s="129">
        <f>VLOOKUP(I146,$B$39:$Z$70,17,0)</f>
        <v>6</v>
      </c>
      <c r="G150" s="127">
        <f>VLOOKUP(I146,$B$39:$Z$70,12,0)</f>
        <v>47</v>
      </c>
      <c r="H150" s="127" t="s">
        <v>229</v>
      </c>
      <c r="I150" s="157"/>
      <c r="J150" s="155" t="s">
        <v>285</v>
      </c>
      <c r="K150" s="158">
        <v>14</v>
      </c>
      <c r="L150" s="159"/>
      <c r="M150" s="166">
        <f>R150+2*ROUNDUP((IF(K150&lt;26,10.927,11.212))*K150/10,0)</f>
        <v>1374</v>
      </c>
      <c r="N150" s="161">
        <f>ROUNDUP(H151/12.5,0)</f>
        <v>160</v>
      </c>
      <c r="O150" s="162">
        <f t="shared" si="69"/>
        <v>2198.4</v>
      </c>
      <c r="P150" s="15">
        <f t="shared" si="70"/>
        <v>1.208</v>
      </c>
      <c r="Q150" s="187">
        <f t="shared" si="71"/>
        <v>2655.6672</v>
      </c>
      <c r="R150" s="195">
        <f>H155-I156*2</f>
        <v>1342</v>
      </c>
      <c r="S150" s="162" t="s">
        <v>286</v>
      </c>
      <c r="T150" s="196"/>
      <c r="V150" s="190">
        <f t="shared" si="72"/>
        <v>16</v>
      </c>
      <c r="X150" s="191"/>
      <c r="Y150" s="191"/>
      <c r="Z150" s="191"/>
    </row>
    <row r="151" s="5" customFormat="1" ht="18" customHeight="1" spans="1:26">
      <c r="A151" s="7"/>
      <c r="B151" s="203"/>
      <c r="C151" s="203"/>
      <c r="D151" s="203"/>
      <c r="E151" s="130" t="s">
        <v>287</v>
      </c>
      <c r="F151" s="127" t="s">
        <v>288</v>
      </c>
      <c r="G151" s="127" t="s">
        <v>289</v>
      </c>
      <c r="H151" s="131">
        <f>MAX(VLOOKUP(I146,$B$4:$J$70,4,0),VLOOKUP(I146,$B$4:$J$70,5,0))</f>
        <v>2000</v>
      </c>
      <c r="I151" s="167">
        <f>MIN(VLOOKUP(I146,$B$4:$J$70,4,0),VLOOKUP(I146,$B$4:$J$70,5,0))</f>
        <v>2000</v>
      </c>
      <c r="J151" s="155" t="s">
        <v>290</v>
      </c>
      <c r="K151" s="164">
        <v>14</v>
      </c>
      <c r="L151" s="159"/>
      <c r="M151" s="166">
        <f>R151+2*ROUNDUP((IF(K151&lt;26,10.927,11.212))*K151/10,0)</f>
        <v>196.534054609518</v>
      </c>
      <c r="N151" s="165">
        <f>ROUNDUP(H151/12.5,0)*2</f>
        <v>320</v>
      </c>
      <c r="O151" s="162">
        <f t="shared" si="69"/>
        <v>628.908974750456</v>
      </c>
      <c r="P151" s="15">
        <f t="shared" si="70"/>
        <v>1.208</v>
      </c>
      <c r="Q151" s="187">
        <f t="shared" si="71"/>
        <v>759.722041498551</v>
      </c>
      <c r="R151" s="195">
        <f>((H153+I153-I156*2)+(20-I156*2^0.5))*(2^0.5)</f>
        <v>164.534054609518</v>
      </c>
      <c r="S151" s="162" t="s">
        <v>286</v>
      </c>
      <c r="T151" s="196"/>
      <c r="V151" s="190">
        <f t="shared" si="72"/>
        <v>16</v>
      </c>
      <c r="X151" s="191"/>
      <c r="Y151" s="191"/>
      <c r="Z151" s="191"/>
    </row>
    <row r="152" s="5" customFormat="1" ht="18" customHeight="1" spans="1:26">
      <c r="A152" s="7"/>
      <c r="B152" s="203"/>
      <c r="C152" s="203"/>
      <c r="D152" s="203"/>
      <c r="E152" s="132">
        <f>VLOOKUP(I146,$B$39:$Z$70,20,0)</f>
        <v>159</v>
      </c>
      <c r="F152" s="127">
        <f>VLOOKUP(I146,$B$39:$Z$70,23,0)</f>
        <v>159</v>
      </c>
      <c r="G152" s="127">
        <f>VLOOKUP(I146,$B$39:$Z$70,7,0)</f>
        <v>4</v>
      </c>
      <c r="H152" s="133" t="s">
        <v>291</v>
      </c>
      <c r="I152" s="157" t="s">
        <v>292</v>
      </c>
      <c r="J152" s="155" t="s">
        <v>293</v>
      </c>
      <c r="K152" s="158">
        <v>12</v>
      </c>
      <c r="L152" s="159"/>
      <c r="M152" s="166">
        <f>(R152+S152)/2+2*ROUNDUP((IF(K152&lt;26,10.927,11.212))*K152/10,0)</f>
        <v>2020</v>
      </c>
      <c r="N152" s="168">
        <f>4*(G150+1)+(G152-1)*2</f>
        <v>198</v>
      </c>
      <c r="O152" s="162">
        <f t="shared" si="69"/>
        <v>3999.6</v>
      </c>
      <c r="P152" s="15">
        <f t="shared" si="70"/>
        <v>0.888</v>
      </c>
      <c r="Q152" s="187">
        <f t="shared" si="71"/>
        <v>3551.6448</v>
      </c>
      <c r="R152" s="188">
        <f>H151-I156*2</f>
        <v>1992</v>
      </c>
      <c r="S152" s="162">
        <f>I151-I156*2</f>
        <v>1992</v>
      </c>
      <c r="T152" s="194" t="str">
        <f>ROUND(S152,1)&amp;"~"&amp;ROUND(R152,1)</f>
        <v>1992~1992</v>
      </c>
      <c r="V152" s="190">
        <f t="shared" si="72"/>
        <v>14</v>
      </c>
      <c r="X152" s="191"/>
      <c r="Y152" s="191"/>
      <c r="Z152" s="191"/>
    </row>
    <row r="153" s="5" customFormat="1" ht="18" customHeight="1" spans="1:26">
      <c r="A153" s="7"/>
      <c r="B153" s="203"/>
      <c r="C153" s="203"/>
      <c r="D153" s="203"/>
      <c r="E153" s="134"/>
      <c r="F153" s="135"/>
      <c r="G153" s="135"/>
      <c r="H153" s="136">
        <f>VLOOKUP(I146,$B$4:$J$70,6,0)</f>
        <v>50</v>
      </c>
      <c r="I153" s="167">
        <f>VLOOKUP(I146,$B$4:$J$70,7,0)</f>
        <v>60</v>
      </c>
      <c r="J153" s="155" t="s">
        <v>294</v>
      </c>
      <c r="K153" s="158">
        <v>12</v>
      </c>
      <c r="L153" s="159"/>
      <c r="M153" s="166">
        <f>(R153+S153)/2+2*ROUNDUP((IF(K153&lt;26,10.927,11.212))*K153/10,0)</f>
        <v>2029.51135552337</v>
      </c>
      <c r="N153" s="15">
        <f>2*(E150+1)+F150*2</f>
        <v>226</v>
      </c>
      <c r="O153" s="162">
        <f t="shared" si="69"/>
        <v>4586.69566348282</v>
      </c>
      <c r="P153" s="15">
        <f t="shared" si="70"/>
        <v>0.888</v>
      </c>
      <c r="Q153" s="187">
        <f t="shared" si="71"/>
        <v>4072.98574917274</v>
      </c>
      <c r="R153" s="188">
        <f>((I149-H149)^2+H151^2)^0.5</f>
        <v>2001.51135552337</v>
      </c>
      <c r="S153" s="162">
        <f>((I149-H149)^2+I151^2)^0.5</f>
        <v>2001.51135552337</v>
      </c>
      <c r="T153" s="194" t="str">
        <f>ROUND(S153,1)&amp;"~"&amp;ROUND(R153,1)</f>
        <v>2001.5~2001.5</v>
      </c>
      <c r="V153" s="190">
        <f t="shared" si="72"/>
        <v>14</v>
      </c>
      <c r="X153" s="191"/>
      <c r="Y153" s="191"/>
      <c r="Z153" s="191"/>
    </row>
    <row r="154" s="5" customFormat="1" ht="18" customHeight="1" spans="1:26">
      <c r="A154" s="7"/>
      <c r="B154" s="203"/>
      <c r="C154" s="203"/>
      <c r="D154" s="203"/>
      <c r="E154" s="137" t="s">
        <v>295</v>
      </c>
      <c r="F154" s="138"/>
      <c r="G154" s="139"/>
      <c r="H154" s="140" t="s">
        <v>296</v>
      </c>
      <c r="I154" s="169"/>
      <c r="J154" s="155" t="s">
        <v>297</v>
      </c>
      <c r="K154" s="164">
        <v>8</v>
      </c>
      <c r="L154" s="159"/>
      <c r="M154" s="166">
        <f>R154+11</f>
        <v>63</v>
      </c>
      <c r="N154" s="170">
        <f>ROUNDDOWN(((VLOOKUP(I146,$B$39:$Z$70,2,0))/(VLOOKUP(I146,$B$39:$Z$70,4,0))-1),0)/4*((VLOOKUP(I146,$B$39:$Z$70,20,0))+1)</f>
        <v>4280</v>
      </c>
      <c r="O154" s="162">
        <f t="shared" si="69"/>
        <v>2696.4</v>
      </c>
      <c r="P154" s="15">
        <f t="shared" si="70"/>
        <v>0.395</v>
      </c>
      <c r="Q154" s="187">
        <f t="shared" si="71"/>
        <v>1065.078</v>
      </c>
      <c r="R154" s="195">
        <f>I153-2*I156</f>
        <v>52</v>
      </c>
      <c r="S154" s="162" t="s">
        <v>286</v>
      </c>
      <c r="T154" s="196"/>
      <c r="V154" s="197"/>
      <c r="X154" s="191"/>
      <c r="Y154" s="191"/>
      <c r="Z154" s="191"/>
    </row>
    <row r="155" s="5" customFormat="1" ht="18" customHeight="1" spans="1:26">
      <c r="A155" s="7"/>
      <c r="B155" s="203"/>
      <c r="C155" s="203"/>
      <c r="D155" s="203"/>
      <c r="E155" s="141" t="s">
        <v>298</v>
      </c>
      <c r="F155" s="142" t="s">
        <v>299</v>
      </c>
      <c r="G155" s="143" t="s">
        <v>300</v>
      </c>
      <c r="H155" s="140">
        <f>VLOOKUP(I146,$B$4:$J$70,8,0)</f>
        <v>1350</v>
      </c>
      <c r="I155" s="169"/>
      <c r="J155" s="155" t="s">
        <v>301</v>
      </c>
      <c r="K155" s="164">
        <v>8</v>
      </c>
      <c r="L155" s="159"/>
      <c r="M155" s="166">
        <f>R155+11</f>
        <v>53</v>
      </c>
      <c r="N155" s="171">
        <f>ROUND(E152/4*G150,0)*2</f>
        <v>3736</v>
      </c>
      <c r="O155" s="162">
        <f t="shared" si="69"/>
        <v>1980.08</v>
      </c>
      <c r="P155" s="15">
        <f t="shared" si="70"/>
        <v>0.395</v>
      </c>
      <c r="Q155" s="187">
        <f t="shared" si="71"/>
        <v>782.1316</v>
      </c>
      <c r="R155" s="195">
        <f>H153-2*I156</f>
        <v>42</v>
      </c>
      <c r="S155" s="162" t="s">
        <v>286</v>
      </c>
      <c r="T155" s="196"/>
      <c r="V155" s="197"/>
      <c r="X155" s="191"/>
      <c r="Y155" s="191"/>
      <c r="Z155" s="191"/>
    </row>
    <row r="156" s="5" customFormat="1" ht="18" customHeight="1" spans="1:26">
      <c r="A156" s="7"/>
      <c r="B156" s="203"/>
      <c r="C156" s="203"/>
      <c r="D156" s="203"/>
      <c r="E156" s="144">
        <f>IF(I146=0,0,ROUND(((H149+I149)/2*H153*2+H155*I153+0.2*0.2+0.25*0.05*2)*(H151+I151)/2/1000000,1))</f>
        <v>275.3</v>
      </c>
      <c r="F156" s="145">
        <f>IF(I146=0,0,ROUND(Q154+Q155,1))</f>
        <v>1847.2</v>
      </c>
      <c r="G156" s="146">
        <f>IF(I146=0,0,ROUND(Q148+Q149+Q150+Q151+Q152+Q153,1))</f>
        <v>29640.7</v>
      </c>
      <c r="H156" s="147" t="s">
        <v>302</v>
      </c>
      <c r="I156" s="172">
        <f>$P$3</f>
        <v>4</v>
      </c>
      <c r="J156" s="173" t="s">
        <v>303</v>
      </c>
      <c r="K156" s="174" t="str">
        <f>"C40混凝土:"&amp;ROUND(((H149+I149)/2*H153*2+H155*I153+0.2*0.2+0.25*0.05*2)*(H151+I151)/2/1000000,1)&amp;"m"&amp;"      "&amp;"HPB300:"&amp;ROUND(Q154+Q155,1)&amp;"kg       "&amp;"HRB400:"&amp;ROUND(Q148+Q149+Q150+Q151+Q152+Q153,1)&amp;"kg"</f>
        <v>C40混凝土:275.3m      HPB300:1847.2kg       HRB400:29640.7kg</v>
      </c>
      <c r="L156" s="174"/>
      <c r="M156" s="174"/>
      <c r="N156" s="174"/>
      <c r="O156" s="174"/>
      <c r="P156" s="174"/>
      <c r="Q156" s="198"/>
      <c r="R156" s="199" t="s">
        <v>304</v>
      </c>
      <c r="S156" s="174">
        <f>ROUND(SUM(Q148:Q155)/ROUND(((H149+I149)/2*H153*2+H155*I153+0.2*0.2+0.25*0.05*2)*(H151+I151)/2/1000000,1),1)</f>
        <v>114.4</v>
      </c>
      <c r="T156" s="200"/>
      <c r="X156" s="191"/>
      <c r="Y156" s="191"/>
      <c r="Z156" s="191"/>
    </row>
    <row r="157" s="5" customFormat="1" ht="15" spans="1:15">
      <c r="A157" s="7"/>
      <c r="C157" s="1"/>
      <c r="I157" s="4"/>
      <c r="K157" s="8"/>
      <c r="O157" s="8"/>
    </row>
    <row r="158" s="5" customFormat="1" ht="9.95" customHeight="1" spans="1:22">
      <c r="A158" s="7"/>
      <c r="B158" s="1" t="str">
        <f>B11</f>
        <v>ZU8-1</v>
      </c>
      <c r="C158" s="1"/>
      <c r="D158" s="1"/>
      <c r="E158" s="10" t="s">
        <v>268</v>
      </c>
      <c r="F158" s="11"/>
      <c r="G158" s="11"/>
      <c r="H158" s="124" t="s">
        <v>269</v>
      </c>
      <c r="I158" s="151" t="str">
        <f>B158</f>
        <v>ZU8-1</v>
      </c>
      <c r="J158" s="152" t="s">
        <v>270</v>
      </c>
      <c r="K158" s="11" t="s">
        <v>271</v>
      </c>
      <c r="L158" s="11" t="s">
        <v>272</v>
      </c>
      <c r="M158" s="153" t="s">
        <v>273</v>
      </c>
      <c r="N158" s="11" t="s">
        <v>274</v>
      </c>
      <c r="O158" s="153" t="s">
        <v>275</v>
      </c>
      <c r="P158" s="153" t="s">
        <v>276</v>
      </c>
      <c r="Q158" s="179" t="s">
        <v>277</v>
      </c>
      <c r="R158" s="180" t="s">
        <v>278</v>
      </c>
      <c r="S158" s="181"/>
      <c r="T158" s="182"/>
      <c r="V158" s="1" t="s">
        <v>279</v>
      </c>
    </row>
    <row r="159" s="1" customFormat="1" ht="9.95" customHeight="1" spans="5:20">
      <c r="E159" s="13"/>
      <c r="F159" s="15"/>
      <c r="G159" s="15"/>
      <c r="H159" s="125"/>
      <c r="I159" s="154"/>
      <c r="J159" s="155"/>
      <c r="K159" s="15"/>
      <c r="L159" s="15"/>
      <c r="M159" s="156"/>
      <c r="N159" s="15"/>
      <c r="O159" s="156"/>
      <c r="P159" s="156"/>
      <c r="Q159" s="183"/>
      <c r="R159" s="184"/>
      <c r="S159" s="185"/>
      <c r="T159" s="186"/>
    </row>
    <row r="160" s="5" customFormat="1" ht="36" customHeight="1" spans="1:26">
      <c r="A160" s="7"/>
      <c r="B160" s="1"/>
      <c r="C160" s="1"/>
      <c r="D160" s="1"/>
      <c r="E160" s="13"/>
      <c r="F160" s="15"/>
      <c r="G160" s="15"/>
      <c r="H160" s="15" t="s">
        <v>280</v>
      </c>
      <c r="I160" s="157"/>
      <c r="J160" s="155" t="s">
        <v>281</v>
      </c>
      <c r="K160" s="158">
        <f>'1.U型槽主筋验算'!K9</f>
        <v>22</v>
      </c>
      <c r="L160" s="159"/>
      <c r="M160" s="160">
        <f>(R160+S160)/2+ROUNDUP((IF(K160&lt;26,10.927,11.212))*K160/10,0)*2</f>
        <v>2971.167</v>
      </c>
      <c r="N160" s="205">
        <v>160</v>
      </c>
      <c r="O160" s="162">
        <f t="shared" ref="O160:O167" si="73">M160*N160/100</f>
        <v>4753.8672</v>
      </c>
      <c r="P160" s="15">
        <f t="shared" ref="P160:P167" si="74">ROUND(K160^2*PI()/4/1000000*7850,3)</f>
        <v>2.984</v>
      </c>
      <c r="Q160" s="187">
        <f t="shared" ref="Q160:Q167" si="75">O160*P160</f>
        <v>14185.5397248</v>
      </c>
      <c r="R160" s="188">
        <f>(H161+I165-I168*2)*2+(H167-I168*2)+(H165-I168*2)*2</f>
        <v>2861.148</v>
      </c>
      <c r="S160" s="162">
        <f>(I161+I165-I168*2)*2+(H167-I168*2)+(H165-I168*2)*2</f>
        <v>2981.186</v>
      </c>
      <c r="T160" s="189">
        <f>R162</f>
        <v>1382</v>
      </c>
      <c r="V160" s="190">
        <f t="shared" ref="V160:V165" si="76">ROUNDUP((IF(K160&lt;26,10.927,11.212))*K160/10,0)</f>
        <v>25</v>
      </c>
      <c r="X160" s="191"/>
      <c r="Y160" s="191"/>
      <c r="Z160" s="191"/>
    </row>
    <row r="161" s="5" customFormat="1" ht="18" customHeight="1" spans="1:26">
      <c r="A161" s="7"/>
      <c r="B161" s="1"/>
      <c r="C161" s="1"/>
      <c r="D161" s="1"/>
      <c r="E161" s="126" t="s">
        <v>244</v>
      </c>
      <c r="F161" s="127" t="s">
        <v>282</v>
      </c>
      <c r="G161" s="127" t="s">
        <v>283</v>
      </c>
      <c r="H161" s="128">
        <f>MIN(VLOOKUP(I158,$B$4:$J$70,2,0),VLOOKUP(I158,$B$4:$J$70,3,0))</f>
        <v>605.574</v>
      </c>
      <c r="I161" s="163">
        <f>MAX(VLOOKUP(I158,$B$4:$J$70,2,0),VLOOKUP(I158,$B$4:$J$70,3,0))</f>
        <v>665.593</v>
      </c>
      <c r="J161" s="155" t="s">
        <v>284</v>
      </c>
      <c r="K161" s="164">
        <v>12</v>
      </c>
      <c r="L161" s="159"/>
      <c r="M161" s="160">
        <f>(R161+S161)/2+ROUNDUP((IF(K161&lt;26,10.927,11.212))*K161/10,0)*2</f>
        <v>735.5835</v>
      </c>
      <c r="N161" s="165">
        <f>ROUNDUP((H163/12.5*1),0)*2</f>
        <v>320</v>
      </c>
      <c r="O161" s="162">
        <f t="shared" si="73"/>
        <v>2353.8672</v>
      </c>
      <c r="P161" s="15">
        <f t="shared" si="74"/>
        <v>0.888</v>
      </c>
      <c r="Q161" s="187">
        <f t="shared" si="75"/>
        <v>2090.2340736</v>
      </c>
      <c r="R161" s="192">
        <f>H161+I165-I168*2</f>
        <v>677.574</v>
      </c>
      <c r="S161" s="193">
        <f>I161+I165-I168*2</f>
        <v>737.593</v>
      </c>
      <c r="T161" s="194" t="str">
        <f>ROUND(R161,1)&amp;"~"&amp;ROUND(S161,1)</f>
        <v>677.6~737.6</v>
      </c>
      <c r="V161" s="190">
        <f t="shared" si="76"/>
        <v>14</v>
      </c>
      <c r="X161" s="191"/>
      <c r="Y161" s="191"/>
      <c r="Z161" s="191"/>
    </row>
    <row r="162" s="5" customFormat="1" ht="18" customHeight="1" spans="1:26">
      <c r="A162" s="7"/>
      <c r="B162" s="1"/>
      <c r="C162" s="1"/>
      <c r="D162" s="1"/>
      <c r="E162" s="126">
        <f>VLOOKUP(I158,$B$39:$Z$70,3,0)</f>
        <v>109</v>
      </c>
      <c r="F162" s="129">
        <f>VLOOKUP(I158,$B$39:$Z$70,17,0)</f>
        <v>8</v>
      </c>
      <c r="G162" s="127">
        <f>VLOOKUP(I158,$B$39:$Z$70,12,0)</f>
        <v>52</v>
      </c>
      <c r="H162" s="127" t="s">
        <v>229</v>
      </c>
      <c r="I162" s="157"/>
      <c r="J162" s="155" t="s">
        <v>285</v>
      </c>
      <c r="K162" s="158">
        <v>14</v>
      </c>
      <c r="L162" s="159"/>
      <c r="M162" s="166">
        <f>R162+2*ROUNDUP((IF(K162&lt;26,10.927,11.212))*K162/10,0)</f>
        <v>1414</v>
      </c>
      <c r="N162" s="161">
        <f>ROUNDUP(H163/12.5,0)</f>
        <v>160</v>
      </c>
      <c r="O162" s="162">
        <f t="shared" si="73"/>
        <v>2262.4</v>
      </c>
      <c r="P162" s="15">
        <f t="shared" si="74"/>
        <v>1.208</v>
      </c>
      <c r="Q162" s="187">
        <f t="shared" si="75"/>
        <v>2732.9792</v>
      </c>
      <c r="R162" s="195">
        <f>H167-I168*2</f>
        <v>1382</v>
      </c>
      <c r="S162" s="162" t="s">
        <v>286</v>
      </c>
      <c r="T162" s="196"/>
      <c r="V162" s="190">
        <f t="shared" si="76"/>
        <v>16</v>
      </c>
      <c r="X162" s="191"/>
      <c r="Y162" s="191"/>
      <c r="Z162" s="191"/>
    </row>
    <row r="163" s="5" customFormat="1" ht="18" customHeight="1" spans="1:26">
      <c r="A163" s="7"/>
      <c r="B163" s="1"/>
      <c r="C163" s="1"/>
      <c r="D163" s="1"/>
      <c r="E163" s="130" t="s">
        <v>287</v>
      </c>
      <c r="F163" s="127" t="s">
        <v>288</v>
      </c>
      <c r="G163" s="127" t="s">
        <v>289</v>
      </c>
      <c r="H163" s="131">
        <f>MAX(VLOOKUP(I158,$B$4:$J$70,4,0),VLOOKUP(I158,$B$4:$J$70,5,0))</f>
        <v>2000</v>
      </c>
      <c r="I163" s="167">
        <f>MIN(VLOOKUP(I158,$B$4:$J$70,4,0),VLOOKUP(I158,$B$4:$J$70,5,0))</f>
        <v>2000</v>
      </c>
      <c r="J163" s="155" t="s">
        <v>290</v>
      </c>
      <c r="K163" s="164">
        <v>14</v>
      </c>
      <c r="L163" s="159"/>
      <c r="M163" s="166">
        <f>R163+2*ROUNDUP((IF(K163&lt;26,10.927,11.212))*K163/10,0)</f>
        <v>253.102597104441</v>
      </c>
      <c r="N163" s="165">
        <f>ROUNDUP(H163/12.5,0)*2</f>
        <v>320</v>
      </c>
      <c r="O163" s="162">
        <f t="shared" si="73"/>
        <v>809.928310734213</v>
      </c>
      <c r="P163" s="15">
        <f t="shared" si="74"/>
        <v>1.208</v>
      </c>
      <c r="Q163" s="187">
        <f t="shared" si="75"/>
        <v>978.393399366929</v>
      </c>
      <c r="R163" s="195">
        <f>((H165+I165-I168*2)+(20-I168*2^0.5))*(2^0.5)</f>
        <v>221.102597104441</v>
      </c>
      <c r="S163" s="162" t="s">
        <v>286</v>
      </c>
      <c r="T163" s="196"/>
      <c r="V163" s="190">
        <f t="shared" si="76"/>
        <v>16</v>
      </c>
      <c r="X163" s="191"/>
      <c r="Y163" s="191"/>
      <c r="Z163" s="191"/>
    </row>
    <row r="164" s="5" customFormat="1" ht="18" customHeight="1" spans="1:26">
      <c r="A164" s="7"/>
      <c r="B164" s="1"/>
      <c r="C164" s="1"/>
      <c r="D164" s="1"/>
      <c r="E164" s="132">
        <f>VLOOKUP(I158,$B$39:$Z$70,20,0)</f>
        <v>159</v>
      </c>
      <c r="F164" s="127">
        <f>VLOOKUP(I158,$B$39:$Z$70,23,0)</f>
        <v>159</v>
      </c>
      <c r="G164" s="127">
        <f>VLOOKUP(I158,$B$39:$Z$70,7,0)</f>
        <v>6</v>
      </c>
      <c r="H164" s="133" t="s">
        <v>291</v>
      </c>
      <c r="I164" s="157" t="s">
        <v>292</v>
      </c>
      <c r="J164" s="155" t="s">
        <v>293</v>
      </c>
      <c r="K164" s="158">
        <v>12</v>
      </c>
      <c r="L164" s="159"/>
      <c r="M164" s="166">
        <f>(R164+S164)/2+2*ROUNDUP((IF(K164&lt;26,10.927,11.212))*K164/10,0)</f>
        <v>2020</v>
      </c>
      <c r="N164" s="168">
        <f>4*(G162+1)+(G164-1)*2</f>
        <v>222</v>
      </c>
      <c r="O164" s="162">
        <f t="shared" si="73"/>
        <v>4484.4</v>
      </c>
      <c r="P164" s="15">
        <f t="shared" si="74"/>
        <v>0.888</v>
      </c>
      <c r="Q164" s="187">
        <f t="shared" si="75"/>
        <v>3982.1472</v>
      </c>
      <c r="R164" s="188">
        <f>H163-I168*2</f>
        <v>1992</v>
      </c>
      <c r="S164" s="162">
        <f>I163-I168*2</f>
        <v>1992</v>
      </c>
      <c r="T164" s="194" t="str">
        <f>ROUND(S164,1)&amp;"~"&amp;ROUND(R164,1)</f>
        <v>1992~1992</v>
      </c>
      <c r="V164" s="190">
        <f t="shared" si="76"/>
        <v>14</v>
      </c>
      <c r="X164" s="191"/>
      <c r="Y164" s="191"/>
      <c r="Z164" s="191"/>
    </row>
    <row r="165" s="5" customFormat="1" ht="18" customHeight="1" spans="1:26">
      <c r="A165" s="7"/>
      <c r="B165" s="1"/>
      <c r="C165" s="1"/>
      <c r="D165" s="1"/>
      <c r="E165" s="134"/>
      <c r="F165" s="135"/>
      <c r="G165" s="135"/>
      <c r="H165" s="136">
        <f>VLOOKUP(I158,$B$4:$J$70,6,0)</f>
        <v>70</v>
      </c>
      <c r="I165" s="167">
        <f>VLOOKUP(I158,$B$4:$J$70,7,0)</f>
        <v>80</v>
      </c>
      <c r="J165" s="155" t="s">
        <v>294</v>
      </c>
      <c r="K165" s="158">
        <v>12</v>
      </c>
      <c r="L165" s="159"/>
      <c r="M165" s="166">
        <f>(R165+S165)/2+2*ROUNDUP((IF(K165&lt;26,10.927,11.212))*K165/10,0)</f>
        <v>2028.90036742487</v>
      </c>
      <c r="N165" s="15">
        <f>2*(E162+1)+F162*2</f>
        <v>236</v>
      </c>
      <c r="O165" s="162">
        <f t="shared" si="73"/>
        <v>4788.2048671227</v>
      </c>
      <c r="P165" s="15">
        <f t="shared" si="74"/>
        <v>0.888</v>
      </c>
      <c r="Q165" s="187">
        <f t="shared" si="75"/>
        <v>4251.92592200496</v>
      </c>
      <c r="R165" s="188">
        <f>((I161-H161)^2+H163^2)^0.5</f>
        <v>2000.90036742487</v>
      </c>
      <c r="S165" s="162">
        <f>((I161-H161)^2+I163^2)^0.5</f>
        <v>2000.90036742487</v>
      </c>
      <c r="T165" s="194" t="str">
        <f>ROUND(S165,1)&amp;"~"&amp;ROUND(R165,1)</f>
        <v>2000.9~2000.9</v>
      </c>
      <c r="V165" s="190">
        <f t="shared" si="76"/>
        <v>14</v>
      </c>
      <c r="X165" s="191"/>
      <c r="Y165" s="191"/>
      <c r="Z165" s="191"/>
    </row>
    <row r="166" s="5" customFormat="1" ht="18" customHeight="1" spans="1:26">
      <c r="A166" s="7"/>
      <c r="B166" s="1"/>
      <c r="C166" s="1"/>
      <c r="D166" s="1"/>
      <c r="E166" s="137" t="s">
        <v>295</v>
      </c>
      <c r="F166" s="138"/>
      <c r="G166" s="139"/>
      <c r="H166" s="140" t="s">
        <v>296</v>
      </c>
      <c r="I166" s="169"/>
      <c r="J166" s="155" t="s">
        <v>297</v>
      </c>
      <c r="K166" s="164">
        <v>8</v>
      </c>
      <c r="L166" s="159"/>
      <c r="M166" s="166">
        <f>R166+11</f>
        <v>83</v>
      </c>
      <c r="N166" s="170">
        <f>ROUNDDOWN(((VLOOKUP(I158,$B$39:$Z$70,2,0))/(VLOOKUP(I158,$B$39:$Z$70,4,0))-1),0)/4*((VLOOKUP(I158,$B$39:$Z$70,20,0))+1)</f>
        <v>4400</v>
      </c>
      <c r="O166" s="162">
        <f t="shared" si="73"/>
        <v>3652</v>
      </c>
      <c r="P166" s="15">
        <f t="shared" si="74"/>
        <v>0.395</v>
      </c>
      <c r="Q166" s="187">
        <f t="shared" si="75"/>
        <v>1442.54</v>
      </c>
      <c r="R166" s="195">
        <f>I165-2*I168</f>
        <v>72</v>
      </c>
      <c r="S166" s="162" t="s">
        <v>286</v>
      </c>
      <c r="T166" s="196"/>
      <c r="V166" s="197"/>
      <c r="X166" s="191"/>
      <c r="Y166" s="191"/>
      <c r="Z166" s="191"/>
    </row>
    <row r="167" s="5" customFormat="1" ht="18" customHeight="1" spans="1:26">
      <c r="A167" s="7"/>
      <c r="B167" s="1"/>
      <c r="C167" s="1"/>
      <c r="D167" s="1"/>
      <c r="E167" s="141" t="s">
        <v>298</v>
      </c>
      <c r="F167" s="142" t="s">
        <v>299</v>
      </c>
      <c r="G167" s="143" t="s">
        <v>300</v>
      </c>
      <c r="H167" s="140">
        <f>VLOOKUP(I158,$B$4:$J$70,8,0)</f>
        <v>1390</v>
      </c>
      <c r="I167" s="169"/>
      <c r="J167" s="155" t="s">
        <v>301</v>
      </c>
      <c r="K167" s="164">
        <v>8</v>
      </c>
      <c r="L167" s="159"/>
      <c r="M167" s="166">
        <f>R167+11</f>
        <v>73</v>
      </c>
      <c r="N167" s="171">
        <f>ROUND(E164/4*G162,0)*2</f>
        <v>4134</v>
      </c>
      <c r="O167" s="162">
        <f t="shared" si="73"/>
        <v>3017.82</v>
      </c>
      <c r="P167" s="15">
        <f t="shared" si="74"/>
        <v>0.395</v>
      </c>
      <c r="Q167" s="187">
        <f t="shared" si="75"/>
        <v>1192.0389</v>
      </c>
      <c r="R167" s="195">
        <f>H165-2*I168</f>
        <v>62</v>
      </c>
      <c r="S167" s="162" t="s">
        <v>286</v>
      </c>
      <c r="T167" s="196"/>
      <c r="V167" s="197"/>
      <c r="X167" s="191"/>
      <c r="Y167" s="191"/>
      <c r="Z167" s="191"/>
    </row>
    <row r="168" s="5" customFormat="1" ht="18" customHeight="1" spans="1:26">
      <c r="A168" s="7"/>
      <c r="B168" s="1"/>
      <c r="C168" s="1"/>
      <c r="D168" s="1"/>
      <c r="E168" s="144">
        <f>IF(I158=0,0,ROUND(((H161+I161)/2*H165*2+H167*I165+0.2*0.2+0.25*0.05*2)*(H163+I163)/2/1000000,1))</f>
        <v>400.4</v>
      </c>
      <c r="F168" s="145">
        <f>IF(I158=0,0,ROUND(Q166+Q167,1))</f>
        <v>2634.6</v>
      </c>
      <c r="G168" s="146">
        <f>IF(I158=0,0,ROUND(Q160+Q161+Q162+Q163+Q164+Q165,1))</f>
        <v>28221.2</v>
      </c>
      <c r="H168" s="147" t="s">
        <v>302</v>
      </c>
      <c r="I168" s="172">
        <f>$P$3</f>
        <v>4</v>
      </c>
      <c r="J168" s="173" t="s">
        <v>303</v>
      </c>
      <c r="K168" s="174" t="str">
        <f>"C40混凝土:"&amp;ROUND(((H161+I161)/2*H165*2+H167*I165+0.2*0.2+0.25*0.05*2)*(H163+I163)/2/1000000,1)&amp;"m"&amp;"      "&amp;"HPB300:"&amp;ROUND(Q166+Q167,1)&amp;"kg       "&amp;"HRB400:"&amp;ROUND(Q160+Q161+Q162+Q163+Q164+Q165,1)&amp;"kg"</f>
        <v>C40混凝土:400.4m      HPB300:2634.6kg       HRB400:28221.2kg</v>
      </c>
      <c r="L168" s="174"/>
      <c r="M168" s="174"/>
      <c r="N168" s="174"/>
      <c r="O168" s="174"/>
      <c r="P168" s="174"/>
      <c r="Q168" s="198"/>
      <c r="R168" s="199" t="s">
        <v>304</v>
      </c>
      <c r="S168" s="174">
        <f>ROUND(SUM(Q160:Q167)/ROUND(((H161+I161)/2*H165*2+H167*I165+0.2*0.2+0.25*0.05*2)*(H163+I163)/2/1000000,1),1)</f>
        <v>77.1</v>
      </c>
      <c r="T168" s="200"/>
      <c r="X168" s="191"/>
      <c r="Y168" s="191"/>
      <c r="Z168" s="191"/>
    </row>
    <row r="169" s="5" customFormat="1" ht="15" spans="1:15">
      <c r="A169" s="7"/>
      <c r="C169" s="1"/>
      <c r="I169" s="4"/>
      <c r="K169" s="8"/>
      <c r="O169" s="8"/>
    </row>
    <row r="170" s="5" customFormat="1" ht="9.95" customHeight="1" spans="1:22">
      <c r="A170" s="7"/>
      <c r="B170" s="1" t="str">
        <f>B12</f>
        <v>ZU9-1</v>
      </c>
      <c r="C170" s="1"/>
      <c r="D170" s="1"/>
      <c r="E170" s="10" t="s">
        <v>268</v>
      </c>
      <c r="F170" s="11"/>
      <c r="G170" s="11"/>
      <c r="H170" s="124" t="s">
        <v>269</v>
      </c>
      <c r="I170" s="151" t="str">
        <f>B170</f>
        <v>ZU9-1</v>
      </c>
      <c r="J170" s="152" t="s">
        <v>270</v>
      </c>
      <c r="K170" s="11" t="s">
        <v>271</v>
      </c>
      <c r="L170" s="11" t="s">
        <v>272</v>
      </c>
      <c r="M170" s="153" t="s">
        <v>273</v>
      </c>
      <c r="N170" s="11" t="s">
        <v>274</v>
      </c>
      <c r="O170" s="153" t="s">
        <v>275</v>
      </c>
      <c r="P170" s="153" t="s">
        <v>276</v>
      </c>
      <c r="Q170" s="179" t="s">
        <v>277</v>
      </c>
      <c r="R170" s="180" t="s">
        <v>278</v>
      </c>
      <c r="S170" s="181"/>
      <c r="T170" s="182"/>
      <c r="V170" s="1" t="s">
        <v>279</v>
      </c>
    </row>
    <row r="171" s="1" customFormat="1" ht="9.95" customHeight="1" spans="5:20">
      <c r="E171" s="13"/>
      <c r="F171" s="15"/>
      <c r="G171" s="15"/>
      <c r="H171" s="125"/>
      <c r="I171" s="154"/>
      <c r="J171" s="155"/>
      <c r="K171" s="15"/>
      <c r="L171" s="15"/>
      <c r="M171" s="156"/>
      <c r="N171" s="15"/>
      <c r="O171" s="156"/>
      <c r="P171" s="156"/>
      <c r="Q171" s="183"/>
      <c r="R171" s="184"/>
      <c r="S171" s="185"/>
      <c r="T171" s="186"/>
    </row>
    <row r="172" s="5" customFormat="1" ht="36" customHeight="1" spans="1:26">
      <c r="A172" s="7"/>
      <c r="B172" s="1"/>
      <c r="C172" s="1"/>
      <c r="D172" s="1"/>
      <c r="E172" s="13"/>
      <c r="F172" s="15"/>
      <c r="G172" s="15"/>
      <c r="H172" s="15" t="s">
        <v>280</v>
      </c>
      <c r="I172" s="157"/>
      <c r="J172" s="155" t="s">
        <v>281</v>
      </c>
      <c r="K172" s="158">
        <f>'1.U型槽主筋验算'!K10</f>
        <v>25</v>
      </c>
      <c r="L172" s="159"/>
      <c r="M172" s="160">
        <f>(R172+S172)/2+ROUNDUP((IF(K172&lt;26,10.927,11.212))*K172/10,0)*2</f>
        <v>3097.385</v>
      </c>
      <c r="N172" s="205">
        <v>160</v>
      </c>
      <c r="O172" s="162">
        <f t="shared" ref="O172:O179" si="77">M172*N172/100</f>
        <v>4955.816</v>
      </c>
      <c r="P172" s="15">
        <f t="shared" ref="P172:P179" si="78">ROUND(K172^2*PI()/4/1000000*7850,3)</f>
        <v>3.853</v>
      </c>
      <c r="Q172" s="187">
        <f t="shared" ref="Q172:Q179" si="79">O172*P172</f>
        <v>19094.759048</v>
      </c>
      <c r="R172" s="188">
        <f>(H173+I177-I180*2)*2+(H179-I180*2)+(H177-I180*2)*2</f>
        <v>2981.366</v>
      </c>
      <c r="S172" s="162">
        <f>(I173+I177-I180*2)*2+(H179-I180*2)+(H177-I180*2)*2</f>
        <v>3101.404</v>
      </c>
      <c r="T172" s="189">
        <f>R174</f>
        <v>1382</v>
      </c>
      <c r="V172" s="190">
        <f t="shared" ref="V172:V177" si="80">ROUNDUP((IF(K172&lt;26,10.927,11.212))*K172/10,0)</f>
        <v>28</v>
      </c>
      <c r="X172" s="191"/>
      <c r="Y172" s="191"/>
      <c r="Z172" s="191"/>
    </row>
    <row r="173" s="5" customFormat="1" ht="18" customHeight="1" spans="1:26">
      <c r="A173" s="7"/>
      <c r="B173" s="1"/>
      <c r="C173" s="1"/>
      <c r="D173" s="1"/>
      <c r="E173" s="126" t="s">
        <v>244</v>
      </c>
      <c r="F173" s="127" t="s">
        <v>282</v>
      </c>
      <c r="G173" s="127" t="s">
        <v>283</v>
      </c>
      <c r="H173" s="128">
        <f>MIN(VLOOKUP(I170,$B$4:$J$70,2,0),VLOOKUP(I170,$B$4:$J$70,3,0))</f>
        <v>665.683</v>
      </c>
      <c r="I173" s="163">
        <f>MAX(VLOOKUP(I170,$B$4:$J$70,2,0),VLOOKUP(I170,$B$4:$J$70,3,0))</f>
        <v>725.702</v>
      </c>
      <c r="J173" s="155" t="s">
        <v>284</v>
      </c>
      <c r="K173" s="164">
        <v>12</v>
      </c>
      <c r="L173" s="159"/>
      <c r="M173" s="160">
        <f>(R173+S173)/2+ROUNDUP((IF(K173&lt;26,10.927,11.212))*K173/10,0)*2</f>
        <v>795.6925</v>
      </c>
      <c r="N173" s="165">
        <f>ROUNDUP((H175/12.5*1),0)*2</f>
        <v>320</v>
      </c>
      <c r="O173" s="162">
        <f t="shared" si="77"/>
        <v>2546.216</v>
      </c>
      <c r="P173" s="15">
        <f t="shared" si="78"/>
        <v>0.888</v>
      </c>
      <c r="Q173" s="187">
        <f t="shared" si="79"/>
        <v>2261.039808</v>
      </c>
      <c r="R173" s="192">
        <f>H173+I177-I180*2</f>
        <v>737.683</v>
      </c>
      <c r="S173" s="193">
        <f>I173+I177-I180*2</f>
        <v>797.702</v>
      </c>
      <c r="T173" s="194" t="str">
        <f>ROUND(R173,1)&amp;"~"&amp;ROUND(S173,1)</f>
        <v>737.7~797.7</v>
      </c>
      <c r="V173" s="190">
        <f t="shared" si="80"/>
        <v>14</v>
      </c>
      <c r="X173" s="191"/>
      <c r="Y173" s="191"/>
      <c r="Z173" s="191"/>
    </row>
    <row r="174" s="5" customFormat="1" ht="18" customHeight="1" spans="1:26">
      <c r="A174" s="7"/>
      <c r="B174" s="1"/>
      <c r="C174" s="1"/>
      <c r="D174" s="1"/>
      <c r="E174" s="126">
        <f>VLOOKUP(I170,$B$39:$Z$70,3,0)</f>
        <v>109</v>
      </c>
      <c r="F174" s="129">
        <f>VLOOKUP(I170,$B$39:$Z$70,17,0)</f>
        <v>8</v>
      </c>
      <c r="G174" s="127">
        <f>VLOOKUP(I170,$B$39:$Z$70,12,0)</f>
        <v>57</v>
      </c>
      <c r="H174" s="127" t="s">
        <v>229</v>
      </c>
      <c r="I174" s="157"/>
      <c r="J174" s="155" t="s">
        <v>285</v>
      </c>
      <c r="K174" s="158">
        <v>14</v>
      </c>
      <c r="L174" s="159"/>
      <c r="M174" s="166">
        <f>R174+2*ROUNDUP((IF(K174&lt;26,10.927,11.212))*K174/10,0)</f>
        <v>1414</v>
      </c>
      <c r="N174" s="161">
        <f>ROUNDUP(H175/12.5,0)</f>
        <v>160</v>
      </c>
      <c r="O174" s="162">
        <f t="shared" si="77"/>
        <v>2262.4</v>
      </c>
      <c r="P174" s="15">
        <f t="shared" si="78"/>
        <v>1.208</v>
      </c>
      <c r="Q174" s="187">
        <f t="shared" si="79"/>
        <v>2732.9792</v>
      </c>
      <c r="R174" s="195">
        <f>H179-I180*2</f>
        <v>1382</v>
      </c>
      <c r="S174" s="162" t="s">
        <v>286</v>
      </c>
      <c r="T174" s="196"/>
      <c r="V174" s="190">
        <f t="shared" si="80"/>
        <v>16</v>
      </c>
      <c r="X174" s="191"/>
      <c r="Y174" s="191"/>
      <c r="Z174" s="191"/>
    </row>
    <row r="175" s="5" customFormat="1" ht="18" customHeight="1" spans="1:26">
      <c r="A175" s="7"/>
      <c r="B175" s="1"/>
      <c r="C175" s="1"/>
      <c r="D175" s="1"/>
      <c r="E175" s="130" t="s">
        <v>287</v>
      </c>
      <c r="F175" s="127" t="s">
        <v>288</v>
      </c>
      <c r="G175" s="127" t="s">
        <v>289</v>
      </c>
      <c r="H175" s="131">
        <f>MAX(VLOOKUP(I170,$B$4:$J$70,4,0),VLOOKUP(I170,$B$4:$J$70,5,0))</f>
        <v>2000</v>
      </c>
      <c r="I175" s="167">
        <f>MIN(VLOOKUP(I170,$B$4:$J$70,4,0),VLOOKUP(I170,$B$4:$J$70,5,0))</f>
        <v>2000</v>
      </c>
      <c r="J175" s="155" t="s">
        <v>290</v>
      </c>
      <c r="K175" s="164">
        <v>14</v>
      </c>
      <c r="L175" s="159"/>
      <c r="M175" s="166">
        <f>R175+2*ROUNDUP((IF(K175&lt;26,10.927,11.212))*K175/10,0)</f>
        <v>253.102597104441</v>
      </c>
      <c r="N175" s="165">
        <f>ROUNDUP(H175/12.5,0)*2</f>
        <v>320</v>
      </c>
      <c r="O175" s="162">
        <f t="shared" si="77"/>
        <v>809.928310734213</v>
      </c>
      <c r="P175" s="15">
        <f t="shared" si="78"/>
        <v>1.208</v>
      </c>
      <c r="Q175" s="187">
        <f t="shared" si="79"/>
        <v>978.393399366929</v>
      </c>
      <c r="R175" s="195">
        <f>((H177+I177-I180*2)+(20-I180*2^0.5))*(2^0.5)</f>
        <v>221.102597104441</v>
      </c>
      <c r="S175" s="162" t="s">
        <v>286</v>
      </c>
      <c r="T175" s="196"/>
      <c r="V175" s="190">
        <f t="shared" si="80"/>
        <v>16</v>
      </c>
      <c r="X175" s="191"/>
      <c r="Y175" s="191"/>
      <c r="Z175" s="191"/>
    </row>
    <row r="176" s="5" customFormat="1" ht="18" customHeight="1" spans="1:26">
      <c r="A176" s="7"/>
      <c r="B176" s="1"/>
      <c r="C176" s="1"/>
      <c r="D176" s="1"/>
      <c r="E176" s="132">
        <f>VLOOKUP(I170,$B$39:$Z$70,20,0)</f>
        <v>159</v>
      </c>
      <c r="F176" s="127">
        <f>VLOOKUP(I170,$B$39:$Z$70,23,0)</f>
        <v>159</v>
      </c>
      <c r="G176" s="127">
        <f>VLOOKUP(I170,$B$39:$Z$70,7,0)</f>
        <v>6</v>
      </c>
      <c r="H176" s="133" t="s">
        <v>291</v>
      </c>
      <c r="I176" s="157" t="s">
        <v>292</v>
      </c>
      <c r="J176" s="155" t="s">
        <v>293</v>
      </c>
      <c r="K176" s="158">
        <v>12</v>
      </c>
      <c r="L176" s="159"/>
      <c r="M176" s="166">
        <f>(R176+S176)/2+2*ROUNDUP((IF(K176&lt;26,10.927,11.212))*K176/10,0)</f>
        <v>2020</v>
      </c>
      <c r="N176" s="168">
        <f>4*(G174+1)+(G176-1)*2</f>
        <v>242</v>
      </c>
      <c r="O176" s="162">
        <f t="shared" si="77"/>
        <v>4888.4</v>
      </c>
      <c r="P176" s="15">
        <f t="shared" si="78"/>
        <v>0.888</v>
      </c>
      <c r="Q176" s="187">
        <f t="shared" si="79"/>
        <v>4340.8992</v>
      </c>
      <c r="R176" s="188">
        <f>H175-I180*2</f>
        <v>1992</v>
      </c>
      <c r="S176" s="162">
        <f>I175-I180*2</f>
        <v>1992</v>
      </c>
      <c r="T176" s="194" t="str">
        <f>ROUND(S176,1)&amp;"~"&amp;ROUND(R176,1)</f>
        <v>1992~1992</v>
      </c>
      <c r="V176" s="190">
        <f t="shared" si="80"/>
        <v>14</v>
      </c>
      <c r="X176" s="191"/>
      <c r="Y176" s="191"/>
      <c r="Z176" s="191"/>
    </row>
    <row r="177" s="5" customFormat="1" ht="18" customHeight="1" spans="1:26">
      <c r="A177" s="7"/>
      <c r="B177" s="1"/>
      <c r="C177" s="1"/>
      <c r="D177" s="1"/>
      <c r="E177" s="134"/>
      <c r="F177" s="135"/>
      <c r="G177" s="135"/>
      <c r="H177" s="136">
        <f>VLOOKUP(I170,$B$4:$J$70,6,0)</f>
        <v>70</v>
      </c>
      <c r="I177" s="167">
        <f>VLOOKUP(I170,$B$4:$J$70,7,0)</f>
        <v>80</v>
      </c>
      <c r="J177" s="155" t="s">
        <v>294</v>
      </c>
      <c r="K177" s="158">
        <v>12</v>
      </c>
      <c r="L177" s="159"/>
      <c r="M177" s="166">
        <f>(R177+S177)/2+2*ROUNDUP((IF(K177&lt;26,10.927,11.212))*K177/10,0)</f>
        <v>2028.90036742487</v>
      </c>
      <c r="N177" s="15">
        <f>2*(E174+1)+F174*2</f>
        <v>236</v>
      </c>
      <c r="O177" s="162">
        <f t="shared" si="77"/>
        <v>4788.2048671227</v>
      </c>
      <c r="P177" s="15">
        <f t="shared" si="78"/>
        <v>0.888</v>
      </c>
      <c r="Q177" s="187">
        <f t="shared" si="79"/>
        <v>4251.92592200496</v>
      </c>
      <c r="R177" s="188">
        <f>((I173-H173)^2+H175^2)^0.5</f>
        <v>2000.90036742487</v>
      </c>
      <c r="S177" s="162">
        <f>((I173-H173)^2+I175^2)^0.5</f>
        <v>2000.90036742487</v>
      </c>
      <c r="T177" s="194" t="str">
        <f>ROUND(S177,1)&amp;"~"&amp;ROUND(R177,1)</f>
        <v>2000.9~2000.9</v>
      </c>
      <c r="V177" s="190">
        <f t="shared" si="80"/>
        <v>14</v>
      </c>
      <c r="X177" s="191"/>
      <c r="Y177" s="191"/>
      <c r="Z177" s="191"/>
    </row>
    <row r="178" s="5" customFormat="1" ht="18" customHeight="1" spans="1:26">
      <c r="A178" s="7"/>
      <c r="B178" s="1"/>
      <c r="C178" s="1"/>
      <c r="D178" s="1"/>
      <c r="E178" s="137" t="s">
        <v>295</v>
      </c>
      <c r="F178" s="138"/>
      <c r="G178" s="139"/>
      <c r="H178" s="140" t="s">
        <v>296</v>
      </c>
      <c r="I178" s="169"/>
      <c r="J178" s="155" t="s">
        <v>297</v>
      </c>
      <c r="K178" s="164">
        <v>8</v>
      </c>
      <c r="L178" s="159"/>
      <c r="M178" s="166">
        <f>R178+11</f>
        <v>83</v>
      </c>
      <c r="N178" s="170">
        <f>ROUNDDOWN(((VLOOKUP(I170,$B$39:$Z$70,2,0))/(VLOOKUP(I170,$B$39:$Z$70,4,0))-1),0)/4*((VLOOKUP(I170,$B$39:$Z$70,20,0))+1)</f>
        <v>4400</v>
      </c>
      <c r="O178" s="162">
        <f t="shared" si="77"/>
        <v>3652</v>
      </c>
      <c r="P178" s="15">
        <f t="shared" si="78"/>
        <v>0.395</v>
      </c>
      <c r="Q178" s="187">
        <f t="shared" si="79"/>
        <v>1442.54</v>
      </c>
      <c r="R178" s="195">
        <f>I177-2*I180</f>
        <v>72</v>
      </c>
      <c r="S178" s="162" t="s">
        <v>286</v>
      </c>
      <c r="T178" s="196"/>
      <c r="V178" s="197"/>
      <c r="X178" s="191"/>
      <c r="Y178" s="191"/>
      <c r="Z178" s="191"/>
    </row>
    <row r="179" s="5" customFormat="1" ht="18" customHeight="1" spans="1:26">
      <c r="A179" s="7"/>
      <c r="B179" s="1"/>
      <c r="C179" s="1"/>
      <c r="D179" s="1"/>
      <c r="E179" s="141" t="s">
        <v>298</v>
      </c>
      <c r="F179" s="142" t="s">
        <v>299</v>
      </c>
      <c r="G179" s="143" t="s">
        <v>300</v>
      </c>
      <c r="H179" s="140">
        <f>VLOOKUP(I170,$B$4:$J$70,8,0)</f>
        <v>1390</v>
      </c>
      <c r="I179" s="169"/>
      <c r="J179" s="155" t="s">
        <v>301</v>
      </c>
      <c r="K179" s="164">
        <v>8</v>
      </c>
      <c r="L179" s="159"/>
      <c r="M179" s="166">
        <f>R179+11</f>
        <v>73</v>
      </c>
      <c r="N179" s="171">
        <f>ROUND(E176/4*G174,0)*2</f>
        <v>4532</v>
      </c>
      <c r="O179" s="162">
        <f t="shared" si="77"/>
        <v>3308.36</v>
      </c>
      <c r="P179" s="15">
        <f t="shared" si="78"/>
        <v>0.395</v>
      </c>
      <c r="Q179" s="187">
        <f t="shared" si="79"/>
        <v>1306.8022</v>
      </c>
      <c r="R179" s="195">
        <f>H177-2*I180</f>
        <v>62</v>
      </c>
      <c r="S179" s="162" t="s">
        <v>286</v>
      </c>
      <c r="T179" s="196"/>
      <c r="V179" s="197"/>
      <c r="X179" s="191"/>
      <c r="Y179" s="191"/>
      <c r="Z179" s="191"/>
    </row>
    <row r="180" s="5" customFormat="1" ht="18" customHeight="1" spans="1:26">
      <c r="A180" s="7"/>
      <c r="B180" s="1"/>
      <c r="C180" s="1"/>
      <c r="D180" s="1"/>
      <c r="E180" s="144">
        <f>IF(I170=0,0,ROUND(((H173+I173)/2*H177*2+H179*I177+0.2*0.2+0.25*0.05*2)*(H175+I175)/2/1000000,1))</f>
        <v>417.2</v>
      </c>
      <c r="F180" s="145">
        <f>IF(I170=0,0,ROUND(Q178+Q179,1))</f>
        <v>2749.3</v>
      </c>
      <c r="G180" s="146">
        <f>IF(I170=0,0,ROUND(Q172+Q173+Q174+Q175+Q176+Q177,1))</f>
        <v>33660</v>
      </c>
      <c r="H180" s="147" t="s">
        <v>302</v>
      </c>
      <c r="I180" s="172">
        <f>$P$3</f>
        <v>4</v>
      </c>
      <c r="J180" s="173" t="s">
        <v>303</v>
      </c>
      <c r="K180" s="174" t="str">
        <f>"C40混凝土:"&amp;ROUND(((H173+I173)/2*H177*2+H179*I177+0.2*0.2+0.25*0.05*2)*(H175+I175)/2/1000000,1)&amp;"m"&amp;"      "&amp;"HPB300:"&amp;ROUND(Q178+Q179,1)&amp;"kg       "&amp;"HRB400:"&amp;ROUND(Q172+Q173+Q174+Q175+Q176+Q177,1)&amp;"kg"</f>
        <v>C40混凝土:417.2m      HPB300:2749.3kg       HRB400:33660kg</v>
      </c>
      <c r="L180" s="174"/>
      <c r="M180" s="174"/>
      <c r="N180" s="174"/>
      <c r="O180" s="174"/>
      <c r="P180" s="174"/>
      <c r="Q180" s="198"/>
      <c r="R180" s="199" t="s">
        <v>304</v>
      </c>
      <c r="S180" s="174">
        <f>ROUND(SUM(Q172:Q179)/ROUND(((H173+I173)/2*H177*2+H179*I177+0.2*0.2+0.25*0.05*2)*(H175+I175)/2/1000000,1),1)</f>
        <v>87.3</v>
      </c>
      <c r="T180" s="200"/>
      <c r="X180" s="191"/>
      <c r="Y180" s="191"/>
      <c r="Z180" s="191"/>
    </row>
    <row r="181" s="5" customFormat="1" ht="15" spans="1:15">
      <c r="A181" s="7"/>
      <c r="C181" s="1"/>
      <c r="I181" s="4"/>
      <c r="K181" s="8"/>
      <c r="O181" s="8"/>
    </row>
    <row r="182" s="5" customFormat="1" ht="9.95" customHeight="1" spans="1:22">
      <c r="A182" s="7"/>
      <c r="B182" s="1" t="str">
        <f>B13</f>
        <v>ZU10-1</v>
      </c>
      <c r="C182" s="1"/>
      <c r="D182" s="1"/>
      <c r="E182" s="10" t="s">
        <v>268</v>
      </c>
      <c r="F182" s="11"/>
      <c r="G182" s="11"/>
      <c r="H182" s="124" t="s">
        <v>269</v>
      </c>
      <c r="I182" s="151" t="str">
        <f>B182</f>
        <v>ZU10-1</v>
      </c>
      <c r="J182" s="152" t="s">
        <v>270</v>
      </c>
      <c r="K182" s="11" t="s">
        <v>271</v>
      </c>
      <c r="L182" s="11" t="s">
        <v>272</v>
      </c>
      <c r="M182" s="153" t="s">
        <v>273</v>
      </c>
      <c r="N182" s="11" t="s">
        <v>274</v>
      </c>
      <c r="O182" s="153" t="s">
        <v>275</v>
      </c>
      <c r="P182" s="153" t="s">
        <v>276</v>
      </c>
      <c r="Q182" s="179" t="s">
        <v>277</v>
      </c>
      <c r="R182" s="180" t="s">
        <v>278</v>
      </c>
      <c r="S182" s="181"/>
      <c r="T182" s="182"/>
      <c r="V182" s="1" t="s">
        <v>279</v>
      </c>
    </row>
    <row r="183" s="1" customFormat="1" ht="9.95" customHeight="1" spans="5:20">
      <c r="E183" s="13"/>
      <c r="F183" s="15"/>
      <c r="G183" s="15"/>
      <c r="H183" s="125"/>
      <c r="I183" s="154"/>
      <c r="J183" s="155"/>
      <c r="K183" s="15"/>
      <c r="L183" s="15"/>
      <c r="M183" s="156"/>
      <c r="N183" s="15"/>
      <c r="O183" s="156"/>
      <c r="P183" s="156"/>
      <c r="Q183" s="183"/>
      <c r="R183" s="184"/>
      <c r="S183" s="185"/>
      <c r="T183" s="186"/>
    </row>
    <row r="184" s="5" customFormat="1" ht="36" customHeight="1" spans="1:26">
      <c r="A184" s="7"/>
      <c r="B184" s="1"/>
      <c r="C184" s="1"/>
      <c r="D184" s="1"/>
      <c r="E184" s="13"/>
      <c r="F184" s="15"/>
      <c r="G184" s="15"/>
      <c r="H184" s="15" t="s">
        <v>280</v>
      </c>
      <c r="I184" s="157"/>
      <c r="J184" s="155" t="s">
        <v>281</v>
      </c>
      <c r="K184" s="158">
        <f>'1.U型槽主筋验算'!K11</f>
        <v>25</v>
      </c>
      <c r="L184" s="159"/>
      <c r="M184" s="160">
        <f>(R184+S184)/2+ROUNDUP((IF(K184&lt;26,10.927,11.212))*K184/10,0)*2</f>
        <v>3157.404</v>
      </c>
      <c r="N184" s="205">
        <v>160</v>
      </c>
      <c r="O184" s="162">
        <f t="shared" ref="O184:O191" si="81">M184*N184/100</f>
        <v>5051.8464</v>
      </c>
      <c r="P184" s="15">
        <f t="shared" ref="P184:P191" si="82">ROUND(K184^2*PI()/4/1000000*7850,3)</f>
        <v>3.853</v>
      </c>
      <c r="Q184" s="187">
        <f t="shared" ref="Q184:Q191" si="83">O184*P184</f>
        <v>19464.7641792</v>
      </c>
      <c r="R184" s="188">
        <f>(H185+I189-I192*2)*2+(H191-I192*2)+(H189-I192*2)*2</f>
        <v>3101.404</v>
      </c>
      <c r="S184" s="162">
        <f>(I185+I189-I192*2)*2+(H191-I192*2)+(H189-I192*2)*2</f>
        <v>3101.404</v>
      </c>
      <c r="T184" s="189">
        <f>R186</f>
        <v>1382</v>
      </c>
      <c r="V184" s="190">
        <f t="shared" ref="V184:V189" si="84">ROUNDUP((IF(K184&lt;26,10.927,11.212))*K184/10,0)</f>
        <v>28</v>
      </c>
      <c r="X184" s="191"/>
      <c r="Y184" s="191"/>
      <c r="Z184" s="191"/>
    </row>
    <row r="185" s="5" customFormat="1" ht="18" customHeight="1" spans="1:26">
      <c r="A185" s="7"/>
      <c r="B185" s="1"/>
      <c r="C185" s="1"/>
      <c r="D185" s="1"/>
      <c r="E185" s="126" t="s">
        <v>244</v>
      </c>
      <c r="F185" s="127" t="s">
        <v>282</v>
      </c>
      <c r="G185" s="127" t="s">
        <v>283</v>
      </c>
      <c r="H185" s="128">
        <f>MIN(VLOOKUP(I182,$B$4:$J$70,2,0),VLOOKUP(I182,$B$4:$J$70,3,0))</f>
        <v>725.702</v>
      </c>
      <c r="I185" s="163">
        <f>MAX(VLOOKUP(I182,$B$4:$J$70,2,0),VLOOKUP(I182,$B$4:$J$70,3,0))</f>
        <v>725.702</v>
      </c>
      <c r="J185" s="155" t="s">
        <v>284</v>
      </c>
      <c r="K185" s="164">
        <v>12</v>
      </c>
      <c r="L185" s="159"/>
      <c r="M185" s="160">
        <f>(R185+S185)/2+ROUNDUP((IF(K185&lt;26,10.927,11.212))*K185/10,0)*2</f>
        <v>825.702</v>
      </c>
      <c r="N185" s="165">
        <f>ROUNDUP((H187/12.5*1),0)*2</f>
        <v>320</v>
      </c>
      <c r="O185" s="162">
        <f t="shared" si="81"/>
        <v>2642.2464</v>
      </c>
      <c r="P185" s="15">
        <f t="shared" si="82"/>
        <v>0.888</v>
      </c>
      <c r="Q185" s="187">
        <f t="shared" si="83"/>
        <v>2346.3148032</v>
      </c>
      <c r="R185" s="192">
        <f>H185+I189-I192*2</f>
        <v>797.702</v>
      </c>
      <c r="S185" s="193">
        <f>I185+I189-I192*2</f>
        <v>797.702</v>
      </c>
      <c r="T185" s="194" t="str">
        <f>ROUND(R185,1)&amp;"~"&amp;ROUND(S185,1)</f>
        <v>797.7~797.7</v>
      </c>
      <c r="V185" s="190">
        <f t="shared" si="84"/>
        <v>14</v>
      </c>
      <c r="X185" s="191"/>
      <c r="Y185" s="191"/>
      <c r="Z185" s="191"/>
    </row>
    <row r="186" s="5" customFormat="1" ht="18" customHeight="1" spans="1:26">
      <c r="A186" s="7"/>
      <c r="B186" s="1"/>
      <c r="C186" s="1"/>
      <c r="D186" s="1"/>
      <c r="E186" s="126">
        <f>VLOOKUP(I182,$B$39:$Z$70,3,0)</f>
        <v>109</v>
      </c>
      <c r="F186" s="129">
        <f>VLOOKUP(I182,$B$39:$Z$70,17,0)</f>
        <v>8</v>
      </c>
      <c r="G186" s="127">
        <f>VLOOKUP(I182,$B$39:$Z$70,12,0)</f>
        <v>57</v>
      </c>
      <c r="H186" s="127" t="s">
        <v>229</v>
      </c>
      <c r="I186" s="157"/>
      <c r="J186" s="155" t="s">
        <v>285</v>
      </c>
      <c r="K186" s="158">
        <v>14</v>
      </c>
      <c r="L186" s="159"/>
      <c r="M186" s="166">
        <f>R186+2*ROUNDUP((IF(K186&lt;26,10.927,11.212))*K186/10,0)</f>
        <v>1414</v>
      </c>
      <c r="N186" s="161">
        <f>ROUNDUP(H187/12.5,0)</f>
        <v>160</v>
      </c>
      <c r="O186" s="162">
        <f t="shared" si="81"/>
        <v>2262.4</v>
      </c>
      <c r="P186" s="15">
        <f t="shared" si="82"/>
        <v>1.208</v>
      </c>
      <c r="Q186" s="187">
        <f t="shared" si="83"/>
        <v>2732.9792</v>
      </c>
      <c r="R186" s="195">
        <f>H191-I192*2</f>
        <v>1382</v>
      </c>
      <c r="S186" s="162" t="s">
        <v>286</v>
      </c>
      <c r="T186" s="196"/>
      <c r="V186" s="190">
        <f t="shared" si="84"/>
        <v>16</v>
      </c>
      <c r="X186" s="191"/>
      <c r="Y186" s="191"/>
      <c r="Z186" s="191"/>
    </row>
    <row r="187" s="5" customFormat="1" ht="18" customHeight="1" spans="1:26">
      <c r="A187" s="7"/>
      <c r="B187" s="1"/>
      <c r="C187" s="1"/>
      <c r="D187" s="1"/>
      <c r="E187" s="130" t="s">
        <v>287</v>
      </c>
      <c r="F187" s="127" t="s">
        <v>288</v>
      </c>
      <c r="G187" s="127" t="s">
        <v>289</v>
      </c>
      <c r="H187" s="131">
        <f>MAX(VLOOKUP(I182,$B$4:$J$70,4,0),VLOOKUP(I182,$B$4:$J$70,5,0))</f>
        <v>2000</v>
      </c>
      <c r="I187" s="167">
        <f>MIN(VLOOKUP(I182,$B$4:$J$70,4,0),VLOOKUP(I182,$B$4:$J$70,5,0))</f>
        <v>2000</v>
      </c>
      <c r="J187" s="155" t="s">
        <v>290</v>
      </c>
      <c r="K187" s="164">
        <v>14</v>
      </c>
      <c r="L187" s="159"/>
      <c r="M187" s="166">
        <f>R187+2*ROUNDUP((IF(K187&lt;26,10.927,11.212))*K187/10,0)</f>
        <v>253.102597104441</v>
      </c>
      <c r="N187" s="165">
        <f>ROUNDUP(H187/12.5,0)*2</f>
        <v>320</v>
      </c>
      <c r="O187" s="162">
        <f t="shared" si="81"/>
        <v>809.928310734213</v>
      </c>
      <c r="P187" s="15">
        <f t="shared" si="82"/>
        <v>1.208</v>
      </c>
      <c r="Q187" s="187">
        <f t="shared" si="83"/>
        <v>978.393399366929</v>
      </c>
      <c r="R187" s="195">
        <f>((H189+I189-I192*2)+(20-I192*2^0.5))*(2^0.5)</f>
        <v>221.102597104441</v>
      </c>
      <c r="S187" s="162" t="s">
        <v>286</v>
      </c>
      <c r="T187" s="196"/>
      <c r="V187" s="190">
        <f t="shared" si="84"/>
        <v>16</v>
      </c>
      <c r="X187" s="191"/>
      <c r="Y187" s="191"/>
      <c r="Z187" s="191"/>
    </row>
    <row r="188" s="5" customFormat="1" ht="18" customHeight="1" spans="1:26">
      <c r="A188" s="7"/>
      <c r="B188" s="1"/>
      <c r="C188" s="1"/>
      <c r="D188" s="1"/>
      <c r="E188" s="132">
        <f>VLOOKUP(I182,$B$39:$Z$70,20,0)</f>
        <v>159</v>
      </c>
      <c r="F188" s="127">
        <f>VLOOKUP(I182,$B$39:$Z$70,23,0)</f>
        <v>159</v>
      </c>
      <c r="G188" s="127">
        <f>VLOOKUP(I182,$B$39:$Z$70,7,0)</f>
        <v>6</v>
      </c>
      <c r="H188" s="133" t="s">
        <v>291</v>
      </c>
      <c r="I188" s="157" t="s">
        <v>292</v>
      </c>
      <c r="J188" s="155" t="s">
        <v>293</v>
      </c>
      <c r="K188" s="158">
        <v>12</v>
      </c>
      <c r="L188" s="159"/>
      <c r="M188" s="166">
        <f>(R188+S188)/2+2*ROUNDUP((IF(K188&lt;26,10.927,11.212))*K188/10,0)</f>
        <v>2020</v>
      </c>
      <c r="N188" s="168">
        <f>4*(G186+1)+(G188-1)*2</f>
        <v>242</v>
      </c>
      <c r="O188" s="162">
        <f t="shared" si="81"/>
        <v>4888.4</v>
      </c>
      <c r="P188" s="15">
        <f t="shared" si="82"/>
        <v>0.888</v>
      </c>
      <c r="Q188" s="187">
        <f t="shared" si="83"/>
        <v>4340.8992</v>
      </c>
      <c r="R188" s="188">
        <f>H187-I192*2</f>
        <v>1992</v>
      </c>
      <c r="S188" s="162">
        <f>I187-I192*2</f>
        <v>1992</v>
      </c>
      <c r="T188" s="194" t="str">
        <f>ROUND(S188,1)&amp;"~"&amp;ROUND(R188,1)</f>
        <v>1992~1992</v>
      </c>
      <c r="V188" s="190">
        <f t="shared" si="84"/>
        <v>14</v>
      </c>
      <c r="X188" s="191"/>
      <c r="Y188" s="191"/>
      <c r="Z188" s="191"/>
    </row>
    <row r="189" s="5" customFormat="1" ht="18" customHeight="1" spans="1:26">
      <c r="A189" s="7"/>
      <c r="B189" s="1"/>
      <c r="C189" s="1"/>
      <c r="D189" s="1"/>
      <c r="E189" s="134"/>
      <c r="F189" s="135"/>
      <c r="G189" s="135"/>
      <c r="H189" s="136">
        <f>VLOOKUP(I182,$B$4:$J$70,6,0)</f>
        <v>70</v>
      </c>
      <c r="I189" s="167">
        <f>VLOOKUP(I182,$B$4:$J$70,7,0)</f>
        <v>80</v>
      </c>
      <c r="J189" s="155" t="s">
        <v>294</v>
      </c>
      <c r="K189" s="158">
        <v>12</v>
      </c>
      <c r="L189" s="159"/>
      <c r="M189" s="166">
        <f>(R189+S189)/2+2*ROUNDUP((IF(K189&lt;26,10.927,11.212))*K189/10,0)</f>
        <v>2028</v>
      </c>
      <c r="N189" s="15">
        <f>2*(E186+1)+F186*2</f>
        <v>236</v>
      </c>
      <c r="O189" s="162">
        <f t="shared" si="81"/>
        <v>4786.08</v>
      </c>
      <c r="P189" s="15">
        <f t="shared" si="82"/>
        <v>0.888</v>
      </c>
      <c r="Q189" s="187">
        <f t="shared" si="83"/>
        <v>4250.03904</v>
      </c>
      <c r="R189" s="188">
        <f>((I185-H185)^2+H187^2)^0.5</f>
        <v>2000</v>
      </c>
      <c r="S189" s="162">
        <f>((I185-H185)^2+I187^2)^0.5</f>
        <v>2000</v>
      </c>
      <c r="T189" s="194" t="str">
        <f>ROUND(S189,1)&amp;"~"&amp;ROUND(R189,1)</f>
        <v>2000~2000</v>
      </c>
      <c r="V189" s="190">
        <f t="shared" si="84"/>
        <v>14</v>
      </c>
      <c r="X189" s="191"/>
      <c r="Y189" s="191"/>
      <c r="Z189" s="191"/>
    </row>
    <row r="190" s="5" customFormat="1" ht="18" customHeight="1" spans="1:26">
      <c r="A190" s="7"/>
      <c r="B190" s="1"/>
      <c r="C190" s="1"/>
      <c r="D190" s="1"/>
      <c r="E190" s="137" t="s">
        <v>295</v>
      </c>
      <c r="F190" s="138"/>
      <c r="G190" s="139"/>
      <c r="H190" s="140" t="s">
        <v>296</v>
      </c>
      <c r="I190" s="169"/>
      <c r="J190" s="155" t="s">
        <v>297</v>
      </c>
      <c r="K190" s="164">
        <v>8</v>
      </c>
      <c r="L190" s="159"/>
      <c r="M190" s="166">
        <f>R190+11</f>
        <v>83</v>
      </c>
      <c r="N190" s="170">
        <f>ROUNDDOWN(((VLOOKUP(I182,$B$39:$Z$70,2,0))/(VLOOKUP(I182,$B$39:$Z$70,4,0))-1),0)/4*((VLOOKUP(I182,$B$39:$Z$70,20,0))+1)</f>
        <v>4400</v>
      </c>
      <c r="O190" s="162">
        <f t="shared" si="81"/>
        <v>3652</v>
      </c>
      <c r="P190" s="15">
        <f t="shared" si="82"/>
        <v>0.395</v>
      </c>
      <c r="Q190" s="187">
        <f t="shared" si="83"/>
        <v>1442.54</v>
      </c>
      <c r="R190" s="195">
        <f>I189-2*I192</f>
        <v>72</v>
      </c>
      <c r="S190" s="162" t="s">
        <v>286</v>
      </c>
      <c r="T190" s="196"/>
      <c r="V190" s="197"/>
      <c r="X190" s="191"/>
      <c r="Y190" s="191"/>
      <c r="Z190" s="191"/>
    </row>
    <row r="191" s="5" customFormat="1" ht="18" customHeight="1" spans="1:26">
      <c r="A191" s="7"/>
      <c r="B191" s="1"/>
      <c r="C191" s="1"/>
      <c r="D191" s="1"/>
      <c r="E191" s="141" t="s">
        <v>298</v>
      </c>
      <c r="F191" s="142" t="s">
        <v>299</v>
      </c>
      <c r="G191" s="143" t="s">
        <v>300</v>
      </c>
      <c r="H191" s="140">
        <f>VLOOKUP(I182,$B$4:$J$70,8,0)</f>
        <v>1390</v>
      </c>
      <c r="I191" s="169"/>
      <c r="J191" s="155" t="s">
        <v>301</v>
      </c>
      <c r="K191" s="164">
        <v>8</v>
      </c>
      <c r="L191" s="159"/>
      <c r="M191" s="166">
        <f>R191+11</f>
        <v>73</v>
      </c>
      <c r="N191" s="171">
        <f>ROUND(E188/4*G186,0)*2</f>
        <v>4532</v>
      </c>
      <c r="O191" s="162">
        <f t="shared" si="81"/>
        <v>3308.36</v>
      </c>
      <c r="P191" s="15">
        <f t="shared" si="82"/>
        <v>0.395</v>
      </c>
      <c r="Q191" s="187">
        <f t="shared" si="83"/>
        <v>1306.8022</v>
      </c>
      <c r="R191" s="195">
        <f>H189-2*I192</f>
        <v>62</v>
      </c>
      <c r="S191" s="162" t="s">
        <v>286</v>
      </c>
      <c r="T191" s="196"/>
      <c r="V191" s="197"/>
      <c r="X191" s="191"/>
      <c r="Y191" s="191"/>
      <c r="Z191" s="191"/>
    </row>
    <row r="192" s="5" customFormat="1" ht="18" customHeight="1" spans="1:26">
      <c r="A192" s="7"/>
      <c r="B192" s="1"/>
      <c r="C192" s="1"/>
      <c r="D192" s="1"/>
      <c r="E192" s="144">
        <f>IF(I182=0,0,ROUND(((H185+I185)/2*H189*2+H191*I189+0.2*0.2+0.25*0.05*2)*(H187+I187)/2/1000000,1))</f>
        <v>425.6</v>
      </c>
      <c r="F192" s="145">
        <f>IF(I182=0,0,ROUND(Q190+Q191,1))</f>
        <v>2749.3</v>
      </c>
      <c r="G192" s="146">
        <f>IF(I182=0,0,ROUND(Q184+Q185+Q186+Q187+Q188+Q189,1))</f>
        <v>34113.4</v>
      </c>
      <c r="H192" s="147" t="s">
        <v>302</v>
      </c>
      <c r="I192" s="172">
        <f>$P$3</f>
        <v>4</v>
      </c>
      <c r="J192" s="173" t="s">
        <v>303</v>
      </c>
      <c r="K192" s="174" t="str">
        <f>"C40混凝土:"&amp;ROUND(((H185+I185)/2*H189*2+H191*I189+0.2*0.2+0.25*0.05*2)*(H187+I187)/2/1000000,1)&amp;"m"&amp;"      "&amp;"HPB300:"&amp;ROUND(Q190+Q191,1)&amp;"kg       "&amp;"HRB400:"&amp;ROUND(Q184+Q185+Q186+Q187+Q188+Q189,1)&amp;"kg"</f>
        <v>C40混凝土:425.6m      HPB300:2749.3kg       HRB400:34113.4kg</v>
      </c>
      <c r="L192" s="174"/>
      <c r="M192" s="174"/>
      <c r="N192" s="174"/>
      <c r="O192" s="174"/>
      <c r="P192" s="174"/>
      <c r="Q192" s="198"/>
      <c r="R192" s="199" t="s">
        <v>304</v>
      </c>
      <c r="S192" s="174">
        <f>ROUND(SUM(Q184:Q191)/ROUND(((H185+I185)/2*H189*2+H191*I189+0.2*0.2+0.25*0.05*2)*(H187+I187)/2/1000000,1),1)</f>
        <v>86.6</v>
      </c>
      <c r="T192" s="200"/>
      <c r="X192" s="191"/>
      <c r="Y192" s="191"/>
      <c r="Z192" s="191"/>
    </row>
    <row r="193" s="5" customFormat="1" ht="15" spans="1:15">
      <c r="A193" s="7"/>
      <c r="C193" s="1"/>
      <c r="I193" s="4"/>
      <c r="K193" s="8"/>
      <c r="O193" s="8"/>
    </row>
    <row r="194" s="5" customFormat="1" ht="9.95" customHeight="1" spans="1:22">
      <c r="A194" s="7"/>
      <c r="B194" s="1" t="str">
        <f>B14</f>
        <v>ZU11-1</v>
      </c>
      <c r="C194" s="1"/>
      <c r="D194" s="1"/>
      <c r="E194" s="10" t="s">
        <v>268</v>
      </c>
      <c r="F194" s="11"/>
      <c r="G194" s="11"/>
      <c r="H194" s="124" t="s">
        <v>269</v>
      </c>
      <c r="I194" s="151" t="str">
        <f>B194</f>
        <v>ZU11-1</v>
      </c>
      <c r="J194" s="152" t="s">
        <v>270</v>
      </c>
      <c r="K194" s="11" t="s">
        <v>271</v>
      </c>
      <c r="L194" s="11" t="s">
        <v>272</v>
      </c>
      <c r="M194" s="153" t="s">
        <v>273</v>
      </c>
      <c r="N194" s="11" t="s">
        <v>274</v>
      </c>
      <c r="O194" s="153" t="s">
        <v>275</v>
      </c>
      <c r="P194" s="153" t="s">
        <v>276</v>
      </c>
      <c r="Q194" s="179" t="s">
        <v>277</v>
      </c>
      <c r="R194" s="180" t="s">
        <v>278</v>
      </c>
      <c r="S194" s="181"/>
      <c r="T194" s="182"/>
      <c r="V194" s="1" t="s">
        <v>279</v>
      </c>
    </row>
    <row r="195" s="1" customFormat="1" ht="9.95" customHeight="1" spans="5:20">
      <c r="E195" s="13"/>
      <c r="F195" s="15"/>
      <c r="G195" s="15"/>
      <c r="H195" s="125"/>
      <c r="I195" s="154"/>
      <c r="J195" s="155"/>
      <c r="K195" s="15"/>
      <c r="L195" s="15"/>
      <c r="M195" s="156"/>
      <c r="N195" s="15"/>
      <c r="O195" s="156"/>
      <c r="P195" s="156"/>
      <c r="Q195" s="183"/>
      <c r="R195" s="184"/>
      <c r="S195" s="185"/>
      <c r="T195" s="186"/>
    </row>
    <row r="196" s="5" customFormat="1" ht="36" customHeight="1" spans="1:26">
      <c r="A196" s="7"/>
      <c r="B196" s="1"/>
      <c r="C196" s="1"/>
      <c r="D196" s="1"/>
      <c r="E196" s="13"/>
      <c r="F196" s="15"/>
      <c r="G196" s="15"/>
      <c r="H196" s="15" t="s">
        <v>280</v>
      </c>
      <c r="I196" s="157"/>
      <c r="J196" s="155" t="s">
        <v>281</v>
      </c>
      <c r="K196" s="158">
        <f>'1.U型槽主筋验算'!K12</f>
        <v>25</v>
      </c>
      <c r="L196" s="159"/>
      <c r="M196" s="160">
        <f>(R196+S196)/2+ROUNDUP((IF(K196&lt;26,10.927,11.212))*K196/10,0)*2</f>
        <v>3223.143</v>
      </c>
      <c r="N196" s="205">
        <v>160</v>
      </c>
      <c r="O196" s="162">
        <f t="shared" ref="O196:O203" si="85">M196*N196/100</f>
        <v>5157.0288</v>
      </c>
      <c r="P196" s="15">
        <f t="shared" ref="P196:P203" si="86">ROUND(K196^2*PI()/4/1000000*7850,3)</f>
        <v>3.853</v>
      </c>
      <c r="Q196" s="187">
        <f t="shared" ref="Q196:Q203" si="87">O196*P196</f>
        <v>19870.0319664</v>
      </c>
      <c r="R196" s="188">
        <f>(H197+I201-I204*2)*2+(H203-I204*2)+(H201-I204*2)*2</f>
        <v>3104.286</v>
      </c>
      <c r="S196" s="162">
        <f>(I197+I201-I204*2)*2+(H203-I204*2)+(H201-I204*2)*2</f>
        <v>3230</v>
      </c>
      <c r="T196" s="189">
        <f>R198</f>
        <v>1402</v>
      </c>
      <c r="V196" s="190">
        <f t="shared" ref="V196:V201" si="88">ROUNDUP((IF(K196&lt;26,10.927,11.212))*K196/10,0)</f>
        <v>28</v>
      </c>
      <c r="X196" s="191"/>
      <c r="Y196" s="191"/>
      <c r="Z196" s="191"/>
    </row>
    <row r="197" s="5" customFormat="1" ht="18" customHeight="1" spans="1:26">
      <c r="A197" s="7"/>
      <c r="B197" s="1"/>
      <c r="C197" s="1"/>
      <c r="D197" s="1"/>
      <c r="E197" s="126" t="s">
        <v>244</v>
      </c>
      <c r="F197" s="127" t="s">
        <v>282</v>
      </c>
      <c r="G197" s="127" t="s">
        <v>283</v>
      </c>
      <c r="H197" s="128">
        <f>MIN(VLOOKUP(I194,$B$4:$J$70,2,0),VLOOKUP(I194,$B$4:$J$70,3,0))</f>
        <v>697.143</v>
      </c>
      <c r="I197" s="163">
        <f>MAX(VLOOKUP(I194,$B$4:$J$70,2,0),VLOOKUP(I194,$B$4:$J$70,3,0))</f>
        <v>760</v>
      </c>
      <c r="J197" s="155" t="s">
        <v>284</v>
      </c>
      <c r="K197" s="164">
        <v>12</v>
      </c>
      <c r="L197" s="159"/>
      <c r="M197" s="160">
        <f>(R197+S197)/2+ROUNDUP((IF(K197&lt;26,10.927,11.212))*K197/10,0)*2</f>
        <v>838.5715</v>
      </c>
      <c r="N197" s="165">
        <f>ROUNDUP((H199/12.5*1),0)*2</f>
        <v>320</v>
      </c>
      <c r="O197" s="162">
        <f t="shared" si="85"/>
        <v>2683.4288</v>
      </c>
      <c r="P197" s="15">
        <f t="shared" si="86"/>
        <v>0.888</v>
      </c>
      <c r="Q197" s="187">
        <f t="shared" si="87"/>
        <v>2382.8847744</v>
      </c>
      <c r="R197" s="192">
        <f>H197+I201-I204*2</f>
        <v>779.143</v>
      </c>
      <c r="S197" s="193">
        <f>I197+I201-I204*2</f>
        <v>842</v>
      </c>
      <c r="T197" s="194" t="str">
        <f>ROUND(R197,1)&amp;"~"&amp;ROUND(S197,1)</f>
        <v>779.1~842</v>
      </c>
      <c r="V197" s="190">
        <f t="shared" si="88"/>
        <v>14</v>
      </c>
      <c r="X197" s="191"/>
      <c r="Y197" s="191"/>
      <c r="Z197" s="191"/>
    </row>
    <row r="198" s="5" customFormat="1" ht="18" customHeight="1" spans="1:26">
      <c r="A198" s="7"/>
      <c r="B198" s="1"/>
      <c r="C198" s="1"/>
      <c r="D198" s="1"/>
      <c r="E198" s="126">
        <f>VLOOKUP(I194,$B$39:$Z$70,3,0)</f>
        <v>111</v>
      </c>
      <c r="F198" s="129">
        <f>VLOOKUP(I194,$B$39:$Z$70,17,0)</f>
        <v>8</v>
      </c>
      <c r="G198" s="127">
        <f>VLOOKUP(I194,$B$39:$Z$70,12,0)</f>
        <v>59</v>
      </c>
      <c r="H198" s="127" t="s">
        <v>229</v>
      </c>
      <c r="I198" s="157"/>
      <c r="J198" s="155" t="s">
        <v>285</v>
      </c>
      <c r="K198" s="158">
        <v>14</v>
      </c>
      <c r="L198" s="159"/>
      <c r="M198" s="166">
        <f>R198+2*ROUNDUP((IF(K198&lt;26,10.927,11.212))*K198/10,0)</f>
        <v>1434</v>
      </c>
      <c r="N198" s="161">
        <f>ROUNDUP(H199/12.5,0)</f>
        <v>160</v>
      </c>
      <c r="O198" s="162">
        <f t="shared" si="85"/>
        <v>2294.4</v>
      </c>
      <c r="P198" s="15">
        <f t="shared" si="86"/>
        <v>1.208</v>
      </c>
      <c r="Q198" s="187">
        <f t="shared" si="87"/>
        <v>2771.6352</v>
      </c>
      <c r="R198" s="195">
        <f>H203-I204*2</f>
        <v>1402</v>
      </c>
      <c r="S198" s="162" t="s">
        <v>286</v>
      </c>
      <c r="T198" s="196"/>
      <c r="V198" s="190">
        <f t="shared" si="88"/>
        <v>16</v>
      </c>
      <c r="X198" s="191"/>
      <c r="Y198" s="191"/>
      <c r="Z198" s="191"/>
    </row>
    <row r="199" s="5" customFormat="1" ht="18" customHeight="1" spans="1:26">
      <c r="A199" s="7"/>
      <c r="B199" s="1"/>
      <c r="C199" s="1"/>
      <c r="D199" s="1"/>
      <c r="E199" s="130" t="s">
        <v>287</v>
      </c>
      <c r="F199" s="127" t="s">
        <v>288</v>
      </c>
      <c r="G199" s="127" t="s">
        <v>289</v>
      </c>
      <c r="H199" s="131">
        <f>MAX(VLOOKUP(I194,$B$4:$J$70,4,0),VLOOKUP(I194,$B$4:$J$70,5,0))</f>
        <v>2000</v>
      </c>
      <c r="I199" s="167">
        <f>MIN(VLOOKUP(I194,$B$4:$J$70,4,0),VLOOKUP(I194,$B$4:$J$70,5,0))</f>
        <v>2000</v>
      </c>
      <c r="J199" s="155" t="s">
        <v>290</v>
      </c>
      <c r="K199" s="164">
        <v>14</v>
      </c>
      <c r="L199" s="159"/>
      <c r="M199" s="166">
        <f>R199+2*ROUNDUP((IF(K199&lt;26,10.927,11.212))*K199/10,0)</f>
        <v>281.386868351903</v>
      </c>
      <c r="N199" s="165">
        <f>ROUNDUP(H199/12.5,0)*2</f>
        <v>320</v>
      </c>
      <c r="O199" s="162">
        <f t="shared" si="85"/>
        <v>900.437978726091</v>
      </c>
      <c r="P199" s="15">
        <f t="shared" si="86"/>
        <v>1.208</v>
      </c>
      <c r="Q199" s="187">
        <f t="shared" si="87"/>
        <v>1087.72907830112</v>
      </c>
      <c r="R199" s="195">
        <f>((H201+I201-I204*2)+(20-I204*2^0.5))*(2^0.5)</f>
        <v>249.386868351903</v>
      </c>
      <c r="S199" s="162" t="s">
        <v>286</v>
      </c>
      <c r="T199" s="196"/>
      <c r="V199" s="190">
        <f t="shared" si="88"/>
        <v>16</v>
      </c>
      <c r="X199" s="191"/>
      <c r="Y199" s="191"/>
      <c r="Z199" s="191"/>
    </row>
    <row r="200" s="5" customFormat="1" ht="18" customHeight="1" spans="1:26">
      <c r="A200" s="7"/>
      <c r="B200" s="1"/>
      <c r="C200" s="1"/>
      <c r="D200" s="1"/>
      <c r="E200" s="132">
        <f>VLOOKUP(I194,$B$39:$Z$70,20,0)</f>
        <v>159</v>
      </c>
      <c r="F200" s="127">
        <f>VLOOKUP(I194,$B$39:$Z$70,23,0)</f>
        <v>159</v>
      </c>
      <c r="G200" s="127">
        <f>VLOOKUP(I194,$B$39:$Z$70,7,0)</f>
        <v>6</v>
      </c>
      <c r="H200" s="133" t="s">
        <v>291</v>
      </c>
      <c r="I200" s="157" t="s">
        <v>292</v>
      </c>
      <c r="J200" s="155" t="s">
        <v>293</v>
      </c>
      <c r="K200" s="158">
        <v>12</v>
      </c>
      <c r="L200" s="159"/>
      <c r="M200" s="166">
        <f>(R200+S200)/2+2*ROUNDUP((IF(K200&lt;26,10.927,11.212))*K200/10,0)</f>
        <v>2020</v>
      </c>
      <c r="N200" s="168">
        <f>4*(G198+1)+(G200-1)*2</f>
        <v>250</v>
      </c>
      <c r="O200" s="162">
        <f t="shared" si="85"/>
        <v>5050</v>
      </c>
      <c r="P200" s="15">
        <f t="shared" si="86"/>
        <v>0.888</v>
      </c>
      <c r="Q200" s="187">
        <f t="shared" si="87"/>
        <v>4484.4</v>
      </c>
      <c r="R200" s="188">
        <f>H199-I204*2</f>
        <v>1992</v>
      </c>
      <c r="S200" s="162">
        <f>I199-I204*2</f>
        <v>1992</v>
      </c>
      <c r="T200" s="194" t="str">
        <f>ROUND(S200,1)&amp;"~"&amp;ROUND(R200,1)</f>
        <v>1992~1992</v>
      </c>
      <c r="V200" s="190">
        <f t="shared" si="88"/>
        <v>14</v>
      </c>
      <c r="X200" s="191"/>
      <c r="Y200" s="191"/>
      <c r="Z200" s="191"/>
    </row>
    <row r="201" s="5" customFormat="1" ht="18" customHeight="1" spans="1:26">
      <c r="A201" s="7"/>
      <c r="B201" s="1"/>
      <c r="C201" s="1"/>
      <c r="D201" s="1"/>
      <c r="E201" s="134"/>
      <c r="F201" s="135"/>
      <c r="G201" s="135"/>
      <c r="H201" s="136">
        <f>VLOOKUP(I194,$B$4:$J$70,6,0)</f>
        <v>80</v>
      </c>
      <c r="I201" s="167">
        <f>VLOOKUP(I194,$B$4:$J$70,7,0)</f>
        <v>90</v>
      </c>
      <c r="J201" s="155" t="s">
        <v>294</v>
      </c>
      <c r="K201" s="158">
        <v>12</v>
      </c>
      <c r="L201" s="159"/>
      <c r="M201" s="166">
        <f>(R201+S201)/2+2*ROUNDUP((IF(K201&lt;26,10.927,11.212))*K201/10,0)</f>
        <v>2028.98750681982</v>
      </c>
      <c r="N201" s="15">
        <f>2*(E198+1)+F198*2</f>
        <v>240</v>
      </c>
      <c r="O201" s="162">
        <f t="shared" si="85"/>
        <v>4869.57001636757</v>
      </c>
      <c r="P201" s="15">
        <f t="shared" si="86"/>
        <v>0.888</v>
      </c>
      <c r="Q201" s="187">
        <f t="shared" si="87"/>
        <v>4324.1781745344</v>
      </c>
      <c r="R201" s="188">
        <f>((I197-H197)^2+H199^2)^0.5</f>
        <v>2000.98750681982</v>
      </c>
      <c r="S201" s="162">
        <f>((I197-H197)^2+I199^2)^0.5</f>
        <v>2000.98750681982</v>
      </c>
      <c r="T201" s="194" t="str">
        <f>ROUND(S201,1)&amp;"~"&amp;ROUND(R201,1)</f>
        <v>2001~2001</v>
      </c>
      <c r="V201" s="190">
        <f t="shared" si="88"/>
        <v>14</v>
      </c>
      <c r="X201" s="191"/>
      <c r="Y201" s="191"/>
      <c r="Z201" s="191"/>
    </row>
    <row r="202" s="5" customFormat="1" ht="18" customHeight="1" spans="1:26">
      <c r="A202" s="7"/>
      <c r="B202" s="1"/>
      <c r="C202" s="1"/>
      <c r="D202" s="1"/>
      <c r="E202" s="137" t="s">
        <v>295</v>
      </c>
      <c r="F202" s="138"/>
      <c r="G202" s="139"/>
      <c r="H202" s="140" t="s">
        <v>296</v>
      </c>
      <c r="I202" s="169"/>
      <c r="J202" s="155" t="s">
        <v>297</v>
      </c>
      <c r="K202" s="164">
        <v>8</v>
      </c>
      <c r="L202" s="159"/>
      <c r="M202" s="166">
        <f>R202+11</f>
        <v>93</v>
      </c>
      <c r="N202" s="170">
        <f>ROUNDDOWN(((VLOOKUP(I194,$B$39:$Z$70,2,0))/(VLOOKUP(I194,$B$39:$Z$70,4,0))-1),0)/4*((VLOOKUP(I194,$B$39:$Z$70,20,0))+1)</f>
        <v>4440</v>
      </c>
      <c r="O202" s="162">
        <f t="shared" si="85"/>
        <v>4129.2</v>
      </c>
      <c r="P202" s="15">
        <f t="shared" si="86"/>
        <v>0.395</v>
      </c>
      <c r="Q202" s="187">
        <f t="shared" si="87"/>
        <v>1631.034</v>
      </c>
      <c r="R202" s="195">
        <f>I201-2*I204</f>
        <v>82</v>
      </c>
      <c r="S202" s="162" t="s">
        <v>286</v>
      </c>
      <c r="T202" s="196"/>
      <c r="V202" s="197"/>
      <c r="X202" s="191"/>
      <c r="Y202" s="191"/>
      <c r="Z202" s="191"/>
    </row>
    <row r="203" s="5" customFormat="1" ht="18" customHeight="1" spans="1:26">
      <c r="A203" s="7"/>
      <c r="B203" s="1"/>
      <c r="C203" s="1"/>
      <c r="D203" s="1"/>
      <c r="E203" s="141" t="s">
        <v>298</v>
      </c>
      <c r="F203" s="142" t="s">
        <v>299</v>
      </c>
      <c r="G203" s="143" t="s">
        <v>300</v>
      </c>
      <c r="H203" s="140">
        <f>VLOOKUP(I194,$B$4:$J$70,8,0)</f>
        <v>1410</v>
      </c>
      <c r="I203" s="169"/>
      <c r="J203" s="155" t="s">
        <v>301</v>
      </c>
      <c r="K203" s="164">
        <v>8</v>
      </c>
      <c r="L203" s="159"/>
      <c r="M203" s="166">
        <f>R203+11</f>
        <v>83</v>
      </c>
      <c r="N203" s="171">
        <f>ROUND(E200/4*G198,0)*2</f>
        <v>4690</v>
      </c>
      <c r="O203" s="162">
        <f t="shared" si="85"/>
        <v>3892.7</v>
      </c>
      <c r="P203" s="15">
        <f t="shared" si="86"/>
        <v>0.395</v>
      </c>
      <c r="Q203" s="187">
        <f t="shared" si="87"/>
        <v>1537.6165</v>
      </c>
      <c r="R203" s="195">
        <f>H201-2*I204</f>
        <v>72</v>
      </c>
      <c r="S203" s="162" t="s">
        <v>286</v>
      </c>
      <c r="T203" s="196"/>
      <c r="V203" s="197"/>
      <c r="X203" s="191"/>
      <c r="Y203" s="191"/>
      <c r="Z203" s="191"/>
    </row>
    <row r="204" s="5" customFormat="1" ht="18" customHeight="1" spans="1:26">
      <c r="A204" s="7"/>
      <c r="B204" s="1"/>
      <c r="C204" s="1"/>
      <c r="D204" s="1"/>
      <c r="E204" s="144">
        <f>IF(I194=0,0,ROUND(((H197+I197)/2*H201*2+H203*I201+0.2*0.2+0.25*0.05*2)*(H199+I199)/2/1000000,1))</f>
        <v>486.9</v>
      </c>
      <c r="F204" s="145">
        <f>IF(I194=0,0,ROUND(Q202+Q203,1))</f>
        <v>3168.7</v>
      </c>
      <c r="G204" s="146">
        <f>IF(I194=0,0,ROUND(Q196+Q197+Q198+Q199+Q200+Q201,1))</f>
        <v>34920.9</v>
      </c>
      <c r="H204" s="147" t="s">
        <v>302</v>
      </c>
      <c r="I204" s="172">
        <f>$P$3</f>
        <v>4</v>
      </c>
      <c r="J204" s="173" t="s">
        <v>303</v>
      </c>
      <c r="K204" s="174" t="str">
        <f>"C40混凝土:"&amp;ROUND(((H197+I197)/2*H201*2+H203*I201+0.2*0.2+0.25*0.05*2)*(H199+I199)/2/1000000,1)&amp;"m"&amp;"      "&amp;"HPB300:"&amp;ROUND(Q202+Q203,1)&amp;"kg       "&amp;"HRB400:"&amp;ROUND(Q196+Q197+Q198+Q199+Q200+Q201,1)&amp;"kg"</f>
        <v>C40混凝土:486.9m      HPB300:3168.7kg       HRB400:34920.9kg</v>
      </c>
      <c r="L204" s="174"/>
      <c r="M204" s="174"/>
      <c r="N204" s="174"/>
      <c r="O204" s="174"/>
      <c r="P204" s="174"/>
      <c r="Q204" s="198"/>
      <c r="R204" s="199" t="s">
        <v>304</v>
      </c>
      <c r="S204" s="174">
        <f>ROUND(SUM(Q196:Q203)/ROUND(((H197+I197)/2*H201*2+H203*I201+0.2*0.2+0.25*0.05*2)*(H199+I199)/2/1000000,1),1)</f>
        <v>78.2</v>
      </c>
      <c r="T204" s="200"/>
      <c r="X204" s="191"/>
      <c r="Y204" s="191"/>
      <c r="Z204" s="191"/>
    </row>
    <row r="205" s="5" customFormat="1" ht="15" spans="1:15">
      <c r="A205" s="7"/>
      <c r="C205" s="1"/>
      <c r="I205" s="4"/>
      <c r="K205" s="8"/>
      <c r="O205" s="8"/>
    </row>
    <row r="206" s="5" customFormat="1" ht="9.95" customHeight="1" spans="1:22">
      <c r="A206" s="7"/>
      <c r="B206" s="206" t="str">
        <f>B15</f>
        <v>ZU12-1</v>
      </c>
      <c r="C206" s="206"/>
      <c r="D206" s="206"/>
      <c r="E206" s="10" t="s">
        <v>268</v>
      </c>
      <c r="F206" s="11"/>
      <c r="G206" s="11"/>
      <c r="H206" s="124" t="s">
        <v>269</v>
      </c>
      <c r="I206" s="151" t="str">
        <f>B206</f>
        <v>ZU12-1</v>
      </c>
      <c r="J206" s="152" t="s">
        <v>270</v>
      </c>
      <c r="K206" s="11" t="s">
        <v>271</v>
      </c>
      <c r="L206" s="11" t="s">
        <v>272</v>
      </c>
      <c r="M206" s="153" t="s">
        <v>273</v>
      </c>
      <c r="N206" s="11" t="s">
        <v>274</v>
      </c>
      <c r="O206" s="153" t="s">
        <v>275</v>
      </c>
      <c r="P206" s="153" t="s">
        <v>276</v>
      </c>
      <c r="Q206" s="179" t="s">
        <v>277</v>
      </c>
      <c r="R206" s="180" t="s">
        <v>278</v>
      </c>
      <c r="S206" s="181"/>
      <c r="T206" s="182"/>
      <c r="V206" s="1" t="s">
        <v>279</v>
      </c>
    </row>
    <row r="207" s="1" customFormat="1" ht="9.95" customHeight="1" spans="2:20">
      <c r="B207" s="206"/>
      <c r="C207" s="206"/>
      <c r="D207" s="206"/>
      <c r="E207" s="13"/>
      <c r="F207" s="15"/>
      <c r="G207" s="15"/>
      <c r="H207" s="125"/>
      <c r="I207" s="154"/>
      <c r="J207" s="155"/>
      <c r="K207" s="15"/>
      <c r="L207" s="15"/>
      <c r="M207" s="156"/>
      <c r="N207" s="15"/>
      <c r="O207" s="156"/>
      <c r="P207" s="156"/>
      <c r="Q207" s="183"/>
      <c r="R207" s="184"/>
      <c r="S207" s="185"/>
      <c r="T207" s="186"/>
    </row>
    <row r="208" s="5" customFormat="1" ht="36" customHeight="1" spans="1:26">
      <c r="A208" s="7"/>
      <c r="B208" s="206"/>
      <c r="C208" s="206"/>
      <c r="D208" s="206"/>
      <c r="E208" s="13"/>
      <c r="F208" s="15"/>
      <c r="G208" s="15"/>
      <c r="H208" s="15" t="s">
        <v>280</v>
      </c>
      <c r="I208" s="157"/>
      <c r="J208" s="155" t="s">
        <v>281</v>
      </c>
      <c r="K208" s="158">
        <f>'1.U型槽主筋验算'!K13</f>
        <v>22</v>
      </c>
      <c r="L208" s="159"/>
      <c r="M208" s="160">
        <f>(R208+S208)/2+ROUNDUP((IF(K208&lt;26,10.927,11.212))*K208/10,0)*2</f>
        <v>2971.241</v>
      </c>
      <c r="N208" s="205">
        <v>160</v>
      </c>
      <c r="O208" s="162">
        <f t="shared" ref="O208:O215" si="89">M208*N208/100</f>
        <v>4753.9856</v>
      </c>
      <c r="P208" s="15">
        <f t="shared" ref="P208:P215" si="90">ROUND(K208^2*PI()/4/1000000*7850,3)</f>
        <v>2.984</v>
      </c>
      <c r="Q208" s="187">
        <f t="shared" ref="Q208:Q215" si="91">O208*P208</f>
        <v>14185.8930304</v>
      </c>
      <c r="R208" s="188">
        <f>(H209+I213-I216*2)*2+(H215-I216*2)+(H213-I216*2)*2</f>
        <v>2858.384</v>
      </c>
      <c r="S208" s="162">
        <f>(I209+I213-I216*2)*2+(H215-I216*2)+(H213-I216*2)*2</f>
        <v>2984.098</v>
      </c>
      <c r="T208" s="189">
        <f>R210</f>
        <v>1362</v>
      </c>
      <c r="V208" s="190">
        <f t="shared" ref="V208:V213" si="92">ROUNDUP((IF(K208&lt;26,10.927,11.212))*K208/10,0)</f>
        <v>25</v>
      </c>
      <c r="X208" s="191"/>
      <c r="Y208" s="191"/>
      <c r="Z208" s="191"/>
    </row>
    <row r="209" s="5" customFormat="1" ht="18" customHeight="1" spans="1:26">
      <c r="A209" s="7"/>
      <c r="B209" s="206"/>
      <c r="C209" s="206"/>
      <c r="D209" s="206"/>
      <c r="E209" s="126" t="s">
        <v>244</v>
      </c>
      <c r="F209" s="127" t="s">
        <v>282</v>
      </c>
      <c r="G209" s="127" t="s">
        <v>283</v>
      </c>
      <c r="H209" s="128">
        <f>MIN(VLOOKUP(I206,$B$4:$J$70,2,0),VLOOKUP(I206,$B$4:$J$70,3,0))</f>
        <v>634.192</v>
      </c>
      <c r="I209" s="163">
        <f>MAX(VLOOKUP(I206,$B$4:$J$70,2,0),VLOOKUP(I206,$B$4:$J$70,3,0))</f>
        <v>697.049</v>
      </c>
      <c r="J209" s="155" t="s">
        <v>284</v>
      </c>
      <c r="K209" s="164">
        <v>12</v>
      </c>
      <c r="L209" s="159"/>
      <c r="M209" s="160">
        <f>(R209+S209)/2+ROUNDUP((IF(K209&lt;26,10.927,11.212))*K209/10,0)*2</f>
        <v>755.6205</v>
      </c>
      <c r="N209" s="165">
        <f>ROUNDUP((H211/12.5*1),0)*2</f>
        <v>320</v>
      </c>
      <c r="O209" s="162">
        <f t="shared" si="89"/>
        <v>2417.9856</v>
      </c>
      <c r="P209" s="15">
        <f t="shared" si="90"/>
        <v>0.888</v>
      </c>
      <c r="Q209" s="187">
        <f t="shared" si="91"/>
        <v>2147.1712128</v>
      </c>
      <c r="R209" s="192">
        <f>H209+I213-I216*2</f>
        <v>696.192</v>
      </c>
      <c r="S209" s="193">
        <f>I209+I213-I216*2</f>
        <v>759.049</v>
      </c>
      <c r="T209" s="194" t="str">
        <f>ROUND(R209,1)&amp;"~"&amp;ROUND(S209,1)</f>
        <v>696.2~759</v>
      </c>
      <c r="V209" s="190">
        <f t="shared" si="92"/>
        <v>14</v>
      </c>
      <c r="X209" s="191"/>
      <c r="Y209" s="191"/>
      <c r="Z209" s="191"/>
    </row>
    <row r="210" s="5" customFormat="1" ht="18" customHeight="1" spans="1:26">
      <c r="A210" s="7"/>
      <c r="B210" s="206"/>
      <c r="C210" s="206"/>
      <c r="D210" s="206"/>
      <c r="E210" s="126">
        <f>VLOOKUP(I206,$B$39:$Z$70,3,0)</f>
        <v>108</v>
      </c>
      <c r="F210" s="129">
        <f>VLOOKUP(I206,$B$39:$Z$70,17,0)</f>
        <v>8</v>
      </c>
      <c r="G210" s="127">
        <f>VLOOKUP(I206,$B$39:$Z$70,12,0)</f>
        <v>54</v>
      </c>
      <c r="H210" s="127" t="s">
        <v>229</v>
      </c>
      <c r="I210" s="157"/>
      <c r="J210" s="155" t="s">
        <v>285</v>
      </c>
      <c r="K210" s="158">
        <v>14</v>
      </c>
      <c r="L210" s="159"/>
      <c r="M210" s="166">
        <f>R210+2*ROUNDUP((IF(K210&lt;26,10.927,11.212))*K210/10,0)</f>
        <v>1394</v>
      </c>
      <c r="N210" s="161">
        <f>ROUNDUP(H211/12.5,0)</f>
        <v>160</v>
      </c>
      <c r="O210" s="162">
        <f t="shared" si="89"/>
        <v>2230.4</v>
      </c>
      <c r="P210" s="15">
        <f t="shared" si="90"/>
        <v>1.208</v>
      </c>
      <c r="Q210" s="187">
        <f t="shared" si="91"/>
        <v>2694.3232</v>
      </c>
      <c r="R210" s="195">
        <f>H215-I216*2</f>
        <v>1362</v>
      </c>
      <c r="S210" s="162" t="s">
        <v>286</v>
      </c>
      <c r="T210" s="196"/>
      <c r="V210" s="190">
        <f t="shared" si="92"/>
        <v>16</v>
      </c>
      <c r="X210" s="191"/>
      <c r="Y210" s="191"/>
      <c r="Z210" s="191"/>
    </row>
    <row r="211" s="5" customFormat="1" ht="18" customHeight="1" spans="1:26">
      <c r="A211" s="7"/>
      <c r="B211" s="206"/>
      <c r="C211" s="206"/>
      <c r="D211" s="206"/>
      <c r="E211" s="130" t="s">
        <v>287</v>
      </c>
      <c r="F211" s="127" t="s">
        <v>288</v>
      </c>
      <c r="G211" s="127" t="s">
        <v>289</v>
      </c>
      <c r="H211" s="131">
        <f>MAX(VLOOKUP(I206,$B$4:$J$70,4,0),VLOOKUP(I206,$B$4:$J$70,5,0))</f>
        <v>2000</v>
      </c>
      <c r="I211" s="167">
        <f>MIN(VLOOKUP(I206,$B$4:$J$70,4,0),VLOOKUP(I206,$B$4:$J$70,5,0))</f>
        <v>2000</v>
      </c>
      <c r="J211" s="155" t="s">
        <v>290</v>
      </c>
      <c r="K211" s="164">
        <v>14</v>
      </c>
      <c r="L211" s="159"/>
      <c r="M211" s="166">
        <f>R211+2*ROUNDUP((IF(K211&lt;26,10.927,11.212))*K211/10,0)</f>
        <v>224.81832585698</v>
      </c>
      <c r="N211" s="165">
        <f>ROUNDUP(H211/12.5,0)*2</f>
        <v>320</v>
      </c>
      <c r="O211" s="162">
        <f t="shared" si="89"/>
        <v>719.418642742334</v>
      </c>
      <c r="P211" s="15">
        <f t="shared" si="90"/>
        <v>1.208</v>
      </c>
      <c r="Q211" s="187">
        <f t="shared" si="91"/>
        <v>869.05772043274</v>
      </c>
      <c r="R211" s="195">
        <f>((H213+I213-I216*2)+(20-I216*2^0.5))*(2^0.5)</f>
        <v>192.81832585698</v>
      </c>
      <c r="S211" s="162" t="s">
        <v>286</v>
      </c>
      <c r="T211" s="196"/>
      <c r="V211" s="190">
        <f t="shared" si="92"/>
        <v>16</v>
      </c>
      <c r="X211" s="191"/>
      <c r="Y211" s="191"/>
      <c r="Z211" s="191"/>
    </row>
    <row r="212" s="5" customFormat="1" ht="18" customHeight="1" spans="1:26">
      <c r="A212" s="7"/>
      <c r="B212" s="206"/>
      <c r="C212" s="206"/>
      <c r="D212" s="206"/>
      <c r="E212" s="132">
        <f>VLOOKUP(I206,$B$39:$Z$70,20,0)</f>
        <v>159</v>
      </c>
      <c r="F212" s="127">
        <f>VLOOKUP(I206,$B$39:$Z$70,23,0)</f>
        <v>159</v>
      </c>
      <c r="G212" s="127">
        <f>VLOOKUP(I206,$B$39:$Z$70,7,0)</f>
        <v>6</v>
      </c>
      <c r="H212" s="133" t="s">
        <v>291</v>
      </c>
      <c r="I212" s="157" t="s">
        <v>292</v>
      </c>
      <c r="J212" s="155" t="s">
        <v>293</v>
      </c>
      <c r="K212" s="158">
        <v>12</v>
      </c>
      <c r="L212" s="159"/>
      <c r="M212" s="166">
        <f>(R212+S212)/2+2*ROUNDUP((IF(K212&lt;26,10.927,11.212))*K212/10,0)</f>
        <v>2020</v>
      </c>
      <c r="N212" s="168">
        <f>4*(G210+1)+(G212-1)*2</f>
        <v>230</v>
      </c>
      <c r="O212" s="162">
        <f t="shared" si="89"/>
        <v>4646</v>
      </c>
      <c r="P212" s="15">
        <f t="shared" si="90"/>
        <v>0.888</v>
      </c>
      <c r="Q212" s="187">
        <f t="shared" si="91"/>
        <v>4125.648</v>
      </c>
      <c r="R212" s="188">
        <f>H211-I216*2</f>
        <v>1992</v>
      </c>
      <c r="S212" s="162">
        <f>I211-I216*2</f>
        <v>1992</v>
      </c>
      <c r="T212" s="194" t="str">
        <f>ROUND(S212,1)&amp;"~"&amp;ROUND(R212,1)</f>
        <v>1992~1992</v>
      </c>
      <c r="V212" s="190">
        <f t="shared" si="92"/>
        <v>14</v>
      </c>
      <c r="X212" s="191"/>
      <c r="Y212" s="191"/>
      <c r="Z212" s="191"/>
    </row>
    <row r="213" s="5" customFormat="1" ht="18" customHeight="1" spans="1:26">
      <c r="A213" s="7"/>
      <c r="B213" s="206"/>
      <c r="C213" s="206"/>
      <c r="D213" s="206"/>
      <c r="E213" s="134"/>
      <c r="F213" s="135"/>
      <c r="G213" s="135"/>
      <c r="H213" s="136">
        <f>VLOOKUP(I206,$B$4:$J$70,6,0)</f>
        <v>60</v>
      </c>
      <c r="I213" s="167">
        <f>VLOOKUP(I206,$B$4:$J$70,7,0)</f>
        <v>70</v>
      </c>
      <c r="J213" s="155" t="s">
        <v>294</v>
      </c>
      <c r="K213" s="158">
        <v>12</v>
      </c>
      <c r="L213" s="159"/>
      <c r="M213" s="166">
        <f>(R213+S213)/2+2*ROUNDUP((IF(K213&lt;26,10.927,11.212))*K213/10,0)</f>
        <v>2028.98750681982</v>
      </c>
      <c r="N213" s="15">
        <f>2*(E210+1)+F210*2</f>
        <v>234</v>
      </c>
      <c r="O213" s="162">
        <f t="shared" si="89"/>
        <v>4747.83076595838</v>
      </c>
      <c r="P213" s="15">
        <f t="shared" si="90"/>
        <v>0.888</v>
      </c>
      <c r="Q213" s="187">
        <f t="shared" si="91"/>
        <v>4216.07372017104</v>
      </c>
      <c r="R213" s="188">
        <f>((I209-H209)^2+H211^2)^0.5</f>
        <v>2000.98750681982</v>
      </c>
      <c r="S213" s="162">
        <f>((I209-H209)^2+I211^2)^0.5</f>
        <v>2000.98750681982</v>
      </c>
      <c r="T213" s="194" t="str">
        <f>ROUND(S213,1)&amp;"~"&amp;ROUND(R213,1)</f>
        <v>2001~2001</v>
      </c>
      <c r="V213" s="190">
        <f t="shared" si="92"/>
        <v>14</v>
      </c>
      <c r="X213" s="191"/>
      <c r="Y213" s="191"/>
      <c r="Z213" s="191"/>
    </row>
    <row r="214" s="5" customFormat="1" ht="18" customHeight="1" spans="1:26">
      <c r="A214" s="7"/>
      <c r="B214" s="206"/>
      <c r="C214" s="206"/>
      <c r="D214" s="206"/>
      <c r="E214" s="137" t="s">
        <v>295</v>
      </c>
      <c r="F214" s="138"/>
      <c r="G214" s="139"/>
      <c r="H214" s="140" t="s">
        <v>296</v>
      </c>
      <c r="I214" s="169"/>
      <c r="J214" s="155" t="s">
        <v>297</v>
      </c>
      <c r="K214" s="164">
        <v>8</v>
      </c>
      <c r="L214" s="159"/>
      <c r="M214" s="166">
        <f>R214+11</f>
        <v>73</v>
      </c>
      <c r="N214" s="170">
        <f>ROUNDDOWN(((VLOOKUP(I206,$B$39:$Z$70,2,0))/(VLOOKUP(I206,$B$39:$Z$70,4,0))-1),0)/4*((VLOOKUP(I206,$B$39:$Z$70,20,0))+1)</f>
        <v>4320</v>
      </c>
      <c r="O214" s="162">
        <f t="shared" si="89"/>
        <v>3153.6</v>
      </c>
      <c r="P214" s="15">
        <f t="shared" si="90"/>
        <v>0.395</v>
      </c>
      <c r="Q214" s="187">
        <f t="shared" si="91"/>
        <v>1245.672</v>
      </c>
      <c r="R214" s="195">
        <f>I213-2*I216</f>
        <v>62</v>
      </c>
      <c r="S214" s="162" t="s">
        <v>286</v>
      </c>
      <c r="T214" s="196"/>
      <c r="V214" s="197"/>
      <c r="X214" s="191"/>
      <c r="Y214" s="191"/>
      <c r="Z214" s="191"/>
    </row>
    <row r="215" s="5" customFormat="1" ht="18" customHeight="1" spans="1:26">
      <c r="A215" s="7"/>
      <c r="B215" s="206"/>
      <c r="C215" s="206"/>
      <c r="D215" s="206"/>
      <c r="E215" s="141" t="s">
        <v>298</v>
      </c>
      <c r="F215" s="142" t="s">
        <v>299</v>
      </c>
      <c r="G215" s="143" t="s">
        <v>300</v>
      </c>
      <c r="H215" s="140">
        <f>VLOOKUP(I206,$B$4:$J$70,8,0)</f>
        <v>1370</v>
      </c>
      <c r="I215" s="169"/>
      <c r="J215" s="155" t="s">
        <v>301</v>
      </c>
      <c r="K215" s="164">
        <v>8</v>
      </c>
      <c r="L215" s="159"/>
      <c r="M215" s="166">
        <f>R215+11</f>
        <v>63</v>
      </c>
      <c r="N215" s="171">
        <f>ROUND(E212/4*G210,0)*2</f>
        <v>4294</v>
      </c>
      <c r="O215" s="162">
        <f t="shared" si="89"/>
        <v>2705.22</v>
      </c>
      <c r="P215" s="15">
        <f t="shared" si="90"/>
        <v>0.395</v>
      </c>
      <c r="Q215" s="187">
        <f t="shared" si="91"/>
        <v>1068.5619</v>
      </c>
      <c r="R215" s="195">
        <f>H213-2*I216</f>
        <v>52</v>
      </c>
      <c r="S215" s="162" t="s">
        <v>286</v>
      </c>
      <c r="T215" s="196"/>
      <c r="V215" s="197"/>
      <c r="X215" s="191"/>
      <c r="Y215" s="191"/>
      <c r="Z215" s="191"/>
    </row>
    <row r="216" s="5" customFormat="1" ht="18" customHeight="1" spans="1:26">
      <c r="A216" s="7"/>
      <c r="B216" s="206"/>
      <c r="C216" s="206"/>
      <c r="D216" s="206"/>
      <c r="E216" s="144">
        <f>IF(I206=0,0,ROUND(((H209+I209)/2*H213*2+H215*I213+0.2*0.2+0.25*0.05*2)*(H211+I211)/2/1000000,1))</f>
        <v>351.5</v>
      </c>
      <c r="F216" s="145">
        <f>IF(I206=0,0,ROUND(Q214+Q215,1))</f>
        <v>2314.2</v>
      </c>
      <c r="G216" s="146">
        <f>IF(I206=0,0,ROUND(Q208+Q209+Q210+Q211+Q212+Q213,1))</f>
        <v>28238.2</v>
      </c>
      <c r="H216" s="147" t="s">
        <v>302</v>
      </c>
      <c r="I216" s="172">
        <f>$P$3</f>
        <v>4</v>
      </c>
      <c r="J216" s="173" t="s">
        <v>303</v>
      </c>
      <c r="K216" s="174" t="str">
        <f>"C40混凝土:"&amp;ROUND(((H209+I209)/2*H213*2+H215*I213+0.2*0.2+0.25*0.05*2)*(H211+I211)/2/1000000,1)&amp;"m"&amp;"      "&amp;"HPB300:"&amp;ROUND(Q214+Q215,1)&amp;"kg       "&amp;"HRB400:"&amp;ROUND(Q208+Q209+Q210+Q211+Q212+Q213,1)&amp;"kg"</f>
        <v>C40混凝土:351.5m      HPB300:2314.2kg       HRB400:28238.2kg</v>
      </c>
      <c r="L216" s="174"/>
      <c r="M216" s="174"/>
      <c r="N216" s="174"/>
      <c r="O216" s="174"/>
      <c r="P216" s="174"/>
      <c r="Q216" s="198"/>
      <c r="R216" s="199" t="s">
        <v>304</v>
      </c>
      <c r="S216" s="174">
        <f>ROUND(SUM(Q208:Q215)/ROUND(((H209+I209)/2*H213*2+H215*I213+0.2*0.2+0.25*0.05*2)*(H211+I211)/2/1000000,1),1)</f>
        <v>86.9</v>
      </c>
      <c r="T216" s="200"/>
      <c r="X216" s="191"/>
      <c r="Y216" s="191"/>
      <c r="Z216" s="191"/>
    </row>
    <row r="217" s="5" customFormat="1" ht="15" spans="1:15">
      <c r="A217" s="7"/>
      <c r="C217" s="1"/>
      <c r="I217" s="4"/>
      <c r="K217" s="8"/>
      <c r="O217" s="8"/>
    </row>
    <row r="218" s="5" customFormat="1" ht="9.95" customHeight="1" spans="1:22">
      <c r="A218" s="7"/>
      <c r="B218" s="1" t="str">
        <f>B16</f>
        <v>ZU13-1</v>
      </c>
      <c r="C218" s="1"/>
      <c r="D218" s="1"/>
      <c r="E218" s="10" t="s">
        <v>268</v>
      </c>
      <c r="F218" s="11"/>
      <c r="G218" s="11"/>
      <c r="H218" s="124" t="s">
        <v>269</v>
      </c>
      <c r="I218" s="151" t="str">
        <f>B218</f>
        <v>ZU13-1</v>
      </c>
      <c r="J218" s="152" t="s">
        <v>270</v>
      </c>
      <c r="K218" s="11" t="s">
        <v>271</v>
      </c>
      <c r="L218" s="11" t="s">
        <v>272</v>
      </c>
      <c r="M218" s="153" t="s">
        <v>273</v>
      </c>
      <c r="N218" s="11" t="s">
        <v>274</v>
      </c>
      <c r="O218" s="153" t="s">
        <v>275</v>
      </c>
      <c r="P218" s="153" t="s">
        <v>276</v>
      </c>
      <c r="Q218" s="179" t="s">
        <v>277</v>
      </c>
      <c r="R218" s="180" t="s">
        <v>278</v>
      </c>
      <c r="S218" s="181"/>
      <c r="T218" s="182"/>
      <c r="V218" s="1" t="s">
        <v>279</v>
      </c>
    </row>
    <row r="219" s="1" customFormat="1" ht="9.95" customHeight="1" spans="5:20">
      <c r="E219" s="13"/>
      <c r="F219" s="15"/>
      <c r="G219" s="15"/>
      <c r="H219" s="125"/>
      <c r="I219" s="154"/>
      <c r="J219" s="155"/>
      <c r="K219" s="15"/>
      <c r="L219" s="15"/>
      <c r="M219" s="156"/>
      <c r="N219" s="15"/>
      <c r="O219" s="156"/>
      <c r="P219" s="156"/>
      <c r="Q219" s="183"/>
      <c r="R219" s="184"/>
      <c r="S219" s="185"/>
      <c r="T219" s="186"/>
    </row>
    <row r="220" s="5" customFormat="1" ht="36" customHeight="1" spans="1:26">
      <c r="A220" s="7"/>
      <c r="B220" s="1"/>
      <c r="C220" s="1"/>
      <c r="D220" s="1"/>
      <c r="E220" s="13"/>
      <c r="F220" s="15"/>
      <c r="G220" s="15"/>
      <c r="H220" s="15" t="s">
        <v>280</v>
      </c>
      <c r="I220" s="157"/>
      <c r="J220" s="155" t="s">
        <v>281</v>
      </c>
      <c r="K220" s="158">
        <f>'1.U型槽主筋验算'!K14</f>
        <v>20</v>
      </c>
      <c r="L220" s="159"/>
      <c r="M220" s="160">
        <f>(R220+S220)/2+ROUNDUP((IF(K220&lt;26,10.927,11.212))*K220/10,0)*2</f>
        <v>2839.339</v>
      </c>
      <c r="N220" s="205">
        <v>160</v>
      </c>
      <c r="O220" s="162">
        <f t="shared" ref="O220:O227" si="93">M220*N220/100</f>
        <v>4542.9424</v>
      </c>
      <c r="P220" s="15">
        <f t="shared" ref="P220:P227" si="94">ROUND(K220^2*PI()/4/1000000*7850,3)</f>
        <v>2.466</v>
      </c>
      <c r="Q220" s="187">
        <f t="shared" ref="Q220:Q227" si="95">O220*P220</f>
        <v>11202.8959584</v>
      </c>
      <c r="R220" s="188">
        <f>(H221+I225-I228*2)*2+(H227-I228*2)+(H225-I228*2)*2</f>
        <v>2732.482</v>
      </c>
      <c r="S220" s="162">
        <f>(I221+I225-I228*2)*2+(H227-I228*2)+(H225-I228*2)*2</f>
        <v>2858.196</v>
      </c>
      <c r="T220" s="189">
        <f>R222</f>
        <v>1362</v>
      </c>
      <c r="V220" s="190">
        <f t="shared" ref="V220:V225" si="96">ROUNDUP((IF(K220&lt;26,10.927,11.212))*K220/10,0)</f>
        <v>22</v>
      </c>
      <c r="X220" s="191"/>
      <c r="Y220" s="191"/>
      <c r="Z220" s="191"/>
    </row>
    <row r="221" s="5" customFormat="1" ht="18" customHeight="1" spans="1:26">
      <c r="A221" s="7"/>
      <c r="B221" s="1"/>
      <c r="C221" s="1"/>
      <c r="D221" s="1"/>
      <c r="E221" s="126" t="s">
        <v>244</v>
      </c>
      <c r="F221" s="127" t="s">
        <v>282</v>
      </c>
      <c r="G221" s="127" t="s">
        <v>283</v>
      </c>
      <c r="H221" s="128">
        <f>MIN(VLOOKUP(I218,$B$4:$J$70,2,0),VLOOKUP(I218,$B$4:$J$70,3,0))</f>
        <v>571.241</v>
      </c>
      <c r="I221" s="163">
        <f>MAX(VLOOKUP(I218,$B$4:$J$70,2,0),VLOOKUP(I218,$B$4:$J$70,3,0))</f>
        <v>634.098</v>
      </c>
      <c r="J221" s="155" t="s">
        <v>284</v>
      </c>
      <c r="K221" s="164">
        <v>12</v>
      </c>
      <c r="L221" s="159"/>
      <c r="M221" s="160">
        <f>(R221+S221)/2+ROUNDUP((IF(K221&lt;26,10.927,11.212))*K221/10,0)*2</f>
        <v>692.6695</v>
      </c>
      <c r="N221" s="165">
        <f>ROUNDUP((H223/12.5*1),0)*2</f>
        <v>320</v>
      </c>
      <c r="O221" s="162">
        <f t="shared" si="93"/>
        <v>2216.5424</v>
      </c>
      <c r="P221" s="15">
        <f t="shared" si="94"/>
        <v>0.888</v>
      </c>
      <c r="Q221" s="187">
        <f t="shared" si="95"/>
        <v>1968.2896512</v>
      </c>
      <c r="R221" s="192">
        <f>H221+I225-I228*2</f>
        <v>633.241</v>
      </c>
      <c r="S221" s="193">
        <f>I221+I225-I228*2</f>
        <v>696.098</v>
      </c>
      <c r="T221" s="194" t="str">
        <f>ROUND(R221,1)&amp;"~"&amp;ROUND(S221,1)</f>
        <v>633.2~696.1</v>
      </c>
      <c r="V221" s="190">
        <f t="shared" si="96"/>
        <v>14</v>
      </c>
      <c r="X221" s="191"/>
      <c r="Y221" s="191"/>
      <c r="Z221" s="191"/>
    </row>
    <row r="222" s="5" customFormat="1" ht="18" customHeight="1" spans="1:26">
      <c r="A222" s="7"/>
      <c r="B222" s="1"/>
      <c r="C222" s="1"/>
      <c r="D222" s="1"/>
      <c r="E222" s="126">
        <f>VLOOKUP(I218,$B$39:$Z$70,3,0)</f>
        <v>108</v>
      </c>
      <c r="F222" s="129">
        <f>VLOOKUP(I218,$B$39:$Z$70,17,0)</f>
        <v>6</v>
      </c>
      <c r="G222" s="127">
        <f>VLOOKUP(I218,$B$39:$Z$70,12,0)</f>
        <v>49</v>
      </c>
      <c r="H222" s="127" t="s">
        <v>229</v>
      </c>
      <c r="I222" s="157"/>
      <c r="J222" s="155" t="s">
        <v>285</v>
      </c>
      <c r="K222" s="158">
        <v>14</v>
      </c>
      <c r="L222" s="159"/>
      <c r="M222" s="166">
        <f>R222+2*ROUNDUP((IF(K222&lt;26,10.927,11.212))*K222/10,0)</f>
        <v>1394</v>
      </c>
      <c r="N222" s="161">
        <f>ROUNDUP(H223/12.5,0)</f>
        <v>160</v>
      </c>
      <c r="O222" s="162">
        <f t="shared" si="93"/>
        <v>2230.4</v>
      </c>
      <c r="P222" s="15">
        <f t="shared" si="94"/>
        <v>1.208</v>
      </c>
      <c r="Q222" s="187">
        <f t="shared" si="95"/>
        <v>2694.3232</v>
      </c>
      <c r="R222" s="195">
        <f>H227-I228*2</f>
        <v>1362</v>
      </c>
      <c r="S222" s="162" t="s">
        <v>286</v>
      </c>
      <c r="T222" s="196"/>
      <c r="V222" s="190">
        <f t="shared" si="96"/>
        <v>16</v>
      </c>
      <c r="X222" s="191"/>
      <c r="Y222" s="191"/>
      <c r="Z222" s="191"/>
    </row>
    <row r="223" s="5" customFormat="1" ht="18" customHeight="1" spans="1:26">
      <c r="A223" s="7"/>
      <c r="B223" s="1"/>
      <c r="C223" s="1"/>
      <c r="D223" s="1"/>
      <c r="E223" s="130" t="s">
        <v>287</v>
      </c>
      <c r="F223" s="127" t="s">
        <v>288</v>
      </c>
      <c r="G223" s="127" t="s">
        <v>289</v>
      </c>
      <c r="H223" s="131">
        <f>MAX(VLOOKUP(I218,$B$4:$J$70,4,0),VLOOKUP(I218,$B$4:$J$70,5,0))</f>
        <v>2000</v>
      </c>
      <c r="I223" s="167">
        <f>MIN(VLOOKUP(I218,$B$4:$J$70,4,0),VLOOKUP(I218,$B$4:$J$70,5,0))</f>
        <v>2000</v>
      </c>
      <c r="J223" s="155" t="s">
        <v>290</v>
      </c>
      <c r="K223" s="164">
        <v>14</v>
      </c>
      <c r="L223" s="159"/>
      <c r="M223" s="166">
        <f>R223+2*ROUNDUP((IF(K223&lt;26,10.927,11.212))*K223/10,0)</f>
        <v>224.81832585698</v>
      </c>
      <c r="N223" s="165">
        <f>ROUNDUP(H223/12.5,0)*2</f>
        <v>320</v>
      </c>
      <c r="O223" s="162">
        <f t="shared" si="93"/>
        <v>719.418642742334</v>
      </c>
      <c r="P223" s="15">
        <f t="shared" si="94"/>
        <v>1.208</v>
      </c>
      <c r="Q223" s="187">
        <f t="shared" si="95"/>
        <v>869.05772043274</v>
      </c>
      <c r="R223" s="195">
        <f>((H225+I225-I228*2)+(20-I228*2^0.5))*(2^0.5)</f>
        <v>192.81832585698</v>
      </c>
      <c r="S223" s="162" t="s">
        <v>286</v>
      </c>
      <c r="T223" s="196"/>
      <c r="V223" s="190">
        <f t="shared" si="96"/>
        <v>16</v>
      </c>
      <c r="X223" s="191"/>
      <c r="Y223" s="191"/>
      <c r="Z223" s="191"/>
    </row>
    <row r="224" s="5" customFormat="1" ht="18" customHeight="1" spans="1:26">
      <c r="A224" s="7"/>
      <c r="B224" s="1"/>
      <c r="C224" s="1"/>
      <c r="D224" s="1"/>
      <c r="E224" s="132">
        <f>VLOOKUP(I218,$B$39:$Z$70,20,0)</f>
        <v>159</v>
      </c>
      <c r="F224" s="127">
        <f>VLOOKUP(I218,$B$39:$Z$70,23,0)</f>
        <v>159</v>
      </c>
      <c r="G224" s="127">
        <f>VLOOKUP(I218,$B$39:$Z$70,7,0)</f>
        <v>6</v>
      </c>
      <c r="H224" s="133" t="s">
        <v>291</v>
      </c>
      <c r="I224" s="157" t="s">
        <v>292</v>
      </c>
      <c r="J224" s="155" t="s">
        <v>293</v>
      </c>
      <c r="K224" s="158">
        <v>12</v>
      </c>
      <c r="L224" s="159"/>
      <c r="M224" s="166">
        <f>(R224+S224)/2+2*ROUNDUP((IF(K224&lt;26,10.927,11.212))*K224/10,0)</f>
        <v>2020</v>
      </c>
      <c r="N224" s="168">
        <f>4*(G222+1)+(G224-1)*2</f>
        <v>210</v>
      </c>
      <c r="O224" s="162">
        <f t="shared" si="93"/>
        <v>4242</v>
      </c>
      <c r="P224" s="15">
        <f t="shared" si="94"/>
        <v>0.888</v>
      </c>
      <c r="Q224" s="187">
        <f t="shared" si="95"/>
        <v>3766.896</v>
      </c>
      <c r="R224" s="188">
        <f>H223-I228*2</f>
        <v>1992</v>
      </c>
      <c r="S224" s="162">
        <f>I223-I228*2</f>
        <v>1992</v>
      </c>
      <c r="T224" s="194" t="str">
        <f>ROUND(S224,1)&amp;"~"&amp;ROUND(R224,1)</f>
        <v>1992~1992</v>
      </c>
      <c r="V224" s="190">
        <f t="shared" si="96"/>
        <v>14</v>
      </c>
      <c r="X224" s="191"/>
      <c r="Y224" s="191"/>
      <c r="Z224" s="191"/>
    </row>
    <row r="225" s="5" customFormat="1" ht="18" customHeight="1" spans="1:26">
      <c r="A225" s="7"/>
      <c r="B225" s="1"/>
      <c r="C225" s="1"/>
      <c r="D225" s="1"/>
      <c r="E225" s="134"/>
      <c r="F225" s="135"/>
      <c r="G225" s="135"/>
      <c r="H225" s="136">
        <f>VLOOKUP(I218,$B$4:$J$70,6,0)</f>
        <v>60</v>
      </c>
      <c r="I225" s="167">
        <f>VLOOKUP(I218,$B$4:$J$70,7,0)</f>
        <v>70</v>
      </c>
      <c r="J225" s="155" t="s">
        <v>294</v>
      </c>
      <c r="K225" s="158">
        <v>12</v>
      </c>
      <c r="L225" s="159"/>
      <c r="M225" s="166">
        <f>(R225+S225)/2+2*ROUNDUP((IF(K225&lt;26,10.927,11.212))*K225/10,0)</f>
        <v>2028.98750681982</v>
      </c>
      <c r="N225" s="15">
        <f>2*(E222+1)+F222*2</f>
        <v>230</v>
      </c>
      <c r="O225" s="162">
        <f t="shared" si="93"/>
        <v>4666.67126568559</v>
      </c>
      <c r="P225" s="15">
        <f t="shared" si="94"/>
        <v>0.888</v>
      </c>
      <c r="Q225" s="187">
        <f t="shared" si="95"/>
        <v>4144.0040839288</v>
      </c>
      <c r="R225" s="188">
        <f>((I221-H221)^2+H223^2)^0.5</f>
        <v>2000.98750681982</v>
      </c>
      <c r="S225" s="162">
        <f>((I221-H221)^2+I223^2)^0.5</f>
        <v>2000.98750681982</v>
      </c>
      <c r="T225" s="194" t="str">
        <f>ROUND(S225,1)&amp;"~"&amp;ROUND(R225,1)</f>
        <v>2001~2001</v>
      </c>
      <c r="V225" s="190">
        <f t="shared" si="96"/>
        <v>14</v>
      </c>
      <c r="X225" s="191"/>
      <c r="Y225" s="191"/>
      <c r="Z225" s="191"/>
    </row>
    <row r="226" s="5" customFormat="1" ht="18" customHeight="1" spans="1:26">
      <c r="A226" s="7"/>
      <c r="B226" s="1"/>
      <c r="C226" s="1"/>
      <c r="D226" s="1"/>
      <c r="E226" s="137" t="s">
        <v>295</v>
      </c>
      <c r="F226" s="138"/>
      <c r="G226" s="139"/>
      <c r="H226" s="140" t="s">
        <v>296</v>
      </c>
      <c r="I226" s="169"/>
      <c r="J226" s="155" t="s">
        <v>297</v>
      </c>
      <c r="K226" s="164">
        <v>8</v>
      </c>
      <c r="L226" s="159"/>
      <c r="M226" s="166">
        <f>R226+11</f>
        <v>73</v>
      </c>
      <c r="N226" s="170">
        <f>ROUNDDOWN(((VLOOKUP(I218,$B$39:$Z$70,2,0))/(VLOOKUP(I218,$B$39:$Z$70,4,0))-1),0)/4*((VLOOKUP(I218,$B$39:$Z$70,20,0))+1)</f>
        <v>4320</v>
      </c>
      <c r="O226" s="162">
        <f t="shared" si="93"/>
        <v>3153.6</v>
      </c>
      <c r="P226" s="15">
        <f t="shared" si="94"/>
        <v>0.395</v>
      </c>
      <c r="Q226" s="187">
        <f t="shared" si="95"/>
        <v>1245.672</v>
      </c>
      <c r="R226" s="195">
        <f>I225-2*I228</f>
        <v>62</v>
      </c>
      <c r="S226" s="162" t="s">
        <v>286</v>
      </c>
      <c r="T226" s="196"/>
      <c r="V226" s="197"/>
      <c r="X226" s="191"/>
      <c r="Y226" s="191"/>
      <c r="Z226" s="191"/>
    </row>
    <row r="227" s="5" customFormat="1" ht="18" customHeight="1" spans="1:26">
      <c r="A227" s="7"/>
      <c r="B227" s="1"/>
      <c r="C227" s="1"/>
      <c r="D227" s="1"/>
      <c r="E227" s="141" t="s">
        <v>298</v>
      </c>
      <c r="F227" s="142" t="s">
        <v>299</v>
      </c>
      <c r="G227" s="143" t="s">
        <v>300</v>
      </c>
      <c r="H227" s="140">
        <f>VLOOKUP(I218,$B$4:$J$70,8,0)</f>
        <v>1370</v>
      </c>
      <c r="I227" s="169"/>
      <c r="J227" s="155" t="s">
        <v>301</v>
      </c>
      <c r="K227" s="164">
        <v>8</v>
      </c>
      <c r="L227" s="159"/>
      <c r="M227" s="166">
        <f>R227+11</f>
        <v>63</v>
      </c>
      <c r="N227" s="171">
        <f>ROUND(E224/4*G222,0)*2</f>
        <v>3896</v>
      </c>
      <c r="O227" s="162">
        <f t="shared" si="93"/>
        <v>2454.48</v>
      </c>
      <c r="P227" s="15">
        <f t="shared" si="94"/>
        <v>0.395</v>
      </c>
      <c r="Q227" s="187">
        <f t="shared" si="95"/>
        <v>969.5196</v>
      </c>
      <c r="R227" s="195">
        <f>H225-2*I228</f>
        <v>52</v>
      </c>
      <c r="S227" s="162" t="s">
        <v>286</v>
      </c>
      <c r="T227" s="196"/>
      <c r="V227" s="197"/>
      <c r="X227" s="191"/>
      <c r="Y227" s="191"/>
      <c r="Z227" s="191"/>
    </row>
    <row r="228" s="5" customFormat="1" ht="18" customHeight="1" spans="1:26">
      <c r="A228" s="7"/>
      <c r="B228" s="1"/>
      <c r="C228" s="1"/>
      <c r="D228" s="1"/>
      <c r="E228" s="144">
        <f>IF(I218=0,0,ROUND(((H221+I221)/2*H225*2+H227*I225+0.2*0.2+0.25*0.05*2)*(H223+I223)/2/1000000,1))</f>
        <v>336.4</v>
      </c>
      <c r="F228" s="145">
        <f>IF(I218=0,0,ROUND(Q226+Q227,1))</f>
        <v>2215.2</v>
      </c>
      <c r="G228" s="146">
        <f>IF(I218=0,0,ROUND(Q220+Q221+Q222+Q223+Q224+Q225,1))</f>
        <v>24645.5</v>
      </c>
      <c r="H228" s="147" t="s">
        <v>302</v>
      </c>
      <c r="I228" s="172">
        <f>$P$3</f>
        <v>4</v>
      </c>
      <c r="J228" s="173" t="s">
        <v>303</v>
      </c>
      <c r="K228" s="174" t="str">
        <f>"C40混凝土:"&amp;ROUND(((H221+I221)/2*H225*2+H227*I225+0.2*0.2+0.25*0.05*2)*(H223+I223)/2/1000000,1)&amp;"m"&amp;"      "&amp;"HPB300:"&amp;ROUND(Q226+Q227,1)&amp;"kg       "&amp;"HRB400:"&amp;ROUND(Q220+Q221+Q222+Q223+Q224+Q225,1)&amp;"kg"</f>
        <v>C40混凝土:336.4m      HPB300:2215.2kg       HRB400:24645.5kg</v>
      </c>
      <c r="L228" s="174"/>
      <c r="M228" s="174"/>
      <c r="N228" s="174"/>
      <c r="O228" s="174"/>
      <c r="P228" s="174"/>
      <c r="Q228" s="198"/>
      <c r="R228" s="199" t="s">
        <v>304</v>
      </c>
      <c r="S228" s="174">
        <f>ROUND(SUM(Q220:Q227)/ROUND(((H221+I221)/2*H225*2+H227*I225+0.2*0.2+0.25*0.05*2)*(H223+I223)/2/1000000,1),1)</f>
        <v>79.8</v>
      </c>
      <c r="T228" s="200"/>
      <c r="X228" s="191"/>
      <c r="Y228" s="191"/>
      <c r="Z228" s="191"/>
    </row>
    <row r="229" s="5" customFormat="1" ht="15" spans="1:15">
      <c r="A229" s="7"/>
      <c r="C229" s="1"/>
      <c r="I229" s="4"/>
      <c r="K229" s="8"/>
      <c r="O229" s="8"/>
    </row>
    <row r="230" s="5" customFormat="1" ht="9.95" customHeight="1" spans="1:22">
      <c r="A230" s="7"/>
      <c r="B230" s="203" t="str">
        <f>B17</f>
        <v>ZU14-1</v>
      </c>
      <c r="C230" s="203"/>
      <c r="D230" s="203"/>
      <c r="E230" s="10" t="s">
        <v>268</v>
      </c>
      <c r="F230" s="11"/>
      <c r="G230" s="11"/>
      <c r="H230" s="124" t="s">
        <v>269</v>
      </c>
      <c r="I230" s="151" t="str">
        <f>B230</f>
        <v>ZU14-1</v>
      </c>
      <c r="J230" s="152" t="s">
        <v>270</v>
      </c>
      <c r="K230" s="11" t="s">
        <v>271</v>
      </c>
      <c r="L230" s="11" t="s">
        <v>272</v>
      </c>
      <c r="M230" s="153" t="s">
        <v>273</v>
      </c>
      <c r="N230" s="11" t="s">
        <v>274</v>
      </c>
      <c r="O230" s="153" t="s">
        <v>275</v>
      </c>
      <c r="P230" s="153" t="s">
        <v>276</v>
      </c>
      <c r="Q230" s="179" t="s">
        <v>277</v>
      </c>
      <c r="R230" s="180" t="s">
        <v>278</v>
      </c>
      <c r="S230" s="181"/>
      <c r="T230" s="182"/>
      <c r="V230" s="1" t="s">
        <v>279</v>
      </c>
    </row>
    <row r="231" s="1" customFormat="1" ht="9.95" customHeight="1" spans="2:20">
      <c r="B231" s="203"/>
      <c r="C231" s="203"/>
      <c r="D231" s="203"/>
      <c r="E231" s="13"/>
      <c r="F231" s="15"/>
      <c r="G231" s="15"/>
      <c r="H231" s="125"/>
      <c r="I231" s="154"/>
      <c r="J231" s="155"/>
      <c r="K231" s="15"/>
      <c r="L231" s="15"/>
      <c r="M231" s="156"/>
      <c r="N231" s="15"/>
      <c r="O231" s="156"/>
      <c r="P231" s="156"/>
      <c r="Q231" s="183"/>
      <c r="R231" s="184"/>
      <c r="S231" s="185"/>
      <c r="T231" s="186"/>
    </row>
    <row r="232" s="5" customFormat="1" ht="36" customHeight="1" spans="1:26">
      <c r="A232" s="7"/>
      <c r="B232" s="203"/>
      <c r="C232" s="203"/>
      <c r="D232" s="203"/>
      <c r="E232" s="13"/>
      <c r="F232" s="15"/>
      <c r="G232" s="15"/>
      <c r="H232" s="15" t="s">
        <v>280</v>
      </c>
      <c r="I232" s="157"/>
      <c r="J232" s="155" t="s">
        <v>281</v>
      </c>
      <c r="K232" s="158">
        <f>'1.U型槽主筋验算'!K15</f>
        <v>22</v>
      </c>
      <c r="L232" s="159"/>
      <c r="M232" s="160">
        <f>(R232+S232)/2+ROUNDUP((IF(K232&lt;26,10.927,11.212))*K232/10,0)*2</f>
        <v>2726.561</v>
      </c>
      <c r="N232" s="161">
        <f>ROUNDUP((H235/12.5),0)*IF(I233&gt;600,2,1)</f>
        <v>160</v>
      </c>
      <c r="O232" s="162">
        <f t="shared" ref="O232:O239" si="97">M232*N232/100</f>
        <v>4362.4976</v>
      </c>
      <c r="P232" s="15">
        <f t="shared" ref="P232:P239" si="98">ROUND(K232^2*PI()/4/1000000*7850,3)</f>
        <v>2.984</v>
      </c>
      <c r="Q232" s="187">
        <f t="shared" ref="Q232:Q239" si="99">O232*P232</f>
        <v>13017.6928384</v>
      </c>
      <c r="R232" s="188">
        <f>(H233+I237-I240*2)*2+(H239-I240*2)+(H237-I240*2)*2</f>
        <v>2620.828</v>
      </c>
      <c r="S232" s="162">
        <f>(I233+I237-I240*2)*2+(H239-I240*2)+(H237-I240*2)*2</f>
        <v>2732.294</v>
      </c>
      <c r="T232" s="189">
        <f>R234</f>
        <v>1362</v>
      </c>
      <c r="V232" s="190">
        <f t="shared" ref="V232:V237" si="100">ROUNDUP((IF(K232&lt;26,10.927,11.212))*K232/10,0)</f>
        <v>25</v>
      </c>
      <c r="X232" s="191"/>
      <c r="Y232" s="191"/>
      <c r="Z232" s="191"/>
    </row>
    <row r="233" s="5" customFormat="1" ht="18" customHeight="1" spans="1:26">
      <c r="A233" s="7"/>
      <c r="B233" s="203"/>
      <c r="C233" s="203"/>
      <c r="D233" s="203"/>
      <c r="E233" s="126" t="s">
        <v>244</v>
      </c>
      <c r="F233" s="127" t="s">
        <v>282</v>
      </c>
      <c r="G233" s="127" t="s">
        <v>283</v>
      </c>
      <c r="H233" s="128">
        <f>MIN(VLOOKUP(I230,$B$4:$J$70,2,0),VLOOKUP(I230,$B$4:$J$70,3,0))</f>
        <v>515.414</v>
      </c>
      <c r="I233" s="163">
        <f>MAX(VLOOKUP(I230,$B$4:$J$70,2,0),VLOOKUP(I230,$B$4:$J$70,3,0))</f>
        <v>571.147</v>
      </c>
      <c r="J233" s="155" t="s">
        <v>284</v>
      </c>
      <c r="K233" s="164">
        <v>12</v>
      </c>
      <c r="L233" s="159"/>
      <c r="M233" s="160">
        <f>(R233+S233)/2+ROUNDUP((IF(K233&lt;26,10.927,11.212))*K233/10,0)*2</f>
        <v>633.2805</v>
      </c>
      <c r="N233" s="165">
        <f>ROUNDUP((H235/12.5*1),0)*2</f>
        <v>320</v>
      </c>
      <c r="O233" s="162">
        <f t="shared" si="97"/>
        <v>2026.4976</v>
      </c>
      <c r="P233" s="15">
        <f t="shared" si="98"/>
        <v>0.888</v>
      </c>
      <c r="Q233" s="187">
        <f t="shared" si="99"/>
        <v>1799.5298688</v>
      </c>
      <c r="R233" s="192">
        <f>H233+I237-I240*2</f>
        <v>577.414</v>
      </c>
      <c r="S233" s="193">
        <f>I233+I237-I240*2</f>
        <v>633.147</v>
      </c>
      <c r="T233" s="194" t="str">
        <f>ROUND(R233,1)&amp;"~"&amp;ROUND(S233,1)</f>
        <v>577.4~633.1</v>
      </c>
      <c r="V233" s="190">
        <f t="shared" si="100"/>
        <v>14</v>
      </c>
      <c r="X233" s="191"/>
      <c r="Y233" s="191"/>
      <c r="Z233" s="191"/>
    </row>
    <row r="234" s="5" customFormat="1" ht="18" customHeight="1" spans="1:26">
      <c r="A234" s="7"/>
      <c r="B234" s="203"/>
      <c r="C234" s="203"/>
      <c r="D234" s="203"/>
      <c r="E234" s="126">
        <f>VLOOKUP(I230,$B$39:$Z$70,3,0)</f>
        <v>108</v>
      </c>
      <c r="F234" s="129">
        <f>VLOOKUP(I230,$B$39:$Z$70,17,0)</f>
        <v>6</v>
      </c>
      <c r="G234" s="127">
        <f>VLOOKUP(I230,$B$39:$Z$70,12,0)</f>
        <v>44</v>
      </c>
      <c r="H234" s="127" t="s">
        <v>229</v>
      </c>
      <c r="I234" s="157"/>
      <c r="J234" s="155" t="s">
        <v>285</v>
      </c>
      <c r="K234" s="158">
        <v>14</v>
      </c>
      <c r="L234" s="159"/>
      <c r="M234" s="166">
        <f>R234+2*ROUNDUP((IF(K234&lt;26,10.927,11.212))*K234/10,0)</f>
        <v>1394</v>
      </c>
      <c r="N234" s="161">
        <f>ROUNDUP(H235/12.5,0)</f>
        <v>160</v>
      </c>
      <c r="O234" s="162">
        <f t="shared" si="97"/>
        <v>2230.4</v>
      </c>
      <c r="P234" s="15">
        <f t="shared" si="98"/>
        <v>1.208</v>
      </c>
      <c r="Q234" s="187">
        <f t="shared" si="99"/>
        <v>2694.3232</v>
      </c>
      <c r="R234" s="195">
        <f>H239-I240*2</f>
        <v>1362</v>
      </c>
      <c r="S234" s="162" t="s">
        <v>286</v>
      </c>
      <c r="T234" s="196"/>
      <c r="V234" s="190">
        <f t="shared" si="100"/>
        <v>16</v>
      </c>
      <c r="X234" s="191"/>
      <c r="Y234" s="191"/>
      <c r="Z234" s="191"/>
    </row>
    <row r="235" s="5" customFormat="1" ht="18" customHeight="1" spans="1:26">
      <c r="A235" s="7"/>
      <c r="B235" s="203"/>
      <c r="C235" s="203"/>
      <c r="D235" s="203"/>
      <c r="E235" s="130" t="s">
        <v>287</v>
      </c>
      <c r="F235" s="127" t="s">
        <v>288</v>
      </c>
      <c r="G235" s="127" t="s">
        <v>289</v>
      </c>
      <c r="H235" s="131">
        <f>MAX(VLOOKUP(I230,$B$4:$J$70,4,0),VLOOKUP(I230,$B$4:$J$70,5,0))</f>
        <v>2000</v>
      </c>
      <c r="I235" s="167">
        <f>MIN(VLOOKUP(I230,$B$4:$J$70,4,0),VLOOKUP(I230,$B$4:$J$70,5,0))</f>
        <v>2000</v>
      </c>
      <c r="J235" s="155" t="s">
        <v>290</v>
      </c>
      <c r="K235" s="164">
        <v>14</v>
      </c>
      <c r="L235" s="159"/>
      <c r="M235" s="166">
        <f>R235+2*ROUNDUP((IF(K235&lt;26,10.927,11.212))*K235/10,0)</f>
        <v>224.81832585698</v>
      </c>
      <c r="N235" s="165">
        <f>ROUNDUP(H235/12.5,0)*2</f>
        <v>320</v>
      </c>
      <c r="O235" s="162">
        <f t="shared" si="97"/>
        <v>719.418642742334</v>
      </c>
      <c r="P235" s="15">
        <f t="shared" si="98"/>
        <v>1.208</v>
      </c>
      <c r="Q235" s="187">
        <f t="shared" si="99"/>
        <v>869.05772043274</v>
      </c>
      <c r="R235" s="195">
        <f>((H237+I237-I240*2)+(20-I240*2^0.5))*(2^0.5)</f>
        <v>192.81832585698</v>
      </c>
      <c r="S235" s="162" t="s">
        <v>286</v>
      </c>
      <c r="T235" s="196"/>
      <c r="V235" s="190">
        <f t="shared" si="100"/>
        <v>16</v>
      </c>
      <c r="X235" s="191"/>
      <c r="Y235" s="191"/>
      <c r="Z235" s="191"/>
    </row>
    <row r="236" s="5" customFormat="1" ht="18" customHeight="1" spans="1:26">
      <c r="A236" s="7"/>
      <c r="B236" s="203"/>
      <c r="C236" s="203"/>
      <c r="D236" s="203"/>
      <c r="E236" s="132">
        <f>VLOOKUP(I230,$B$39:$Z$70,20,0)</f>
        <v>159</v>
      </c>
      <c r="F236" s="127">
        <f>VLOOKUP(I230,$B$39:$Z$70,23,0)</f>
        <v>159</v>
      </c>
      <c r="G236" s="127">
        <f>VLOOKUP(I230,$B$39:$Z$70,7,0)</f>
        <v>4</v>
      </c>
      <c r="H236" s="133" t="s">
        <v>291</v>
      </c>
      <c r="I236" s="157" t="s">
        <v>292</v>
      </c>
      <c r="J236" s="155" t="s">
        <v>293</v>
      </c>
      <c r="K236" s="158">
        <v>12</v>
      </c>
      <c r="L236" s="159"/>
      <c r="M236" s="166">
        <f>(R236+S236)/2+2*ROUNDUP((IF(K236&lt;26,10.927,11.212))*K236/10,0)</f>
        <v>2020</v>
      </c>
      <c r="N236" s="168">
        <f>4*(G234+1)+(G236-1)*2</f>
        <v>186</v>
      </c>
      <c r="O236" s="162">
        <f t="shared" si="97"/>
        <v>3757.2</v>
      </c>
      <c r="P236" s="15">
        <f t="shared" si="98"/>
        <v>0.888</v>
      </c>
      <c r="Q236" s="187">
        <f t="shared" si="99"/>
        <v>3336.3936</v>
      </c>
      <c r="R236" s="188">
        <f>H235-I240*2</f>
        <v>1992</v>
      </c>
      <c r="S236" s="162">
        <f>I235-I240*2</f>
        <v>1992</v>
      </c>
      <c r="T236" s="194" t="str">
        <f>ROUND(S236,1)&amp;"~"&amp;ROUND(R236,1)</f>
        <v>1992~1992</v>
      </c>
      <c r="V236" s="190">
        <f t="shared" si="100"/>
        <v>14</v>
      </c>
      <c r="X236" s="191"/>
      <c r="Y236" s="191"/>
      <c r="Z236" s="191"/>
    </row>
    <row r="237" s="5" customFormat="1" ht="18" customHeight="1" spans="1:26">
      <c r="A237" s="7"/>
      <c r="B237" s="203"/>
      <c r="C237" s="203"/>
      <c r="D237" s="203"/>
      <c r="E237" s="134"/>
      <c r="F237" s="135"/>
      <c r="G237" s="135"/>
      <c r="H237" s="136">
        <f>VLOOKUP(I230,$B$4:$J$70,6,0)</f>
        <v>60</v>
      </c>
      <c r="I237" s="167">
        <f>VLOOKUP(I230,$B$4:$J$70,7,0)</f>
        <v>70</v>
      </c>
      <c r="J237" s="155" t="s">
        <v>294</v>
      </c>
      <c r="K237" s="158">
        <v>12</v>
      </c>
      <c r="L237" s="159"/>
      <c r="M237" s="166">
        <f>(R237+S237)/2+2*ROUNDUP((IF(K237&lt;26,10.927,11.212))*K237/10,0)</f>
        <v>2028.77639112645</v>
      </c>
      <c r="N237" s="15">
        <f>2*(E234+1)+F234*2</f>
        <v>230</v>
      </c>
      <c r="O237" s="162">
        <f t="shared" si="97"/>
        <v>4666.18569959085</v>
      </c>
      <c r="P237" s="15">
        <f t="shared" si="98"/>
        <v>0.888</v>
      </c>
      <c r="Q237" s="187">
        <f t="shared" si="99"/>
        <v>4143.57290123667</v>
      </c>
      <c r="R237" s="188">
        <f>((I233-H233)^2+H235^2)^0.5</f>
        <v>2000.77639112645</v>
      </c>
      <c r="S237" s="162">
        <f>((I233-H233)^2+I235^2)^0.5</f>
        <v>2000.77639112645</v>
      </c>
      <c r="T237" s="194" t="str">
        <f>ROUND(S237,1)&amp;"~"&amp;ROUND(R237,1)</f>
        <v>2000.8~2000.8</v>
      </c>
      <c r="V237" s="190">
        <f t="shared" si="100"/>
        <v>14</v>
      </c>
      <c r="X237" s="191"/>
      <c r="Y237" s="191"/>
      <c r="Z237" s="191"/>
    </row>
    <row r="238" s="5" customFormat="1" ht="18" customHeight="1" spans="1:26">
      <c r="A238" s="7"/>
      <c r="B238" s="203"/>
      <c r="C238" s="203"/>
      <c r="D238" s="203"/>
      <c r="E238" s="137" t="s">
        <v>295</v>
      </c>
      <c r="F238" s="138"/>
      <c r="G238" s="139"/>
      <c r="H238" s="140" t="s">
        <v>296</v>
      </c>
      <c r="I238" s="169"/>
      <c r="J238" s="155" t="s">
        <v>297</v>
      </c>
      <c r="K238" s="164">
        <v>8</v>
      </c>
      <c r="L238" s="159"/>
      <c r="M238" s="166">
        <f>R238+11</f>
        <v>73</v>
      </c>
      <c r="N238" s="170">
        <f>ROUNDDOWN(((VLOOKUP(I230,$B$39:$Z$70,2,0))/(VLOOKUP(I230,$B$39:$Z$70,4,0))-1),0)/4*((VLOOKUP(I230,$B$39:$Z$70,20,0))+1)</f>
        <v>4320</v>
      </c>
      <c r="O238" s="162">
        <f t="shared" si="97"/>
        <v>3153.6</v>
      </c>
      <c r="P238" s="15">
        <f t="shared" si="98"/>
        <v>0.395</v>
      </c>
      <c r="Q238" s="187">
        <f t="shared" si="99"/>
        <v>1245.672</v>
      </c>
      <c r="R238" s="195">
        <f>I237-2*I240</f>
        <v>62</v>
      </c>
      <c r="S238" s="162" t="s">
        <v>286</v>
      </c>
      <c r="T238" s="196"/>
      <c r="V238" s="197"/>
      <c r="X238" s="191"/>
      <c r="Y238" s="191"/>
      <c r="Z238" s="191"/>
    </row>
    <row r="239" s="5" customFormat="1" ht="18" customHeight="1" spans="1:26">
      <c r="A239" s="7"/>
      <c r="B239" s="203"/>
      <c r="C239" s="203"/>
      <c r="D239" s="203"/>
      <c r="E239" s="141" t="s">
        <v>298</v>
      </c>
      <c r="F239" s="142" t="s">
        <v>299</v>
      </c>
      <c r="G239" s="143" t="s">
        <v>300</v>
      </c>
      <c r="H239" s="140">
        <f>VLOOKUP(I230,$B$4:$J$70,8,0)</f>
        <v>1370</v>
      </c>
      <c r="I239" s="169"/>
      <c r="J239" s="155" t="s">
        <v>301</v>
      </c>
      <c r="K239" s="164">
        <v>8</v>
      </c>
      <c r="L239" s="159"/>
      <c r="M239" s="166">
        <f>R239+11</f>
        <v>63</v>
      </c>
      <c r="N239" s="171">
        <f>ROUND(E236/4*G234,0)*2</f>
        <v>3498</v>
      </c>
      <c r="O239" s="162">
        <f t="shared" si="97"/>
        <v>2203.74</v>
      </c>
      <c r="P239" s="15">
        <f t="shared" si="98"/>
        <v>0.395</v>
      </c>
      <c r="Q239" s="187">
        <f t="shared" si="99"/>
        <v>870.4773</v>
      </c>
      <c r="R239" s="195">
        <f>H237-2*I240</f>
        <v>52</v>
      </c>
      <c r="S239" s="162" t="s">
        <v>286</v>
      </c>
      <c r="T239" s="196"/>
      <c r="V239" s="197"/>
      <c r="X239" s="191"/>
      <c r="Y239" s="191"/>
      <c r="Z239" s="191"/>
    </row>
    <row r="240" s="5" customFormat="1" ht="18" customHeight="1" spans="1:26">
      <c r="A240" s="7"/>
      <c r="B240" s="203"/>
      <c r="C240" s="203"/>
      <c r="D240" s="203"/>
      <c r="E240" s="144">
        <f>IF(I230=0,0,ROUND(((H233+I233)/2*H237*2+H239*I237+0.2*0.2+0.25*0.05*2)*(H235+I235)/2/1000000,1))</f>
        <v>322.2</v>
      </c>
      <c r="F240" s="145">
        <f>IF(I230=0,0,ROUND(Q238+Q239,1))</f>
        <v>2116.1</v>
      </c>
      <c r="G240" s="146">
        <f>IF(I230=0,0,ROUND(Q232+Q233+Q234+Q235+Q236+Q237,1))</f>
        <v>25860.6</v>
      </c>
      <c r="H240" s="147" t="s">
        <v>302</v>
      </c>
      <c r="I240" s="172">
        <f>$P$3</f>
        <v>4</v>
      </c>
      <c r="J240" s="173" t="s">
        <v>303</v>
      </c>
      <c r="K240" s="174" t="str">
        <f>"C40混凝土:"&amp;ROUND(((H233+I233)/2*H237*2+H239*I237+0.2*0.2+0.25*0.05*2)*(H235+I235)/2/1000000,1)&amp;"m"&amp;"      "&amp;"HPB300:"&amp;ROUND(Q238+Q239,1)&amp;"kg       "&amp;"HRB400:"&amp;ROUND(Q232+Q233+Q234+Q235+Q236+Q237,1)&amp;"kg"</f>
        <v>C40混凝土:322.2m      HPB300:2116.1kg       HRB400:25860.6kg</v>
      </c>
      <c r="L240" s="174"/>
      <c r="M240" s="174"/>
      <c r="N240" s="174"/>
      <c r="O240" s="174"/>
      <c r="P240" s="174"/>
      <c r="Q240" s="198"/>
      <c r="R240" s="199" t="s">
        <v>304</v>
      </c>
      <c r="S240" s="174">
        <f>ROUND(SUM(Q232:Q239)/ROUND(((H233+I233)/2*H237*2+H239*I237+0.2*0.2+0.25*0.05*2)*(H235+I235)/2/1000000,1),1)</f>
        <v>86.8</v>
      </c>
      <c r="T240" s="200"/>
      <c r="X240" s="191"/>
      <c r="Y240" s="191"/>
      <c r="Z240" s="191"/>
    </row>
    <row r="241" ht="15" spans="2:4">
      <c r="B241" s="204"/>
      <c r="C241" s="203"/>
      <c r="D241" s="204"/>
    </row>
    <row r="242" spans="2:22">
      <c r="B242" s="203" t="str">
        <f>B18</f>
        <v>ZU15-1</v>
      </c>
      <c r="C242" s="203"/>
      <c r="D242" s="203"/>
      <c r="E242" s="10" t="s">
        <v>268</v>
      </c>
      <c r="F242" s="11"/>
      <c r="G242" s="11"/>
      <c r="H242" s="124" t="s">
        <v>269</v>
      </c>
      <c r="I242" s="151" t="str">
        <f>B242</f>
        <v>ZU15-1</v>
      </c>
      <c r="J242" s="152" t="s">
        <v>270</v>
      </c>
      <c r="K242" s="11" t="s">
        <v>271</v>
      </c>
      <c r="L242" s="11" t="s">
        <v>272</v>
      </c>
      <c r="M242" s="153" t="s">
        <v>273</v>
      </c>
      <c r="N242" s="11" t="s">
        <v>274</v>
      </c>
      <c r="O242" s="153" t="s">
        <v>275</v>
      </c>
      <c r="P242" s="153" t="s">
        <v>276</v>
      </c>
      <c r="Q242" s="179" t="s">
        <v>277</v>
      </c>
      <c r="R242" s="180" t="s">
        <v>278</v>
      </c>
      <c r="S242" s="181"/>
      <c r="T242" s="182"/>
      <c r="V242" s="1" t="s">
        <v>279</v>
      </c>
    </row>
    <row r="243" spans="2:22">
      <c r="B243" s="203"/>
      <c r="C243" s="203"/>
      <c r="D243" s="203"/>
      <c r="E243" s="13"/>
      <c r="F243" s="15"/>
      <c r="G243" s="15"/>
      <c r="H243" s="125"/>
      <c r="I243" s="154"/>
      <c r="J243" s="155"/>
      <c r="K243" s="15"/>
      <c r="L243" s="15"/>
      <c r="M243" s="156"/>
      <c r="N243" s="15"/>
      <c r="O243" s="156"/>
      <c r="P243" s="156"/>
      <c r="Q243" s="183"/>
      <c r="R243" s="184"/>
      <c r="S243" s="185"/>
      <c r="T243" s="186"/>
      <c r="U243" s="1"/>
      <c r="V243" s="1"/>
    </row>
    <row r="244" spans="2:22">
      <c r="B244" s="203"/>
      <c r="C244" s="203"/>
      <c r="D244" s="203"/>
      <c r="E244" s="13"/>
      <c r="F244" s="15"/>
      <c r="G244" s="15"/>
      <c r="H244" s="15" t="s">
        <v>280</v>
      </c>
      <c r="I244" s="157"/>
      <c r="J244" s="155" t="s">
        <v>281</v>
      </c>
      <c r="K244" s="158">
        <f>'1.U型槽主筋验算'!K16</f>
        <v>20</v>
      </c>
      <c r="L244" s="159"/>
      <c r="M244" s="160">
        <f>(R244+S244)/2+ROUNDUP((IF(K244&lt;26,10.927,11.212))*K244/10,0)*2</f>
        <v>2608.928</v>
      </c>
      <c r="N244" s="161">
        <f>ROUNDUP((H247/12.5),0)*IF(I245&gt;600,2,1)</f>
        <v>160</v>
      </c>
      <c r="O244" s="162">
        <f t="shared" ref="O244:O251" si="101">M244*N244/100</f>
        <v>4174.2848</v>
      </c>
      <c r="P244" s="15">
        <f t="shared" ref="P244:P251" si="102">ROUND(K244^2*PI()/4/1000000*7850,3)</f>
        <v>2.466</v>
      </c>
      <c r="Q244" s="187">
        <f t="shared" ref="Q244:Q251" si="103">O244*P244</f>
        <v>10293.7863168</v>
      </c>
      <c r="R244" s="188">
        <f>(H245+I249-I252*2)*2+(H251-I252*2)+(H249-I252*2)*2</f>
        <v>2509.196</v>
      </c>
      <c r="S244" s="162">
        <f>(I245+I249-I252*2)*2+(H251-I252*2)+(H249-I252*2)*2</f>
        <v>2620.66</v>
      </c>
      <c r="T244" s="189">
        <f>R246</f>
        <v>1362</v>
      </c>
      <c r="V244" s="190">
        <f t="shared" ref="V244:V249" si="104">ROUNDUP((IF(K244&lt;26,10.927,11.212))*K244/10,0)</f>
        <v>22</v>
      </c>
    </row>
    <row r="245" spans="2:22">
      <c r="B245" s="203"/>
      <c r="C245" s="203"/>
      <c r="D245" s="203"/>
      <c r="E245" s="126" t="s">
        <v>244</v>
      </c>
      <c r="F245" s="127" t="s">
        <v>282</v>
      </c>
      <c r="G245" s="127" t="s">
        <v>283</v>
      </c>
      <c r="H245" s="128">
        <f>MIN(VLOOKUP(I242,$B$4:$J$70,2,0),VLOOKUP(I242,$B$4:$J$70,3,0))</f>
        <v>459.598</v>
      </c>
      <c r="I245" s="163">
        <f>MAX(VLOOKUP(I242,$B$4:$J$70,2,0),VLOOKUP(I242,$B$4:$J$70,3,0))</f>
        <v>515.33</v>
      </c>
      <c r="J245" s="155" t="s">
        <v>284</v>
      </c>
      <c r="K245" s="164">
        <v>12</v>
      </c>
      <c r="L245" s="159"/>
      <c r="M245" s="160">
        <f>(R245+S245)/2+ROUNDUP((IF(K245&lt;26,10.927,11.212))*K245/10,0)*2</f>
        <v>577.464</v>
      </c>
      <c r="N245" s="165">
        <f>ROUNDUP((H247/12.5*1),0)*2</f>
        <v>320</v>
      </c>
      <c r="O245" s="162">
        <f t="shared" si="101"/>
        <v>1847.8848</v>
      </c>
      <c r="P245" s="15">
        <f t="shared" si="102"/>
        <v>0.888</v>
      </c>
      <c r="Q245" s="187">
        <f t="shared" si="103"/>
        <v>1640.9217024</v>
      </c>
      <c r="R245" s="192">
        <f>H245+I249-I252*2</f>
        <v>521.598</v>
      </c>
      <c r="S245" s="193">
        <f>I245+I249-I252*2</f>
        <v>577.33</v>
      </c>
      <c r="T245" s="194" t="str">
        <f>ROUND(R245,1)&amp;"~"&amp;ROUND(S245,1)</f>
        <v>521.6~577.3</v>
      </c>
      <c r="V245" s="190">
        <f t="shared" si="104"/>
        <v>14</v>
      </c>
    </row>
    <row r="246" spans="2:22">
      <c r="B246" s="203"/>
      <c r="C246" s="203"/>
      <c r="D246" s="203"/>
      <c r="E246" s="126">
        <f>VLOOKUP(I242,$B$39:$Z$70,3,0)</f>
        <v>108</v>
      </c>
      <c r="F246" s="129">
        <f>VLOOKUP(I242,$B$39:$Z$70,17,0)</f>
        <v>6</v>
      </c>
      <c r="G246" s="127">
        <f>VLOOKUP(I242,$B$39:$Z$70,12,0)</f>
        <v>40</v>
      </c>
      <c r="H246" s="127" t="s">
        <v>229</v>
      </c>
      <c r="I246" s="157"/>
      <c r="J246" s="155" t="s">
        <v>285</v>
      </c>
      <c r="K246" s="158">
        <v>14</v>
      </c>
      <c r="L246" s="159"/>
      <c r="M246" s="166">
        <f>R246+2*ROUNDUP((IF(K246&lt;26,10.927,11.212))*K246/10,0)</f>
        <v>1394</v>
      </c>
      <c r="N246" s="161">
        <f>ROUNDUP(H247/12.5,0)</f>
        <v>160</v>
      </c>
      <c r="O246" s="162">
        <f t="shared" si="101"/>
        <v>2230.4</v>
      </c>
      <c r="P246" s="15">
        <f t="shared" si="102"/>
        <v>1.208</v>
      </c>
      <c r="Q246" s="187">
        <f t="shared" si="103"/>
        <v>2694.3232</v>
      </c>
      <c r="R246" s="195">
        <f>H251-I252*2</f>
        <v>1362</v>
      </c>
      <c r="S246" s="162" t="s">
        <v>286</v>
      </c>
      <c r="T246" s="196"/>
      <c r="V246" s="190">
        <f t="shared" si="104"/>
        <v>16</v>
      </c>
    </row>
    <row r="247" spans="2:22">
      <c r="B247" s="203"/>
      <c r="C247" s="203"/>
      <c r="D247" s="203"/>
      <c r="E247" s="130" t="s">
        <v>287</v>
      </c>
      <c r="F247" s="127" t="s">
        <v>288</v>
      </c>
      <c r="G247" s="127" t="s">
        <v>289</v>
      </c>
      <c r="H247" s="131">
        <f>MAX(VLOOKUP(I242,$B$4:$J$70,4,0),VLOOKUP(I242,$B$4:$J$70,5,0))</f>
        <v>1999.99999999999</v>
      </c>
      <c r="I247" s="167">
        <f>MIN(VLOOKUP(I242,$B$4:$J$70,4,0),VLOOKUP(I242,$B$4:$J$70,5,0))</f>
        <v>1999.99999999999</v>
      </c>
      <c r="J247" s="155" t="s">
        <v>290</v>
      </c>
      <c r="K247" s="164">
        <v>14</v>
      </c>
      <c r="L247" s="159"/>
      <c r="M247" s="166">
        <f>R247+2*ROUNDUP((IF(K247&lt;26,10.927,11.212))*K247/10,0)</f>
        <v>224.81832585698</v>
      </c>
      <c r="N247" s="165">
        <f>ROUNDUP(H247/12.5,0)*2</f>
        <v>320</v>
      </c>
      <c r="O247" s="162">
        <f t="shared" si="101"/>
        <v>719.418642742334</v>
      </c>
      <c r="P247" s="15">
        <f t="shared" si="102"/>
        <v>1.208</v>
      </c>
      <c r="Q247" s="187">
        <f t="shared" si="103"/>
        <v>869.05772043274</v>
      </c>
      <c r="R247" s="195">
        <f>((H249+I249-I252*2)+(20-I252*2^0.5))*(2^0.5)</f>
        <v>192.81832585698</v>
      </c>
      <c r="S247" s="162" t="s">
        <v>286</v>
      </c>
      <c r="T247" s="196"/>
      <c r="V247" s="190">
        <f t="shared" si="104"/>
        <v>16</v>
      </c>
    </row>
    <row r="248" spans="2:22">
      <c r="B248" s="203"/>
      <c r="C248" s="203"/>
      <c r="D248" s="203"/>
      <c r="E248" s="132">
        <f>VLOOKUP(I242,$B$39:$Z$70,20,0)</f>
        <v>159</v>
      </c>
      <c r="F248" s="127">
        <f>VLOOKUP(I242,$B$39:$Z$70,23,0)</f>
        <v>159</v>
      </c>
      <c r="G248" s="127">
        <f>VLOOKUP(I242,$B$39:$Z$70,7,0)</f>
        <v>4</v>
      </c>
      <c r="H248" s="133" t="s">
        <v>291</v>
      </c>
      <c r="I248" s="157" t="s">
        <v>292</v>
      </c>
      <c r="J248" s="155" t="s">
        <v>293</v>
      </c>
      <c r="K248" s="158">
        <v>12</v>
      </c>
      <c r="L248" s="159"/>
      <c r="M248" s="166">
        <f>(R248+S248)/2+2*ROUNDUP((IF(K248&lt;26,10.927,11.212))*K248/10,0)</f>
        <v>2019.99999999999</v>
      </c>
      <c r="N248" s="168">
        <f>4*(G246+1)+(G248-1)*2</f>
        <v>170</v>
      </c>
      <c r="O248" s="162">
        <f t="shared" si="101"/>
        <v>3433.99999999998</v>
      </c>
      <c r="P248" s="15">
        <f t="shared" si="102"/>
        <v>0.888</v>
      </c>
      <c r="Q248" s="187">
        <f t="shared" si="103"/>
        <v>3049.39199999999</v>
      </c>
      <c r="R248" s="188">
        <f>H247-I252*2</f>
        <v>1991.99999999999</v>
      </c>
      <c r="S248" s="162">
        <f>I247-I252*2</f>
        <v>1991.99999999999</v>
      </c>
      <c r="T248" s="194" t="str">
        <f>ROUND(S248,1)&amp;"~"&amp;ROUND(R248,1)</f>
        <v>1992~1992</v>
      </c>
      <c r="V248" s="190">
        <f t="shared" si="104"/>
        <v>14</v>
      </c>
    </row>
    <row r="249" ht="15" spans="2:22">
      <c r="B249" s="203"/>
      <c r="C249" s="203"/>
      <c r="D249" s="203"/>
      <c r="E249" s="134"/>
      <c r="F249" s="135"/>
      <c r="G249" s="135"/>
      <c r="H249" s="136">
        <f>VLOOKUP(I242,$B$4:$J$70,6,0)</f>
        <v>60</v>
      </c>
      <c r="I249" s="167">
        <f>VLOOKUP(I242,$B$4:$J$70,7,0)</f>
        <v>70</v>
      </c>
      <c r="J249" s="155" t="s">
        <v>294</v>
      </c>
      <c r="K249" s="158">
        <v>12</v>
      </c>
      <c r="L249" s="159"/>
      <c r="M249" s="166">
        <f>(R249+S249)/2+2*ROUNDUP((IF(K249&lt;26,10.927,11.212))*K249/10,0)</f>
        <v>2028.77636327101</v>
      </c>
      <c r="N249" s="15">
        <f>2*(E246+1)+F246*2</f>
        <v>230</v>
      </c>
      <c r="O249" s="162">
        <f t="shared" si="101"/>
        <v>4666.18563552332</v>
      </c>
      <c r="P249" s="15">
        <f t="shared" si="102"/>
        <v>0.888</v>
      </c>
      <c r="Q249" s="187">
        <f t="shared" si="103"/>
        <v>4143.57284434471</v>
      </c>
      <c r="R249" s="188">
        <f>((I245-H245)^2+H247^2)^0.5</f>
        <v>2000.77636327101</v>
      </c>
      <c r="S249" s="162">
        <f>((I245-H245)^2+I247^2)^0.5</f>
        <v>2000.77636327101</v>
      </c>
      <c r="T249" s="194" t="str">
        <f>ROUND(S249,1)&amp;"~"&amp;ROUND(R249,1)</f>
        <v>2000.8~2000.8</v>
      </c>
      <c r="V249" s="190">
        <f t="shared" si="104"/>
        <v>14</v>
      </c>
    </row>
    <row r="250" spans="2:22">
      <c r="B250" s="203"/>
      <c r="C250" s="203"/>
      <c r="D250" s="203"/>
      <c r="E250" s="137" t="s">
        <v>295</v>
      </c>
      <c r="F250" s="138"/>
      <c r="G250" s="139"/>
      <c r="H250" s="140" t="s">
        <v>296</v>
      </c>
      <c r="I250" s="169"/>
      <c r="J250" s="155" t="s">
        <v>297</v>
      </c>
      <c r="K250" s="164">
        <v>8</v>
      </c>
      <c r="L250" s="159"/>
      <c r="M250" s="166">
        <f>R250+11</f>
        <v>73</v>
      </c>
      <c r="N250" s="170">
        <f>ROUNDDOWN(((VLOOKUP(I242,$B$39:$Z$70,2,0))/(VLOOKUP(I242,$B$39:$Z$70,4,0))-1),0)/4*((VLOOKUP(I242,$B$39:$Z$70,20,0))+1)</f>
        <v>4320</v>
      </c>
      <c r="O250" s="162">
        <f t="shared" si="101"/>
        <v>3153.6</v>
      </c>
      <c r="P250" s="15">
        <f t="shared" si="102"/>
        <v>0.395</v>
      </c>
      <c r="Q250" s="187">
        <f t="shared" si="103"/>
        <v>1245.672</v>
      </c>
      <c r="R250" s="195">
        <f>I249-2*I252</f>
        <v>62</v>
      </c>
      <c r="S250" s="162" t="s">
        <v>286</v>
      </c>
      <c r="T250" s="196"/>
      <c r="V250" s="197"/>
    </row>
    <row r="251" spans="2:22">
      <c r="B251" s="203"/>
      <c r="C251" s="203"/>
      <c r="D251" s="203"/>
      <c r="E251" s="141" t="s">
        <v>298</v>
      </c>
      <c r="F251" s="142" t="s">
        <v>299</v>
      </c>
      <c r="G251" s="143" t="s">
        <v>300</v>
      </c>
      <c r="H251" s="140">
        <f>VLOOKUP(I242,$B$4:$J$70,8,0)</f>
        <v>1370</v>
      </c>
      <c r="I251" s="169"/>
      <c r="J251" s="155" t="s">
        <v>301</v>
      </c>
      <c r="K251" s="164">
        <v>8</v>
      </c>
      <c r="L251" s="159"/>
      <c r="M251" s="166">
        <f>R251+11</f>
        <v>63</v>
      </c>
      <c r="N251" s="171">
        <f>ROUND(E248/4*G246,0)*2</f>
        <v>3180</v>
      </c>
      <c r="O251" s="162">
        <f t="shared" si="101"/>
        <v>2003.4</v>
      </c>
      <c r="P251" s="15">
        <f t="shared" si="102"/>
        <v>0.395</v>
      </c>
      <c r="Q251" s="187">
        <f t="shared" si="103"/>
        <v>791.343</v>
      </c>
      <c r="R251" s="195">
        <f>H249-2*I252</f>
        <v>52</v>
      </c>
      <c r="S251" s="162" t="s">
        <v>286</v>
      </c>
      <c r="T251" s="196"/>
      <c r="V251" s="197"/>
    </row>
    <row r="252" ht="15" spans="2:20">
      <c r="B252" s="203"/>
      <c r="C252" s="203"/>
      <c r="D252" s="203"/>
      <c r="E252" s="144">
        <f>IF(I242=0,0,ROUND(((H245+I245)/2*H249*2+H251*I249+0.2*0.2+0.25*0.05*2)*(H247+I247)/2/1000000,1))</f>
        <v>308.8</v>
      </c>
      <c r="F252" s="145">
        <f>IF(I242=0,0,ROUND(Q250+Q251,1))</f>
        <v>2037</v>
      </c>
      <c r="G252" s="146">
        <f>IF(I242=0,0,ROUND(Q244+Q245+Q246+Q247+Q248+Q249,1))</f>
        <v>22691.1</v>
      </c>
      <c r="H252" s="147" t="s">
        <v>302</v>
      </c>
      <c r="I252" s="172">
        <f>$P$3</f>
        <v>4</v>
      </c>
      <c r="J252" s="173" t="s">
        <v>303</v>
      </c>
      <c r="K252" s="174" t="str">
        <f>"C40混凝土:"&amp;ROUND(((H245+I245)/2*H249*2+H251*I249+0.2*0.2+0.25*0.05*2)*(H247+I247)/2/1000000,1)&amp;"m"&amp;"      "&amp;"HPB300:"&amp;ROUND(Q250+Q251,1)&amp;"kg       "&amp;"HRB400:"&amp;ROUND(Q244+Q245+Q246+Q247+Q248+Q249,1)&amp;"kg"</f>
        <v>C40混凝土:308.8m      HPB300:2037kg       HRB400:22691.1kg</v>
      </c>
      <c r="L252" s="174"/>
      <c r="M252" s="174"/>
      <c r="N252" s="174"/>
      <c r="O252" s="174"/>
      <c r="P252" s="174"/>
      <c r="Q252" s="198"/>
      <c r="R252" s="199" t="s">
        <v>304</v>
      </c>
      <c r="S252" s="174">
        <f>ROUND(SUM(Q244:Q251)/ROUND(((H245+I245)/2*H249*2+H251*I249+0.2*0.2+0.25*0.05*2)*(H247+I247)/2/1000000,1),1)</f>
        <v>80.1</v>
      </c>
      <c r="T252" s="200"/>
    </row>
    <row r="253" ht="15" spans="2:4">
      <c r="B253" s="204"/>
      <c r="C253" s="203"/>
      <c r="D253" s="204"/>
    </row>
    <row r="254" spans="2:22">
      <c r="B254" s="203" t="str">
        <f>B19</f>
        <v>ZU16-1</v>
      </c>
      <c r="C254" s="203"/>
      <c r="D254" s="203"/>
      <c r="E254" s="10" t="s">
        <v>268</v>
      </c>
      <c r="F254" s="11"/>
      <c r="G254" s="11"/>
      <c r="H254" s="124" t="s">
        <v>269</v>
      </c>
      <c r="I254" s="151" t="str">
        <f>B254</f>
        <v>ZU16-1</v>
      </c>
      <c r="J254" s="152" t="s">
        <v>270</v>
      </c>
      <c r="K254" s="11" t="s">
        <v>271</v>
      </c>
      <c r="L254" s="11" t="s">
        <v>272</v>
      </c>
      <c r="M254" s="153" t="s">
        <v>273</v>
      </c>
      <c r="N254" s="11" t="s">
        <v>274</v>
      </c>
      <c r="O254" s="153" t="s">
        <v>275</v>
      </c>
      <c r="P254" s="153" t="s">
        <v>276</v>
      </c>
      <c r="Q254" s="179" t="s">
        <v>277</v>
      </c>
      <c r="R254" s="180" t="s">
        <v>278</v>
      </c>
      <c r="S254" s="181"/>
      <c r="T254" s="182"/>
      <c r="V254" s="1" t="s">
        <v>279</v>
      </c>
    </row>
    <row r="255" spans="2:22">
      <c r="B255" s="203"/>
      <c r="C255" s="203"/>
      <c r="D255" s="203"/>
      <c r="E255" s="13"/>
      <c r="F255" s="15"/>
      <c r="G255" s="15"/>
      <c r="H255" s="125"/>
      <c r="I255" s="154"/>
      <c r="J255" s="155"/>
      <c r="K255" s="15"/>
      <c r="L255" s="15"/>
      <c r="M255" s="156"/>
      <c r="N255" s="15"/>
      <c r="O255" s="156"/>
      <c r="P255" s="156"/>
      <c r="Q255" s="183"/>
      <c r="R255" s="184"/>
      <c r="S255" s="185"/>
      <c r="T255" s="186"/>
      <c r="U255" s="1"/>
      <c r="V255" s="1"/>
    </row>
    <row r="256" spans="2:22">
      <c r="B256" s="203"/>
      <c r="C256" s="203"/>
      <c r="D256" s="203"/>
      <c r="E256" s="13"/>
      <c r="F256" s="15"/>
      <c r="G256" s="15"/>
      <c r="H256" s="15" t="s">
        <v>280</v>
      </c>
      <c r="I256" s="157"/>
      <c r="J256" s="155" t="s">
        <v>281</v>
      </c>
      <c r="K256" s="158">
        <f>'1.U型槽主筋验算'!K17</f>
        <v>18</v>
      </c>
      <c r="L256" s="159"/>
      <c r="M256" s="160">
        <f>(R256+S256)/2+ROUNDUP((IF(K256&lt;26,10.927,11.212))*K256/10,0)*2</f>
        <v>2433.295</v>
      </c>
      <c r="N256" s="161">
        <f>ROUNDUP((H259/12.5),0)*IF(I257&gt;600,2,1)</f>
        <v>160</v>
      </c>
      <c r="O256" s="162">
        <f t="shared" ref="O256:O263" si="105">M256*N256/100</f>
        <v>3893.272</v>
      </c>
      <c r="P256" s="15">
        <f t="shared" ref="P256:P263" si="106">ROUND(K256^2*PI()/4/1000000*7850,3)</f>
        <v>1.998</v>
      </c>
      <c r="Q256" s="187">
        <f t="shared" ref="Q256:Q263" si="107">O256*P256</f>
        <v>7778.757456</v>
      </c>
      <c r="R256" s="188">
        <f>(H257+I261-I264*2)*2+(H263-I264*2)+(H261-I264*2)*2</f>
        <v>2337.562</v>
      </c>
      <c r="S256" s="162">
        <f>(I257+I261-I264*2)*2+(H263-I264*2)+(H261-I264*2)*2</f>
        <v>2449.028</v>
      </c>
      <c r="T256" s="189">
        <f>R258</f>
        <v>1342</v>
      </c>
      <c r="V256" s="190">
        <f t="shared" ref="V256:V261" si="108">ROUNDUP((IF(K256&lt;26,10.927,11.212))*K256/10,0)</f>
        <v>20</v>
      </c>
    </row>
    <row r="257" spans="2:22">
      <c r="B257" s="203"/>
      <c r="C257" s="203"/>
      <c r="D257" s="203"/>
      <c r="E257" s="126" t="s">
        <v>244</v>
      </c>
      <c r="F257" s="127" t="s">
        <v>282</v>
      </c>
      <c r="G257" s="127" t="s">
        <v>283</v>
      </c>
      <c r="H257" s="128">
        <f>MIN(VLOOKUP(I254,$B$4:$J$70,2,0),VLOOKUP(I254,$B$4:$J$70,3,0))</f>
        <v>403.781</v>
      </c>
      <c r="I257" s="163">
        <f>MAX(VLOOKUP(I254,$B$4:$J$70,2,0),VLOOKUP(I254,$B$4:$J$70,3,0))</f>
        <v>459.514</v>
      </c>
      <c r="J257" s="155" t="s">
        <v>284</v>
      </c>
      <c r="K257" s="164">
        <v>12</v>
      </c>
      <c r="L257" s="159"/>
      <c r="M257" s="160">
        <f>(R257+S257)/2+ROUNDUP((IF(K257&lt;26,10.927,11.212))*K257/10,0)*2</f>
        <v>511.6475</v>
      </c>
      <c r="N257" s="165">
        <f>ROUNDUP((H259/12.5*1),0)*2</f>
        <v>320</v>
      </c>
      <c r="O257" s="162">
        <f t="shared" si="105"/>
        <v>1637.272</v>
      </c>
      <c r="P257" s="15">
        <f t="shared" si="106"/>
        <v>0.888</v>
      </c>
      <c r="Q257" s="187">
        <f t="shared" si="107"/>
        <v>1453.897536</v>
      </c>
      <c r="R257" s="192">
        <f>H257+I261-I264*2</f>
        <v>455.781</v>
      </c>
      <c r="S257" s="193">
        <f>I257+I261-I264*2</f>
        <v>511.514</v>
      </c>
      <c r="T257" s="194" t="str">
        <f>ROUND(R257,1)&amp;"~"&amp;ROUND(S257,1)</f>
        <v>455.8~511.5</v>
      </c>
      <c r="V257" s="190">
        <f t="shared" si="108"/>
        <v>14</v>
      </c>
    </row>
    <row r="258" spans="2:22">
      <c r="B258" s="203"/>
      <c r="C258" s="203"/>
      <c r="D258" s="203"/>
      <c r="E258" s="126">
        <f>VLOOKUP(I254,$B$39:$Z$70,3,0)</f>
        <v>106</v>
      </c>
      <c r="F258" s="129">
        <f>VLOOKUP(I254,$B$39:$Z$70,17,0)</f>
        <v>4</v>
      </c>
      <c r="G258" s="127">
        <f>VLOOKUP(I254,$B$39:$Z$70,12,0)</f>
        <v>35</v>
      </c>
      <c r="H258" s="127" t="s">
        <v>229</v>
      </c>
      <c r="I258" s="157"/>
      <c r="J258" s="155" t="s">
        <v>285</v>
      </c>
      <c r="K258" s="158">
        <v>14</v>
      </c>
      <c r="L258" s="159"/>
      <c r="M258" s="166">
        <f>R258+2*ROUNDUP((IF(K258&lt;26,10.927,11.212))*K258/10,0)</f>
        <v>1374</v>
      </c>
      <c r="N258" s="161">
        <f>ROUNDUP(H259/12.5,0)</f>
        <v>160</v>
      </c>
      <c r="O258" s="162">
        <f t="shared" si="105"/>
        <v>2198.4</v>
      </c>
      <c r="P258" s="15">
        <f t="shared" si="106"/>
        <v>1.208</v>
      </c>
      <c r="Q258" s="187">
        <f t="shared" si="107"/>
        <v>2655.6672</v>
      </c>
      <c r="R258" s="195">
        <f>H263-I264*2</f>
        <v>1342</v>
      </c>
      <c r="S258" s="162" t="s">
        <v>286</v>
      </c>
      <c r="T258" s="196"/>
      <c r="V258" s="190">
        <f t="shared" si="108"/>
        <v>16</v>
      </c>
    </row>
    <row r="259" spans="2:22">
      <c r="B259" s="203"/>
      <c r="C259" s="203"/>
      <c r="D259" s="203"/>
      <c r="E259" s="130" t="s">
        <v>287</v>
      </c>
      <c r="F259" s="127" t="s">
        <v>288</v>
      </c>
      <c r="G259" s="127" t="s">
        <v>289</v>
      </c>
      <c r="H259" s="131">
        <f>MAX(VLOOKUP(I254,$B$4:$J$70,4,0),VLOOKUP(I254,$B$4:$J$70,5,0))</f>
        <v>2000</v>
      </c>
      <c r="I259" s="167">
        <f>MIN(VLOOKUP(I254,$B$4:$J$70,4,0),VLOOKUP(I254,$B$4:$J$70,5,0))</f>
        <v>2000</v>
      </c>
      <c r="J259" s="155" t="s">
        <v>290</v>
      </c>
      <c r="K259" s="164">
        <v>14</v>
      </c>
      <c r="L259" s="159"/>
      <c r="M259" s="166">
        <f>R259+2*ROUNDUP((IF(K259&lt;26,10.927,11.212))*K259/10,0)</f>
        <v>196.534054609518</v>
      </c>
      <c r="N259" s="165">
        <f>ROUNDUP(H259/12.5,0)*2</f>
        <v>320</v>
      </c>
      <c r="O259" s="162">
        <f t="shared" si="105"/>
        <v>628.908974750456</v>
      </c>
      <c r="P259" s="15">
        <f t="shared" si="106"/>
        <v>1.208</v>
      </c>
      <c r="Q259" s="187">
        <f t="shared" si="107"/>
        <v>759.722041498551</v>
      </c>
      <c r="R259" s="195">
        <f>((H261+I261-I264*2)+(20-I264*2^0.5))*(2^0.5)</f>
        <v>164.534054609518</v>
      </c>
      <c r="S259" s="162" t="s">
        <v>286</v>
      </c>
      <c r="T259" s="196"/>
      <c r="V259" s="190">
        <f t="shared" si="108"/>
        <v>16</v>
      </c>
    </row>
    <row r="260" spans="2:22">
      <c r="B260" s="203"/>
      <c r="C260" s="203"/>
      <c r="D260" s="203"/>
      <c r="E260" s="132">
        <f>VLOOKUP(I254,$B$39:$Z$70,20,0)</f>
        <v>159</v>
      </c>
      <c r="F260" s="127">
        <f>VLOOKUP(I254,$B$39:$Z$70,23,0)</f>
        <v>159</v>
      </c>
      <c r="G260" s="127">
        <f>VLOOKUP(I254,$B$39:$Z$70,7,0)</f>
        <v>4</v>
      </c>
      <c r="H260" s="133" t="s">
        <v>291</v>
      </c>
      <c r="I260" s="157" t="s">
        <v>292</v>
      </c>
      <c r="J260" s="155" t="s">
        <v>293</v>
      </c>
      <c r="K260" s="158">
        <v>12</v>
      </c>
      <c r="L260" s="159"/>
      <c r="M260" s="166">
        <f>(R260+S260)/2+2*ROUNDUP((IF(K260&lt;26,10.927,11.212))*K260/10,0)</f>
        <v>2020</v>
      </c>
      <c r="N260" s="168">
        <f>4*(G258+1)+(G260-1)*2</f>
        <v>150</v>
      </c>
      <c r="O260" s="162">
        <f t="shared" si="105"/>
        <v>3030</v>
      </c>
      <c r="P260" s="15">
        <f t="shared" si="106"/>
        <v>0.888</v>
      </c>
      <c r="Q260" s="187">
        <f t="shared" si="107"/>
        <v>2690.64</v>
      </c>
      <c r="R260" s="188">
        <f>H259-I264*2</f>
        <v>1992</v>
      </c>
      <c r="S260" s="162">
        <f>I259-I264*2</f>
        <v>1992</v>
      </c>
      <c r="T260" s="194" t="str">
        <f>ROUND(S260,1)&amp;"~"&amp;ROUND(R260,1)</f>
        <v>1992~1992</v>
      </c>
      <c r="V260" s="190">
        <f t="shared" si="108"/>
        <v>14</v>
      </c>
    </row>
    <row r="261" ht="15" spans="2:22">
      <c r="B261" s="203"/>
      <c r="C261" s="203"/>
      <c r="D261" s="203"/>
      <c r="E261" s="134"/>
      <c r="F261" s="135"/>
      <c r="G261" s="135"/>
      <c r="H261" s="136">
        <f>VLOOKUP(I254,$B$4:$J$70,6,0)</f>
        <v>50</v>
      </c>
      <c r="I261" s="167">
        <f>VLOOKUP(I254,$B$4:$J$70,7,0)</f>
        <v>60</v>
      </c>
      <c r="J261" s="155" t="s">
        <v>294</v>
      </c>
      <c r="K261" s="158">
        <v>12</v>
      </c>
      <c r="L261" s="159"/>
      <c r="M261" s="166">
        <f>(R261+S261)/2+2*ROUNDUP((IF(K261&lt;26,10.927,11.212))*K261/10,0)</f>
        <v>2028.77639112645</v>
      </c>
      <c r="N261" s="15">
        <f>2*(E258+1)+F258*2</f>
        <v>222</v>
      </c>
      <c r="O261" s="162">
        <f t="shared" si="105"/>
        <v>4503.88358830073</v>
      </c>
      <c r="P261" s="15">
        <f t="shared" si="106"/>
        <v>0.888</v>
      </c>
      <c r="Q261" s="187">
        <f t="shared" si="107"/>
        <v>3999.44862641105</v>
      </c>
      <c r="R261" s="188">
        <f>((I257-H257)^2+H259^2)^0.5</f>
        <v>2000.77639112645</v>
      </c>
      <c r="S261" s="162">
        <f>((I257-H257)^2+I259^2)^0.5</f>
        <v>2000.77639112645</v>
      </c>
      <c r="T261" s="194" t="str">
        <f>ROUND(S261,1)&amp;"~"&amp;ROUND(R261,1)</f>
        <v>2000.8~2000.8</v>
      </c>
      <c r="V261" s="190">
        <f t="shared" si="108"/>
        <v>14</v>
      </c>
    </row>
    <row r="262" spans="2:22">
      <c r="B262" s="203"/>
      <c r="C262" s="203"/>
      <c r="D262" s="203"/>
      <c r="E262" s="137" t="s">
        <v>295</v>
      </c>
      <c r="F262" s="138"/>
      <c r="G262" s="139"/>
      <c r="H262" s="140" t="s">
        <v>296</v>
      </c>
      <c r="I262" s="169"/>
      <c r="J262" s="155" t="s">
        <v>297</v>
      </c>
      <c r="K262" s="164">
        <v>8</v>
      </c>
      <c r="L262" s="159"/>
      <c r="M262" s="166">
        <f>R262+11</f>
        <v>63</v>
      </c>
      <c r="N262" s="170">
        <f>ROUNDDOWN(((VLOOKUP(I254,$B$39:$Z$70,2,0))/(VLOOKUP(I254,$B$39:$Z$70,4,0))-1),0)/4*((VLOOKUP(I254,$B$39:$Z$70,20,0))+1)</f>
        <v>4280</v>
      </c>
      <c r="O262" s="162">
        <f t="shared" si="105"/>
        <v>2696.4</v>
      </c>
      <c r="P262" s="15">
        <f t="shared" si="106"/>
        <v>0.395</v>
      </c>
      <c r="Q262" s="187">
        <f t="shared" si="107"/>
        <v>1065.078</v>
      </c>
      <c r="R262" s="195">
        <f>I261-2*I264</f>
        <v>52</v>
      </c>
      <c r="S262" s="162" t="s">
        <v>286</v>
      </c>
      <c r="T262" s="196"/>
      <c r="V262" s="197"/>
    </row>
    <row r="263" spans="2:22">
      <c r="B263" s="203"/>
      <c r="C263" s="203"/>
      <c r="D263" s="203"/>
      <c r="E263" s="141" t="s">
        <v>298</v>
      </c>
      <c r="F263" s="142" t="s">
        <v>299</v>
      </c>
      <c r="G263" s="143" t="s">
        <v>300</v>
      </c>
      <c r="H263" s="140">
        <f>VLOOKUP(I254,$B$4:$J$70,8,0)</f>
        <v>1350</v>
      </c>
      <c r="I263" s="169"/>
      <c r="J263" s="155" t="s">
        <v>301</v>
      </c>
      <c r="K263" s="164">
        <v>8</v>
      </c>
      <c r="L263" s="159"/>
      <c r="M263" s="166">
        <f>R263+11</f>
        <v>53</v>
      </c>
      <c r="N263" s="171">
        <f>ROUND(E260/4*G258,0)*2</f>
        <v>2782</v>
      </c>
      <c r="O263" s="162">
        <f t="shared" si="105"/>
        <v>1474.46</v>
      </c>
      <c r="P263" s="15">
        <f t="shared" si="106"/>
        <v>0.395</v>
      </c>
      <c r="Q263" s="187">
        <f t="shared" si="107"/>
        <v>582.4117</v>
      </c>
      <c r="R263" s="195">
        <f>H261-2*I264</f>
        <v>42</v>
      </c>
      <c r="S263" s="162" t="s">
        <v>286</v>
      </c>
      <c r="T263" s="196"/>
      <c r="V263" s="197"/>
    </row>
    <row r="264" ht="15" spans="2:20">
      <c r="B264" s="203"/>
      <c r="C264" s="203"/>
      <c r="D264" s="203"/>
      <c r="E264" s="144">
        <f>IF(I254=0,0,ROUND(((H257+I257)/2*H261*2+H263*I261+0.2*0.2+0.25*0.05*2)*(H259+I259)/2/1000000,1))</f>
        <v>248.3</v>
      </c>
      <c r="F264" s="145">
        <f>IF(I254=0,0,ROUND(Q262+Q263,1))</f>
        <v>1647.5</v>
      </c>
      <c r="G264" s="146">
        <f>IF(I254=0,0,ROUND(Q256+Q257+Q258+Q259+Q260+Q261,1))</f>
        <v>19338.1</v>
      </c>
      <c r="H264" s="147" t="s">
        <v>302</v>
      </c>
      <c r="I264" s="172">
        <f>$P$3</f>
        <v>4</v>
      </c>
      <c r="J264" s="173" t="s">
        <v>303</v>
      </c>
      <c r="K264" s="174" t="str">
        <f>"C40混凝土:"&amp;ROUND(((H257+I257)/2*H261*2+H263*I261+0.2*0.2+0.25*0.05*2)*(H259+I259)/2/1000000,1)&amp;"m"&amp;"      "&amp;"HPB300:"&amp;ROUND(Q262+Q263,1)&amp;"kg       "&amp;"HRB400:"&amp;ROUND(Q256+Q257+Q258+Q259+Q260+Q261,1)&amp;"kg"</f>
        <v>C40混凝土:248.3m      HPB300:1647.5kg       HRB400:19338.1kg</v>
      </c>
      <c r="L264" s="174"/>
      <c r="M264" s="174"/>
      <c r="N264" s="174"/>
      <c r="O264" s="174"/>
      <c r="P264" s="174"/>
      <c r="Q264" s="198"/>
      <c r="R264" s="199" t="s">
        <v>304</v>
      </c>
      <c r="S264" s="174">
        <f>ROUND(SUM(Q256:Q263)/ROUND(((H257+I257)/2*H261*2+H263*I261+0.2*0.2+0.25*0.05*2)*(H259+I259)/2/1000000,1),1)</f>
        <v>84.5</v>
      </c>
      <c r="T264" s="200"/>
    </row>
    <row r="266" spans="2:22">
      <c r="B266" s="123" t="str">
        <f>B20</f>
        <v>ZU17-1</v>
      </c>
      <c r="C266" s="123"/>
      <c r="D266" s="123"/>
      <c r="E266" s="10" t="s">
        <v>268</v>
      </c>
      <c r="F266" s="11"/>
      <c r="G266" s="11"/>
      <c r="H266" s="124" t="s">
        <v>269</v>
      </c>
      <c r="I266" s="151" t="str">
        <f>B266</f>
        <v>ZU17-1</v>
      </c>
      <c r="J266" s="152" t="s">
        <v>270</v>
      </c>
      <c r="K266" s="11" t="s">
        <v>271</v>
      </c>
      <c r="L266" s="11" t="s">
        <v>272</v>
      </c>
      <c r="M266" s="153" t="s">
        <v>273</v>
      </c>
      <c r="N266" s="11" t="s">
        <v>274</v>
      </c>
      <c r="O266" s="153" t="s">
        <v>275</v>
      </c>
      <c r="P266" s="153" t="s">
        <v>276</v>
      </c>
      <c r="Q266" s="179" t="s">
        <v>277</v>
      </c>
      <c r="R266" s="180" t="s">
        <v>278</v>
      </c>
      <c r="S266" s="181"/>
      <c r="T266" s="182"/>
      <c r="V266" s="1" t="s">
        <v>279</v>
      </c>
    </row>
    <row r="267" spans="2:22">
      <c r="B267" s="123"/>
      <c r="C267" s="123"/>
      <c r="D267" s="123"/>
      <c r="E267" s="13"/>
      <c r="F267" s="15"/>
      <c r="G267" s="15"/>
      <c r="H267" s="125"/>
      <c r="I267" s="154"/>
      <c r="J267" s="155"/>
      <c r="K267" s="15"/>
      <c r="L267" s="15"/>
      <c r="M267" s="156"/>
      <c r="N267" s="15"/>
      <c r="O267" s="156"/>
      <c r="P267" s="156"/>
      <c r="Q267" s="183"/>
      <c r="R267" s="184"/>
      <c r="S267" s="185"/>
      <c r="T267" s="186"/>
      <c r="U267" s="1"/>
      <c r="V267" s="1"/>
    </row>
    <row r="268" spans="2:22">
      <c r="B268" s="123"/>
      <c r="C268" s="123"/>
      <c r="D268" s="123"/>
      <c r="E268" s="13"/>
      <c r="F268" s="15"/>
      <c r="G268" s="15"/>
      <c r="H268" s="15" t="s">
        <v>280</v>
      </c>
      <c r="I268" s="157"/>
      <c r="J268" s="155" t="s">
        <v>281</v>
      </c>
      <c r="K268" s="158">
        <f>'1.U型槽主筋验算'!K18</f>
        <v>22</v>
      </c>
      <c r="L268" s="159"/>
      <c r="M268" s="160">
        <f>(R268+S268)/2+ROUNDUP((IF(K268&lt;26,10.927,11.212))*K268/10,0)*2</f>
        <v>2331.663</v>
      </c>
      <c r="N268" s="161">
        <f>ROUNDUP((H271/12.5),0)*IF(I269&gt;600,2,1)</f>
        <v>160</v>
      </c>
      <c r="O268" s="162">
        <f t="shared" ref="O268:O275" si="109">M268*N268/100</f>
        <v>3730.6608</v>
      </c>
      <c r="P268" s="15">
        <f t="shared" ref="P268:P275" si="110">ROUND(K268^2*PI()/4/1000000*7850,3)</f>
        <v>2.984</v>
      </c>
      <c r="Q268" s="187">
        <f t="shared" ref="Q268:Q275" si="111">O268*P268</f>
        <v>11132.2918272</v>
      </c>
      <c r="R268" s="188">
        <f>(H269+I273-I276*2)*2+(H275-I276*2)+(H273-I276*2)*2</f>
        <v>2225.93</v>
      </c>
      <c r="S268" s="162">
        <f>(I269+I273-I276*2)*2+(H275-I276*2)+(H273-I276*2)*2</f>
        <v>2337.396</v>
      </c>
      <c r="T268" s="189">
        <f>R270</f>
        <v>1342</v>
      </c>
      <c r="V268" s="190">
        <f t="shared" ref="V268:V273" si="112">ROUNDUP((IF(K268&lt;26,10.927,11.212))*K268/10,0)</f>
        <v>25</v>
      </c>
    </row>
    <row r="269" spans="2:22">
      <c r="B269" s="123"/>
      <c r="C269" s="123"/>
      <c r="D269" s="123"/>
      <c r="E269" s="126" t="s">
        <v>244</v>
      </c>
      <c r="F269" s="127" t="s">
        <v>282</v>
      </c>
      <c r="G269" s="127" t="s">
        <v>283</v>
      </c>
      <c r="H269" s="128">
        <f>MIN(VLOOKUP(I266,$B$4:$J$70,2,0),VLOOKUP(I266,$B$4:$J$70,3,0))</f>
        <v>347.965</v>
      </c>
      <c r="I269" s="163">
        <f>MAX(VLOOKUP(I266,$B$4:$J$70,2,0),VLOOKUP(I266,$B$4:$J$70,3,0))</f>
        <v>403.698</v>
      </c>
      <c r="J269" s="155" t="s">
        <v>284</v>
      </c>
      <c r="K269" s="164">
        <v>12</v>
      </c>
      <c r="L269" s="159"/>
      <c r="M269" s="160">
        <f>(R269+S269)/2+ROUNDUP((IF(K269&lt;26,10.927,11.212))*K269/10,0)*2</f>
        <v>455.8315</v>
      </c>
      <c r="N269" s="165">
        <f>ROUNDUP((H271/12.5*1),0)*2</f>
        <v>320</v>
      </c>
      <c r="O269" s="162">
        <f t="shared" si="109"/>
        <v>1458.6608</v>
      </c>
      <c r="P269" s="15">
        <f t="shared" si="110"/>
        <v>0.888</v>
      </c>
      <c r="Q269" s="187">
        <f t="shared" si="111"/>
        <v>1295.2907904</v>
      </c>
      <c r="R269" s="192">
        <f>H269+I273-I276*2</f>
        <v>399.965</v>
      </c>
      <c r="S269" s="193">
        <f>I269+I273-I276*2</f>
        <v>455.698</v>
      </c>
      <c r="T269" s="194" t="str">
        <f>ROUND(R269,1)&amp;"~"&amp;ROUND(S269,1)</f>
        <v>400~455.7</v>
      </c>
      <c r="V269" s="190">
        <f t="shared" si="112"/>
        <v>14</v>
      </c>
    </row>
    <row r="270" spans="2:22">
      <c r="B270" s="123"/>
      <c r="C270" s="123"/>
      <c r="D270" s="123"/>
      <c r="E270" s="126">
        <f>VLOOKUP(I266,$B$39:$Z$70,3,0)</f>
        <v>106</v>
      </c>
      <c r="F270" s="129">
        <f>VLOOKUP(I266,$B$39:$Z$70,17,0)</f>
        <v>5</v>
      </c>
      <c r="G270" s="127">
        <f>VLOOKUP(I266,$B$39:$Z$70,12,0)</f>
        <v>31</v>
      </c>
      <c r="H270" s="127" t="s">
        <v>229</v>
      </c>
      <c r="I270" s="157"/>
      <c r="J270" s="155" t="s">
        <v>285</v>
      </c>
      <c r="K270" s="158">
        <v>14</v>
      </c>
      <c r="L270" s="159"/>
      <c r="M270" s="166">
        <f>R270+2*ROUNDUP((IF(K270&lt;26,10.927,11.212))*K270/10,0)</f>
        <v>1374</v>
      </c>
      <c r="N270" s="161">
        <f>ROUNDUP(H271/12.5,0)</f>
        <v>160</v>
      </c>
      <c r="O270" s="162">
        <f t="shared" si="109"/>
        <v>2198.4</v>
      </c>
      <c r="P270" s="15">
        <f t="shared" si="110"/>
        <v>1.208</v>
      </c>
      <c r="Q270" s="187">
        <f t="shared" si="111"/>
        <v>2655.6672</v>
      </c>
      <c r="R270" s="195">
        <f>H275-I276*2</f>
        <v>1342</v>
      </c>
      <c r="S270" s="162" t="s">
        <v>286</v>
      </c>
      <c r="T270" s="196"/>
      <c r="V270" s="190">
        <f t="shared" si="112"/>
        <v>16</v>
      </c>
    </row>
    <row r="271" spans="2:22">
      <c r="B271" s="123"/>
      <c r="C271" s="123"/>
      <c r="D271" s="123"/>
      <c r="E271" s="130" t="s">
        <v>287</v>
      </c>
      <c r="F271" s="127" t="s">
        <v>288</v>
      </c>
      <c r="G271" s="127" t="s">
        <v>289</v>
      </c>
      <c r="H271" s="131">
        <f>MAX(VLOOKUP(I266,$B$4:$J$70,4,0),VLOOKUP(I266,$B$4:$J$70,5,0))</f>
        <v>2000</v>
      </c>
      <c r="I271" s="167">
        <f>MIN(VLOOKUP(I266,$B$4:$J$70,4,0),VLOOKUP(I266,$B$4:$J$70,5,0))</f>
        <v>2000</v>
      </c>
      <c r="J271" s="155" t="s">
        <v>290</v>
      </c>
      <c r="K271" s="164">
        <v>14</v>
      </c>
      <c r="L271" s="159"/>
      <c r="M271" s="166">
        <f>R271+2*ROUNDUP((IF(K271&lt;26,10.927,11.212))*K271/10,0)</f>
        <v>196.534054609518</v>
      </c>
      <c r="N271" s="165">
        <f>ROUNDUP(H271/12.5,0)*2</f>
        <v>320</v>
      </c>
      <c r="O271" s="162">
        <f t="shared" si="109"/>
        <v>628.908974750456</v>
      </c>
      <c r="P271" s="15">
        <f t="shared" si="110"/>
        <v>1.208</v>
      </c>
      <c r="Q271" s="187">
        <f t="shared" si="111"/>
        <v>759.722041498551</v>
      </c>
      <c r="R271" s="195">
        <f>((H273+I273-I276*2)+(20-I276*2^0.5))*(2^0.5)</f>
        <v>164.534054609518</v>
      </c>
      <c r="S271" s="162" t="s">
        <v>286</v>
      </c>
      <c r="T271" s="196"/>
      <c r="V271" s="190">
        <f t="shared" si="112"/>
        <v>16</v>
      </c>
    </row>
    <row r="272" spans="2:22">
      <c r="B272" s="123"/>
      <c r="C272" s="123"/>
      <c r="D272" s="123"/>
      <c r="E272" s="132">
        <f>VLOOKUP(I266,$B$39:$Z$70,20,0)</f>
        <v>159</v>
      </c>
      <c r="F272" s="127">
        <f>VLOOKUP(I266,$B$39:$Z$70,23,0)</f>
        <v>159</v>
      </c>
      <c r="G272" s="127">
        <f>VLOOKUP(I266,$B$39:$Z$70,7,0)</f>
        <v>4</v>
      </c>
      <c r="H272" s="133" t="s">
        <v>291</v>
      </c>
      <c r="I272" s="157" t="s">
        <v>292</v>
      </c>
      <c r="J272" s="155" t="s">
        <v>293</v>
      </c>
      <c r="K272" s="158">
        <v>12</v>
      </c>
      <c r="L272" s="159"/>
      <c r="M272" s="166">
        <f>(R272+S272)/2+2*ROUNDUP((IF(K272&lt;26,10.927,11.212))*K272/10,0)</f>
        <v>2020</v>
      </c>
      <c r="N272" s="168">
        <f>4*(G270+1)+(G272-1)*2</f>
        <v>134</v>
      </c>
      <c r="O272" s="162">
        <f t="shared" si="109"/>
        <v>2706.8</v>
      </c>
      <c r="P272" s="15">
        <f t="shared" si="110"/>
        <v>0.888</v>
      </c>
      <c r="Q272" s="187">
        <f t="shared" si="111"/>
        <v>2403.6384</v>
      </c>
      <c r="R272" s="188">
        <f>H271-I276*2</f>
        <v>1992</v>
      </c>
      <c r="S272" s="162">
        <f>I271-I276*2</f>
        <v>1992</v>
      </c>
      <c r="T272" s="194" t="str">
        <f>ROUND(S272,1)&amp;"~"&amp;ROUND(R272,1)</f>
        <v>1992~1992</v>
      </c>
      <c r="V272" s="190">
        <f t="shared" si="112"/>
        <v>14</v>
      </c>
    </row>
    <row r="273" ht="15" spans="2:22">
      <c r="B273" s="123"/>
      <c r="C273" s="123"/>
      <c r="D273" s="123"/>
      <c r="E273" s="134"/>
      <c r="F273" s="135"/>
      <c r="G273" s="135"/>
      <c r="H273" s="136">
        <f>VLOOKUP(I266,$B$4:$J$70,6,0)</f>
        <v>50</v>
      </c>
      <c r="I273" s="167">
        <f>VLOOKUP(I266,$B$4:$J$70,7,0)</f>
        <v>60</v>
      </c>
      <c r="J273" s="155" t="s">
        <v>294</v>
      </c>
      <c r="K273" s="158">
        <v>12</v>
      </c>
      <c r="L273" s="159"/>
      <c r="M273" s="166">
        <f>(R273+S273)/2+2*ROUNDUP((IF(K273&lt;26,10.927,11.212))*K273/10,0)</f>
        <v>2028.77639112645</v>
      </c>
      <c r="N273" s="15">
        <f>2*(E270+1)+F270*2</f>
        <v>224</v>
      </c>
      <c r="O273" s="162">
        <f t="shared" si="109"/>
        <v>4544.45911612326</v>
      </c>
      <c r="P273" s="15">
        <f t="shared" si="110"/>
        <v>0.888</v>
      </c>
      <c r="Q273" s="187">
        <f t="shared" si="111"/>
        <v>4035.47969511745</v>
      </c>
      <c r="R273" s="188">
        <f>((I269-H269)^2+H271^2)^0.5</f>
        <v>2000.77639112645</v>
      </c>
      <c r="S273" s="162">
        <f>((I269-H269)^2+I271^2)^0.5</f>
        <v>2000.77639112645</v>
      </c>
      <c r="T273" s="194" t="str">
        <f>ROUND(S273,1)&amp;"~"&amp;ROUND(R273,1)</f>
        <v>2000.8~2000.8</v>
      </c>
      <c r="V273" s="190">
        <f t="shared" si="112"/>
        <v>14</v>
      </c>
    </row>
    <row r="274" spans="2:22">
      <c r="B274" s="123"/>
      <c r="C274" s="123"/>
      <c r="D274" s="123"/>
      <c r="E274" s="137" t="s">
        <v>295</v>
      </c>
      <c r="F274" s="138"/>
      <c r="G274" s="139"/>
      <c r="H274" s="140" t="s">
        <v>296</v>
      </c>
      <c r="I274" s="169"/>
      <c r="J274" s="155" t="s">
        <v>297</v>
      </c>
      <c r="K274" s="164">
        <v>8</v>
      </c>
      <c r="L274" s="159"/>
      <c r="M274" s="166">
        <f>R274+11</f>
        <v>63</v>
      </c>
      <c r="N274" s="170">
        <f>ROUNDDOWN(((VLOOKUP(I266,$B$39:$Z$70,2,0))/(VLOOKUP(I266,$B$39:$Z$70,4,0))-1),0)/4*((VLOOKUP(I266,$B$39:$Z$70,20,0))+1)</f>
        <v>4280</v>
      </c>
      <c r="O274" s="162">
        <f t="shared" si="109"/>
        <v>2696.4</v>
      </c>
      <c r="P274" s="15">
        <f t="shared" si="110"/>
        <v>0.395</v>
      </c>
      <c r="Q274" s="187">
        <f t="shared" si="111"/>
        <v>1065.078</v>
      </c>
      <c r="R274" s="195">
        <f>I273-2*I276</f>
        <v>52</v>
      </c>
      <c r="S274" s="162" t="s">
        <v>286</v>
      </c>
      <c r="T274" s="196"/>
      <c r="V274" s="197"/>
    </row>
    <row r="275" spans="2:22">
      <c r="B275" s="123"/>
      <c r="C275" s="123"/>
      <c r="D275" s="123"/>
      <c r="E275" s="141" t="s">
        <v>298</v>
      </c>
      <c r="F275" s="142" t="s">
        <v>299</v>
      </c>
      <c r="G275" s="143" t="s">
        <v>300</v>
      </c>
      <c r="H275" s="140">
        <f>VLOOKUP(I266,$B$4:$J$70,8,0)</f>
        <v>1350</v>
      </c>
      <c r="I275" s="169"/>
      <c r="J275" s="155" t="s">
        <v>301</v>
      </c>
      <c r="K275" s="164">
        <v>8</v>
      </c>
      <c r="L275" s="159"/>
      <c r="M275" s="166">
        <f>R275+11</f>
        <v>53</v>
      </c>
      <c r="N275" s="171">
        <f>ROUND(E272/4*G270,0)*2</f>
        <v>2464</v>
      </c>
      <c r="O275" s="162">
        <f t="shared" si="109"/>
        <v>1305.92</v>
      </c>
      <c r="P275" s="15">
        <f t="shared" si="110"/>
        <v>0.395</v>
      </c>
      <c r="Q275" s="187">
        <f t="shared" si="111"/>
        <v>515.8384</v>
      </c>
      <c r="R275" s="195">
        <f>H273-2*I276</f>
        <v>42</v>
      </c>
      <c r="S275" s="162" t="s">
        <v>286</v>
      </c>
      <c r="T275" s="196"/>
      <c r="V275" s="197"/>
    </row>
    <row r="276" ht="15" spans="2:20">
      <c r="B276" s="123"/>
      <c r="C276" s="123"/>
      <c r="D276" s="123"/>
      <c r="E276" s="144">
        <f>IF(I266=0,0,ROUND(((H269+I269)/2*H273*2+H275*I273+0.2*0.2+0.25*0.05*2)*(H271+I271)/2/1000000,1))</f>
        <v>237.2</v>
      </c>
      <c r="F276" s="145">
        <f>IF(I266=0,0,ROUND(Q274+Q275,1))</f>
        <v>1580.9</v>
      </c>
      <c r="G276" s="146">
        <f>IF(I266=0,0,ROUND(Q268+Q269+Q270+Q271+Q272+Q273,1))</f>
        <v>22282.1</v>
      </c>
      <c r="H276" s="147" t="s">
        <v>302</v>
      </c>
      <c r="I276" s="172">
        <f>$P$3</f>
        <v>4</v>
      </c>
      <c r="J276" s="173" t="s">
        <v>303</v>
      </c>
      <c r="K276" s="174" t="str">
        <f>"C40混凝土:"&amp;ROUND(((H269+I269)/2*H273*2+H275*I273+0.2*0.2+0.25*0.05*2)*(H271+I271)/2/1000000,1)&amp;"m"&amp;"      "&amp;"HPB300:"&amp;ROUND(Q274+Q275,1)&amp;"kg       "&amp;"HRB400:"&amp;ROUND(Q268+Q269+Q270+Q271+Q272+Q273,1)&amp;"kg"</f>
        <v>C40混凝土:237.2m      HPB300:1580.9kg       HRB400:22282.1kg</v>
      </c>
      <c r="L276" s="174"/>
      <c r="M276" s="174"/>
      <c r="N276" s="174"/>
      <c r="O276" s="174"/>
      <c r="P276" s="174"/>
      <c r="Q276" s="198"/>
      <c r="R276" s="199" t="s">
        <v>304</v>
      </c>
      <c r="S276" s="174">
        <f>ROUND(SUM(Q268:Q275)/ROUND(((H269+I269)/2*H273*2+H275*I273+0.2*0.2+0.25*0.05*2)*(H271+I271)/2/1000000,1),1)</f>
        <v>100.6</v>
      </c>
      <c r="T276" s="200"/>
    </row>
    <row r="277" ht="15" spans="2:4">
      <c r="B277" s="148"/>
      <c r="C277" s="123"/>
      <c r="D277" s="148"/>
    </row>
    <row r="278" spans="2:22">
      <c r="B278" s="123" t="str">
        <f>B21</f>
        <v>ZU18-1</v>
      </c>
      <c r="C278" s="123"/>
      <c r="D278" s="123"/>
      <c r="E278" s="10" t="s">
        <v>268</v>
      </c>
      <c r="F278" s="11"/>
      <c r="G278" s="11"/>
      <c r="H278" s="124" t="s">
        <v>269</v>
      </c>
      <c r="I278" s="151" t="str">
        <f>B278</f>
        <v>ZU18-1</v>
      </c>
      <c r="J278" s="152" t="s">
        <v>270</v>
      </c>
      <c r="K278" s="11" t="s">
        <v>271</v>
      </c>
      <c r="L278" s="11" t="s">
        <v>272</v>
      </c>
      <c r="M278" s="153" t="s">
        <v>273</v>
      </c>
      <c r="N278" s="11" t="s">
        <v>274</v>
      </c>
      <c r="O278" s="153" t="s">
        <v>275</v>
      </c>
      <c r="P278" s="153" t="s">
        <v>276</v>
      </c>
      <c r="Q278" s="179" t="s">
        <v>277</v>
      </c>
      <c r="R278" s="180" t="s">
        <v>278</v>
      </c>
      <c r="S278" s="181"/>
      <c r="T278" s="182"/>
      <c r="V278" s="1" t="s">
        <v>279</v>
      </c>
    </row>
    <row r="279" spans="2:22">
      <c r="B279" s="123"/>
      <c r="C279" s="123"/>
      <c r="D279" s="123"/>
      <c r="E279" s="13"/>
      <c r="F279" s="15"/>
      <c r="G279" s="15"/>
      <c r="H279" s="125"/>
      <c r="I279" s="154"/>
      <c r="J279" s="155"/>
      <c r="K279" s="15"/>
      <c r="L279" s="15"/>
      <c r="M279" s="156"/>
      <c r="N279" s="15"/>
      <c r="O279" s="156"/>
      <c r="P279" s="156"/>
      <c r="Q279" s="183"/>
      <c r="R279" s="184"/>
      <c r="S279" s="185"/>
      <c r="T279" s="186"/>
      <c r="U279" s="1"/>
      <c r="V279" s="1"/>
    </row>
    <row r="280" spans="2:22">
      <c r="B280" s="123"/>
      <c r="C280" s="123"/>
      <c r="D280" s="123"/>
      <c r="E280" s="13"/>
      <c r="F280" s="15"/>
      <c r="G280" s="15"/>
      <c r="H280" s="15" t="s">
        <v>280</v>
      </c>
      <c r="I280" s="157"/>
      <c r="J280" s="155" t="s">
        <v>281</v>
      </c>
      <c r="K280" s="158">
        <f>'1.U型槽主筋验算'!K19</f>
        <v>20</v>
      </c>
      <c r="L280" s="159"/>
      <c r="M280" s="160">
        <f>(R280+S280)/2+ROUNDUP((IF(K280&lt;26,10.927,11.212))*K280/10,0)*2</f>
        <v>2160.23</v>
      </c>
      <c r="N280" s="161">
        <f>ROUNDUP((H283/12.5),0)*IF(I281&gt;600,2,1)</f>
        <v>160</v>
      </c>
      <c r="O280" s="162">
        <f t="shared" ref="O280:O287" si="113">M280*N280/100</f>
        <v>3456.368</v>
      </c>
      <c r="P280" s="15">
        <f t="shared" ref="P280:P287" si="114">ROUND(K280^2*PI()/4/1000000*7850,3)</f>
        <v>2.466</v>
      </c>
      <c r="Q280" s="187">
        <f t="shared" ref="Q280:Q287" si="115">O280*P280</f>
        <v>8523.403488</v>
      </c>
      <c r="R280" s="188">
        <f>(H281+I285-I288*2)*2+(H287-I288*2)+(H285-I288*2)*2</f>
        <v>2060.498</v>
      </c>
      <c r="S280" s="162">
        <f>(I281+I285-I288*2)*2+(H287-I288*2)+(H285-I288*2)*2</f>
        <v>2171.962</v>
      </c>
      <c r="T280" s="189">
        <f>R282</f>
        <v>1328.2</v>
      </c>
      <c r="V280" s="190">
        <f t="shared" ref="V280:V285" si="116">ROUNDUP((IF(K280&lt;26,10.927,11.212))*K280/10,0)</f>
        <v>22</v>
      </c>
    </row>
    <row r="281" spans="2:22">
      <c r="B281" s="123"/>
      <c r="C281" s="123"/>
      <c r="D281" s="123"/>
      <c r="E281" s="126" t="s">
        <v>244</v>
      </c>
      <c r="F281" s="127" t="s">
        <v>282</v>
      </c>
      <c r="G281" s="127" t="s">
        <v>283</v>
      </c>
      <c r="H281" s="128">
        <f>MIN(VLOOKUP(I278,$B$4:$J$70,2,0),VLOOKUP(I278,$B$4:$J$70,3,0))</f>
        <v>292.149</v>
      </c>
      <c r="I281" s="163">
        <f>MAX(VLOOKUP(I278,$B$4:$J$70,2,0),VLOOKUP(I278,$B$4:$J$70,3,0))</f>
        <v>347.881</v>
      </c>
      <c r="J281" s="155" t="s">
        <v>284</v>
      </c>
      <c r="K281" s="164">
        <v>12</v>
      </c>
      <c r="L281" s="159"/>
      <c r="M281" s="160">
        <f>(R281+S281)/2+ROUNDUP((IF(K281&lt;26,10.927,11.212))*K281/10,0)*2</f>
        <v>390.015</v>
      </c>
      <c r="N281" s="165">
        <f>ROUNDUP((H283/12.5*1),0)*2</f>
        <v>320</v>
      </c>
      <c r="O281" s="162">
        <f t="shared" si="113"/>
        <v>1248.048</v>
      </c>
      <c r="P281" s="15">
        <f t="shared" si="114"/>
        <v>0.888</v>
      </c>
      <c r="Q281" s="187">
        <f t="shared" si="115"/>
        <v>1108.266624</v>
      </c>
      <c r="R281" s="192">
        <f>H281+I285-I288*2</f>
        <v>334.149</v>
      </c>
      <c r="S281" s="193">
        <f>I281+I285-I288*2</f>
        <v>389.881</v>
      </c>
      <c r="T281" s="194" t="str">
        <f>ROUND(R281,1)&amp;"~"&amp;ROUND(S281,1)</f>
        <v>334.1~389.9</v>
      </c>
      <c r="V281" s="190">
        <f t="shared" si="116"/>
        <v>14</v>
      </c>
    </row>
    <row r="282" spans="2:22">
      <c r="B282" s="123"/>
      <c r="C282" s="123"/>
      <c r="D282" s="123"/>
      <c r="E282" s="126">
        <f>VLOOKUP(I278,$B$39:$Z$70,3,0)</f>
        <v>105</v>
      </c>
      <c r="F282" s="129">
        <f>VLOOKUP(I278,$B$39:$Z$70,17,0)</f>
        <v>4</v>
      </c>
      <c r="G282" s="127">
        <f>VLOOKUP(I278,$B$39:$Z$70,12,0)</f>
        <v>26</v>
      </c>
      <c r="H282" s="127" t="s">
        <v>229</v>
      </c>
      <c r="I282" s="157"/>
      <c r="J282" s="155" t="s">
        <v>285</v>
      </c>
      <c r="K282" s="158">
        <v>14</v>
      </c>
      <c r="L282" s="159"/>
      <c r="M282" s="166">
        <f>R282+2*ROUNDUP((IF(K282&lt;26,10.927,11.212))*K282/10,0)</f>
        <v>1360.2</v>
      </c>
      <c r="N282" s="161">
        <f>ROUNDUP(H283/12.5,0)</f>
        <v>160</v>
      </c>
      <c r="O282" s="162">
        <f t="shared" si="113"/>
        <v>2176.32</v>
      </c>
      <c r="P282" s="15">
        <f t="shared" si="114"/>
        <v>1.208</v>
      </c>
      <c r="Q282" s="187">
        <f t="shared" si="115"/>
        <v>2628.99456</v>
      </c>
      <c r="R282" s="195">
        <f>H287-I288*2</f>
        <v>1328.2</v>
      </c>
      <c r="S282" s="162" t="s">
        <v>286</v>
      </c>
      <c r="T282" s="196"/>
      <c r="V282" s="190">
        <f t="shared" si="116"/>
        <v>16</v>
      </c>
    </row>
    <row r="283" spans="2:22">
      <c r="B283" s="123"/>
      <c r="C283" s="123"/>
      <c r="D283" s="123"/>
      <c r="E283" s="130" t="s">
        <v>287</v>
      </c>
      <c r="F283" s="127" t="s">
        <v>288</v>
      </c>
      <c r="G283" s="127" t="s">
        <v>289</v>
      </c>
      <c r="H283" s="131">
        <f>MAX(VLOOKUP(I278,$B$4:$J$70,4,0),VLOOKUP(I278,$B$4:$J$70,5,0))</f>
        <v>2000</v>
      </c>
      <c r="I283" s="167">
        <f>MIN(VLOOKUP(I278,$B$4:$J$70,4,0),VLOOKUP(I278,$B$4:$J$70,5,0))</f>
        <v>2000</v>
      </c>
      <c r="J283" s="155" t="s">
        <v>290</v>
      </c>
      <c r="K283" s="164">
        <v>14</v>
      </c>
      <c r="L283" s="159"/>
      <c r="M283" s="166">
        <f>R283+2*ROUNDUP((IF(K283&lt;26,10.927,11.212))*K283/10,0)</f>
        <v>168.249783362056</v>
      </c>
      <c r="N283" s="165">
        <f>ROUNDUP(H283/12.5,0)*2</f>
        <v>320</v>
      </c>
      <c r="O283" s="162">
        <f t="shared" si="113"/>
        <v>538.399306758578</v>
      </c>
      <c r="P283" s="15">
        <f t="shared" si="114"/>
        <v>1.208</v>
      </c>
      <c r="Q283" s="187">
        <f t="shared" si="115"/>
        <v>650.386362564363</v>
      </c>
      <c r="R283" s="195">
        <f>((H285+I285-I288*2)+(20-I288*2^0.5))*(2^0.5)</f>
        <v>136.249783362056</v>
      </c>
      <c r="S283" s="162" t="s">
        <v>286</v>
      </c>
      <c r="T283" s="196"/>
      <c r="V283" s="190">
        <f t="shared" si="116"/>
        <v>16</v>
      </c>
    </row>
    <row r="284" spans="2:22">
      <c r="B284" s="123"/>
      <c r="C284" s="123"/>
      <c r="D284" s="123"/>
      <c r="E284" s="132">
        <f>VLOOKUP(I278,$B$39:$Z$70,20,0)</f>
        <v>159</v>
      </c>
      <c r="F284" s="127">
        <f>VLOOKUP(I278,$B$39:$Z$70,23,0)</f>
        <v>159</v>
      </c>
      <c r="G284" s="127">
        <f>VLOOKUP(I278,$B$39:$Z$70,7,0)</f>
        <v>3</v>
      </c>
      <c r="H284" s="133" t="s">
        <v>291</v>
      </c>
      <c r="I284" s="157" t="s">
        <v>292</v>
      </c>
      <c r="J284" s="155" t="s">
        <v>293</v>
      </c>
      <c r="K284" s="158">
        <v>12</v>
      </c>
      <c r="L284" s="159"/>
      <c r="M284" s="166">
        <f>(R284+S284)/2+2*ROUNDUP((IF(K284&lt;26,10.927,11.212))*K284/10,0)</f>
        <v>2020</v>
      </c>
      <c r="N284" s="168">
        <f>4*(G282+1)+(G284-1)*2</f>
        <v>112</v>
      </c>
      <c r="O284" s="162">
        <f t="shared" si="113"/>
        <v>2262.4</v>
      </c>
      <c r="P284" s="15">
        <f t="shared" si="114"/>
        <v>0.888</v>
      </c>
      <c r="Q284" s="187">
        <f t="shared" si="115"/>
        <v>2009.0112</v>
      </c>
      <c r="R284" s="188">
        <f>H283-I288*2</f>
        <v>1992</v>
      </c>
      <c r="S284" s="162">
        <f>I283-I288*2</f>
        <v>1992</v>
      </c>
      <c r="T284" s="194" t="str">
        <f>ROUND(S284,1)&amp;"~"&amp;ROUND(R284,1)</f>
        <v>1992~1992</v>
      </c>
      <c r="V284" s="190">
        <f t="shared" si="116"/>
        <v>14</v>
      </c>
    </row>
    <row r="285" ht="15" spans="2:22">
      <c r="B285" s="123"/>
      <c r="C285" s="123"/>
      <c r="D285" s="123"/>
      <c r="E285" s="134"/>
      <c r="F285" s="135"/>
      <c r="G285" s="135"/>
      <c r="H285" s="136">
        <f>VLOOKUP(I278,$B$4:$J$70,6,0)</f>
        <v>40</v>
      </c>
      <c r="I285" s="167">
        <f>VLOOKUP(I278,$B$4:$J$70,7,0)</f>
        <v>50</v>
      </c>
      <c r="J285" s="155" t="s">
        <v>294</v>
      </c>
      <c r="K285" s="158">
        <v>12</v>
      </c>
      <c r="L285" s="159"/>
      <c r="M285" s="166">
        <f>(R285+S285)/2+2*ROUNDUP((IF(K285&lt;26,10.927,11.212))*K285/10,0)</f>
        <v>2028.77636327102</v>
      </c>
      <c r="N285" s="15">
        <f>2*(E282+1)+F282*2</f>
        <v>220</v>
      </c>
      <c r="O285" s="162">
        <f t="shared" si="113"/>
        <v>4463.30799919624</v>
      </c>
      <c r="P285" s="15">
        <f t="shared" si="114"/>
        <v>0.888</v>
      </c>
      <c r="Q285" s="187">
        <f t="shared" si="115"/>
        <v>3963.41750328626</v>
      </c>
      <c r="R285" s="188">
        <f>((I281-H281)^2+H283^2)^0.5</f>
        <v>2000.77636327102</v>
      </c>
      <c r="S285" s="162">
        <f>((I281-H281)^2+I283^2)^0.5</f>
        <v>2000.77636327102</v>
      </c>
      <c r="T285" s="194" t="str">
        <f>ROUND(S285,1)&amp;"~"&amp;ROUND(R285,1)</f>
        <v>2000.8~2000.8</v>
      </c>
      <c r="V285" s="190">
        <f t="shared" si="116"/>
        <v>14</v>
      </c>
    </row>
    <row r="286" spans="2:22">
      <c r="B286" s="123"/>
      <c r="C286" s="123"/>
      <c r="D286" s="123"/>
      <c r="E286" s="137" t="s">
        <v>295</v>
      </c>
      <c r="F286" s="138"/>
      <c r="G286" s="139"/>
      <c r="H286" s="140" t="s">
        <v>296</v>
      </c>
      <c r="I286" s="169"/>
      <c r="J286" s="155" t="s">
        <v>297</v>
      </c>
      <c r="K286" s="164">
        <v>8</v>
      </c>
      <c r="L286" s="159"/>
      <c r="M286" s="166">
        <f>R286+11</f>
        <v>53</v>
      </c>
      <c r="N286" s="170">
        <f>ROUNDDOWN(((VLOOKUP(I278,$B$39:$Z$70,2,0))/(VLOOKUP(I278,$B$39:$Z$70,4,0))-1),0)/4*((VLOOKUP(I278,$B$39:$Z$70,20,0))+1)</f>
        <v>4200</v>
      </c>
      <c r="O286" s="162">
        <f t="shared" si="113"/>
        <v>2226</v>
      </c>
      <c r="P286" s="15">
        <f t="shared" si="114"/>
        <v>0.395</v>
      </c>
      <c r="Q286" s="187">
        <f t="shared" si="115"/>
        <v>879.27</v>
      </c>
      <c r="R286" s="195">
        <f>I285-2*I288</f>
        <v>42</v>
      </c>
      <c r="S286" s="162" t="s">
        <v>286</v>
      </c>
      <c r="T286" s="196"/>
      <c r="V286" s="197"/>
    </row>
    <row r="287" spans="2:22">
      <c r="B287" s="123"/>
      <c r="C287" s="123"/>
      <c r="D287" s="123"/>
      <c r="E287" s="141" t="s">
        <v>298</v>
      </c>
      <c r="F287" s="142" t="s">
        <v>299</v>
      </c>
      <c r="G287" s="143" t="s">
        <v>300</v>
      </c>
      <c r="H287" s="140">
        <f>VLOOKUP(I278,$B$4:$J$70,8,0)</f>
        <v>1336.2</v>
      </c>
      <c r="I287" s="169"/>
      <c r="J287" s="155" t="s">
        <v>301</v>
      </c>
      <c r="K287" s="164">
        <v>8</v>
      </c>
      <c r="L287" s="159"/>
      <c r="M287" s="166">
        <f>R287+11</f>
        <v>43</v>
      </c>
      <c r="N287" s="171">
        <f>ROUND(E284/4*G282,0)*2</f>
        <v>2068</v>
      </c>
      <c r="O287" s="162">
        <f t="shared" si="113"/>
        <v>889.24</v>
      </c>
      <c r="P287" s="15">
        <f t="shared" si="114"/>
        <v>0.395</v>
      </c>
      <c r="Q287" s="187">
        <f t="shared" si="115"/>
        <v>351.2498</v>
      </c>
      <c r="R287" s="195">
        <f>H285-2*I288</f>
        <v>32</v>
      </c>
      <c r="S287" s="162" t="s">
        <v>286</v>
      </c>
      <c r="T287" s="196"/>
      <c r="V287" s="197"/>
    </row>
    <row r="288" ht="15" spans="2:20">
      <c r="B288" s="123"/>
      <c r="C288" s="123"/>
      <c r="D288" s="123"/>
      <c r="E288" s="144">
        <f>IF(I278=0,0,ROUND(((H281+I281)/2*H285*2+H287*I285+0.2*0.2+0.25*0.05*2)*(H283+I283)/2/1000000,1))</f>
        <v>184.8</v>
      </c>
      <c r="F288" s="145">
        <f>IF(I278=0,0,ROUND(Q286+Q287,1))</f>
        <v>1230.5</v>
      </c>
      <c r="G288" s="146">
        <f>IF(I278=0,0,ROUND(Q280+Q281+Q282+Q283+Q284+Q285,1))</f>
        <v>18883.5</v>
      </c>
      <c r="H288" s="147" t="s">
        <v>302</v>
      </c>
      <c r="I288" s="172">
        <f>$P$3</f>
        <v>4</v>
      </c>
      <c r="J288" s="173" t="s">
        <v>303</v>
      </c>
      <c r="K288" s="174" t="str">
        <f>"C40混凝土:"&amp;ROUND(((H281+I281)/2*H285*2+H287*I285+0.2*0.2+0.25*0.05*2)*(H283+I283)/2/1000000,1)&amp;"m"&amp;"      "&amp;"HPB300:"&amp;ROUND(Q286+Q287,1)&amp;"kg       "&amp;"HRB400:"&amp;ROUND(Q280+Q281+Q282+Q283+Q284+Q285,1)&amp;"kg"</f>
        <v>C40混凝土:184.8m      HPB300:1230.5kg       HRB400:18883.5kg</v>
      </c>
      <c r="L288" s="174"/>
      <c r="M288" s="174"/>
      <c r="N288" s="174"/>
      <c r="O288" s="174"/>
      <c r="P288" s="174"/>
      <c r="Q288" s="198"/>
      <c r="R288" s="199" t="s">
        <v>304</v>
      </c>
      <c r="S288" s="174">
        <f>ROUND(SUM(Q280:Q287)/ROUND(((H281+I281)/2*H285*2+H287*I285+0.2*0.2+0.25*0.05*2)*(H283+I283)/2/1000000,1),1)</f>
        <v>108.8</v>
      </c>
      <c r="T288" s="200"/>
    </row>
    <row r="289" ht="15" spans="2:4">
      <c r="B289" s="148"/>
      <c r="C289" s="123"/>
      <c r="D289" s="148"/>
    </row>
    <row r="290" spans="2:22">
      <c r="B290" s="123" t="str">
        <f>B22</f>
        <v>ZU19-1</v>
      </c>
      <c r="C290" s="123"/>
      <c r="D290" s="123"/>
      <c r="E290" s="10" t="s">
        <v>268</v>
      </c>
      <c r="F290" s="11"/>
      <c r="G290" s="11"/>
      <c r="H290" s="124" t="s">
        <v>269</v>
      </c>
      <c r="I290" s="151" t="str">
        <f>B290</f>
        <v>ZU19-1</v>
      </c>
      <c r="J290" s="152" t="s">
        <v>270</v>
      </c>
      <c r="K290" s="11" t="s">
        <v>271</v>
      </c>
      <c r="L290" s="11" t="s">
        <v>272</v>
      </c>
      <c r="M290" s="153" t="s">
        <v>273</v>
      </c>
      <c r="N290" s="11" t="s">
        <v>274</v>
      </c>
      <c r="O290" s="153" t="s">
        <v>275</v>
      </c>
      <c r="P290" s="153" t="s">
        <v>276</v>
      </c>
      <c r="Q290" s="179" t="s">
        <v>277</v>
      </c>
      <c r="R290" s="180" t="s">
        <v>278</v>
      </c>
      <c r="S290" s="181"/>
      <c r="T290" s="182"/>
      <c r="V290" s="1" t="s">
        <v>279</v>
      </c>
    </row>
    <row r="291" spans="2:22">
      <c r="B291" s="123"/>
      <c r="C291" s="123"/>
      <c r="D291" s="123"/>
      <c r="E291" s="13"/>
      <c r="F291" s="15"/>
      <c r="G291" s="15"/>
      <c r="H291" s="125"/>
      <c r="I291" s="154"/>
      <c r="J291" s="155"/>
      <c r="K291" s="15"/>
      <c r="L291" s="15"/>
      <c r="M291" s="156"/>
      <c r="N291" s="15"/>
      <c r="O291" s="156"/>
      <c r="P291" s="156"/>
      <c r="Q291" s="183"/>
      <c r="R291" s="184"/>
      <c r="S291" s="185"/>
      <c r="T291" s="186"/>
      <c r="U291" s="1"/>
      <c r="V291" s="1"/>
    </row>
    <row r="292" spans="2:22">
      <c r="B292" s="123"/>
      <c r="C292" s="123"/>
      <c r="D292" s="123"/>
      <c r="E292" s="13"/>
      <c r="F292" s="15"/>
      <c r="G292" s="15"/>
      <c r="H292" s="15" t="s">
        <v>280</v>
      </c>
      <c r="I292" s="157"/>
      <c r="J292" s="155" t="s">
        <v>281</v>
      </c>
      <c r="K292" s="158">
        <f>'1.U型槽主筋验算'!K20</f>
        <v>18</v>
      </c>
      <c r="L292" s="159"/>
      <c r="M292" s="160">
        <f>(R292+S292)/2+ROUNDUP((IF(K292&lt;26,10.927,11.212))*K292/10,0)*2</f>
        <v>2052.019</v>
      </c>
      <c r="N292" s="161">
        <f>ROUNDUP((H295/12.5),0)*IF(I293&gt;600,2,1)</f>
        <v>124</v>
      </c>
      <c r="O292" s="162">
        <f t="shared" ref="O292:O299" si="117">M292*N292/100</f>
        <v>2544.50356</v>
      </c>
      <c r="P292" s="15">
        <f t="shared" ref="P292:P299" si="118">ROUND(K292^2*PI()/4/1000000*7850,3)</f>
        <v>1.998</v>
      </c>
      <c r="Q292" s="187">
        <f t="shared" ref="Q292:Q299" si="119">O292*P292</f>
        <v>5083.91811288</v>
      </c>
      <c r="R292" s="188">
        <f>(H293+I297-I300*2)*2+(H299-I300*2)+(H297-I300*2)*2</f>
        <v>1968.908</v>
      </c>
      <c r="S292" s="162">
        <f>(I293+I297-I300*2)*2+(H299-I300*2)+(H297-I300*2)*2</f>
        <v>2055.13</v>
      </c>
      <c r="T292" s="189">
        <f>R294</f>
        <v>1363</v>
      </c>
      <c r="V292" s="190">
        <f t="shared" ref="V292:V297" si="120">ROUNDUP((IF(K292&lt;26,10.927,11.212))*K292/10,0)</f>
        <v>20</v>
      </c>
    </row>
    <row r="293" spans="2:22">
      <c r="B293" s="123"/>
      <c r="C293" s="123"/>
      <c r="D293" s="123"/>
      <c r="E293" s="126" t="s">
        <v>244</v>
      </c>
      <c r="F293" s="127" t="s">
        <v>282</v>
      </c>
      <c r="G293" s="127" t="s">
        <v>283</v>
      </c>
      <c r="H293" s="128">
        <f>MIN(VLOOKUP(I290,$B$4:$J$70,2,0),VLOOKUP(I290,$B$4:$J$70,3,0))</f>
        <v>248.954</v>
      </c>
      <c r="I293" s="163">
        <f>MAX(VLOOKUP(I290,$B$4:$J$70,2,0),VLOOKUP(I290,$B$4:$J$70,3,0))</f>
        <v>292.065</v>
      </c>
      <c r="J293" s="155" t="s">
        <v>284</v>
      </c>
      <c r="K293" s="164">
        <v>12</v>
      </c>
      <c r="L293" s="159"/>
      <c r="M293" s="160">
        <f>(R293+S293)/2+ROUNDUP((IF(K293&lt;26,10.927,11.212))*K293/10,0)*2</f>
        <v>330.5095</v>
      </c>
      <c r="N293" s="165">
        <f>ROUNDUP((H295/12.5*1),0)*2</f>
        <v>248</v>
      </c>
      <c r="O293" s="162">
        <f t="shared" si="117"/>
        <v>819.66356</v>
      </c>
      <c r="P293" s="15">
        <f t="shared" si="118"/>
        <v>0.888</v>
      </c>
      <c r="Q293" s="187">
        <f t="shared" si="119"/>
        <v>727.86124128</v>
      </c>
      <c r="R293" s="192">
        <f>H293+I297-I300*2</f>
        <v>280.954</v>
      </c>
      <c r="S293" s="193">
        <f>I293+I297-I300*2</f>
        <v>324.065</v>
      </c>
      <c r="T293" s="194" t="str">
        <f>ROUND(R293,1)&amp;"~"&amp;ROUND(S293,1)</f>
        <v>281~324.1</v>
      </c>
      <c r="V293" s="190">
        <f t="shared" si="120"/>
        <v>14</v>
      </c>
    </row>
    <row r="294" spans="2:22">
      <c r="B294" s="123"/>
      <c r="C294" s="123"/>
      <c r="D294" s="123"/>
      <c r="E294" s="126">
        <f>VLOOKUP(I290,$B$39:$Z$70,3,0)</f>
        <v>108</v>
      </c>
      <c r="F294" s="129">
        <f>VLOOKUP(I290,$B$39:$Z$70,17,0)</f>
        <v>3</v>
      </c>
      <c r="G294" s="127">
        <f>VLOOKUP(I290,$B$39:$Z$70,12,0)</f>
        <v>22</v>
      </c>
      <c r="H294" s="127" t="s">
        <v>229</v>
      </c>
      <c r="I294" s="157"/>
      <c r="J294" s="155" t="s">
        <v>285</v>
      </c>
      <c r="K294" s="158">
        <v>14</v>
      </c>
      <c r="L294" s="159"/>
      <c r="M294" s="166">
        <f>R294+2*ROUNDUP((IF(K294&lt;26,10.927,11.212))*K294/10,0)</f>
        <v>1395</v>
      </c>
      <c r="N294" s="161">
        <f>ROUNDUP(H295/12.5,0)</f>
        <v>124</v>
      </c>
      <c r="O294" s="162">
        <f t="shared" si="117"/>
        <v>1729.8</v>
      </c>
      <c r="P294" s="15">
        <f t="shared" si="118"/>
        <v>1.208</v>
      </c>
      <c r="Q294" s="187">
        <f t="shared" si="119"/>
        <v>2089.5984</v>
      </c>
      <c r="R294" s="195">
        <f>H299-I300*2</f>
        <v>1363</v>
      </c>
      <c r="S294" s="162" t="s">
        <v>286</v>
      </c>
      <c r="T294" s="196"/>
      <c r="V294" s="190">
        <f t="shared" si="120"/>
        <v>16</v>
      </c>
    </row>
    <row r="295" spans="2:22">
      <c r="B295" s="123"/>
      <c r="C295" s="123"/>
      <c r="D295" s="123"/>
      <c r="E295" s="130" t="s">
        <v>287</v>
      </c>
      <c r="F295" s="127" t="s">
        <v>288</v>
      </c>
      <c r="G295" s="127" t="s">
        <v>289</v>
      </c>
      <c r="H295" s="131">
        <f>MAX(VLOOKUP(I290,$B$4:$J$70,4,0),VLOOKUP(I290,$B$4:$J$70,5,0))</f>
        <v>1547.05</v>
      </c>
      <c r="I295" s="167">
        <f>MIN(VLOOKUP(I290,$B$4:$J$70,4,0),VLOOKUP(I290,$B$4:$J$70,5,0))</f>
        <v>1547.05</v>
      </c>
      <c r="J295" s="155" t="s">
        <v>290</v>
      </c>
      <c r="K295" s="164">
        <v>14</v>
      </c>
      <c r="L295" s="159"/>
      <c r="M295" s="166">
        <f>R295+2*ROUNDUP((IF(K295&lt;26,10.927,11.212))*K295/10,0)</f>
        <v>139.965512114594</v>
      </c>
      <c r="N295" s="165">
        <f>ROUNDUP(H295/12.5,0)*2</f>
        <v>248</v>
      </c>
      <c r="O295" s="162">
        <f t="shared" si="117"/>
        <v>347.114470044193</v>
      </c>
      <c r="P295" s="15">
        <f t="shared" si="118"/>
        <v>1.208</v>
      </c>
      <c r="Q295" s="187">
        <f t="shared" si="119"/>
        <v>419.314279813385</v>
      </c>
      <c r="R295" s="195">
        <f>((H297+I297-I300*2)+(20-I300*2^0.5))*(2^0.5)</f>
        <v>107.965512114594</v>
      </c>
      <c r="S295" s="162" t="s">
        <v>286</v>
      </c>
      <c r="T295" s="196"/>
      <c r="V295" s="190">
        <f t="shared" si="120"/>
        <v>16</v>
      </c>
    </row>
    <row r="296" spans="2:22">
      <c r="B296" s="123"/>
      <c r="C296" s="123"/>
      <c r="D296" s="123"/>
      <c r="E296" s="132">
        <f>VLOOKUP(I290,$B$39:$Z$70,20,0)</f>
        <v>122</v>
      </c>
      <c r="F296" s="127">
        <f>VLOOKUP(I290,$B$39:$Z$70,23,0)</f>
        <v>122</v>
      </c>
      <c r="G296" s="127">
        <f>VLOOKUP(I290,$B$39:$Z$70,7,0)</f>
        <v>2</v>
      </c>
      <c r="H296" s="133" t="s">
        <v>291</v>
      </c>
      <c r="I296" s="157" t="s">
        <v>292</v>
      </c>
      <c r="J296" s="155" t="s">
        <v>293</v>
      </c>
      <c r="K296" s="158">
        <v>12</v>
      </c>
      <c r="L296" s="159"/>
      <c r="M296" s="166">
        <f>(R296+S296)/2+2*ROUNDUP((IF(K296&lt;26,10.927,11.212))*K296/10,0)</f>
        <v>1567.05</v>
      </c>
      <c r="N296" s="168">
        <f>4*(G294+1)+(G296-1)*2</f>
        <v>94</v>
      </c>
      <c r="O296" s="162">
        <f t="shared" si="117"/>
        <v>1473.027</v>
      </c>
      <c r="P296" s="15">
        <f t="shared" si="118"/>
        <v>0.888</v>
      </c>
      <c r="Q296" s="187">
        <f t="shared" si="119"/>
        <v>1308.047976</v>
      </c>
      <c r="R296" s="188">
        <f>H295-I300*2</f>
        <v>1539.05</v>
      </c>
      <c r="S296" s="162">
        <f>I295-I300*2</f>
        <v>1539.05</v>
      </c>
      <c r="T296" s="194" t="str">
        <f>ROUND(S296,1)&amp;"~"&amp;ROUND(R296,1)</f>
        <v>1539.1~1539.1</v>
      </c>
      <c r="V296" s="190">
        <f t="shared" si="120"/>
        <v>14</v>
      </c>
    </row>
    <row r="297" ht="15" spans="2:22">
      <c r="B297" s="123"/>
      <c r="C297" s="123"/>
      <c r="D297" s="123"/>
      <c r="E297" s="134"/>
      <c r="F297" s="135"/>
      <c r="G297" s="135"/>
      <c r="H297" s="136">
        <f>VLOOKUP(I290,$B$4:$J$70,6,0)</f>
        <v>30</v>
      </c>
      <c r="I297" s="167">
        <f>VLOOKUP(I290,$B$4:$J$70,7,0)</f>
        <v>40</v>
      </c>
      <c r="J297" s="155" t="s">
        <v>294</v>
      </c>
      <c r="K297" s="158">
        <v>12</v>
      </c>
      <c r="L297" s="159"/>
      <c r="M297" s="166">
        <f>(R297+S297)/2+2*ROUNDUP((IF(K297&lt;26,10.927,11.212))*K297/10,0)</f>
        <v>1575.65056160007</v>
      </c>
      <c r="N297" s="15">
        <f>2*(E294+1)+F294*2</f>
        <v>224</v>
      </c>
      <c r="O297" s="162">
        <f t="shared" si="117"/>
        <v>3529.45725798415</v>
      </c>
      <c r="P297" s="15">
        <f t="shared" si="118"/>
        <v>0.888</v>
      </c>
      <c r="Q297" s="187">
        <f t="shared" si="119"/>
        <v>3134.15804508992</v>
      </c>
      <c r="R297" s="188">
        <f>((I293-H293)^2+H295^2)^0.5</f>
        <v>1547.65056160007</v>
      </c>
      <c r="S297" s="162">
        <f>((I293-H293)^2+I295^2)^0.5</f>
        <v>1547.65056160007</v>
      </c>
      <c r="T297" s="194" t="str">
        <f>ROUND(S297,1)&amp;"~"&amp;ROUND(R297,1)</f>
        <v>1547.7~1547.7</v>
      </c>
      <c r="V297" s="190">
        <f t="shared" si="120"/>
        <v>14</v>
      </c>
    </row>
    <row r="298" spans="2:22">
      <c r="B298" s="123"/>
      <c r="C298" s="123"/>
      <c r="D298" s="123"/>
      <c r="E298" s="137" t="s">
        <v>295</v>
      </c>
      <c r="F298" s="138"/>
      <c r="G298" s="139"/>
      <c r="H298" s="140" t="s">
        <v>296</v>
      </c>
      <c r="I298" s="169"/>
      <c r="J298" s="155" t="s">
        <v>297</v>
      </c>
      <c r="K298" s="164">
        <v>8</v>
      </c>
      <c r="L298" s="159"/>
      <c r="M298" s="166">
        <f>R298+11</f>
        <v>43</v>
      </c>
      <c r="N298" s="170">
        <f>ROUNDDOWN(((VLOOKUP(I290,$B$39:$Z$70,2,0))/(VLOOKUP(I290,$B$39:$Z$70,4,0))-1),0)/4*((VLOOKUP(I290,$B$39:$Z$70,20,0))+1)</f>
        <v>3321</v>
      </c>
      <c r="O298" s="162">
        <f t="shared" si="117"/>
        <v>1428.03</v>
      </c>
      <c r="P298" s="15">
        <f t="shared" si="118"/>
        <v>0.395</v>
      </c>
      <c r="Q298" s="187">
        <f t="shared" si="119"/>
        <v>564.07185</v>
      </c>
      <c r="R298" s="195">
        <f>I297-2*I300</f>
        <v>32</v>
      </c>
      <c r="S298" s="162" t="s">
        <v>286</v>
      </c>
      <c r="T298" s="196"/>
      <c r="V298" s="197"/>
    </row>
    <row r="299" spans="2:22">
      <c r="B299" s="123"/>
      <c r="C299" s="123"/>
      <c r="D299" s="123"/>
      <c r="E299" s="141" t="s">
        <v>298</v>
      </c>
      <c r="F299" s="142" t="s">
        <v>299</v>
      </c>
      <c r="G299" s="143" t="s">
        <v>300</v>
      </c>
      <c r="H299" s="140">
        <f>VLOOKUP(I290,$B$4:$J$70,8,0)</f>
        <v>1371</v>
      </c>
      <c r="I299" s="169"/>
      <c r="J299" s="155" t="s">
        <v>301</v>
      </c>
      <c r="K299" s="164">
        <v>8</v>
      </c>
      <c r="L299" s="159"/>
      <c r="M299" s="166">
        <f>R299+11</f>
        <v>33</v>
      </c>
      <c r="N299" s="171">
        <f>ROUND(E296/4*G294,0)*2</f>
        <v>1342</v>
      </c>
      <c r="O299" s="162">
        <f t="shared" si="117"/>
        <v>442.86</v>
      </c>
      <c r="P299" s="15">
        <f t="shared" si="118"/>
        <v>0.395</v>
      </c>
      <c r="Q299" s="187">
        <f t="shared" si="119"/>
        <v>174.9297</v>
      </c>
      <c r="R299" s="195">
        <f>H297-2*I300</f>
        <v>22</v>
      </c>
      <c r="S299" s="162" t="s">
        <v>286</v>
      </c>
      <c r="T299" s="196"/>
      <c r="V299" s="197"/>
    </row>
    <row r="300" ht="15" spans="2:20">
      <c r="B300" s="123"/>
      <c r="C300" s="123"/>
      <c r="D300" s="123"/>
      <c r="E300" s="144">
        <f>IF(I290=0,0,ROUND(((H293+I293)/2*H297*2+H299*I297+0.2*0.2+0.25*0.05*2)*(H295+I295)/2/1000000,1))</f>
        <v>109.9</v>
      </c>
      <c r="F300" s="145">
        <f>IF(I290=0,0,ROUND(Q298+Q299,1))</f>
        <v>739</v>
      </c>
      <c r="G300" s="146">
        <f>IF(I290=0,0,ROUND(Q292+Q293+Q294+Q295+Q296+Q297,1))</f>
        <v>12762.9</v>
      </c>
      <c r="H300" s="147" t="s">
        <v>302</v>
      </c>
      <c r="I300" s="172">
        <f>$P$3</f>
        <v>4</v>
      </c>
      <c r="J300" s="173" t="s">
        <v>303</v>
      </c>
      <c r="K300" s="174" t="str">
        <f>"C40混凝土:"&amp;ROUND(((H293+I293)/2*H297*2+H299*I297+0.2*0.2+0.25*0.05*2)*(H295+I295)/2/1000000,1)&amp;"m"&amp;"      "&amp;"HPB300:"&amp;ROUND(Q298+Q299,1)&amp;"kg       "&amp;"HRB400:"&amp;ROUND(Q292+Q293+Q294+Q295+Q296+Q297,1)&amp;"kg"</f>
        <v>C40混凝土:109.9m      HPB300:739kg       HRB400:12762.9kg</v>
      </c>
      <c r="L300" s="174"/>
      <c r="M300" s="174"/>
      <c r="N300" s="174"/>
      <c r="O300" s="174"/>
      <c r="P300" s="174"/>
      <c r="Q300" s="198"/>
      <c r="R300" s="199" t="s">
        <v>304</v>
      </c>
      <c r="S300" s="174">
        <f>ROUND(SUM(Q292:Q299)/ROUND(((H293+I293)/2*H297*2+H299*I297+0.2*0.2+0.25*0.05*2)*(H295+I295)/2/1000000,1),1)</f>
        <v>122.9</v>
      </c>
      <c r="T300" s="200"/>
    </row>
    <row r="302" spans="2:22">
      <c r="B302" s="1"/>
      <c r="D302" s="1"/>
      <c r="E302" s="10" t="s">
        <v>268</v>
      </c>
      <c r="F302" s="11"/>
      <c r="G302" s="11"/>
      <c r="H302" s="124" t="s">
        <v>269</v>
      </c>
      <c r="I302" s="151">
        <f>B302</f>
        <v>0</v>
      </c>
      <c r="J302" s="152" t="s">
        <v>270</v>
      </c>
      <c r="K302" s="11" t="s">
        <v>271</v>
      </c>
      <c r="L302" s="11" t="s">
        <v>272</v>
      </c>
      <c r="M302" s="153" t="s">
        <v>273</v>
      </c>
      <c r="N302" s="11" t="s">
        <v>274</v>
      </c>
      <c r="O302" s="153" t="s">
        <v>275</v>
      </c>
      <c r="P302" s="153" t="s">
        <v>276</v>
      </c>
      <c r="Q302" s="179" t="s">
        <v>277</v>
      </c>
      <c r="R302" s="180" t="s">
        <v>278</v>
      </c>
      <c r="S302" s="181"/>
      <c r="T302" s="182"/>
      <c r="V302" s="1" t="s">
        <v>279</v>
      </c>
    </row>
    <row r="303" spans="2:22">
      <c r="B303" s="1"/>
      <c r="D303" s="1"/>
      <c r="E303" s="13"/>
      <c r="F303" s="15"/>
      <c r="G303" s="15"/>
      <c r="H303" s="125"/>
      <c r="I303" s="154"/>
      <c r="J303" s="155"/>
      <c r="K303" s="15"/>
      <c r="L303" s="15"/>
      <c r="M303" s="156"/>
      <c r="N303" s="15"/>
      <c r="O303" s="156"/>
      <c r="P303" s="156"/>
      <c r="Q303" s="183"/>
      <c r="R303" s="184"/>
      <c r="S303" s="185"/>
      <c r="T303" s="186"/>
      <c r="U303" s="1"/>
      <c r="V303" s="1"/>
    </row>
    <row r="304" spans="2:22">
      <c r="B304" s="1"/>
      <c r="D304" s="1"/>
      <c r="E304" s="13"/>
      <c r="F304" s="15"/>
      <c r="G304" s="15"/>
      <c r="H304" s="15" t="s">
        <v>280</v>
      </c>
      <c r="I304" s="157"/>
      <c r="J304" s="155" t="s">
        <v>281</v>
      </c>
      <c r="K304" s="158">
        <f>'1.U型槽主筋验算'!K21</f>
        <v>14</v>
      </c>
      <c r="L304" s="159"/>
      <c r="M304" s="160">
        <f>(R304+S304)/2+ROUNDUP((IF(K304&lt;26,10.927,11.212))*K304/10,0)*2</f>
        <v>192</v>
      </c>
      <c r="N304" s="161">
        <f>ROUNDUP((H307/12.5),0)*IF(I305&gt;600,2,1)</f>
        <v>0</v>
      </c>
      <c r="O304" s="162">
        <f t="shared" ref="O304:O311" si="121">M304*N304/100</f>
        <v>0</v>
      </c>
      <c r="P304" s="15">
        <f t="shared" ref="P304:P311" si="122">ROUND(K304^2*PI()/4/1000000*7850,3)</f>
        <v>1.208</v>
      </c>
      <c r="Q304" s="187">
        <f t="shared" ref="Q304:Q311" si="123">O304*P304</f>
        <v>0</v>
      </c>
      <c r="R304" s="188">
        <f>(H305+I309-I312*2)*2+(H311-I312*2)+(H309-I312*2)*2</f>
        <v>160</v>
      </c>
      <c r="S304" s="162">
        <f>(I305+I309-I312*2)*2+(H311-I312*2)+(H309-I312*2)*2</f>
        <v>160</v>
      </c>
      <c r="T304" s="189">
        <f>R306</f>
        <v>52</v>
      </c>
      <c r="V304" s="190">
        <f t="shared" ref="V304:V309" si="124">ROUNDUP((IF(K304&lt;26,10.927,11.212))*K304/10,0)</f>
        <v>16</v>
      </c>
    </row>
    <row r="305" spans="2:22">
      <c r="B305" s="1"/>
      <c r="D305" s="1"/>
      <c r="E305" s="126" t="s">
        <v>244</v>
      </c>
      <c r="F305" s="127" t="s">
        <v>282</v>
      </c>
      <c r="G305" s="127" t="s">
        <v>283</v>
      </c>
      <c r="H305" s="128">
        <f>MIN(VLOOKUP(I302,$B$4:$J$70,2,0),VLOOKUP(I302,$B$4:$J$70,3,0))</f>
        <v>0</v>
      </c>
      <c r="I305" s="163">
        <f>MAX(VLOOKUP(I302,$B$4:$J$70,2,0),VLOOKUP(I302,$B$4:$J$70,3,0))</f>
        <v>0</v>
      </c>
      <c r="J305" s="155" t="s">
        <v>284</v>
      </c>
      <c r="K305" s="164">
        <v>12</v>
      </c>
      <c r="L305" s="159"/>
      <c r="M305" s="160">
        <f>(R305+S305)/2+ROUNDUP((IF(K305&lt;26,10.927,11.212))*K305/10,0)*2</f>
        <v>60</v>
      </c>
      <c r="N305" s="165">
        <f>ROUNDUP((H307/12.5*1),0)*2</f>
        <v>0</v>
      </c>
      <c r="O305" s="162">
        <f t="shared" si="121"/>
        <v>0</v>
      </c>
      <c r="P305" s="15">
        <f t="shared" si="122"/>
        <v>0.888</v>
      </c>
      <c r="Q305" s="187">
        <f t="shared" si="123"/>
        <v>0</v>
      </c>
      <c r="R305" s="192">
        <f>H305+I309-I312*2</f>
        <v>32</v>
      </c>
      <c r="S305" s="193">
        <f>I305+I309-I312*2</f>
        <v>32</v>
      </c>
      <c r="T305" s="194" t="str">
        <f>ROUND(R305,1)&amp;"~"&amp;ROUND(S305,1)</f>
        <v>32~32</v>
      </c>
      <c r="V305" s="190">
        <f t="shared" si="124"/>
        <v>14</v>
      </c>
    </row>
    <row r="306" spans="2:22">
      <c r="B306" s="1"/>
      <c r="D306" s="1"/>
      <c r="E306" s="126">
        <f>VLOOKUP(I302,$B$39:$Z$70,3,0)</f>
        <v>3</v>
      </c>
      <c r="F306" s="129">
        <f>VLOOKUP(I302,$B$39:$Z$70,17,0)</f>
        <v>35</v>
      </c>
      <c r="G306" s="127">
        <f>VLOOKUP(I302,$B$39:$Z$70,12,0)</f>
        <v>-1</v>
      </c>
      <c r="H306" s="127" t="s">
        <v>229</v>
      </c>
      <c r="I306" s="157"/>
      <c r="J306" s="155" t="s">
        <v>285</v>
      </c>
      <c r="K306" s="158">
        <v>14</v>
      </c>
      <c r="L306" s="159"/>
      <c r="M306" s="166">
        <f>R306+2*ROUNDUP((IF(K306&lt;26,10.927,11.212))*K306/10,0)</f>
        <v>84</v>
      </c>
      <c r="N306" s="161">
        <f>ROUNDUP(H307/12.5,0)</f>
        <v>0</v>
      </c>
      <c r="O306" s="162">
        <f t="shared" si="121"/>
        <v>0</v>
      </c>
      <c r="P306" s="15">
        <f t="shared" si="122"/>
        <v>1.208</v>
      </c>
      <c r="Q306" s="187">
        <f t="shared" si="123"/>
        <v>0</v>
      </c>
      <c r="R306" s="195">
        <f>H311-I312*2</f>
        <v>52</v>
      </c>
      <c r="S306" s="162" t="s">
        <v>286</v>
      </c>
      <c r="T306" s="196"/>
      <c r="V306" s="190">
        <f t="shared" si="124"/>
        <v>16</v>
      </c>
    </row>
    <row r="307" spans="2:22">
      <c r="B307" s="1"/>
      <c r="D307" s="1"/>
      <c r="E307" s="130" t="s">
        <v>287</v>
      </c>
      <c r="F307" s="127" t="s">
        <v>288</v>
      </c>
      <c r="G307" s="127" t="s">
        <v>289</v>
      </c>
      <c r="H307" s="131">
        <f>MAX(VLOOKUP(I302,$B$4:$J$70,4,0),VLOOKUP(I302,$B$4:$J$70,5,0))</f>
        <v>0</v>
      </c>
      <c r="I307" s="167">
        <f>MIN(VLOOKUP(I302,$B$4:$J$70,4,0),VLOOKUP(I302,$B$4:$J$70,5,0))</f>
        <v>0</v>
      </c>
      <c r="J307" s="155" t="s">
        <v>290</v>
      </c>
      <c r="K307" s="164">
        <v>14</v>
      </c>
      <c r="L307" s="159"/>
      <c r="M307" s="166">
        <f>R307+2*ROUNDUP((IF(K307&lt;26,10.927,11.212))*K307/10,0)</f>
        <v>139.965512114594</v>
      </c>
      <c r="N307" s="165">
        <f>ROUNDUP(H307/12.5,0)*2</f>
        <v>0</v>
      </c>
      <c r="O307" s="162">
        <f t="shared" si="121"/>
        <v>0</v>
      </c>
      <c r="P307" s="15">
        <f t="shared" si="122"/>
        <v>1.208</v>
      </c>
      <c r="Q307" s="187">
        <f t="shared" si="123"/>
        <v>0</v>
      </c>
      <c r="R307" s="195">
        <f>((H309+I309-I312*2)+(20-I312*2^0.5))*(2^0.5)</f>
        <v>107.965512114594</v>
      </c>
      <c r="S307" s="162" t="s">
        <v>286</v>
      </c>
      <c r="T307" s="196"/>
      <c r="V307" s="190">
        <f t="shared" si="124"/>
        <v>16</v>
      </c>
    </row>
    <row r="308" spans="2:22">
      <c r="B308" s="1"/>
      <c r="D308" s="1"/>
      <c r="E308" s="132">
        <f>VLOOKUP(I302,$B$39:$Z$70,20,0)</f>
        <v>-1</v>
      </c>
      <c r="F308" s="127">
        <f>VLOOKUP(I302,$B$39:$Z$70,23,0)</f>
        <v>-1</v>
      </c>
      <c r="G308" s="127">
        <f>VLOOKUP(I302,$B$39:$Z$70,7,0)</f>
        <v>34</v>
      </c>
      <c r="H308" s="133" t="s">
        <v>291</v>
      </c>
      <c r="I308" s="157" t="s">
        <v>292</v>
      </c>
      <c r="J308" s="155" t="s">
        <v>293</v>
      </c>
      <c r="K308" s="158">
        <v>12</v>
      </c>
      <c r="L308" s="159"/>
      <c r="M308" s="166">
        <f>(R308+S308)/2+2*ROUNDUP((IF(K308&lt;26,10.927,11.212))*K308/10,0)</f>
        <v>20</v>
      </c>
      <c r="N308" s="168">
        <f>4*(G306+1)+(G308-1)*2</f>
        <v>66</v>
      </c>
      <c r="O308" s="162">
        <f t="shared" si="121"/>
        <v>13.2</v>
      </c>
      <c r="P308" s="15">
        <f t="shared" si="122"/>
        <v>0.888</v>
      </c>
      <c r="Q308" s="187">
        <f t="shared" si="123"/>
        <v>11.7216</v>
      </c>
      <c r="R308" s="188">
        <f>H307-I312*2</f>
        <v>-8</v>
      </c>
      <c r="S308" s="162">
        <f>I307-I312*2</f>
        <v>-8</v>
      </c>
      <c r="T308" s="194" t="str">
        <f>ROUND(S308,1)&amp;"~"&amp;ROUND(R308,1)</f>
        <v>-8~-8</v>
      </c>
      <c r="V308" s="190">
        <f t="shared" si="124"/>
        <v>14</v>
      </c>
    </row>
    <row r="309" ht="15" spans="2:22">
      <c r="B309" s="1"/>
      <c r="D309" s="1"/>
      <c r="E309" s="134"/>
      <c r="F309" s="135"/>
      <c r="G309" s="135"/>
      <c r="H309" s="136">
        <f>VLOOKUP(I302,$B$4:$J$70,6,0)</f>
        <v>30</v>
      </c>
      <c r="I309" s="167">
        <f>VLOOKUP(I302,$B$4:$J$70,7,0)</f>
        <v>40</v>
      </c>
      <c r="J309" s="155" t="s">
        <v>294</v>
      </c>
      <c r="K309" s="158">
        <v>12</v>
      </c>
      <c r="L309" s="159"/>
      <c r="M309" s="166">
        <f>(R309+S309)/2+2*ROUNDUP((IF(K309&lt;26,10.927,11.212))*K309/10,0)</f>
        <v>28</v>
      </c>
      <c r="N309" s="15">
        <f>2*(E306+1)+F306*2</f>
        <v>78</v>
      </c>
      <c r="O309" s="162">
        <f t="shared" si="121"/>
        <v>21.84</v>
      </c>
      <c r="P309" s="15">
        <f t="shared" si="122"/>
        <v>0.888</v>
      </c>
      <c r="Q309" s="187">
        <f t="shared" si="123"/>
        <v>19.39392</v>
      </c>
      <c r="R309" s="188">
        <f>((I305-H305)^2+H307^2)^0.5</f>
        <v>0</v>
      </c>
      <c r="S309" s="162">
        <f>((I305-H305)^2+I307^2)^0.5</f>
        <v>0</v>
      </c>
      <c r="T309" s="194" t="str">
        <f>ROUND(S309,1)&amp;"~"&amp;ROUND(R309,1)</f>
        <v>0~0</v>
      </c>
      <c r="V309" s="190">
        <f t="shared" si="124"/>
        <v>14</v>
      </c>
    </row>
    <row r="310" spans="2:22">
      <c r="B310" s="1"/>
      <c r="D310" s="1"/>
      <c r="E310" s="137" t="s">
        <v>295</v>
      </c>
      <c r="F310" s="138"/>
      <c r="G310" s="139"/>
      <c r="H310" s="140" t="s">
        <v>296</v>
      </c>
      <c r="I310" s="169"/>
      <c r="J310" s="155" t="s">
        <v>297</v>
      </c>
      <c r="K310" s="164">
        <v>8</v>
      </c>
      <c r="L310" s="159"/>
      <c r="M310" s="166">
        <f>R310+11</f>
        <v>43</v>
      </c>
      <c r="N310" s="170">
        <f>ROUNDDOWN(((VLOOKUP(I302,$B$39:$Z$70,2,0))/(VLOOKUP(I302,$B$39:$Z$70,4,0))-1),0)/4*((VLOOKUP(I302,$B$39:$Z$70,20,0))+1)</f>
        <v>0</v>
      </c>
      <c r="O310" s="162">
        <f t="shared" si="121"/>
        <v>0</v>
      </c>
      <c r="P310" s="15">
        <f t="shared" si="122"/>
        <v>0.395</v>
      </c>
      <c r="Q310" s="187">
        <f t="shared" si="123"/>
        <v>0</v>
      </c>
      <c r="R310" s="195">
        <f>I309-2*I312</f>
        <v>32</v>
      </c>
      <c r="S310" s="162" t="s">
        <v>286</v>
      </c>
      <c r="T310" s="196"/>
      <c r="V310" s="197"/>
    </row>
    <row r="311" spans="2:22">
      <c r="B311" s="1"/>
      <c r="D311" s="1"/>
      <c r="E311" s="141" t="s">
        <v>298</v>
      </c>
      <c r="F311" s="142" t="s">
        <v>299</v>
      </c>
      <c r="G311" s="143" t="s">
        <v>300</v>
      </c>
      <c r="H311" s="140">
        <f>VLOOKUP(I302,$B$4:$J$70,8,0)</f>
        <v>60</v>
      </c>
      <c r="I311" s="169"/>
      <c r="J311" s="155" t="s">
        <v>301</v>
      </c>
      <c r="K311" s="164">
        <v>8</v>
      </c>
      <c r="L311" s="159"/>
      <c r="M311" s="166">
        <f>R311+11</f>
        <v>33</v>
      </c>
      <c r="N311" s="171">
        <f>ROUND(E308/4*G306,0)*2</f>
        <v>0</v>
      </c>
      <c r="O311" s="162">
        <f t="shared" si="121"/>
        <v>0</v>
      </c>
      <c r="P311" s="15">
        <f t="shared" si="122"/>
        <v>0.395</v>
      </c>
      <c r="Q311" s="187">
        <f t="shared" si="123"/>
        <v>0</v>
      </c>
      <c r="R311" s="195">
        <f>H309-2*I312</f>
        <v>22</v>
      </c>
      <c r="S311" s="162" t="s">
        <v>286</v>
      </c>
      <c r="T311" s="196"/>
      <c r="V311" s="197"/>
    </row>
    <row r="312" s="6" customFormat="1" ht="15" spans="2:245">
      <c r="B312" s="1"/>
      <c r="C312" s="1"/>
      <c r="D312" s="1"/>
      <c r="E312" s="144">
        <f>IF(I302=0,0,ROUND(((H305+I305)/2*H309*2+H311*I309+0.2*0.2+0.25*0.05*2)*(H307+I307)/2/1000000,1))</f>
        <v>0</v>
      </c>
      <c r="F312" s="145">
        <f>IF(I302=0,0,ROUND(Q310+Q311,1))</f>
        <v>0</v>
      </c>
      <c r="G312" s="146">
        <f>IF(I302=0,0,ROUND(Q304+Q305+Q306+Q307+Q308+Q309,1))</f>
        <v>0</v>
      </c>
      <c r="H312" s="147" t="s">
        <v>302</v>
      </c>
      <c r="I312" s="172">
        <f>$P$3</f>
        <v>4</v>
      </c>
      <c r="J312" s="173" t="s">
        <v>303</v>
      </c>
      <c r="K312" s="174" t="str">
        <f>"C40混凝土:"&amp;ROUND(((H305+I305)/2*H309*2+H311*I309+0.2*0.2+0.25*0.05*2)*(H307+I307)/2/1000000,1)&amp;"m"&amp;"      "&amp;"HPB300:"&amp;ROUND(Q310+Q311,1)&amp;"kg       "&amp;"HRB400:"&amp;ROUND(Q304+Q305+Q306+Q307+Q308+Q309,1)&amp;"kg"</f>
        <v>C40混凝土:0m      HPB300:0kg       HRB400:31.1kg</v>
      </c>
      <c r="L312" s="174"/>
      <c r="M312" s="174"/>
      <c r="N312" s="174"/>
      <c r="O312" s="174"/>
      <c r="P312" s="174"/>
      <c r="Q312" s="198"/>
      <c r="R312" s="199" t="s">
        <v>304</v>
      </c>
      <c r="S312" s="174" t="e">
        <f>ROUND(SUM(Q304:Q311)/ROUND(((H305+I305)/2*H309*2+H311*I309+0.2*0.2+0.25*0.05*2)*(H307+I307)/2/1000000,1),1)</f>
        <v>#DIV/0!</v>
      </c>
      <c r="T312" s="200"/>
      <c r="U312" s="5"/>
      <c r="V312" s="5"/>
      <c r="W312" s="207"/>
      <c r="X312" s="207"/>
      <c r="Y312" s="207"/>
      <c r="Z312" s="207"/>
      <c r="AA312" s="207"/>
      <c r="AB312" s="207"/>
      <c r="AC312" s="207"/>
      <c r="AD312" s="207"/>
      <c r="AE312" s="207"/>
      <c r="AF312" s="207"/>
      <c r="AG312" s="207"/>
      <c r="AH312" s="207"/>
      <c r="AI312" s="207"/>
      <c r="AJ312" s="207"/>
      <c r="AK312" s="207"/>
      <c r="AL312" s="207"/>
      <c r="AM312" s="207"/>
      <c r="AN312" s="207"/>
      <c r="AO312" s="207"/>
      <c r="AP312" s="207"/>
      <c r="AQ312" s="207"/>
      <c r="AR312" s="207"/>
      <c r="AS312" s="207"/>
      <c r="AT312" s="207"/>
      <c r="AU312" s="207"/>
      <c r="AV312" s="207"/>
      <c r="AW312" s="207"/>
      <c r="AX312" s="207"/>
      <c r="AY312" s="207"/>
      <c r="AZ312" s="207"/>
      <c r="BA312" s="207"/>
      <c r="BB312" s="207"/>
      <c r="BC312" s="207"/>
      <c r="BD312" s="207"/>
      <c r="BE312" s="207"/>
      <c r="BF312" s="207"/>
      <c r="BG312" s="207"/>
      <c r="BH312" s="207"/>
      <c r="BI312" s="207"/>
      <c r="BJ312" s="207"/>
      <c r="BK312" s="207"/>
      <c r="BL312" s="207"/>
      <c r="BM312" s="207"/>
      <c r="BN312" s="207"/>
      <c r="BO312" s="207"/>
      <c r="BP312" s="207"/>
      <c r="BQ312" s="207"/>
      <c r="BR312" s="207"/>
      <c r="BS312" s="207"/>
      <c r="BT312" s="207"/>
      <c r="BU312" s="207"/>
      <c r="BV312" s="207"/>
      <c r="BW312" s="207"/>
      <c r="BX312" s="207"/>
      <c r="BY312" s="207"/>
      <c r="BZ312" s="207"/>
      <c r="CA312" s="207"/>
      <c r="CB312" s="207"/>
      <c r="CC312" s="207"/>
      <c r="CD312" s="207"/>
      <c r="CE312" s="207"/>
      <c r="CF312" s="207"/>
      <c r="CG312" s="207"/>
      <c r="CH312" s="207"/>
      <c r="CI312" s="207"/>
      <c r="CJ312" s="207"/>
      <c r="CK312" s="207"/>
      <c r="CL312" s="207"/>
      <c r="CM312" s="207"/>
      <c r="CN312" s="207"/>
      <c r="CO312" s="207"/>
      <c r="CP312" s="207"/>
      <c r="CQ312" s="207"/>
      <c r="CR312" s="207"/>
      <c r="CS312" s="207"/>
      <c r="CT312" s="207"/>
      <c r="CU312" s="207"/>
      <c r="CV312" s="207"/>
      <c r="CW312" s="207"/>
      <c r="CX312" s="207"/>
      <c r="CY312" s="207"/>
      <c r="CZ312" s="207"/>
      <c r="DA312" s="207"/>
      <c r="DB312" s="207"/>
      <c r="DC312" s="207"/>
      <c r="DD312" s="207"/>
      <c r="DE312" s="207"/>
      <c r="DF312" s="207"/>
      <c r="DG312" s="207"/>
      <c r="DH312" s="207"/>
      <c r="DI312" s="207"/>
      <c r="DJ312" s="207"/>
      <c r="DK312" s="207"/>
      <c r="DL312" s="207"/>
      <c r="DM312" s="207"/>
      <c r="DN312" s="207"/>
      <c r="DO312" s="207"/>
      <c r="DP312" s="207"/>
      <c r="DQ312" s="207"/>
      <c r="DR312" s="207"/>
      <c r="DS312" s="207"/>
      <c r="DT312" s="207"/>
      <c r="DU312" s="207"/>
      <c r="DV312" s="207"/>
      <c r="DW312" s="207"/>
      <c r="DX312" s="207"/>
      <c r="DY312" s="207"/>
      <c r="DZ312" s="207"/>
      <c r="EA312" s="207"/>
      <c r="EB312" s="207"/>
      <c r="EC312" s="207"/>
      <c r="ED312" s="207"/>
      <c r="EE312" s="207"/>
      <c r="EF312" s="207"/>
      <c r="EG312" s="207"/>
      <c r="EH312" s="207"/>
      <c r="EI312" s="207"/>
      <c r="EJ312" s="207"/>
      <c r="EK312" s="207"/>
      <c r="EL312" s="207"/>
      <c r="EM312" s="207"/>
      <c r="EN312" s="207"/>
      <c r="EO312" s="207"/>
      <c r="EP312" s="207"/>
      <c r="EQ312" s="207"/>
      <c r="ER312" s="207"/>
      <c r="ES312" s="207"/>
      <c r="ET312" s="207"/>
      <c r="EU312" s="207"/>
      <c r="EV312" s="207"/>
      <c r="EW312" s="207"/>
      <c r="EX312" s="207"/>
      <c r="EY312" s="207"/>
      <c r="EZ312" s="207"/>
      <c r="FA312" s="207"/>
      <c r="FB312" s="207"/>
      <c r="FC312" s="207"/>
      <c r="FD312" s="207"/>
      <c r="FE312" s="207"/>
      <c r="FF312" s="207"/>
      <c r="FG312" s="207"/>
      <c r="FH312" s="207"/>
      <c r="FI312" s="207"/>
      <c r="FJ312" s="207"/>
      <c r="FK312" s="207"/>
      <c r="FL312" s="207"/>
      <c r="FM312" s="207"/>
      <c r="FN312" s="207"/>
      <c r="FO312" s="207"/>
      <c r="FP312" s="207"/>
      <c r="FQ312" s="207"/>
      <c r="FR312" s="207"/>
      <c r="FS312" s="207"/>
      <c r="FT312" s="207"/>
      <c r="FU312" s="207"/>
      <c r="FV312" s="207"/>
      <c r="FW312" s="207"/>
      <c r="FX312" s="207"/>
      <c r="FY312" s="207"/>
      <c r="FZ312" s="207"/>
      <c r="GA312" s="207"/>
      <c r="GB312" s="207"/>
      <c r="GC312" s="207"/>
      <c r="GD312" s="207"/>
      <c r="GE312" s="207"/>
      <c r="GF312" s="207"/>
      <c r="GG312" s="207"/>
      <c r="GH312" s="207"/>
      <c r="GI312" s="207"/>
      <c r="GJ312" s="207"/>
      <c r="GK312" s="207"/>
      <c r="GL312" s="207"/>
      <c r="GM312" s="207"/>
      <c r="GN312" s="207"/>
      <c r="GO312" s="207"/>
      <c r="GP312" s="207"/>
      <c r="GQ312" s="207"/>
      <c r="GR312" s="207"/>
      <c r="GS312" s="207"/>
      <c r="GT312" s="207"/>
      <c r="GU312" s="207"/>
      <c r="GV312" s="207"/>
      <c r="GW312" s="207"/>
      <c r="GX312" s="207"/>
      <c r="GY312" s="207"/>
      <c r="GZ312" s="207"/>
      <c r="HA312" s="207"/>
      <c r="HB312" s="207"/>
      <c r="HC312" s="207"/>
      <c r="HD312" s="207"/>
      <c r="HE312" s="207"/>
      <c r="HF312" s="207"/>
      <c r="HG312" s="207"/>
      <c r="HH312" s="207"/>
      <c r="HI312" s="207"/>
      <c r="HJ312" s="207"/>
      <c r="HK312" s="207"/>
      <c r="HL312" s="207"/>
      <c r="HM312" s="207"/>
      <c r="HN312" s="207"/>
      <c r="HO312" s="207"/>
      <c r="HP312" s="207"/>
      <c r="HQ312" s="207"/>
      <c r="HR312" s="207"/>
      <c r="HS312" s="207"/>
      <c r="HT312" s="207"/>
      <c r="HU312" s="207"/>
      <c r="HV312" s="207"/>
      <c r="HW312" s="207"/>
      <c r="HX312" s="207"/>
      <c r="HY312" s="207"/>
      <c r="HZ312" s="207"/>
      <c r="IA312" s="207"/>
      <c r="IB312" s="207"/>
      <c r="IC312" s="207"/>
      <c r="ID312" s="207"/>
      <c r="IE312" s="207"/>
      <c r="IF312" s="207"/>
      <c r="IG312" s="207"/>
      <c r="IH312" s="207"/>
      <c r="II312" s="207"/>
      <c r="IJ312" s="207"/>
      <c r="IK312" s="207"/>
    </row>
    <row r="314" spans="2:22">
      <c r="B314" s="1"/>
      <c r="D314" s="1"/>
      <c r="E314" s="10" t="s">
        <v>268</v>
      </c>
      <c r="F314" s="11"/>
      <c r="G314" s="11"/>
      <c r="H314" s="124" t="s">
        <v>269</v>
      </c>
      <c r="I314" s="151">
        <f>B314</f>
        <v>0</v>
      </c>
      <c r="J314" s="152" t="s">
        <v>270</v>
      </c>
      <c r="K314" s="11" t="s">
        <v>271</v>
      </c>
      <c r="L314" s="11" t="s">
        <v>272</v>
      </c>
      <c r="M314" s="153" t="s">
        <v>273</v>
      </c>
      <c r="N314" s="11" t="s">
        <v>274</v>
      </c>
      <c r="O314" s="153" t="s">
        <v>275</v>
      </c>
      <c r="P314" s="153" t="s">
        <v>276</v>
      </c>
      <c r="Q314" s="179" t="s">
        <v>277</v>
      </c>
      <c r="R314" s="180" t="s">
        <v>278</v>
      </c>
      <c r="S314" s="181"/>
      <c r="T314" s="182"/>
      <c r="V314" s="1" t="s">
        <v>279</v>
      </c>
    </row>
    <row r="315" spans="2:22">
      <c r="B315" s="1"/>
      <c r="D315" s="1"/>
      <c r="E315" s="13"/>
      <c r="F315" s="15"/>
      <c r="G315" s="15"/>
      <c r="H315" s="125"/>
      <c r="I315" s="154"/>
      <c r="J315" s="155"/>
      <c r="K315" s="15"/>
      <c r="L315" s="15"/>
      <c r="M315" s="156"/>
      <c r="N315" s="15"/>
      <c r="O315" s="156"/>
      <c r="P315" s="156"/>
      <c r="Q315" s="183"/>
      <c r="R315" s="184"/>
      <c r="S315" s="185"/>
      <c r="T315" s="186"/>
      <c r="U315" s="1"/>
      <c r="V315" s="1"/>
    </row>
    <row r="316" spans="2:22">
      <c r="B316" s="1"/>
      <c r="D316" s="1"/>
      <c r="E316" s="13"/>
      <c r="F316" s="15"/>
      <c r="G316" s="15"/>
      <c r="H316" s="15" t="s">
        <v>280</v>
      </c>
      <c r="I316" s="157"/>
      <c r="J316" s="155" t="s">
        <v>281</v>
      </c>
      <c r="K316" s="158">
        <f>'1.U型槽主筋验算'!K22</f>
        <v>14</v>
      </c>
      <c r="L316" s="159"/>
      <c r="M316" s="160">
        <f>(R316+S316)/2+ROUNDUP((IF(K316&lt;26,10.927,11.212))*K316/10,0)*2</f>
        <v>192</v>
      </c>
      <c r="N316" s="161">
        <f>ROUNDUP((H319/12.5),0)*IF(I317&gt;600,2,1)</f>
        <v>0</v>
      </c>
      <c r="O316" s="162">
        <f t="shared" ref="O316:O323" si="125">M316*N316/100</f>
        <v>0</v>
      </c>
      <c r="P316" s="15">
        <f t="shared" ref="P316:P323" si="126">ROUND(K316^2*PI()/4/1000000*7850,3)</f>
        <v>1.208</v>
      </c>
      <c r="Q316" s="187">
        <f t="shared" ref="Q316:Q323" si="127">O316*P316</f>
        <v>0</v>
      </c>
      <c r="R316" s="188">
        <f>(H317+I321-I324*2)*2+(H323-I324*2)+(H321-I324*2)*2</f>
        <v>160</v>
      </c>
      <c r="S316" s="162">
        <f>(I317+I321-I324*2)*2+(H323-I324*2)+(H321-I324*2)*2</f>
        <v>160</v>
      </c>
      <c r="T316" s="189">
        <f>R318</f>
        <v>52</v>
      </c>
      <c r="V316" s="190">
        <f t="shared" ref="V316:V321" si="128">ROUNDUP((IF(K316&lt;26,10.927,11.212))*K316/10,0)</f>
        <v>16</v>
      </c>
    </row>
    <row r="317" spans="2:22">
      <c r="B317" s="1"/>
      <c r="D317" s="1"/>
      <c r="E317" s="126" t="s">
        <v>244</v>
      </c>
      <c r="F317" s="127" t="s">
        <v>282</v>
      </c>
      <c r="G317" s="127" t="s">
        <v>283</v>
      </c>
      <c r="H317" s="128">
        <f>MIN(VLOOKUP(I314,$B$4:$J$70,2,0),VLOOKUP(I314,$B$4:$J$70,3,0))</f>
        <v>0</v>
      </c>
      <c r="I317" s="163">
        <f>MAX(VLOOKUP(I314,$B$4:$J$70,2,0),VLOOKUP(I314,$B$4:$J$70,3,0))</f>
        <v>0</v>
      </c>
      <c r="J317" s="155" t="s">
        <v>284</v>
      </c>
      <c r="K317" s="164">
        <v>12</v>
      </c>
      <c r="L317" s="159"/>
      <c r="M317" s="160">
        <f>(R317+S317)/2+ROUNDUP((IF(K317&lt;26,10.927,11.212))*K317/10,0)*2</f>
        <v>60</v>
      </c>
      <c r="N317" s="165">
        <f>ROUNDUP((H319/12.5*1),0)*2</f>
        <v>0</v>
      </c>
      <c r="O317" s="162">
        <f t="shared" si="125"/>
        <v>0</v>
      </c>
      <c r="P317" s="15">
        <f t="shared" si="126"/>
        <v>0.888</v>
      </c>
      <c r="Q317" s="187">
        <f t="shared" si="127"/>
        <v>0</v>
      </c>
      <c r="R317" s="192">
        <f>H317+I321-I324*2</f>
        <v>32</v>
      </c>
      <c r="S317" s="193">
        <f>I317+I321-I324*2</f>
        <v>32</v>
      </c>
      <c r="T317" s="194" t="str">
        <f>ROUND(R317,1)&amp;"~"&amp;ROUND(S317,1)</f>
        <v>32~32</v>
      </c>
      <c r="V317" s="190">
        <f t="shared" si="128"/>
        <v>14</v>
      </c>
    </row>
    <row r="318" spans="2:22">
      <c r="B318" s="1"/>
      <c r="D318" s="1"/>
      <c r="E318" s="126">
        <f>VLOOKUP(I314,$B$39:$Z$70,3,0)</f>
        <v>3</v>
      </c>
      <c r="F318" s="129">
        <f>VLOOKUP(I314,$B$39:$Z$70,17,0)</f>
        <v>35</v>
      </c>
      <c r="G318" s="127">
        <f>VLOOKUP(I314,$B$39:$Z$70,12,0)</f>
        <v>-1</v>
      </c>
      <c r="H318" s="127" t="s">
        <v>229</v>
      </c>
      <c r="I318" s="157"/>
      <c r="J318" s="155" t="s">
        <v>285</v>
      </c>
      <c r="K318" s="158">
        <v>14</v>
      </c>
      <c r="L318" s="159"/>
      <c r="M318" s="166">
        <f>R318+2*ROUNDUP((IF(K318&lt;26,10.927,11.212))*K318/10,0)</f>
        <v>84</v>
      </c>
      <c r="N318" s="161">
        <f>ROUNDUP(H319/12.5,0)</f>
        <v>0</v>
      </c>
      <c r="O318" s="162">
        <f t="shared" si="125"/>
        <v>0</v>
      </c>
      <c r="P318" s="15">
        <f t="shared" si="126"/>
        <v>1.208</v>
      </c>
      <c r="Q318" s="187">
        <f t="shared" si="127"/>
        <v>0</v>
      </c>
      <c r="R318" s="195">
        <f>H323-I324*2</f>
        <v>52</v>
      </c>
      <c r="S318" s="162" t="s">
        <v>286</v>
      </c>
      <c r="T318" s="196"/>
      <c r="V318" s="190">
        <f t="shared" si="128"/>
        <v>16</v>
      </c>
    </row>
    <row r="319" spans="2:22">
      <c r="B319" s="1"/>
      <c r="D319" s="1"/>
      <c r="E319" s="130" t="s">
        <v>287</v>
      </c>
      <c r="F319" s="127" t="s">
        <v>288</v>
      </c>
      <c r="G319" s="127" t="s">
        <v>289</v>
      </c>
      <c r="H319" s="131">
        <f>MAX(VLOOKUP(I314,$B$4:$J$70,4,0),VLOOKUP(I314,$B$4:$J$70,5,0))</f>
        <v>0</v>
      </c>
      <c r="I319" s="167">
        <f>MIN(VLOOKUP(I314,$B$4:$J$70,4,0),VLOOKUP(I314,$B$4:$J$70,5,0))</f>
        <v>0</v>
      </c>
      <c r="J319" s="155" t="s">
        <v>290</v>
      </c>
      <c r="K319" s="164">
        <v>14</v>
      </c>
      <c r="L319" s="159"/>
      <c r="M319" s="166">
        <f>R319+2*ROUNDUP((IF(K319&lt;26,10.927,11.212))*K319/10,0)</f>
        <v>139.965512114594</v>
      </c>
      <c r="N319" s="165">
        <f>ROUNDUP(H319/12.5,0)*2</f>
        <v>0</v>
      </c>
      <c r="O319" s="162">
        <f t="shared" si="125"/>
        <v>0</v>
      </c>
      <c r="P319" s="15">
        <f t="shared" si="126"/>
        <v>1.208</v>
      </c>
      <c r="Q319" s="187">
        <f t="shared" si="127"/>
        <v>0</v>
      </c>
      <c r="R319" s="195">
        <f>((H321+I321-I324*2)+(20-I324*2^0.5))*(2^0.5)</f>
        <v>107.965512114594</v>
      </c>
      <c r="S319" s="162" t="s">
        <v>286</v>
      </c>
      <c r="T319" s="196"/>
      <c r="V319" s="190">
        <f t="shared" si="128"/>
        <v>16</v>
      </c>
    </row>
    <row r="320" spans="2:22">
      <c r="B320" s="1"/>
      <c r="D320" s="1"/>
      <c r="E320" s="132">
        <f>VLOOKUP(I314,$B$39:$Z$70,20,0)</f>
        <v>-1</v>
      </c>
      <c r="F320" s="127">
        <f>VLOOKUP(I314,$B$39:$Z$70,23,0)</f>
        <v>-1</v>
      </c>
      <c r="G320" s="127">
        <f>VLOOKUP(I314,$B$39:$Z$70,7,0)</f>
        <v>34</v>
      </c>
      <c r="H320" s="133" t="s">
        <v>291</v>
      </c>
      <c r="I320" s="157" t="s">
        <v>292</v>
      </c>
      <c r="J320" s="155" t="s">
        <v>293</v>
      </c>
      <c r="K320" s="158">
        <v>12</v>
      </c>
      <c r="L320" s="159"/>
      <c r="M320" s="166">
        <f>(R320+S320)/2+2*ROUNDUP((IF(K320&lt;26,10.927,11.212))*K320/10,0)</f>
        <v>20</v>
      </c>
      <c r="N320" s="168">
        <f>4*(G318+1)+(G320-1)*2</f>
        <v>66</v>
      </c>
      <c r="O320" s="162">
        <f t="shared" si="125"/>
        <v>13.2</v>
      </c>
      <c r="P320" s="15">
        <f t="shared" si="126"/>
        <v>0.888</v>
      </c>
      <c r="Q320" s="187">
        <f t="shared" si="127"/>
        <v>11.7216</v>
      </c>
      <c r="R320" s="188">
        <f>H319-I324*2</f>
        <v>-8</v>
      </c>
      <c r="S320" s="162">
        <f>I319-I324*2</f>
        <v>-8</v>
      </c>
      <c r="T320" s="194" t="str">
        <f>ROUND(S320,1)&amp;"~"&amp;ROUND(R320,1)</f>
        <v>-8~-8</v>
      </c>
      <c r="V320" s="190">
        <f t="shared" si="128"/>
        <v>14</v>
      </c>
    </row>
    <row r="321" ht="15" spans="2:22">
      <c r="B321" s="1"/>
      <c r="D321" s="1"/>
      <c r="E321" s="134"/>
      <c r="F321" s="135"/>
      <c r="G321" s="135"/>
      <c r="H321" s="136">
        <f>VLOOKUP(I314,$B$4:$J$70,6,0)</f>
        <v>30</v>
      </c>
      <c r="I321" s="167">
        <f>VLOOKUP(I314,$B$4:$J$70,7,0)</f>
        <v>40</v>
      </c>
      <c r="J321" s="155" t="s">
        <v>294</v>
      </c>
      <c r="K321" s="158">
        <v>12</v>
      </c>
      <c r="L321" s="159"/>
      <c r="M321" s="166">
        <f>(R321+S321)/2+2*ROUNDUP((IF(K321&lt;26,10.927,11.212))*K321/10,0)</f>
        <v>28</v>
      </c>
      <c r="N321" s="15">
        <f>2*(E318+1)+F318*2</f>
        <v>78</v>
      </c>
      <c r="O321" s="162">
        <f t="shared" si="125"/>
        <v>21.84</v>
      </c>
      <c r="P321" s="15">
        <f t="shared" si="126"/>
        <v>0.888</v>
      </c>
      <c r="Q321" s="187">
        <f t="shared" si="127"/>
        <v>19.39392</v>
      </c>
      <c r="R321" s="188">
        <f>((I317-H317)^2+H319^2)^0.5</f>
        <v>0</v>
      </c>
      <c r="S321" s="162">
        <f>((I317-H317)^2+I319^2)^0.5</f>
        <v>0</v>
      </c>
      <c r="T321" s="194" t="str">
        <f>ROUND(S321,1)&amp;"~"&amp;ROUND(R321,1)</f>
        <v>0~0</v>
      </c>
      <c r="V321" s="190">
        <f t="shared" si="128"/>
        <v>14</v>
      </c>
    </row>
    <row r="322" spans="2:22">
      <c r="B322" s="1"/>
      <c r="D322" s="1"/>
      <c r="E322" s="137" t="s">
        <v>295</v>
      </c>
      <c r="F322" s="138"/>
      <c r="G322" s="139"/>
      <c r="H322" s="140" t="s">
        <v>296</v>
      </c>
      <c r="I322" s="169"/>
      <c r="J322" s="155" t="s">
        <v>297</v>
      </c>
      <c r="K322" s="164">
        <v>8</v>
      </c>
      <c r="L322" s="159"/>
      <c r="M322" s="166">
        <f>R322+11</f>
        <v>43</v>
      </c>
      <c r="N322" s="170">
        <f>ROUNDDOWN(((VLOOKUP(I314,$B$39:$Z$70,2,0))/(VLOOKUP(I314,$B$39:$Z$70,4,0))-1),0)/4*((VLOOKUP(I314,$B$39:$Z$70,20,0))+1)</f>
        <v>0</v>
      </c>
      <c r="O322" s="162">
        <f t="shared" si="125"/>
        <v>0</v>
      </c>
      <c r="P322" s="15">
        <f t="shared" si="126"/>
        <v>0.395</v>
      </c>
      <c r="Q322" s="187">
        <f t="shared" si="127"/>
        <v>0</v>
      </c>
      <c r="R322" s="195">
        <f>I321-2*I324</f>
        <v>32</v>
      </c>
      <c r="S322" s="162" t="s">
        <v>286</v>
      </c>
      <c r="T322" s="196"/>
      <c r="V322" s="197"/>
    </row>
    <row r="323" spans="2:22">
      <c r="B323" s="1"/>
      <c r="D323" s="1"/>
      <c r="E323" s="141" t="s">
        <v>298</v>
      </c>
      <c r="F323" s="142" t="s">
        <v>299</v>
      </c>
      <c r="G323" s="143" t="s">
        <v>300</v>
      </c>
      <c r="H323" s="140">
        <f>VLOOKUP(I314,$B$4:$J$70,8,0)</f>
        <v>60</v>
      </c>
      <c r="I323" s="169"/>
      <c r="J323" s="155" t="s">
        <v>301</v>
      </c>
      <c r="K323" s="164">
        <v>8</v>
      </c>
      <c r="L323" s="159"/>
      <c r="M323" s="166">
        <f>R323+11</f>
        <v>33</v>
      </c>
      <c r="N323" s="171">
        <f>ROUND(E320/4*G318,0)*2</f>
        <v>0</v>
      </c>
      <c r="O323" s="162">
        <f t="shared" si="125"/>
        <v>0</v>
      </c>
      <c r="P323" s="15">
        <f t="shared" si="126"/>
        <v>0.395</v>
      </c>
      <c r="Q323" s="187">
        <f t="shared" si="127"/>
        <v>0</v>
      </c>
      <c r="R323" s="195">
        <f>H321-2*I324</f>
        <v>22</v>
      </c>
      <c r="S323" s="162" t="s">
        <v>286</v>
      </c>
      <c r="T323" s="196"/>
      <c r="V323" s="197"/>
    </row>
    <row r="324" ht="15" spans="2:20">
      <c r="B324" s="1"/>
      <c r="D324" s="1"/>
      <c r="E324" s="144">
        <f>IF(I314=0,0,ROUND(((H317+I317)/2*H321*2+H323*I321+0.2*0.2+0.25*0.05*2)*(H319+I319)/2/1000000,1))</f>
        <v>0</v>
      </c>
      <c r="F324" s="145">
        <f>IF(I314=0,0,ROUND(Q322+Q323,1))</f>
        <v>0</v>
      </c>
      <c r="G324" s="146">
        <f>IF(I314=0,0,ROUND(Q316+Q317+Q318+Q319+Q320+Q321,1))</f>
        <v>0</v>
      </c>
      <c r="H324" s="147" t="s">
        <v>302</v>
      </c>
      <c r="I324" s="172">
        <f>$P$3</f>
        <v>4</v>
      </c>
      <c r="J324" s="173" t="s">
        <v>303</v>
      </c>
      <c r="K324" s="174" t="str">
        <f>"C40混凝土:"&amp;ROUND(((H317+I317)/2*H321*2+H323*I321+0.2*0.2+0.25*0.05*2)*(H319+I319)/2/1000000,1)&amp;"m"&amp;"      "&amp;"HPB300:"&amp;ROUND(Q322+Q323,1)&amp;"kg       "&amp;"HRB400:"&amp;ROUND(Q316+Q317+Q318+Q319+Q320+Q321,1)&amp;"kg"</f>
        <v>C40混凝土:0m      HPB300:0kg       HRB400:31.1kg</v>
      </c>
      <c r="L324" s="174"/>
      <c r="M324" s="174"/>
      <c r="N324" s="174"/>
      <c r="O324" s="174"/>
      <c r="P324" s="174"/>
      <c r="Q324" s="198"/>
      <c r="R324" s="199" t="s">
        <v>304</v>
      </c>
      <c r="S324" s="174" t="e">
        <f>ROUND(SUM(Q316:Q323)/ROUND(((H317+I317)/2*H321*2+H323*I321+0.2*0.2+0.25*0.05*2)*(H319+I319)/2/1000000,1),1)</f>
        <v>#DIV/0!</v>
      </c>
      <c r="T324" s="200"/>
    </row>
    <row r="326" spans="2:22">
      <c r="B326" s="1"/>
      <c r="D326" s="1"/>
      <c r="E326" s="10" t="s">
        <v>268</v>
      </c>
      <c r="F326" s="11"/>
      <c r="G326" s="11"/>
      <c r="H326" s="124" t="s">
        <v>269</v>
      </c>
      <c r="I326" s="151">
        <f>B326</f>
        <v>0</v>
      </c>
      <c r="J326" s="152" t="s">
        <v>270</v>
      </c>
      <c r="K326" s="11" t="s">
        <v>271</v>
      </c>
      <c r="L326" s="11" t="s">
        <v>272</v>
      </c>
      <c r="M326" s="153" t="s">
        <v>273</v>
      </c>
      <c r="N326" s="11" t="s">
        <v>274</v>
      </c>
      <c r="O326" s="153" t="s">
        <v>275</v>
      </c>
      <c r="P326" s="153" t="s">
        <v>276</v>
      </c>
      <c r="Q326" s="179" t="s">
        <v>277</v>
      </c>
      <c r="R326" s="180" t="s">
        <v>278</v>
      </c>
      <c r="S326" s="181"/>
      <c r="T326" s="182"/>
      <c r="V326" s="1" t="s">
        <v>279</v>
      </c>
    </row>
    <row r="327" spans="2:22">
      <c r="B327" s="1"/>
      <c r="D327" s="1"/>
      <c r="E327" s="13"/>
      <c r="F327" s="15"/>
      <c r="G327" s="15"/>
      <c r="H327" s="125"/>
      <c r="I327" s="154"/>
      <c r="J327" s="155"/>
      <c r="K327" s="15"/>
      <c r="L327" s="15"/>
      <c r="M327" s="156"/>
      <c r="N327" s="15"/>
      <c r="O327" s="156"/>
      <c r="P327" s="156"/>
      <c r="Q327" s="183"/>
      <c r="R327" s="184"/>
      <c r="S327" s="185"/>
      <c r="T327" s="186"/>
      <c r="U327" s="1"/>
      <c r="V327" s="1"/>
    </row>
    <row r="328" spans="2:22">
      <c r="B328" s="1"/>
      <c r="D328" s="1"/>
      <c r="E328" s="13"/>
      <c r="F328" s="15"/>
      <c r="G328" s="15"/>
      <c r="H328" s="15" t="s">
        <v>280</v>
      </c>
      <c r="I328" s="157"/>
      <c r="J328" s="155" t="s">
        <v>281</v>
      </c>
      <c r="K328" s="158">
        <f>'1.U型槽主筋验算'!K23</f>
        <v>14</v>
      </c>
      <c r="L328" s="159"/>
      <c r="M328" s="160">
        <f>(R328+S328)/2+ROUNDUP((IF(K328&lt;26,10.927,11.212))*K328/10,0)*2</f>
        <v>192</v>
      </c>
      <c r="N328" s="161">
        <f>ROUNDUP((H331/12.5),0)*IF(I329&gt;600,2,1)</f>
        <v>0</v>
      </c>
      <c r="O328" s="162">
        <f t="shared" ref="O328:O335" si="129">M328*N328/100</f>
        <v>0</v>
      </c>
      <c r="P328" s="15">
        <f t="shared" ref="P328:P335" si="130">ROUND(K328^2*PI()/4/1000000*7850,3)</f>
        <v>1.208</v>
      </c>
      <c r="Q328" s="187">
        <f t="shared" ref="Q328:Q335" si="131">O328*P328</f>
        <v>0</v>
      </c>
      <c r="R328" s="188">
        <f>(H329+I333-I336*2)*2+(H335-I336*2)+(H333-I336*2)*2</f>
        <v>160</v>
      </c>
      <c r="S328" s="162">
        <f>(I329+I333-I336*2)*2+(H335-I336*2)+(H333-I336*2)*2</f>
        <v>160</v>
      </c>
      <c r="T328" s="189">
        <f>R330</f>
        <v>52</v>
      </c>
      <c r="V328" s="190">
        <f t="shared" ref="V328:V333" si="132">ROUNDUP((IF(K328&lt;26,10.927,11.212))*K328/10,0)</f>
        <v>16</v>
      </c>
    </row>
    <row r="329" spans="2:22">
      <c r="B329" s="1"/>
      <c r="D329" s="1"/>
      <c r="E329" s="126" t="s">
        <v>244</v>
      </c>
      <c r="F329" s="127" t="s">
        <v>282</v>
      </c>
      <c r="G329" s="127" t="s">
        <v>283</v>
      </c>
      <c r="H329" s="128">
        <f>MIN(VLOOKUP(I326,$B$4:$J$70,2,0),VLOOKUP(I326,$B$4:$J$70,3,0))</f>
        <v>0</v>
      </c>
      <c r="I329" s="163">
        <f>MAX(VLOOKUP(I326,$B$4:$J$70,2,0),VLOOKUP(I326,$B$4:$J$70,3,0))</f>
        <v>0</v>
      </c>
      <c r="J329" s="155" t="s">
        <v>284</v>
      </c>
      <c r="K329" s="164">
        <v>12</v>
      </c>
      <c r="L329" s="159"/>
      <c r="M329" s="160">
        <f>(R329+S329)/2+ROUNDUP((IF(K329&lt;26,10.927,11.212))*K329/10,0)*2</f>
        <v>60</v>
      </c>
      <c r="N329" s="165">
        <f>ROUNDUP((H331/12.5*1),0)*2</f>
        <v>0</v>
      </c>
      <c r="O329" s="162">
        <f t="shared" si="129"/>
        <v>0</v>
      </c>
      <c r="P329" s="15">
        <f t="shared" si="130"/>
        <v>0.888</v>
      </c>
      <c r="Q329" s="187">
        <f t="shared" si="131"/>
        <v>0</v>
      </c>
      <c r="R329" s="192">
        <f>H329+I333-I336*2</f>
        <v>32</v>
      </c>
      <c r="S329" s="193">
        <f>I329+I333-I336*2</f>
        <v>32</v>
      </c>
      <c r="T329" s="194" t="str">
        <f>ROUND(R329,1)&amp;"~"&amp;ROUND(S329,1)</f>
        <v>32~32</v>
      </c>
      <c r="V329" s="190">
        <f t="shared" si="132"/>
        <v>14</v>
      </c>
    </row>
    <row r="330" spans="2:22">
      <c r="B330" s="1"/>
      <c r="D330" s="1"/>
      <c r="E330" s="126">
        <f>VLOOKUP(I326,$B$39:$Z$70,3,0)</f>
        <v>3</v>
      </c>
      <c r="F330" s="129">
        <f>VLOOKUP(I326,$B$39:$Z$70,17,0)</f>
        <v>35</v>
      </c>
      <c r="G330" s="127">
        <f>VLOOKUP(I326,$B$39:$Z$70,12,0)</f>
        <v>-1</v>
      </c>
      <c r="H330" s="127" t="s">
        <v>229</v>
      </c>
      <c r="I330" s="157"/>
      <c r="J330" s="155" t="s">
        <v>285</v>
      </c>
      <c r="K330" s="158">
        <v>14</v>
      </c>
      <c r="L330" s="159"/>
      <c r="M330" s="166">
        <f>R330+2*ROUNDUP((IF(K330&lt;26,10.927,11.212))*K330/10,0)</f>
        <v>84</v>
      </c>
      <c r="N330" s="161">
        <f>ROUNDUP(H331/12.5,0)</f>
        <v>0</v>
      </c>
      <c r="O330" s="162">
        <f t="shared" si="129"/>
        <v>0</v>
      </c>
      <c r="P330" s="15">
        <f t="shared" si="130"/>
        <v>1.208</v>
      </c>
      <c r="Q330" s="187">
        <f t="shared" si="131"/>
        <v>0</v>
      </c>
      <c r="R330" s="195">
        <f>H335-I336*2</f>
        <v>52</v>
      </c>
      <c r="S330" s="162" t="s">
        <v>286</v>
      </c>
      <c r="T330" s="196"/>
      <c r="V330" s="190">
        <f t="shared" si="132"/>
        <v>16</v>
      </c>
    </row>
    <row r="331" spans="2:22">
      <c r="B331" s="1"/>
      <c r="D331" s="1"/>
      <c r="E331" s="130" t="s">
        <v>287</v>
      </c>
      <c r="F331" s="127" t="s">
        <v>288</v>
      </c>
      <c r="G331" s="127" t="s">
        <v>289</v>
      </c>
      <c r="H331" s="131">
        <f>MAX(VLOOKUP(I326,$B$4:$J$70,4,0),VLOOKUP(I326,$B$4:$J$70,5,0))</f>
        <v>0</v>
      </c>
      <c r="I331" s="167">
        <f>MIN(VLOOKUP(I326,$B$4:$J$70,4,0),VLOOKUP(I326,$B$4:$J$70,5,0))</f>
        <v>0</v>
      </c>
      <c r="J331" s="155" t="s">
        <v>290</v>
      </c>
      <c r="K331" s="164">
        <v>14</v>
      </c>
      <c r="L331" s="159"/>
      <c r="M331" s="166">
        <f>R331+2*ROUNDUP((IF(K331&lt;26,10.927,11.212))*K331/10,0)</f>
        <v>139.965512114594</v>
      </c>
      <c r="N331" s="165">
        <f>ROUNDUP(H331/12.5,0)*2</f>
        <v>0</v>
      </c>
      <c r="O331" s="162">
        <f t="shared" si="129"/>
        <v>0</v>
      </c>
      <c r="P331" s="15">
        <f t="shared" si="130"/>
        <v>1.208</v>
      </c>
      <c r="Q331" s="187">
        <f t="shared" si="131"/>
        <v>0</v>
      </c>
      <c r="R331" s="195">
        <f>((H333+I333-I336*2)+(20-I336*2^0.5))*(2^0.5)</f>
        <v>107.965512114594</v>
      </c>
      <c r="S331" s="162" t="s">
        <v>286</v>
      </c>
      <c r="T331" s="196"/>
      <c r="V331" s="190">
        <f t="shared" si="132"/>
        <v>16</v>
      </c>
    </row>
    <row r="332" spans="2:22">
      <c r="B332" s="1"/>
      <c r="D332" s="1"/>
      <c r="E332" s="132">
        <f>VLOOKUP(I326,$B$39:$Z$70,20,0)</f>
        <v>-1</v>
      </c>
      <c r="F332" s="127">
        <f>VLOOKUP(I326,$B$39:$Z$70,23,0)</f>
        <v>-1</v>
      </c>
      <c r="G332" s="127">
        <f>VLOOKUP(I326,$B$39:$Z$70,7,0)</f>
        <v>34</v>
      </c>
      <c r="H332" s="133" t="s">
        <v>291</v>
      </c>
      <c r="I332" s="157" t="s">
        <v>292</v>
      </c>
      <c r="J332" s="155" t="s">
        <v>293</v>
      </c>
      <c r="K332" s="158">
        <v>12</v>
      </c>
      <c r="L332" s="159"/>
      <c r="M332" s="166">
        <f>(R332+S332)/2+2*ROUNDUP((IF(K332&lt;26,10.927,11.212))*K332/10,0)</f>
        <v>20</v>
      </c>
      <c r="N332" s="168">
        <f>4*(G330+1)+(G332-1)*2</f>
        <v>66</v>
      </c>
      <c r="O332" s="162">
        <f t="shared" si="129"/>
        <v>13.2</v>
      </c>
      <c r="P332" s="15">
        <f t="shared" si="130"/>
        <v>0.888</v>
      </c>
      <c r="Q332" s="187">
        <f t="shared" si="131"/>
        <v>11.7216</v>
      </c>
      <c r="R332" s="188">
        <f>H331-I336*2</f>
        <v>-8</v>
      </c>
      <c r="S332" s="162">
        <f>I331-I336*2</f>
        <v>-8</v>
      </c>
      <c r="T332" s="194" t="str">
        <f>ROUND(S332,1)&amp;"~"&amp;ROUND(R332,1)</f>
        <v>-8~-8</v>
      </c>
      <c r="V332" s="190">
        <f t="shared" si="132"/>
        <v>14</v>
      </c>
    </row>
    <row r="333" ht="15" spans="2:22">
      <c r="B333" s="1"/>
      <c r="D333" s="1"/>
      <c r="E333" s="134"/>
      <c r="F333" s="135"/>
      <c r="G333" s="135"/>
      <c r="H333" s="136">
        <f>VLOOKUP(I326,$B$4:$J$70,6,0)</f>
        <v>30</v>
      </c>
      <c r="I333" s="167">
        <f>VLOOKUP(I326,$B$4:$J$70,7,0)</f>
        <v>40</v>
      </c>
      <c r="J333" s="155" t="s">
        <v>294</v>
      </c>
      <c r="K333" s="158">
        <v>12</v>
      </c>
      <c r="L333" s="159"/>
      <c r="M333" s="166">
        <f>(R333+S333)/2+2*ROUNDUP((IF(K333&lt;26,10.927,11.212))*K333/10,0)</f>
        <v>28</v>
      </c>
      <c r="N333" s="15">
        <f>2*(E330+1)+F330*2</f>
        <v>78</v>
      </c>
      <c r="O333" s="162">
        <f t="shared" si="129"/>
        <v>21.84</v>
      </c>
      <c r="P333" s="15">
        <f t="shared" si="130"/>
        <v>0.888</v>
      </c>
      <c r="Q333" s="187">
        <f t="shared" si="131"/>
        <v>19.39392</v>
      </c>
      <c r="R333" s="188">
        <f>((I329-H329)^2+H331^2)^0.5</f>
        <v>0</v>
      </c>
      <c r="S333" s="162">
        <f>((I329-H329)^2+I331^2)^0.5</f>
        <v>0</v>
      </c>
      <c r="T333" s="194" t="str">
        <f>ROUND(S333,1)&amp;"~"&amp;ROUND(R333,1)</f>
        <v>0~0</v>
      </c>
      <c r="V333" s="190">
        <f t="shared" si="132"/>
        <v>14</v>
      </c>
    </row>
    <row r="334" spans="2:22">
      <c r="B334" s="1"/>
      <c r="D334" s="1"/>
      <c r="E334" s="137" t="s">
        <v>295</v>
      </c>
      <c r="F334" s="138"/>
      <c r="G334" s="139"/>
      <c r="H334" s="140" t="s">
        <v>296</v>
      </c>
      <c r="I334" s="169"/>
      <c r="J334" s="155" t="s">
        <v>297</v>
      </c>
      <c r="K334" s="164">
        <v>8</v>
      </c>
      <c r="L334" s="159"/>
      <c r="M334" s="166">
        <f>R334+11</f>
        <v>43</v>
      </c>
      <c r="N334" s="170">
        <f>ROUNDDOWN(((VLOOKUP(I326,$B$39:$Z$70,2,0))/(VLOOKUP(I326,$B$39:$Z$70,4,0))-1),0)/4*((VLOOKUP(I326,$B$39:$Z$70,20,0))+1)</f>
        <v>0</v>
      </c>
      <c r="O334" s="162">
        <f t="shared" si="129"/>
        <v>0</v>
      </c>
      <c r="P334" s="15">
        <f t="shared" si="130"/>
        <v>0.395</v>
      </c>
      <c r="Q334" s="187">
        <f t="shared" si="131"/>
        <v>0</v>
      </c>
      <c r="R334" s="195">
        <f>I333-2*I336</f>
        <v>32</v>
      </c>
      <c r="S334" s="162" t="s">
        <v>286</v>
      </c>
      <c r="T334" s="196"/>
      <c r="V334" s="197"/>
    </row>
    <row r="335" spans="2:22">
      <c r="B335" s="1"/>
      <c r="D335" s="1"/>
      <c r="E335" s="141" t="s">
        <v>298</v>
      </c>
      <c r="F335" s="142" t="s">
        <v>299</v>
      </c>
      <c r="G335" s="143" t="s">
        <v>300</v>
      </c>
      <c r="H335" s="140">
        <f>VLOOKUP(I326,$B$4:$J$70,8,0)</f>
        <v>60</v>
      </c>
      <c r="I335" s="169"/>
      <c r="J335" s="155" t="s">
        <v>301</v>
      </c>
      <c r="K335" s="164">
        <v>8</v>
      </c>
      <c r="L335" s="159"/>
      <c r="M335" s="166">
        <f>R335+11</f>
        <v>33</v>
      </c>
      <c r="N335" s="171">
        <f>ROUND(E332/4*G330,0)*2</f>
        <v>0</v>
      </c>
      <c r="O335" s="162">
        <f t="shared" si="129"/>
        <v>0</v>
      </c>
      <c r="P335" s="15">
        <f t="shared" si="130"/>
        <v>0.395</v>
      </c>
      <c r="Q335" s="187">
        <f t="shared" si="131"/>
        <v>0</v>
      </c>
      <c r="R335" s="195">
        <f>H333-2*I336</f>
        <v>22</v>
      </c>
      <c r="S335" s="162" t="s">
        <v>286</v>
      </c>
      <c r="T335" s="196"/>
      <c r="V335" s="197"/>
    </row>
    <row r="336" ht="15" spans="2:20">
      <c r="B336" s="1"/>
      <c r="D336" s="1"/>
      <c r="E336" s="144">
        <f>IF(I326=0,0,ROUND(((H329+I329)/2*H333*2+H335*I333+0.2*0.2+0.25*0.05*2)*(H331+I331)/2/1000000,1))</f>
        <v>0</v>
      </c>
      <c r="F336" s="145">
        <f>IF(I326=0,0,ROUND(Q334+Q335,1))</f>
        <v>0</v>
      </c>
      <c r="G336" s="146">
        <f>IF(I326=0,0,ROUND(Q328+Q329+Q330+Q331+Q332+Q333,1))</f>
        <v>0</v>
      </c>
      <c r="H336" s="147" t="s">
        <v>302</v>
      </c>
      <c r="I336" s="172">
        <f>$P$3</f>
        <v>4</v>
      </c>
      <c r="J336" s="173" t="s">
        <v>303</v>
      </c>
      <c r="K336" s="174" t="str">
        <f>"C40混凝土:"&amp;ROUND(((H329+I329)/2*H333*2+H335*I333+0.2*0.2+0.25*0.05*2)*(H331+I331)/2/1000000,1)&amp;"m"&amp;"      "&amp;"HPB300:"&amp;ROUND(Q334+Q335,1)&amp;"kg       "&amp;"HRB400:"&amp;ROUND(Q328+Q329+Q330+Q331+Q332+Q333,1)&amp;"kg"</f>
        <v>C40混凝土:0m      HPB300:0kg       HRB400:31.1kg</v>
      </c>
      <c r="L336" s="174"/>
      <c r="M336" s="174"/>
      <c r="N336" s="174"/>
      <c r="O336" s="174"/>
      <c r="P336" s="174"/>
      <c r="Q336" s="198"/>
      <c r="R336" s="199" t="s">
        <v>304</v>
      </c>
      <c r="S336" s="174" t="e">
        <f>ROUND(SUM(Q328:Q335)/ROUND(((H329+I329)/2*H333*2+H335*I333+0.2*0.2+0.25*0.05*2)*(H331+I331)/2/1000000,1),1)</f>
        <v>#DIV/0!</v>
      </c>
      <c r="T336" s="200"/>
    </row>
    <row r="338" spans="2:22">
      <c r="B338" s="1"/>
      <c r="D338" s="1"/>
      <c r="E338" s="10" t="s">
        <v>268</v>
      </c>
      <c r="F338" s="11"/>
      <c r="G338" s="11"/>
      <c r="H338" s="124" t="s">
        <v>269</v>
      </c>
      <c r="I338" s="151">
        <f>B338</f>
        <v>0</v>
      </c>
      <c r="J338" s="152" t="s">
        <v>270</v>
      </c>
      <c r="K338" s="11" t="s">
        <v>271</v>
      </c>
      <c r="L338" s="11" t="s">
        <v>272</v>
      </c>
      <c r="M338" s="153" t="s">
        <v>273</v>
      </c>
      <c r="N338" s="11" t="s">
        <v>274</v>
      </c>
      <c r="O338" s="153" t="s">
        <v>275</v>
      </c>
      <c r="P338" s="153" t="s">
        <v>276</v>
      </c>
      <c r="Q338" s="179" t="s">
        <v>277</v>
      </c>
      <c r="R338" s="180" t="s">
        <v>278</v>
      </c>
      <c r="S338" s="181"/>
      <c r="T338" s="182"/>
      <c r="V338" s="1" t="s">
        <v>279</v>
      </c>
    </row>
    <row r="339" spans="2:22">
      <c r="B339" s="1"/>
      <c r="D339" s="1"/>
      <c r="E339" s="13"/>
      <c r="F339" s="15"/>
      <c r="G339" s="15"/>
      <c r="H339" s="125"/>
      <c r="I339" s="154"/>
      <c r="J339" s="155"/>
      <c r="K339" s="15"/>
      <c r="L339" s="15"/>
      <c r="M339" s="156"/>
      <c r="N339" s="15"/>
      <c r="O339" s="156"/>
      <c r="P339" s="156"/>
      <c r="Q339" s="183"/>
      <c r="R339" s="184"/>
      <c r="S339" s="185"/>
      <c r="T339" s="186"/>
      <c r="U339" s="1"/>
      <c r="V339" s="1"/>
    </row>
    <row r="340" spans="2:22">
      <c r="B340" s="1"/>
      <c r="D340" s="1"/>
      <c r="E340" s="13"/>
      <c r="F340" s="15"/>
      <c r="G340" s="15"/>
      <c r="H340" s="15" t="s">
        <v>280</v>
      </c>
      <c r="I340" s="157"/>
      <c r="J340" s="155" t="s">
        <v>281</v>
      </c>
      <c r="K340" s="158">
        <f>'1.U型槽主筋验算'!K24</f>
        <v>22</v>
      </c>
      <c r="L340" s="159"/>
      <c r="M340" s="160">
        <f>(R340+S340)/2+ROUNDUP((IF(K340&lt;26,10.927,11.212))*K340/10,0)*2</f>
        <v>210</v>
      </c>
      <c r="N340" s="161">
        <f>ROUNDUP((H343/12.5),0)*IF(I341&gt;600,2,1)</f>
        <v>0</v>
      </c>
      <c r="O340" s="162">
        <f t="shared" ref="O340:O347" si="133">M340*N340/100</f>
        <v>0</v>
      </c>
      <c r="P340" s="15">
        <f t="shared" ref="P340:P347" si="134">ROUND(K340^2*PI()/4/1000000*7850,3)</f>
        <v>2.984</v>
      </c>
      <c r="Q340" s="187">
        <f t="shared" ref="Q340:Q347" si="135">O340*P340</f>
        <v>0</v>
      </c>
      <c r="R340" s="188">
        <f>(H341+I345-I348*2)*2+(H347-I348*2)+(H345-I348*2)*2</f>
        <v>160</v>
      </c>
      <c r="S340" s="162">
        <f>(I341+I345-I348*2)*2+(H347-I348*2)+(H345-I348*2)*2</f>
        <v>160</v>
      </c>
      <c r="T340" s="189">
        <f>R342</f>
        <v>52</v>
      </c>
      <c r="V340" s="190">
        <f t="shared" ref="V340:V345" si="136">ROUNDUP((IF(K340&lt;26,10.927,11.212))*K340/10,0)</f>
        <v>25</v>
      </c>
    </row>
    <row r="341" spans="2:22">
      <c r="B341" s="1"/>
      <c r="D341" s="1"/>
      <c r="E341" s="126" t="s">
        <v>244</v>
      </c>
      <c r="F341" s="127" t="s">
        <v>282</v>
      </c>
      <c r="G341" s="127" t="s">
        <v>283</v>
      </c>
      <c r="H341" s="128">
        <f>MIN(VLOOKUP(I338,$B$4:$J$70,2,0),VLOOKUP(I338,$B$4:$J$70,3,0))</f>
        <v>0</v>
      </c>
      <c r="I341" s="163">
        <f>MAX(VLOOKUP(I338,$B$4:$J$70,2,0),VLOOKUP(I338,$B$4:$J$70,3,0))</f>
        <v>0</v>
      </c>
      <c r="J341" s="155" t="s">
        <v>284</v>
      </c>
      <c r="K341" s="164">
        <v>12</v>
      </c>
      <c r="L341" s="159"/>
      <c r="M341" s="160">
        <f>(R341+S341)/2+ROUNDUP((IF(K341&lt;26,10.927,11.212))*K341/10,0)*2</f>
        <v>60</v>
      </c>
      <c r="N341" s="165">
        <f>ROUNDUP((H343/12.5*1),0)*2</f>
        <v>0</v>
      </c>
      <c r="O341" s="162">
        <f t="shared" si="133"/>
        <v>0</v>
      </c>
      <c r="P341" s="15">
        <f t="shared" si="134"/>
        <v>0.888</v>
      </c>
      <c r="Q341" s="187">
        <f t="shared" si="135"/>
        <v>0</v>
      </c>
      <c r="R341" s="192">
        <f>H341+I345-I348*2</f>
        <v>32</v>
      </c>
      <c r="S341" s="193">
        <f>I341+I345-I348*2</f>
        <v>32</v>
      </c>
      <c r="T341" s="194" t="str">
        <f>ROUND(R341,1)&amp;"~"&amp;ROUND(S341,1)</f>
        <v>32~32</v>
      </c>
      <c r="V341" s="190">
        <f t="shared" si="136"/>
        <v>14</v>
      </c>
    </row>
    <row r="342" spans="2:22">
      <c r="B342" s="1"/>
      <c r="D342" s="1"/>
      <c r="E342" s="126">
        <f>VLOOKUP(I338,$B$39:$Z$70,3,0)</f>
        <v>3</v>
      </c>
      <c r="F342" s="129">
        <f>VLOOKUP(I338,$B$39:$Z$70,17,0)</f>
        <v>35</v>
      </c>
      <c r="G342" s="127">
        <f>VLOOKUP(I338,$B$39:$Z$70,12,0)</f>
        <v>-1</v>
      </c>
      <c r="H342" s="127" t="s">
        <v>229</v>
      </c>
      <c r="I342" s="157"/>
      <c r="J342" s="155" t="s">
        <v>285</v>
      </c>
      <c r="K342" s="158">
        <v>14</v>
      </c>
      <c r="L342" s="159"/>
      <c r="M342" s="166">
        <f>R342+2*ROUNDUP((IF(K342&lt;26,10.927,11.212))*K342/10,0)</f>
        <v>84</v>
      </c>
      <c r="N342" s="161">
        <f>ROUNDUP(H343/12.5,0)</f>
        <v>0</v>
      </c>
      <c r="O342" s="162">
        <f t="shared" si="133"/>
        <v>0</v>
      </c>
      <c r="P342" s="15">
        <f t="shared" si="134"/>
        <v>1.208</v>
      </c>
      <c r="Q342" s="187">
        <f t="shared" si="135"/>
        <v>0</v>
      </c>
      <c r="R342" s="195">
        <f>H347-I348*2</f>
        <v>52</v>
      </c>
      <c r="S342" s="162" t="s">
        <v>286</v>
      </c>
      <c r="T342" s="196"/>
      <c r="V342" s="190">
        <f t="shared" si="136"/>
        <v>16</v>
      </c>
    </row>
    <row r="343" spans="2:22">
      <c r="B343" s="1"/>
      <c r="D343" s="1"/>
      <c r="E343" s="130" t="s">
        <v>287</v>
      </c>
      <c r="F343" s="127" t="s">
        <v>288</v>
      </c>
      <c r="G343" s="127" t="s">
        <v>289</v>
      </c>
      <c r="H343" s="131">
        <f>MAX(VLOOKUP(I338,$B$4:$J$70,4,0),VLOOKUP(I338,$B$4:$J$70,5,0))</f>
        <v>0</v>
      </c>
      <c r="I343" s="167">
        <f>MIN(VLOOKUP(I338,$B$4:$J$70,4,0),VLOOKUP(I338,$B$4:$J$70,5,0))</f>
        <v>0</v>
      </c>
      <c r="J343" s="155" t="s">
        <v>290</v>
      </c>
      <c r="K343" s="164">
        <v>14</v>
      </c>
      <c r="L343" s="159"/>
      <c r="M343" s="166">
        <f>R343+2*ROUNDUP((IF(K343&lt;26,10.927,11.212))*K343/10,0)</f>
        <v>139.965512114594</v>
      </c>
      <c r="N343" s="165">
        <f>ROUNDUP(H343/12.5,0)*2</f>
        <v>0</v>
      </c>
      <c r="O343" s="162">
        <f t="shared" si="133"/>
        <v>0</v>
      </c>
      <c r="P343" s="15">
        <f t="shared" si="134"/>
        <v>1.208</v>
      </c>
      <c r="Q343" s="187">
        <f t="shared" si="135"/>
        <v>0</v>
      </c>
      <c r="R343" s="195">
        <f>((H345+I345-I348*2)+(20-I348*2^0.5))*(2^0.5)</f>
        <v>107.965512114594</v>
      </c>
      <c r="S343" s="162" t="s">
        <v>286</v>
      </c>
      <c r="T343" s="196"/>
      <c r="V343" s="190">
        <f t="shared" si="136"/>
        <v>16</v>
      </c>
    </row>
    <row r="344" spans="2:22">
      <c r="B344" s="1"/>
      <c r="D344" s="1"/>
      <c r="E344" s="132">
        <f>VLOOKUP(I338,$B$39:$Z$70,20,0)</f>
        <v>-1</v>
      </c>
      <c r="F344" s="127">
        <f>VLOOKUP(I338,$B$39:$Z$70,23,0)</f>
        <v>-1</v>
      </c>
      <c r="G344" s="127">
        <f>VLOOKUP(I338,$B$39:$Z$70,7,0)</f>
        <v>34</v>
      </c>
      <c r="H344" s="133" t="s">
        <v>291</v>
      </c>
      <c r="I344" s="157" t="s">
        <v>292</v>
      </c>
      <c r="J344" s="155" t="s">
        <v>293</v>
      </c>
      <c r="K344" s="158">
        <v>12</v>
      </c>
      <c r="L344" s="159"/>
      <c r="M344" s="166">
        <f>(R344+S344)/2+2*ROUNDUP((IF(K344&lt;26,10.927,11.212))*K344/10,0)</f>
        <v>20</v>
      </c>
      <c r="N344" s="168">
        <f>4*(G342+1)+(G344-1)*2</f>
        <v>66</v>
      </c>
      <c r="O344" s="162">
        <f t="shared" si="133"/>
        <v>13.2</v>
      </c>
      <c r="P344" s="15">
        <f t="shared" si="134"/>
        <v>0.888</v>
      </c>
      <c r="Q344" s="187">
        <f t="shared" si="135"/>
        <v>11.7216</v>
      </c>
      <c r="R344" s="188">
        <f>H343-I348*2</f>
        <v>-8</v>
      </c>
      <c r="S344" s="162">
        <f>I343-I348*2</f>
        <v>-8</v>
      </c>
      <c r="T344" s="194" t="str">
        <f>ROUND(S344,1)&amp;"~"&amp;ROUND(R344,1)</f>
        <v>-8~-8</v>
      </c>
      <c r="V344" s="190">
        <f t="shared" si="136"/>
        <v>14</v>
      </c>
    </row>
    <row r="345" ht="15" spans="2:22">
      <c r="B345" s="1"/>
      <c r="D345" s="1"/>
      <c r="E345" s="134"/>
      <c r="F345" s="135"/>
      <c r="G345" s="135"/>
      <c r="H345" s="136">
        <f>VLOOKUP(I338,$B$4:$J$70,6,0)</f>
        <v>30</v>
      </c>
      <c r="I345" s="167">
        <f>VLOOKUP(I338,$B$4:$J$70,7,0)</f>
        <v>40</v>
      </c>
      <c r="J345" s="155" t="s">
        <v>294</v>
      </c>
      <c r="K345" s="158">
        <v>12</v>
      </c>
      <c r="L345" s="159"/>
      <c r="M345" s="166">
        <f>(R345+S345)/2+2*ROUNDUP((IF(K345&lt;26,10.927,11.212))*K345/10,0)</f>
        <v>28</v>
      </c>
      <c r="N345" s="15">
        <f>2*(E342+1)+F342*2</f>
        <v>78</v>
      </c>
      <c r="O345" s="162">
        <f t="shared" si="133"/>
        <v>21.84</v>
      </c>
      <c r="P345" s="15">
        <f t="shared" si="134"/>
        <v>0.888</v>
      </c>
      <c r="Q345" s="187">
        <f t="shared" si="135"/>
        <v>19.39392</v>
      </c>
      <c r="R345" s="188">
        <f>((I341-H341)^2+H343^2)^0.5</f>
        <v>0</v>
      </c>
      <c r="S345" s="162">
        <f>((I341-H341)^2+I343^2)^0.5</f>
        <v>0</v>
      </c>
      <c r="T345" s="194" t="str">
        <f>ROUND(S345,1)&amp;"~"&amp;ROUND(R345,1)</f>
        <v>0~0</v>
      </c>
      <c r="V345" s="190">
        <f t="shared" si="136"/>
        <v>14</v>
      </c>
    </row>
    <row r="346" spans="2:22">
      <c r="B346" s="1"/>
      <c r="D346" s="1"/>
      <c r="E346" s="137" t="s">
        <v>295</v>
      </c>
      <c r="F346" s="138"/>
      <c r="G346" s="139"/>
      <c r="H346" s="140" t="s">
        <v>296</v>
      </c>
      <c r="I346" s="169"/>
      <c r="J346" s="155" t="s">
        <v>297</v>
      </c>
      <c r="K346" s="164">
        <v>8</v>
      </c>
      <c r="L346" s="159"/>
      <c r="M346" s="166">
        <f>R346+11</f>
        <v>43</v>
      </c>
      <c r="N346" s="170">
        <f>ROUNDDOWN(((VLOOKUP(I338,$B$39:$Z$70,2,0))/(VLOOKUP(I338,$B$39:$Z$70,4,0))-1),0)/4*((VLOOKUP(I338,$B$39:$Z$70,20,0))+1)</f>
        <v>0</v>
      </c>
      <c r="O346" s="162">
        <f t="shared" si="133"/>
        <v>0</v>
      </c>
      <c r="P346" s="15">
        <f t="shared" si="134"/>
        <v>0.395</v>
      </c>
      <c r="Q346" s="187">
        <f t="shared" si="135"/>
        <v>0</v>
      </c>
      <c r="R346" s="195">
        <f>I345-2*I348</f>
        <v>32</v>
      </c>
      <c r="S346" s="162" t="s">
        <v>286</v>
      </c>
      <c r="T346" s="196"/>
      <c r="V346" s="197"/>
    </row>
    <row r="347" spans="2:22">
      <c r="B347" s="1"/>
      <c r="D347" s="1"/>
      <c r="E347" s="141" t="s">
        <v>298</v>
      </c>
      <c r="F347" s="142" t="s">
        <v>299</v>
      </c>
      <c r="G347" s="143" t="s">
        <v>300</v>
      </c>
      <c r="H347" s="140">
        <f>VLOOKUP(I338,$B$4:$J$70,8,0)</f>
        <v>60</v>
      </c>
      <c r="I347" s="169"/>
      <c r="J347" s="155" t="s">
        <v>301</v>
      </c>
      <c r="K347" s="164">
        <v>8</v>
      </c>
      <c r="L347" s="159"/>
      <c r="M347" s="166">
        <f>R347+11</f>
        <v>33</v>
      </c>
      <c r="N347" s="171">
        <f>ROUND(E344/4*G342,0)*2</f>
        <v>0</v>
      </c>
      <c r="O347" s="162">
        <f t="shared" si="133"/>
        <v>0</v>
      </c>
      <c r="P347" s="15">
        <f t="shared" si="134"/>
        <v>0.395</v>
      </c>
      <c r="Q347" s="187">
        <f t="shared" si="135"/>
        <v>0</v>
      </c>
      <c r="R347" s="195">
        <f>H345-2*I348</f>
        <v>22</v>
      </c>
      <c r="S347" s="162" t="s">
        <v>286</v>
      </c>
      <c r="T347" s="196"/>
      <c r="V347" s="197"/>
    </row>
    <row r="348" ht="15" spans="2:20">
      <c r="B348" s="1"/>
      <c r="D348" s="1"/>
      <c r="E348" s="144">
        <f>IF(I338=0,0,ROUND(((H341+I341)/2*H345*2+H347*I345+0.2*0.2+0.25*0.05*2)*(H343+I343)/2/1000000,1))</f>
        <v>0</v>
      </c>
      <c r="F348" s="145">
        <f>IF(I338=0,0,ROUND(Q346+Q347,1))</f>
        <v>0</v>
      </c>
      <c r="G348" s="146">
        <f>IF(I338=0,0,ROUND(Q340+Q341+Q342+Q343+Q344+Q345,1))</f>
        <v>0</v>
      </c>
      <c r="H348" s="147" t="s">
        <v>302</v>
      </c>
      <c r="I348" s="172">
        <f>$P$3</f>
        <v>4</v>
      </c>
      <c r="J348" s="173" t="s">
        <v>303</v>
      </c>
      <c r="K348" s="174" t="str">
        <f>"C40混凝土:"&amp;ROUND(((H341+I341)/2*H345*2+H347*I345+0.2*0.2+0.25*0.05*2)*(H343+I343)/2/1000000,1)&amp;"m"&amp;"      "&amp;"HPB300:"&amp;ROUND(Q346+Q347,1)&amp;"kg       "&amp;"HRB400:"&amp;ROUND(Q340+Q341+Q342+Q343+Q344+Q345,1)&amp;"kg"</f>
        <v>C40混凝土:0m      HPB300:0kg       HRB400:31.1kg</v>
      </c>
      <c r="L348" s="174"/>
      <c r="M348" s="174"/>
      <c r="N348" s="174"/>
      <c r="O348" s="174"/>
      <c r="P348" s="174"/>
      <c r="Q348" s="198"/>
      <c r="R348" s="199" t="s">
        <v>304</v>
      </c>
      <c r="S348" s="174" t="e">
        <f>ROUND(SUM(Q340:Q347)/ROUND(((H341+I341)/2*H345*2+H347*I345+0.2*0.2+0.25*0.05*2)*(H343+I343)/2/1000000,1),1)</f>
        <v>#DIV/0!</v>
      </c>
      <c r="T348" s="200"/>
    </row>
    <row r="350" spans="2:22">
      <c r="B350" s="1"/>
      <c r="D350" s="1"/>
      <c r="E350" s="10" t="s">
        <v>268</v>
      </c>
      <c r="F350" s="11"/>
      <c r="G350" s="11"/>
      <c r="H350" s="124" t="s">
        <v>269</v>
      </c>
      <c r="I350" s="151">
        <f>B350</f>
        <v>0</v>
      </c>
      <c r="J350" s="152" t="s">
        <v>270</v>
      </c>
      <c r="K350" s="11" t="s">
        <v>271</v>
      </c>
      <c r="L350" s="11" t="s">
        <v>272</v>
      </c>
      <c r="M350" s="153" t="s">
        <v>273</v>
      </c>
      <c r="N350" s="11" t="s">
        <v>274</v>
      </c>
      <c r="O350" s="153" t="s">
        <v>275</v>
      </c>
      <c r="P350" s="153" t="s">
        <v>276</v>
      </c>
      <c r="Q350" s="179" t="s">
        <v>277</v>
      </c>
      <c r="R350" s="180" t="s">
        <v>278</v>
      </c>
      <c r="S350" s="181"/>
      <c r="T350" s="182"/>
      <c r="V350" s="1" t="s">
        <v>279</v>
      </c>
    </row>
    <row r="351" spans="2:22">
      <c r="B351" s="1"/>
      <c r="D351" s="1"/>
      <c r="E351" s="13"/>
      <c r="F351" s="15"/>
      <c r="G351" s="15"/>
      <c r="H351" s="125"/>
      <c r="I351" s="154"/>
      <c r="J351" s="155"/>
      <c r="K351" s="15"/>
      <c r="L351" s="15"/>
      <c r="M351" s="156"/>
      <c r="N351" s="15"/>
      <c r="O351" s="156"/>
      <c r="P351" s="156"/>
      <c r="Q351" s="183"/>
      <c r="R351" s="184"/>
      <c r="S351" s="185"/>
      <c r="T351" s="186"/>
      <c r="U351" s="1"/>
      <c r="V351" s="1"/>
    </row>
    <row r="352" spans="2:22">
      <c r="B352" s="1"/>
      <c r="D352" s="1"/>
      <c r="E352" s="13"/>
      <c r="F352" s="15"/>
      <c r="G352" s="15"/>
      <c r="H352" s="15" t="s">
        <v>280</v>
      </c>
      <c r="I352" s="157"/>
      <c r="J352" s="155" t="s">
        <v>281</v>
      </c>
      <c r="K352" s="158">
        <f>'1.U型槽主筋验算'!K25</f>
        <v>25</v>
      </c>
      <c r="L352" s="159"/>
      <c r="M352" s="160">
        <f>(R352+S352)/2+ROUNDUP((IF(K352&lt;26,10.927,11.212))*K352/10,0)*2</f>
        <v>216</v>
      </c>
      <c r="N352" s="161">
        <f>ROUNDUP((H355/12.5),0)*IF(I353&gt;600,2,1)</f>
        <v>0</v>
      </c>
      <c r="O352" s="162">
        <f t="shared" ref="O352:O359" si="137">M352*N352/100</f>
        <v>0</v>
      </c>
      <c r="P352" s="15">
        <f t="shared" ref="P352:P359" si="138">ROUND(K352^2*PI()/4/1000000*7850,3)</f>
        <v>3.853</v>
      </c>
      <c r="Q352" s="187">
        <f t="shared" ref="Q352:Q359" si="139">O352*P352</f>
        <v>0</v>
      </c>
      <c r="R352" s="188">
        <f>(H353+I357-I360*2)*2+(H359-I360*2)+(H357-I360*2)*2</f>
        <v>160</v>
      </c>
      <c r="S352" s="162">
        <f>(I353+I357-I360*2)*2+(H359-I360*2)+(H357-I360*2)*2</f>
        <v>160</v>
      </c>
      <c r="T352" s="189">
        <f>R354</f>
        <v>52</v>
      </c>
      <c r="V352" s="190">
        <f t="shared" ref="V352:V357" si="140">ROUNDUP((IF(K352&lt;26,10.927,11.212))*K352/10,0)</f>
        <v>28</v>
      </c>
    </row>
    <row r="353" spans="2:22">
      <c r="B353" s="1"/>
      <c r="D353" s="1"/>
      <c r="E353" s="126" t="s">
        <v>244</v>
      </c>
      <c r="F353" s="127" t="s">
        <v>282</v>
      </c>
      <c r="G353" s="127" t="s">
        <v>283</v>
      </c>
      <c r="H353" s="128">
        <f>MIN(VLOOKUP(I350,$B$4:$J$70,2,0),VLOOKUP(I350,$B$4:$J$70,3,0))</f>
        <v>0</v>
      </c>
      <c r="I353" s="163">
        <f>MAX(VLOOKUP(I350,$B$4:$J$70,2,0),VLOOKUP(I350,$B$4:$J$70,3,0))</f>
        <v>0</v>
      </c>
      <c r="J353" s="155" t="s">
        <v>284</v>
      </c>
      <c r="K353" s="164">
        <v>12</v>
      </c>
      <c r="L353" s="159"/>
      <c r="M353" s="160">
        <f>(R353+S353)/2+ROUNDUP((IF(K353&lt;26,10.927,11.212))*K353/10,0)*2</f>
        <v>60</v>
      </c>
      <c r="N353" s="165">
        <f>ROUNDUP((H355/12.5*1),0)*2</f>
        <v>0</v>
      </c>
      <c r="O353" s="162">
        <f t="shared" si="137"/>
        <v>0</v>
      </c>
      <c r="P353" s="15">
        <f t="shared" si="138"/>
        <v>0.888</v>
      </c>
      <c r="Q353" s="187">
        <f t="shared" si="139"/>
        <v>0</v>
      </c>
      <c r="R353" s="192">
        <f>H353+I357-I360*2</f>
        <v>32</v>
      </c>
      <c r="S353" s="193">
        <f>I353+I357-I360*2</f>
        <v>32</v>
      </c>
      <c r="T353" s="194" t="str">
        <f>ROUND(R353,1)&amp;"~"&amp;ROUND(S353,1)</f>
        <v>32~32</v>
      </c>
      <c r="V353" s="190">
        <f t="shared" si="140"/>
        <v>14</v>
      </c>
    </row>
    <row r="354" spans="2:22">
      <c r="B354" s="1"/>
      <c r="D354" s="1"/>
      <c r="E354" s="126">
        <f>VLOOKUP(I350,$B$39:$Z$70,3,0)</f>
        <v>3</v>
      </c>
      <c r="F354" s="129">
        <f>VLOOKUP(I350,$B$39:$Z$70,17,0)</f>
        <v>35</v>
      </c>
      <c r="G354" s="127">
        <f>VLOOKUP(I350,$B$39:$Z$70,12,0)</f>
        <v>-1</v>
      </c>
      <c r="H354" s="127" t="s">
        <v>229</v>
      </c>
      <c r="I354" s="157"/>
      <c r="J354" s="155" t="s">
        <v>285</v>
      </c>
      <c r="K354" s="158">
        <v>14</v>
      </c>
      <c r="L354" s="159"/>
      <c r="M354" s="166">
        <f>R354+2*ROUNDUP((IF(K354&lt;26,10.927,11.212))*K354/10,0)</f>
        <v>84</v>
      </c>
      <c r="N354" s="161">
        <f>ROUNDUP(H355/12.5,0)</f>
        <v>0</v>
      </c>
      <c r="O354" s="162">
        <f t="shared" si="137"/>
        <v>0</v>
      </c>
      <c r="P354" s="15">
        <f t="shared" si="138"/>
        <v>1.208</v>
      </c>
      <c r="Q354" s="187">
        <f t="shared" si="139"/>
        <v>0</v>
      </c>
      <c r="R354" s="195">
        <f>H359-I360*2</f>
        <v>52</v>
      </c>
      <c r="S354" s="162" t="s">
        <v>286</v>
      </c>
      <c r="T354" s="196"/>
      <c r="V354" s="190">
        <f t="shared" si="140"/>
        <v>16</v>
      </c>
    </row>
    <row r="355" spans="2:22">
      <c r="B355" s="1"/>
      <c r="D355" s="1"/>
      <c r="E355" s="130" t="s">
        <v>287</v>
      </c>
      <c r="F355" s="127" t="s">
        <v>288</v>
      </c>
      <c r="G355" s="127" t="s">
        <v>289</v>
      </c>
      <c r="H355" s="131">
        <f>MAX(VLOOKUP(I350,$B$4:$J$70,4,0),VLOOKUP(I350,$B$4:$J$70,5,0))</f>
        <v>0</v>
      </c>
      <c r="I355" s="167">
        <f>MIN(VLOOKUP(I350,$B$4:$J$70,4,0),VLOOKUP(I350,$B$4:$J$70,5,0))</f>
        <v>0</v>
      </c>
      <c r="J355" s="155" t="s">
        <v>290</v>
      </c>
      <c r="K355" s="164">
        <v>14</v>
      </c>
      <c r="L355" s="159"/>
      <c r="M355" s="166">
        <f>R355+2*ROUNDUP((IF(K355&lt;26,10.927,11.212))*K355/10,0)</f>
        <v>139.965512114594</v>
      </c>
      <c r="N355" s="165">
        <f>ROUNDUP(H355/12.5,0)*2</f>
        <v>0</v>
      </c>
      <c r="O355" s="162">
        <f t="shared" si="137"/>
        <v>0</v>
      </c>
      <c r="P355" s="15">
        <f t="shared" si="138"/>
        <v>1.208</v>
      </c>
      <c r="Q355" s="187">
        <f t="shared" si="139"/>
        <v>0</v>
      </c>
      <c r="R355" s="195">
        <f>((H357+I357-I360*2)+(20-I360*2^0.5))*(2^0.5)</f>
        <v>107.965512114594</v>
      </c>
      <c r="S355" s="162" t="s">
        <v>286</v>
      </c>
      <c r="T355" s="196"/>
      <c r="V355" s="190">
        <f t="shared" si="140"/>
        <v>16</v>
      </c>
    </row>
    <row r="356" spans="2:22">
      <c r="B356" s="1"/>
      <c r="D356" s="1"/>
      <c r="E356" s="132">
        <f>VLOOKUP(I350,$B$39:$Z$70,20,0)</f>
        <v>-1</v>
      </c>
      <c r="F356" s="127">
        <f>VLOOKUP(I350,$B$39:$Z$70,23,0)</f>
        <v>-1</v>
      </c>
      <c r="G356" s="127">
        <f>VLOOKUP(I350,$B$39:$Z$70,7,0)</f>
        <v>34</v>
      </c>
      <c r="H356" s="133" t="s">
        <v>291</v>
      </c>
      <c r="I356" s="157" t="s">
        <v>292</v>
      </c>
      <c r="J356" s="155" t="s">
        <v>293</v>
      </c>
      <c r="K356" s="158">
        <v>12</v>
      </c>
      <c r="L356" s="159"/>
      <c r="M356" s="166">
        <f>(R356+S356)/2+2*ROUNDUP((IF(K356&lt;26,10.927,11.212))*K356/10,0)</f>
        <v>20</v>
      </c>
      <c r="N356" s="168">
        <f>4*(G354+1)+(G356-1)*2</f>
        <v>66</v>
      </c>
      <c r="O356" s="162">
        <f t="shared" si="137"/>
        <v>13.2</v>
      </c>
      <c r="P356" s="15">
        <f t="shared" si="138"/>
        <v>0.888</v>
      </c>
      <c r="Q356" s="187">
        <f t="shared" si="139"/>
        <v>11.7216</v>
      </c>
      <c r="R356" s="188">
        <f>H355-I360*2</f>
        <v>-8</v>
      </c>
      <c r="S356" s="162">
        <f>I355-I360*2</f>
        <v>-8</v>
      </c>
      <c r="T356" s="194" t="str">
        <f>ROUND(S356,1)&amp;"~"&amp;ROUND(R356,1)</f>
        <v>-8~-8</v>
      </c>
      <c r="V356" s="190">
        <f t="shared" si="140"/>
        <v>14</v>
      </c>
    </row>
    <row r="357" ht="15" spans="2:22">
      <c r="B357" s="1"/>
      <c r="D357" s="1"/>
      <c r="E357" s="134"/>
      <c r="F357" s="135"/>
      <c r="G357" s="135"/>
      <c r="H357" s="136">
        <f>VLOOKUP(I350,$B$4:$J$70,6,0)</f>
        <v>30</v>
      </c>
      <c r="I357" s="167">
        <f>VLOOKUP(I350,$B$4:$J$70,7,0)</f>
        <v>40</v>
      </c>
      <c r="J357" s="155" t="s">
        <v>294</v>
      </c>
      <c r="K357" s="158">
        <v>12</v>
      </c>
      <c r="L357" s="159"/>
      <c r="M357" s="166">
        <f>(R357+S357)/2+2*ROUNDUP((IF(K357&lt;26,10.927,11.212))*K357/10,0)</f>
        <v>28</v>
      </c>
      <c r="N357" s="15">
        <f>2*(E354+1)+F354*2</f>
        <v>78</v>
      </c>
      <c r="O357" s="162">
        <f t="shared" si="137"/>
        <v>21.84</v>
      </c>
      <c r="P357" s="15">
        <f t="shared" si="138"/>
        <v>0.888</v>
      </c>
      <c r="Q357" s="187">
        <f t="shared" si="139"/>
        <v>19.39392</v>
      </c>
      <c r="R357" s="188">
        <f>((I353-H353)^2+H355^2)^0.5</f>
        <v>0</v>
      </c>
      <c r="S357" s="162">
        <f>((I353-H353)^2+I355^2)^0.5</f>
        <v>0</v>
      </c>
      <c r="T357" s="194" t="str">
        <f>ROUND(S357,1)&amp;"~"&amp;ROUND(R357,1)</f>
        <v>0~0</v>
      </c>
      <c r="V357" s="190">
        <f t="shared" si="140"/>
        <v>14</v>
      </c>
    </row>
    <row r="358" spans="2:22">
      <c r="B358" s="1"/>
      <c r="D358" s="1"/>
      <c r="E358" s="137" t="s">
        <v>295</v>
      </c>
      <c r="F358" s="138"/>
      <c r="G358" s="139"/>
      <c r="H358" s="140" t="s">
        <v>296</v>
      </c>
      <c r="I358" s="169"/>
      <c r="J358" s="155" t="s">
        <v>297</v>
      </c>
      <c r="K358" s="164">
        <v>8</v>
      </c>
      <c r="L358" s="159"/>
      <c r="M358" s="166">
        <f>R358+11</f>
        <v>43</v>
      </c>
      <c r="N358" s="170">
        <f>ROUNDDOWN(((VLOOKUP(I350,$B$39:$Z$70,2,0))/(VLOOKUP(I350,$B$39:$Z$70,4,0))-1),0)/4*((VLOOKUP(I350,$B$39:$Z$70,20,0))+1)</f>
        <v>0</v>
      </c>
      <c r="O358" s="162">
        <f t="shared" si="137"/>
        <v>0</v>
      </c>
      <c r="P358" s="15">
        <f t="shared" si="138"/>
        <v>0.395</v>
      </c>
      <c r="Q358" s="187">
        <f t="shared" si="139"/>
        <v>0</v>
      </c>
      <c r="R358" s="195">
        <f>I357-2*I360</f>
        <v>32</v>
      </c>
      <c r="S358" s="162" t="s">
        <v>286</v>
      </c>
      <c r="T358" s="196"/>
      <c r="V358" s="197"/>
    </row>
    <row r="359" spans="2:22">
      <c r="B359" s="1"/>
      <c r="D359" s="1"/>
      <c r="E359" s="141" t="s">
        <v>298</v>
      </c>
      <c r="F359" s="142" t="s">
        <v>299</v>
      </c>
      <c r="G359" s="143" t="s">
        <v>300</v>
      </c>
      <c r="H359" s="140">
        <f>VLOOKUP(I350,$B$4:$J$70,8,0)</f>
        <v>60</v>
      </c>
      <c r="I359" s="169"/>
      <c r="J359" s="155" t="s">
        <v>301</v>
      </c>
      <c r="K359" s="164">
        <v>8</v>
      </c>
      <c r="L359" s="159"/>
      <c r="M359" s="166">
        <f>R359+11</f>
        <v>33</v>
      </c>
      <c r="N359" s="171">
        <f>ROUND(E356/4*G354,0)*2</f>
        <v>0</v>
      </c>
      <c r="O359" s="162">
        <f t="shared" si="137"/>
        <v>0</v>
      </c>
      <c r="P359" s="15">
        <f t="shared" si="138"/>
        <v>0.395</v>
      </c>
      <c r="Q359" s="187">
        <f t="shared" si="139"/>
        <v>0</v>
      </c>
      <c r="R359" s="195">
        <f>H357-2*I360</f>
        <v>22</v>
      </c>
      <c r="S359" s="162" t="s">
        <v>286</v>
      </c>
      <c r="T359" s="196"/>
      <c r="V359" s="197"/>
    </row>
    <row r="360" ht="15" spans="2:20">
      <c r="B360" s="1"/>
      <c r="D360" s="1"/>
      <c r="E360" s="144">
        <f>IF(I350=0,0,ROUND(((H353+I353)/2*H357*2+H359*I357+0.2*0.2+0.25*0.05*2)*(H355+I355)/2/1000000,1))</f>
        <v>0</v>
      </c>
      <c r="F360" s="145">
        <f>IF(I350=0,0,ROUND(Q358+Q359,1))</f>
        <v>0</v>
      </c>
      <c r="G360" s="146">
        <f>IF(I350=0,0,ROUND(Q352+Q353+Q354+Q355+Q356+Q357,1))</f>
        <v>0</v>
      </c>
      <c r="H360" s="147" t="s">
        <v>302</v>
      </c>
      <c r="I360" s="172">
        <f>$P$3</f>
        <v>4</v>
      </c>
      <c r="J360" s="173" t="s">
        <v>303</v>
      </c>
      <c r="K360" s="174" t="str">
        <f>"C40混凝土:"&amp;ROUND(((H353+I353)/2*H357*2+H359*I357+0.2*0.2+0.25*0.05*2)*(H355+I355)/2/1000000,1)&amp;"m"&amp;"      "&amp;"HPB300:"&amp;ROUND(Q358+Q359,1)&amp;"kg       "&amp;"HRB400:"&amp;ROUND(Q352+Q353+Q354+Q355+Q356+Q357,1)&amp;"kg"</f>
        <v>C40混凝土:0m      HPB300:0kg       HRB400:31.1kg</v>
      </c>
      <c r="L360" s="174"/>
      <c r="M360" s="174"/>
      <c r="N360" s="174"/>
      <c r="O360" s="174"/>
      <c r="P360" s="174"/>
      <c r="Q360" s="198"/>
      <c r="R360" s="199" t="s">
        <v>304</v>
      </c>
      <c r="S360" s="174" t="e">
        <f>ROUND(SUM(Q352:Q359)/ROUND(((H353+I353)/2*H357*2+H359*I357+0.2*0.2+0.25*0.05*2)*(H355+I355)/2/1000000,1),1)</f>
        <v>#DIV/0!</v>
      </c>
      <c r="T360" s="200"/>
    </row>
    <row r="362" spans="2:22">
      <c r="B362" s="1"/>
      <c r="D362" s="1"/>
      <c r="E362" s="10" t="s">
        <v>268</v>
      </c>
      <c r="F362" s="11"/>
      <c r="G362" s="11"/>
      <c r="H362" s="124" t="s">
        <v>269</v>
      </c>
      <c r="I362" s="151">
        <f>B362</f>
        <v>0</v>
      </c>
      <c r="J362" s="152" t="s">
        <v>270</v>
      </c>
      <c r="K362" s="11" t="s">
        <v>271</v>
      </c>
      <c r="L362" s="11" t="s">
        <v>272</v>
      </c>
      <c r="M362" s="153" t="s">
        <v>273</v>
      </c>
      <c r="N362" s="11" t="s">
        <v>274</v>
      </c>
      <c r="O362" s="153" t="s">
        <v>275</v>
      </c>
      <c r="P362" s="153" t="s">
        <v>276</v>
      </c>
      <c r="Q362" s="179" t="s">
        <v>277</v>
      </c>
      <c r="R362" s="180" t="s">
        <v>278</v>
      </c>
      <c r="S362" s="181"/>
      <c r="T362" s="182"/>
      <c r="V362" s="1" t="s">
        <v>279</v>
      </c>
    </row>
    <row r="363" spans="2:22">
      <c r="B363" s="1"/>
      <c r="D363" s="1"/>
      <c r="E363" s="13"/>
      <c r="F363" s="15"/>
      <c r="G363" s="15"/>
      <c r="H363" s="125"/>
      <c r="I363" s="154"/>
      <c r="J363" s="155"/>
      <c r="K363" s="15"/>
      <c r="L363" s="15"/>
      <c r="M363" s="156"/>
      <c r="N363" s="15"/>
      <c r="O363" s="156"/>
      <c r="P363" s="156"/>
      <c r="Q363" s="183"/>
      <c r="R363" s="184"/>
      <c r="S363" s="185"/>
      <c r="T363" s="186"/>
      <c r="U363" s="1"/>
      <c r="V363" s="1"/>
    </row>
    <row r="364" spans="2:22">
      <c r="B364" s="1"/>
      <c r="D364" s="1"/>
      <c r="E364" s="13"/>
      <c r="F364" s="15"/>
      <c r="G364" s="15"/>
      <c r="H364" s="15" t="s">
        <v>280</v>
      </c>
      <c r="I364" s="157"/>
      <c r="J364" s="155" t="s">
        <v>281</v>
      </c>
      <c r="K364" s="158">
        <f>'1.U型槽主筋验算'!K26</f>
        <v>20</v>
      </c>
      <c r="L364" s="159"/>
      <c r="M364" s="160">
        <f>(R364+S364)/2+ROUNDUP((IF(K364&lt;26,10.927,11.212))*K364/10,0)*2</f>
        <v>204</v>
      </c>
      <c r="N364" s="161">
        <f>ROUNDUP((H367/12.5),0)*IF(I365&gt;600,2,1)</f>
        <v>0</v>
      </c>
      <c r="O364" s="162">
        <f t="shared" ref="O364:O371" si="141">M364*N364/100</f>
        <v>0</v>
      </c>
      <c r="P364" s="15">
        <f t="shared" ref="P364:P371" si="142">ROUND(K364^2*PI()/4/1000000*7850,3)</f>
        <v>2.466</v>
      </c>
      <c r="Q364" s="187">
        <f t="shared" ref="Q364:Q371" si="143">O364*P364</f>
        <v>0</v>
      </c>
      <c r="R364" s="188">
        <f>(H365+I369-I372*2)*2+(H371-I372*2)+(H369-I372*2)*2</f>
        <v>160</v>
      </c>
      <c r="S364" s="162">
        <f>(I365+I369-I372*2)*2+(H371-I372*2)+(H369-I372*2)*2</f>
        <v>160</v>
      </c>
      <c r="T364" s="189">
        <f>R366</f>
        <v>52</v>
      </c>
      <c r="V364" s="190">
        <f t="shared" ref="V364:V369" si="144">ROUNDUP((IF(K364&lt;26,10.927,11.212))*K364/10,0)</f>
        <v>22</v>
      </c>
    </row>
    <row r="365" spans="2:22">
      <c r="B365" s="1"/>
      <c r="D365" s="1"/>
      <c r="E365" s="126" t="s">
        <v>244</v>
      </c>
      <c r="F365" s="127" t="s">
        <v>282</v>
      </c>
      <c r="G365" s="127" t="s">
        <v>283</v>
      </c>
      <c r="H365" s="128">
        <f>MIN(VLOOKUP(I362,$B$4:$J$70,2,0),VLOOKUP(I362,$B$4:$J$70,3,0))</f>
        <v>0</v>
      </c>
      <c r="I365" s="163">
        <f>MAX(VLOOKUP(I362,$B$4:$J$70,2,0),VLOOKUP(I362,$B$4:$J$70,3,0))</f>
        <v>0</v>
      </c>
      <c r="J365" s="155" t="s">
        <v>284</v>
      </c>
      <c r="K365" s="164">
        <v>12</v>
      </c>
      <c r="L365" s="159"/>
      <c r="M365" s="160">
        <f>(R365+S365)/2+ROUNDUP((IF(K365&lt;26,10.927,11.212))*K365/10,0)*2</f>
        <v>60</v>
      </c>
      <c r="N365" s="165">
        <f>ROUNDUP((H367/12.5*1),0)*2</f>
        <v>0</v>
      </c>
      <c r="O365" s="162">
        <f t="shared" si="141"/>
        <v>0</v>
      </c>
      <c r="P365" s="15">
        <f t="shared" si="142"/>
        <v>0.888</v>
      </c>
      <c r="Q365" s="187">
        <f t="shared" si="143"/>
        <v>0</v>
      </c>
      <c r="R365" s="192">
        <f>H365+I369-I372*2</f>
        <v>32</v>
      </c>
      <c r="S365" s="193">
        <f>I365+I369-I372*2</f>
        <v>32</v>
      </c>
      <c r="T365" s="194" t="str">
        <f>ROUND(R365,1)&amp;"~"&amp;ROUND(S365,1)</f>
        <v>32~32</v>
      </c>
      <c r="V365" s="190">
        <f t="shared" si="144"/>
        <v>14</v>
      </c>
    </row>
    <row r="366" spans="2:22">
      <c r="B366" s="1"/>
      <c r="D366" s="1"/>
      <c r="E366" s="126">
        <f>VLOOKUP(I362,$B$39:$Z$70,3,0)</f>
        <v>3</v>
      </c>
      <c r="F366" s="129">
        <f>VLOOKUP(I362,$B$39:$Z$70,17,0)</f>
        <v>35</v>
      </c>
      <c r="G366" s="127">
        <f>VLOOKUP(I362,$B$39:$Z$70,12,0)</f>
        <v>-1</v>
      </c>
      <c r="H366" s="127" t="s">
        <v>229</v>
      </c>
      <c r="I366" s="157"/>
      <c r="J366" s="155" t="s">
        <v>285</v>
      </c>
      <c r="K366" s="158">
        <v>14</v>
      </c>
      <c r="L366" s="159"/>
      <c r="M366" s="166">
        <f>R366+2*ROUNDUP((IF(K366&lt;26,10.927,11.212))*K366/10,0)</f>
        <v>84</v>
      </c>
      <c r="N366" s="161">
        <f>ROUNDUP(H367/12.5,0)</f>
        <v>0</v>
      </c>
      <c r="O366" s="162">
        <f t="shared" si="141"/>
        <v>0</v>
      </c>
      <c r="P366" s="15">
        <f t="shared" si="142"/>
        <v>1.208</v>
      </c>
      <c r="Q366" s="187">
        <f t="shared" si="143"/>
        <v>0</v>
      </c>
      <c r="R366" s="195">
        <f>H371-I372*2</f>
        <v>52</v>
      </c>
      <c r="S366" s="162" t="s">
        <v>286</v>
      </c>
      <c r="T366" s="196"/>
      <c r="V366" s="190">
        <f t="shared" si="144"/>
        <v>16</v>
      </c>
    </row>
    <row r="367" spans="2:22">
      <c r="B367" s="1"/>
      <c r="D367" s="1"/>
      <c r="E367" s="130" t="s">
        <v>287</v>
      </c>
      <c r="F367" s="127" t="s">
        <v>288</v>
      </c>
      <c r="G367" s="127" t="s">
        <v>289</v>
      </c>
      <c r="H367" s="131">
        <f>MAX(VLOOKUP(I362,$B$4:$J$70,4,0),VLOOKUP(I362,$B$4:$J$70,5,0))</f>
        <v>0</v>
      </c>
      <c r="I367" s="167">
        <f>MIN(VLOOKUP(I362,$B$4:$J$70,4,0),VLOOKUP(I362,$B$4:$J$70,5,0))</f>
        <v>0</v>
      </c>
      <c r="J367" s="155" t="s">
        <v>290</v>
      </c>
      <c r="K367" s="164">
        <v>14</v>
      </c>
      <c r="L367" s="159"/>
      <c r="M367" s="166">
        <f>R367+2*ROUNDUP((IF(K367&lt;26,10.927,11.212))*K367/10,0)</f>
        <v>139.965512114594</v>
      </c>
      <c r="N367" s="165">
        <f>ROUNDUP(H367/12.5,0)*2</f>
        <v>0</v>
      </c>
      <c r="O367" s="162">
        <f t="shared" si="141"/>
        <v>0</v>
      </c>
      <c r="P367" s="15">
        <f t="shared" si="142"/>
        <v>1.208</v>
      </c>
      <c r="Q367" s="187">
        <f t="shared" si="143"/>
        <v>0</v>
      </c>
      <c r="R367" s="195">
        <f>((H369+I369-I372*2)+(20-I372*2^0.5))*(2^0.5)</f>
        <v>107.965512114594</v>
      </c>
      <c r="S367" s="162" t="s">
        <v>286</v>
      </c>
      <c r="T367" s="196"/>
      <c r="V367" s="190">
        <f t="shared" si="144"/>
        <v>16</v>
      </c>
    </row>
    <row r="368" spans="2:22">
      <c r="B368" s="1"/>
      <c r="D368" s="1"/>
      <c r="E368" s="132">
        <f>VLOOKUP(I362,$B$39:$Z$70,20,0)</f>
        <v>-1</v>
      </c>
      <c r="F368" s="127">
        <f>VLOOKUP(I362,$B$39:$Z$70,23,0)</f>
        <v>-1</v>
      </c>
      <c r="G368" s="127">
        <f>VLOOKUP(I362,$B$39:$Z$70,7,0)</f>
        <v>34</v>
      </c>
      <c r="H368" s="133" t="s">
        <v>291</v>
      </c>
      <c r="I368" s="157" t="s">
        <v>292</v>
      </c>
      <c r="J368" s="155" t="s">
        <v>293</v>
      </c>
      <c r="K368" s="158">
        <v>12</v>
      </c>
      <c r="L368" s="159"/>
      <c r="M368" s="166">
        <f>(R368+S368)/2+2*ROUNDUP((IF(K368&lt;26,10.927,11.212))*K368/10,0)</f>
        <v>20</v>
      </c>
      <c r="N368" s="168">
        <f>4*(G366+1)+(G368-1)*2</f>
        <v>66</v>
      </c>
      <c r="O368" s="162">
        <f t="shared" si="141"/>
        <v>13.2</v>
      </c>
      <c r="P368" s="15">
        <f t="shared" si="142"/>
        <v>0.888</v>
      </c>
      <c r="Q368" s="187">
        <f t="shared" si="143"/>
        <v>11.7216</v>
      </c>
      <c r="R368" s="188">
        <f>H367-I372*2</f>
        <v>-8</v>
      </c>
      <c r="S368" s="162">
        <f>I367-I372*2</f>
        <v>-8</v>
      </c>
      <c r="T368" s="194" t="str">
        <f>ROUND(S368,1)&amp;"~"&amp;ROUND(R368,1)</f>
        <v>-8~-8</v>
      </c>
      <c r="V368" s="190">
        <f t="shared" si="144"/>
        <v>14</v>
      </c>
    </row>
    <row r="369" ht="15" spans="2:22">
      <c r="B369" s="1"/>
      <c r="D369" s="1"/>
      <c r="E369" s="134"/>
      <c r="F369" s="135"/>
      <c r="G369" s="135"/>
      <c r="H369" s="136">
        <f>VLOOKUP(I362,$B$4:$J$70,6,0)</f>
        <v>30</v>
      </c>
      <c r="I369" s="167">
        <f>VLOOKUP(I362,$B$4:$J$70,7,0)</f>
        <v>40</v>
      </c>
      <c r="J369" s="155" t="s">
        <v>294</v>
      </c>
      <c r="K369" s="158">
        <v>12</v>
      </c>
      <c r="L369" s="159"/>
      <c r="M369" s="166">
        <f>(R369+S369)/2+2*ROUNDUP((IF(K369&lt;26,10.927,11.212))*K369/10,0)</f>
        <v>28</v>
      </c>
      <c r="N369" s="15">
        <f>2*(E366+1)+F366*2</f>
        <v>78</v>
      </c>
      <c r="O369" s="162">
        <f t="shared" si="141"/>
        <v>21.84</v>
      </c>
      <c r="P369" s="15">
        <f t="shared" si="142"/>
        <v>0.888</v>
      </c>
      <c r="Q369" s="187">
        <f t="shared" si="143"/>
        <v>19.39392</v>
      </c>
      <c r="R369" s="188">
        <f>((I365-H365)^2+H367^2)^0.5</f>
        <v>0</v>
      </c>
      <c r="S369" s="162">
        <f>((I365-H365)^2+I367^2)^0.5</f>
        <v>0</v>
      </c>
      <c r="T369" s="194" t="str">
        <f>ROUND(S369,1)&amp;"~"&amp;ROUND(R369,1)</f>
        <v>0~0</v>
      </c>
      <c r="V369" s="190">
        <f t="shared" si="144"/>
        <v>14</v>
      </c>
    </row>
    <row r="370" spans="2:22">
      <c r="B370" s="1"/>
      <c r="D370" s="1"/>
      <c r="E370" s="137" t="s">
        <v>295</v>
      </c>
      <c r="F370" s="138"/>
      <c r="G370" s="139"/>
      <c r="H370" s="140" t="s">
        <v>296</v>
      </c>
      <c r="I370" s="169"/>
      <c r="J370" s="155" t="s">
        <v>297</v>
      </c>
      <c r="K370" s="164">
        <v>8</v>
      </c>
      <c r="L370" s="159"/>
      <c r="M370" s="166">
        <f>R370+11</f>
        <v>43</v>
      </c>
      <c r="N370" s="170">
        <f>ROUNDDOWN(((VLOOKUP(I362,$B$39:$Z$70,2,0))/(VLOOKUP(I362,$B$39:$Z$70,4,0))-1),0)/4*((VLOOKUP(I362,$B$39:$Z$70,20,0))+1)</f>
        <v>0</v>
      </c>
      <c r="O370" s="162">
        <f t="shared" si="141"/>
        <v>0</v>
      </c>
      <c r="P370" s="15">
        <f t="shared" si="142"/>
        <v>0.395</v>
      </c>
      <c r="Q370" s="187">
        <f t="shared" si="143"/>
        <v>0</v>
      </c>
      <c r="R370" s="195">
        <f>I369-2*I372</f>
        <v>32</v>
      </c>
      <c r="S370" s="162" t="s">
        <v>286</v>
      </c>
      <c r="T370" s="196"/>
      <c r="V370" s="197"/>
    </row>
    <row r="371" spans="2:22">
      <c r="B371" s="1"/>
      <c r="D371" s="1"/>
      <c r="E371" s="141" t="s">
        <v>298</v>
      </c>
      <c r="F371" s="142" t="s">
        <v>299</v>
      </c>
      <c r="G371" s="143" t="s">
        <v>300</v>
      </c>
      <c r="H371" s="140">
        <f>VLOOKUP(I362,$B$4:$J$70,8,0)</f>
        <v>60</v>
      </c>
      <c r="I371" s="169"/>
      <c r="J371" s="155" t="s">
        <v>301</v>
      </c>
      <c r="K371" s="164">
        <v>8</v>
      </c>
      <c r="L371" s="159"/>
      <c r="M371" s="166">
        <f>R371+11</f>
        <v>33</v>
      </c>
      <c r="N371" s="171">
        <f>ROUND(E368/4*G366,0)*2</f>
        <v>0</v>
      </c>
      <c r="O371" s="162">
        <f t="shared" si="141"/>
        <v>0</v>
      </c>
      <c r="P371" s="15">
        <f t="shared" si="142"/>
        <v>0.395</v>
      </c>
      <c r="Q371" s="187">
        <f t="shared" si="143"/>
        <v>0</v>
      </c>
      <c r="R371" s="195">
        <f>H369-2*I372</f>
        <v>22</v>
      </c>
      <c r="S371" s="162" t="s">
        <v>286</v>
      </c>
      <c r="T371" s="196"/>
      <c r="V371" s="197"/>
    </row>
    <row r="372" ht="15" spans="2:20">
      <c r="B372" s="1"/>
      <c r="D372" s="1"/>
      <c r="E372" s="144">
        <f>IF(I362=0,0,ROUND(((H365+I365)/2*H369*2+H371*I369+0.2*0.2+0.25*0.05*2)*(H367+I367)/2/1000000,1))</f>
        <v>0</v>
      </c>
      <c r="F372" s="145">
        <f>IF(I362=0,0,ROUND(Q370+Q371,1))</f>
        <v>0</v>
      </c>
      <c r="G372" s="146">
        <f>IF(I362=0,0,ROUND(Q364+Q365+Q366+Q367+Q368+Q369,1))</f>
        <v>0</v>
      </c>
      <c r="H372" s="147" t="s">
        <v>302</v>
      </c>
      <c r="I372" s="172">
        <f>$P$3</f>
        <v>4</v>
      </c>
      <c r="J372" s="173" t="s">
        <v>303</v>
      </c>
      <c r="K372" s="174" t="str">
        <f>"C40混凝土:"&amp;ROUND(((H365+I365)/2*H369*2+H371*I369+0.2*0.2+0.25*0.05*2)*(H367+I367)/2/1000000,1)&amp;"m"&amp;"      "&amp;"HPB300:"&amp;ROUND(Q370+Q371,1)&amp;"kg       "&amp;"HRB400:"&amp;ROUND(Q364+Q365+Q366+Q367+Q368+Q369,1)&amp;"kg"</f>
        <v>C40混凝土:0m      HPB300:0kg       HRB400:31.1kg</v>
      </c>
      <c r="L372" s="174"/>
      <c r="M372" s="174"/>
      <c r="N372" s="174"/>
      <c r="O372" s="174"/>
      <c r="P372" s="174"/>
      <c r="Q372" s="198"/>
      <c r="R372" s="199" t="s">
        <v>304</v>
      </c>
      <c r="S372" s="174" t="e">
        <f>ROUND(SUM(Q364:Q371)/ROUND(((H365+I365)/2*H369*2+H371*I369+0.2*0.2+0.25*0.05*2)*(H367+I367)/2/1000000,1),1)</f>
        <v>#DIV/0!</v>
      </c>
      <c r="T372" s="200"/>
    </row>
    <row r="374" spans="2:22">
      <c r="B374" s="1"/>
      <c r="D374" s="1"/>
      <c r="E374" s="10" t="s">
        <v>268</v>
      </c>
      <c r="F374" s="11"/>
      <c r="G374" s="11"/>
      <c r="H374" s="124" t="s">
        <v>269</v>
      </c>
      <c r="I374" s="151">
        <f>B374</f>
        <v>0</v>
      </c>
      <c r="J374" s="152" t="s">
        <v>270</v>
      </c>
      <c r="K374" s="11" t="s">
        <v>271</v>
      </c>
      <c r="L374" s="11" t="s">
        <v>272</v>
      </c>
      <c r="M374" s="153" t="s">
        <v>273</v>
      </c>
      <c r="N374" s="11" t="s">
        <v>274</v>
      </c>
      <c r="O374" s="153" t="s">
        <v>275</v>
      </c>
      <c r="P374" s="153" t="s">
        <v>276</v>
      </c>
      <c r="Q374" s="179" t="s">
        <v>277</v>
      </c>
      <c r="R374" s="180" t="s">
        <v>278</v>
      </c>
      <c r="S374" s="181"/>
      <c r="T374" s="182"/>
      <c r="V374" s="1" t="s">
        <v>279</v>
      </c>
    </row>
    <row r="375" spans="2:22">
      <c r="B375" s="1"/>
      <c r="D375" s="1"/>
      <c r="E375" s="13"/>
      <c r="F375" s="15"/>
      <c r="G375" s="15"/>
      <c r="H375" s="125"/>
      <c r="I375" s="154"/>
      <c r="J375" s="155"/>
      <c r="K375" s="15"/>
      <c r="L375" s="15"/>
      <c r="M375" s="156"/>
      <c r="N375" s="15"/>
      <c r="O375" s="156"/>
      <c r="P375" s="156"/>
      <c r="Q375" s="183"/>
      <c r="R375" s="184"/>
      <c r="S375" s="185"/>
      <c r="T375" s="186"/>
      <c r="U375" s="1"/>
      <c r="V375" s="1"/>
    </row>
    <row r="376" spans="2:22">
      <c r="B376" s="1"/>
      <c r="D376" s="1"/>
      <c r="E376" s="13"/>
      <c r="F376" s="15"/>
      <c r="G376" s="15"/>
      <c r="H376" s="15" t="s">
        <v>280</v>
      </c>
      <c r="I376" s="157"/>
      <c r="J376" s="155" t="s">
        <v>281</v>
      </c>
      <c r="K376" s="158">
        <f>'1.U型槽主筋验算'!K27</f>
        <v>22</v>
      </c>
      <c r="L376" s="159"/>
      <c r="M376" s="160">
        <f>(R376+S376)/2+ROUNDUP((IF(K376&lt;26,10.927,11.212))*K376/10,0)*2</f>
        <v>210</v>
      </c>
      <c r="N376" s="161">
        <f>ROUNDUP((H379/12.5),0)*IF(I377&gt;600,2,1)</f>
        <v>0</v>
      </c>
      <c r="O376" s="162">
        <f t="shared" ref="O376:O383" si="145">M376*N376/100</f>
        <v>0</v>
      </c>
      <c r="P376" s="15">
        <f t="shared" ref="P376:P383" si="146">ROUND(K376^2*PI()/4/1000000*7850,3)</f>
        <v>2.984</v>
      </c>
      <c r="Q376" s="187">
        <f t="shared" ref="Q376:Q383" si="147">O376*P376</f>
        <v>0</v>
      </c>
      <c r="R376" s="188">
        <f>(H377+I381-I384*2)*2+(H383-I384*2)+(H381-I384*2)*2</f>
        <v>160</v>
      </c>
      <c r="S376" s="162">
        <f>(I377+I381-I384*2)*2+(H383-I384*2)+(H381-I384*2)*2</f>
        <v>160</v>
      </c>
      <c r="T376" s="189">
        <f>R378</f>
        <v>52</v>
      </c>
      <c r="V376" s="190">
        <f t="shared" ref="V376:V381" si="148">ROUNDUP((IF(K376&lt;26,10.927,11.212))*K376/10,0)</f>
        <v>25</v>
      </c>
    </row>
    <row r="377" spans="2:22">
      <c r="B377" s="1"/>
      <c r="D377" s="1"/>
      <c r="E377" s="126" t="s">
        <v>244</v>
      </c>
      <c r="F377" s="127" t="s">
        <v>282</v>
      </c>
      <c r="G377" s="127" t="s">
        <v>283</v>
      </c>
      <c r="H377" s="128">
        <f>MIN(VLOOKUP(I374,$B$4:$J$70,2,0),VLOOKUP(I374,$B$4:$J$70,3,0))</f>
        <v>0</v>
      </c>
      <c r="I377" s="163">
        <f>MAX(VLOOKUP(I374,$B$4:$J$70,2,0),VLOOKUP(I374,$B$4:$J$70,3,0))</f>
        <v>0</v>
      </c>
      <c r="J377" s="155" t="s">
        <v>284</v>
      </c>
      <c r="K377" s="164">
        <v>12</v>
      </c>
      <c r="L377" s="159"/>
      <c r="M377" s="160">
        <f>(R377+S377)/2+ROUNDUP((IF(K377&lt;26,10.927,11.212))*K377/10,0)*2</f>
        <v>60</v>
      </c>
      <c r="N377" s="165">
        <f>ROUNDUP((H379/12.5*1),0)*2</f>
        <v>0</v>
      </c>
      <c r="O377" s="162">
        <f t="shared" si="145"/>
        <v>0</v>
      </c>
      <c r="P377" s="15">
        <f t="shared" si="146"/>
        <v>0.888</v>
      </c>
      <c r="Q377" s="187">
        <f t="shared" si="147"/>
        <v>0</v>
      </c>
      <c r="R377" s="192">
        <f>H377+I381-I384*2</f>
        <v>32</v>
      </c>
      <c r="S377" s="193">
        <f>I377+I381-I384*2</f>
        <v>32</v>
      </c>
      <c r="T377" s="194" t="str">
        <f>ROUND(R377,1)&amp;"~"&amp;ROUND(S377,1)</f>
        <v>32~32</v>
      </c>
      <c r="V377" s="190">
        <f t="shared" si="148"/>
        <v>14</v>
      </c>
    </row>
    <row r="378" spans="2:22">
      <c r="B378" s="1"/>
      <c r="D378" s="1"/>
      <c r="E378" s="126">
        <f>VLOOKUP(I374,$B$39:$Z$70,3,0)</f>
        <v>3</v>
      </c>
      <c r="F378" s="129">
        <f>VLOOKUP(I374,$B$39:$Z$70,17,0)</f>
        <v>35</v>
      </c>
      <c r="G378" s="127">
        <f>VLOOKUP(I374,$B$39:$Z$70,12,0)</f>
        <v>-1</v>
      </c>
      <c r="H378" s="127" t="s">
        <v>229</v>
      </c>
      <c r="I378" s="157"/>
      <c r="J378" s="155" t="s">
        <v>285</v>
      </c>
      <c r="K378" s="158">
        <v>14</v>
      </c>
      <c r="L378" s="159"/>
      <c r="M378" s="166">
        <f>R378+2*ROUNDUP((IF(K378&lt;26,10.927,11.212))*K378/10,0)</f>
        <v>84</v>
      </c>
      <c r="N378" s="161">
        <f>ROUNDUP(H379/12.5,0)</f>
        <v>0</v>
      </c>
      <c r="O378" s="162">
        <f t="shared" si="145"/>
        <v>0</v>
      </c>
      <c r="P378" s="15">
        <f t="shared" si="146"/>
        <v>1.208</v>
      </c>
      <c r="Q378" s="187">
        <f t="shared" si="147"/>
        <v>0</v>
      </c>
      <c r="R378" s="195">
        <f>H383-I384*2</f>
        <v>52</v>
      </c>
      <c r="S378" s="162" t="s">
        <v>286</v>
      </c>
      <c r="T378" s="196"/>
      <c r="V378" s="190">
        <f t="shared" si="148"/>
        <v>16</v>
      </c>
    </row>
    <row r="379" spans="2:22">
      <c r="B379" s="1"/>
      <c r="D379" s="1"/>
      <c r="E379" s="130" t="s">
        <v>287</v>
      </c>
      <c r="F379" s="127" t="s">
        <v>288</v>
      </c>
      <c r="G379" s="127" t="s">
        <v>289</v>
      </c>
      <c r="H379" s="131">
        <f>MAX(VLOOKUP(I374,$B$4:$J$70,4,0),VLOOKUP(I374,$B$4:$J$70,5,0))</f>
        <v>0</v>
      </c>
      <c r="I379" s="167">
        <f>MIN(VLOOKUP(I374,$B$4:$J$70,4,0),VLOOKUP(I374,$B$4:$J$70,5,0))</f>
        <v>0</v>
      </c>
      <c r="J379" s="155" t="s">
        <v>290</v>
      </c>
      <c r="K379" s="164">
        <v>14</v>
      </c>
      <c r="L379" s="159"/>
      <c r="M379" s="166">
        <f>R379+2*ROUNDUP((IF(K379&lt;26,10.927,11.212))*K379/10,0)</f>
        <v>139.965512114594</v>
      </c>
      <c r="N379" s="165">
        <f>ROUNDUP(H379/12.5,0)*2</f>
        <v>0</v>
      </c>
      <c r="O379" s="162">
        <f t="shared" si="145"/>
        <v>0</v>
      </c>
      <c r="P379" s="15">
        <f t="shared" si="146"/>
        <v>1.208</v>
      </c>
      <c r="Q379" s="187">
        <f t="shared" si="147"/>
        <v>0</v>
      </c>
      <c r="R379" s="195">
        <f>((H381+I381-I384*2)+(20-I384*2^0.5))*(2^0.5)</f>
        <v>107.965512114594</v>
      </c>
      <c r="S379" s="162" t="s">
        <v>286</v>
      </c>
      <c r="T379" s="196"/>
      <c r="V379" s="190">
        <f t="shared" si="148"/>
        <v>16</v>
      </c>
    </row>
    <row r="380" spans="2:22">
      <c r="B380" s="1"/>
      <c r="D380" s="1"/>
      <c r="E380" s="132">
        <f>VLOOKUP(I374,$B$39:$Z$70,20,0)</f>
        <v>-1</v>
      </c>
      <c r="F380" s="127">
        <f>VLOOKUP(I374,$B$39:$Z$70,23,0)</f>
        <v>-1</v>
      </c>
      <c r="G380" s="127">
        <f>VLOOKUP(I374,$B$39:$Z$70,7,0)</f>
        <v>34</v>
      </c>
      <c r="H380" s="133" t="s">
        <v>291</v>
      </c>
      <c r="I380" s="157" t="s">
        <v>292</v>
      </c>
      <c r="J380" s="155" t="s">
        <v>293</v>
      </c>
      <c r="K380" s="158">
        <v>12</v>
      </c>
      <c r="L380" s="159"/>
      <c r="M380" s="166">
        <f>(R380+S380)/2+2*ROUNDUP((IF(K380&lt;26,10.927,11.212))*K380/10,0)</f>
        <v>20</v>
      </c>
      <c r="N380" s="168">
        <f>4*(G378+1)+(G380-1)*2</f>
        <v>66</v>
      </c>
      <c r="O380" s="162">
        <f t="shared" si="145"/>
        <v>13.2</v>
      </c>
      <c r="P380" s="15">
        <f t="shared" si="146"/>
        <v>0.888</v>
      </c>
      <c r="Q380" s="187">
        <f t="shared" si="147"/>
        <v>11.7216</v>
      </c>
      <c r="R380" s="188">
        <f>H379-I384*2</f>
        <v>-8</v>
      </c>
      <c r="S380" s="162">
        <f>I379-I384*2</f>
        <v>-8</v>
      </c>
      <c r="T380" s="194" t="str">
        <f>ROUND(S380,1)&amp;"~"&amp;ROUND(R380,1)</f>
        <v>-8~-8</v>
      </c>
      <c r="V380" s="190">
        <f t="shared" si="148"/>
        <v>14</v>
      </c>
    </row>
    <row r="381" ht="15" spans="2:22">
      <c r="B381" s="1"/>
      <c r="D381" s="1"/>
      <c r="E381" s="134"/>
      <c r="F381" s="135"/>
      <c r="G381" s="135"/>
      <c r="H381" s="136">
        <f>VLOOKUP(I374,$B$4:$J$70,6,0)</f>
        <v>30</v>
      </c>
      <c r="I381" s="167">
        <f>VLOOKUP(I374,$B$4:$J$70,7,0)</f>
        <v>40</v>
      </c>
      <c r="J381" s="155" t="s">
        <v>294</v>
      </c>
      <c r="K381" s="158">
        <v>12</v>
      </c>
      <c r="L381" s="159"/>
      <c r="M381" s="166">
        <f>(R381+S381)/2+2*ROUNDUP((IF(K381&lt;26,10.927,11.212))*K381/10,0)</f>
        <v>28</v>
      </c>
      <c r="N381" s="15">
        <f>2*(E378+1)+F378*2</f>
        <v>78</v>
      </c>
      <c r="O381" s="162">
        <f t="shared" si="145"/>
        <v>21.84</v>
      </c>
      <c r="P381" s="15">
        <f t="shared" si="146"/>
        <v>0.888</v>
      </c>
      <c r="Q381" s="187">
        <f t="shared" si="147"/>
        <v>19.39392</v>
      </c>
      <c r="R381" s="188">
        <f>((I377-H377)^2+H379^2)^0.5</f>
        <v>0</v>
      </c>
      <c r="S381" s="162">
        <f>((I377-H377)^2+I379^2)^0.5</f>
        <v>0</v>
      </c>
      <c r="T381" s="194" t="str">
        <f>ROUND(S381,1)&amp;"~"&amp;ROUND(R381,1)</f>
        <v>0~0</v>
      </c>
      <c r="V381" s="190">
        <f t="shared" si="148"/>
        <v>14</v>
      </c>
    </row>
    <row r="382" spans="2:22">
      <c r="B382" s="1"/>
      <c r="D382" s="1"/>
      <c r="E382" s="137" t="s">
        <v>295</v>
      </c>
      <c r="F382" s="138"/>
      <c r="G382" s="139"/>
      <c r="H382" s="140" t="s">
        <v>296</v>
      </c>
      <c r="I382" s="169"/>
      <c r="J382" s="155" t="s">
        <v>297</v>
      </c>
      <c r="K382" s="164">
        <v>8</v>
      </c>
      <c r="L382" s="159"/>
      <c r="M382" s="166">
        <f>R382+11</f>
        <v>43</v>
      </c>
      <c r="N382" s="170">
        <f>ROUNDDOWN(((VLOOKUP(I374,$B$39:$Z$70,2,0))/(VLOOKUP(I374,$B$39:$Z$70,4,0))-1),0)/4*((VLOOKUP(I374,$B$39:$Z$70,20,0))+1)</f>
        <v>0</v>
      </c>
      <c r="O382" s="162">
        <f t="shared" si="145"/>
        <v>0</v>
      </c>
      <c r="P382" s="15">
        <f t="shared" si="146"/>
        <v>0.395</v>
      </c>
      <c r="Q382" s="187">
        <f t="shared" si="147"/>
        <v>0</v>
      </c>
      <c r="R382" s="195">
        <f>I381-2*I384</f>
        <v>32</v>
      </c>
      <c r="S382" s="162" t="s">
        <v>286</v>
      </c>
      <c r="T382" s="196"/>
      <c r="V382" s="197"/>
    </row>
    <row r="383" spans="2:22">
      <c r="B383" s="1"/>
      <c r="D383" s="1"/>
      <c r="E383" s="141" t="s">
        <v>298</v>
      </c>
      <c r="F383" s="142" t="s">
        <v>299</v>
      </c>
      <c r="G383" s="143" t="s">
        <v>300</v>
      </c>
      <c r="H383" s="140">
        <f>VLOOKUP(I374,$B$4:$J$70,8,0)</f>
        <v>60</v>
      </c>
      <c r="I383" s="169"/>
      <c r="J383" s="155" t="s">
        <v>301</v>
      </c>
      <c r="K383" s="164">
        <v>8</v>
      </c>
      <c r="L383" s="159"/>
      <c r="M383" s="166">
        <f>R383+11</f>
        <v>33</v>
      </c>
      <c r="N383" s="171">
        <f>ROUND(E380/4*G378,0)*2</f>
        <v>0</v>
      </c>
      <c r="O383" s="162">
        <f t="shared" si="145"/>
        <v>0</v>
      </c>
      <c r="P383" s="15">
        <f t="shared" si="146"/>
        <v>0.395</v>
      </c>
      <c r="Q383" s="187">
        <f t="shared" si="147"/>
        <v>0</v>
      </c>
      <c r="R383" s="195">
        <f>H381-2*I384</f>
        <v>22</v>
      </c>
      <c r="S383" s="162" t="s">
        <v>286</v>
      </c>
      <c r="T383" s="196"/>
      <c r="V383" s="197"/>
    </row>
    <row r="384" ht="15" spans="2:20">
      <c r="B384" s="1"/>
      <c r="D384" s="1"/>
      <c r="E384" s="144">
        <f>IF(I374=0,0,ROUND(((H377+I377)/2*H381*2+H383*I381+0.2*0.2+0.25*0.05*2)*(H379+I379)/2/1000000,1))</f>
        <v>0</v>
      </c>
      <c r="F384" s="145">
        <f>IF(I374=0,0,ROUND(Q382+Q383,1))</f>
        <v>0</v>
      </c>
      <c r="G384" s="146">
        <f>IF(I374=0,0,ROUND(Q376+Q377+Q378+Q379+Q380+Q381,1))</f>
        <v>0</v>
      </c>
      <c r="H384" s="147" t="s">
        <v>302</v>
      </c>
      <c r="I384" s="172">
        <f>$P$3</f>
        <v>4</v>
      </c>
      <c r="J384" s="173" t="s">
        <v>303</v>
      </c>
      <c r="K384" s="174" t="str">
        <f>"C40混凝土:"&amp;ROUND(((H377+I377)/2*H381*2+H383*I381+0.2*0.2+0.25*0.05*2)*(H379+I379)/2/1000000,1)&amp;"m"&amp;"      "&amp;"HPB300:"&amp;ROUND(Q382+Q383,1)&amp;"kg       "&amp;"HRB400:"&amp;ROUND(Q376+Q377+Q378+Q379+Q380+Q381,1)&amp;"kg"</f>
        <v>C40混凝土:0m      HPB300:0kg       HRB400:31.1kg</v>
      </c>
      <c r="L384" s="174"/>
      <c r="M384" s="174"/>
      <c r="N384" s="174"/>
      <c r="O384" s="174"/>
      <c r="P384" s="174"/>
      <c r="Q384" s="198"/>
      <c r="R384" s="199" t="s">
        <v>304</v>
      </c>
      <c r="S384" s="174" t="e">
        <f>ROUND(SUM(Q376:Q383)/ROUND(((H377+I377)/2*H381*2+H383*I381+0.2*0.2+0.25*0.05*2)*(H379+I379)/2/1000000,1),1)</f>
        <v>#DIV/0!</v>
      </c>
      <c r="T384" s="200"/>
    </row>
    <row r="385" ht="15" spans="2:19">
      <c r="B385" s="1"/>
      <c r="D385" s="1"/>
      <c r="E385" s="208"/>
      <c r="F385" s="209"/>
      <c r="G385" s="209"/>
      <c r="H385" s="210"/>
      <c r="I385" s="197"/>
      <c r="J385" s="211"/>
      <c r="K385" s="1"/>
      <c r="L385" s="1"/>
      <c r="M385" s="1"/>
      <c r="N385" s="1"/>
      <c r="O385" s="1"/>
      <c r="P385" s="1"/>
      <c r="Q385" s="1"/>
      <c r="R385" s="1"/>
      <c r="S385" s="1"/>
    </row>
    <row r="386" spans="2:22">
      <c r="B386" s="1"/>
      <c r="D386" s="1"/>
      <c r="E386" s="10" t="s">
        <v>268</v>
      </c>
      <c r="F386" s="11"/>
      <c r="G386" s="11"/>
      <c r="H386" s="124" t="s">
        <v>269</v>
      </c>
      <c r="I386" s="151">
        <f>B386</f>
        <v>0</v>
      </c>
      <c r="J386" s="152" t="s">
        <v>270</v>
      </c>
      <c r="K386" s="11" t="s">
        <v>271</v>
      </c>
      <c r="L386" s="11" t="s">
        <v>272</v>
      </c>
      <c r="M386" s="153" t="s">
        <v>273</v>
      </c>
      <c r="N386" s="11" t="s">
        <v>274</v>
      </c>
      <c r="O386" s="153" t="s">
        <v>275</v>
      </c>
      <c r="P386" s="153" t="s">
        <v>276</v>
      </c>
      <c r="Q386" s="179" t="s">
        <v>277</v>
      </c>
      <c r="R386" s="180" t="s">
        <v>278</v>
      </c>
      <c r="S386" s="181"/>
      <c r="T386" s="182"/>
      <c r="V386" s="1" t="s">
        <v>279</v>
      </c>
    </row>
    <row r="387" spans="2:22">
      <c r="B387" s="1"/>
      <c r="D387" s="1"/>
      <c r="E387" s="13"/>
      <c r="F387" s="15"/>
      <c r="G387" s="15"/>
      <c r="H387" s="125"/>
      <c r="I387" s="154"/>
      <c r="J387" s="155"/>
      <c r="K387" s="15"/>
      <c r="L387" s="15"/>
      <c r="M387" s="156"/>
      <c r="N387" s="15"/>
      <c r="O387" s="156"/>
      <c r="P387" s="156"/>
      <c r="Q387" s="183"/>
      <c r="R387" s="184"/>
      <c r="S387" s="185"/>
      <c r="T387" s="186"/>
      <c r="U387" s="1"/>
      <c r="V387" s="1"/>
    </row>
    <row r="388" spans="2:22">
      <c r="B388" s="1"/>
      <c r="D388" s="1"/>
      <c r="E388" s="13"/>
      <c r="F388" s="15"/>
      <c r="G388" s="15"/>
      <c r="H388" s="15" t="s">
        <v>280</v>
      </c>
      <c r="I388" s="157"/>
      <c r="J388" s="155" t="s">
        <v>281</v>
      </c>
      <c r="K388" s="158">
        <f>'1.U型槽主筋验算'!K28</f>
        <v>25</v>
      </c>
      <c r="L388" s="159"/>
      <c r="M388" s="160">
        <f>(R388+S388)/2+ROUNDUP((IF(K388&lt;26,10.927,11.212))*K388/10,0)*2</f>
        <v>216</v>
      </c>
      <c r="N388" s="161">
        <f>ROUNDUP((H391/12.5),0)*IF(I389&gt;600,2,1)</f>
        <v>0</v>
      </c>
      <c r="O388" s="162">
        <f t="shared" ref="O388:O395" si="149">M388*N388/100</f>
        <v>0</v>
      </c>
      <c r="P388" s="15">
        <f t="shared" ref="P388:P395" si="150">ROUND(K388^2*PI()/4/1000000*7850,3)</f>
        <v>3.853</v>
      </c>
      <c r="Q388" s="187">
        <f t="shared" ref="Q388:Q395" si="151">O388*P388</f>
        <v>0</v>
      </c>
      <c r="R388" s="188">
        <f>(H389+I393-I396*2)*2+(H395-I396*2)+(H393-I396*2)*2</f>
        <v>160</v>
      </c>
      <c r="S388" s="162">
        <f>(I389+I393-I396*2)*2+(H395-I396*2)+(H393-I396*2)*2</f>
        <v>160</v>
      </c>
      <c r="T388" s="189">
        <f>R390</f>
        <v>52</v>
      </c>
      <c r="V388" s="190">
        <f t="shared" ref="V388:V393" si="152">ROUNDUP((IF(K388&lt;26,10.927,11.212))*K388/10,0)</f>
        <v>28</v>
      </c>
    </row>
    <row r="389" spans="2:22">
      <c r="B389" s="1"/>
      <c r="D389" s="1"/>
      <c r="E389" s="126" t="s">
        <v>244</v>
      </c>
      <c r="F389" s="127" t="s">
        <v>282</v>
      </c>
      <c r="G389" s="127" t="s">
        <v>283</v>
      </c>
      <c r="H389" s="128">
        <f>MIN(VLOOKUP(I386,$B$4:$J$70,2,0),VLOOKUP(I386,$B$4:$J$70,3,0))</f>
        <v>0</v>
      </c>
      <c r="I389" s="163">
        <f>MAX(VLOOKUP(I386,$B$4:$J$70,2,0),VLOOKUP(I386,$B$4:$J$70,3,0))</f>
        <v>0</v>
      </c>
      <c r="J389" s="155" t="s">
        <v>284</v>
      </c>
      <c r="K389" s="164">
        <v>12</v>
      </c>
      <c r="L389" s="159"/>
      <c r="M389" s="160">
        <f>(R389+S389)/2+ROUNDUP((IF(K389&lt;26,10.927,11.212))*K389/10,0)*2</f>
        <v>60</v>
      </c>
      <c r="N389" s="165">
        <f>ROUNDUP((H391/12.5*1),0)*2</f>
        <v>0</v>
      </c>
      <c r="O389" s="162">
        <f t="shared" si="149"/>
        <v>0</v>
      </c>
      <c r="P389" s="15">
        <f t="shared" si="150"/>
        <v>0.888</v>
      </c>
      <c r="Q389" s="187">
        <f t="shared" si="151"/>
        <v>0</v>
      </c>
      <c r="R389" s="192">
        <f>H389+I393-I396*2</f>
        <v>32</v>
      </c>
      <c r="S389" s="193">
        <f>I389+I393-I396*2</f>
        <v>32</v>
      </c>
      <c r="T389" s="194" t="str">
        <f>ROUND(R389,1)&amp;"~"&amp;ROUND(S389,1)</f>
        <v>32~32</v>
      </c>
      <c r="V389" s="190">
        <f t="shared" si="152"/>
        <v>14</v>
      </c>
    </row>
    <row r="390" spans="2:22">
      <c r="B390" s="1"/>
      <c r="D390" s="1"/>
      <c r="E390" s="126">
        <f>VLOOKUP(I386,$B$39:$Z$70,3,0)</f>
        <v>3</v>
      </c>
      <c r="F390" s="129">
        <f>VLOOKUP(I386,$B$39:$Z$70,17,0)</f>
        <v>35</v>
      </c>
      <c r="G390" s="127">
        <f>VLOOKUP(I386,$B$39:$Z$70,12,0)</f>
        <v>-1</v>
      </c>
      <c r="H390" s="127" t="s">
        <v>229</v>
      </c>
      <c r="I390" s="157"/>
      <c r="J390" s="155" t="s">
        <v>285</v>
      </c>
      <c r="K390" s="158">
        <v>14</v>
      </c>
      <c r="L390" s="159"/>
      <c r="M390" s="166">
        <f>R390+2*ROUNDUP((IF(K390&lt;26,10.927,11.212))*K390/10,0)</f>
        <v>84</v>
      </c>
      <c r="N390" s="161">
        <f>ROUNDUP(H391/12.5,0)</f>
        <v>0</v>
      </c>
      <c r="O390" s="162">
        <f t="shared" si="149"/>
        <v>0</v>
      </c>
      <c r="P390" s="15">
        <f t="shared" si="150"/>
        <v>1.208</v>
      </c>
      <c r="Q390" s="187">
        <f t="shared" si="151"/>
        <v>0</v>
      </c>
      <c r="R390" s="195">
        <f>H395-I396*2</f>
        <v>52</v>
      </c>
      <c r="S390" s="162" t="s">
        <v>286</v>
      </c>
      <c r="T390" s="196"/>
      <c r="V390" s="190">
        <f t="shared" si="152"/>
        <v>16</v>
      </c>
    </row>
    <row r="391" spans="2:22">
      <c r="B391" s="1"/>
      <c r="D391" s="1"/>
      <c r="E391" s="130" t="s">
        <v>287</v>
      </c>
      <c r="F391" s="127" t="s">
        <v>288</v>
      </c>
      <c r="G391" s="127" t="s">
        <v>289</v>
      </c>
      <c r="H391" s="131">
        <f>MAX(VLOOKUP(I386,$B$4:$J$70,4,0),VLOOKUP(I386,$B$4:$J$70,5,0))</f>
        <v>0</v>
      </c>
      <c r="I391" s="167">
        <f>MIN(VLOOKUP(I386,$B$4:$J$70,4,0),VLOOKUP(I386,$B$4:$J$70,5,0))</f>
        <v>0</v>
      </c>
      <c r="J391" s="155" t="s">
        <v>290</v>
      </c>
      <c r="K391" s="164">
        <v>14</v>
      </c>
      <c r="L391" s="159"/>
      <c r="M391" s="166">
        <f>R391+2*ROUNDUP((IF(K391&lt;26,10.927,11.212))*K391/10,0)</f>
        <v>139.965512114594</v>
      </c>
      <c r="N391" s="165">
        <f>ROUNDUP(H391/12.5,0)*2</f>
        <v>0</v>
      </c>
      <c r="O391" s="162">
        <f t="shared" si="149"/>
        <v>0</v>
      </c>
      <c r="P391" s="15">
        <f t="shared" si="150"/>
        <v>1.208</v>
      </c>
      <c r="Q391" s="187">
        <f t="shared" si="151"/>
        <v>0</v>
      </c>
      <c r="R391" s="195">
        <f>((H393+I393-I396*2)+(20-I396*2^0.5))*(2^0.5)</f>
        <v>107.965512114594</v>
      </c>
      <c r="S391" s="162" t="s">
        <v>286</v>
      </c>
      <c r="T391" s="196"/>
      <c r="V391" s="190">
        <f t="shared" si="152"/>
        <v>16</v>
      </c>
    </row>
    <row r="392" spans="2:22">
      <c r="B392" s="1"/>
      <c r="D392" s="1"/>
      <c r="E392" s="132">
        <f>VLOOKUP(I386,$B$39:$Z$70,20,0)</f>
        <v>-1</v>
      </c>
      <c r="F392" s="127">
        <f>VLOOKUP(I386,$B$39:$Z$70,23,0)</f>
        <v>-1</v>
      </c>
      <c r="G392" s="127">
        <f>VLOOKUP(I386,$B$39:$Z$70,7,0)</f>
        <v>34</v>
      </c>
      <c r="H392" s="133" t="s">
        <v>291</v>
      </c>
      <c r="I392" s="157" t="s">
        <v>292</v>
      </c>
      <c r="J392" s="155" t="s">
        <v>293</v>
      </c>
      <c r="K392" s="158">
        <v>12</v>
      </c>
      <c r="L392" s="159"/>
      <c r="M392" s="166">
        <f>(R392+S392)/2+2*ROUNDUP((IF(K392&lt;26,10.927,11.212))*K392/10,0)</f>
        <v>20</v>
      </c>
      <c r="N392" s="168">
        <f>4*(G390+1)+(G392-1)*2</f>
        <v>66</v>
      </c>
      <c r="O392" s="162">
        <f t="shared" si="149"/>
        <v>13.2</v>
      </c>
      <c r="P392" s="15">
        <f t="shared" si="150"/>
        <v>0.888</v>
      </c>
      <c r="Q392" s="187">
        <f t="shared" si="151"/>
        <v>11.7216</v>
      </c>
      <c r="R392" s="188">
        <f>H391-I396*2</f>
        <v>-8</v>
      </c>
      <c r="S392" s="162">
        <f>I391-I396*2</f>
        <v>-8</v>
      </c>
      <c r="T392" s="194" t="str">
        <f>ROUND(S392,1)&amp;"~"&amp;ROUND(R392,1)</f>
        <v>-8~-8</v>
      </c>
      <c r="V392" s="190">
        <f t="shared" si="152"/>
        <v>14</v>
      </c>
    </row>
    <row r="393" ht="15" spans="2:22">
      <c r="B393" s="1"/>
      <c r="D393" s="1"/>
      <c r="E393" s="134"/>
      <c r="F393" s="135"/>
      <c r="G393" s="135"/>
      <c r="H393" s="136">
        <f>VLOOKUP(I386,$B$4:$J$70,6,0)</f>
        <v>30</v>
      </c>
      <c r="I393" s="167">
        <f>VLOOKUP(I386,$B$4:$J$70,7,0)</f>
        <v>40</v>
      </c>
      <c r="J393" s="155" t="s">
        <v>294</v>
      </c>
      <c r="K393" s="158">
        <v>12</v>
      </c>
      <c r="L393" s="159"/>
      <c r="M393" s="166">
        <f>(R393+S393)/2+2*ROUNDUP((IF(K393&lt;26,10.927,11.212))*K393/10,0)</f>
        <v>28</v>
      </c>
      <c r="N393" s="15">
        <f>2*(E390+1)+F390*2</f>
        <v>78</v>
      </c>
      <c r="O393" s="162">
        <f t="shared" si="149"/>
        <v>21.84</v>
      </c>
      <c r="P393" s="15">
        <f t="shared" si="150"/>
        <v>0.888</v>
      </c>
      <c r="Q393" s="187">
        <f t="shared" si="151"/>
        <v>19.39392</v>
      </c>
      <c r="R393" s="188">
        <f>((I389-H389)^2+H391^2)^0.5</f>
        <v>0</v>
      </c>
      <c r="S393" s="162">
        <f>((I389-H389)^2+I391^2)^0.5</f>
        <v>0</v>
      </c>
      <c r="T393" s="194" t="str">
        <f>ROUND(S393,1)&amp;"~"&amp;ROUND(R393,1)</f>
        <v>0~0</v>
      </c>
      <c r="V393" s="190">
        <f t="shared" si="152"/>
        <v>14</v>
      </c>
    </row>
    <row r="394" spans="2:22">
      <c r="B394" s="1"/>
      <c r="D394" s="1"/>
      <c r="E394" s="137" t="s">
        <v>295</v>
      </c>
      <c r="F394" s="138"/>
      <c r="G394" s="139"/>
      <c r="H394" s="140" t="s">
        <v>296</v>
      </c>
      <c r="I394" s="169"/>
      <c r="J394" s="155" t="s">
        <v>297</v>
      </c>
      <c r="K394" s="164">
        <v>8</v>
      </c>
      <c r="L394" s="159"/>
      <c r="M394" s="166">
        <f>R394+11</f>
        <v>43</v>
      </c>
      <c r="N394" s="170">
        <f>ROUNDDOWN(((VLOOKUP(I386,$B$39:$Z$70,2,0))/(VLOOKUP(I386,$B$39:$Z$70,4,0))-1),0)/4*((VLOOKUP(I386,$B$39:$Z$70,20,0))+1)</f>
        <v>0</v>
      </c>
      <c r="O394" s="162">
        <f t="shared" si="149"/>
        <v>0</v>
      </c>
      <c r="P394" s="15">
        <f t="shared" si="150"/>
        <v>0.395</v>
      </c>
      <c r="Q394" s="187">
        <f t="shared" si="151"/>
        <v>0</v>
      </c>
      <c r="R394" s="195">
        <f>I393-2*I396</f>
        <v>32</v>
      </c>
      <c r="S394" s="162" t="s">
        <v>286</v>
      </c>
      <c r="T394" s="196"/>
      <c r="V394" s="197"/>
    </row>
    <row r="395" spans="2:22">
      <c r="B395" s="1"/>
      <c r="D395" s="1"/>
      <c r="E395" s="141" t="s">
        <v>298</v>
      </c>
      <c r="F395" s="142" t="s">
        <v>299</v>
      </c>
      <c r="G395" s="143" t="s">
        <v>300</v>
      </c>
      <c r="H395" s="140">
        <f>VLOOKUP(I386,$B$4:$J$70,8,0)</f>
        <v>60</v>
      </c>
      <c r="I395" s="169"/>
      <c r="J395" s="155" t="s">
        <v>301</v>
      </c>
      <c r="K395" s="164">
        <v>8</v>
      </c>
      <c r="L395" s="159"/>
      <c r="M395" s="166">
        <f>R395+11</f>
        <v>33</v>
      </c>
      <c r="N395" s="171">
        <f>ROUND(E392/4*G390,0)*2</f>
        <v>0</v>
      </c>
      <c r="O395" s="162">
        <f t="shared" si="149"/>
        <v>0</v>
      </c>
      <c r="P395" s="15">
        <f t="shared" si="150"/>
        <v>0.395</v>
      </c>
      <c r="Q395" s="187">
        <f t="shared" si="151"/>
        <v>0</v>
      </c>
      <c r="R395" s="195">
        <f>H393-2*I396</f>
        <v>22</v>
      </c>
      <c r="S395" s="162" t="s">
        <v>286</v>
      </c>
      <c r="T395" s="196"/>
      <c r="V395" s="197"/>
    </row>
    <row r="396" ht="15" spans="2:20">
      <c r="B396" s="1"/>
      <c r="D396" s="1"/>
      <c r="E396" s="144">
        <f>IF(I386=0,0,ROUND(((H389+I389)/2*H393*2+H395*I393+0.2*0.2+0.25*0.05*2)*(H391+I391)/2/1000000,1))</f>
        <v>0</v>
      </c>
      <c r="F396" s="145">
        <f>IF(I386=0,0,ROUND(Q394+Q395,1))</f>
        <v>0</v>
      </c>
      <c r="G396" s="146">
        <f>IF(I386=0,0,ROUND(Q388+Q389+Q390+Q391+Q392+Q393,1))</f>
        <v>0</v>
      </c>
      <c r="H396" s="147" t="s">
        <v>302</v>
      </c>
      <c r="I396" s="172">
        <f>$P$3</f>
        <v>4</v>
      </c>
      <c r="J396" s="173" t="s">
        <v>303</v>
      </c>
      <c r="K396" s="174" t="str">
        <f>"C40混凝土:"&amp;ROUND(((H389+I389)/2*H393*2+H395*I393+0.2*0.2+0.25*0.05*2)*(H391+I391)/2/1000000,1)&amp;"m"&amp;"      "&amp;"HPB300:"&amp;ROUND(Q394+Q395,1)&amp;"kg       "&amp;"HRB400:"&amp;ROUND(Q388+Q389+Q390+Q391+Q392+Q393,1)&amp;"kg"</f>
        <v>C40混凝土:0m      HPB300:0kg       HRB400:31.1kg</v>
      </c>
      <c r="L396" s="174"/>
      <c r="M396" s="174"/>
      <c r="N396" s="174"/>
      <c r="O396" s="174"/>
      <c r="P396" s="174"/>
      <c r="Q396" s="198"/>
      <c r="R396" s="199" t="s">
        <v>304</v>
      </c>
      <c r="S396" s="174" t="e">
        <f>ROUND(SUM(Q388:Q395)/ROUND(((H389+I389)/2*H393*2+H395*I393+0.2*0.2+0.25*0.05*2)*(H391+I391)/2/1000000,1),1)</f>
        <v>#DIV/0!</v>
      </c>
      <c r="T396" s="200"/>
    </row>
    <row r="398" spans="2:22">
      <c r="B398" s="1"/>
      <c r="D398" s="1"/>
      <c r="E398" s="10" t="s">
        <v>268</v>
      </c>
      <c r="F398" s="11"/>
      <c r="G398" s="11"/>
      <c r="H398" s="124" t="s">
        <v>269</v>
      </c>
      <c r="I398" s="151">
        <f>B398</f>
        <v>0</v>
      </c>
      <c r="J398" s="152" t="s">
        <v>270</v>
      </c>
      <c r="K398" s="11" t="s">
        <v>271</v>
      </c>
      <c r="L398" s="11" t="s">
        <v>272</v>
      </c>
      <c r="M398" s="153" t="s">
        <v>273</v>
      </c>
      <c r="N398" s="11" t="s">
        <v>274</v>
      </c>
      <c r="O398" s="153" t="s">
        <v>275</v>
      </c>
      <c r="P398" s="153" t="s">
        <v>276</v>
      </c>
      <c r="Q398" s="179" t="s">
        <v>277</v>
      </c>
      <c r="R398" s="180" t="s">
        <v>278</v>
      </c>
      <c r="S398" s="181"/>
      <c r="T398" s="182"/>
      <c r="V398" s="1" t="s">
        <v>279</v>
      </c>
    </row>
    <row r="399" spans="2:22">
      <c r="B399" s="1"/>
      <c r="D399" s="1"/>
      <c r="E399" s="13"/>
      <c r="F399" s="15"/>
      <c r="G399" s="15"/>
      <c r="H399" s="125"/>
      <c r="I399" s="154"/>
      <c r="J399" s="155"/>
      <c r="K399" s="15"/>
      <c r="L399" s="15"/>
      <c r="M399" s="156"/>
      <c r="N399" s="15"/>
      <c r="O399" s="156"/>
      <c r="P399" s="156"/>
      <c r="Q399" s="183"/>
      <c r="R399" s="184"/>
      <c r="S399" s="185"/>
      <c r="T399" s="186"/>
      <c r="U399" s="1"/>
      <c r="V399" s="1"/>
    </row>
    <row r="400" spans="2:22">
      <c r="B400" s="1"/>
      <c r="D400" s="1"/>
      <c r="E400" s="13"/>
      <c r="F400" s="15"/>
      <c r="G400" s="15"/>
      <c r="H400" s="15" t="s">
        <v>280</v>
      </c>
      <c r="I400" s="157"/>
      <c r="J400" s="155" t="s">
        <v>281</v>
      </c>
      <c r="K400" s="158">
        <f>'1.U型槽主筋验算'!K29</f>
        <v>22</v>
      </c>
      <c r="L400" s="159"/>
      <c r="M400" s="160">
        <f>(R400+S400)/2+ROUNDUP((IF(K400&lt;26,10.927,11.212))*K400/10,0)*2</f>
        <v>210</v>
      </c>
      <c r="N400" s="161">
        <f>ROUNDUP((H403/12.5),0)*IF(I401&gt;600,2,1)</f>
        <v>0</v>
      </c>
      <c r="O400" s="162">
        <f t="shared" ref="O400:O407" si="153">M400*N400/100</f>
        <v>0</v>
      </c>
      <c r="P400" s="15">
        <f t="shared" ref="P400:P407" si="154">ROUND(K400^2*PI()/4/1000000*7850,3)</f>
        <v>2.984</v>
      </c>
      <c r="Q400" s="187">
        <f t="shared" ref="Q400:Q407" si="155">O400*P400</f>
        <v>0</v>
      </c>
      <c r="R400" s="188">
        <f>(H401+I405-I408*2)*2+(H407-I408*2)+(H405-I408*2)*2</f>
        <v>160</v>
      </c>
      <c r="S400" s="162">
        <f>(I401+I405-I408*2)*2+(H407-I408*2)+(H405-I408*2)*2</f>
        <v>160</v>
      </c>
      <c r="T400" s="189">
        <f>R402</f>
        <v>52</v>
      </c>
      <c r="V400" s="190">
        <f t="shared" ref="V400:V405" si="156">ROUNDUP((IF(K400&lt;26,10.927,11.212))*K400/10,0)</f>
        <v>25</v>
      </c>
    </row>
    <row r="401" spans="2:22">
      <c r="B401" s="1"/>
      <c r="D401" s="1"/>
      <c r="E401" s="126" t="s">
        <v>244</v>
      </c>
      <c r="F401" s="127" t="s">
        <v>282</v>
      </c>
      <c r="G401" s="127" t="s">
        <v>283</v>
      </c>
      <c r="H401" s="128">
        <f>MIN(VLOOKUP(I398,$B$4:$J$70,2,0),VLOOKUP(I398,$B$4:$J$70,3,0))</f>
        <v>0</v>
      </c>
      <c r="I401" s="163">
        <f>MAX(VLOOKUP(I398,$B$4:$J$70,2,0),VLOOKUP(I398,$B$4:$J$70,3,0))</f>
        <v>0</v>
      </c>
      <c r="J401" s="155" t="s">
        <v>284</v>
      </c>
      <c r="K401" s="164">
        <v>12</v>
      </c>
      <c r="L401" s="159"/>
      <c r="M401" s="160">
        <f>(R401+S401)/2+ROUNDUP((IF(K401&lt;26,10.927,11.212))*K401/10,0)*2</f>
        <v>60</v>
      </c>
      <c r="N401" s="165">
        <f>ROUNDUP((H403/12.5*1),0)*2</f>
        <v>0</v>
      </c>
      <c r="O401" s="162">
        <f t="shared" si="153"/>
        <v>0</v>
      </c>
      <c r="P401" s="15">
        <f t="shared" si="154"/>
        <v>0.888</v>
      </c>
      <c r="Q401" s="187">
        <f t="shared" si="155"/>
        <v>0</v>
      </c>
      <c r="R401" s="192">
        <f>H401+I405-I408*2</f>
        <v>32</v>
      </c>
      <c r="S401" s="193">
        <f>I401+I405-I408*2</f>
        <v>32</v>
      </c>
      <c r="T401" s="194" t="str">
        <f>ROUND(R401,1)&amp;"~"&amp;ROUND(S401,1)</f>
        <v>32~32</v>
      </c>
      <c r="V401" s="190">
        <f t="shared" si="156"/>
        <v>14</v>
      </c>
    </row>
    <row r="402" spans="2:22">
      <c r="B402" s="1"/>
      <c r="D402" s="1"/>
      <c r="E402" s="126">
        <f>VLOOKUP(I398,$B$39:$Z$70,3,0)</f>
        <v>3</v>
      </c>
      <c r="F402" s="129">
        <f>VLOOKUP(I398,$B$39:$Z$70,17,0)</f>
        <v>35</v>
      </c>
      <c r="G402" s="127">
        <f>VLOOKUP(I398,$B$39:$Z$70,12,0)</f>
        <v>-1</v>
      </c>
      <c r="H402" s="127" t="s">
        <v>229</v>
      </c>
      <c r="I402" s="157"/>
      <c r="J402" s="155" t="s">
        <v>285</v>
      </c>
      <c r="K402" s="158">
        <v>14</v>
      </c>
      <c r="L402" s="159"/>
      <c r="M402" s="166">
        <f>R402+2*ROUNDUP((IF(K402&lt;26,10.927,11.212))*K402/10,0)</f>
        <v>84</v>
      </c>
      <c r="N402" s="161">
        <f>ROUNDUP(H403/12.5,0)</f>
        <v>0</v>
      </c>
      <c r="O402" s="162">
        <f t="shared" si="153"/>
        <v>0</v>
      </c>
      <c r="P402" s="15">
        <f t="shared" si="154"/>
        <v>1.208</v>
      </c>
      <c r="Q402" s="187">
        <f t="shared" si="155"/>
        <v>0</v>
      </c>
      <c r="R402" s="195">
        <f>H407-I408*2</f>
        <v>52</v>
      </c>
      <c r="S402" s="162" t="s">
        <v>286</v>
      </c>
      <c r="T402" s="196"/>
      <c r="V402" s="190">
        <f t="shared" si="156"/>
        <v>16</v>
      </c>
    </row>
    <row r="403" spans="2:22">
      <c r="B403" s="1"/>
      <c r="D403" s="1"/>
      <c r="E403" s="130" t="s">
        <v>287</v>
      </c>
      <c r="F403" s="127" t="s">
        <v>288</v>
      </c>
      <c r="G403" s="127" t="s">
        <v>289</v>
      </c>
      <c r="H403" s="131">
        <f>MAX(VLOOKUP(I398,$B$4:$J$70,4,0),VLOOKUP(I398,$B$4:$J$70,5,0))</f>
        <v>0</v>
      </c>
      <c r="I403" s="167">
        <f>MIN(VLOOKUP(I398,$B$4:$J$70,4,0),VLOOKUP(I398,$B$4:$J$70,5,0))</f>
        <v>0</v>
      </c>
      <c r="J403" s="155" t="s">
        <v>290</v>
      </c>
      <c r="K403" s="164">
        <v>14</v>
      </c>
      <c r="L403" s="159"/>
      <c r="M403" s="166">
        <f>R403+2*ROUNDUP((IF(K403&lt;26,10.927,11.212))*K403/10,0)</f>
        <v>139.965512114594</v>
      </c>
      <c r="N403" s="165">
        <f>ROUNDUP(H403/12.5,0)*2</f>
        <v>0</v>
      </c>
      <c r="O403" s="162">
        <f t="shared" si="153"/>
        <v>0</v>
      </c>
      <c r="P403" s="15">
        <f t="shared" si="154"/>
        <v>1.208</v>
      </c>
      <c r="Q403" s="187">
        <f t="shared" si="155"/>
        <v>0</v>
      </c>
      <c r="R403" s="195">
        <f>((H405+I405-I408*2)+(20-I408*2^0.5))*(2^0.5)</f>
        <v>107.965512114594</v>
      </c>
      <c r="S403" s="162" t="s">
        <v>286</v>
      </c>
      <c r="T403" s="196"/>
      <c r="V403" s="190">
        <f t="shared" si="156"/>
        <v>16</v>
      </c>
    </row>
    <row r="404" spans="2:22">
      <c r="B404" s="1"/>
      <c r="D404" s="1"/>
      <c r="E404" s="132">
        <f>VLOOKUP(I398,$B$39:$Z$70,20,0)</f>
        <v>-1</v>
      </c>
      <c r="F404" s="127">
        <f>VLOOKUP(I398,$B$39:$Z$70,23,0)</f>
        <v>-1</v>
      </c>
      <c r="G404" s="127">
        <f>VLOOKUP(I398,$B$39:$Z$70,7,0)</f>
        <v>34</v>
      </c>
      <c r="H404" s="133" t="s">
        <v>291</v>
      </c>
      <c r="I404" s="157" t="s">
        <v>292</v>
      </c>
      <c r="J404" s="155" t="s">
        <v>293</v>
      </c>
      <c r="K404" s="158">
        <v>12</v>
      </c>
      <c r="L404" s="159"/>
      <c r="M404" s="166">
        <f>(R404+S404)/2+2*ROUNDUP((IF(K404&lt;26,10.927,11.212))*K404/10,0)</f>
        <v>20</v>
      </c>
      <c r="N404" s="168">
        <f>4*(G402+1)+(G404-1)*2</f>
        <v>66</v>
      </c>
      <c r="O404" s="162">
        <f t="shared" si="153"/>
        <v>13.2</v>
      </c>
      <c r="P404" s="15">
        <f t="shared" si="154"/>
        <v>0.888</v>
      </c>
      <c r="Q404" s="187">
        <f t="shared" si="155"/>
        <v>11.7216</v>
      </c>
      <c r="R404" s="188">
        <f>H403-I408*2</f>
        <v>-8</v>
      </c>
      <c r="S404" s="162">
        <f>I403-I408*2</f>
        <v>-8</v>
      </c>
      <c r="T404" s="194" t="str">
        <f>ROUND(S404,1)&amp;"~"&amp;ROUND(R404,1)</f>
        <v>-8~-8</v>
      </c>
      <c r="V404" s="190">
        <f t="shared" si="156"/>
        <v>14</v>
      </c>
    </row>
    <row r="405" ht="15" spans="2:22">
      <c r="B405" s="1"/>
      <c r="D405" s="1"/>
      <c r="E405" s="134"/>
      <c r="F405" s="135"/>
      <c r="G405" s="135"/>
      <c r="H405" s="136">
        <f>VLOOKUP(I398,$B$4:$J$70,6,0)</f>
        <v>30</v>
      </c>
      <c r="I405" s="167">
        <f>VLOOKUP(I398,$B$4:$J$70,7,0)</f>
        <v>40</v>
      </c>
      <c r="J405" s="155" t="s">
        <v>294</v>
      </c>
      <c r="K405" s="158">
        <v>12</v>
      </c>
      <c r="L405" s="159"/>
      <c r="M405" s="166">
        <f>(R405+S405)/2+2*ROUNDUP((IF(K405&lt;26,10.927,11.212))*K405/10,0)</f>
        <v>28</v>
      </c>
      <c r="N405" s="15">
        <f>2*(E402+1)+F402*2</f>
        <v>78</v>
      </c>
      <c r="O405" s="162">
        <f t="shared" si="153"/>
        <v>21.84</v>
      </c>
      <c r="P405" s="15">
        <f t="shared" si="154"/>
        <v>0.888</v>
      </c>
      <c r="Q405" s="187">
        <f t="shared" si="155"/>
        <v>19.39392</v>
      </c>
      <c r="R405" s="188">
        <f>((I401-H401)^2+H403^2)^0.5</f>
        <v>0</v>
      </c>
      <c r="S405" s="162">
        <f>((I401-H401)^2+I403^2)^0.5</f>
        <v>0</v>
      </c>
      <c r="T405" s="194" t="str">
        <f>ROUND(S405,1)&amp;"~"&amp;ROUND(R405,1)</f>
        <v>0~0</v>
      </c>
      <c r="V405" s="190">
        <f t="shared" si="156"/>
        <v>14</v>
      </c>
    </row>
    <row r="406" spans="2:22">
      <c r="B406" s="1"/>
      <c r="D406" s="1"/>
      <c r="E406" s="137" t="s">
        <v>295</v>
      </c>
      <c r="F406" s="138"/>
      <c r="G406" s="139"/>
      <c r="H406" s="140" t="s">
        <v>296</v>
      </c>
      <c r="I406" s="169"/>
      <c r="J406" s="155" t="s">
        <v>297</v>
      </c>
      <c r="K406" s="164">
        <v>8</v>
      </c>
      <c r="L406" s="159"/>
      <c r="M406" s="166">
        <f>R406+11</f>
        <v>43</v>
      </c>
      <c r="N406" s="170">
        <f>ROUNDDOWN(((VLOOKUP(I398,$B$39:$Z$70,2,0))/(VLOOKUP(I398,$B$39:$Z$70,4,0))-1),0)/4*((VLOOKUP(I398,$B$39:$Z$70,20,0))+1)</f>
        <v>0</v>
      </c>
      <c r="O406" s="162">
        <f t="shared" si="153"/>
        <v>0</v>
      </c>
      <c r="P406" s="15">
        <f t="shared" si="154"/>
        <v>0.395</v>
      </c>
      <c r="Q406" s="187">
        <f t="shared" si="155"/>
        <v>0</v>
      </c>
      <c r="R406" s="195">
        <f>I405-2*I408</f>
        <v>32</v>
      </c>
      <c r="S406" s="162" t="s">
        <v>286</v>
      </c>
      <c r="T406" s="196"/>
      <c r="V406" s="197"/>
    </row>
    <row r="407" spans="2:22">
      <c r="B407" s="1"/>
      <c r="D407" s="1"/>
      <c r="E407" s="141" t="s">
        <v>298</v>
      </c>
      <c r="F407" s="142" t="s">
        <v>299</v>
      </c>
      <c r="G407" s="143" t="s">
        <v>300</v>
      </c>
      <c r="H407" s="140">
        <f>VLOOKUP(I398,$B$4:$J$70,8,0)</f>
        <v>60</v>
      </c>
      <c r="I407" s="169"/>
      <c r="J407" s="155" t="s">
        <v>301</v>
      </c>
      <c r="K407" s="164">
        <v>8</v>
      </c>
      <c r="L407" s="159"/>
      <c r="M407" s="166">
        <f>R407+11</f>
        <v>33</v>
      </c>
      <c r="N407" s="171">
        <f>ROUND(E404/4*G402,0)*2</f>
        <v>0</v>
      </c>
      <c r="O407" s="162">
        <f t="shared" si="153"/>
        <v>0</v>
      </c>
      <c r="P407" s="15">
        <f t="shared" si="154"/>
        <v>0.395</v>
      </c>
      <c r="Q407" s="187">
        <f t="shared" si="155"/>
        <v>0</v>
      </c>
      <c r="R407" s="195">
        <f>H405-2*I408</f>
        <v>22</v>
      </c>
      <c r="S407" s="162" t="s">
        <v>286</v>
      </c>
      <c r="T407" s="196"/>
      <c r="V407" s="197"/>
    </row>
    <row r="408" ht="15" spans="2:20">
      <c r="B408" s="1"/>
      <c r="D408" s="1"/>
      <c r="E408" s="144">
        <f>IF(I398=0,0,ROUND(((H401+I401)/2*H405*2+H407*I405+0.2*0.2+0.25*0.05*2)*(H403+I403)/2/1000000,1))</f>
        <v>0</v>
      </c>
      <c r="F408" s="145">
        <f>IF(I398=0,0,ROUND(Q406+Q407,1))</f>
        <v>0</v>
      </c>
      <c r="G408" s="146">
        <f>IF(I398=0,0,ROUND(Q400+Q401+Q402+Q403+Q404+Q405,1))</f>
        <v>0</v>
      </c>
      <c r="H408" s="147" t="s">
        <v>302</v>
      </c>
      <c r="I408" s="172">
        <f>$P$3</f>
        <v>4</v>
      </c>
      <c r="J408" s="173" t="s">
        <v>303</v>
      </c>
      <c r="K408" s="174" t="str">
        <f>"C40混凝土:"&amp;ROUND(((H401+I401)/2*H405*2+H407*I405+0.2*0.2+0.25*0.05*2)*(H403+I403)/2/1000000,1)&amp;"m"&amp;"      "&amp;"HPB300:"&amp;ROUND(Q406+Q407,1)&amp;"kg       "&amp;"HRB400:"&amp;ROUND(Q400+Q401+Q402+Q403+Q404+Q405,1)&amp;"kg"</f>
        <v>C40混凝土:0m      HPB300:0kg       HRB400:31.1kg</v>
      </c>
      <c r="L408" s="174"/>
      <c r="M408" s="174"/>
      <c r="N408" s="174"/>
      <c r="O408" s="174"/>
      <c r="P408" s="174"/>
      <c r="Q408" s="198"/>
      <c r="R408" s="199" t="s">
        <v>304</v>
      </c>
      <c r="S408" s="174" t="e">
        <f>ROUND(SUM(Q400:Q407)/ROUND(((H401+I401)/2*H405*2+H407*I405+0.2*0.2+0.25*0.05*2)*(H403+I403)/2/1000000,1),1)</f>
        <v>#DIV/0!</v>
      </c>
      <c r="T408" s="200"/>
    </row>
    <row r="410" spans="2:22">
      <c r="B410" s="1"/>
      <c r="D410" s="1"/>
      <c r="E410" s="10" t="s">
        <v>268</v>
      </c>
      <c r="F410" s="11"/>
      <c r="G410" s="11"/>
      <c r="H410" s="124" t="s">
        <v>269</v>
      </c>
      <c r="I410" s="151">
        <f>B410</f>
        <v>0</v>
      </c>
      <c r="J410" s="152" t="s">
        <v>270</v>
      </c>
      <c r="K410" s="11" t="s">
        <v>271</v>
      </c>
      <c r="L410" s="11" t="s">
        <v>272</v>
      </c>
      <c r="M410" s="153" t="s">
        <v>273</v>
      </c>
      <c r="N410" s="11" t="s">
        <v>274</v>
      </c>
      <c r="O410" s="153" t="s">
        <v>275</v>
      </c>
      <c r="P410" s="153" t="s">
        <v>276</v>
      </c>
      <c r="Q410" s="179" t="s">
        <v>277</v>
      </c>
      <c r="R410" s="180" t="s">
        <v>278</v>
      </c>
      <c r="S410" s="181"/>
      <c r="T410" s="182"/>
      <c r="V410" s="1" t="s">
        <v>279</v>
      </c>
    </row>
    <row r="411" spans="2:22">
      <c r="B411" s="1"/>
      <c r="D411" s="1"/>
      <c r="E411" s="13"/>
      <c r="F411" s="15"/>
      <c r="G411" s="15"/>
      <c r="H411" s="125"/>
      <c r="I411" s="154"/>
      <c r="J411" s="155"/>
      <c r="K411" s="15"/>
      <c r="L411" s="15"/>
      <c r="M411" s="156"/>
      <c r="N411" s="15"/>
      <c r="O411" s="156"/>
      <c r="P411" s="156"/>
      <c r="Q411" s="183"/>
      <c r="R411" s="184"/>
      <c r="S411" s="185"/>
      <c r="T411" s="186"/>
      <c r="U411" s="1"/>
      <c r="V411" s="1"/>
    </row>
    <row r="412" spans="2:22">
      <c r="B412" s="1"/>
      <c r="D412" s="1"/>
      <c r="E412" s="13"/>
      <c r="F412" s="15"/>
      <c r="G412" s="15"/>
      <c r="H412" s="15" t="s">
        <v>280</v>
      </c>
      <c r="I412" s="157"/>
      <c r="J412" s="155" t="s">
        <v>281</v>
      </c>
      <c r="K412" s="158">
        <f>'1.U型槽主筋验算'!K30</f>
        <v>25</v>
      </c>
      <c r="L412" s="159"/>
      <c r="M412" s="160">
        <f>(R412+S412)/2+ROUNDUP((IF(K412&lt;26,10.927,11.212))*K412/10,0)*2</f>
        <v>216</v>
      </c>
      <c r="N412" s="161">
        <f>ROUNDUP((H415/12.5),0)*IF(I413&gt;600,2,1)</f>
        <v>0</v>
      </c>
      <c r="O412" s="162">
        <f t="shared" ref="O412:O419" si="157">M412*N412/100</f>
        <v>0</v>
      </c>
      <c r="P412" s="15">
        <f t="shared" ref="P412:P419" si="158">ROUND(K412^2*PI()/4/1000000*7850,3)</f>
        <v>3.853</v>
      </c>
      <c r="Q412" s="187">
        <f t="shared" ref="Q412:Q419" si="159">O412*P412</f>
        <v>0</v>
      </c>
      <c r="R412" s="188">
        <f>(H413+I417-I420*2)*2+(H419-I420*2)+(H417-I420*2)*2</f>
        <v>160</v>
      </c>
      <c r="S412" s="162">
        <f>(I413+I417-I420*2)*2+(H419-I420*2)+(H417-I420*2)*2</f>
        <v>160</v>
      </c>
      <c r="T412" s="189">
        <f>R414</f>
        <v>52</v>
      </c>
      <c r="V412" s="190">
        <f t="shared" ref="V412:V417" si="160">ROUNDUP((IF(K412&lt;26,10.927,11.212))*K412/10,0)</f>
        <v>28</v>
      </c>
    </row>
    <row r="413" spans="2:22">
      <c r="B413" s="1"/>
      <c r="D413" s="1"/>
      <c r="E413" s="126" t="s">
        <v>244</v>
      </c>
      <c r="F413" s="127" t="s">
        <v>282</v>
      </c>
      <c r="G413" s="127" t="s">
        <v>283</v>
      </c>
      <c r="H413" s="128">
        <f>MIN(VLOOKUP(I410,$B$4:$J$70,2,0),VLOOKUP(I410,$B$4:$J$70,3,0))</f>
        <v>0</v>
      </c>
      <c r="I413" s="163">
        <f>MAX(VLOOKUP(I410,$B$4:$J$70,2,0),VLOOKUP(I410,$B$4:$J$70,3,0))</f>
        <v>0</v>
      </c>
      <c r="J413" s="155" t="s">
        <v>284</v>
      </c>
      <c r="K413" s="164">
        <v>12</v>
      </c>
      <c r="L413" s="159"/>
      <c r="M413" s="160">
        <f>(R413+S413)/2+ROUNDUP((IF(K413&lt;26,10.927,11.212))*K413/10,0)*2</f>
        <v>60</v>
      </c>
      <c r="N413" s="165">
        <f>ROUNDUP((H415/12.5*1),0)*2</f>
        <v>0</v>
      </c>
      <c r="O413" s="162">
        <f t="shared" si="157"/>
        <v>0</v>
      </c>
      <c r="P413" s="15">
        <f t="shared" si="158"/>
        <v>0.888</v>
      </c>
      <c r="Q413" s="187">
        <f t="shared" si="159"/>
        <v>0</v>
      </c>
      <c r="R413" s="192">
        <f>H413+I417-I420*2</f>
        <v>32</v>
      </c>
      <c r="S413" s="193">
        <f>I413+I417-I420*2</f>
        <v>32</v>
      </c>
      <c r="T413" s="194" t="str">
        <f>ROUND(R413,1)&amp;"~"&amp;ROUND(S413,1)</f>
        <v>32~32</v>
      </c>
      <c r="V413" s="190">
        <f t="shared" si="160"/>
        <v>14</v>
      </c>
    </row>
    <row r="414" spans="2:22">
      <c r="B414" s="1"/>
      <c r="D414" s="1"/>
      <c r="E414" s="126">
        <f>VLOOKUP(I410,$B$39:$Z$70,3,0)</f>
        <v>3</v>
      </c>
      <c r="F414" s="129">
        <f>VLOOKUP(I410,$B$39:$Z$70,17,0)</f>
        <v>35</v>
      </c>
      <c r="G414" s="127">
        <f>VLOOKUP(I410,$B$39:$Z$70,12,0)</f>
        <v>-1</v>
      </c>
      <c r="H414" s="127" t="s">
        <v>229</v>
      </c>
      <c r="I414" s="157"/>
      <c r="J414" s="155" t="s">
        <v>285</v>
      </c>
      <c r="K414" s="158">
        <v>14</v>
      </c>
      <c r="L414" s="159"/>
      <c r="M414" s="166">
        <f>R414+2*ROUNDUP((IF(K414&lt;26,10.927,11.212))*K414/10,0)</f>
        <v>84</v>
      </c>
      <c r="N414" s="161">
        <f>ROUNDUP(H415/12.5,0)</f>
        <v>0</v>
      </c>
      <c r="O414" s="162">
        <f t="shared" si="157"/>
        <v>0</v>
      </c>
      <c r="P414" s="15">
        <f t="shared" si="158"/>
        <v>1.208</v>
      </c>
      <c r="Q414" s="187">
        <f t="shared" si="159"/>
        <v>0</v>
      </c>
      <c r="R414" s="195">
        <f>H419-I420*2</f>
        <v>52</v>
      </c>
      <c r="S414" s="162" t="s">
        <v>286</v>
      </c>
      <c r="T414" s="196"/>
      <c r="V414" s="190">
        <f t="shared" si="160"/>
        <v>16</v>
      </c>
    </row>
    <row r="415" spans="2:22">
      <c r="B415" s="1"/>
      <c r="D415" s="1"/>
      <c r="E415" s="130" t="s">
        <v>287</v>
      </c>
      <c r="F415" s="127" t="s">
        <v>288</v>
      </c>
      <c r="G415" s="127" t="s">
        <v>289</v>
      </c>
      <c r="H415" s="131">
        <f>MAX(VLOOKUP(I410,$B$4:$J$70,4,0),VLOOKUP(I410,$B$4:$J$70,5,0))</f>
        <v>0</v>
      </c>
      <c r="I415" s="167">
        <f>MIN(VLOOKUP(I410,$B$4:$J$70,4,0),VLOOKUP(I410,$B$4:$J$70,5,0))</f>
        <v>0</v>
      </c>
      <c r="J415" s="155" t="s">
        <v>290</v>
      </c>
      <c r="K415" s="164">
        <v>14</v>
      </c>
      <c r="L415" s="159"/>
      <c r="M415" s="166">
        <f>R415+2*ROUNDUP((IF(K415&lt;26,10.927,11.212))*K415/10,0)</f>
        <v>139.965512114594</v>
      </c>
      <c r="N415" s="165">
        <f>ROUNDUP(H415/12.5,0)*2</f>
        <v>0</v>
      </c>
      <c r="O415" s="162">
        <f t="shared" si="157"/>
        <v>0</v>
      </c>
      <c r="P415" s="15">
        <f t="shared" si="158"/>
        <v>1.208</v>
      </c>
      <c r="Q415" s="187">
        <f t="shared" si="159"/>
        <v>0</v>
      </c>
      <c r="R415" s="195">
        <f>((H417+I417-I420*2)+(20-I420*2^0.5))*(2^0.5)</f>
        <v>107.965512114594</v>
      </c>
      <c r="S415" s="162" t="s">
        <v>286</v>
      </c>
      <c r="T415" s="196"/>
      <c r="V415" s="190">
        <f t="shared" si="160"/>
        <v>16</v>
      </c>
    </row>
    <row r="416" spans="2:22">
      <c r="B416" s="1"/>
      <c r="D416" s="1"/>
      <c r="E416" s="132">
        <f>VLOOKUP(I410,$B$39:$Z$70,20,0)</f>
        <v>-1</v>
      </c>
      <c r="F416" s="127">
        <f>VLOOKUP(I410,$B$39:$Z$70,23,0)</f>
        <v>-1</v>
      </c>
      <c r="G416" s="127">
        <f>VLOOKUP(I410,$B$39:$Z$70,7,0)</f>
        <v>34</v>
      </c>
      <c r="H416" s="133" t="s">
        <v>291</v>
      </c>
      <c r="I416" s="157" t="s">
        <v>292</v>
      </c>
      <c r="J416" s="155" t="s">
        <v>293</v>
      </c>
      <c r="K416" s="158">
        <v>12</v>
      </c>
      <c r="L416" s="159"/>
      <c r="M416" s="166">
        <f>(R416+S416)/2+2*ROUNDUP((IF(K416&lt;26,10.927,11.212))*K416/10,0)</f>
        <v>20</v>
      </c>
      <c r="N416" s="168">
        <f>4*(G414+1)+(G416-1)*2</f>
        <v>66</v>
      </c>
      <c r="O416" s="162">
        <f t="shared" si="157"/>
        <v>13.2</v>
      </c>
      <c r="P416" s="15">
        <f t="shared" si="158"/>
        <v>0.888</v>
      </c>
      <c r="Q416" s="187">
        <f t="shared" si="159"/>
        <v>11.7216</v>
      </c>
      <c r="R416" s="188">
        <f>H415-I420*2</f>
        <v>-8</v>
      </c>
      <c r="S416" s="162">
        <f>I415-I420*2</f>
        <v>-8</v>
      </c>
      <c r="T416" s="194" t="str">
        <f>ROUND(S416,1)&amp;"~"&amp;ROUND(R416,1)</f>
        <v>-8~-8</v>
      </c>
      <c r="V416" s="190">
        <f t="shared" si="160"/>
        <v>14</v>
      </c>
    </row>
    <row r="417" ht="15" spans="2:22">
      <c r="B417" s="1"/>
      <c r="D417" s="1"/>
      <c r="E417" s="134"/>
      <c r="F417" s="135"/>
      <c r="G417" s="135"/>
      <c r="H417" s="136">
        <f>VLOOKUP(I410,$B$4:$J$70,6,0)</f>
        <v>30</v>
      </c>
      <c r="I417" s="167">
        <f>VLOOKUP(I410,$B$4:$J$70,7,0)</f>
        <v>40</v>
      </c>
      <c r="J417" s="155" t="s">
        <v>294</v>
      </c>
      <c r="K417" s="158">
        <v>12</v>
      </c>
      <c r="L417" s="159"/>
      <c r="M417" s="166">
        <f>(R417+S417)/2+2*ROUNDUP((IF(K417&lt;26,10.927,11.212))*K417/10,0)</f>
        <v>28</v>
      </c>
      <c r="N417" s="15">
        <f>2*(E414+1)+F414*2</f>
        <v>78</v>
      </c>
      <c r="O417" s="162">
        <f t="shared" si="157"/>
        <v>21.84</v>
      </c>
      <c r="P417" s="15">
        <f t="shared" si="158"/>
        <v>0.888</v>
      </c>
      <c r="Q417" s="187">
        <f t="shared" si="159"/>
        <v>19.39392</v>
      </c>
      <c r="R417" s="188">
        <f>((I413-H413)^2+H415^2)^0.5</f>
        <v>0</v>
      </c>
      <c r="S417" s="162">
        <f>((I413-H413)^2+I415^2)^0.5</f>
        <v>0</v>
      </c>
      <c r="T417" s="194" t="str">
        <f>ROUND(S417,1)&amp;"~"&amp;ROUND(R417,1)</f>
        <v>0~0</v>
      </c>
      <c r="V417" s="190">
        <f t="shared" si="160"/>
        <v>14</v>
      </c>
    </row>
    <row r="418" spans="2:22">
      <c r="B418" s="1"/>
      <c r="D418" s="1"/>
      <c r="E418" s="137" t="s">
        <v>295</v>
      </c>
      <c r="F418" s="138"/>
      <c r="G418" s="139"/>
      <c r="H418" s="140" t="s">
        <v>296</v>
      </c>
      <c r="I418" s="169"/>
      <c r="J418" s="155" t="s">
        <v>297</v>
      </c>
      <c r="K418" s="164">
        <v>8</v>
      </c>
      <c r="L418" s="159"/>
      <c r="M418" s="166">
        <f>R418+11</f>
        <v>43</v>
      </c>
      <c r="N418" s="170">
        <f>ROUNDDOWN(((VLOOKUP(I410,$B$39:$Z$70,2,0))/(VLOOKUP(I410,$B$39:$Z$70,4,0))-1),0)/4*((VLOOKUP(I410,$B$39:$Z$70,20,0))+1)</f>
        <v>0</v>
      </c>
      <c r="O418" s="162">
        <f t="shared" si="157"/>
        <v>0</v>
      </c>
      <c r="P418" s="15">
        <f t="shared" si="158"/>
        <v>0.395</v>
      </c>
      <c r="Q418" s="187">
        <f t="shared" si="159"/>
        <v>0</v>
      </c>
      <c r="R418" s="195">
        <f>I417-2*I420</f>
        <v>32</v>
      </c>
      <c r="S418" s="162" t="s">
        <v>286</v>
      </c>
      <c r="T418" s="196"/>
      <c r="V418" s="197"/>
    </row>
    <row r="419" spans="2:22">
      <c r="B419" s="1"/>
      <c r="D419" s="1"/>
      <c r="E419" s="141" t="s">
        <v>298</v>
      </c>
      <c r="F419" s="142" t="s">
        <v>299</v>
      </c>
      <c r="G419" s="143" t="s">
        <v>300</v>
      </c>
      <c r="H419" s="140">
        <f>VLOOKUP(I410,$B$4:$J$70,8,0)</f>
        <v>60</v>
      </c>
      <c r="I419" s="169"/>
      <c r="J419" s="155" t="s">
        <v>301</v>
      </c>
      <c r="K419" s="164">
        <v>8</v>
      </c>
      <c r="L419" s="159"/>
      <c r="M419" s="166">
        <f>R419+11</f>
        <v>33</v>
      </c>
      <c r="N419" s="171">
        <f>ROUND(E416/4*G414,0)*2</f>
        <v>0</v>
      </c>
      <c r="O419" s="162">
        <f t="shared" si="157"/>
        <v>0</v>
      </c>
      <c r="P419" s="15">
        <f t="shared" si="158"/>
        <v>0.395</v>
      </c>
      <c r="Q419" s="187">
        <f t="shared" si="159"/>
        <v>0</v>
      </c>
      <c r="R419" s="195">
        <f>H417-2*I420</f>
        <v>22</v>
      </c>
      <c r="S419" s="162" t="s">
        <v>286</v>
      </c>
      <c r="T419" s="196"/>
      <c r="V419" s="197"/>
    </row>
    <row r="420" ht="15" spans="2:20">
      <c r="B420" s="1"/>
      <c r="D420" s="1"/>
      <c r="E420" s="144">
        <f>IF(I410=0,0,ROUND(((H413+I413)/2*H417*2+H419*I417+0.2*0.2+0.25*0.05*2)*(H415+I415)/2/1000000,1))</f>
        <v>0</v>
      </c>
      <c r="F420" s="145">
        <f>IF(I410=0,0,ROUND(Q418+Q419,1))</f>
        <v>0</v>
      </c>
      <c r="G420" s="146">
        <f>IF(I410=0,0,ROUND(Q412+Q413+Q414+Q415+Q416+Q417,1))</f>
        <v>0</v>
      </c>
      <c r="H420" s="147" t="s">
        <v>302</v>
      </c>
      <c r="I420" s="172">
        <f>$P$3</f>
        <v>4</v>
      </c>
      <c r="J420" s="173" t="s">
        <v>303</v>
      </c>
      <c r="K420" s="174" t="str">
        <f>"C40混凝土:"&amp;ROUND(((H413+I413)/2*H417*2+H419*I417+0.2*0.2+0.25*0.05*2)*(H415+I415)/2/1000000,1)&amp;"m"&amp;"      "&amp;"HPB300:"&amp;ROUND(Q418+Q419,1)&amp;"kg       "&amp;"HRB400:"&amp;ROUND(Q412+Q413+Q414+Q415+Q416+Q417,1)&amp;"kg"</f>
        <v>C40混凝土:0m      HPB300:0kg       HRB400:31.1kg</v>
      </c>
      <c r="L420" s="174"/>
      <c r="M420" s="174"/>
      <c r="N420" s="174"/>
      <c r="O420" s="174"/>
      <c r="P420" s="174"/>
      <c r="Q420" s="198"/>
      <c r="R420" s="199" t="s">
        <v>304</v>
      </c>
      <c r="S420" s="174" t="e">
        <f>ROUND(SUM(Q412:Q419)/ROUND(((H413+I413)/2*H417*2+H419*I417+0.2*0.2+0.25*0.05*2)*(H415+I415)/2/1000000,1),1)</f>
        <v>#DIV/0!</v>
      </c>
      <c r="T420" s="200"/>
    </row>
    <row r="422" spans="2:22">
      <c r="B422" s="1"/>
      <c r="D422" s="1"/>
      <c r="E422" s="10" t="s">
        <v>268</v>
      </c>
      <c r="F422" s="11"/>
      <c r="G422" s="11"/>
      <c r="H422" s="124" t="s">
        <v>269</v>
      </c>
      <c r="I422" s="151">
        <f>B422</f>
        <v>0</v>
      </c>
      <c r="J422" s="152" t="s">
        <v>270</v>
      </c>
      <c r="K422" s="11" t="s">
        <v>271</v>
      </c>
      <c r="L422" s="11" t="s">
        <v>272</v>
      </c>
      <c r="M422" s="153" t="s">
        <v>273</v>
      </c>
      <c r="N422" s="11" t="s">
        <v>274</v>
      </c>
      <c r="O422" s="153" t="s">
        <v>275</v>
      </c>
      <c r="P422" s="153" t="s">
        <v>276</v>
      </c>
      <c r="Q422" s="179" t="s">
        <v>277</v>
      </c>
      <c r="R422" s="180" t="s">
        <v>278</v>
      </c>
      <c r="S422" s="181"/>
      <c r="T422" s="182"/>
      <c r="V422" s="1" t="s">
        <v>279</v>
      </c>
    </row>
    <row r="423" spans="2:22">
      <c r="B423" s="1"/>
      <c r="D423" s="1"/>
      <c r="E423" s="13"/>
      <c r="F423" s="15"/>
      <c r="G423" s="15"/>
      <c r="H423" s="125"/>
      <c r="I423" s="154"/>
      <c r="J423" s="155"/>
      <c r="K423" s="15"/>
      <c r="L423" s="15"/>
      <c r="M423" s="156"/>
      <c r="N423" s="15"/>
      <c r="O423" s="156"/>
      <c r="P423" s="156"/>
      <c r="Q423" s="183"/>
      <c r="R423" s="184"/>
      <c r="S423" s="185"/>
      <c r="T423" s="186"/>
      <c r="U423" s="1"/>
      <c r="V423" s="1"/>
    </row>
    <row r="424" spans="2:22">
      <c r="B424" s="1"/>
      <c r="D424" s="1"/>
      <c r="E424" s="13"/>
      <c r="F424" s="15"/>
      <c r="G424" s="15"/>
      <c r="H424" s="15" t="s">
        <v>280</v>
      </c>
      <c r="I424" s="157"/>
      <c r="J424" s="155" t="s">
        <v>281</v>
      </c>
      <c r="K424" s="158">
        <f>'1.U型槽主筋验算'!K31</f>
        <v>20</v>
      </c>
      <c r="L424" s="159"/>
      <c r="M424" s="160">
        <f>(R424+S424)/2+ROUNDUP((IF(K424&lt;26,10.927,11.212))*K424/10,0)*2</f>
        <v>204</v>
      </c>
      <c r="N424" s="161">
        <f>ROUNDUP((H427/12.5),0)*IF(I425&gt;600,2,1)</f>
        <v>0</v>
      </c>
      <c r="O424" s="162">
        <f t="shared" ref="O424:O431" si="161">M424*N424/100</f>
        <v>0</v>
      </c>
      <c r="P424" s="15">
        <f t="shared" ref="P424:P431" si="162">ROUND(K424^2*PI()/4/1000000*7850,3)</f>
        <v>2.466</v>
      </c>
      <c r="Q424" s="187">
        <f t="shared" ref="Q424:Q431" si="163">O424*P424</f>
        <v>0</v>
      </c>
      <c r="R424" s="188">
        <f>(H425+I429-I432*2)*2+(H431-I432*2)+(H429-I432*2)*2</f>
        <v>160</v>
      </c>
      <c r="S424" s="162">
        <f>(I425+I429-I432*2)*2+(H431-I432*2)+(H429-I432*2)*2</f>
        <v>160</v>
      </c>
      <c r="T424" s="189">
        <f>R426</f>
        <v>52</v>
      </c>
      <c r="V424" s="190">
        <f t="shared" ref="V424:V429" si="164">ROUNDUP((IF(K424&lt;26,10.927,11.212))*K424/10,0)</f>
        <v>22</v>
      </c>
    </row>
    <row r="425" spans="2:22">
      <c r="B425" s="1"/>
      <c r="D425" s="1"/>
      <c r="E425" s="126" t="s">
        <v>244</v>
      </c>
      <c r="F425" s="127" t="s">
        <v>282</v>
      </c>
      <c r="G425" s="127" t="s">
        <v>283</v>
      </c>
      <c r="H425" s="128">
        <f>MIN(VLOOKUP(I422,$B$4:$J$70,2,0),VLOOKUP(I422,$B$4:$J$70,3,0))</f>
        <v>0</v>
      </c>
      <c r="I425" s="163">
        <f>MAX(VLOOKUP(I422,$B$4:$J$70,2,0),VLOOKUP(I422,$B$4:$J$70,3,0))</f>
        <v>0</v>
      </c>
      <c r="J425" s="155" t="s">
        <v>284</v>
      </c>
      <c r="K425" s="164">
        <v>12</v>
      </c>
      <c r="L425" s="159"/>
      <c r="M425" s="160">
        <f>(R425+S425)/2+ROUNDUP((IF(K425&lt;26,10.927,11.212))*K425/10,0)*2</f>
        <v>60</v>
      </c>
      <c r="N425" s="165">
        <f>ROUNDUP((H427/12.5*1),0)*2</f>
        <v>0</v>
      </c>
      <c r="O425" s="162">
        <f t="shared" si="161"/>
        <v>0</v>
      </c>
      <c r="P425" s="15">
        <f t="shared" si="162"/>
        <v>0.888</v>
      </c>
      <c r="Q425" s="187">
        <f t="shared" si="163"/>
        <v>0</v>
      </c>
      <c r="R425" s="192">
        <f>H425+I429-I432*2</f>
        <v>32</v>
      </c>
      <c r="S425" s="193">
        <f>I425+I429-I432*2</f>
        <v>32</v>
      </c>
      <c r="T425" s="194" t="str">
        <f>ROUND(R425,1)&amp;"~"&amp;ROUND(S425,1)</f>
        <v>32~32</v>
      </c>
      <c r="V425" s="190">
        <f t="shared" si="164"/>
        <v>14</v>
      </c>
    </row>
    <row r="426" spans="2:22">
      <c r="B426" s="1"/>
      <c r="D426" s="1"/>
      <c r="E426" s="126">
        <f>VLOOKUP(I422,$B$39:$Z$70,3,0)</f>
        <v>3</v>
      </c>
      <c r="F426" s="129">
        <f>VLOOKUP(I422,$B$39:$Z$70,17,0)</f>
        <v>35</v>
      </c>
      <c r="G426" s="127">
        <f>VLOOKUP(I422,$B$39:$Z$70,12,0)</f>
        <v>-1</v>
      </c>
      <c r="H426" s="127" t="s">
        <v>229</v>
      </c>
      <c r="I426" s="157"/>
      <c r="J426" s="155" t="s">
        <v>285</v>
      </c>
      <c r="K426" s="158">
        <v>14</v>
      </c>
      <c r="L426" s="159"/>
      <c r="M426" s="166">
        <f>R426+2*ROUNDUP((IF(K426&lt;26,10.927,11.212))*K426/10,0)</f>
        <v>84</v>
      </c>
      <c r="N426" s="161">
        <f>ROUNDUP(H427/12.5,0)</f>
        <v>0</v>
      </c>
      <c r="O426" s="162">
        <f t="shared" si="161"/>
        <v>0</v>
      </c>
      <c r="P426" s="15">
        <f t="shared" si="162"/>
        <v>1.208</v>
      </c>
      <c r="Q426" s="187">
        <f t="shared" si="163"/>
        <v>0</v>
      </c>
      <c r="R426" s="195">
        <f>H431-I432*2</f>
        <v>52</v>
      </c>
      <c r="S426" s="162" t="s">
        <v>286</v>
      </c>
      <c r="T426" s="196"/>
      <c r="V426" s="190">
        <f t="shared" si="164"/>
        <v>16</v>
      </c>
    </row>
    <row r="427" spans="2:22">
      <c r="B427" s="1"/>
      <c r="D427" s="1"/>
      <c r="E427" s="130" t="s">
        <v>287</v>
      </c>
      <c r="F427" s="127" t="s">
        <v>288</v>
      </c>
      <c r="G427" s="127" t="s">
        <v>289</v>
      </c>
      <c r="H427" s="131">
        <f>MAX(VLOOKUP(I422,$B$4:$J$70,4,0),VLOOKUP(I422,$B$4:$J$70,5,0))</f>
        <v>0</v>
      </c>
      <c r="I427" s="167">
        <f>MIN(VLOOKUP(I422,$B$4:$J$70,4,0),VLOOKUP(I422,$B$4:$J$70,5,0))</f>
        <v>0</v>
      </c>
      <c r="J427" s="155" t="s">
        <v>290</v>
      </c>
      <c r="K427" s="164">
        <v>14</v>
      </c>
      <c r="L427" s="159"/>
      <c r="M427" s="166">
        <f>R427+2*ROUNDUP((IF(K427&lt;26,10.927,11.212))*K427/10,0)</f>
        <v>139.965512114594</v>
      </c>
      <c r="N427" s="165">
        <f>ROUNDUP(H427/12.5,0)*2</f>
        <v>0</v>
      </c>
      <c r="O427" s="162">
        <f t="shared" si="161"/>
        <v>0</v>
      </c>
      <c r="P427" s="15">
        <f t="shared" si="162"/>
        <v>1.208</v>
      </c>
      <c r="Q427" s="187">
        <f t="shared" si="163"/>
        <v>0</v>
      </c>
      <c r="R427" s="195">
        <f>((H429+I429-I432*2)+(20-I432*2^0.5))*(2^0.5)</f>
        <v>107.965512114594</v>
      </c>
      <c r="S427" s="162" t="s">
        <v>286</v>
      </c>
      <c r="T427" s="196"/>
      <c r="V427" s="190">
        <f t="shared" si="164"/>
        <v>16</v>
      </c>
    </row>
    <row r="428" spans="2:22">
      <c r="B428" s="1"/>
      <c r="D428" s="1"/>
      <c r="E428" s="132">
        <f>VLOOKUP(I422,$B$39:$Z$70,20,0)</f>
        <v>-1</v>
      </c>
      <c r="F428" s="127">
        <f>VLOOKUP(I422,$B$39:$Z$70,23,0)</f>
        <v>-1</v>
      </c>
      <c r="G428" s="127">
        <f>VLOOKUP(I422,$B$39:$Z$70,7,0)</f>
        <v>34</v>
      </c>
      <c r="H428" s="133" t="s">
        <v>291</v>
      </c>
      <c r="I428" s="157" t="s">
        <v>292</v>
      </c>
      <c r="J428" s="155" t="s">
        <v>293</v>
      </c>
      <c r="K428" s="158">
        <v>12</v>
      </c>
      <c r="L428" s="159"/>
      <c r="M428" s="166">
        <f>(R428+S428)/2+2*ROUNDUP((IF(K428&lt;26,10.927,11.212))*K428/10,0)</f>
        <v>20</v>
      </c>
      <c r="N428" s="168">
        <f>4*(G426+1)+(G428-1)*2</f>
        <v>66</v>
      </c>
      <c r="O428" s="162">
        <f t="shared" si="161"/>
        <v>13.2</v>
      </c>
      <c r="P428" s="15">
        <f t="shared" si="162"/>
        <v>0.888</v>
      </c>
      <c r="Q428" s="187">
        <f t="shared" si="163"/>
        <v>11.7216</v>
      </c>
      <c r="R428" s="188">
        <f>H427-I432*2</f>
        <v>-8</v>
      </c>
      <c r="S428" s="162">
        <f>I427-I432*2</f>
        <v>-8</v>
      </c>
      <c r="T428" s="194" t="str">
        <f>ROUND(S428,1)&amp;"~"&amp;ROUND(R428,1)</f>
        <v>-8~-8</v>
      </c>
      <c r="V428" s="190">
        <f t="shared" si="164"/>
        <v>14</v>
      </c>
    </row>
    <row r="429" ht="15" spans="2:22">
      <c r="B429" s="1"/>
      <c r="D429" s="1"/>
      <c r="E429" s="134"/>
      <c r="F429" s="135"/>
      <c r="G429" s="135"/>
      <c r="H429" s="136">
        <f>VLOOKUP(I422,$B$4:$J$70,6,0)</f>
        <v>30</v>
      </c>
      <c r="I429" s="167">
        <f>VLOOKUP(I422,$B$4:$J$70,7,0)</f>
        <v>40</v>
      </c>
      <c r="J429" s="155" t="s">
        <v>294</v>
      </c>
      <c r="K429" s="158">
        <v>12</v>
      </c>
      <c r="L429" s="159"/>
      <c r="M429" s="166">
        <f>(R429+S429)/2+2*ROUNDUP((IF(K429&lt;26,10.927,11.212))*K429/10,0)</f>
        <v>28</v>
      </c>
      <c r="N429" s="15">
        <f>2*(E426+1)+F426*2</f>
        <v>78</v>
      </c>
      <c r="O429" s="162">
        <f t="shared" si="161"/>
        <v>21.84</v>
      </c>
      <c r="P429" s="15">
        <f t="shared" si="162"/>
        <v>0.888</v>
      </c>
      <c r="Q429" s="187">
        <f t="shared" si="163"/>
        <v>19.39392</v>
      </c>
      <c r="R429" s="188">
        <f>((I425-H425)^2+H427^2)^0.5</f>
        <v>0</v>
      </c>
      <c r="S429" s="162">
        <f>((I425-H425)^2+I427^2)^0.5</f>
        <v>0</v>
      </c>
      <c r="T429" s="194" t="str">
        <f>ROUND(S429,1)&amp;"~"&amp;ROUND(R429,1)</f>
        <v>0~0</v>
      </c>
      <c r="V429" s="190">
        <f t="shared" si="164"/>
        <v>14</v>
      </c>
    </row>
    <row r="430" spans="2:22">
      <c r="B430" s="1"/>
      <c r="D430" s="1"/>
      <c r="E430" s="137" t="s">
        <v>295</v>
      </c>
      <c r="F430" s="138"/>
      <c r="G430" s="139"/>
      <c r="H430" s="140" t="s">
        <v>296</v>
      </c>
      <c r="I430" s="169"/>
      <c r="J430" s="155" t="s">
        <v>297</v>
      </c>
      <c r="K430" s="164">
        <v>8</v>
      </c>
      <c r="L430" s="159"/>
      <c r="M430" s="166">
        <f>R430+11</f>
        <v>43</v>
      </c>
      <c r="N430" s="170">
        <f>ROUNDDOWN(((VLOOKUP(I422,$B$39:$Z$70,2,0))/(VLOOKUP(I422,$B$39:$Z$70,4,0))-1),0)/4*((VLOOKUP(I422,$B$39:$Z$70,20,0))+1)</f>
        <v>0</v>
      </c>
      <c r="O430" s="162">
        <f t="shared" si="161"/>
        <v>0</v>
      </c>
      <c r="P430" s="15">
        <f t="shared" si="162"/>
        <v>0.395</v>
      </c>
      <c r="Q430" s="187">
        <f t="shared" si="163"/>
        <v>0</v>
      </c>
      <c r="R430" s="195">
        <f>I429-2*I432</f>
        <v>32</v>
      </c>
      <c r="S430" s="162" t="s">
        <v>286</v>
      </c>
      <c r="T430" s="196"/>
      <c r="V430" s="197"/>
    </row>
    <row r="431" spans="2:22">
      <c r="B431" s="1"/>
      <c r="D431" s="1"/>
      <c r="E431" s="141" t="s">
        <v>298</v>
      </c>
      <c r="F431" s="142" t="s">
        <v>299</v>
      </c>
      <c r="G431" s="143" t="s">
        <v>300</v>
      </c>
      <c r="H431" s="140">
        <f>VLOOKUP(I422,$B$4:$J$70,8,0)</f>
        <v>60</v>
      </c>
      <c r="I431" s="169"/>
      <c r="J431" s="155" t="s">
        <v>301</v>
      </c>
      <c r="K431" s="164">
        <v>8</v>
      </c>
      <c r="L431" s="159"/>
      <c r="M431" s="166">
        <f>R431+11</f>
        <v>33</v>
      </c>
      <c r="N431" s="171">
        <f>ROUND(E428/4*G426,0)*2</f>
        <v>0</v>
      </c>
      <c r="O431" s="162">
        <f t="shared" si="161"/>
        <v>0</v>
      </c>
      <c r="P431" s="15">
        <f t="shared" si="162"/>
        <v>0.395</v>
      </c>
      <c r="Q431" s="187">
        <f t="shared" si="163"/>
        <v>0</v>
      </c>
      <c r="R431" s="195">
        <f>H429-2*I432</f>
        <v>22</v>
      </c>
      <c r="S431" s="162" t="s">
        <v>286</v>
      </c>
      <c r="T431" s="196"/>
      <c r="V431" s="197"/>
    </row>
    <row r="432" ht="15" spans="2:20">
      <c r="B432" s="1"/>
      <c r="D432" s="1"/>
      <c r="E432" s="144">
        <f>IF(I422=0,0,ROUND(((H425+I425)/2*H429*2+H431*I429+0.2*0.2+0.25*0.05*2)*(H427+I427)/2/1000000,1))</f>
        <v>0</v>
      </c>
      <c r="F432" s="145">
        <f>IF(I422=0,0,ROUND(Q430+Q431,1))</f>
        <v>0</v>
      </c>
      <c r="G432" s="146">
        <f>IF(I422=0,0,ROUND(Q424+Q425+Q426+Q427+Q428+Q429,1))</f>
        <v>0</v>
      </c>
      <c r="H432" s="147" t="s">
        <v>302</v>
      </c>
      <c r="I432" s="172">
        <f>$P$3</f>
        <v>4</v>
      </c>
      <c r="J432" s="173" t="s">
        <v>303</v>
      </c>
      <c r="K432" s="174" t="str">
        <f>"C40混凝土:"&amp;ROUND(((H425+I425)/2*H429*2+H431*I429+0.2*0.2+0.25*0.05*2)*(H427+I427)/2/1000000,1)&amp;"m"&amp;"      "&amp;"HPB300:"&amp;ROUND(Q430+Q431,1)&amp;"kg       "&amp;"HRB400:"&amp;ROUND(Q424+Q425+Q426+Q427+Q428+Q429,1)&amp;"kg"</f>
        <v>C40混凝土:0m      HPB300:0kg       HRB400:31.1kg</v>
      </c>
      <c r="L432" s="174"/>
      <c r="M432" s="174"/>
      <c r="N432" s="174"/>
      <c r="O432" s="174"/>
      <c r="P432" s="174"/>
      <c r="Q432" s="198"/>
      <c r="R432" s="199" t="s">
        <v>304</v>
      </c>
      <c r="S432" s="174" t="e">
        <f>ROUND(SUM(Q424:Q431)/ROUND(((H425+I425)/2*H429*2+H431*I429+0.2*0.2+0.25*0.05*2)*(H427+I427)/2/1000000,1),1)</f>
        <v>#DIV/0!</v>
      </c>
      <c r="T432" s="200"/>
    </row>
    <row r="434" spans="2:22">
      <c r="B434" s="1"/>
      <c r="D434" s="1"/>
      <c r="E434" s="10" t="s">
        <v>268</v>
      </c>
      <c r="F434" s="11"/>
      <c r="G434" s="11"/>
      <c r="H434" s="124" t="s">
        <v>269</v>
      </c>
      <c r="I434" s="151">
        <f>B434</f>
        <v>0</v>
      </c>
      <c r="J434" s="152" t="s">
        <v>270</v>
      </c>
      <c r="K434" s="11" t="s">
        <v>271</v>
      </c>
      <c r="L434" s="11" t="s">
        <v>272</v>
      </c>
      <c r="M434" s="153" t="s">
        <v>273</v>
      </c>
      <c r="N434" s="11" t="s">
        <v>274</v>
      </c>
      <c r="O434" s="153" t="s">
        <v>275</v>
      </c>
      <c r="P434" s="153" t="s">
        <v>276</v>
      </c>
      <c r="Q434" s="179" t="s">
        <v>277</v>
      </c>
      <c r="R434" s="180" t="s">
        <v>278</v>
      </c>
      <c r="S434" s="181"/>
      <c r="T434" s="182"/>
      <c r="V434" s="1" t="s">
        <v>279</v>
      </c>
    </row>
    <row r="435" spans="2:22">
      <c r="B435" s="1"/>
      <c r="D435" s="1"/>
      <c r="E435" s="13"/>
      <c r="F435" s="15"/>
      <c r="G435" s="15"/>
      <c r="H435" s="125"/>
      <c r="I435" s="154"/>
      <c r="J435" s="155"/>
      <c r="K435" s="15"/>
      <c r="L435" s="15"/>
      <c r="M435" s="156"/>
      <c r="N435" s="15"/>
      <c r="O435" s="156"/>
      <c r="P435" s="156"/>
      <c r="Q435" s="183"/>
      <c r="R435" s="184"/>
      <c r="S435" s="185"/>
      <c r="T435" s="186"/>
      <c r="U435" s="1"/>
      <c r="V435" s="1"/>
    </row>
    <row r="436" spans="2:22">
      <c r="B436" s="1"/>
      <c r="D436" s="1"/>
      <c r="E436" s="13"/>
      <c r="F436" s="15"/>
      <c r="G436" s="15"/>
      <c r="H436" s="15" t="s">
        <v>280</v>
      </c>
      <c r="I436" s="157"/>
      <c r="J436" s="155" t="s">
        <v>281</v>
      </c>
      <c r="K436" s="158">
        <f>'1.U型槽主筋验算'!K32</f>
        <v>22</v>
      </c>
      <c r="L436" s="159"/>
      <c r="M436" s="160">
        <f>(R436+S436)/2+ROUNDUP((IF(K436&lt;26,10.927,11.212))*K436/10,0)*2</f>
        <v>210</v>
      </c>
      <c r="N436" s="161">
        <f>ROUNDUP((H439/12.5),0)*IF(I437&gt;600,2,1)</f>
        <v>0</v>
      </c>
      <c r="O436" s="162">
        <f t="shared" ref="O436:O443" si="165">M436*N436/100</f>
        <v>0</v>
      </c>
      <c r="P436" s="15">
        <f t="shared" ref="P436:P443" si="166">ROUND(K436^2*PI()/4/1000000*7850,3)</f>
        <v>2.984</v>
      </c>
      <c r="Q436" s="187">
        <f t="shared" ref="Q436:Q443" si="167">O436*P436</f>
        <v>0</v>
      </c>
      <c r="R436" s="188">
        <f>(H437+I441-I444*2)*2+(H443-I444*2)+(H441-I444*2)*2</f>
        <v>160</v>
      </c>
      <c r="S436" s="162">
        <f>(I437+I441-I444*2)*2+(H443-I444*2)+(H441-I444*2)*2</f>
        <v>160</v>
      </c>
      <c r="T436" s="189">
        <f>R438</f>
        <v>52</v>
      </c>
      <c r="V436" s="190">
        <f t="shared" ref="V436:V441" si="168">ROUNDUP((IF(K436&lt;26,10.927,11.212))*K436/10,0)</f>
        <v>25</v>
      </c>
    </row>
    <row r="437" spans="2:22">
      <c r="B437" s="1"/>
      <c r="D437" s="1"/>
      <c r="E437" s="126" t="s">
        <v>244</v>
      </c>
      <c r="F437" s="127" t="s">
        <v>282</v>
      </c>
      <c r="G437" s="127" t="s">
        <v>283</v>
      </c>
      <c r="H437" s="128">
        <f>MIN(VLOOKUP(I434,$B$4:$J$70,2,0),VLOOKUP(I434,$B$4:$J$70,3,0))</f>
        <v>0</v>
      </c>
      <c r="I437" s="163">
        <f>MAX(VLOOKUP(I434,$B$4:$J$70,2,0),VLOOKUP(I434,$B$4:$J$70,3,0))</f>
        <v>0</v>
      </c>
      <c r="J437" s="155" t="s">
        <v>284</v>
      </c>
      <c r="K437" s="164">
        <v>12</v>
      </c>
      <c r="L437" s="159"/>
      <c r="M437" s="160">
        <f>(R437+S437)/2+ROUNDUP((IF(K437&lt;26,10.927,11.212))*K437/10,0)*2</f>
        <v>60</v>
      </c>
      <c r="N437" s="165">
        <f>ROUNDUP((H439/12.5*1),0)*2</f>
        <v>0</v>
      </c>
      <c r="O437" s="162">
        <f t="shared" si="165"/>
        <v>0</v>
      </c>
      <c r="P437" s="15">
        <f t="shared" si="166"/>
        <v>0.888</v>
      </c>
      <c r="Q437" s="187">
        <f t="shared" si="167"/>
        <v>0</v>
      </c>
      <c r="R437" s="192">
        <f>H437+I441-I444*2</f>
        <v>32</v>
      </c>
      <c r="S437" s="193">
        <f>I437+I441-I444*2</f>
        <v>32</v>
      </c>
      <c r="T437" s="194" t="str">
        <f>ROUND(R437,1)&amp;"~"&amp;ROUND(S437,1)</f>
        <v>32~32</v>
      </c>
      <c r="V437" s="190">
        <f t="shared" si="168"/>
        <v>14</v>
      </c>
    </row>
    <row r="438" spans="2:22">
      <c r="B438" s="1"/>
      <c r="D438" s="1"/>
      <c r="E438" s="126">
        <f>VLOOKUP(I434,$B$39:$Z$70,3,0)</f>
        <v>3</v>
      </c>
      <c r="F438" s="129">
        <f>VLOOKUP(I434,$B$39:$Z$70,17,0)</f>
        <v>35</v>
      </c>
      <c r="G438" s="127">
        <f>VLOOKUP(I434,$B$39:$Z$70,12,0)</f>
        <v>-1</v>
      </c>
      <c r="H438" s="127" t="s">
        <v>229</v>
      </c>
      <c r="I438" s="157"/>
      <c r="J438" s="155" t="s">
        <v>285</v>
      </c>
      <c r="K438" s="158">
        <v>14</v>
      </c>
      <c r="L438" s="159"/>
      <c r="M438" s="166">
        <f>R438+2*ROUNDUP((IF(K438&lt;26,10.927,11.212))*K438/10,0)</f>
        <v>84</v>
      </c>
      <c r="N438" s="161">
        <f>ROUNDUP(H439/12.5,0)</f>
        <v>0</v>
      </c>
      <c r="O438" s="162">
        <f t="shared" si="165"/>
        <v>0</v>
      </c>
      <c r="P438" s="15">
        <f t="shared" si="166"/>
        <v>1.208</v>
      </c>
      <c r="Q438" s="187">
        <f t="shared" si="167"/>
        <v>0</v>
      </c>
      <c r="R438" s="195">
        <f>H443-I444*2</f>
        <v>52</v>
      </c>
      <c r="S438" s="162" t="s">
        <v>286</v>
      </c>
      <c r="T438" s="196"/>
      <c r="V438" s="190">
        <f t="shared" si="168"/>
        <v>16</v>
      </c>
    </row>
    <row r="439" spans="2:22">
      <c r="B439" s="1"/>
      <c r="D439" s="1"/>
      <c r="E439" s="130" t="s">
        <v>287</v>
      </c>
      <c r="F439" s="127" t="s">
        <v>288</v>
      </c>
      <c r="G439" s="127" t="s">
        <v>289</v>
      </c>
      <c r="H439" s="131">
        <f>MAX(VLOOKUP(I434,$B$4:$J$70,4,0),VLOOKUP(I434,$B$4:$J$70,5,0))</f>
        <v>0</v>
      </c>
      <c r="I439" s="167">
        <f>MIN(VLOOKUP(I434,$B$4:$J$70,4,0),VLOOKUP(I434,$B$4:$J$70,5,0))</f>
        <v>0</v>
      </c>
      <c r="J439" s="155" t="s">
        <v>290</v>
      </c>
      <c r="K439" s="164">
        <v>14</v>
      </c>
      <c r="L439" s="159"/>
      <c r="M439" s="166">
        <f>R439+2*ROUNDUP((IF(K439&lt;26,10.927,11.212))*K439/10,0)</f>
        <v>139.965512114594</v>
      </c>
      <c r="N439" s="165">
        <f>ROUNDUP(H439/12.5,0)*2</f>
        <v>0</v>
      </c>
      <c r="O439" s="162">
        <f t="shared" si="165"/>
        <v>0</v>
      </c>
      <c r="P439" s="15">
        <f t="shared" si="166"/>
        <v>1.208</v>
      </c>
      <c r="Q439" s="187">
        <f t="shared" si="167"/>
        <v>0</v>
      </c>
      <c r="R439" s="195">
        <f>((H441+I441-I444*2)+(20-I444*2^0.5))*(2^0.5)</f>
        <v>107.965512114594</v>
      </c>
      <c r="S439" s="162" t="s">
        <v>286</v>
      </c>
      <c r="T439" s="196"/>
      <c r="V439" s="190">
        <f t="shared" si="168"/>
        <v>16</v>
      </c>
    </row>
    <row r="440" spans="2:22">
      <c r="B440" s="1"/>
      <c r="D440" s="1"/>
      <c r="E440" s="132">
        <f>VLOOKUP(I434,$B$39:$Z$70,20,0)</f>
        <v>-1</v>
      </c>
      <c r="F440" s="127">
        <f>VLOOKUP(I434,$B$39:$Z$70,23,0)</f>
        <v>-1</v>
      </c>
      <c r="G440" s="127">
        <f>VLOOKUP(I434,$B$39:$Z$70,7,0)</f>
        <v>34</v>
      </c>
      <c r="H440" s="133" t="s">
        <v>291</v>
      </c>
      <c r="I440" s="157" t="s">
        <v>292</v>
      </c>
      <c r="J440" s="155" t="s">
        <v>293</v>
      </c>
      <c r="K440" s="158">
        <v>12</v>
      </c>
      <c r="L440" s="159"/>
      <c r="M440" s="166">
        <f>(R440+S440)/2+2*ROUNDUP((IF(K440&lt;26,10.927,11.212))*K440/10,0)</f>
        <v>20</v>
      </c>
      <c r="N440" s="168">
        <f>4*(G438+1)+(G440-1)*2</f>
        <v>66</v>
      </c>
      <c r="O440" s="162">
        <f t="shared" si="165"/>
        <v>13.2</v>
      </c>
      <c r="P440" s="15">
        <f t="shared" si="166"/>
        <v>0.888</v>
      </c>
      <c r="Q440" s="187">
        <f t="shared" si="167"/>
        <v>11.7216</v>
      </c>
      <c r="R440" s="188">
        <f>H439-I444*2</f>
        <v>-8</v>
      </c>
      <c r="S440" s="162">
        <f>I439-I444*2</f>
        <v>-8</v>
      </c>
      <c r="T440" s="194" t="str">
        <f>ROUND(S440,1)&amp;"~"&amp;ROUND(R440,1)</f>
        <v>-8~-8</v>
      </c>
      <c r="V440" s="190">
        <f t="shared" si="168"/>
        <v>14</v>
      </c>
    </row>
    <row r="441" ht="15" spans="2:22">
      <c r="B441" s="1"/>
      <c r="D441" s="1"/>
      <c r="E441" s="134"/>
      <c r="F441" s="135"/>
      <c r="G441" s="135"/>
      <c r="H441" s="136">
        <f>VLOOKUP(I434,$B$4:$J$70,6,0)</f>
        <v>30</v>
      </c>
      <c r="I441" s="167">
        <f>VLOOKUP(I434,$B$4:$J$70,7,0)</f>
        <v>40</v>
      </c>
      <c r="J441" s="155" t="s">
        <v>294</v>
      </c>
      <c r="K441" s="158">
        <v>12</v>
      </c>
      <c r="L441" s="159"/>
      <c r="M441" s="166">
        <f>(R441+S441)/2+2*ROUNDUP((IF(K441&lt;26,10.927,11.212))*K441/10,0)</f>
        <v>28</v>
      </c>
      <c r="N441" s="15">
        <f>2*(E438+1)+F438*2</f>
        <v>78</v>
      </c>
      <c r="O441" s="162">
        <f t="shared" si="165"/>
        <v>21.84</v>
      </c>
      <c r="P441" s="15">
        <f t="shared" si="166"/>
        <v>0.888</v>
      </c>
      <c r="Q441" s="187">
        <f t="shared" si="167"/>
        <v>19.39392</v>
      </c>
      <c r="R441" s="188">
        <f>((I437-H437)^2+H439^2)^0.5</f>
        <v>0</v>
      </c>
      <c r="S441" s="162">
        <f>((I437-H437)^2+I439^2)^0.5</f>
        <v>0</v>
      </c>
      <c r="T441" s="194" t="str">
        <f>ROUND(S441,1)&amp;"~"&amp;ROUND(R441,1)</f>
        <v>0~0</v>
      </c>
      <c r="V441" s="190">
        <f t="shared" si="168"/>
        <v>14</v>
      </c>
    </row>
    <row r="442" spans="2:22">
      <c r="B442" s="1"/>
      <c r="D442" s="1"/>
      <c r="E442" s="137" t="s">
        <v>295</v>
      </c>
      <c r="F442" s="138"/>
      <c r="G442" s="139"/>
      <c r="H442" s="140" t="s">
        <v>296</v>
      </c>
      <c r="I442" s="169"/>
      <c r="J442" s="155" t="s">
        <v>297</v>
      </c>
      <c r="K442" s="164">
        <v>8</v>
      </c>
      <c r="L442" s="159"/>
      <c r="M442" s="166">
        <f>R442+11</f>
        <v>43</v>
      </c>
      <c r="N442" s="170">
        <f>ROUNDDOWN(((VLOOKUP(I434,$B$39:$Z$70,2,0))/(VLOOKUP(I434,$B$39:$Z$70,4,0))-1),0)/4*((VLOOKUP(I434,$B$39:$Z$70,20,0))+1)</f>
        <v>0</v>
      </c>
      <c r="O442" s="162">
        <f t="shared" si="165"/>
        <v>0</v>
      </c>
      <c r="P442" s="15">
        <f t="shared" si="166"/>
        <v>0.395</v>
      </c>
      <c r="Q442" s="187">
        <f t="shared" si="167"/>
        <v>0</v>
      </c>
      <c r="R442" s="195">
        <f>I441-2*I444</f>
        <v>32</v>
      </c>
      <c r="S442" s="162" t="s">
        <v>286</v>
      </c>
      <c r="T442" s="196"/>
      <c r="V442" s="197"/>
    </row>
    <row r="443" spans="2:22">
      <c r="B443" s="1"/>
      <c r="D443" s="1"/>
      <c r="E443" s="141" t="s">
        <v>298</v>
      </c>
      <c r="F443" s="142" t="s">
        <v>299</v>
      </c>
      <c r="G443" s="143" t="s">
        <v>300</v>
      </c>
      <c r="H443" s="140">
        <f>VLOOKUP(I434,$B$4:$J$70,8,0)</f>
        <v>60</v>
      </c>
      <c r="I443" s="169"/>
      <c r="J443" s="155" t="s">
        <v>301</v>
      </c>
      <c r="K443" s="164">
        <v>8</v>
      </c>
      <c r="L443" s="159"/>
      <c r="M443" s="166">
        <f>R443+11</f>
        <v>33</v>
      </c>
      <c r="N443" s="171">
        <f>ROUND(E440/4*G438,0)*2</f>
        <v>0</v>
      </c>
      <c r="O443" s="162">
        <f t="shared" si="165"/>
        <v>0</v>
      </c>
      <c r="P443" s="15">
        <f t="shared" si="166"/>
        <v>0.395</v>
      </c>
      <c r="Q443" s="187">
        <f t="shared" si="167"/>
        <v>0</v>
      </c>
      <c r="R443" s="195">
        <f>H441-2*I444</f>
        <v>22</v>
      </c>
      <c r="S443" s="162" t="s">
        <v>286</v>
      </c>
      <c r="T443" s="196"/>
      <c r="V443" s="197"/>
    </row>
    <row r="444" ht="15" spans="2:20">
      <c r="B444" s="1"/>
      <c r="D444" s="1"/>
      <c r="E444" s="144">
        <f>IF(I434=0,0,ROUND(((H437+I437)/2*H441*2+H443*I441+0.2*0.2+0.25*0.05*2)*(H439+I439)/2/1000000,1))</f>
        <v>0</v>
      </c>
      <c r="F444" s="145">
        <f>IF(I434=0,0,ROUND(Q442+Q443,1))</f>
        <v>0</v>
      </c>
      <c r="G444" s="146">
        <f>IF(I434=0,0,ROUND(Q436+Q437+Q438+Q439+Q440+Q441,1))</f>
        <v>0</v>
      </c>
      <c r="H444" s="147" t="s">
        <v>302</v>
      </c>
      <c r="I444" s="172">
        <f>$P$3</f>
        <v>4</v>
      </c>
      <c r="J444" s="173" t="s">
        <v>303</v>
      </c>
      <c r="K444" s="174" t="str">
        <f>"C40混凝土:"&amp;ROUND(((H437+I437)/2*H441*2+H443*I441+0.2*0.2+0.25*0.05*2)*(H439+I439)/2/1000000,1)&amp;"m"&amp;"      "&amp;"HPB300:"&amp;ROUND(Q442+Q443,1)&amp;"kg       "&amp;"HRB400:"&amp;ROUND(Q436+Q437+Q438+Q439+Q440+Q441,1)&amp;"kg"</f>
        <v>C40混凝土:0m      HPB300:0kg       HRB400:31.1kg</v>
      </c>
      <c r="L444" s="174"/>
      <c r="M444" s="174"/>
      <c r="N444" s="174"/>
      <c r="O444" s="174"/>
      <c r="P444" s="174"/>
      <c r="Q444" s="198"/>
      <c r="R444" s="199" t="s">
        <v>304</v>
      </c>
      <c r="S444" s="174" t="e">
        <f>ROUND(SUM(Q436:Q443)/ROUND(((H437+I437)/2*H441*2+H443*I441+0.2*0.2+0.25*0.05*2)*(H439+I439)/2/1000000,1),1)</f>
        <v>#DIV/0!</v>
      </c>
      <c r="T444" s="200"/>
    </row>
    <row r="446" spans="2:22">
      <c r="B446" s="1"/>
      <c r="D446" s="1"/>
      <c r="E446" s="10"/>
      <c r="F446" s="11"/>
      <c r="G446" s="11"/>
      <c r="H446" s="124"/>
      <c r="I446" s="151"/>
      <c r="J446" s="152"/>
      <c r="K446" s="11"/>
      <c r="L446" s="11"/>
      <c r="M446" s="153"/>
      <c r="N446" s="11"/>
      <c r="O446" s="153"/>
      <c r="P446" s="153"/>
      <c r="Q446" s="179"/>
      <c r="R446" s="180"/>
      <c r="S446" s="181"/>
      <c r="T446" s="182"/>
      <c r="V446" s="1"/>
    </row>
    <row r="447" spans="2:22">
      <c r="B447" s="1"/>
      <c r="D447" s="1"/>
      <c r="E447" s="13"/>
      <c r="F447" s="15"/>
      <c r="G447" s="15"/>
      <c r="H447" s="125"/>
      <c r="I447" s="154"/>
      <c r="J447" s="155"/>
      <c r="K447" s="15"/>
      <c r="L447" s="15"/>
      <c r="M447" s="156"/>
      <c r="N447" s="15"/>
      <c r="O447" s="156"/>
      <c r="P447" s="156"/>
      <c r="Q447" s="183"/>
      <c r="R447" s="184"/>
      <c r="S447" s="185"/>
      <c r="T447" s="186"/>
      <c r="U447" s="1"/>
      <c r="V447" s="1"/>
    </row>
    <row r="448" spans="2:22">
      <c r="B448" s="1"/>
      <c r="D448" s="1"/>
      <c r="E448" s="13"/>
      <c r="F448" s="15"/>
      <c r="G448" s="15"/>
      <c r="H448" s="15"/>
      <c r="I448" s="157"/>
      <c r="J448" s="155"/>
      <c r="K448" s="158"/>
      <c r="L448" s="159"/>
      <c r="M448" s="160"/>
      <c r="N448" s="161"/>
      <c r="O448" s="162"/>
      <c r="P448" s="15"/>
      <c r="Q448" s="187"/>
      <c r="R448" s="188"/>
      <c r="S448" s="162"/>
      <c r="T448" s="189"/>
      <c r="V448" s="190"/>
    </row>
    <row r="449" spans="2:22">
      <c r="B449" s="1"/>
      <c r="D449" s="1"/>
      <c r="E449" s="126"/>
      <c r="F449" s="127"/>
      <c r="G449" s="127"/>
      <c r="H449" s="128"/>
      <c r="I449" s="163"/>
      <c r="J449" s="155"/>
      <c r="K449" s="164"/>
      <c r="L449" s="159"/>
      <c r="M449" s="160"/>
      <c r="N449" s="165"/>
      <c r="O449" s="162"/>
      <c r="P449" s="15"/>
      <c r="Q449" s="187"/>
      <c r="R449" s="192"/>
      <c r="S449" s="193"/>
      <c r="T449" s="194"/>
      <c r="V449" s="190"/>
    </row>
    <row r="450" spans="2:22">
      <c r="B450" s="1"/>
      <c r="D450" s="1"/>
      <c r="E450" s="126"/>
      <c r="F450" s="129"/>
      <c r="G450" s="127"/>
      <c r="H450" s="127"/>
      <c r="I450" s="157"/>
      <c r="J450" s="155"/>
      <c r="K450" s="158"/>
      <c r="L450" s="159"/>
      <c r="M450" s="166"/>
      <c r="N450" s="161"/>
      <c r="O450" s="162"/>
      <c r="P450" s="15"/>
      <c r="Q450" s="187"/>
      <c r="R450" s="195"/>
      <c r="S450" s="162"/>
      <c r="T450" s="196"/>
      <c r="V450" s="190"/>
    </row>
    <row r="451" spans="2:22">
      <c r="B451" s="1"/>
      <c r="D451" s="1"/>
      <c r="E451" s="130"/>
      <c r="F451" s="127"/>
      <c r="G451" s="127"/>
      <c r="H451" s="131"/>
      <c r="I451" s="167"/>
      <c r="J451" s="155"/>
      <c r="K451" s="164"/>
      <c r="L451" s="159"/>
      <c r="M451" s="166"/>
      <c r="N451" s="165"/>
      <c r="O451" s="162"/>
      <c r="P451" s="15"/>
      <c r="Q451" s="187"/>
      <c r="R451" s="195"/>
      <c r="S451" s="162"/>
      <c r="T451" s="196"/>
      <c r="V451" s="190"/>
    </row>
    <row r="452" spans="2:22">
      <c r="B452" s="1"/>
      <c r="D452" s="1"/>
      <c r="E452" s="132"/>
      <c r="F452" s="127"/>
      <c r="G452" s="127"/>
      <c r="H452" s="133"/>
      <c r="I452" s="157"/>
      <c r="J452" s="155"/>
      <c r="K452" s="158"/>
      <c r="L452" s="159"/>
      <c r="M452" s="166"/>
      <c r="N452" s="168"/>
      <c r="O452" s="162"/>
      <c r="P452" s="15"/>
      <c r="Q452" s="187"/>
      <c r="R452" s="188"/>
      <c r="S452" s="162"/>
      <c r="T452" s="194"/>
      <c r="V452" s="190"/>
    </row>
    <row r="453" ht="15" spans="2:22">
      <c r="B453" s="1"/>
      <c r="D453" s="1"/>
      <c r="E453" s="134"/>
      <c r="F453" s="135"/>
      <c r="G453" s="135"/>
      <c r="H453" s="136"/>
      <c r="I453" s="167"/>
      <c r="J453" s="155"/>
      <c r="K453" s="158"/>
      <c r="L453" s="159"/>
      <c r="M453" s="166"/>
      <c r="N453" s="15"/>
      <c r="O453" s="162"/>
      <c r="P453" s="15"/>
      <c r="Q453" s="187"/>
      <c r="R453" s="188"/>
      <c r="S453" s="162"/>
      <c r="T453" s="194"/>
      <c r="V453" s="190"/>
    </row>
    <row r="454" spans="2:22">
      <c r="B454" s="1"/>
      <c r="D454" s="1"/>
      <c r="E454" s="137"/>
      <c r="F454" s="138"/>
      <c r="G454" s="139"/>
      <c r="H454" s="140"/>
      <c r="I454" s="169"/>
      <c r="J454" s="155"/>
      <c r="K454" s="164"/>
      <c r="L454" s="159"/>
      <c r="M454" s="166"/>
      <c r="N454" s="170"/>
      <c r="O454" s="162"/>
      <c r="P454" s="15"/>
      <c r="Q454" s="187"/>
      <c r="R454" s="195"/>
      <c r="S454" s="162"/>
      <c r="T454" s="196"/>
      <c r="V454" s="197"/>
    </row>
    <row r="455" spans="2:22">
      <c r="B455" s="1"/>
      <c r="D455" s="1"/>
      <c r="E455" s="141"/>
      <c r="F455" s="142"/>
      <c r="G455" s="143"/>
      <c r="H455" s="140"/>
      <c r="I455" s="169"/>
      <c r="J455" s="155"/>
      <c r="K455" s="164"/>
      <c r="L455" s="159"/>
      <c r="M455" s="166"/>
      <c r="N455" s="171"/>
      <c r="O455" s="162"/>
      <c r="P455" s="15"/>
      <c r="Q455" s="187"/>
      <c r="R455" s="195"/>
      <c r="S455" s="162"/>
      <c r="T455" s="196"/>
      <c r="V455" s="197"/>
    </row>
    <row r="456" ht="15" spans="2:20">
      <c r="B456" s="1"/>
      <c r="D456" s="1"/>
      <c r="E456" s="144"/>
      <c r="F456" s="145"/>
      <c r="G456" s="146"/>
      <c r="H456" s="147"/>
      <c r="I456" s="172"/>
      <c r="J456" s="173"/>
      <c r="K456" s="174"/>
      <c r="L456" s="174"/>
      <c r="M456" s="174"/>
      <c r="N456" s="174"/>
      <c r="O456" s="174"/>
      <c r="P456" s="174"/>
      <c r="Q456" s="198"/>
      <c r="R456" s="199"/>
      <c r="S456" s="174"/>
      <c r="T456" s="200"/>
    </row>
    <row r="457" s="5" customFormat="1" ht="15" spans="1:15">
      <c r="A457" s="7"/>
      <c r="C457" s="1"/>
      <c r="I457" s="4"/>
      <c r="O457" s="8"/>
    </row>
    <row r="458" s="5" customFormat="1" spans="1:15">
      <c r="A458" s="7"/>
      <c r="C458" s="1"/>
      <c r="H458" s="212" t="s">
        <v>305</v>
      </c>
      <c r="I458" s="217"/>
      <c r="J458" s="218"/>
      <c r="K458" s="219"/>
      <c r="O458" s="8"/>
    </row>
    <row r="459" s="5" customFormat="1" spans="1:15">
      <c r="A459" s="7"/>
      <c r="C459" s="1"/>
      <c r="H459" s="213" t="s">
        <v>227</v>
      </c>
      <c r="I459" s="220" t="s">
        <v>298</v>
      </c>
      <c r="J459" s="221" t="s">
        <v>299</v>
      </c>
      <c r="K459" s="222" t="s">
        <v>300</v>
      </c>
      <c r="L459" s="216" t="s">
        <v>304</v>
      </c>
      <c r="O459" s="8"/>
    </row>
    <row r="460" s="5" customFormat="1" spans="1:15">
      <c r="A460" s="7"/>
      <c r="C460" s="1"/>
      <c r="G460" s="5">
        <v>1</v>
      </c>
      <c r="H460" s="214" t="str">
        <f>B4</f>
        <v>ZU1-1</v>
      </c>
      <c r="I460" s="223">
        <f>E84</f>
        <v>128.2</v>
      </c>
      <c r="J460" s="223">
        <f>F84</f>
        <v>865.6</v>
      </c>
      <c r="K460" s="224">
        <f>G84</f>
        <v>12497</v>
      </c>
      <c r="L460" s="86">
        <f>(K460+J460)/I460</f>
        <v>104.232449297972</v>
      </c>
      <c r="M460" s="5">
        <v>84</v>
      </c>
      <c r="N460" s="5">
        <f>K460+J460</f>
        <v>13362.6</v>
      </c>
      <c r="O460" s="8">
        <f>N460/I460</f>
        <v>104.232449297972</v>
      </c>
    </row>
    <row r="461" s="5" customFormat="1" spans="1:15">
      <c r="A461" s="7"/>
      <c r="C461" s="1"/>
      <c r="G461" s="5">
        <v>2</v>
      </c>
      <c r="H461" s="214" t="str">
        <f t="shared" ref="H461:H491" si="169">B5</f>
        <v>ZU2-1</v>
      </c>
      <c r="I461" s="223">
        <f>E96</f>
        <v>133.8</v>
      </c>
      <c r="J461" s="223">
        <f>F96</f>
        <v>907</v>
      </c>
      <c r="K461" s="224">
        <f>G96</f>
        <v>14243.3</v>
      </c>
      <c r="L461" s="86">
        <f>S96</f>
        <v>113.2</v>
      </c>
      <c r="M461" s="5">
        <f>M460+12</f>
        <v>96</v>
      </c>
      <c r="O461" s="8"/>
    </row>
    <row r="462" s="5" customFormat="1" spans="1:15">
      <c r="A462" s="7"/>
      <c r="C462" s="1"/>
      <c r="G462" s="5">
        <v>3</v>
      </c>
      <c r="H462" s="214" t="str">
        <f t="shared" si="169"/>
        <v>ZU3-1</v>
      </c>
      <c r="I462" s="223">
        <f>E108</f>
        <v>181.1</v>
      </c>
      <c r="J462" s="223">
        <f>F108</f>
        <v>1216.9</v>
      </c>
      <c r="K462" s="224">
        <f>G108</f>
        <v>16937.2</v>
      </c>
      <c r="L462" s="86">
        <f>S108</f>
        <v>100.2</v>
      </c>
      <c r="M462" s="5">
        <f t="shared" ref="M462:M491" si="170">M461+12</f>
        <v>108</v>
      </c>
      <c r="O462" s="8"/>
    </row>
    <row r="463" s="5" customFormat="1" spans="1:15">
      <c r="A463" s="7"/>
      <c r="C463" s="1"/>
      <c r="G463" s="5">
        <v>4</v>
      </c>
      <c r="H463" s="214" t="str">
        <f t="shared" si="169"/>
        <v>ZU4-1</v>
      </c>
      <c r="I463" s="225">
        <f>E120</f>
        <v>190.7</v>
      </c>
      <c r="J463" s="225">
        <f>F120</f>
        <v>1284.5</v>
      </c>
      <c r="K463" s="226">
        <f>G120</f>
        <v>21449</v>
      </c>
      <c r="L463" s="86">
        <f>S120</f>
        <v>119.2</v>
      </c>
      <c r="M463" s="5">
        <f t="shared" si="170"/>
        <v>120</v>
      </c>
      <c r="O463" s="8"/>
    </row>
    <row r="464" s="5" customFormat="1" spans="1:15">
      <c r="A464" s="7"/>
      <c r="C464" s="1"/>
      <c r="G464" s="5">
        <v>5</v>
      </c>
      <c r="H464" s="214" t="str">
        <f t="shared" si="169"/>
        <v>ZU5-1</v>
      </c>
      <c r="I464" s="223">
        <f>E132</f>
        <v>246</v>
      </c>
      <c r="J464" s="223">
        <f>F132</f>
        <v>1647.5</v>
      </c>
      <c r="K464" s="224">
        <f>G132</f>
        <v>26482.1</v>
      </c>
      <c r="L464" s="86">
        <f>S132</f>
        <v>114.3</v>
      </c>
      <c r="M464" s="5">
        <f t="shared" si="170"/>
        <v>132</v>
      </c>
      <c r="O464" s="8"/>
    </row>
    <row r="465" s="5" customFormat="1" spans="1:15">
      <c r="A465" s="7"/>
      <c r="C465" s="1"/>
      <c r="G465" s="5">
        <v>6</v>
      </c>
      <c r="H465" s="214" t="str">
        <f t="shared" si="169"/>
        <v>ZU6-1</v>
      </c>
      <c r="I465" s="223">
        <f>E144</f>
        <v>309.1</v>
      </c>
      <c r="J465" s="223">
        <f>F144</f>
        <v>2056.9</v>
      </c>
      <c r="K465" s="224">
        <v>30497.9</v>
      </c>
      <c r="L465" s="86">
        <f>S144</f>
        <v>80.3</v>
      </c>
      <c r="M465" s="5">
        <f t="shared" si="170"/>
        <v>144</v>
      </c>
      <c r="O465" s="8"/>
    </row>
    <row r="466" s="5" customFormat="1" spans="1:15">
      <c r="A466" s="7"/>
      <c r="C466" s="1"/>
      <c r="G466" s="5">
        <v>7</v>
      </c>
      <c r="H466" s="214" t="str">
        <f t="shared" si="169"/>
        <v>ZU7-1</v>
      </c>
      <c r="I466" s="223">
        <f>E156</f>
        <v>275.3</v>
      </c>
      <c r="J466" s="223">
        <f>F156</f>
        <v>1847.2</v>
      </c>
      <c r="K466" s="224">
        <v>43748.8</v>
      </c>
      <c r="L466" s="86">
        <f>S156</f>
        <v>114.4</v>
      </c>
      <c r="M466" s="5">
        <f t="shared" si="170"/>
        <v>156</v>
      </c>
      <c r="O466" s="8"/>
    </row>
    <row r="467" s="5" customFormat="1" spans="1:15">
      <c r="A467" s="7"/>
      <c r="C467" s="1"/>
      <c r="G467" s="5">
        <v>8</v>
      </c>
      <c r="H467" s="214" t="str">
        <f t="shared" si="169"/>
        <v>ZU8-1</v>
      </c>
      <c r="I467" s="223">
        <f>E168</f>
        <v>400.4</v>
      </c>
      <c r="J467" s="223">
        <f>F168</f>
        <v>2634.6</v>
      </c>
      <c r="K467" s="224">
        <v>51012.3</v>
      </c>
      <c r="L467" s="86">
        <f>S168</f>
        <v>77.1</v>
      </c>
      <c r="M467" s="5">
        <f t="shared" si="170"/>
        <v>168</v>
      </c>
      <c r="O467" s="8"/>
    </row>
    <row r="468" s="5" customFormat="1" spans="1:15">
      <c r="A468" s="7"/>
      <c r="C468" s="1"/>
      <c r="G468" s="5">
        <v>9</v>
      </c>
      <c r="H468" s="214" t="str">
        <f t="shared" si="169"/>
        <v>ZU9-1</v>
      </c>
      <c r="I468" s="223">
        <f>E180</f>
        <v>417.2</v>
      </c>
      <c r="J468" s="223">
        <f>F180</f>
        <v>2749.3</v>
      </c>
      <c r="K468" s="224">
        <v>65371.7</v>
      </c>
      <c r="L468" s="86">
        <f>S180</f>
        <v>87.3</v>
      </c>
      <c r="M468" s="5">
        <f t="shared" si="170"/>
        <v>180</v>
      </c>
      <c r="O468" s="8"/>
    </row>
    <row r="469" s="5" customFormat="1" spans="1:15">
      <c r="A469" s="7"/>
      <c r="C469" s="1"/>
      <c r="G469" s="5">
        <v>10</v>
      </c>
      <c r="H469" s="214" t="str">
        <f t="shared" si="169"/>
        <v>ZU10-1</v>
      </c>
      <c r="I469" s="223">
        <f>E192</f>
        <v>425.6</v>
      </c>
      <c r="J469" s="223">
        <f>F192</f>
        <v>2749.3</v>
      </c>
      <c r="K469" s="224">
        <v>68192.4</v>
      </c>
      <c r="L469" s="86">
        <f>S192</f>
        <v>86.6</v>
      </c>
      <c r="M469" s="5">
        <f t="shared" si="170"/>
        <v>192</v>
      </c>
      <c r="O469" s="8"/>
    </row>
    <row r="470" s="5" customFormat="1" spans="1:15">
      <c r="A470" s="7"/>
      <c r="C470" s="1"/>
      <c r="G470" s="5">
        <v>11</v>
      </c>
      <c r="H470" s="214" t="str">
        <f t="shared" si="169"/>
        <v>ZU11-1</v>
      </c>
      <c r="I470" s="223">
        <f>E204</f>
        <v>486.9</v>
      </c>
      <c r="J470" s="223">
        <f>F204</f>
        <v>3168.7</v>
      </c>
      <c r="K470" s="224">
        <v>67988.8</v>
      </c>
      <c r="L470" s="86">
        <f>S204</f>
        <v>78.2</v>
      </c>
      <c r="M470" s="5">
        <f t="shared" si="170"/>
        <v>204</v>
      </c>
      <c r="O470" s="8"/>
    </row>
    <row r="471" s="5" customFormat="1" spans="1:15">
      <c r="A471" s="7"/>
      <c r="C471" s="1"/>
      <c r="G471" s="5">
        <v>12</v>
      </c>
      <c r="H471" s="214" t="str">
        <f t="shared" si="169"/>
        <v>ZU12-1</v>
      </c>
      <c r="I471" s="223">
        <f>E216</f>
        <v>351.5</v>
      </c>
      <c r="J471" s="223">
        <f>F216</f>
        <v>2314.2</v>
      </c>
      <c r="K471" s="224">
        <v>52408.6</v>
      </c>
      <c r="L471" s="86">
        <f>(K471+J471)/I471</f>
        <v>155.683641536273</v>
      </c>
      <c r="M471" s="5">
        <f t="shared" si="170"/>
        <v>216</v>
      </c>
      <c r="O471" s="8"/>
    </row>
    <row r="472" s="5" customFormat="1" spans="1:15">
      <c r="A472" s="7"/>
      <c r="C472" s="1"/>
      <c r="G472" s="207">
        <v>13</v>
      </c>
      <c r="H472" s="214" t="str">
        <f t="shared" si="169"/>
        <v>ZU13-1</v>
      </c>
      <c r="I472" s="223">
        <f>E228</f>
        <v>336.4</v>
      </c>
      <c r="J472" s="223">
        <f>F228</f>
        <v>2215.2</v>
      </c>
      <c r="K472" s="224">
        <v>42542.7</v>
      </c>
      <c r="L472" s="227">
        <f>(K472+J472)/I472</f>
        <v>133.049643281807</v>
      </c>
      <c r="M472" s="5">
        <f t="shared" si="170"/>
        <v>228</v>
      </c>
      <c r="O472" s="8"/>
    </row>
    <row r="473" s="5" customFormat="1" spans="1:15">
      <c r="A473" s="7"/>
      <c r="C473" s="1"/>
      <c r="G473" s="5">
        <v>14</v>
      </c>
      <c r="H473" s="214" t="str">
        <f t="shared" si="169"/>
        <v>ZU14-1</v>
      </c>
      <c r="I473" s="223">
        <f>E240</f>
        <v>322.2</v>
      </c>
      <c r="J473" s="223">
        <f>F240</f>
        <v>2116.1</v>
      </c>
      <c r="K473" s="224">
        <v>35982.3</v>
      </c>
      <c r="L473" s="86">
        <f t="shared" ref="L472:L490" si="171">(K473+J473)/I473</f>
        <v>118.244568590937</v>
      </c>
      <c r="M473" s="5">
        <f t="shared" si="170"/>
        <v>240</v>
      </c>
      <c r="O473" s="8"/>
    </row>
    <row r="474" s="5" customFormat="1" spans="1:15">
      <c r="A474" s="7"/>
      <c r="C474" s="1"/>
      <c r="G474" s="5">
        <v>15</v>
      </c>
      <c r="H474" s="214" t="str">
        <f t="shared" si="169"/>
        <v>ZU15-1</v>
      </c>
      <c r="I474" s="223">
        <f>E252</f>
        <v>308.8</v>
      </c>
      <c r="J474" s="223">
        <f>F252</f>
        <v>2037</v>
      </c>
      <c r="K474" s="224">
        <v>30400.8</v>
      </c>
      <c r="L474" s="86">
        <f t="shared" si="171"/>
        <v>105.044689119171</v>
      </c>
      <c r="M474" s="5">
        <f t="shared" si="170"/>
        <v>252</v>
      </c>
      <c r="O474" s="8"/>
    </row>
    <row r="475" s="5" customFormat="1" spans="1:15">
      <c r="A475" s="7"/>
      <c r="C475" s="1"/>
      <c r="G475" s="5">
        <v>16</v>
      </c>
      <c r="H475" s="214" t="str">
        <f t="shared" si="169"/>
        <v>ZU16-1</v>
      </c>
      <c r="I475" s="223">
        <f>E264</f>
        <v>248.3</v>
      </c>
      <c r="J475" s="223">
        <f>F264</f>
        <v>1647.5</v>
      </c>
      <c r="K475" s="224">
        <v>25002.8</v>
      </c>
      <c r="L475" s="86">
        <f t="shared" si="171"/>
        <v>107.331051147805</v>
      </c>
      <c r="M475" s="5">
        <f t="shared" si="170"/>
        <v>264</v>
      </c>
      <c r="O475" s="8"/>
    </row>
    <row r="476" s="5" customFormat="1" spans="1:15">
      <c r="A476" s="7"/>
      <c r="C476" s="1"/>
      <c r="G476" s="5">
        <v>17</v>
      </c>
      <c r="H476" s="214" t="str">
        <f t="shared" si="169"/>
        <v>ZU17-1</v>
      </c>
      <c r="I476" s="223">
        <f>E276</f>
        <v>237.2</v>
      </c>
      <c r="J476" s="223">
        <f>F276</f>
        <v>1580.9</v>
      </c>
      <c r="K476" s="224">
        <f>G276</f>
        <v>22282.1</v>
      </c>
      <c r="L476" s="86">
        <f t="shared" si="171"/>
        <v>100.602866779089</v>
      </c>
      <c r="M476" s="5">
        <f t="shared" si="170"/>
        <v>276</v>
      </c>
      <c r="O476" s="8"/>
    </row>
    <row r="477" s="5" customFormat="1" spans="1:15">
      <c r="A477" s="7"/>
      <c r="C477" s="1"/>
      <c r="G477" s="5">
        <v>18</v>
      </c>
      <c r="H477" s="214" t="str">
        <f t="shared" si="169"/>
        <v>ZU18-1</v>
      </c>
      <c r="I477" s="223">
        <f>E288</f>
        <v>184.8</v>
      </c>
      <c r="J477" s="223">
        <f>F288</f>
        <v>1230.5</v>
      </c>
      <c r="K477" s="224">
        <f>G288</f>
        <v>18883.5</v>
      </c>
      <c r="L477" s="86">
        <f t="shared" si="171"/>
        <v>108.841991341991</v>
      </c>
      <c r="M477" s="5">
        <f t="shared" si="170"/>
        <v>288</v>
      </c>
      <c r="O477" s="8"/>
    </row>
    <row r="478" s="5" customFormat="1" spans="1:15">
      <c r="A478" s="7"/>
      <c r="C478" s="1"/>
      <c r="G478" s="5">
        <v>19</v>
      </c>
      <c r="H478" s="214" t="str">
        <f t="shared" si="169"/>
        <v>ZU19-1</v>
      </c>
      <c r="I478" s="223">
        <f>E300</f>
        <v>109.9</v>
      </c>
      <c r="J478" s="223">
        <f>F300</f>
        <v>739</v>
      </c>
      <c r="K478" s="224">
        <f>G300</f>
        <v>12762.9</v>
      </c>
      <c r="L478" s="86">
        <f t="shared" si="171"/>
        <v>122.856232939035</v>
      </c>
      <c r="M478" s="5">
        <f t="shared" si="170"/>
        <v>300</v>
      </c>
      <c r="O478" s="8"/>
    </row>
    <row r="479" s="5" customFormat="1" spans="1:15">
      <c r="A479" s="7"/>
      <c r="C479" s="1"/>
      <c r="G479" s="5">
        <v>20</v>
      </c>
      <c r="H479" s="214" t="str">
        <f t="shared" si="169"/>
        <v>东U10</v>
      </c>
      <c r="I479" s="228">
        <f>E312</f>
        <v>0</v>
      </c>
      <c r="J479" s="229">
        <f>F312</f>
        <v>0</v>
      </c>
      <c r="K479" s="230">
        <f>G312</f>
        <v>0</v>
      </c>
      <c r="L479" s="86" t="e">
        <f t="shared" si="171"/>
        <v>#DIV/0!</v>
      </c>
      <c r="M479" s="5">
        <f t="shared" si="170"/>
        <v>312</v>
      </c>
      <c r="O479" s="8"/>
    </row>
    <row r="480" s="5" customFormat="1" spans="1:15">
      <c r="A480" s="7"/>
      <c r="C480" s="1"/>
      <c r="G480" s="5">
        <v>21</v>
      </c>
      <c r="H480" s="214" t="str">
        <f t="shared" si="169"/>
        <v>西U10-1</v>
      </c>
      <c r="I480" s="228">
        <f>E324</f>
        <v>0</v>
      </c>
      <c r="J480" s="229">
        <f>F324</f>
        <v>0</v>
      </c>
      <c r="K480" s="230">
        <f>G324</f>
        <v>0</v>
      </c>
      <c r="L480" s="86" t="e">
        <f t="shared" si="171"/>
        <v>#DIV/0!</v>
      </c>
      <c r="M480" s="5">
        <f t="shared" si="170"/>
        <v>324</v>
      </c>
      <c r="O480" s="8"/>
    </row>
    <row r="481" s="5" customFormat="1" spans="1:15">
      <c r="A481" s="7"/>
      <c r="C481" s="1"/>
      <c r="G481" s="5">
        <v>22</v>
      </c>
      <c r="H481" s="214" t="str">
        <f t="shared" si="169"/>
        <v>西U9-1</v>
      </c>
      <c r="I481" s="228">
        <f>E336</f>
        <v>0</v>
      </c>
      <c r="J481" s="229">
        <f>F336</f>
        <v>0</v>
      </c>
      <c r="K481" s="230">
        <f>G336</f>
        <v>0</v>
      </c>
      <c r="L481" s="86" t="e">
        <f t="shared" si="171"/>
        <v>#DIV/0!</v>
      </c>
      <c r="M481" s="5">
        <f t="shared" si="170"/>
        <v>336</v>
      </c>
      <c r="O481" s="8"/>
    </row>
    <row r="482" s="5" customFormat="1" spans="1:15">
      <c r="A482" s="7"/>
      <c r="C482" s="1"/>
      <c r="G482" s="5">
        <v>23</v>
      </c>
      <c r="H482" s="214" t="str">
        <f t="shared" si="169"/>
        <v>西U6-1</v>
      </c>
      <c r="I482" s="228">
        <f>E348</f>
        <v>0</v>
      </c>
      <c r="J482" s="229">
        <f>F348</f>
        <v>0</v>
      </c>
      <c r="K482" s="230">
        <f>G348</f>
        <v>0</v>
      </c>
      <c r="L482" s="86" t="e">
        <f t="shared" si="171"/>
        <v>#DIV/0!</v>
      </c>
      <c r="M482" s="5">
        <f t="shared" si="170"/>
        <v>348</v>
      </c>
      <c r="O482" s="8"/>
    </row>
    <row r="483" s="5" customFormat="1" spans="1:15">
      <c r="A483" s="7"/>
      <c r="C483" s="1"/>
      <c r="G483" s="5">
        <v>24</v>
      </c>
      <c r="H483" s="214" t="str">
        <f t="shared" si="169"/>
        <v>西U5-1</v>
      </c>
      <c r="I483" s="228">
        <f>E360</f>
        <v>0</v>
      </c>
      <c r="J483" s="229">
        <f>F360</f>
        <v>0</v>
      </c>
      <c r="K483" s="230">
        <f>G360</f>
        <v>0</v>
      </c>
      <c r="L483" s="86" t="e">
        <f t="shared" si="171"/>
        <v>#DIV/0!</v>
      </c>
      <c r="M483" s="5">
        <f t="shared" si="170"/>
        <v>360</v>
      </c>
      <c r="O483" s="8"/>
    </row>
    <row r="484" s="5" customFormat="1" spans="1:15">
      <c r="A484" s="7"/>
      <c r="C484" s="1"/>
      <c r="G484" s="5">
        <v>25</v>
      </c>
      <c r="H484" s="214" t="str">
        <f t="shared" si="169"/>
        <v>西U4-1</v>
      </c>
      <c r="I484" s="228">
        <f>E372</f>
        <v>0</v>
      </c>
      <c r="J484" s="229">
        <f>F372</f>
        <v>0</v>
      </c>
      <c r="K484" s="230">
        <f>G372</f>
        <v>0</v>
      </c>
      <c r="L484" s="86" t="e">
        <f t="shared" si="171"/>
        <v>#DIV/0!</v>
      </c>
      <c r="M484" s="5">
        <f t="shared" si="170"/>
        <v>372</v>
      </c>
      <c r="O484" s="8"/>
    </row>
    <row r="485" s="5" customFormat="1" spans="1:15">
      <c r="A485" s="7"/>
      <c r="C485" s="1"/>
      <c r="G485" s="5">
        <v>26</v>
      </c>
      <c r="H485" s="214" t="str">
        <f t="shared" si="169"/>
        <v>西U3-1</v>
      </c>
      <c r="I485" s="228">
        <f>E384</f>
        <v>0</v>
      </c>
      <c r="J485" s="229">
        <f>F384</f>
        <v>0</v>
      </c>
      <c r="K485" s="230">
        <f>G384</f>
        <v>0</v>
      </c>
      <c r="L485" s="86" t="e">
        <f t="shared" si="171"/>
        <v>#DIV/0!</v>
      </c>
      <c r="M485" s="5">
        <f t="shared" si="170"/>
        <v>384</v>
      </c>
      <c r="O485" s="8"/>
    </row>
    <row r="486" s="5" customFormat="1" spans="1:15">
      <c r="A486" s="7"/>
      <c r="C486" s="1"/>
      <c r="G486" s="5">
        <v>27</v>
      </c>
      <c r="H486" s="214" t="str">
        <f t="shared" si="169"/>
        <v>西U2-1</v>
      </c>
      <c r="I486" s="228">
        <f>E396</f>
        <v>0</v>
      </c>
      <c r="J486" s="229">
        <f>F396</f>
        <v>0</v>
      </c>
      <c r="K486" s="230">
        <f>G396</f>
        <v>0</v>
      </c>
      <c r="L486" s="231" t="e">
        <f t="shared" si="171"/>
        <v>#DIV/0!</v>
      </c>
      <c r="M486" s="5">
        <f t="shared" si="170"/>
        <v>396</v>
      </c>
      <c r="O486" s="8"/>
    </row>
    <row r="487" s="5" customFormat="1" spans="1:15">
      <c r="A487" s="7"/>
      <c r="C487" s="1"/>
      <c r="G487" s="5">
        <v>28</v>
      </c>
      <c r="H487" s="214" t="str">
        <f t="shared" si="169"/>
        <v>西U6-2</v>
      </c>
      <c r="I487" s="228">
        <f>E408</f>
        <v>0</v>
      </c>
      <c r="J487" s="229">
        <f>F408</f>
        <v>0</v>
      </c>
      <c r="K487" s="230">
        <f>G408</f>
        <v>0</v>
      </c>
      <c r="L487" s="86" t="e">
        <f t="shared" si="171"/>
        <v>#DIV/0!</v>
      </c>
      <c r="M487" s="5">
        <f t="shared" si="170"/>
        <v>408</v>
      </c>
      <c r="O487" s="8"/>
    </row>
    <row r="488" s="5" customFormat="1" spans="1:15">
      <c r="A488" s="7"/>
      <c r="C488" s="1"/>
      <c r="G488" s="5">
        <v>29</v>
      </c>
      <c r="H488" s="214" t="str">
        <f t="shared" si="169"/>
        <v>西U5-2</v>
      </c>
      <c r="I488" s="228">
        <f>E420</f>
        <v>0</v>
      </c>
      <c r="J488" s="229">
        <f>F420</f>
        <v>0</v>
      </c>
      <c r="K488" s="230">
        <f>G420</f>
        <v>0</v>
      </c>
      <c r="L488" s="86" t="e">
        <f t="shared" si="171"/>
        <v>#DIV/0!</v>
      </c>
      <c r="M488" s="5">
        <f t="shared" si="170"/>
        <v>420</v>
      </c>
      <c r="O488" s="8"/>
    </row>
    <row r="489" s="5" customFormat="1" spans="1:15">
      <c r="A489" s="7"/>
      <c r="C489" s="1"/>
      <c r="G489" s="5">
        <v>30</v>
      </c>
      <c r="H489" s="214" t="str">
        <f t="shared" si="169"/>
        <v>西U4-2</v>
      </c>
      <c r="I489" s="228">
        <f>E432</f>
        <v>0</v>
      </c>
      <c r="J489" s="229">
        <f>F432</f>
        <v>0</v>
      </c>
      <c r="K489" s="230">
        <f>G432</f>
        <v>0</v>
      </c>
      <c r="L489" s="86" t="e">
        <f t="shared" si="171"/>
        <v>#DIV/0!</v>
      </c>
      <c r="M489" s="5">
        <f t="shared" si="170"/>
        <v>432</v>
      </c>
      <c r="O489" s="8"/>
    </row>
    <row r="490" s="5" customFormat="1" spans="1:15">
      <c r="A490" s="7"/>
      <c r="C490" s="1"/>
      <c r="H490" s="214" t="str">
        <f t="shared" si="169"/>
        <v>西U3-2</v>
      </c>
      <c r="I490" s="228">
        <f>E444</f>
        <v>0</v>
      </c>
      <c r="J490" s="229">
        <f>F444</f>
        <v>0</v>
      </c>
      <c r="K490" s="230">
        <f>G444</f>
        <v>0</v>
      </c>
      <c r="L490" s="86" t="e">
        <f t="shared" si="171"/>
        <v>#DIV/0!</v>
      </c>
      <c r="M490" s="5">
        <f t="shared" si="170"/>
        <v>444</v>
      </c>
      <c r="O490" s="8"/>
    </row>
    <row r="491" s="5" customFormat="1" spans="1:15">
      <c r="A491" s="7"/>
      <c r="C491" s="1"/>
      <c r="G491" s="7"/>
      <c r="H491" s="214">
        <f t="shared" si="169"/>
        <v>0</v>
      </c>
      <c r="I491" s="228"/>
      <c r="J491" s="229"/>
      <c r="K491" s="230"/>
      <c r="L491" s="86"/>
      <c r="M491" s="5">
        <f t="shared" si="170"/>
        <v>456</v>
      </c>
      <c r="O491" s="8"/>
    </row>
    <row r="492" s="5" customFormat="1" ht="15" spans="1:15">
      <c r="A492" s="7"/>
      <c r="C492" s="1"/>
      <c r="G492" s="7"/>
      <c r="H492" s="215" t="s">
        <v>303</v>
      </c>
      <c r="I492" s="232">
        <f>SUM(I460:I478)</f>
        <v>5293.4</v>
      </c>
      <c r="J492" s="232">
        <f>SUM(J460:J478)</f>
        <v>35007.9</v>
      </c>
      <c r="K492" s="232">
        <f>SUM(K460:K478)</f>
        <v>658686.2</v>
      </c>
      <c r="L492" s="86"/>
      <c r="O492" s="8"/>
    </row>
    <row r="493" s="5" customFormat="1" spans="1:15">
      <c r="A493" s="7"/>
      <c r="C493" s="1"/>
      <c r="I493" s="4"/>
      <c r="O493" s="8"/>
    </row>
    <row r="494" s="5" customFormat="1" spans="1:15">
      <c r="A494" s="7"/>
      <c r="C494" s="1"/>
      <c r="G494" s="7"/>
      <c r="I494" s="4"/>
      <c r="J494" s="86"/>
      <c r="K494" s="86"/>
      <c r="O494" s="8"/>
    </row>
    <row r="495" s="5" customFormat="1" spans="1:15">
      <c r="A495" s="7"/>
      <c r="C495" s="1"/>
      <c r="G495" s="7"/>
      <c r="I495" s="4"/>
      <c r="K495" s="86"/>
      <c r="O495" s="8"/>
    </row>
    <row r="496" s="5" customFormat="1" spans="1:15">
      <c r="A496" s="7"/>
      <c r="C496" s="1"/>
      <c r="G496" s="216"/>
      <c r="I496" s="4"/>
      <c r="O496" s="8"/>
    </row>
    <row r="497" s="5" customFormat="1" spans="1:15">
      <c r="A497" s="7"/>
      <c r="C497" s="1"/>
      <c r="G497" s="216"/>
      <c r="I497" s="4"/>
      <c r="O497" s="8"/>
    </row>
    <row r="498" s="5" customFormat="1" spans="1:15">
      <c r="A498" s="7"/>
      <c r="C498" s="1"/>
      <c r="I498" s="4"/>
      <c r="O498" s="8"/>
    </row>
    <row r="508" s="5" customFormat="1" spans="1:15">
      <c r="A508" s="7"/>
      <c r="C508" s="1"/>
      <c r="F508" s="1"/>
      <c r="I508" s="4"/>
      <c r="K508" s="8"/>
      <c r="O508" s="8"/>
    </row>
    <row r="509" s="5" customFormat="1" spans="1:15">
      <c r="A509" s="7"/>
      <c r="C509" s="1"/>
      <c r="F509" s="1"/>
      <c r="I509" s="4"/>
      <c r="K509" s="8"/>
      <c r="O509" s="8"/>
    </row>
    <row r="510" s="5" customFormat="1" spans="1:15">
      <c r="A510" s="7"/>
      <c r="C510" s="1"/>
      <c r="F510" s="1"/>
      <c r="I510" s="4"/>
      <c r="K510" s="8"/>
      <c r="O510" s="8"/>
    </row>
    <row r="511" s="5" customFormat="1" spans="1:15">
      <c r="A511" s="7"/>
      <c r="C511" s="1"/>
      <c r="F511" s="1"/>
      <c r="I511" s="4"/>
      <c r="K511" s="8"/>
      <c r="O511" s="8"/>
    </row>
    <row r="512" s="5" customFormat="1" spans="1:15">
      <c r="A512" s="7"/>
      <c r="C512" s="1"/>
      <c r="F512" s="1"/>
      <c r="I512" s="4"/>
      <c r="K512" s="8"/>
      <c r="O512" s="8"/>
    </row>
    <row r="513" s="5" customFormat="1" spans="1:15">
      <c r="A513" s="7"/>
      <c r="C513" s="1"/>
      <c r="F513" s="1"/>
      <c r="I513" s="4"/>
      <c r="K513" s="8"/>
      <c r="O513" s="8"/>
    </row>
    <row r="514" s="5" customFormat="1" spans="1:15">
      <c r="A514" s="7"/>
      <c r="C514" s="1"/>
      <c r="F514" s="1"/>
      <c r="I514" s="4"/>
      <c r="K514" s="8"/>
      <c r="O514" s="8"/>
    </row>
    <row r="515" s="5" customFormat="1" spans="1:15">
      <c r="A515" s="7"/>
      <c r="C515" s="1"/>
      <c r="F515" s="1"/>
      <c r="I515" s="4"/>
      <c r="K515" s="8"/>
      <c r="O515" s="8"/>
    </row>
    <row r="516" s="5" customFormat="1" spans="1:15">
      <c r="A516" s="7"/>
      <c r="C516" s="1"/>
      <c r="F516" s="1"/>
      <c r="I516" s="4"/>
      <c r="K516" s="8"/>
      <c r="O516" s="8"/>
    </row>
    <row r="517" s="5" customFormat="1" spans="1:15">
      <c r="A517" s="7"/>
      <c r="C517" s="1"/>
      <c r="F517" s="1"/>
      <c r="I517" s="4"/>
      <c r="K517" s="8"/>
      <c r="O517" s="8"/>
    </row>
    <row r="518" s="5" customFormat="1" spans="1:15">
      <c r="A518" s="7"/>
      <c r="C518" s="1"/>
      <c r="F518" s="1"/>
      <c r="I518" s="4"/>
      <c r="K518" s="8"/>
      <c r="O518" s="8"/>
    </row>
    <row r="519" s="5" customFormat="1" spans="1:15">
      <c r="A519" s="7"/>
      <c r="C519" s="1"/>
      <c r="F519" s="1"/>
      <c r="I519" s="4"/>
      <c r="K519" s="8"/>
      <c r="O519" s="8"/>
    </row>
    <row r="520" s="5" customFormat="1" spans="1:15">
      <c r="A520" s="7"/>
      <c r="C520" s="1"/>
      <c r="F520" s="1"/>
      <c r="I520" s="4"/>
      <c r="K520" s="8"/>
      <c r="O520" s="8"/>
    </row>
    <row r="521" s="5" customFormat="1" spans="1:15">
      <c r="A521" s="7"/>
      <c r="C521" s="1"/>
      <c r="F521" s="1"/>
      <c r="I521" s="4"/>
      <c r="K521" s="8"/>
      <c r="O521" s="8"/>
    </row>
    <row r="522" s="5" customFormat="1" spans="1:15">
      <c r="A522" s="7"/>
      <c r="C522" s="1"/>
      <c r="F522" s="1"/>
      <c r="I522" s="4"/>
      <c r="K522" s="8"/>
      <c r="O522" s="8"/>
    </row>
    <row r="523" s="5" customFormat="1" spans="1:15">
      <c r="A523" s="7"/>
      <c r="C523" s="1"/>
      <c r="F523" s="1"/>
      <c r="I523" s="4"/>
      <c r="K523" s="8"/>
      <c r="O523" s="8"/>
    </row>
    <row r="524" s="5" customFormat="1" spans="1:15">
      <c r="A524" s="7"/>
      <c r="C524" s="1"/>
      <c r="F524" s="1"/>
      <c r="I524" s="4"/>
      <c r="K524" s="8"/>
      <c r="O524" s="8"/>
    </row>
    <row r="525" s="5" customFormat="1" spans="1:15">
      <c r="A525" s="7"/>
      <c r="C525" s="1"/>
      <c r="F525" s="7"/>
      <c r="I525" s="4"/>
      <c r="K525" s="8"/>
      <c r="O525" s="8"/>
    </row>
    <row r="526" s="5" customFormat="1" spans="1:15">
      <c r="A526" s="7"/>
      <c r="C526" s="1"/>
      <c r="F526" s="7"/>
      <c r="I526" s="4"/>
      <c r="K526" s="8"/>
      <c r="O526" s="8"/>
    </row>
    <row r="527" s="5" customFormat="1" spans="1:15">
      <c r="A527" s="7"/>
      <c r="C527" s="1"/>
      <c r="F527" s="1"/>
      <c r="I527" s="4"/>
      <c r="K527" s="8"/>
      <c r="O527" s="8"/>
    </row>
    <row r="528" s="5" customFormat="1" spans="1:15">
      <c r="A528" s="7"/>
      <c r="C528" s="1"/>
      <c r="F528" s="7"/>
      <c r="I528" s="4"/>
      <c r="K528" s="8"/>
      <c r="O528" s="8"/>
    </row>
    <row r="529" s="5" customFormat="1" spans="1:15">
      <c r="A529" s="7"/>
      <c r="C529" s="1"/>
      <c r="F529" s="7"/>
      <c r="I529" s="4"/>
      <c r="K529" s="8"/>
      <c r="O529" s="8"/>
    </row>
    <row r="530" s="5" customFormat="1" spans="1:15">
      <c r="A530" s="7"/>
      <c r="C530" s="1"/>
      <c r="F530" s="1"/>
      <c r="I530" s="4"/>
      <c r="K530" s="8"/>
      <c r="O530" s="8"/>
    </row>
    <row r="531" s="5" customFormat="1" spans="1:15">
      <c r="A531" s="7"/>
      <c r="C531" s="1"/>
      <c r="F531" s="1"/>
      <c r="I531" s="4"/>
      <c r="K531" s="8"/>
      <c r="O531" s="8"/>
    </row>
    <row r="532" s="5" customFormat="1" spans="1:15">
      <c r="A532" s="7"/>
      <c r="C532" s="1"/>
      <c r="F532" s="1"/>
      <c r="I532" s="4"/>
      <c r="K532" s="8"/>
      <c r="O532" s="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0.结构参数</vt:lpstr>
      <vt:lpstr>1.U型槽主筋验算</vt:lpstr>
      <vt:lpstr>2.U型槽钢筋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2023-02-16T08:58:13Z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